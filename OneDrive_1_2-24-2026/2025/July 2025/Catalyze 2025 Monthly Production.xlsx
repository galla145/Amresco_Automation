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20" documentId="13_ncr:1_{011672C9-F270-4A8A-BDFC-F276A4F63BC4}" xr6:coauthVersionLast="47" xr6:coauthVersionMax="47" xr10:uidLastSave="{72847078-0E12-4F13-8178-88E7C2847597}"/>
  <bookViews>
    <workbookView xWindow="28680" yWindow="-120" windowWidth="29040" windowHeight="15720" tabRatio="866" firstSheet="11" activeTab="11"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 i="34" l="1"/>
  <c r="H22" i="34"/>
  <c r="G22" i="34"/>
  <c r="F22" i="34"/>
  <c r="E22" i="34"/>
  <c r="D22" i="34"/>
  <c r="C22" i="34"/>
  <c r="I21" i="29"/>
  <c r="I22" i="29"/>
  <c r="H22" i="29"/>
  <c r="G22" i="29"/>
  <c r="F21" i="29"/>
  <c r="F22" i="29"/>
  <c r="E22" i="29"/>
  <c r="D22" i="29"/>
  <c r="C22" i="29"/>
  <c r="H22" i="26"/>
  <c r="I22" i="26"/>
  <c r="E22" i="26"/>
  <c r="F22" i="26" s="1"/>
  <c r="E21" i="26"/>
  <c r="F21" i="26" s="1"/>
  <c r="H21" i="26"/>
  <c r="H21" i="29" s="1"/>
  <c r="I18" i="26"/>
  <c r="I19" i="26"/>
  <c r="I20" i="26"/>
  <c r="H18" i="26"/>
  <c r="H19" i="26"/>
  <c r="H20" i="26"/>
  <c r="E18" i="26"/>
  <c r="E19" i="26"/>
  <c r="E20" i="26"/>
  <c r="F18" i="26"/>
  <c r="F19" i="26"/>
  <c r="F20" i="26"/>
  <c r="H21" i="19"/>
  <c r="E19" i="19"/>
  <c r="E17" i="19"/>
  <c r="F17" i="19" s="1"/>
  <c r="H17" i="19"/>
  <c r="I17" i="19" s="1"/>
  <c r="E18" i="19"/>
  <c r="F18" i="19"/>
  <c r="H18" i="19"/>
  <c r="H18" i="18" s="1"/>
  <c r="I18" i="19"/>
  <c r="F19" i="19"/>
  <c r="H19" i="19"/>
  <c r="I19" i="19" s="1"/>
  <c r="E20" i="19"/>
  <c r="F20" i="19"/>
  <c r="H20" i="19"/>
  <c r="H20" i="18" s="1"/>
  <c r="I20" i="19"/>
  <c r="E21" i="19"/>
  <c r="F21" i="19" s="1"/>
  <c r="I21" i="19"/>
  <c r="H18" i="20"/>
  <c r="I18" i="20" s="1"/>
  <c r="H19" i="20"/>
  <c r="I19" i="20" s="1"/>
  <c r="H20" i="20"/>
  <c r="I20" i="20" s="1"/>
  <c r="H21" i="20"/>
  <c r="I21" i="20" s="1"/>
  <c r="E18" i="20"/>
  <c r="F18" i="20" s="1"/>
  <c r="E19" i="20"/>
  <c r="F19" i="20" s="1"/>
  <c r="E20" i="20"/>
  <c r="F20" i="20" s="1"/>
  <c r="E21" i="20"/>
  <c r="F21" i="20" s="1"/>
  <c r="E22" i="20"/>
  <c r="H21" i="30"/>
  <c r="I19" i="30"/>
  <c r="I20" i="30"/>
  <c r="G21" i="30"/>
  <c r="E21" i="30"/>
  <c r="D21" i="30"/>
  <c r="C21" i="30"/>
  <c r="G21" i="29"/>
  <c r="D21" i="29"/>
  <c r="C21" i="29"/>
  <c r="E21" i="29" s="1"/>
  <c r="G21" i="18"/>
  <c r="D21" i="18"/>
  <c r="C21" i="18"/>
  <c r="H18" i="21"/>
  <c r="I18" i="21" s="1"/>
  <c r="H19" i="21"/>
  <c r="I19" i="21" s="1"/>
  <c r="H20" i="21"/>
  <c r="I20" i="21" s="1"/>
  <c r="H21" i="21"/>
  <c r="E18" i="21"/>
  <c r="F18" i="21" s="1"/>
  <c r="E19" i="21"/>
  <c r="F19" i="21" s="1"/>
  <c r="E20" i="21"/>
  <c r="F20" i="21" s="1"/>
  <c r="E21" i="21"/>
  <c r="F21" i="21" s="1"/>
  <c r="I18" i="4"/>
  <c r="I19" i="4"/>
  <c r="I20" i="4"/>
  <c r="I21" i="4"/>
  <c r="H18" i="4"/>
  <c r="H19" i="4"/>
  <c r="H20" i="4"/>
  <c r="H21" i="4"/>
  <c r="F18" i="4"/>
  <c r="F19" i="4"/>
  <c r="F20" i="4"/>
  <c r="F21" i="4"/>
  <c r="E18" i="4"/>
  <c r="E19" i="4"/>
  <c r="E20" i="4"/>
  <c r="E21" i="4"/>
  <c r="H21" i="1"/>
  <c r="G21" i="1"/>
  <c r="C21" i="1"/>
  <c r="E21" i="1"/>
  <c r="D21" i="1"/>
  <c r="F21" i="1"/>
  <c r="I21" i="1"/>
  <c r="E19" i="1"/>
  <c r="E20" i="1"/>
  <c r="I19" i="3"/>
  <c r="I20" i="3"/>
  <c r="H18" i="3"/>
  <c r="I18" i="3"/>
  <c r="H19" i="3"/>
  <c r="H20" i="3"/>
  <c r="H21" i="3"/>
  <c r="I21" i="3"/>
  <c r="E18" i="3"/>
  <c r="F18" i="3"/>
  <c r="E19" i="3"/>
  <c r="F19" i="3"/>
  <c r="E20" i="3"/>
  <c r="F20" i="3"/>
  <c r="E21" i="3"/>
  <c r="F21" i="3"/>
  <c r="I21" i="72"/>
  <c r="H21" i="72"/>
  <c r="F19" i="72"/>
  <c r="F20" i="72"/>
  <c r="F21" i="72"/>
  <c r="E19" i="72"/>
  <c r="E20" i="72"/>
  <c r="E21" i="72"/>
  <c r="I18" i="72"/>
  <c r="I19" i="72"/>
  <c r="I20" i="72"/>
  <c r="H18" i="72"/>
  <c r="H19" i="72"/>
  <c r="H20" i="72"/>
  <c r="F18" i="72"/>
  <c r="E18" i="72"/>
  <c r="H5" i="33"/>
  <c r="I5" i="33"/>
  <c r="H6" i="33"/>
  <c r="I6" i="33"/>
  <c r="H7" i="33"/>
  <c r="I7" i="33"/>
  <c r="H8" i="33"/>
  <c r="I8" i="33"/>
  <c r="H9" i="33"/>
  <c r="I9" i="33"/>
  <c r="H10" i="33"/>
  <c r="I10" i="33"/>
  <c r="H11" i="33"/>
  <c r="I11" i="33"/>
  <c r="H12" i="33"/>
  <c r="I12" i="33"/>
  <c r="H13" i="33"/>
  <c r="I13" i="33"/>
  <c r="H14" i="33"/>
  <c r="I14" i="33"/>
  <c r="H15" i="33"/>
  <c r="I15" i="33"/>
  <c r="H16" i="33"/>
  <c r="I16" i="33"/>
  <c r="H17" i="33"/>
  <c r="I17" i="33"/>
  <c r="H18" i="33"/>
  <c r="I18" i="33"/>
  <c r="H19" i="33"/>
  <c r="I19" i="33"/>
  <c r="H20" i="33"/>
  <c r="I20" i="33"/>
  <c r="E5" i="33"/>
  <c r="F5" i="33"/>
  <c r="E6" i="33"/>
  <c r="F6" i="33"/>
  <c r="E7" i="33"/>
  <c r="F7" i="33"/>
  <c r="E8" i="33"/>
  <c r="F8" i="33"/>
  <c r="E9" i="33"/>
  <c r="F9" i="33"/>
  <c r="E10" i="33"/>
  <c r="F10" i="33"/>
  <c r="E11" i="33"/>
  <c r="F11" i="33"/>
  <c r="E12" i="33"/>
  <c r="F12" i="33"/>
  <c r="E13" i="33"/>
  <c r="F13" i="33"/>
  <c r="E14" i="33"/>
  <c r="F14" i="33"/>
  <c r="E15" i="33"/>
  <c r="F15" i="33"/>
  <c r="E16" i="33"/>
  <c r="F16" i="33"/>
  <c r="E17" i="33"/>
  <c r="F17" i="33"/>
  <c r="E18" i="33"/>
  <c r="F18" i="33"/>
  <c r="E19" i="33"/>
  <c r="F19" i="33"/>
  <c r="E20" i="33"/>
  <c r="F20" i="33"/>
  <c r="H20" i="29"/>
  <c r="G20" i="29"/>
  <c r="I20" i="29"/>
  <c r="D20" i="29"/>
  <c r="C20" i="29"/>
  <c r="E20" i="29"/>
  <c r="F20" i="29"/>
  <c r="G20" i="30"/>
  <c r="D20" i="30"/>
  <c r="C20" i="30"/>
  <c r="H18" i="1"/>
  <c r="H19" i="1"/>
  <c r="H20" i="1"/>
  <c r="G18" i="1"/>
  <c r="G19" i="1"/>
  <c r="I19" i="1"/>
  <c r="G20" i="1"/>
  <c r="D20" i="1"/>
  <c r="C20" i="1"/>
  <c r="G18" i="18"/>
  <c r="G19" i="18"/>
  <c r="G20" i="18"/>
  <c r="D18" i="18"/>
  <c r="D19" i="18"/>
  <c r="D20" i="18"/>
  <c r="C18" i="18"/>
  <c r="C19" i="18"/>
  <c r="C20" i="18"/>
  <c r="H18" i="32"/>
  <c r="I18" i="32"/>
  <c r="H19" i="32"/>
  <c r="I19" i="32"/>
  <c r="H20" i="32"/>
  <c r="I20" i="32"/>
  <c r="H16" i="32"/>
  <c r="E18" i="32"/>
  <c r="F18" i="32"/>
  <c r="E19" i="32"/>
  <c r="F19" i="32"/>
  <c r="E20" i="32"/>
  <c r="F20" i="32"/>
  <c r="G6" i="30"/>
  <c r="G7" i="30"/>
  <c r="G8" i="30"/>
  <c r="G9" i="30"/>
  <c r="G10" i="30"/>
  <c r="G11" i="30"/>
  <c r="G12" i="30"/>
  <c r="G13" i="30"/>
  <c r="G14" i="30"/>
  <c r="G15" i="30"/>
  <c r="G16" i="30"/>
  <c r="G17" i="30"/>
  <c r="G18" i="30"/>
  <c r="G19" i="30"/>
  <c r="G5" i="30"/>
  <c r="G4" i="30"/>
  <c r="H18" i="31"/>
  <c r="I18" i="31"/>
  <c r="H19" i="31"/>
  <c r="I19" i="31"/>
  <c r="F18" i="31"/>
  <c r="E18" i="31"/>
  <c r="E19" i="31"/>
  <c r="F19" i="31"/>
  <c r="E5" i="28"/>
  <c r="F5" i="28"/>
  <c r="E5" i="27"/>
  <c r="D18" i="30"/>
  <c r="D19" i="30"/>
  <c r="C18" i="30"/>
  <c r="C19" i="30"/>
  <c r="D18" i="1"/>
  <c r="D19" i="1"/>
  <c r="C18" i="1"/>
  <c r="C19" i="1"/>
  <c r="H19" i="29"/>
  <c r="G18" i="29"/>
  <c r="G19" i="29"/>
  <c r="I19" i="29" s="1"/>
  <c r="D18" i="29"/>
  <c r="D19" i="29"/>
  <c r="C18" i="29"/>
  <c r="E18" i="29" s="1"/>
  <c r="C19" i="29"/>
  <c r="E19" i="29" s="1"/>
  <c r="F19" i="29" s="1"/>
  <c r="H19" i="28"/>
  <c r="I19" i="28"/>
  <c r="E19" i="28"/>
  <c r="F19" i="28"/>
  <c r="H18" i="28"/>
  <c r="E18" i="28"/>
  <c r="F18" i="28"/>
  <c r="G5" i="29"/>
  <c r="G6" i="29"/>
  <c r="G7" i="29"/>
  <c r="G8" i="29"/>
  <c r="G9" i="29"/>
  <c r="G10" i="29"/>
  <c r="G11" i="29"/>
  <c r="G12" i="29"/>
  <c r="G13" i="29"/>
  <c r="G14" i="29"/>
  <c r="G15" i="29"/>
  <c r="G16" i="29"/>
  <c r="G17" i="29"/>
  <c r="G4" i="29"/>
  <c r="H15" i="26"/>
  <c r="I15" i="26" s="1"/>
  <c r="E15" i="26"/>
  <c r="H14" i="26"/>
  <c r="E14" i="26"/>
  <c r="E12" i="19"/>
  <c r="F12" i="19" s="1"/>
  <c r="E13" i="19"/>
  <c r="F13" i="19" s="1"/>
  <c r="E14" i="19"/>
  <c r="F14" i="19" s="1"/>
  <c r="E15" i="19"/>
  <c r="E5" i="20"/>
  <c r="G5" i="18"/>
  <c r="G6" i="18"/>
  <c r="G6" i="34" s="1"/>
  <c r="G7" i="18"/>
  <c r="G7" i="34" s="1"/>
  <c r="G8" i="18"/>
  <c r="G8" i="34" s="1"/>
  <c r="G9" i="18"/>
  <c r="G9" i="34" s="1"/>
  <c r="G10" i="18"/>
  <c r="G11" i="18"/>
  <c r="G12" i="18"/>
  <c r="G13" i="18"/>
  <c r="G14" i="18"/>
  <c r="G15" i="18"/>
  <c r="G15" i="34" s="1"/>
  <c r="G16" i="18"/>
  <c r="G17" i="18"/>
  <c r="G17" i="34" s="1"/>
  <c r="G4" i="18"/>
  <c r="G4" i="34" s="1"/>
  <c r="E4" i="4"/>
  <c r="F4" i="4"/>
  <c r="H4" i="4"/>
  <c r="I4" i="4"/>
  <c r="E5" i="4"/>
  <c r="F5" i="4"/>
  <c r="H5" i="4"/>
  <c r="I5" i="4"/>
  <c r="E6" i="4"/>
  <c r="F6" i="4"/>
  <c r="H6" i="4"/>
  <c r="I6" i="4"/>
  <c r="E7" i="4"/>
  <c r="F7" i="4"/>
  <c r="H7" i="4"/>
  <c r="I7" i="4"/>
  <c r="E8" i="4"/>
  <c r="F8" i="4"/>
  <c r="H8" i="4"/>
  <c r="I8" i="4"/>
  <c r="E9" i="4"/>
  <c r="F9" i="4"/>
  <c r="H9" i="4"/>
  <c r="I9" i="4"/>
  <c r="E10" i="4"/>
  <c r="F10" i="4"/>
  <c r="H10" i="4"/>
  <c r="I10" i="4"/>
  <c r="E11" i="4"/>
  <c r="F11" i="4"/>
  <c r="H11" i="4"/>
  <c r="I11" i="4"/>
  <c r="E12" i="4"/>
  <c r="F12" i="4"/>
  <c r="H12" i="4"/>
  <c r="I12" i="4"/>
  <c r="E13" i="4"/>
  <c r="F13" i="4"/>
  <c r="H13" i="4"/>
  <c r="I13" i="4"/>
  <c r="E14" i="4"/>
  <c r="F14" i="4"/>
  <c r="H14" i="4"/>
  <c r="I14" i="4"/>
  <c r="E15" i="4"/>
  <c r="F15" i="4"/>
  <c r="H15" i="4"/>
  <c r="I15" i="4"/>
  <c r="E16" i="4"/>
  <c r="F16" i="4"/>
  <c r="H16" i="4"/>
  <c r="I16" i="4"/>
  <c r="E17" i="4"/>
  <c r="F17" i="4"/>
  <c r="H17" i="4"/>
  <c r="I17" i="4"/>
  <c r="C17" i="18"/>
  <c r="D17" i="18"/>
  <c r="I18" i="1"/>
  <c r="I20" i="1"/>
  <c r="E18" i="1"/>
  <c r="F18" i="1"/>
  <c r="F20" i="1"/>
  <c r="F19" i="1"/>
  <c r="H19" i="30"/>
  <c r="H20" i="30"/>
  <c r="H18" i="30"/>
  <c r="F18" i="29"/>
  <c r="E19" i="30"/>
  <c r="F19" i="30"/>
  <c r="E20" i="30"/>
  <c r="F20" i="30"/>
  <c r="E18" i="30"/>
  <c r="F18" i="30"/>
  <c r="I18" i="28"/>
  <c r="H18" i="29"/>
  <c r="C16" i="30"/>
  <c r="D16" i="30"/>
  <c r="C17" i="30"/>
  <c r="D17" i="30"/>
  <c r="C16" i="29"/>
  <c r="D16" i="29"/>
  <c r="C17" i="29"/>
  <c r="D17" i="29"/>
  <c r="E17" i="29"/>
  <c r="F17" i="29"/>
  <c r="C16" i="18"/>
  <c r="C16" i="34" s="1"/>
  <c r="D16" i="18"/>
  <c r="E16" i="18" s="1"/>
  <c r="F16" i="18" s="1"/>
  <c r="C16" i="1"/>
  <c r="D16" i="1"/>
  <c r="G16" i="1"/>
  <c r="C17" i="1"/>
  <c r="D17" i="1"/>
  <c r="G17" i="1"/>
  <c r="H17" i="32"/>
  <c r="I17" i="32"/>
  <c r="E17" i="32"/>
  <c r="F17" i="32"/>
  <c r="I16" i="32"/>
  <c r="E16" i="32"/>
  <c r="F16" i="32"/>
  <c r="H17" i="31"/>
  <c r="I17" i="31"/>
  <c r="E17" i="31"/>
  <c r="F17" i="31"/>
  <c r="H16" i="31"/>
  <c r="I16" i="31"/>
  <c r="E16" i="31"/>
  <c r="F16" i="31"/>
  <c r="H17" i="28"/>
  <c r="I17" i="28"/>
  <c r="E17" i="28"/>
  <c r="F17" i="28"/>
  <c r="H16" i="28"/>
  <c r="I16" i="28"/>
  <c r="E16" i="28"/>
  <c r="F16" i="28"/>
  <c r="H17" i="27"/>
  <c r="I17" i="27"/>
  <c r="E17" i="27"/>
  <c r="F17" i="27"/>
  <c r="H16" i="27"/>
  <c r="I16" i="27"/>
  <c r="E16" i="27"/>
  <c r="F16" i="27"/>
  <c r="H17" i="26"/>
  <c r="I17" i="26"/>
  <c r="E17" i="26"/>
  <c r="F17" i="26"/>
  <c r="H16" i="29"/>
  <c r="I16" i="26"/>
  <c r="F16" i="26"/>
  <c r="H16" i="19"/>
  <c r="I16" i="19" s="1"/>
  <c r="E16" i="19"/>
  <c r="F16" i="19"/>
  <c r="H17" i="20"/>
  <c r="I17" i="20" s="1"/>
  <c r="E17" i="20"/>
  <c r="F17" i="20"/>
  <c r="H16" i="20"/>
  <c r="I16" i="20"/>
  <c r="E16" i="20"/>
  <c r="F16" i="20"/>
  <c r="H17" i="21"/>
  <c r="E17" i="21"/>
  <c r="F17" i="21"/>
  <c r="H16" i="21"/>
  <c r="I16" i="21"/>
  <c r="E16" i="21"/>
  <c r="F16" i="21"/>
  <c r="E16" i="3"/>
  <c r="F16" i="3"/>
  <c r="H16" i="3"/>
  <c r="I16" i="3"/>
  <c r="E17" i="3"/>
  <c r="F17" i="3"/>
  <c r="H17" i="3"/>
  <c r="I17" i="3"/>
  <c r="E16" i="72"/>
  <c r="F16" i="72"/>
  <c r="H16" i="72"/>
  <c r="E17" i="72"/>
  <c r="F17" i="72"/>
  <c r="H17" i="72"/>
  <c r="E15" i="72"/>
  <c r="F15" i="72"/>
  <c r="E14" i="72"/>
  <c r="F14" i="72"/>
  <c r="E13" i="72"/>
  <c r="F13" i="72"/>
  <c r="E12" i="72"/>
  <c r="F12" i="72"/>
  <c r="E11" i="72"/>
  <c r="F11" i="72"/>
  <c r="E10" i="72"/>
  <c r="F10" i="72"/>
  <c r="E9" i="72"/>
  <c r="F9" i="72"/>
  <c r="E8" i="72"/>
  <c r="F8" i="72"/>
  <c r="E7" i="72"/>
  <c r="F7" i="72"/>
  <c r="E6" i="72"/>
  <c r="F6" i="72"/>
  <c r="E5" i="72"/>
  <c r="F5" i="72"/>
  <c r="E4" i="72"/>
  <c r="F4" i="72"/>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c r="H4" i="3"/>
  <c r="I4" i="3"/>
  <c r="E5" i="3"/>
  <c r="F5" i="3"/>
  <c r="H5" i="3"/>
  <c r="I5" i="3"/>
  <c r="E6" i="3"/>
  <c r="F6" i="3"/>
  <c r="H6" i="3"/>
  <c r="I6" i="3"/>
  <c r="E7" i="3"/>
  <c r="F7" i="3"/>
  <c r="H7" i="3"/>
  <c r="I7" i="3"/>
  <c r="E8" i="3"/>
  <c r="F8" i="3"/>
  <c r="H8" i="3"/>
  <c r="I8" i="3"/>
  <c r="E9" i="3"/>
  <c r="F9" i="3"/>
  <c r="H9" i="3"/>
  <c r="I9" i="3"/>
  <c r="E10" i="3"/>
  <c r="F10" i="3"/>
  <c r="H10" i="3"/>
  <c r="I10" i="3"/>
  <c r="E11" i="3"/>
  <c r="F11" i="3"/>
  <c r="H11" i="3"/>
  <c r="I11" i="3"/>
  <c r="E12" i="3"/>
  <c r="F12" i="3"/>
  <c r="H12" i="3"/>
  <c r="I12" i="3"/>
  <c r="E13" i="3"/>
  <c r="F13" i="3"/>
  <c r="H13" i="3"/>
  <c r="I13" i="3"/>
  <c r="E14" i="3"/>
  <c r="F14" i="3"/>
  <c r="H14" i="3"/>
  <c r="I14" i="3"/>
  <c r="E15" i="3"/>
  <c r="F15" i="3"/>
  <c r="H15" i="3"/>
  <c r="I15" i="3"/>
  <c r="G6" i="1"/>
  <c r="G7" i="1"/>
  <c r="G8" i="1"/>
  <c r="G9" i="1"/>
  <c r="G10" i="1"/>
  <c r="G11" i="1"/>
  <c r="G12" i="1"/>
  <c r="G13" i="1"/>
  <c r="G14" i="1"/>
  <c r="G15" i="1"/>
  <c r="G5" i="1"/>
  <c r="G5" i="34"/>
  <c r="G4" i="1"/>
  <c r="B4" i="34" a="1"/>
  <c r="B4" i="34" s="1"/>
  <c r="A4" i="34" a="1"/>
  <c r="A4" i="34" s="1"/>
  <c r="A1" i="34" a="1"/>
  <c r="A1" i="34"/>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E10" i="29" s="1"/>
  <c r="F10" i="29" s="1"/>
  <c r="D9" i="29"/>
  <c r="C9" i="29"/>
  <c r="D8" i="29"/>
  <c r="C8" i="29"/>
  <c r="E8" i="29" s="1"/>
  <c r="F8" i="29" s="1"/>
  <c r="D7" i="29"/>
  <c r="C7" i="29"/>
  <c r="E7" i="29" s="1"/>
  <c r="F7" i="29" s="1"/>
  <c r="D6" i="29"/>
  <c r="C6" i="29"/>
  <c r="D5" i="29"/>
  <c r="C5" i="29"/>
  <c r="D4" i="29"/>
  <c r="C4" i="29"/>
  <c r="D15" i="18"/>
  <c r="D15" i="34" s="1"/>
  <c r="C15" i="18"/>
  <c r="C15" i="34" s="1"/>
  <c r="D14" i="18"/>
  <c r="C14" i="18"/>
  <c r="D13" i="18"/>
  <c r="D13" i="34" s="1"/>
  <c r="C13" i="18"/>
  <c r="C13" i="34" s="1"/>
  <c r="D12" i="18"/>
  <c r="D12" i="34" s="1"/>
  <c r="C12" i="18"/>
  <c r="D11" i="18"/>
  <c r="C11" i="18"/>
  <c r="C11" i="34" s="1"/>
  <c r="D10" i="18"/>
  <c r="D10" i="34" s="1"/>
  <c r="C10" i="18"/>
  <c r="C10" i="34" s="1"/>
  <c r="D9" i="18"/>
  <c r="C9" i="18"/>
  <c r="D8" i="18"/>
  <c r="C8" i="18"/>
  <c r="D7" i="18"/>
  <c r="C7" i="18"/>
  <c r="D6" i="18"/>
  <c r="C6" i="18"/>
  <c r="E6" i="18" s="1"/>
  <c r="F6" i="18" s="1"/>
  <c r="D5" i="18"/>
  <c r="D5" i="34" s="1"/>
  <c r="C5" i="18"/>
  <c r="D4" i="18"/>
  <c r="D4" i="34" s="1"/>
  <c r="C4" i="18"/>
  <c r="C4" i="34" s="1"/>
  <c r="E13" i="29"/>
  <c r="F13" i="29"/>
  <c r="B4" i="30" a="1"/>
  <c r="B4" i="30" s="1"/>
  <c r="G2" i="30"/>
  <c r="A1" i="30" a="1"/>
  <c r="A1" i="30"/>
  <c r="B4" i="29" a="1"/>
  <c r="B4" i="29" s="1"/>
  <c r="A4" i="29" a="1"/>
  <c r="A4" i="29" s="1"/>
  <c r="A1" i="29" a="1"/>
  <c r="A1" i="29"/>
  <c r="B4" i="18" a="1"/>
  <c r="B4" i="18" s="1"/>
  <c r="A4" i="18" a="1"/>
  <c r="A4" i="18" s="1"/>
  <c r="A1" i="18" a="1"/>
  <c r="A1" i="18"/>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c r="H4" i="33"/>
  <c r="I4" i="33"/>
  <c r="E4" i="33"/>
  <c r="F4" i="33"/>
  <c r="G2" i="33"/>
  <c r="D2" i="33"/>
  <c r="C2" i="33"/>
  <c r="A1" i="33" a="1"/>
  <c r="A1" i="33"/>
  <c r="H15" i="32"/>
  <c r="I15" i="32"/>
  <c r="E15" i="32"/>
  <c r="F15" i="32"/>
  <c r="H14" i="32"/>
  <c r="I14" i="32"/>
  <c r="E14" i="32"/>
  <c r="F14" i="32"/>
  <c r="H13" i="32"/>
  <c r="I13" i="32"/>
  <c r="E13" i="32"/>
  <c r="F13" i="32"/>
  <c r="H12" i="32"/>
  <c r="I12" i="32"/>
  <c r="E12" i="32"/>
  <c r="F12" i="32"/>
  <c r="H11" i="32"/>
  <c r="I11" i="32"/>
  <c r="E11" i="32"/>
  <c r="F11" i="32"/>
  <c r="H10" i="32"/>
  <c r="I10" i="32"/>
  <c r="E10" i="32"/>
  <c r="F10" i="32"/>
  <c r="H9" i="32"/>
  <c r="I9" i="32"/>
  <c r="E9" i="32"/>
  <c r="F9" i="32"/>
  <c r="H8" i="32"/>
  <c r="I8" i="32"/>
  <c r="E8" i="32"/>
  <c r="F8" i="32"/>
  <c r="H7" i="32"/>
  <c r="I7" i="32"/>
  <c r="E7" i="32"/>
  <c r="F7" i="32"/>
  <c r="H6" i="32"/>
  <c r="I6" i="32"/>
  <c r="E6" i="32"/>
  <c r="F6" i="32"/>
  <c r="H5" i="32"/>
  <c r="I5" i="32"/>
  <c r="E5" i="32"/>
  <c r="F5" i="32"/>
  <c r="H4" i="32"/>
  <c r="I4" i="32"/>
  <c r="E4" i="32"/>
  <c r="F4" i="32"/>
  <c r="G2" i="32"/>
  <c r="D2" i="32"/>
  <c r="C2" i="32"/>
  <c r="A1" i="32" a="1"/>
  <c r="A1" i="32"/>
  <c r="H15" i="31"/>
  <c r="I15" i="31"/>
  <c r="E15" i="31"/>
  <c r="F15" i="31"/>
  <c r="H14" i="31"/>
  <c r="I14" i="31"/>
  <c r="E14" i="31"/>
  <c r="F14" i="31"/>
  <c r="H13" i="31"/>
  <c r="I13" i="31"/>
  <c r="E13" i="31"/>
  <c r="F13" i="31"/>
  <c r="H12" i="31"/>
  <c r="I12" i="31"/>
  <c r="E12" i="31"/>
  <c r="F12" i="31"/>
  <c r="H11" i="31"/>
  <c r="I11" i="31"/>
  <c r="E11" i="31"/>
  <c r="F11" i="31"/>
  <c r="H10" i="31"/>
  <c r="I10" i="31"/>
  <c r="E10" i="31"/>
  <c r="F10" i="31"/>
  <c r="H9" i="31"/>
  <c r="I9" i="31"/>
  <c r="E9" i="31"/>
  <c r="F9" i="31"/>
  <c r="H8" i="31"/>
  <c r="I8" i="31"/>
  <c r="E8" i="31"/>
  <c r="F8" i="31"/>
  <c r="H7" i="31"/>
  <c r="I7" i="31"/>
  <c r="E7" i="31"/>
  <c r="F7" i="31"/>
  <c r="H6" i="31"/>
  <c r="I6" i="31"/>
  <c r="E6" i="31"/>
  <c r="F6" i="31"/>
  <c r="H5" i="31"/>
  <c r="I5" i="31"/>
  <c r="E5" i="31"/>
  <c r="F5" i="31"/>
  <c r="H4" i="31"/>
  <c r="I4" i="31"/>
  <c r="E4" i="31"/>
  <c r="F4" i="31"/>
  <c r="G2" i="31"/>
  <c r="D2" i="31"/>
  <c r="C2" i="31"/>
  <c r="A1" i="31" a="1"/>
  <c r="A1" i="31"/>
  <c r="H15" i="28"/>
  <c r="I15" i="28"/>
  <c r="E15" i="28"/>
  <c r="F15" i="28"/>
  <c r="H14" i="28"/>
  <c r="I14" i="28"/>
  <c r="E14" i="28"/>
  <c r="F14" i="28"/>
  <c r="H13" i="28"/>
  <c r="I13" i="28"/>
  <c r="E13" i="28"/>
  <c r="F13" i="28"/>
  <c r="H12" i="28"/>
  <c r="I12" i="28"/>
  <c r="E12" i="28"/>
  <c r="F12" i="28"/>
  <c r="H11" i="28"/>
  <c r="I11" i="28"/>
  <c r="E11" i="28"/>
  <c r="F11" i="28"/>
  <c r="H10" i="28"/>
  <c r="I10" i="28"/>
  <c r="E10" i="28"/>
  <c r="F10" i="28"/>
  <c r="H9" i="28"/>
  <c r="I9" i="28"/>
  <c r="E9" i="28"/>
  <c r="F9" i="28"/>
  <c r="H8" i="28"/>
  <c r="I8" i="28"/>
  <c r="E8" i="28"/>
  <c r="F8" i="28"/>
  <c r="H7" i="28"/>
  <c r="I7" i="28"/>
  <c r="E7" i="28"/>
  <c r="F7" i="28"/>
  <c r="H6" i="28"/>
  <c r="I6" i="28"/>
  <c r="E6" i="28"/>
  <c r="F6" i="28"/>
  <c r="H5" i="28"/>
  <c r="I5" i="28"/>
  <c r="H4" i="28"/>
  <c r="I4" i="28"/>
  <c r="E4" i="28"/>
  <c r="F4" i="28"/>
  <c r="B4" i="28" a="1"/>
  <c r="B4" i="28" s="1"/>
  <c r="A4" i="28" a="1"/>
  <c r="A4" i="28" s="1"/>
  <c r="G2" i="28"/>
  <c r="D2" i="28"/>
  <c r="C2" i="28"/>
  <c r="A1" i="28" a="1"/>
  <c r="A1" i="28"/>
  <c r="H15" i="27"/>
  <c r="I15" i="27"/>
  <c r="E15" i="27"/>
  <c r="F15" i="27"/>
  <c r="H14" i="27"/>
  <c r="I14" i="27"/>
  <c r="E14" i="27"/>
  <c r="F14" i="27"/>
  <c r="H13" i="27"/>
  <c r="E13" i="27"/>
  <c r="F13" i="27"/>
  <c r="H12" i="27"/>
  <c r="I12" i="27"/>
  <c r="E12" i="27"/>
  <c r="F12" i="27"/>
  <c r="H11" i="27"/>
  <c r="I11" i="27"/>
  <c r="E11" i="27"/>
  <c r="F11" i="27"/>
  <c r="H10" i="27"/>
  <c r="E10" i="27"/>
  <c r="F10" i="27"/>
  <c r="H9" i="27"/>
  <c r="I9" i="27"/>
  <c r="E9" i="27"/>
  <c r="F9" i="27"/>
  <c r="H8" i="27"/>
  <c r="I8" i="27"/>
  <c r="E8" i="27"/>
  <c r="F8" i="27"/>
  <c r="H7" i="27"/>
  <c r="I7" i="27"/>
  <c r="E7" i="27"/>
  <c r="F7" i="27"/>
  <c r="H6" i="27"/>
  <c r="I6" i="27"/>
  <c r="E6" i="27"/>
  <c r="F6" i="27"/>
  <c r="H5" i="27"/>
  <c r="I5" i="27"/>
  <c r="F5" i="27"/>
  <c r="H4" i="27"/>
  <c r="I4" i="27"/>
  <c r="E4" i="27"/>
  <c r="F4" i="27"/>
  <c r="G2" i="27"/>
  <c r="D2" i="27"/>
  <c r="C2" i="27"/>
  <c r="A1" i="27" a="1"/>
  <c r="A1" i="27"/>
  <c r="F15" i="26"/>
  <c r="I14" i="26"/>
  <c r="F14" i="26"/>
  <c r="H13" i="26"/>
  <c r="H13" i="29" s="1"/>
  <c r="I13" i="29" s="1"/>
  <c r="I13" i="26"/>
  <c r="E13" i="26"/>
  <c r="F13" i="26"/>
  <c r="H12" i="26"/>
  <c r="H12" i="29" s="1"/>
  <c r="E12" i="26"/>
  <c r="F12" i="26"/>
  <c r="H11" i="26"/>
  <c r="H11" i="29" s="1"/>
  <c r="I11" i="29" s="1"/>
  <c r="I11" i="26"/>
  <c r="E11" i="26"/>
  <c r="F11" i="26"/>
  <c r="H10" i="26"/>
  <c r="I10" i="26"/>
  <c r="E10" i="26"/>
  <c r="F10" i="26"/>
  <c r="H9" i="26"/>
  <c r="I9" i="26" s="1"/>
  <c r="E9" i="26"/>
  <c r="F9" i="26"/>
  <c r="H8" i="26"/>
  <c r="I8" i="26"/>
  <c r="E8" i="26"/>
  <c r="F8" i="26" s="1"/>
  <c r="H7" i="26"/>
  <c r="H7" i="29" s="1"/>
  <c r="I7" i="29" s="1"/>
  <c r="E7" i="26"/>
  <c r="F7" i="26" s="1"/>
  <c r="H6" i="26"/>
  <c r="I6" i="26" s="1"/>
  <c r="E6" i="26"/>
  <c r="F6" i="26"/>
  <c r="H5" i="26"/>
  <c r="I5" i="26"/>
  <c r="E5" i="26"/>
  <c r="F5" i="26"/>
  <c r="H4" i="26"/>
  <c r="H4" i="29" s="1"/>
  <c r="E4" i="26"/>
  <c r="F4" i="26" s="1"/>
  <c r="G2" i="26"/>
  <c r="D2" i="26"/>
  <c r="C2" i="26"/>
  <c r="A1" i="26" a="1"/>
  <c r="A1" i="26"/>
  <c r="H15" i="19"/>
  <c r="I15" i="19"/>
  <c r="F15" i="19"/>
  <c r="H14" i="19"/>
  <c r="I14" i="19" s="1"/>
  <c r="H13" i="19"/>
  <c r="I13" i="19" s="1"/>
  <c r="H12" i="19"/>
  <c r="I12" i="19" s="1"/>
  <c r="H11" i="19"/>
  <c r="I11" i="19" s="1"/>
  <c r="E11" i="19"/>
  <c r="F11" i="19"/>
  <c r="H10" i="19"/>
  <c r="H10" i="18" s="1"/>
  <c r="I10" i="19"/>
  <c r="E10" i="19"/>
  <c r="F10" i="19"/>
  <c r="H9" i="19"/>
  <c r="I9" i="19" s="1"/>
  <c r="E9" i="19"/>
  <c r="F9" i="19" s="1"/>
  <c r="H8" i="19"/>
  <c r="I8" i="19"/>
  <c r="E8" i="19"/>
  <c r="F8" i="19"/>
  <c r="H7" i="19"/>
  <c r="I7" i="19"/>
  <c r="E7" i="19"/>
  <c r="F7" i="19"/>
  <c r="H6" i="19"/>
  <c r="I6" i="19"/>
  <c r="E6" i="19"/>
  <c r="F6" i="19" s="1"/>
  <c r="H5" i="19"/>
  <c r="I5" i="19" s="1"/>
  <c r="E5" i="19"/>
  <c r="F5" i="19" s="1"/>
  <c r="H4" i="19"/>
  <c r="I4" i="19"/>
  <c r="E4" i="19"/>
  <c r="F4" i="19"/>
  <c r="G2" i="19"/>
  <c r="D2" i="19"/>
  <c r="C2" i="19"/>
  <c r="A1" i="19" a="1"/>
  <c r="A1" i="19" s="1"/>
  <c r="H15" i="20"/>
  <c r="I15" i="20"/>
  <c r="E15" i="20"/>
  <c r="F15" i="20" s="1"/>
  <c r="H14" i="20"/>
  <c r="I14" i="20"/>
  <c r="E14" i="20"/>
  <c r="F14" i="20"/>
  <c r="H13" i="20"/>
  <c r="I13" i="20"/>
  <c r="E13" i="20"/>
  <c r="F13" i="20"/>
  <c r="H12" i="20"/>
  <c r="I12" i="20" s="1"/>
  <c r="E12" i="20"/>
  <c r="F12" i="20" s="1"/>
  <c r="H11" i="20"/>
  <c r="I11" i="20"/>
  <c r="E11" i="20"/>
  <c r="F11" i="20" s="1"/>
  <c r="H10" i="20"/>
  <c r="I10" i="20"/>
  <c r="E10" i="20"/>
  <c r="F10" i="20"/>
  <c r="H9" i="20"/>
  <c r="I9" i="20" s="1"/>
  <c r="E9" i="20"/>
  <c r="F9" i="20" s="1"/>
  <c r="H8" i="20"/>
  <c r="I8" i="20"/>
  <c r="E8" i="20"/>
  <c r="F8" i="20"/>
  <c r="H7" i="20"/>
  <c r="I7" i="20"/>
  <c r="E7" i="20"/>
  <c r="F7" i="20"/>
  <c r="H6" i="20"/>
  <c r="I6" i="20"/>
  <c r="E6" i="20"/>
  <c r="F6" i="20" s="1"/>
  <c r="H5" i="20"/>
  <c r="I5" i="20"/>
  <c r="F5" i="20"/>
  <c r="H4" i="20"/>
  <c r="I4" i="20"/>
  <c r="E4" i="20"/>
  <c r="F4" i="20"/>
  <c r="G2" i="20"/>
  <c r="D2" i="20"/>
  <c r="C2" i="20"/>
  <c r="A1" i="20" a="1"/>
  <c r="A1" i="20"/>
  <c r="H15" i="21"/>
  <c r="I15" i="21"/>
  <c r="E15" i="21"/>
  <c r="F15" i="21"/>
  <c r="H14" i="21"/>
  <c r="I14" i="21"/>
  <c r="E14" i="21"/>
  <c r="F14" i="21"/>
  <c r="H13" i="21"/>
  <c r="I13" i="21"/>
  <c r="E13" i="21"/>
  <c r="F13" i="21"/>
  <c r="H12" i="21"/>
  <c r="I12" i="21" s="1"/>
  <c r="E12" i="21"/>
  <c r="F12" i="21" s="1"/>
  <c r="H11" i="21"/>
  <c r="I11" i="21" s="1"/>
  <c r="E11" i="21"/>
  <c r="F11" i="21" s="1"/>
  <c r="H10" i="21"/>
  <c r="I10" i="21"/>
  <c r="E10" i="21"/>
  <c r="F10" i="21"/>
  <c r="H9" i="21"/>
  <c r="I9" i="21"/>
  <c r="E9" i="21"/>
  <c r="F9" i="21"/>
  <c r="H8" i="21"/>
  <c r="I8" i="21"/>
  <c r="E8" i="21"/>
  <c r="F8" i="21"/>
  <c r="H7" i="21"/>
  <c r="I7" i="21"/>
  <c r="E7" i="21"/>
  <c r="F7" i="21"/>
  <c r="H6" i="21"/>
  <c r="I6" i="21" s="1"/>
  <c r="E6" i="21"/>
  <c r="F6" i="21" s="1"/>
  <c r="H5" i="21"/>
  <c r="I5" i="21"/>
  <c r="E5" i="21"/>
  <c r="F5" i="21"/>
  <c r="H4" i="21"/>
  <c r="I4" i="21"/>
  <c r="E4" i="21"/>
  <c r="F4" i="21" s="1"/>
  <c r="G2" i="21"/>
  <c r="D2" i="21"/>
  <c r="C2" i="21"/>
  <c r="J2" i="21" s="1"/>
  <c r="A1" i="21" a="1"/>
  <c r="A1" i="21"/>
  <c r="G2" i="4"/>
  <c r="D2" i="4"/>
  <c r="C2" i="4"/>
  <c r="A1" i="4" a="1"/>
  <c r="A1" i="4"/>
  <c r="G2" i="3"/>
  <c r="D2" i="3"/>
  <c r="C2" i="3"/>
  <c r="J2" i="3"/>
  <c r="A1" i="3" a="1"/>
  <c r="A1" i="3"/>
  <c r="H6" i="72"/>
  <c r="I6" i="72"/>
  <c r="H7" i="72"/>
  <c r="I7" i="72"/>
  <c r="H8" i="72"/>
  <c r="I8" i="72"/>
  <c r="H9" i="72"/>
  <c r="I9" i="72"/>
  <c r="H10" i="72"/>
  <c r="I10" i="72"/>
  <c r="H11" i="72"/>
  <c r="I11" i="72"/>
  <c r="H12" i="72"/>
  <c r="I12" i="72"/>
  <c r="H13" i="72"/>
  <c r="I13" i="72"/>
  <c r="H14" i="72"/>
  <c r="I14" i="72"/>
  <c r="H15" i="72"/>
  <c r="I15" i="72"/>
  <c r="H5" i="72"/>
  <c r="I5" i="72"/>
  <c r="H4" i="72"/>
  <c r="I4" i="72"/>
  <c r="G2" i="72"/>
  <c r="D2" i="72"/>
  <c r="C2" i="72"/>
  <c r="J2" i="72"/>
  <c r="A1" i="72" a="1"/>
  <c r="A1" i="72"/>
  <c r="C5" i="34"/>
  <c r="I18" i="30"/>
  <c r="D11" i="34"/>
  <c r="E13" i="30"/>
  <c r="F13" i="30"/>
  <c r="E11" i="30"/>
  <c r="F11" i="30"/>
  <c r="E17" i="30"/>
  <c r="F17" i="30"/>
  <c r="E16" i="30"/>
  <c r="F16" i="30"/>
  <c r="H6" i="29"/>
  <c r="I6" i="29" s="1"/>
  <c r="E15" i="30"/>
  <c r="F15" i="30"/>
  <c r="E8" i="30"/>
  <c r="F8" i="30"/>
  <c r="E12" i="30"/>
  <c r="F12" i="30"/>
  <c r="H16" i="30"/>
  <c r="E10" i="30"/>
  <c r="F10" i="30"/>
  <c r="E14" i="30"/>
  <c r="F14" i="30"/>
  <c r="H16" i="1"/>
  <c r="I16" i="1"/>
  <c r="H6" i="30"/>
  <c r="I13" i="27"/>
  <c r="H17" i="1"/>
  <c r="I17" i="1"/>
  <c r="H10" i="29"/>
  <c r="I10" i="29"/>
  <c r="E12" i="29"/>
  <c r="F12" i="29"/>
  <c r="E4" i="30"/>
  <c r="F4" i="30"/>
  <c r="H17" i="30"/>
  <c r="H15" i="29"/>
  <c r="I15" i="29" s="1"/>
  <c r="I10" i="27"/>
  <c r="E5" i="18"/>
  <c r="F5" i="18" s="1"/>
  <c r="E9" i="29"/>
  <c r="F9" i="29"/>
  <c r="E5" i="30"/>
  <c r="F5" i="30"/>
  <c r="I17" i="21"/>
  <c r="E9" i="30"/>
  <c r="F9" i="30"/>
  <c r="E14" i="29"/>
  <c r="F14" i="29" s="1"/>
  <c r="E6" i="30"/>
  <c r="F6" i="30"/>
  <c r="H17" i="29"/>
  <c r="I17" i="29"/>
  <c r="D2" i="30"/>
  <c r="E17" i="1"/>
  <c r="F17" i="1"/>
  <c r="E16" i="1"/>
  <c r="F16" i="1"/>
  <c r="I17" i="72"/>
  <c r="I16" i="72"/>
  <c r="H2" i="33"/>
  <c r="I2" i="33"/>
  <c r="J2" i="33"/>
  <c r="H2" i="32"/>
  <c r="I2" i="32"/>
  <c r="J2" i="32"/>
  <c r="H2" i="31"/>
  <c r="I2" i="31"/>
  <c r="J2" i="31"/>
  <c r="H2" i="28"/>
  <c r="I2" i="28"/>
  <c r="J2" i="28"/>
  <c r="E2" i="28"/>
  <c r="F2" i="28"/>
  <c r="H2" i="27"/>
  <c r="I2" i="27"/>
  <c r="J2" i="27"/>
  <c r="H2" i="4"/>
  <c r="I2" i="4"/>
  <c r="J2" i="4"/>
  <c r="H2" i="3"/>
  <c r="I2" i="3"/>
  <c r="E7" i="1"/>
  <c r="F7" i="1"/>
  <c r="E15" i="1"/>
  <c r="F15" i="1"/>
  <c r="G2" i="1"/>
  <c r="E8" i="1"/>
  <c r="F8" i="1"/>
  <c r="E11" i="1"/>
  <c r="F11" i="1"/>
  <c r="E9" i="1"/>
  <c r="F9" i="1"/>
  <c r="E10" i="1"/>
  <c r="F10" i="1"/>
  <c r="E12" i="1"/>
  <c r="F12" i="1"/>
  <c r="E5" i="1"/>
  <c r="F5" i="1"/>
  <c r="E13" i="1"/>
  <c r="F13" i="1"/>
  <c r="E6" i="1"/>
  <c r="F6" i="1"/>
  <c r="E14" i="1"/>
  <c r="F14" i="1"/>
  <c r="H14" i="30"/>
  <c r="H9" i="30"/>
  <c r="H4" i="30"/>
  <c r="I4" i="30"/>
  <c r="E7" i="30"/>
  <c r="F7" i="30"/>
  <c r="H12" i="30"/>
  <c r="H7" i="30"/>
  <c r="H15" i="30"/>
  <c r="H10" i="30"/>
  <c r="H5" i="30"/>
  <c r="H13" i="30"/>
  <c r="H8" i="30"/>
  <c r="H11" i="30"/>
  <c r="H8" i="29"/>
  <c r="I12" i="26"/>
  <c r="H14" i="29"/>
  <c r="E15" i="29"/>
  <c r="F15" i="29"/>
  <c r="H5" i="29"/>
  <c r="I5" i="29"/>
  <c r="H8" i="18"/>
  <c r="C2" i="30"/>
  <c r="H7" i="1"/>
  <c r="I7" i="1"/>
  <c r="H4" i="1"/>
  <c r="H5" i="1"/>
  <c r="I5" i="1"/>
  <c r="H15" i="1"/>
  <c r="I15" i="1"/>
  <c r="H12" i="1"/>
  <c r="I12" i="1"/>
  <c r="H11" i="1"/>
  <c r="I11" i="1"/>
  <c r="H10" i="1"/>
  <c r="I10" i="1"/>
  <c r="H6" i="1"/>
  <c r="I6" i="1"/>
  <c r="C2" i="1"/>
  <c r="E2" i="3"/>
  <c r="F2" i="3"/>
  <c r="E4" i="1"/>
  <c r="F4" i="1"/>
  <c r="H14" i="1"/>
  <c r="I14" i="1"/>
  <c r="H13" i="1"/>
  <c r="I13" i="1"/>
  <c r="H9" i="1"/>
  <c r="I9" i="1"/>
  <c r="H8" i="1"/>
  <c r="I8" i="1"/>
  <c r="D2" i="1"/>
  <c r="E2" i="33"/>
  <c r="F2" i="33"/>
  <c r="E2" i="32"/>
  <c r="F2" i="32"/>
  <c r="E2" i="31"/>
  <c r="F2" i="31"/>
  <c r="E2" i="27"/>
  <c r="F2" i="27"/>
  <c r="E2" i="4"/>
  <c r="F2" i="4"/>
  <c r="H2" i="72"/>
  <c r="I5" i="30"/>
  <c r="I15" i="30"/>
  <c r="I14" i="30"/>
  <c r="I13" i="30"/>
  <c r="I17" i="30"/>
  <c r="I16" i="30"/>
  <c r="I11" i="30"/>
  <c r="I10" i="30"/>
  <c r="I9" i="30"/>
  <c r="I8" i="30"/>
  <c r="I7" i="30"/>
  <c r="I12" i="30"/>
  <c r="I6" i="30"/>
  <c r="H2" i="1"/>
  <c r="I2" i="1"/>
  <c r="I4" i="1"/>
  <c r="H2" i="30"/>
  <c r="I2" i="30"/>
  <c r="E2" i="30"/>
  <c r="F2" i="30"/>
  <c r="E2" i="1"/>
  <c r="F2" i="1"/>
  <c r="I2" i="72"/>
  <c r="E2" i="72"/>
  <c r="F2" i="72"/>
  <c r="E5" i="29" l="1"/>
  <c r="F5" i="29" s="1"/>
  <c r="E6" i="29"/>
  <c r="F6" i="29" s="1"/>
  <c r="E11" i="29"/>
  <c r="F11" i="29" s="1"/>
  <c r="I14" i="29"/>
  <c r="G18" i="34"/>
  <c r="I21" i="26"/>
  <c r="D21" i="34"/>
  <c r="I18" i="29"/>
  <c r="H18" i="34"/>
  <c r="G21" i="34"/>
  <c r="C21" i="34"/>
  <c r="E21" i="34" s="1"/>
  <c r="F21" i="34" s="1"/>
  <c r="D17" i="34"/>
  <c r="G16" i="34"/>
  <c r="I16" i="29"/>
  <c r="E16" i="29"/>
  <c r="F16" i="29" s="1"/>
  <c r="G11" i="34"/>
  <c r="G14" i="34"/>
  <c r="D14" i="34"/>
  <c r="C14" i="34"/>
  <c r="G13" i="34"/>
  <c r="G10" i="34"/>
  <c r="G2" i="29"/>
  <c r="G12" i="34"/>
  <c r="I12" i="29"/>
  <c r="C18" i="34"/>
  <c r="D20" i="34"/>
  <c r="D9" i="34"/>
  <c r="H9" i="29"/>
  <c r="I9" i="29" s="1"/>
  <c r="I8" i="29"/>
  <c r="D8" i="34"/>
  <c r="E2" i="26"/>
  <c r="F2" i="26" s="1"/>
  <c r="H8" i="34"/>
  <c r="I7" i="26"/>
  <c r="D7" i="34"/>
  <c r="C7" i="34"/>
  <c r="D6" i="34"/>
  <c r="C19" i="34"/>
  <c r="C2" i="29"/>
  <c r="D2" i="29"/>
  <c r="J2" i="26"/>
  <c r="I4" i="29"/>
  <c r="E4" i="29"/>
  <c r="F4" i="29" s="1"/>
  <c r="I4" i="26"/>
  <c r="H2" i="26"/>
  <c r="I2" i="26" s="1"/>
  <c r="H20" i="34"/>
  <c r="E5" i="34"/>
  <c r="F5" i="34" s="1"/>
  <c r="H19" i="18"/>
  <c r="H19" i="34" s="1"/>
  <c r="E8" i="18"/>
  <c r="F8" i="18" s="1"/>
  <c r="E12" i="18"/>
  <c r="F12" i="18" s="1"/>
  <c r="H5" i="18"/>
  <c r="E9" i="18"/>
  <c r="F9" i="18" s="1"/>
  <c r="C8" i="34"/>
  <c r="E8" i="34" s="1"/>
  <c r="F8" i="34" s="1"/>
  <c r="C9" i="34"/>
  <c r="E9" i="34" s="1"/>
  <c r="F9" i="34" s="1"/>
  <c r="C12" i="34"/>
  <c r="E12" i="34" s="1"/>
  <c r="F12" i="34" s="1"/>
  <c r="E21" i="18"/>
  <c r="F21" i="18" s="1"/>
  <c r="H17" i="18"/>
  <c r="I17" i="18" s="1"/>
  <c r="E11" i="34"/>
  <c r="F11" i="34" s="1"/>
  <c r="E11" i="18"/>
  <c r="F11" i="18" s="1"/>
  <c r="H11" i="18"/>
  <c r="H11" i="34" s="1"/>
  <c r="I11" i="34" s="1"/>
  <c r="E13" i="18"/>
  <c r="F13" i="18" s="1"/>
  <c r="I18" i="18"/>
  <c r="H2" i="19"/>
  <c r="I2" i="19" s="1"/>
  <c r="I8" i="18"/>
  <c r="H6" i="18"/>
  <c r="H6" i="34" s="1"/>
  <c r="I6" i="34" s="1"/>
  <c r="I19" i="18"/>
  <c r="E2" i="19"/>
  <c r="F2" i="19" s="1"/>
  <c r="J2" i="19"/>
  <c r="H4" i="18"/>
  <c r="I4" i="18" s="1"/>
  <c r="G20" i="34"/>
  <c r="I20" i="34" s="1"/>
  <c r="I20" i="18"/>
  <c r="E17" i="18"/>
  <c r="F17" i="18" s="1"/>
  <c r="C17" i="34"/>
  <c r="E17" i="34" s="1"/>
  <c r="F17" i="34" s="1"/>
  <c r="D16" i="34"/>
  <c r="E16" i="34" s="1"/>
  <c r="F16" i="34" s="1"/>
  <c r="H16" i="18"/>
  <c r="I16" i="18" s="1"/>
  <c r="H14" i="18"/>
  <c r="H14" i="34" s="1"/>
  <c r="I14" i="34" s="1"/>
  <c r="H13" i="18"/>
  <c r="H13" i="34" s="1"/>
  <c r="I13" i="34" s="1"/>
  <c r="I10" i="18"/>
  <c r="E10" i="18"/>
  <c r="F10" i="18" s="1"/>
  <c r="E2" i="20"/>
  <c r="F2" i="20" s="1"/>
  <c r="H9" i="18"/>
  <c r="I8" i="34"/>
  <c r="H7" i="18"/>
  <c r="H7" i="34" s="1"/>
  <c r="I7" i="34" s="1"/>
  <c r="E7" i="18"/>
  <c r="F7" i="18" s="1"/>
  <c r="H15" i="18"/>
  <c r="I15" i="18" s="1"/>
  <c r="J2" i="20"/>
  <c r="H2" i="20"/>
  <c r="I2" i="20" s="1"/>
  <c r="E18" i="18"/>
  <c r="F18" i="18" s="1"/>
  <c r="H21" i="18"/>
  <c r="I21" i="18" s="1"/>
  <c r="I21" i="21"/>
  <c r="I18" i="34"/>
  <c r="H16" i="34"/>
  <c r="I16" i="34" s="1"/>
  <c r="E14" i="18"/>
  <c r="F14" i="18" s="1"/>
  <c r="E14" i="34"/>
  <c r="F14" i="34" s="1"/>
  <c r="I14" i="18"/>
  <c r="E13" i="34"/>
  <c r="F13" i="34" s="1"/>
  <c r="I13" i="18"/>
  <c r="H10" i="34"/>
  <c r="I10" i="34" s="1"/>
  <c r="E10" i="34"/>
  <c r="F10" i="34" s="1"/>
  <c r="H12" i="18"/>
  <c r="I12" i="18" s="1"/>
  <c r="D18" i="34"/>
  <c r="E18" i="34" s="1"/>
  <c r="F18" i="34" s="1"/>
  <c r="D2" i="18"/>
  <c r="E20" i="18"/>
  <c r="F20" i="18" s="1"/>
  <c r="C20" i="34"/>
  <c r="E20" i="34" s="1"/>
  <c r="F20" i="34" s="1"/>
  <c r="E7" i="34"/>
  <c r="F7" i="34" s="1"/>
  <c r="C6" i="34"/>
  <c r="E6" i="34" s="1"/>
  <c r="F6" i="34" s="1"/>
  <c r="G19" i="34"/>
  <c r="I19" i="34" s="1"/>
  <c r="D19" i="34"/>
  <c r="E19" i="34" s="1"/>
  <c r="F19" i="34" s="1"/>
  <c r="E19" i="18"/>
  <c r="F19" i="18" s="1"/>
  <c r="E2" i="21"/>
  <c r="F2" i="21" s="1"/>
  <c r="E15" i="34"/>
  <c r="F15" i="34" s="1"/>
  <c r="E15" i="18"/>
  <c r="F15" i="18" s="1"/>
  <c r="H2" i="21"/>
  <c r="I2" i="21" s="1"/>
  <c r="C2" i="18"/>
  <c r="G2" i="18"/>
  <c r="E4" i="34"/>
  <c r="F4" i="34" s="1"/>
  <c r="E4" i="18"/>
  <c r="F4" i="18" s="1"/>
  <c r="H2" i="29" l="1"/>
  <c r="I2" i="29" s="1"/>
  <c r="E2" i="29"/>
  <c r="F2" i="29" s="1"/>
  <c r="H17" i="34"/>
  <c r="I17" i="34" s="1"/>
  <c r="I5" i="18"/>
  <c r="H5" i="34"/>
  <c r="I5" i="34" s="1"/>
  <c r="I11" i="18"/>
  <c r="I6" i="18"/>
  <c r="H15" i="34"/>
  <c r="I15" i="34" s="1"/>
  <c r="H4" i="34"/>
  <c r="I4" i="34" s="1"/>
  <c r="H9" i="34"/>
  <c r="I9" i="34" s="1"/>
  <c r="I9" i="18"/>
  <c r="I7" i="18"/>
  <c r="H21" i="34"/>
  <c r="I21" i="34" s="1"/>
  <c r="H12" i="34"/>
  <c r="I12" i="34" s="1"/>
  <c r="E2" i="18"/>
  <c r="F2" i="18" s="1"/>
  <c r="H2" i="18"/>
  <c r="I2" i="18" s="1"/>
  <c r="C2" i="34"/>
  <c r="G2" i="34"/>
  <c r="D2" i="34"/>
  <c r="E2" i="34" l="1"/>
  <c r="F2" i="34" s="1"/>
  <c r="H2" i="34"/>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<sst xmlns="http://schemas.openxmlformats.org/spreadsheetml/2006/main" count="637" uniqueCount="364">
  <si>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</si>
  <si>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</si>
  <si>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</si>
  <si>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</si>
  <si>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</si>
  <si>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</si>
  <si>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</si>
  <si>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</si>
  <si>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</si>
  <si>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</si>
  <si>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</si>
  <si>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</si>
  <si>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</si>
  <si>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</si>
  <si>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</si>
  <si>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</si>
  <si>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</si>
  <si>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</si>
  <si>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</si>
  <si>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</si>
  <si>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</si>
  <si>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</si>
  <si>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5 has experienced tripping events on alternate days throughout the month due to water intrusion in the connectors. According to the technician's notes, further troubleshooting is required</t>
  </si>
  <si>
    <t>1. SR094993</t>
  </si>
  <si>
    <t>1. The weather station stopped communicating on 01/08. A technician onsite for inverter and weather station issues contacted SMA and updated five inverters. Communication was restored on 01/21 but again lost on 01/27. On 01/28, the technician contacted Aderis and re-established communication, but it dropped again at 15:00. It was restored at 10:00 on 01/29 while the technician was updating inverter firmware.
2. Inverter 7 was offline from 01/23. The technician investigated the issue and replaced the L2 fuse, bringing the inverter back online on 01/28.
3. The site was offline on 01/28 at 08:00am and later remotely closed by catalyze at 09:00am.</t>
  </si>
  <si>
    <t>1. SR092431, SR095414
2. SR096016
3. SR096049</t>
  </si>
  <si>
    <t>SR095414</t>
  </si>
  <si>
    <t>SR096016</t>
  </si>
  <si>
    <t>SR096049</t>
  </si>
  <si>
    <t>1.Inverter 1 tripped offline at 12:45 PM on 01/15. According to the received information, SMA was on-site working on the inverter on the same day, and Inverter 1 was back online at 02:30 PM on 01/15.
2.Inverter 1 is constantly producing 193kW even during non-production hours on 01/16. Issue got self resolved at 10:00 PM on 01/16.
3.Inverter 1 failed to start on 01/21. SMA technicians suspected a communication board issue. After further troubleshooting on 01/22, the inverter 1 was back online at 10:30 AM on 01/22.
4.The site experienced reduced production from 01/20 to 01/24 due to snow cover. On 01/25/25, production dropped to 62kW at 08:30 due to snow buildup. The technician reset the Indie control box, restoring PV production on 01/25.
5. The site tripped offline due to a utility outage at 12:45 PM on 01/28. After the technician reset the recloser, the site was back online at 1:45 PM on 01/29.</t>
  </si>
  <si>
    <t>1.SR095598
2.SR095641
3.SR095796
4.SR095973
5.SR096060,              SR096061</t>
  </si>
  <si>
    <t>SR095641</t>
  </si>
  <si>
    <t>SR095796</t>
  </si>
  <si>
    <t>SR095973</t>
  </si>
  <si>
    <t>SR096060</t>
  </si>
  <si>
    <t>SR096061</t>
  </si>
  <si>
    <t>1.Low generation due to weather/snow.</t>
  </si>
  <si>
    <t>1. Irradiance sensor has been replaced on 01/22.</t>
  </si>
  <si>
    <t>1. SR086960, SR095896</t>
  </si>
  <si>
    <t>SR095896</t>
  </si>
  <si>
    <t>1.The site tripped offline at 01:15 AM on 01/22. On 01/23, after the utility closed their recloser, the technician reset the recloser, bringing the site back online and into production at 5:00 PM on 01/23.</t>
  </si>
  <si>
    <t>1.SR095842</t>
  </si>
  <si>
    <t>1. Inverters 3.5 to 3.7 and 3.9 tripped offline at 15:45 and self-resolved at 16:15 on 01/09. A technician was dispatched and found inverter voltages out of range. Terminations were re-tightened.
2. Inverters 3.1 to 3.10 experienced multiple tripping events throughout the month, self-resolving on alternate days.</t>
  </si>
  <si>
    <t>1. SR095454
2. SR095996, SR096058, SR096170</t>
  </si>
  <si>
    <t>SR095996</t>
  </si>
  <si>
    <t>SR096058</t>
  </si>
  <si>
    <t>SR096170</t>
  </si>
  <si>
    <t>1. Inverter 6 has been experiencing multiple tripping events throughout the month. The issue, caused by VARS (Volt-Ampere Reactive power) from the utility, scheduled to be addressed in Q3 2025.</t>
  </si>
  <si>
    <t>1.SR093503</t>
  </si>
  <si>
    <t>1. Inverter 9 is underproducing compared to its peers due to four faulty optimizers affecting two strings</t>
  </si>
  <si>
    <t xml:space="preserve">1.SR096047	</t>
  </si>
  <si>
    <t>February Actual v. Expected</t>
  </si>
  <si>
    <t>February Actual v. Forecasted</t>
  </si>
  <si>
    <t>1. Inverter 5 has experienced tripping events on alternate days since 12/30 due to  Fault to stop DC wrong polarity. Further troubleshooting is required.
2. Inverter 2 tripped offline at 10:45AM on 02/16 and later self resolved inverter back online at 15:30 on 02/16.</t>
  </si>
  <si>
    <t>1. SR096333, SR094993	
2. SR097172</t>
  </si>
  <si>
    <t>SR094993</t>
  </si>
  <si>
    <t>SR097172</t>
  </si>
  <si>
    <t>1. Inverter 8 was offline since 01/31 and inverter 7 was offline throughtout the month.
2. Inverter 21 was offline intermittently throughout the month. On 02/28 technician was onsite replaced fuses bringing inverter back but it is in night mode.</t>
  </si>
  <si>
    <t>1. SR096178, SR096016
2. SR097916</t>
  </si>
  <si>
    <t>SR097916</t>
  </si>
  <si>
    <t>1. Inverter was offline intermittently from 02/09 to 02/13 due to snow.</t>
  </si>
  <si>
    <t>1. SR096554</t>
  </si>
  <si>
    <t>1. Inverter 13 experienced tripping events on high irradiance days reporting  PV Abnormal Input - Protect0260. On 02/26 technician was onsite replaced inverter 1. As per solectria advice the bus board on inverter 13 has been removed. If the inverter faults again, will know that the issue lies with the inverter.</t>
  </si>
  <si>
    <t>1. SR081303</t>
  </si>
  <si>
    <t>1. Low generation due to weather/snow.</t>
  </si>
  <si>
    <t>1. Site tripped offline at 08:30AM on 02/01 and later back online at 11:30AM on 02/02 after technician  re-energized.
2. Site tripped offline at 3:30AM, technician closed the recloser. Site back online at 11:10AM on 02/18.
3. Site tripped offline at 14:00 on 02/26  back online at 16:30 on 02/27 after technician  re-energized.</t>
  </si>
  <si>
    <t>1. SR096212
2. SR097208
3. SR097837</t>
  </si>
  <si>
    <t>SR097208</t>
  </si>
  <si>
    <t>SR097837</t>
  </si>
  <si>
    <t xml:space="preserve">1.Inverters 3.1 to 3.10 experienced tripping events on 02/04, 02/05, 02/07 and 02/10. On 02/11 USNE was onsite and replaced Bay-O-net fuses.
 </t>
  </si>
  <si>
    <t>1. SR096170</t>
  </si>
  <si>
    <t>1. Inverter 6 has been experienced tripping event on 02/08 and 02/09. The issue, caused by VARS (Volt-Ampere Reactive power) from the utility, scheduled to be addressed in Q3 2025.</t>
  </si>
  <si>
    <t>1. SR093503</t>
  </si>
  <si>
    <t>1. Inverter 9 underperformance has self-resolved since 02/01 and producing in line with peers.</t>
  </si>
  <si>
    <t>1. SR096047</t>
  </si>
  <si>
    <t>1. Inverters 1.1, 1.2 are not communicating since 02/13 and inverter 3.4 stopped communicating on 02/24 and possibly offline. Client mentioned these inverters are still under EPC warranty so they are currently handling the RMA process.
2. The meters L1, L2, and L3 stopped communicating at 12:45 AM on 02/28. After communication was regained, only the L3 voltage started updating, while the L1 and L2 voltages dropped to zero. Possibly that the breakers have tripped.</t>
  </si>
  <si>
    <t>1. SR097878, SR097940
2. SR097900</t>
  </si>
  <si>
    <t>SR097940</t>
  </si>
  <si>
    <t>SR097900</t>
  </si>
  <si>
    <t>March Actual v. Expected</t>
  </si>
  <si>
    <t>March Actual v. Forecasted</t>
  </si>
  <si>
    <t>1.Inverter 5 has experienced multiple tripping events since 12/30 due to a "Fault to Stop DC Wrong Polarity"; on 03/11, a technician replaced two blown optimizers, and on 03/12, six hotspot modules were identified for replacement.
2.Site was taken offline from 7AM to 9AM on 03/07 due to technician checked in to drain the roof.</t>
  </si>
  <si>
    <t>1.SR096333,SR098835.
2.SR097877</t>
  </si>
  <si>
    <t>SR098835</t>
  </si>
  <si>
    <t>SR097877</t>
  </si>
  <si>
    <t>1.Inverter 7 was offline on 03/03 in SMA portal, after techician checked in and replaced faulty fuse at L3 inverter back online on same day.
2. CB 14 was offline for whole month and being replaced but technician recieved wrong parts on 03/18.
3.Inverter 2 went offline on 03/13 in the SMA portal and back online on 03/14.
4.On 03/18 technician found inverter 5 was offline and after replacing AC line two blown fuse on 03/18, the Inverter back online on 03/18 at 12:15pm. 
5.Adheris was doing backend work. No inverter data on Aderis from 03/27.</t>
  </si>
  <si>
    <t>1.SR097992 
2. PM5513, SR089076, SR098032
3.SR098553
4.SR098032, SR098706
5.SR098752</t>
  </si>
  <si>
    <t>SR089076</t>
  </si>
  <si>
    <t>SR098032</t>
  </si>
  <si>
    <t>SR098553</t>
  </si>
  <si>
    <t>SR098706</t>
  </si>
  <si>
    <t>SR098752</t>
  </si>
  <si>
    <t>1.Meter was capturing 50 -250Kw less than Inverter active power during peak hours since 02/18/23.</t>
  </si>
  <si>
    <t>1.SR084901, SR099181, SR098032</t>
  </si>
  <si>
    <t>SR099181</t>
  </si>
  <si>
    <t>1. Inverters 6, 7, and 8 were power cycling midday during peak hours on high irradiance days due to "PV Abnormal Input - Protect0260". On 03/10, the technician followed Solectria’s advice, removed the parallel bar, and set dipswitches to independent. Inverters have been producing normally since 03/11.
2.Inverter 7 has experienced multiple trippings on 03/24 due to PV Abnormal Input fault.</t>
  </si>
  <si>
    <t>1.SR097972,SR098257
2.SR098919</t>
  </si>
  <si>
    <t>SR098257</t>
  </si>
  <si>
    <t>SR098919</t>
  </si>
  <si>
    <t>1. Site production was low on 03/05, 03/06, 03/17, 03/24 and 03/29 to 03/31 due to  weather event.</t>
  </si>
  <si>
    <t>1.Site tripped offline at 14:07 on 03/14 and back online at 10AM on 03/15 after technician closed relay and re-energized the site. Again tripped offline at 18:45 on 03/15 back online at 8AM on 03/17. Site again tripped offline at 10:45 on 03/22 and back online at 8:45 on 03/24. Again tripped offline at 17:00 on 03/25 due to utility outage and back online at 11:30 on 03/27. Again tripped offline at 14:45 on 03/28 and back online at 8:15AM on 03/31.</t>
  </si>
  <si>
    <t>1.SR098595, SR098886, SR098982 &amp; SR099115.</t>
  </si>
  <si>
    <t>SR098886</t>
  </si>
  <si>
    <t>SR098982</t>
  </si>
  <si>
    <t>SR099115</t>
  </si>
  <si>
    <t xml:space="preserve">1.Inverter 1.1 was derated at 165KW between 12PM to 16:30 on 03/10, 03/13, 03/14, 03/18 and 03/19. </t>
  </si>
  <si>
    <t>1.SR098345</t>
  </si>
  <si>
    <t>1. Inverter 3.4 with 12 strings, Inverter 3.5 with 12 strings, Inverter 3.6 with 12 strings, Inverter 3.7 with 7 strings, Inverter 3.8 with 4 and 10 strings, Inverter 3.9 with 7 strings, and Inverter 3.10 with 9 strings are overall underperforming by 250KW.</t>
  </si>
  <si>
    <t xml:space="preserve">1. SR098941
</t>
  </si>
  <si>
    <t>1Inverter 5 was offline for multiple days on 03/03, 03/05, 03/07, 03/08, 03/12, and started late on 03/19 due to a Fault to Stop AFCI Fault. After a technician performed a power cycle on both the AC and DC sides, the inverter performance improved.</t>
  </si>
  <si>
    <t xml:space="preserve">1. SR098011
</t>
  </si>
  <si>
    <t>1.Inverter 6 experienced tripping events on 03/01, 03/05, 03/07 to 03/13, and 03/16. The issue, caused by VARS (Volt-Ampere Reactive power) from the utility, persisted and worsened in February. After the technician performed wire management, the inverter performance improved, and an RMA was initiated for the inverter.</t>
  </si>
  <si>
    <t>1.SR098406</t>
  </si>
  <si>
    <t>1.Inverter 1 was offline on 03/04 due to "fault to stop ground fault" later self resolve and was back  online at 07:00 AM on 03/05.
2.Inverter 6 experienced multiple trippings starting from 03/12 due to 'Fault to Stop The Grid Interference Protection,' continuing throughout the month. Additionally, it was derated to 45KW.
3. The site tripped offline at 11:00 AM on 03/14 and was back online at 13:00 on 03/16 due to a utility outage.</t>
  </si>
  <si>
    <t>1.SR098064
2.SR098463
3.SR098579</t>
  </si>
  <si>
    <t>SR098463</t>
  </si>
  <si>
    <t>SR098579</t>
  </si>
  <si>
    <t>1. Inverter 4 tripped offline at 08:30 AM on 03/31 due to generic fault.
2. Inverter 11 is underperforming by 33KW. After the technician troubleshooted the inverter, the central unit is offline and it's under RMA'd.</t>
  </si>
  <si>
    <t>1. SR099184
2. SR098878</t>
  </si>
  <si>
    <t>SR098878</t>
  </si>
  <si>
    <t>1. Pads 1 and 2 were tripped offline on 03/04 at 04:30am and back online at 09:00am on 03/04 However, inverters 1.2, 1.4, 2.4, 2.7, 2.9, 2.10, 2.16, and 3.1 remain offline due to a Fault to Stop Ground and  inverters 3.1, 3.3, 3.8 started late for production on 03/04 and again pad 1 and 2 are tripped offline at 22:00 on 03/04 and back online at 09:00am on 03/05
2. Inverter 3.3 was offline for multiple days in month
3.Inverter 2.15 was offline on 03/28 due to "Fault to stop Ground Fault" and was back online on 03/29.
4.Inverter 3.6 tripped offline at 14:30 from 02/24 due to "Fault to stop DC Bus Over Voltage" and was back online on 03/27.
5.Inverter 3.2 was offline from 03/06 due to "Fault to stop Ground Fault"and was back online on 03/08.
6. All 3 meters are only capturing about a 1/3rd of the site's inverters' production. 
7. Pad 1 &amp; 2 inverters were tripped offline on 09/22 at 10:00am due to "Fault to stop grid" and back online on 03/27 at 07:00am.
8. Inverters 2.4, 2.7, 2.13, 2.16, 2.17, 3.2, and 3.3 are tripped offline due to ground fault on 03/07 at 15:00 and  Inverters 2.4, 2.13 &amp; 3.3 are back online on 03/08 at 07:00 and inverters 2.7, 2.16, 2.17, 3.2 are back online on 03/10. Site tripped offline at 15:00on 03/07 and back online on 03/08 at 07:00am. Inverter 1.9 wasoffline for whole day on 03/12 and back one on 03/12 at 07:00am and again inverter 1.9 tripped offline on 03/13 at 15:00 and back online at 03/14 at 07:00am. Inverter 1.5 was offline from 10:00 am to 11:00am on 03/13. Inverters 1.5, 2.4 are underproducing approximatly 30kW since 03/14. Inverters 1.1, 2.6, 2.7 are uderproducing 10kW compared to their peers.
9. Technician was on site for PM event on 03/11 due to that Inverter 2.14 was offline from 09:00am to 11:00am on 03/11 and inverter 3.1 was offline from 11:00am to 03:00pm on 03/11.</t>
  </si>
  <si>
    <t>1. SR097900
2. SR098236,	SR097900
3.SR099098
4.SR098953
5.SR098236
6. SR097879
7. SR098887
8. SR098236
9. SR097911, PM13161</t>
  </si>
  <si>
    <t>SR098236</t>
  </si>
  <si>
    <t>SR099098</t>
  </si>
  <si>
    <t>SR098953</t>
  </si>
  <si>
    <t>SR097879</t>
  </si>
  <si>
    <t>SR098887</t>
  </si>
  <si>
    <t>SR097911</t>
  </si>
  <si>
    <t>April Actual v. Expected</t>
  </si>
  <si>
    <t>April Actual v. Forecasted</t>
  </si>
  <si>
    <t>1. Inverter 5 has experienced multiple tripping events since 12/30 due to a "Fault to Stop DC Wrong Polarity". Sourcing panel need to be replaced.</t>
  </si>
  <si>
    <t>1. SR098835</t>
  </si>
  <si>
    <r>
      <rPr>
        <sz val="11"/>
        <color rgb="FF000000"/>
        <rFont val="Calibri"/>
        <family val="2"/>
      </rPr>
      <t xml:space="preserve">1. Inverter 3 tripped offline at 12:00PM on 04/19. On 04/23 technician troubleshooted and found A Phase fuse blown and will need to be replaced. 
2.  Inverter 5 was offline on 04/16. On 04/23 technician troubleshooted and found A Phase fuse blown and will need to be replaced. 
3. Inverter 18  was offline on 04/23. Technician troubleshooted and found A Phase fuse blown and will need to be replaced. 
</t>
    </r>
    <r>
      <rPr>
        <b/>
        <sz val="11"/>
        <color rgb="FF000000"/>
        <rFont val="Calibri"/>
        <family val="2"/>
      </rPr>
      <t xml:space="preserve">4. No forcasted data available from 03/27 as Aderis was doing backend work. </t>
    </r>
  </si>
  <si>
    <t>1. SR100019
2. SR099884
3. SR100199</t>
  </si>
  <si>
    <t>SR099884</t>
  </si>
  <si>
    <t>SR100199</t>
  </si>
  <si>
    <t>1. The site was offline from 8:30AM to 17:45 on 04/02 due to USNE was onsite to investigate the transformer leak.
2. Inverter did not come back online on 04/03 after the completion of work on 04/02. A technician investigated and reset the Indie EMS controller, and the inverter came back online at 10:00 AM on 04/03.
3. Invertertripped offline at 11:45 AM on 04/09. An SMA technician updated the firmware for the inverters and DPS, and the inverter came back online at 6:30 PM on 04/10.
4. Site tripped offline at 11:00AM on 04/21 and back online at 12:30PM on 04/23 due to S3 power was onsite working on testing CT's.
5. Inverter was offline from 9:30 AM to 10:00 AM on 04/24 due to S3 Power being onsite. They found that the sensor output was too high and replaced the wire between the RIK unit and the meter with a thicker one to correct the issue.
6. Inverter tripped offline at 1:30 PM on 04/29 due to the Catalyze team was onsite working on the batteries and left the inverter offline for pending work</t>
  </si>
  <si>
    <t>1. SR099297
2. SR099335, SR099350
3. SR099592
4. SR100086
5. SR100086
6. SR100654</t>
  </si>
  <si>
    <t>SR099335</t>
  </si>
  <si>
    <t>SR099350</t>
  </si>
  <si>
    <t>SR099592</t>
  </si>
  <si>
    <t>SR100086</t>
  </si>
  <si>
    <t>SR100654</t>
  </si>
  <si>
    <t>1. Inverter 02 was underperforming by 30%. Will be investigated while next time onsite.</t>
  </si>
  <si>
    <t>1. SR099076</t>
  </si>
  <si>
    <t>1. Site production was low on 04/03, 04/07, 04/12, 04/26 due to weather event.</t>
  </si>
  <si>
    <t>1. Site production was low on 04/07, 04/26 due to weather event.</t>
  </si>
  <si>
    <t>1. Tracker position 2 has stuck at 1.38degrees from 04/13. Will investigate next time onsite.</t>
  </si>
  <si>
    <t>1. SR100051</t>
  </si>
  <si>
    <t xml:space="preserve">1. Inverters 1.1 and 2.6 experienced derating issues on 04/04, 04/07, 04/13, 04/14, 04/20, and 04/22. On 04/24, a technician replaced both inverters. Inverter 1.1 returned to normal operating condition, but inverter 2.6 was not communicating, although production was confirmed at the site.
2. Inverters lost communication at 13:30 on 04/23 and restored at 14:30 on 04/24 due to technician was onsite working on replacement of inverters 1.1, 2.6.
</t>
  </si>
  <si>
    <t xml:space="preserve">1. SR099487, SR098345
2. SR099487, SR098345
</t>
  </si>
  <si>
    <t>SR098345</t>
  </si>
  <si>
    <t>SR099487</t>
  </si>
  <si>
    <t>1. Inverter 3.4 with 12 strings, Inverter 3.5 with 12 strings, Inverter 3.6 with 12 strings, Inverter 3.7 with 7 strings, Inverter 3.8 with 4 and 10 strings, Inverter 3.9 with 7 strings, and Inverter 3.10 with 9 strings are overall underperforming by 250KW. Followed up with Catalyze, need to be investigate.
2. Site tripped offline at 12:00PM on 04/09. Technician has installed the new fuse at the pole and closed the recloser. Site back onlien at 16:30 on 04/10.</t>
  </si>
  <si>
    <t>1. SR098941
2. SR099590</t>
  </si>
  <si>
    <t>SR099590</t>
  </si>
  <si>
    <t>1. Inverter 6 is underperforming by 5kW during peak hours from 04/08. Waiting for response for dispatch.</t>
  </si>
  <si>
    <t xml:space="preserve">1. SR099965
</t>
  </si>
  <si>
    <t>1. Inverter 6 experienced multiple trippings starting from 03/12 due to 'Fault to Stop The Grid Interference Protection,' continuing throughout the month</t>
  </si>
  <si>
    <t>1. SR098463</t>
  </si>
  <si>
    <t>1. Site tripped offline at 14:15 on 04/20. On 04/23, a technician re-energized the site, and it came back online at 11:15 AM. Additionally, the technician found that Inverter 1 and some PV strings had sustained thermal damage. The affected inverter and PV strings were isolated, and Inverter 1 needs to be replaced.</t>
  </si>
  <si>
    <t>1. SR100043</t>
  </si>
  <si>
    <t>1. Inverter 11 central unit has been RMA'd from 03/31. Pending shipment - case 5655526.
2. Inverter 4 tripped offline at 8:30AM on 03/31 due to generic fault. Inverter back online at 9:30AM on 04/21. SolarEdge RMAing 100A fuse.
3. Inverter 5 tripped offline at 16:45 on 04/10. On 04/21 technician troubleshooted and it is back online at 9:00AM. Inverter right unit has been RMA'd from 04/15.
4. Inverters 3 and 6 tripped offline at 18:00 on 04/16 due to high AC voltage. On 04/20, both inverters self-recovered and resumed production; however, the right units of both inverters remained offline. On 04/21, a technician replaced the AC fuses and re-energized the system. The right unit of Inverter 6 was RMA'd on 04/21.</t>
  </si>
  <si>
    <t>1. SR098878
2. SR099184
3. SR099672
4. SR099915</t>
  </si>
  <si>
    <t>SR099184</t>
  </si>
  <si>
    <t>SR099672</t>
  </si>
  <si>
    <t>SR099915</t>
  </si>
  <si>
    <t>1. Inverter 3-2 did not start production on 04/05 and 04/19 but self-resolved on the following days.
2. Inverter 3-3 was derated during peak hours on 04/11 and 04/13. Additionally, both Inverters 3-3 and 3-2 experienced derating on 04/20 and 04/21, but the issue self-resolved on the following days
3. Inverter 2.15 started late for production at 10:30 due to ground fault on 04/23.
4. Inverter 2-17 didnot started for production on 04/24 and self resolved at 17:00 on 04/27. However on 04/28 inverter again didn't started and self-resolved at 13:00  on 04/30.</t>
  </si>
  <si>
    <t>1. SR099447
2. SR099716
3. SR100205
4. SR100364</t>
  </si>
  <si>
    <t>SR099716</t>
  </si>
  <si>
    <t>SR100205</t>
  </si>
  <si>
    <t>SR100364</t>
  </si>
  <si>
    <t>May Actual v. Expected</t>
  </si>
  <si>
    <t>May Actual v. Forecasted</t>
  </si>
  <si>
    <t>1. Inverter 12 was tripped offline on 05/13 at 09:00 due to blown fuse on 05/13 the technician replaced a fuse on phase B of inverter 12.
2. Inverter 20 was tripped offline on 05/05 at 11:00 due to blown fuse on phase A on 05/13 technician replaced fuse on phase A.
3. Inverters 3, 5, 18 were offline from 05/01 due to blown fuse on phase A of inverters, on 05/13 technician replaced the fuse on A phase.
4. No forcasted data available from 03/27 as Aderis was doing backend work.</t>
  </si>
  <si>
    <t>1. SR101370
2. SR101027
3. SR100199</t>
  </si>
  <si>
    <t>SR101027</t>
  </si>
  <si>
    <t xml:space="preserve">1.Inverter 1 was reading no production from 13:30 on 05/01  and was showing proper production from 05/02 at 16:45 EDT. Issue got self resolved.
2. Site tripped offline at 13:30 on 04/29 as technicians are on site to troubleshoot the BESS system and site was back online at 16:30 on 05/02 after the utility power was restored.
3. Inverter 1 tripped offline at 12:45 on 05/09. Later self resolved and back online at 13:00 on 05/10
</t>
  </si>
  <si>
    <t xml:space="preserve">1.SR100654,SR100896
2.SR100654,PM 8020
3.SR101246
</t>
  </si>
  <si>
    <t>SR100896</t>
  </si>
  <si>
    <t>SR101246</t>
  </si>
  <si>
    <t>1.Site remained offline from 17:45 on 05/08 to 08:30 on 05/13 .Site was back online after the technician has reset the relay and main breaker on 05/13.
2.The site was offline from 12:30 to 13:30 on 05/27 due to technicians being onsite for preventive maintenance.
3. Inverter 10 has a history of late start ups.</t>
  </si>
  <si>
    <t>1.SR101207
2.PM7960</t>
  </si>
  <si>
    <t>1.Site was offline from 05:00 to 09:30 on 05/31. Site was back online after the utility power has been restored.</t>
  </si>
  <si>
    <t>1.SR102215</t>
  </si>
  <si>
    <t>1. Site production was low on 05/09, 05/22, 05/23 and 05/29 due to rain.</t>
  </si>
  <si>
    <t>1. Inverter 3 right unit has been offline since 15:00 EDT on 05/01, resulting in an approximate production loss of 10 kW. On 05/29 technician  found that the right unit needs to be replaced, and an RMA case has been initiated with the OEM, and mentioned  that Inverter 3 will remain offline until the right unit is replaced.</t>
  </si>
  <si>
    <t>1.SR100950</t>
  </si>
  <si>
    <t>1.The site has been experiencing brief outages at short intervals on multiple days. Energy values of inverters are reporting at constant value of 0 on 05/10 and 05/29</t>
  </si>
  <si>
    <t>1.Inverter 2.6 is not communicating following replacement. All settings and RS485 connections were verified, and no issues were identified. A follow-up visit to the site will be required for further investigation
2.Inverter 2.9 was offline from 06:15 to 11:45 on 05/03. Issue got self resolved.
3.Inverter 2.6 was offline through out the month.Required further troubleshooting
4.Inverter 2.4 is derated by 32.35kW from 12:30 to 15:10 on 05/26 and reporting "Fault (Inverter current imbalance)" in CPS portal.Issue got self resolved on 05/27</t>
  </si>
  <si>
    <t>1.SR100368
2.SR100507
3.SR100837
4.SR101937</t>
  </si>
  <si>
    <t>SR100507</t>
  </si>
  <si>
    <t>SR100837</t>
  </si>
  <si>
    <t>SR101937</t>
  </si>
  <si>
    <t>1. Inverter 3.4 with 12 strings, Inverter 3.5 with 12 strings, Inverter 3.6 with 12 strings, Inverter 3.7 with 7 strings, Inverter 3.8 with 4 and 10 strings, Inverter 3.9 with 7 strings, and Inverter 3.10 with 9 strings are overall underperforming by 250KW. Followed up with Catalyze, need to be investigate.</t>
  </si>
  <si>
    <t>1.SR098941</t>
  </si>
  <si>
    <t>1.Inverter 1 tripped offline at 12:15 on 05/10 and back online on 05/11.Inverter 1 was again offline from 05/12 to 12:00 on 05/14.Inverter 1 was back online after the technician has cleared arc fault and reset the inverter and he mentioned i string is isolated for further investigation.
2.Inverter 5 was down a string. Technicians checked into the site on 05/13 to address the issue but failed to do so due to bad weather conditions. This issue requires further troubleshooting
3.Inverter 7 is underperforming by 10 kW, and the MPPTs are unbalanced. On 05/14, technicians attended the site and found that Inverter 7 was reading normally, but Inverter 5 was reading 10 kW lower than the other inverters. The issue was followed up with the Solis technical support team, and we are currently awaiting their response.</t>
  </si>
  <si>
    <t>1.SR099959,SR101259
2.SR099959
3.SR100904</t>
  </si>
  <si>
    <t>SR101259</t>
  </si>
  <si>
    <t>SR099959</t>
  </si>
  <si>
    <t>SR100904</t>
  </si>
  <si>
    <t>1.Site tripped offline at 12:45 on 05/15 and remained offline for rest of the month.The Operations team received information that the site was scheduled for shutdown and will remain offline until further notice</t>
  </si>
  <si>
    <t>1.SR101516</t>
  </si>
  <si>
    <t>1.Inverter 6 experiencing multiple tripping events throughout the month and reporting "Fault to stop The Grid Interference Protection. Waiting on Catalyze response.
2.Site tripped offline at 13:30 on 05/15 and remained offline for rest of the month.The Operations team received information that the site was scheduled for shutdown and will remain offline until further notice</t>
  </si>
  <si>
    <t>1.SR098463
2.SR101517</t>
  </si>
  <si>
    <t>SR101517</t>
  </si>
  <si>
    <t>1. Site production was low on 05/02, 05/04, 05/06, 05/09, 05/10 due to rain.</t>
  </si>
  <si>
    <t>1.On 04/23, the technician identified thermal damage to Inverter 1 and several PV strings. The affected inverter and PV strings were isolated. Inverter 1 was replaced on 05/09, and has been performing as expected since the replacement
2.Inverter 3 is producing less power  between 11:00 to 14:30 starting from 05/08/25 possibly due to shading on some of the panels.Waiting for the client approval to dispatch</t>
  </si>
  <si>
    <t>1.SR100043
2.SR101794</t>
  </si>
  <si>
    <t>SR101794</t>
  </si>
  <si>
    <t xml:space="preserve">1.Inverter 7 middle unit tripped offline at 09:00 on 05/12 and reporting an " Ground Current - RCD "and was back online at 07:00 on 05/21. Its right unit was tripped off at 12:15 on 05/22,technician checked in on 05/23 and stated that there was 1 blown fuse in the right unit and replaced it after that it was back online at 12:15 on 05/23.
2.Inverter 6 was offline since 05/23/25 after technician checked in he stated that it will remain offline untill the parts are replaced.
3.Inverter 3 right unit was tripped offline at 12:15 on 05/22 after technician checked in on 05/23 he replaced the Rma'd right now after which all the units are producing as they should.
4. Inverter 11 central unit has been RMA'd from 03/31. Pending shipment - case 5655526 and the provided RMA number is R2025041717074141.
</t>
  </si>
  <si>
    <t>1.SR101758
2.SR099915
3.SR099672
4.SR098878</t>
  </si>
  <si>
    <t>1.Site tripped offline at 12:30 on 05/15, meter 2 voltages dropped to zero but meter 1 voltages are available remained same through out the month
2.Inverter 3.3 is intermittently derating by 20 kW since 05/03
3. Inverters 1.7 and 2.7 were offline at 16:37 on 05/10 and were back online at 10:15 on 05/11
4. Site tripped offline at 16:38 on 05/10, meter voltages dropped to zero. Recloser voltages are available and was back online at 18:00 CDT on the same day.</t>
  </si>
  <si>
    <t>1.SR101493
2.SR101392
3.SR101275
4.SR101271</t>
  </si>
  <si>
    <t>SR101392</t>
  </si>
  <si>
    <t>SR101275</t>
  </si>
  <si>
    <t>SR101271</t>
  </si>
  <si>
    <t>June Actual v. Expected</t>
  </si>
  <si>
    <t>June Actual v. Forecasted</t>
  </si>
  <si>
    <t>1.SR102597, SR098835</t>
  </si>
  <si>
    <t>1. Inverter 1 is underperforming by ~10kW and is not communicating to SMA portal. Inverter 21 underperforming by ~10kW consistently and ~20kW during high irradiance days. Site was shut down on 06/18 at 10:15am due to transformer issue till the date
2. inverter 5 tripped offline on 6/15/25 at 13:00 through out the month
3. No forcasted data available from 03/27 as Aderis was doing backend work.</t>
  </si>
  <si>
    <t>1.SR102554
2.SR103010</t>
  </si>
  <si>
    <t>SR103010</t>
  </si>
  <si>
    <t>1. Site tripped offline at 13:00 on 06/20 and later back online at 10:15 on 06/21
2.Site tripped offline at 12:00pm on 06/23 and later back online by remote reset at 16:00 on 06/24
3. Technician de-energised the site on 06/16 from 09:00 am to 10:45am to clean the filters 
4. CB 2 String 9, CB 4 Strings 5 &amp; 6, CB8 Strings 9 &amp;11, CB20 String 2 were offline from 06/01 to 06/03 and CB 2 String 3 remained offline</t>
  </si>
  <si>
    <t>1.SR103231
2.SR103350
3. SR102941
4. SR102312, SR102586</t>
  </si>
  <si>
    <t>SR103350</t>
  </si>
  <si>
    <t>SR102941</t>
  </si>
  <si>
    <t>SR102312</t>
  </si>
  <si>
    <t>SR102586</t>
  </si>
  <si>
    <t>1.Inverter 10 is starting up late. Reporting PV abnormal input - Protect0260 through out the month and inverter 10 was offline on 06/26.
2.Inverter 7 is tripping on and offline on 06/01 later back to normal operation on 06/03</t>
  </si>
  <si>
    <t>1.SR103596
2.SR102260</t>
  </si>
  <si>
    <t>SR102260</t>
  </si>
  <si>
    <t>1. Low production/generation due to  low irradiance on 06/07, 06/09, 06/10, 06/14, 06/17, 06/18, 06/26</t>
  </si>
  <si>
    <t>1.Inverter 3 right unit is offline from 05/01 at 15:00, inverter was kept offline from 05/29 at 13:00 and  being RMA'd. through out the month</t>
  </si>
  <si>
    <t>1. Low production/generation due to  low irradiance on 06/07, 06/09, 06/10, 06/14, 06/17, 06/18, 06/26, 06/27</t>
  </si>
  <si>
    <t>1.CB (DC zones 2 and 3) are showing 0 values from 06/16
2.SEL relay tripped open  at 22:45 0n 06/05 and back online at 09:00 on 06/06 and again tripped offline between 01:15 to 08:45 on 06/07 and again tripped offline at 18:45 on 06/07 and back online at 08:00 on 06/08 and again tripped offline at 17:30 on 06/14 and back online at 10:15 on 06/16
3. Tracker position 2 has been stuck at 0.99 degrees from 06/06</t>
  </si>
  <si>
    <t>1.SR102452
2.SR102558
3.SR102830, SR103022</t>
  </si>
  <si>
    <t>SR102558</t>
  </si>
  <si>
    <t>SR102830</t>
  </si>
  <si>
    <t>SR103022</t>
  </si>
  <si>
    <t>1. All inverters went offline at 20:45 on 06/05 due to a "Fault: Loss of Main - GridV.OutLim" and came back online at 15:30 on 06/06.
2. Inverter 1.5 has been derating at 32.6 kW since 11:45 on 06/10 due to an "Inverter Current Imbalance" and resumed normal production along with its peers at 15:00 on 06/24.
3. Site tripped offline at 11:15 on 06/11 and later came back online at 16:39 on 06/12.
4.Inverter 2.6 has been constantly derating at 2.90 kW since 06/14, and the inverter is being RMA’d.</t>
  </si>
  <si>
    <t>1. SR102589
2. SR102778
3. SR102827
4. SR100368, SR102999, SR103566</t>
  </si>
  <si>
    <t>SR102778</t>
  </si>
  <si>
    <t>SR102827</t>
  </si>
  <si>
    <t>SR100368</t>
  </si>
  <si>
    <t>SR102999</t>
  </si>
  <si>
    <t>SR103566</t>
  </si>
  <si>
    <t>1. All inverters went offline at 20:45 on 06/05 due to a "Fault: Loss of Main - GridV.OutLim" and came back online at 15:30 on 06/06.
2. Site tripped offline at 11:32 on 06/11 and later came back online at 16:42 on 06/12.
3. Inverters 4.6 and 4.8 have been offline since 06/26 due to "Fault Bus Sum High Fault - Fault0130".</t>
  </si>
  <si>
    <t>1. SR102588
2. SR102828
3. SR103584</t>
  </si>
  <si>
    <t>SR102828</t>
  </si>
  <si>
    <t>SR103584</t>
  </si>
  <si>
    <t>1. Inverter 7 was underproduced 10 kW lower than the other inverters from 05/02 to 06/26.</t>
  </si>
  <si>
    <t>1. SR100904</t>
  </si>
  <si>
    <t>1. The site tripped offline at 12:45 on 05/15 and will remain offline until further notice.</t>
  </si>
  <si>
    <t>1. SR101516</t>
  </si>
  <si>
    <t>1. The site tripped offline at 13:30 on 05/15 and will remain offline until further notice.</t>
  </si>
  <si>
    <t>1. SR101517</t>
  </si>
  <si>
    <t xml:space="preserve">1. Site was offline from 14:00 on 06/22 to 10:00 on 06/23.
2. Site was offline from 23:00 on 06/27 to 15:00 on 06/30. </t>
  </si>
  <si>
    <t>1. SR103278
2. PM8453, SR103928</t>
  </si>
  <si>
    <t>SR103928</t>
  </si>
  <si>
    <t>1. Inverter 3 is producing less power  between 11:00 to 14:30 starting from 05/08.</t>
  </si>
  <si>
    <t>1. SR101794, SR103308</t>
  </si>
  <si>
    <t>SR103308</t>
  </si>
  <si>
    <t>1. Inverter 11 central unit has been RMA'd from 03/31.
2. Inverter 6 had been offline since 05/23 and came back online, resuming production from 06/24 after a firmware update.
3. The middle unit of Inverter 7 has been experiencing frequent trip events since 05/15 and is currently being RMA’d.
4. Inverter 1 went offline on 06/14 due to a "Grid Voltage" issue and came back online at 13:15 on 06/21 and inverter was underproduced 35kW from 06/21 to 06/23.
5. Inverter 7 center unit was being RMA'd.</t>
  </si>
  <si>
    <t>1. SR098878
2. SR099915
3. SR101758
4. SR102980
5. SR101758</t>
  </si>
  <si>
    <t>SR101758</t>
  </si>
  <si>
    <t>SR102980</t>
  </si>
  <si>
    <t>1.The site tripped offline at 12:30 on 05/15 and will remain offline until further notice.</t>
  </si>
  <si>
    <t>1. SR101493</t>
  </si>
  <si>
    <t>July Actual v. Expected</t>
  </si>
  <si>
    <t>July Actual v. Forecasted</t>
  </si>
  <si>
    <t>1. Inverter 5 has experienced multiple tripping events since 12/30 due to a "Fault to Stop DC Wrong Polarity". Inverter being RMA'D</t>
  </si>
  <si>
    <t>1.SR102597</t>
  </si>
  <si>
    <t xml:space="preserve"> 1. Site was shut down on 06/18 at 10:15am due to transformer issue till the date
2. No forcasted data available from 03/27 after Aderis has done some backend work.</t>
  </si>
  <si>
    <t xml:space="preserve">1.SR102554
</t>
  </si>
  <si>
    <t>1. Inverter tripped offline at 17:15 on 07/27 and later backonline at 08:30 on 07/28</t>
  </si>
  <si>
    <t>1.SR105137</t>
  </si>
  <si>
    <t>1. Low production/generation due to  low irradiance on 07/09, 07/10, 07/27</t>
  </si>
  <si>
    <t xml:space="preserve">1. Inverter 3 was kept offline from 05/29 at 13:00 and  being RMA'd. </t>
  </si>
  <si>
    <t>1.Tracker 2 is currently stuck at 1.25 DEG from 06/13</t>
  </si>
  <si>
    <t>1.SR103022</t>
  </si>
  <si>
    <t>1.Inverter 2.6 has tripping offline since 06/11, and the inverter is being RMA’d. Inverter 2.4 has been experiencing mid-morning/early afternoon trip events and staying offline since 6/28
2.Site tripped offline at 09:11AM on 07/06 and back online 08:45 on 07/07</t>
  </si>
  <si>
    <t>1.SR103842
2.SR104049</t>
  </si>
  <si>
    <t>SR104049</t>
  </si>
  <si>
    <t>1.Site tripped offline at 09:11AM on 07/06 and back online 08:45 on 07/07
2.Inverters 4.6 and 4.8 have been offline since 06/26 due to "Fault Bus Sum High Fault - Fault0130".
3.Inverter 4.9  has mutliple tripping event from 07/26
4.Inverter 4.3 is derating at 35kW from 07/28 at 11:00 and offline on 07/20</t>
  </si>
  <si>
    <t>1.SR104050
2.SR103584
3.SR105109
4.SR105181</t>
  </si>
  <si>
    <t>SR105109</t>
  </si>
  <si>
    <t>SR105181</t>
  </si>
  <si>
    <t>-</t>
  </si>
  <si>
    <t>1.SR101516,SR104969</t>
  </si>
  <si>
    <t>SR104969</t>
  </si>
  <si>
    <t>1.SR101517,SR104968</t>
  </si>
  <si>
    <t>SR104968</t>
  </si>
  <si>
    <t>1.Site tripped offline at 14:29 on 07/04 and back online at 13:15 on 07/06
2.Site tripped offline at 05:00 on 07/08 and back online at 06:30 on 07/09
3.Site tripped offline at 12:30 on 07/20 and back online at 12:15 on 07/21</t>
  </si>
  <si>
    <t>1.SR104026
2.SR104133
3.SR104663</t>
  </si>
  <si>
    <t>SR104133</t>
  </si>
  <si>
    <t>SR104663</t>
  </si>
  <si>
    <t>1.Inverter 3 middle unit and right unit tripped offline on 07/01 at 16:00 and back online on 07/14
2.Inverter 10 tripped offline at 14:30 on 07/17 and offline throught the month
3. Inverter 7 tripped offline at 06:30 on 07/21 and back online on 07/27
4. inverter 4 unit 4.2 was tripped offline on 04/13 at 12:15 and back online at 11:00 on 07/29
5. Inverter 11 center unit was offline from 03/31 to 12:30 on 07/29. Since 07/29 inverter 11 was underperforming due to string 3 of the left unit requires additional troubleshooting</t>
  </si>
  <si>
    <t>1.SR104022
2.SR104573
3.SR104743
4.SR105104
5. SR098878, SR104573</t>
  </si>
  <si>
    <t>SR104573</t>
  </si>
  <si>
    <t>SR104743</t>
  </si>
  <si>
    <t>SR105104</t>
  </si>
  <si>
    <t>1.SR101493</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</si>
  <si>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</si>
  <si>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</si>
  <si>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</si>
  <si>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</si>
  <si>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</si>
  <si>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</si>
  <si>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</si>
  <si>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</si>
  <si>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</si>
  <si>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</si>
  <si>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</si>
  <si>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Catalyze</t>
  </si>
  <si>
    <t>Site DAS Name</t>
  </si>
  <si>
    <t>Update</t>
  </si>
  <si>
    <t>DAS</t>
  </si>
  <si>
    <t>CA Fresno - 3150 Shaw Ave - 19600 [T0275]</t>
  </si>
  <si>
    <t>Fresno - 3150 Shaw Ave</t>
  </si>
  <si>
    <t>CA</t>
  </si>
  <si>
    <t>AEF</t>
  </si>
  <si>
    <t>PowerTrack</t>
  </si>
  <si>
    <t>Sheep Creek Solar</t>
  </si>
  <si>
    <t>Adelanto - 1 Sheep Creek Road</t>
  </si>
  <si>
    <t>Aderis</t>
  </si>
  <si>
    <t>MA Blackstone - 83 Federal St - 18170</t>
  </si>
  <si>
    <t>Blackstone - 83 Federal Street</t>
  </si>
  <si>
    <t>MA</t>
  </si>
  <si>
    <t>MA Charlton - 299 Worcester Rd - 18063</t>
  </si>
  <si>
    <t>Charlton - 299 Worcester Road</t>
  </si>
  <si>
    <t>MA Wareham - 8 Thatcher Ln - 1010</t>
  </si>
  <si>
    <t>Wareham - 8 Thatcher Drive</t>
  </si>
  <si>
    <t>MA West Yarmouth - 42 Mid-Tech Drive - 17944</t>
  </si>
  <si>
    <t>West Yarmouth - 42 Mid Tech</t>
  </si>
  <si>
    <t>NY Harrison - 130 Union Ave - 18141</t>
  </si>
  <si>
    <t>Harrison - 130 Union Street</t>
  </si>
  <si>
    <t>NY</t>
  </si>
  <si>
    <t>NY Staten Island - 1 Ellis St - 18195</t>
  </si>
  <si>
    <t>Staten Island - Ellis Storage</t>
  </si>
  <si>
    <t>NY AMHERST 595 SCHOELLES RD - 18208</t>
  </si>
  <si>
    <t>Amherst - 595 Scholles Road</t>
  </si>
  <si>
    <t>NY LANCASTER GUNNVILLE RD - SHISLER RD Site 1 - 18237</t>
  </si>
  <si>
    <t>Lancaster 1 - Gunnville Road</t>
  </si>
  <si>
    <t>NY LANCASTER GUNNVILLE RD - SHISLER RD Site 2 - 18238</t>
  </si>
  <si>
    <t>Lancaster 2 - Shisler Road</t>
  </si>
  <si>
    <t>CA Fullerton - 200 W Orangethorpe - 19603 [T1418]</t>
  </si>
  <si>
    <t>Fullerton - 200 W Orangethorpe</t>
  </si>
  <si>
    <t>TX El Paso - 10500 Railroad Drive - 19648</t>
  </si>
  <si>
    <t>El Paso - 10500 Railroad Drive</t>
  </si>
  <si>
    <t>TX</t>
  </si>
  <si>
    <t>TX Friona - 900 Millard Ave - 19506</t>
  </si>
  <si>
    <t>Friona - 900 Millard Ave</t>
  </si>
  <si>
    <t>ME Augusta - 13 York Farm Rd - 18196</t>
  </si>
  <si>
    <t>Augusta - 13 York Farm Road</t>
  </si>
  <si>
    <t>ME</t>
  </si>
  <si>
    <t>CA Santa Ana - 1441 W 17th St - 21198 [T1936]</t>
  </si>
  <si>
    <t xml:space="preserve">Santa Ana - 1441 West </t>
  </si>
  <si>
    <t>MD Jessup 7950 Oceano Ave - 22337</t>
  </si>
  <si>
    <t>Jessup -7950 Oceano Ave</t>
  </si>
  <si>
    <t>MD</t>
  </si>
  <si>
    <t>TX Ft Worth - 5200 Goldspike Drive - 19599</t>
  </si>
  <si>
    <t xml:space="preserve">TX: Fort Worth - 5200 Gold Spike Dr </t>
  </si>
  <si>
    <t>NY: Clifton Springs - Ontario 2 (21597)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</si>
</sst>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1">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
      <b/>
      <sz val="11"/>
      <color rgb="FF000000"/>
      <name val="Calibri"/>
      <family val="2"/>
    </font>
    <font>
      <sz val="8"/>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top/>
      <bottom style="thin">
        <color rgb="FF000000"/>
      </bottom>
      <diagonal/>
    </border>
    <border>
      <left style="thin">
        <color auto="1"/>
      </left>
      <right style="thin">
        <color auto="1"/>
      </right>
      <top style="thin">
        <color auto="1"/>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103">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49" fontId="29" fillId="0" borderId="0" xfId="0" applyNumberFormat="1" applyFont="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164" fontId="29" fillId="0" borderId="0" xfId="1" applyNumberFormat="1" applyFont="1" applyFill="1" applyBorder="1" applyAlignment="1">
      <alignment horizontal="center" vertical="center"/>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3" fontId="31" fillId="0" borderId="1" xfId="1" applyNumberFormat="1" applyFont="1" applyFill="1" applyBorder="1" applyAlignment="1">
      <alignment horizontal="right" vertical="center" wrapText="1"/>
    </xf>
    <xf numFmtId="3" fontId="31" fillId="0" borderId="1" xfId="1" applyNumberFormat="1" applyFont="1" applyBorder="1" applyAlignment="1">
      <alignment vertical="center"/>
    </xf>
    <xf numFmtId="49" fontId="36" fillId="38" borderId="1" xfId="2" applyNumberFormat="1" applyFont="1" applyFill="1" applyBorder="1" applyAlignment="1">
      <alignment horizontal="left" vertical="top"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0" fontId="23" fillId="0" borderId="0" xfId="43" applyFont="1" applyAlignment="1">
      <alignment horizontal="left" wrapText="1"/>
    </xf>
    <xf numFmtId="0" fontId="23" fillId="0" borderId="0" xfId="43" applyFont="1"/>
    <xf numFmtId="164" fontId="29" fillId="0" borderId="1" xfId="1" applyNumberFormat="1" applyFont="1" applyBorder="1" applyAlignment="1">
      <alignment horizontal="center" vertical="center" wrapText="1"/>
    </xf>
    <xf numFmtId="49" fontId="28" fillId="0" borderId="1" xfId="0" applyNumberFormat="1" applyFont="1" applyBorder="1" applyAlignment="1">
      <alignment vertical="top" wrapText="1"/>
    </xf>
    <xf numFmtId="0" fontId="37" fillId="0" borderId="0" xfId="0" applyFont="1" applyAlignment="1">
      <alignment horizontal="left" vertical="top" wrapText="1"/>
    </xf>
    <xf numFmtId="49" fontId="31" fillId="38" borderId="1" xfId="2" applyNumberFormat="1" applyFont="1" applyFill="1" applyBorder="1" applyAlignment="1">
      <alignment horizontal="left" vertical="top" wrapText="1"/>
    </xf>
    <xf numFmtId="9" fontId="31" fillId="37" borderId="11" xfId="2" applyFont="1" applyFill="1" applyBorder="1" applyAlignment="1">
      <alignment horizontal="center" vertical="center"/>
    </xf>
    <xf numFmtId="49" fontId="29" fillId="0" borderId="11" xfId="0" applyNumberFormat="1" applyFont="1" applyBorder="1" applyAlignment="1">
      <alignment vertical="center" wrapText="1"/>
    </xf>
    <xf numFmtId="49" fontId="38" fillId="38" borderId="1" xfId="45" applyNumberFormat="1" applyFill="1" applyBorder="1" applyAlignment="1">
      <alignment vertical="top" wrapText="1"/>
    </xf>
    <xf numFmtId="49" fontId="38" fillId="0" borderId="1" xfId="45" applyNumberFormat="1" applyBorder="1" applyAlignment="1">
      <alignment horizontal="left" vertical="top" wrapText="1"/>
    </xf>
    <xf numFmtId="0" fontId="38" fillId="0" borderId="0" xfId="45"/>
    <xf numFmtId="49" fontId="38" fillId="0" borderId="1" xfId="45" applyNumberFormat="1" applyBorder="1" applyAlignment="1">
      <alignment vertical="top" wrapText="1"/>
    </xf>
    <xf numFmtId="0" fontId="0" fillId="0" borderId="0" xfId="0" applyAlignment="1">
      <alignment horizontal="left" vertical="top"/>
    </xf>
    <xf numFmtId="0" fontId="38" fillId="0" borderId="0" xfId="45" applyAlignment="1">
      <alignment horizontal="left" vertical="top"/>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left" vertical="top" wrapText="1"/>
    </xf>
    <xf numFmtId="0" fontId="3" fillId="0" borderId="0" xfId="0" applyFont="1"/>
    <xf numFmtId="0" fontId="24" fillId="0" borderId="12" xfId="0" applyFont="1" applyBorder="1" applyAlignment="1">
      <alignment wrapText="1"/>
    </xf>
    <xf numFmtId="49" fontId="24" fillId="0" borderId="1" xfId="0" applyNumberFormat="1" applyFont="1" applyBorder="1" applyAlignment="1">
      <alignment horizontal="left" vertical="top" wrapText="1"/>
    </xf>
    <xf numFmtId="3" fontId="31" fillId="0" borderId="14" xfId="0" applyNumberFormat="1" applyFont="1" applyBorder="1" applyAlignment="1">
      <alignment horizontal="right" vertical="center"/>
    </xf>
    <xf numFmtId="3" fontId="31" fillId="0" borderId="15" xfId="1" applyNumberFormat="1" applyFont="1" applyFill="1" applyBorder="1" applyAlignment="1">
      <alignment vertical="center"/>
    </xf>
    <xf numFmtId="9" fontId="31" fillId="3" borderId="11" xfId="2" applyFont="1" applyFill="1" applyBorder="1" applyAlignment="1">
      <alignment horizontal="center" vertical="center"/>
    </xf>
    <xf numFmtId="9" fontId="31" fillId="0" borderId="16" xfId="2" applyFont="1" applyFill="1" applyBorder="1" applyAlignment="1">
      <alignment horizontal="center" vertical="center"/>
    </xf>
    <xf numFmtId="49" fontId="38" fillId="0" borderId="13" xfId="45" applyNumberFormat="1" applyBorder="1" applyAlignment="1">
      <alignment vertical="top" wrapText="1"/>
    </xf>
    <xf numFmtId="49" fontId="29" fillId="0" borderId="1" xfId="0" applyNumberFormat="1" applyFont="1" applyBorder="1" applyAlignment="1">
      <alignment vertical="top" wrapText="1"/>
    </xf>
    <xf numFmtId="49" fontId="38" fillId="38" borderId="1" xfId="45" applyNumberFormat="1" applyFill="1" applyBorder="1" applyAlignment="1">
      <alignment horizontal="left" vertical="top" wrapText="1"/>
    </xf>
    <xf numFmtId="14" fontId="38" fillId="0" borderId="0" xfId="45" applyNumberFormat="1"/>
    <xf numFmtId="49" fontId="29" fillId="0" borderId="1" xfId="0" applyNumberFormat="1" applyFont="1" applyBorder="1" applyAlignment="1">
      <alignment horizontal="left" vertical="center" wrapText="1"/>
    </xf>
    <xf numFmtId="49" fontId="28" fillId="0" borderId="1" xfId="0" applyNumberFormat="1" applyFont="1" applyBorder="1" applyAlignment="1">
      <alignment horizontal="left" vertical="center" wrapText="1"/>
    </xf>
    <xf numFmtId="164" fontId="33" fillId="0" borderId="0" xfId="0" applyNumberFormat="1" applyFont="1"/>
    <xf numFmtId="9" fontId="31" fillId="0" borderId="1" xfId="2" applyFont="1" applyBorder="1" applyAlignment="1">
      <alignment horizontal="center" vertical="center"/>
    </xf>
    <xf numFmtId="0" fontId="24" fillId="0" borderId="0" xfId="0" applyFont="1"/>
    <xf numFmtId="0" fontId="24" fillId="0" borderId="0" xfId="0" applyFont="1" applyAlignment="1">
      <alignment horizontal="left" vertical="top" wrapText="1"/>
    </xf>
    <xf numFmtId="49" fontId="38" fillId="0" borderId="1" xfId="45" applyNumberFormat="1" applyBorder="1" applyAlignment="1">
      <alignment horizontal="left" vertical="center"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5">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2" totalsRowShown="0">
  <autoFilter ref="A3:E22"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796" TargetMode="External"/><Relationship Id="rId13" Type="http://schemas.openxmlformats.org/officeDocument/2006/relationships/hyperlink" Target="https://us3.assetplanner.com/service_request?ID=095896" TargetMode="External"/><Relationship Id="rId18" Type="http://schemas.openxmlformats.org/officeDocument/2006/relationships/hyperlink" Target="https://us3.assetplanner.com/service_request?ID=096170" TargetMode="External"/><Relationship Id="rId3" Type="http://schemas.openxmlformats.org/officeDocument/2006/relationships/hyperlink" Target="https://us3.assetplanner.com/service_request?ID=095414" TargetMode="External"/><Relationship Id="rId21" Type="http://schemas.openxmlformats.org/officeDocument/2006/relationships/printerSettings" Target="../printerSettings/printerSettings3.bin"/><Relationship Id="rId7" Type="http://schemas.openxmlformats.org/officeDocument/2006/relationships/hyperlink" Target="https://us3.assetplanner.com/service_request?ID=095641" TargetMode="External"/><Relationship Id="rId12" Type="http://schemas.openxmlformats.org/officeDocument/2006/relationships/hyperlink" Target="https://us3.assetplanner.com/service_request?ID=086960" TargetMode="External"/><Relationship Id="rId17" Type="http://schemas.openxmlformats.org/officeDocument/2006/relationships/hyperlink" Target="https://us3.assetplanner.com/service_request?ID=096058" TargetMode="External"/><Relationship Id="rId2" Type="http://schemas.openxmlformats.org/officeDocument/2006/relationships/hyperlink" Target="https://us3.assetplanner.com/service_request?ID=092431" TargetMode="External"/><Relationship Id="rId16" Type="http://schemas.openxmlformats.org/officeDocument/2006/relationships/hyperlink" Target="https://us3.assetplanner.com/service_request?ID=095996" TargetMode="External"/><Relationship Id="rId20" Type="http://schemas.openxmlformats.org/officeDocument/2006/relationships/hyperlink" Target="https://us3.assetplanner.com/service_request?ID=096047" TargetMode="External"/><Relationship Id="rId1" Type="http://schemas.openxmlformats.org/officeDocument/2006/relationships/hyperlink" Target="https://us3.assetplanner.com/service_request?ID=094993" TargetMode="External"/><Relationship Id="rId6" Type="http://schemas.openxmlformats.org/officeDocument/2006/relationships/hyperlink" Target="https://us3.assetplanner.com/service_request?ID=095598" TargetMode="External"/><Relationship Id="rId11" Type="http://schemas.openxmlformats.org/officeDocument/2006/relationships/hyperlink" Target="https://us3.assetplanner.com/service_request?ID=096061" TargetMode="External"/><Relationship Id="rId5" Type="http://schemas.openxmlformats.org/officeDocument/2006/relationships/hyperlink" Target="https://us3.assetplanner.com/service_request?ID=096049" TargetMode="External"/><Relationship Id="rId15" Type="http://schemas.openxmlformats.org/officeDocument/2006/relationships/hyperlink" Target="https://us3.assetplanner.com/service_request?ID=095454" TargetMode="External"/><Relationship Id="rId10" Type="http://schemas.openxmlformats.org/officeDocument/2006/relationships/hyperlink" Target="https://us3.assetplanner.com/service_request?ID=096060" TargetMode="External"/><Relationship Id="rId19" Type="http://schemas.openxmlformats.org/officeDocument/2006/relationships/hyperlink" Target="https://us3.assetplanner.com/service_request?ID=093503" TargetMode="External"/><Relationship Id="rId4" Type="http://schemas.openxmlformats.org/officeDocument/2006/relationships/hyperlink" Target="https://us3.assetplanner.com/service_request?ID=096016" TargetMode="External"/><Relationship Id="rId9" Type="http://schemas.openxmlformats.org/officeDocument/2006/relationships/hyperlink" Target="https://us3.assetplanner.com/service_request?ID=095973" TargetMode="External"/><Relationship Id="rId14" Type="http://schemas.openxmlformats.org/officeDocument/2006/relationships/hyperlink" Target="https://us3.assetplanner.com/service_request?ID=095842"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81303" TargetMode="External"/><Relationship Id="rId13" Type="http://schemas.openxmlformats.org/officeDocument/2006/relationships/hyperlink" Target="https://us3.assetplanner.com/service_request?ID=093503" TargetMode="External"/><Relationship Id="rId3" Type="http://schemas.openxmlformats.org/officeDocument/2006/relationships/hyperlink" Target="https://us3.assetplanner.com/service_request?ID=097172" TargetMode="External"/><Relationship Id="rId7" Type="http://schemas.openxmlformats.org/officeDocument/2006/relationships/hyperlink" Target="https://us3.assetplanner.com/service_request?ID=096554" TargetMode="External"/><Relationship Id="rId12" Type="http://schemas.openxmlformats.org/officeDocument/2006/relationships/hyperlink" Target="https://us3.assetplanner.com/service_request?ID=096170" TargetMode="External"/><Relationship Id="rId17" Type="http://schemas.openxmlformats.org/officeDocument/2006/relationships/hyperlink" Target="https://us3.assetplanner.com/service_request?ID=097900" TargetMode="External"/><Relationship Id="rId2" Type="http://schemas.openxmlformats.org/officeDocument/2006/relationships/hyperlink" Target="https://us3.assetplanner.com/service_request?ID=094993" TargetMode="External"/><Relationship Id="rId16" Type="http://schemas.openxmlformats.org/officeDocument/2006/relationships/hyperlink" Target="https://us3.assetplanner.com/service_request?ID=097940" TargetMode="External"/><Relationship Id="rId1" Type="http://schemas.openxmlformats.org/officeDocument/2006/relationships/hyperlink" Target="https://us3.assetplanner.com/service_request?ID=096333" TargetMode="External"/><Relationship Id="rId6" Type="http://schemas.openxmlformats.org/officeDocument/2006/relationships/hyperlink" Target="https://us3.assetplanner.com/service_request?ID=097916" TargetMode="External"/><Relationship Id="rId11" Type="http://schemas.openxmlformats.org/officeDocument/2006/relationships/hyperlink" Target="https://us3.assetplanner.com/service_request?ID=097837" TargetMode="External"/><Relationship Id="rId5" Type="http://schemas.openxmlformats.org/officeDocument/2006/relationships/hyperlink" Target="https://us3.assetplanner.com/service_request?ID=096016" TargetMode="External"/><Relationship Id="rId15" Type="http://schemas.openxmlformats.org/officeDocument/2006/relationships/hyperlink" Target="https://us3.assetplanner.com/service_request?ID=097878" TargetMode="External"/><Relationship Id="rId10" Type="http://schemas.openxmlformats.org/officeDocument/2006/relationships/hyperlink" Target="https://us3.assetplanner.com/service_request?ID=097208" TargetMode="External"/><Relationship Id="rId4" Type="http://schemas.openxmlformats.org/officeDocument/2006/relationships/hyperlink" Target="https://us3.assetplanner.com/service_request?ID=096178" TargetMode="External"/><Relationship Id="rId9" Type="http://schemas.openxmlformats.org/officeDocument/2006/relationships/hyperlink" Target="https://us3.assetplanner.com/service_request?ID=096212" TargetMode="External"/><Relationship Id="rId14" Type="http://schemas.openxmlformats.org/officeDocument/2006/relationships/hyperlink" Target="https://us3.assetplanner.com/service_request?ID=096047"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us3.assetplanner.com/service_request?ID=098032" TargetMode="External"/><Relationship Id="rId18" Type="http://schemas.openxmlformats.org/officeDocument/2006/relationships/hyperlink" Target="https://us3.assetplanner.com/service_request?ID=098886" TargetMode="External"/><Relationship Id="rId26" Type="http://schemas.openxmlformats.org/officeDocument/2006/relationships/hyperlink" Target="https://us3.assetplanner.com/service_request?ID=098463" TargetMode="External"/><Relationship Id="rId39" Type="http://schemas.openxmlformats.org/officeDocument/2006/relationships/hyperlink" Target="https://us3.assetplanner.com/service_request?ID=097911" TargetMode="External"/><Relationship Id="rId21" Type="http://schemas.openxmlformats.org/officeDocument/2006/relationships/hyperlink" Target="https://us3.assetplanner.com/service_request?ID=098345" TargetMode="External"/><Relationship Id="rId34" Type="http://schemas.openxmlformats.org/officeDocument/2006/relationships/hyperlink" Target="https://us3.assetplanner.com/service_request?ID=098953" TargetMode="External"/><Relationship Id="rId7" Type="http://schemas.openxmlformats.org/officeDocument/2006/relationships/hyperlink" Target="https://us3.assetplanner.com/service_request?ID=098553" TargetMode="External"/><Relationship Id="rId12" Type="http://schemas.openxmlformats.org/officeDocument/2006/relationships/hyperlink" Target="https://us3.assetplanner.com/service_request?ID=099181" TargetMode="External"/><Relationship Id="rId17" Type="http://schemas.openxmlformats.org/officeDocument/2006/relationships/hyperlink" Target="https://us3.assetplanner.com/service_request?ID=098595" TargetMode="External"/><Relationship Id="rId25" Type="http://schemas.openxmlformats.org/officeDocument/2006/relationships/hyperlink" Target="https://us3.assetplanner.com/service_request?ID=098064" TargetMode="External"/><Relationship Id="rId33" Type="http://schemas.openxmlformats.org/officeDocument/2006/relationships/hyperlink" Target="https://us3.assetplanner.com/service_request?ID=099098" TargetMode="External"/><Relationship Id="rId38" Type="http://schemas.openxmlformats.org/officeDocument/2006/relationships/hyperlink" Target="https://us3.assetplanner.com/service_request?ID=098236" TargetMode="External"/><Relationship Id="rId2" Type="http://schemas.openxmlformats.org/officeDocument/2006/relationships/hyperlink" Target="https://us3.assetplanner.com/service_request?ID=098835" TargetMode="External"/><Relationship Id="rId16" Type="http://schemas.openxmlformats.org/officeDocument/2006/relationships/hyperlink" Target="https://us3.assetplanner.com/service_request?ID=098919" TargetMode="External"/><Relationship Id="rId20" Type="http://schemas.openxmlformats.org/officeDocument/2006/relationships/hyperlink" Target="https://us3.assetplanner.com/service_request?ID=099115" TargetMode="External"/><Relationship Id="rId29" Type="http://schemas.openxmlformats.org/officeDocument/2006/relationships/hyperlink" Target="https://us3.assetplanner.com/service_request?ID=098878" TargetMode="External"/><Relationship Id="rId1" Type="http://schemas.openxmlformats.org/officeDocument/2006/relationships/hyperlink" Target="https://us3.assetplanner.com/service_request?ID=096333" TargetMode="External"/><Relationship Id="rId6" Type="http://schemas.openxmlformats.org/officeDocument/2006/relationships/hyperlink" Target="https://us3.assetplanner.com/service_request?ID=098032" TargetMode="External"/><Relationship Id="rId11" Type="http://schemas.openxmlformats.org/officeDocument/2006/relationships/hyperlink" Target="https://us3.assetplanner.com/service_request?ID=084901" TargetMode="External"/><Relationship Id="rId24" Type="http://schemas.openxmlformats.org/officeDocument/2006/relationships/hyperlink" Target="https://us3.assetplanner.com/service_request?ID=098406" TargetMode="External"/><Relationship Id="rId32" Type="http://schemas.openxmlformats.org/officeDocument/2006/relationships/hyperlink" Target="https://us3.assetplanner.com/service_request?ID=097900" TargetMode="External"/><Relationship Id="rId37" Type="http://schemas.openxmlformats.org/officeDocument/2006/relationships/hyperlink" Target="https://us3.assetplanner.com/service_request?ID=098887" TargetMode="External"/><Relationship Id="rId5" Type="http://schemas.openxmlformats.org/officeDocument/2006/relationships/hyperlink" Target="https://us3.assetplanner.com/service_request?ID=089076" TargetMode="External"/><Relationship Id="rId15" Type="http://schemas.openxmlformats.org/officeDocument/2006/relationships/hyperlink" Target="https://us3.assetplanner.com/service_request?ID=098257" TargetMode="External"/><Relationship Id="rId23" Type="http://schemas.openxmlformats.org/officeDocument/2006/relationships/hyperlink" Target="https://us3.assetplanner.com/service_request?ID=098011" TargetMode="External"/><Relationship Id="rId28" Type="http://schemas.openxmlformats.org/officeDocument/2006/relationships/hyperlink" Target="https://us3.assetplanner.com/service_request?ID=099184" TargetMode="External"/><Relationship Id="rId36" Type="http://schemas.openxmlformats.org/officeDocument/2006/relationships/hyperlink" Target="https://us3.assetplanner.com/service_request?ID=097879" TargetMode="External"/><Relationship Id="rId10" Type="http://schemas.openxmlformats.org/officeDocument/2006/relationships/hyperlink" Target="https://us3.assetplanner.com/service_request?ID=098752" TargetMode="External"/><Relationship Id="rId19" Type="http://schemas.openxmlformats.org/officeDocument/2006/relationships/hyperlink" Target="https://us3.assetplanner.com/service_request?ID=098982" TargetMode="External"/><Relationship Id="rId31" Type="http://schemas.openxmlformats.org/officeDocument/2006/relationships/hyperlink" Target="https://us3.assetplanner.com/service_request?ID=098236" TargetMode="External"/><Relationship Id="rId4" Type="http://schemas.openxmlformats.org/officeDocument/2006/relationships/hyperlink" Target="https://us3.assetplanner.com/service_request?ID=097992" TargetMode="External"/><Relationship Id="rId9" Type="http://schemas.openxmlformats.org/officeDocument/2006/relationships/hyperlink" Target="https://us3.assetplanner.com/service_request?ID=098706" TargetMode="External"/><Relationship Id="rId14" Type="http://schemas.openxmlformats.org/officeDocument/2006/relationships/hyperlink" Target="https://us3.assetplanner.com/service_request?ID=097972" TargetMode="External"/><Relationship Id="rId22" Type="http://schemas.openxmlformats.org/officeDocument/2006/relationships/hyperlink" Target="https://us3.assetplanner.com/service_request?ID=098941" TargetMode="External"/><Relationship Id="rId27" Type="http://schemas.openxmlformats.org/officeDocument/2006/relationships/hyperlink" Target="https://us3.assetplanner.com/service_request?ID=098579" TargetMode="External"/><Relationship Id="rId30" Type="http://schemas.openxmlformats.org/officeDocument/2006/relationships/hyperlink" Target="https://us3.assetplanner.com/service_request?ID=097900" TargetMode="External"/><Relationship Id="rId35" Type="http://schemas.openxmlformats.org/officeDocument/2006/relationships/hyperlink" Target="https://us3.assetplanner.com/service_request?ID=098236" TargetMode="External"/><Relationship Id="rId8" Type="http://schemas.openxmlformats.org/officeDocument/2006/relationships/hyperlink" Target="https://us3.assetplanner.com/service_request?ID=098032" TargetMode="External"/><Relationship Id="rId3" Type="http://schemas.openxmlformats.org/officeDocument/2006/relationships/hyperlink" Target="https://us3.assetplanner.com/service_request?ID=097877"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592" TargetMode="External"/><Relationship Id="rId13" Type="http://schemas.openxmlformats.org/officeDocument/2006/relationships/hyperlink" Target="https://us3.assetplanner.com/service_request?ID=100051" TargetMode="External"/><Relationship Id="rId18" Type="http://schemas.openxmlformats.org/officeDocument/2006/relationships/hyperlink" Target="https://us3.assetplanner.com/service_request?ID=098941" TargetMode="External"/><Relationship Id="rId26" Type="http://schemas.openxmlformats.org/officeDocument/2006/relationships/hyperlink" Target="https://us3.assetplanner.com/service_request?ID=099915" TargetMode="External"/><Relationship Id="rId3" Type="http://schemas.openxmlformats.org/officeDocument/2006/relationships/hyperlink" Target="https://us3.assetplanner.com/service_request?ID=099884" TargetMode="External"/><Relationship Id="rId21" Type="http://schemas.openxmlformats.org/officeDocument/2006/relationships/hyperlink" Target="https://us3.assetplanner.com/service_request?ID=098463" TargetMode="External"/><Relationship Id="rId7" Type="http://schemas.openxmlformats.org/officeDocument/2006/relationships/hyperlink" Target="https://us3.assetplanner.com/service_request?ID=099350" TargetMode="External"/><Relationship Id="rId12" Type="http://schemas.openxmlformats.org/officeDocument/2006/relationships/hyperlink" Target="https://us3.assetplanner.com/service_request?ID=099076" TargetMode="External"/><Relationship Id="rId17" Type="http://schemas.openxmlformats.org/officeDocument/2006/relationships/hyperlink" Target="https://us3.assetplanner.com/service_request?ID=098345" TargetMode="External"/><Relationship Id="rId25" Type="http://schemas.openxmlformats.org/officeDocument/2006/relationships/hyperlink" Target="https://us3.assetplanner.com/service_request?ID=099672" TargetMode="External"/><Relationship Id="rId2" Type="http://schemas.openxmlformats.org/officeDocument/2006/relationships/hyperlink" Target="https://us3.assetplanner.com/service_request?ID=100019" TargetMode="External"/><Relationship Id="rId16" Type="http://schemas.openxmlformats.org/officeDocument/2006/relationships/hyperlink" Target="https://us3.assetplanner.com/service_request?ID=099487" TargetMode="External"/><Relationship Id="rId20" Type="http://schemas.openxmlformats.org/officeDocument/2006/relationships/hyperlink" Target="https://us3.assetplanner.com/service_request?ID=099965" TargetMode="External"/><Relationship Id="rId29" Type="http://schemas.openxmlformats.org/officeDocument/2006/relationships/hyperlink" Target="https://us3.assetplanner.com/service_request?ID=100205" TargetMode="External"/><Relationship Id="rId1" Type="http://schemas.openxmlformats.org/officeDocument/2006/relationships/hyperlink" Target="https://us3.assetplanner.com/service_request?ID=098835" TargetMode="External"/><Relationship Id="rId6" Type="http://schemas.openxmlformats.org/officeDocument/2006/relationships/hyperlink" Target="https://us3.assetplanner.com/service_request?ID=099335" TargetMode="External"/><Relationship Id="rId11" Type="http://schemas.openxmlformats.org/officeDocument/2006/relationships/hyperlink" Target="https://us3.assetplanner.com/service_request?ID=100654" TargetMode="External"/><Relationship Id="rId24" Type="http://schemas.openxmlformats.org/officeDocument/2006/relationships/hyperlink" Target="https://us3.assetplanner.com/service_request?ID=099184" TargetMode="External"/><Relationship Id="rId5" Type="http://schemas.openxmlformats.org/officeDocument/2006/relationships/hyperlink" Target="https://us3.assetplanner.com/service_request?ID=099297" TargetMode="External"/><Relationship Id="rId15" Type="http://schemas.openxmlformats.org/officeDocument/2006/relationships/hyperlink" Target="https://us3.assetplanner.com/service_request?ID=098345" TargetMode="External"/><Relationship Id="rId23" Type="http://schemas.openxmlformats.org/officeDocument/2006/relationships/hyperlink" Target="https://us3.assetplanner.com/service_request?ID=098878" TargetMode="External"/><Relationship Id="rId28" Type="http://schemas.openxmlformats.org/officeDocument/2006/relationships/hyperlink" Target="https://us3.assetplanner.com/service_request?ID=099716" TargetMode="External"/><Relationship Id="rId10" Type="http://schemas.openxmlformats.org/officeDocument/2006/relationships/hyperlink" Target="https://us3.assetplanner.com/service_request?ID=100086" TargetMode="External"/><Relationship Id="rId19" Type="http://schemas.openxmlformats.org/officeDocument/2006/relationships/hyperlink" Target="https://us3.assetplanner.com/service_request?ID=099590" TargetMode="External"/><Relationship Id="rId4" Type="http://schemas.openxmlformats.org/officeDocument/2006/relationships/hyperlink" Target="https://us3.assetplanner.com/service_request?ID=100199" TargetMode="External"/><Relationship Id="rId9" Type="http://schemas.openxmlformats.org/officeDocument/2006/relationships/hyperlink" Target="https://us3.assetplanner.com/service_request?ID=100086" TargetMode="External"/><Relationship Id="rId14" Type="http://schemas.openxmlformats.org/officeDocument/2006/relationships/hyperlink" Target="https://us3.assetplanner.com/service_request?ID=099487" TargetMode="External"/><Relationship Id="rId22" Type="http://schemas.openxmlformats.org/officeDocument/2006/relationships/hyperlink" Target="https://us3.assetplanner.com/service_request?ID=100043" TargetMode="External"/><Relationship Id="rId27" Type="http://schemas.openxmlformats.org/officeDocument/2006/relationships/hyperlink" Target="https://us3.assetplanner.com/service_request?ID=099447" TargetMode="External"/><Relationship Id="rId30" Type="http://schemas.openxmlformats.org/officeDocument/2006/relationships/hyperlink" Target="https://us3.assetplanner.com/service_request?ID=100364"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100507" TargetMode="External"/><Relationship Id="rId18" Type="http://schemas.openxmlformats.org/officeDocument/2006/relationships/hyperlink" Target="https://us3.assetplanner.com/service_request?ID=101259" TargetMode="External"/><Relationship Id="rId26" Type="http://schemas.openxmlformats.org/officeDocument/2006/relationships/hyperlink" Target="https://us3.assetplanner.com/service_request?ID=101758" TargetMode="External"/><Relationship Id="rId3" Type="http://schemas.openxmlformats.org/officeDocument/2006/relationships/hyperlink" Target="https://us3.assetplanner.com/service_request?ID=100199" TargetMode="External"/><Relationship Id="rId21" Type="http://schemas.openxmlformats.org/officeDocument/2006/relationships/hyperlink" Target="https://us3.assetplanner.com/service_request?ID=101516" TargetMode="External"/><Relationship Id="rId7" Type="http://schemas.openxmlformats.org/officeDocument/2006/relationships/hyperlink" Target="https://us3.assetplanner.com/service_request?ID=101246" TargetMode="External"/><Relationship Id="rId12" Type="http://schemas.openxmlformats.org/officeDocument/2006/relationships/hyperlink" Target="https://us3.assetplanner.com/service_request?ID=100368" TargetMode="External"/><Relationship Id="rId17" Type="http://schemas.openxmlformats.org/officeDocument/2006/relationships/hyperlink" Target="https://us3.assetplanner.com/service_request?ID=099959" TargetMode="External"/><Relationship Id="rId25" Type="http://schemas.openxmlformats.org/officeDocument/2006/relationships/hyperlink" Target="https://us3.assetplanner.com/service_request?ID=101794" TargetMode="External"/><Relationship Id="rId33" Type="http://schemas.openxmlformats.org/officeDocument/2006/relationships/hyperlink" Target="https://us3.assetplanner.com/service_request?ID=101271" TargetMode="External"/><Relationship Id="rId2" Type="http://schemas.openxmlformats.org/officeDocument/2006/relationships/hyperlink" Target="https://us3.assetplanner.com/service_request?ID=101027" TargetMode="External"/><Relationship Id="rId16" Type="http://schemas.openxmlformats.org/officeDocument/2006/relationships/hyperlink" Target="https://us3.assetplanner.com/service_request?ID=098941" TargetMode="External"/><Relationship Id="rId20" Type="http://schemas.openxmlformats.org/officeDocument/2006/relationships/hyperlink" Target="https://us3.assetplanner.com/service_request?ID=100904" TargetMode="External"/><Relationship Id="rId29" Type="http://schemas.openxmlformats.org/officeDocument/2006/relationships/hyperlink" Target="https://us3.assetplanner.com/service_request?ID=098878" TargetMode="External"/><Relationship Id="rId1" Type="http://schemas.openxmlformats.org/officeDocument/2006/relationships/hyperlink" Target="https://us3.assetplanner.com/service_request?ID=101370" TargetMode="External"/><Relationship Id="rId6" Type="http://schemas.openxmlformats.org/officeDocument/2006/relationships/hyperlink" Target="https://us3.assetplanner.com/service_request?ID=100654" TargetMode="External"/><Relationship Id="rId11" Type="http://schemas.openxmlformats.org/officeDocument/2006/relationships/hyperlink" Target="https://us3.assetplanner.com/service_request?ID=100051" TargetMode="External"/><Relationship Id="rId24" Type="http://schemas.openxmlformats.org/officeDocument/2006/relationships/hyperlink" Target="https://us3.assetplanner.com/service_request?ID=100043" TargetMode="External"/><Relationship Id="rId32" Type="http://schemas.openxmlformats.org/officeDocument/2006/relationships/hyperlink" Target="https://us3.assetplanner.com/service_request?ID=101275" TargetMode="External"/><Relationship Id="rId5" Type="http://schemas.openxmlformats.org/officeDocument/2006/relationships/hyperlink" Target="https://us3.assetplanner.com/service_request?ID=100896" TargetMode="External"/><Relationship Id="rId15" Type="http://schemas.openxmlformats.org/officeDocument/2006/relationships/hyperlink" Target="https://us3.assetplanner.com/service_request?ID=101937" TargetMode="External"/><Relationship Id="rId23" Type="http://schemas.openxmlformats.org/officeDocument/2006/relationships/hyperlink" Target="https://us3.assetplanner.com/service_request?ID=101517" TargetMode="External"/><Relationship Id="rId28" Type="http://schemas.openxmlformats.org/officeDocument/2006/relationships/hyperlink" Target="https://us3.assetplanner.com/service_request?ID=099672" TargetMode="External"/><Relationship Id="rId10" Type="http://schemas.openxmlformats.org/officeDocument/2006/relationships/hyperlink" Target="https://us3.assetplanner.com/service_request?ID=100950" TargetMode="External"/><Relationship Id="rId19" Type="http://schemas.openxmlformats.org/officeDocument/2006/relationships/hyperlink" Target="https://us3.assetplanner.com/service_request?ID=099959" TargetMode="External"/><Relationship Id="rId31" Type="http://schemas.openxmlformats.org/officeDocument/2006/relationships/hyperlink" Target="https://us3.assetplanner.com/service_request?ID=101392" TargetMode="External"/><Relationship Id="rId4" Type="http://schemas.openxmlformats.org/officeDocument/2006/relationships/hyperlink" Target="https://us3.assetplanner.com/service_request?ID=100654" TargetMode="External"/><Relationship Id="rId9" Type="http://schemas.openxmlformats.org/officeDocument/2006/relationships/hyperlink" Target="https://us3.assetplanner.com/service_request?ID=102215" TargetMode="External"/><Relationship Id="rId14" Type="http://schemas.openxmlformats.org/officeDocument/2006/relationships/hyperlink" Target="https://us3.assetplanner.com/service_request?ID=100837" TargetMode="External"/><Relationship Id="rId22" Type="http://schemas.openxmlformats.org/officeDocument/2006/relationships/hyperlink" Target="https://us3.assetplanner.com/service_request?ID=098463" TargetMode="External"/><Relationship Id="rId27" Type="http://schemas.openxmlformats.org/officeDocument/2006/relationships/hyperlink" Target="https://us3.assetplanner.com/service_request?ID=099915" TargetMode="External"/><Relationship Id="rId30" Type="http://schemas.openxmlformats.org/officeDocument/2006/relationships/hyperlink" Target="https://us3.assetplanner.com/service_request?ID=101493" TargetMode="External"/><Relationship Id="rId8" Type="http://schemas.openxmlformats.org/officeDocument/2006/relationships/hyperlink" Target="https://us3.assetplanner.com/service_request?ID=101207"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us3.assetplanner.com/service_request?ID=102452" TargetMode="External"/><Relationship Id="rId18" Type="http://schemas.openxmlformats.org/officeDocument/2006/relationships/hyperlink" Target="https://us3.assetplanner.com/service_request?ID=102778" TargetMode="External"/><Relationship Id="rId26" Type="http://schemas.openxmlformats.org/officeDocument/2006/relationships/hyperlink" Target="https://us3.assetplanner.com/service_request?ID=100904" TargetMode="External"/><Relationship Id="rId21" Type="http://schemas.openxmlformats.org/officeDocument/2006/relationships/hyperlink" Target="https://us3.assetplanner.com/service_request?ID=102999" TargetMode="External"/><Relationship Id="rId34" Type="http://schemas.openxmlformats.org/officeDocument/2006/relationships/hyperlink" Target="https://us3.assetplanner.com/service_request?ID=099915" TargetMode="External"/><Relationship Id="rId7" Type="http://schemas.openxmlformats.org/officeDocument/2006/relationships/hyperlink" Target="https://us3.assetplanner.com/service_request?ID=102941" TargetMode="External"/><Relationship Id="rId12" Type="http://schemas.openxmlformats.org/officeDocument/2006/relationships/hyperlink" Target="https://us3.assetplanner.com/service_request?ID=100950" TargetMode="External"/><Relationship Id="rId17" Type="http://schemas.openxmlformats.org/officeDocument/2006/relationships/hyperlink" Target="https://us3.assetplanner.com/service_request?ID=102589" TargetMode="External"/><Relationship Id="rId25" Type="http://schemas.openxmlformats.org/officeDocument/2006/relationships/hyperlink" Target="https://us3.assetplanner.com/service_request?ID=103584" TargetMode="External"/><Relationship Id="rId33" Type="http://schemas.openxmlformats.org/officeDocument/2006/relationships/hyperlink" Target="https://us3.assetplanner.com/service_request?ID=098878" TargetMode="External"/><Relationship Id="rId38" Type="http://schemas.openxmlformats.org/officeDocument/2006/relationships/hyperlink" Target="https://us3.assetplanner.com/service_request?ID=101493" TargetMode="External"/><Relationship Id="rId2" Type="http://schemas.openxmlformats.org/officeDocument/2006/relationships/hyperlink" Target="https://us3.assetplanner.com/service_request?ID=098835" TargetMode="External"/><Relationship Id="rId16" Type="http://schemas.openxmlformats.org/officeDocument/2006/relationships/hyperlink" Target="https://us3.assetplanner.com/service_request?ID=103022" TargetMode="External"/><Relationship Id="rId20" Type="http://schemas.openxmlformats.org/officeDocument/2006/relationships/hyperlink" Target="https://us3.assetplanner.com/service_request?ID=100368" TargetMode="External"/><Relationship Id="rId29" Type="http://schemas.openxmlformats.org/officeDocument/2006/relationships/hyperlink" Target="https://us3.assetplanner.com/service_request?ID=103278" TargetMode="External"/><Relationship Id="rId1" Type="http://schemas.openxmlformats.org/officeDocument/2006/relationships/hyperlink" Target="https://us3.assetplanner.com/service_request?ID=102597" TargetMode="External"/><Relationship Id="rId6" Type="http://schemas.openxmlformats.org/officeDocument/2006/relationships/hyperlink" Target="https://us3.assetplanner.com/service_request?ID=103350" TargetMode="External"/><Relationship Id="rId11" Type="http://schemas.openxmlformats.org/officeDocument/2006/relationships/hyperlink" Target="https://us3.assetplanner.com/service_request?ID=102260" TargetMode="External"/><Relationship Id="rId24" Type="http://schemas.openxmlformats.org/officeDocument/2006/relationships/hyperlink" Target="https://us3.assetplanner.com/service_request?ID=102828" TargetMode="External"/><Relationship Id="rId32" Type="http://schemas.openxmlformats.org/officeDocument/2006/relationships/hyperlink" Target="https://us3.assetplanner.com/service_request?ID=103308" TargetMode="External"/><Relationship Id="rId37" Type="http://schemas.openxmlformats.org/officeDocument/2006/relationships/hyperlink" Target="https://us3.assetplanner.com/service_request?ID=101758" TargetMode="External"/><Relationship Id="rId5" Type="http://schemas.openxmlformats.org/officeDocument/2006/relationships/hyperlink" Target="https://us3.assetplanner.com/service_request?ID=103231" TargetMode="External"/><Relationship Id="rId15" Type="http://schemas.openxmlformats.org/officeDocument/2006/relationships/hyperlink" Target="https://us3.assetplanner.com/service_request?ID=102830" TargetMode="External"/><Relationship Id="rId23" Type="http://schemas.openxmlformats.org/officeDocument/2006/relationships/hyperlink" Target="https://us3.assetplanner.com/service_request?ID=102588" TargetMode="External"/><Relationship Id="rId28" Type="http://schemas.openxmlformats.org/officeDocument/2006/relationships/hyperlink" Target="https://us3.assetplanner.com/service_request?ID=101517" TargetMode="External"/><Relationship Id="rId36" Type="http://schemas.openxmlformats.org/officeDocument/2006/relationships/hyperlink" Target="https://us3.assetplanner.com/service_request?ID=102980" TargetMode="External"/><Relationship Id="rId10" Type="http://schemas.openxmlformats.org/officeDocument/2006/relationships/hyperlink" Target="https://us3.assetplanner.com/service_request?ID=103596" TargetMode="External"/><Relationship Id="rId19" Type="http://schemas.openxmlformats.org/officeDocument/2006/relationships/hyperlink" Target="https://us3.assetplanner.com/service_request?ID=102827" TargetMode="External"/><Relationship Id="rId31" Type="http://schemas.openxmlformats.org/officeDocument/2006/relationships/hyperlink" Target="https://us3.assetplanner.com/service_request?ID=101794" TargetMode="External"/><Relationship Id="rId4" Type="http://schemas.openxmlformats.org/officeDocument/2006/relationships/hyperlink" Target="https://us3.assetplanner.com/service_request?ID=103010" TargetMode="External"/><Relationship Id="rId9" Type="http://schemas.openxmlformats.org/officeDocument/2006/relationships/hyperlink" Target="https://us3.assetplanner.com/service_request?ID=102586" TargetMode="External"/><Relationship Id="rId14" Type="http://schemas.openxmlformats.org/officeDocument/2006/relationships/hyperlink" Target="https://us3.assetplanner.com/service_request?ID=102558" TargetMode="External"/><Relationship Id="rId22" Type="http://schemas.openxmlformats.org/officeDocument/2006/relationships/hyperlink" Target="https://us3.assetplanner.com/service_request?ID=103566" TargetMode="External"/><Relationship Id="rId27" Type="http://schemas.openxmlformats.org/officeDocument/2006/relationships/hyperlink" Target="https://us3.assetplanner.com/service_request?ID=101516" TargetMode="External"/><Relationship Id="rId30" Type="http://schemas.openxmlformats.org/officeDocument/2006/relationships/hyperlink" Target="https://us3.assetplanner.com/service_request?ID=103928" TargetMode="External"/><Relationship Id="rId35" Type="http://schemas.openxmlformats.org/officeDocument/2006/relationships/hyperlink" Target="https://us3.assetplanner.com/service_request?ID=101758" TargetMode="External"/><Relationship Id="rId8" Type="http://schemas.openxmlformats.org/officeDocument/2006/relationships/hyperlink" Target="https://us3.assetplanner.com/service_request?ID=102312" TargetMode="External"/><Relationship Id="rId3" Type="http://schemas.openxmlformats.org/officeDocument/2006/relationships/hyperlink" Target="https://us3.assetplanner.com/service_request?ID=10255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4050" TargetMode="External"/><Relationship Id="rId13" Type="http://schemas.openxmlformats.org/officeDocument/2006/relationships/hyperlink" Target="https://us3.assetplanner.com/service_request?ID=104969" TargetMode="External"/><Relationship Id="rId18" Type="http://schemas.openxmlformats.org/officeDocument/2006/relationships/hyperlink" Target="https://us3.assetplanner.com/service_request?ID=104663" TargetMode="External"/><Relationship Id="rId3" Type="http://schemas.openxmlformats.org/officeDocument/2006/relationships/hyperlink" Target="https://us3.assetplanner.com/service_request?ID=105137" TargetMode="External"/><Relationship Id="rId21" Type="http://schemas.openxmlformats.org/officeDocument/2006/relationships/hyperlink" Target="https://us3.assetplanner.com/service_request?ID=104743" TargetMode="External"/><Relationship Id="rId7" Type="http://schemas.openxmlformats.org/officeDocument/2006/relationships/hyperlink" Target="https://us3.assetplanner.com/service_request?ID=104049" TargetMode="External"/><Relationship Id="rId12" Type="http://schemas.openxmlformats.org/officeDocument/2006/relationships/hyperlink" Target="https://us3.assetplanner.com/service_request?ID=101516" TargetMode="External"/><Relationship Id="rId17" Type="http://schemas.openxmlformats.org/officeDocument/2006/relationships/hyperlink" Target="https://us3.assetplanner.com/service_request?ID=104133" TargetMode="External"/><Relationship Id="rId25" Type="http://schemas.openxmlformats.org/officeDocument/2006/relationships/hyperlink" Target="https://us3.assetplanner.com/service_request?ID=101493" TargetMode="External"/><Relationship Id="rId2" Type="http://schemas.openxmlformats.org/officeDocument/2006/relationships/hyperlink" Target="https://us3.assetplanner.com/service_request?ID=102554" TargetMode="External"/><Relationship Id="rId16" Type="http://schemas.openxmlformats.org/officeDocument/2006/relationships/hyperlink" Target="https://us3.assetplanner.com/service_request?ID=104026" TargetMode="External"/><Relationship Id="rId20" Type="http://schemas.openxmlformats.org/officeDocument/2006/relationships/hyperlink" Target="https://us3.assetplanner.com/service_request?ID=104573" TargetMode="External"/><Relationship Id="rId1" Type="http://schemas.openxmlformats.org/officeDocument/2006/relationships/hyperlink" Target="https://us3.assetplanner.com/service_request?ID=102597" TargetMode="External"/><Relationship Id="rId6" Type="http://schemas.openxmlformats.org/officeDocument/2006/relationships/hyperlink" Target="https://us3.assetplanner.com/service_request?ID=103842" TargetMode="External"/><Relationship Id="rId11" Type="http://schemas.openxmlformats.org/officeDocument/2006/relationships/hyperlink" Target="https://us3.assetplanner.com/service_request?ID=105181" TargetMode="External"/><Relationship Id="rId24" Type="http://schemas.openxmlformats.org/officeDocument/2006/relationships/hyperlink" Target="https://us3.assetplanner.com/service_request?ID=104573" TargetMode="External"/><Relationship Id="rId5" Type="http://schemas.openxmlformats.org/officeDocument/2006/relationships/hyperlink" Target="https://us3.assetplanner.com/service_request?ID=103022" TargetMode="External"/><Relationship Id="rId15" Type="http://schemas.openxmlformats.org/officeDocument/2006/relationships/hyperlink" Target="https://us3.assetplanner.com/service_request?ID=104968" TargetMode="External"/><Relationship Id="rId23" Type="http://schemas.openxmlformats.org/officeDocument/2006/relationships/hyperlink" Target="https://us3.assetplanner.com/service_request?ID=098878" TargetMode="External"/><Relationship Id="rId10" Type="http://schemas.openxmlformats.org/officeDocument/2006/relationships/hyperlink" Target="https://us3.assetplanner.com/service_request?ID=105109" TargetMode="External"/><Relationship Id="rId19" Type="http://schemas.openxmlformats.org/officeDocument/2006/relationships/hyperlink" Target="https://us3.assetplanner.com/service_request?ID=104022" TargetMode="External"/><Relationship Id="rId4" Type="http://schemas.openxmlformats.org/officeDocument/2006/relationships/hyperlink" Target="https://us3.assetplanner.com/service_request?ID=100950" TargetMode="External"/><Relationship Id="rId9" Type="http://schemas.openxmlformats.org/officeDocument/2006/relationships/hyperlink" Target="https://us3.assetplanner.com/service_request?ID=103584" TargetMode="External"/><Relationship Id="rId14" Type="http://schemas.openxmlformats.org/officeDocument/2006/relationships/hyperlink" Target="https://us3.assetplanner.com/service_request?ID=101517" TargetMode="External"/><Relationship Id="rId22" Type="http://schemas.openxmlformats.org/officeDocument/2006/relationships/hyperlink" Target="https://us3.assetplanner.com/service_request?ID=10510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4"/>
  <sheetViews>
    <sheetView workbookViewId="0">
      <pane xSplit="2" ySplit="3" topLeftCell="C4" activePane="bottomRight" state="frozen"/>
      <selection pane="bottomRight" activeCell="L21" sqref="L21"/>
      <selection pane="bottomLeft"/>
      <selection pane="topRight"/>
    </sheetView>
  </sheetViews>
  <sheetFormatPr defaultRowHeight="13.1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100" t="str" cm="1">
        <f t="array" ref="A1">portfolio</f>
        <v>Catalyze</v>
      </c>
      <c r="B1" s="100"/>
      <c r="C1" s="100"/>
      <c r="D1" s="101" t="s">
        <v>0</v>
      </c>
      <c r="E1" s="101"/>
      <c r="F1" s="101"/>
      <c r="G1" s="99" t="s">
        <v>1</v>
      </c>
      <c r="H1" s="99"/>
      <c r="I1" s="99"/>
    </row>
    <row r="2" spans="1:9" ht="19.5" customHeight="1">
      <c r="A2" s="102" t="s">
        <v>2</v>
      </c>
      <c r="B2" s="102"/>
      <c r="C2" s="5">
        <f>SUM(C4:C92)</f>
        <v>29562284.039361849</v>
      </c>
      <c r="D2" s="5">
        <f>SUM(D4:D92)</f>
        <v>33124618.483899996</v>
      </c>
      <c r="E2" s="5">
        <f>C2-D2</f>
        <v>-3562334.4445381463</v>
      </c>
      <c r="F2" s="6">
        <f>IFERROR(E2/D2, 0)</f>
        <v>-0.10754341053828577</v>
      </c>
      <c r="G2" s="5">
        <f>SUM(G4:G92)</f>
        <v>34337283.741999999</v>
      </c>
      <c r="H2" s="7">
        <f>C2-G2</f>
        <v>-4774999.7026381493</v>
      </c>
      <c r="I2" s="6">
        <f>IFERROR(H2/G2, 0)</f>
        <v>-0.13906166074509732</v>
      </c>
    </row>
    <row r="3" spans="1:9" ht="14.25" customHeight="1">
      <c r="A3" s="17" t="s">
        <v>3</v>
      </c>
      <c r="B3" s="17" t="s">
        <v>4</v>
      </c>
      <c r="C3" s="25" t="s">
        <v>5</v>
      </c>
      <c r="D3" s="26" t="s">
        <v>6</v>
      </c>
      <c r="E3" s="26" t="s">
        <v>7</v>
      </c>
      <c r="F3" s="27" t="s">
        <v>8</v>
      </c>
      <c r="G3" s="28" t="s">
        <v>9</v>
      </c>
      <c r="H3" s="29" t="s">
        <v>7</v>
      </c>
      <c r="I3" s="30" t="s">
        <v>8</v>
      </c>
    </row>
    <row r="4" spans="1:9" ht="15.6">
      <c r="A4" s="32" t="str" cm="1">
        <f t="array" ref="A4:A22">Sites[Site]</f>
        <v>Fresno - 3150 Shaw Ave</v>
      </c>
      <c r="B4" s="33" t="str" cm="1">
        <f t="array" ref="B4:B22">Sites[State]</f>
        <v>CA</v>
      </c>
      <c r="C4" s="34">
        <f>SUM('1st Qtr'!C4, '2nd Qtr'!C4, '3rd Qtr'!C4, '4th Qtr'!C4)</f>
        <v>643196.75</v>
      </c>
      <c r="D4" s="35">
        <f>SUM('1st Qtr'!D4, '2nd Qtr'!D4, '3rd Qtr'!D4, '4th Qtr'!D4)</f>
        <v>638800.68000000005</v>
      </c>
      <c r="E4" s="35">
        <f>IF(AND(ISNUMBER(C4),ISNUMBER(D4)), C4-D4, "")</f>
        <v>4396.0699999999488</v>
      </c>
      <c r="F4" s="36">
        <f>IFERROR(E4/D4, "")</f>
        <v>6.8817553544244011E-3</v>
      </c>
      <c r="G4" s="37">
        <f>SUM('1st Qtr'!G4, '2nd Qtr'!G4, '3rd Qtr'!G4, '4th Qtr'!G4)</f>
        <v>718798.26</v>
      </c>
      <c r="H4" s="37">
        <f>SUM('1st Qtr'!H4, '2nd Qtr'!H4, '3rd Qtr'!H4, '4th Qtr'!H4)</f>
        <v>-75601.510000000009</v>
      </c>
      <c r="I4" s="38">
        <f>IFERROR(H4/G4, "")</f>
        <v>-0.10517764748067143</v>
      </c>
    </row>
    <row r="5" spans="1:9" ht="15.6">
      <c r="A5" s="39" t="str">
        <v>Adelanto - 1 Sheep Creek Road</v>
      </c>
      <c r="B5" s="40" t="str">
        <v>CA</v>
      </c>
      <c r="C5" s="41">
        <f>SUM('1st Qtr'!C5, '2nd Qtr'!C5, '3rd Qtr'!C5, '4th Qtr'!C5)</f>
        <v>3826093</v>
      </c>
      <c r="D5" s="41">
        <f>SUM('1st Qtr'!D5, '2nd Qtr'!D5, '3rd Qtr'!D5, '4th Qtr'!D5)</f>
        <v>2714333.1949</v>
      </c>
      <c r="E5" s="42">
        <f t="shared" ref="E5:E15" si="0">IF(AND(ISNUMBER(C5),ISNUMBER(D5)), C5-D5, "")</f>
        <v>1111759.8051</v>
      </c>
      <c r="F5" s="43">
        <f>IFERROR(E5/D5, "")</f>
        <v>0.40958855279407169</v>
      </c>
      <c r="G5" s="44">
        <f>SUM('1st Qtr'!G5, '2nd Qtr'!G5, '3rd Qtr'!G5, '4th Qtr'!G5)</f>
        <v>1729663.7399999998</v>
      </c>
      <c r="H5" s="44">
        <f>SUM('1st Qtr'!H5, '2nd Qtr'!H5, '3rd Qtr'!H5, '4th Qtr'!H5)</f>
        <v>-142320.74</v>
      </c>
      <c r="I5" s="43">
        <f>IFERROR(H5/G5, "")</f>
        <v>-8.2282316908603298E-2</v>
      </c>
    </row>
    <row r="6" spans="1:9" ht="15.6">
      <c r="A6" s="32" t="str">
        <v>Blackstone - 83 Federal Street</v>
      </c>
      <c r="B6" s="33" t="str">
        <v>MA</v>
      </c>
      <c r="C6" s="34">
        <f>SUM('1st Qtr'!C6, '2nd Qtr'!C6, '3rd Qtr'!C6, '4th Qtr'!C6)</f>
        <v>4045259.9022279344</v>
      </c>
      <c r="D6" s="35">
        <f>SUM('1st Qtr'!D6, '2nd Qtr'!D6, '3rd Qtr'!D6, '4th Qtr'!D6)</f>
        <v>4586953.8</v>
      </c>
      <c r="E6" s="35">
        <f t="shared" si="0"/>
        <v>-541693.89777206536</v>
      </c>
      <c r="F6" s="36">
        <f t="shared" ref="F6:F15" si="1">IFERROR(E6/D6, "")</f>
        <v>-0.118094474326745</v>
      </c>
      <c r="G6" s="37">
        <f>SUM('1st Qtr'!G6, '2nd Qtr'!G6, '3rd Qtr'!G6, '4th Qtr'!G6)</f>
        <v>4970107.6999999993</v>
      </c>
      <c r="H6" s="37">
        <f>SUM('1st Qtr'!H6, '2nd Qtr'!H6, '3rd Qtr'!H6, '4th Qtr'!H6)</f>
        <v>-924847.79777206597</v>
      </c>
      <c r="I6" s="38">
        <f t="shared" ref="I6:I15" si="2">IFERROR(H6/G6, "")</f>
        <v>-0.18608204360884698</v>
      </c>
    </row>
    <row r="7" spans="1:9" ht="15.6">
      <c r="A7" s="39" t="str">
        <v>Charlton - 299 Worcester Road</v>
      </c>
      <c r="B7" s="40" t="str">
        <v>MA</v>
      </c>
      <c r="C7" s="41">
        <f>SUM('1st Qtr'!C7, '2nd Qtr'!C7, '3rd Qtr'!C7, '4th Qtr'!C7)</f>
        <v>340909.5</v>
      </c>
      <c r="D7" s="41">
        <f>SUM('1st Qtr'!D7, '2nd Qtr'!D7, '3rd Qtr'!D7, '4th Qtr'!D7)</f>
        <v>373319.24000000005</v>
      </c>
      <c r="E7" s="42">
        <f t="shared" si="0"/>
        <v>-32409.740000000049</v>
      </c>
      <c r="F7" s="43">
        <f t="shared" si="1"/>
        <v>-8.6815080840730433E-2</v>
      </c>
      <c r="G7" s="44">
        <f>SUM('1st Qtr'!G7, '2nd Qtr'!G7, '3rd Qtr'!G7, '4th Qtr'!G7)</f>
        <v>390692.35</v>
      </c>
      <c r="H7" s="44">
        <f>SUM('1st Qtr'!H7, '2nd Qtr'!H7, '3rd Qtr'!H7, '4th Qtr'!H7)</f>
        <v>-49782.850000000006</v>
      </c>
      <c r="I7" s="43">
        <f t="shared" si="2"/>
        <v>-0.12742212638665695</v>
      </c>
    </row>
    <row r="8" spans="1:9" ht="15.6">
      <c r="A8" s="32" t="str">
        <v>Wareham - 8 Thatcher Drive</v>
      </c>
      <c r="B8" s="33" t="str">
        <v>MA</v>
      </c>
      <c r="C8" s="34">
        <f>SUM('1st Qtr'!C8, '2nd Qtr'!C8, '3rd Qtr'!C8, '4th Qtr'!C8)</f>
        <v>107918.1875</v>
      </c>
      <c r="D8" s="35">
        <f>SUM('1st Qtr'!D8, '2nd Qtr'!D8, '3rd Qtr'!D8, '4th Qtr'!D8)</f>
        <v>114037.128</v>
      </c>
      <c r="E8" s="35">
        <f t="shared" si="0"/>
        <v>-6118.940499999997</v>
      </c>
      <c r="F8" s="36">
        <f t="shared" si="1"/>
        <v>-5.3657441285262786E-2</v>
      </c>
      <c r="G8" s="37">
        <f>SUM('1st Qtr'!G8, '2nd Qtr'!G8, '3rd Qtr'!G8, '4th Qtr'!G8)</f>
        <v>119814.26000000001</v>
      </c>
      <c r="H8" s="37">
        <f>SUM('1st Qtr'!H8, '2nd Qtr'!H8, '3rd Qtr'!H8, '4th Qtr'!H8)</f>
        <v>-11896.0725</v>
      </c>
      <c r="I8" s="38">
        <f t="shared" si="2"/>
        <v>-9.9287618185014026E-2</v>
      </c>
    </row>
    <row r="9" spans="1:9" ht="15.6">
      <c r="A9" s="39" t="str">
        <v>West Yarmouth - 42 Mid Tech</v>
      </c>
      <c r="B9" s="40" t="str">
        <v>MA</v>
      </c>
      <c r="C9" s="41">
        <f>SUM('1st Qtr'!C9, '2nd Qtr'!C9, '3rd Qtr'!C9, '4th Qtr'!C9)</f>
        <v>96138.771293283076</v>
      </c>
      <c r="D9" s="41">
        <f>SUM('1st Qtr'!D9, '2nd Qtr'!D9, '3rd Qtr'!D9, '4th Qtr'!D9)</f>
        <v>109312.61</v>
      </c>
      <c r="E9" s="42">
        <f t="shared" si="0"/>
        <v>-13173.838706716924</v>
      </c>
      <c r="F9" s="43">
        <f t="shared" si="1"/>
        <v>-0.12051526998318789</v>
      </c>
      <c r="G9" s="44">
        <f>SUM('1st Qtr'!G9, '2nd Qtr'!G9, '3rd Qtr'!G9, '4th Qtr'!G9)</f>
        <v>116695.417</v>
      </c>
      <c r="H9" s="44">
        <f>SUM('1st Qtr'!H9, '2nd Qtr'!H9, '3rd Qtr'!H9, '4th Qtr'!H9)</f>
        <v>-20556.645706716925</v>
      </c>
      <c r="I9" s="43">
        <f t="shared" si="2"/>
        <v>-0.17615640986755224</v>
      </c>
    </row>
    <row r="10" spans="1:9" ht="15.6">
      <c r="A10" s="32" t="str">
        <v>Harrison - 130 Union Street</v>
      </c>
      <c r="B10" s="33" t="str">
        <v>NY</v>
      </c>
      <c r="C10" s="34">
        <f>SUM('1st Qtr'!C10, '2nd Qtr'!C10, '3rd Qtr'!C10, '4th Qtr'!C10)</f>
        <v>135073.5625</v>
      </c>
      <c r="D10" s="35">
        <f>SUM('1st Qtr'!D10, '2nd Qtr'!D10, '3rd Qtr'!D10, '4th Qtr'!D10)</f>
        <v>165154.22</v>
      </c>
      <c r="E10" s="35">
        <f t="shared" si="0"/>
        <v>-30080.657500000001</v>
      </c>
      <c r="F10" s="36">
        <f t="shared" si="1"/>
        <v>-0.18213677797636657</v>
      </c>
      <c r="G10" s="37">
        <f>SUM('1st Qtr'!G10, '2nd Qtr'!G10, '3rd Qtr'!G10, '4th Qtr'!G10)</f>
        <v>165313</v>
      </c>
      <c r="H10" s="37">
        <f>SUM('1st Qtr'!H10, '2nd Qtr'!H10, '3rd Qtr'!H10, '4th Qtr'!H10)</f>
        <v>-30239.4375</v>
      </c>
      <c r="I10" s="38">
        <f t="shared" si="2"/>
        <v>-0.18292232008371997</v>
      </c>
    </row>
    <row r="11" spans="1:9" ht="15.6">
      <c r="A11" s="39" t="str">
        <v>Staten Island - Ellis Storage</v>
      </c>
      <c r="B11" s="40" t="str">
        <v>NY</v>
      </c>
      <c r="C11" s="41">
        <f>SUM('1st Qtr'!C11, '2nd Qtr'!C11, '3rd Qtr'!C11, '4th Qtr'!C11)</f>
        <v>354943.125</v>
      </c>
      <c r="D11" s="41">
        <f>SUM('1st Qtr'!D11, '2nd Qtr'!D11, '3rd Qtr'!D11, '4th Qtr'!D11)</f>
        <v>322811.62</v>
      </c>
      <c r="E11" s="42">
        <f t="shared" si="0"/>
        <v>32131.505000000005</v>
      </c>
      <c r="F11" s="43">
        <f t="shared" si="1"/>
        <v>9.9536395251199464E-2</v>
      </c>
      <c r="G11" s="44">
        <f>SUM('1st Qtr'!G11, '2nd Qtr'!G11, '3rd Qtr'!G11, '4th Qtr'!G11)</f>
        <v>380931.45</v>
      </c>
      <c r="H11" s="44">
        <f>SUM('1st Qtr'!H11, '2nd Qtr'!H11, '3rd Qtr'!H11, '4th Qtr'!H11)</f>
        <v>-25988.325000000012</v>
      </c>
      <c r="I11" s="43">
        <f t="shared" si="2"/>
        <v>-6.8223101558036264E-2</v>
      </c>
    </row>
    <row r="12" spans="1:9" ht="15.6">
      <c r="A12" s="32" t="str">
        <v>Amherst - 595 Scholles Road</v>
      </c>
      <c r="B12" s="33" t="str">
        <v>NY</v>
      </c>
      <c r="C12" s="34">
        <f>SUM('1st Qtr'!C12, '2nd Qtr'!C12, '3rd Qtr'!C12, '4th Qtr'!C12)</f>
        <v>4956770</v>
      </c>
      <c r="D12" s="35">
        <f>SUM('1st Qtr'!D12, '2nd Qtr'!D12, '3rd Qtr'!D12, '4th Qtr'!D12)</f>
        <v>5634200</v>
      </c>
      <c r="E12" s="35">
        <f t="shared" si="0"/>
        <v>-677430</v>
      </c>
      <c r="F12" s="36">
        <f t="shared" si="1"/>
        <v>-0.12023534840793725</v>
      </c>
      <c r="G12" s="37">
        <f>SUM('1st Qtr'!G12, '2nd Qtr'!G12, '3rd Qtr'!G12, '4th Qtr'!G12)</f>
        <v>5877147.0999999996</v>
      </c>
      <c r="H12" s="37">
        <f>SUM('1st Qtr'!H12, '2nd Qtr'!H12, '3rd Qtr'!H12, '4th Qtr'!H12)</f>
        <v>-920377.1</v>
      </c>
      <c r="I12" s="38">
        <f t="shared" si="2"/>
        <v>-0.15660269929265511</v>
      </c>
    </row>
    <row r="13" spans="1:9" ht="15.6">
      <c r="A13" s="39" t="str">
        <v>Lancaster 1 - Gunnville Road</v>
      </c>
      <c r="B13" s="40" t="str">
        <v>NY</v>
      </c>
      <c r="C13" s="41">
        <f>SUM('1st Qtr'!C13, '2nd Qtr'!C13, '3rd Qtr'!C13, '4th Qtr'!C13)</f>
        <v>3858190</v>
      </c>
      <c r="D13" s="41">
        <f>SUM('1st Qtr'!D13, '2nd Qtr'!D13, '3rd Qtr'!D13, '4th Qtr'!D13)</f>
        <v>4338465.2</v>
      </c>
      <c r="E13" s="42">
        <f t="shared" si="0"/>
        <v>-480275.20000000019</v>
      </c>
      <c r="F13" s="43">
        <f t="shared" si="1"/>
        <v>-0.11070163706741272</v>
      </c>
      <c r="G13" s="44">
        <f>SUM('1st Qtr'!G13, '2nd Qtr'!G13, '3rd Qtr'!G13, '4th Qtr'!G13)</f>
        <v>4675222.9000000004</v>
      </c>
      <c r="H13" s="44">
        <f>SUM('1st Qtr'!H13, '2nd Qtr'!H13, '3rd Qtr'!H13, '4th Qtr'!H13)</f>
        <v>-817032.90000000014</v>
      </c>
      <c r="I13" s="43">
        <f t="shared" si="2"/>
        <v>-0.17475806340698752</v>
      </c>
    </row>
    <row r="14" spans="1:9" ht="15.6">
      <c r="A14" s="32" t="str">
        <v>Lancaster 2 - Shisler Road</v>
      </c>
      <c r="B14" s="33" t="str">
        <v>NY</v>
      </c>
      <c r="C14" s="34">
        <f>SUM('1st Qtr'!C14, '2nd Qtr'!C14, '3rd Qtr'!C14, '4th Qtr'!C14)</f>
        <v>4125441</v>
      </c>
      <c r="D14" s="35">
        <f>SUM('1st Qtr'!D14, '2nd Qtr'!D14, '3rd Qtr'!D14, '4th Qtr'!D14)</f>
        <v>4651593.3</v>
      </c>
      <c r="E14" s="35">
        <f t="shared" si="0"/>
        <v>-526152.29999999981</v>
      </c>
      <c r="F14" s="36">
        <f t="shared" si="1"/>
        <v>-0.11311227488439281</v>
      </c>
      <c r="G14" s="37">
        <f>SUM('1st Qtr'!G14, '2nd Qtr'!G14, '3rd Qtr'!G14, '4th Qtr'!G14)</f>
        <v>5117893.3</v>
      </c>
      <c r="H14" s="37">
        <f>SUM('1st Qtr'!H14, '2nd Qtr'!H14, '3rd Qtr'!H14, '4th Qtr'!H14)</f>
        <v>-992452.29999999981</v>
      </c>
      <c r="I14" s="38">
        <f t="shared" si="2"/>
        <v>-0.19391813033694935</v>
      </c>
    </row>
    <row r="15" spans="1:9" ht="15.6">
      <c r="A15" s="39" t="str">
        <v>Fullerton - 200 W Orangethorpe</v>
      </c>
      <c r="B15" s="40" t="str">
        <v>CA</v>
      </c>
      <c r="C15" s="41">
        <f>SUM('1st Qtr'!C15, '2nd Qtr'!C15, '3rd Qtr'!C15, '4th Qtr'!C15)</f>
        <v>716777.25</v>
      </c>
      <c r="D15" s="41">
        <f>SUM('1st Qtr'!D15, '2nd Qtr'!D15, '3rd Qtr'!D15, '4th Qtr'!D15)</f>
        <v>733783.87999999989</v>
      </c>
      <c r="E15" s="42">
        <f t="shared" si="0"/>
        <v>-17006.629999999888</v>
      </c>
      <c r="F15" s="43">
        <f t="shared" si="1"/>
        <v>-2.3176619797098692E-2</v>
      </c>
      <c r="G15" s="44">
        <f>SUM('1st Qtr'!G15, '2nd Qtr'!G15, '3rd Qtr'!G15, '4th Qtr'!G15)</f>
        <v>806295.84</v>
      </c>
      <c r="H15" s="44">
        <f>SUM('1st Qtr'!H15, '2nd Qtr'!H15, '3rd Qtr'!H15, '4th Qtr'!H15)</f>
        <v>-89518.589999999982</v>
      </c>
      <c r="I15" s="43">
        <f t="shared" si="2"/>
        <v>-0.11102449691418473</v>
      </c>
    </row>
    <row r="16" spans="1:9" ht="15.6">
      <c r="A16" s="32" t="str">
        <v>El Paso - 10500 Railroad Drive</v>
      </c>
      <c r="B16" s="33" t="str">
        <v>TX</v>
      </c>
      <c r="C16" s="34">
        <f>SUM('1st Qtr'!C16, '2nd Qtr'!C16, '3rd Qtr'!C16, '4th Qtr'!C16)</f>
        <v>567848.25</v>
      </c>
      <c r="D16" s="35">
        <f>SUM('1st Qtr'!D16, '2nd Qtr'!D16, '3rd Qtr'!D16, '4th Qtr'!D16)</f>
        <v>532299.82999999996</v>
      </c>
      <c r="E16" s="35">
        <f t="shared" ref="E16:E22" si="3">IF(AND(ISNUMBER(C16),ISNUMBER(D16)), C16-D16, "")</f>
        <v>35548.420000000042</v>
      </c>
      <c r="F16" s="36">
        <f t="shared" ref="F16:F22" si="4">IFERROR(E16/D16, "")</f>
        <v>6.6782700268756504E-2</v>
      </c>
      <c r="G16" s="37">
        <f>SUM('1st Qtr'!G16, '2nd Qtr'!G16, '3rd Qtr'!G16, '4th Qtr'!G16)</f>
        <v>637061.5</v>
      </c>
      <c r="H16" s="37">
        <f>SUM('1st Qtr'!H16, '2nd Qtr'!H16, '3rd Qtr'!H16, '4th Qtr'!H16)</f>
        <v>-69213.25</v>
      </c>
      <c r="I16" s="38">
        <f t="shared" ref="I16:I22" si="5">IFERROR(H16/G16, "")</f>
        <v>-0.10864453431890014</v>
      </c>
    </row>
    <row r="17" spans="1:9" ht="15.6">
      <c r="A17" s="39" t="str">
        <v>Friona - 900 Millard Ave</v>
      </c>
      <c r="B17" s="40" t="str">
        <v>TX</v>
      </c>
      <c r="C17" s="41">
        <f>SUM('1st Qtr'!C17, '2nd Qtr'!C17, '3rd Qtr'!C17, '4th Qtr'!C17)</f>
        <v>449914.62500000023</v>
      </c>
      <c r="D17" s="41">
        <f>SUM('1st Qtr'!D17, '2nd Qtr'!D17, '3rd Qtr'!D17, '4th Qtr'!D17)</f>
        <v>540243.43000000005</v>
      </c>
      <c r="E17" s="42">
        <f t="shared" si="3"/>
        <v>-90328.804999999818</v>
      </c>
      <c r="F17" s="43">
        <f t="shared" si="4"/>
        <v>-0.16720019158770669</v>
      </c>
      <c r="G17" s="44">
        <f>SUM('1st Qtr'!G17, '2nd Qtr'!G17, '3rd Qtr'!G17, '4th Qtr'!G17)</f>
        <v>663007.69999999995</v>
      </c>
      <c r="H17" s="44">
        <f>SUM('1st Qtr'!H17, '2nd Qtr'!H17, '3rd Qtr'!H17, '4th Qtr'!H17)</f>
        <v>-213093.07499999978</v>
      </c>
      <c r="I17" s="43">
        <f t="shared" si="5"/>
        <v>-0.32140362019928242</v>
      </c>
    </row>
    <row r="18" spans="1:9" ht="15.6">
      <c r="A18" s="32" t="str">
        <v>Augusta - 13 York Farm Road</v>
      </c>
      <c r="B18" s="33" t="str">
        <v>ME</v>
      </c>
      <c r="C18" s="34">
        <f>SUM('1st Qtr'!C18, '2nd Qtr'!C18, '3rd Qtr'!C18, '4th Qtr'!C18)</f>
        <v>914926.02500000002</v>
      </c>
      <c r="D18" s="35">
        <f>SUM('1st Qtr'!D18, '2nd Qtr'!D18, '3rd Qtr'!D18, '4th Qtr'!D18)</f>
        <v>1088380.6000000001</v>
      </c>
      <c r="E18" s="35">
        <f t="shared" si="3"/>
        <v>-173454.57500000007</v>
      </c>
      <c r="F18" s="36">
        <f t="shared" si="4"/>
        <v>-0.1593694108476392</v>
      </c>
      <c r="G18" s="37">
        <f>SUM('1st Qtr'!G18, '2nd Qtr'!G18, '3rd Qtr'!G18, '4th Qtr'!G18)</f>
        <v>1164685.4000000001</v>
      </c>
      <c r="H18" s="37">
        <f>SUM('1st Qtr'!H18, '2nd Qtr'!H18, '3rd Qtr'!H18, '4th Qtr'!H18)</f>
        <v>-249759.375</v>
      </c>
      <c r="I18" s="38">
        <f t="shared" si="5"/>
        <v>-0.21444363859974544</v>
      </c>
    </row>
    <row r="19" spans="1:9" ht="15.6">
      <c r="A19" s="39" t="str">
        <v xml:space="preserve">Santa Ana - 1441 West </v>
      </c>
      <c r="B19" s="40" t="str">
        <v>CA</v>
      </c>
      <c r="C19" s="41">
        <f>SUM('1st Qtr'!C19, '2nd Qtr'!C19, '3rd Qtr'!C19, '4th Qtr'!C19)</f>
        <v>449631.49075255089</v>
      </c>
      <c r="D19" s="41">
        <f>SUM('1st Qtr'!D19, '2nd Qtr'!D19, '3rd Qtr'!D19, '4th Qtr'!D19)</f>
        <v>447086.71100000001</v>
      </c>
      <c r="E19" s="42">
        <f t="shared" si="3"/>
        <v>2544.7797525508795</v>
      </c>
      <c r="F19" s="43">
        <f t="shared" si="4"/>
        <v>5.6919154381908687E-3</v>
      </c>
      <c r="G19" s="44">
        <f>SUM('1st Qtr'!G19, '2nd Qtr'!G19, '3rd Qtr'!G19, '4th Qtr'!G19)</f>
        <v>498448.63300000003</v>
      </c>
      <c r="H19" s="44">
        <f>SUM('1st Qtr'!H19, '2nd Qtr'!H19, '3rd Qtr'!H19, '4th Qtr'!H19)</f>
        <v>-48817.142247449105</v>
      </c>
      <c r="I19" s="43">
        <f t="shared" si="5"/>
        <v>-9.7938160555551365E-2</v>
      </c>
    </row>
    <row r="20" spans="1:9" ht="15.6">
      <c r="A20" s="32" t="str">
        <v>Jessup -7950 Oceano Ave</v>
      </c>
      <c r="B20" s="33" t="str">
        <v>MD</v>
      </c>
      <c r="C20" s="34">
        <f>SUM('1st Qtr'!C20, '2nd Qtr'!C20, '3rd Qtr'!C20, '4th Qtr'!C20)</f>
        <v>1408721.600088083</v>
      </c>
      <c r="D20" s="35">
        <f>SUM('1st Qtr'!D20, '2nd Qtr'!D20, '3rd Qtr'!D20, '4th Qtr'!D20)</f>
        <v>1415873.612</v>
      </c>
      <c r="E20" s="35">
        <f t="shared" si="3"/>
        <v>-7152.0119119170122</v>
      </c>
      <c r="F20" s="36">
        <f t="shared" si="4"/>
        <v>-5.0513067347970411E-3</v>
      </c>
      <c r="G20" s="37">
        <f>SUM('1st Qtr'!G20, '2nd Qtr'!G20, '3rd Qtr'!G20, '4th Qtr'!G20)</f>
        <v>1649388.2820000001</v>
      </c>
      <c r="H20" s="37">
        <f>SUM('1st Qtr'!H20, '2nd Qtr'!H20, '3rd Qtr'!H20, '4th Qtr'!H20)</f>
        <v>-240666.681911917</v>
      </c>
      <c r="I20" s="38">
        <f t="shared" si="5"/>
        <v>-0.14591269050371306</v>
      </c>
    </row>
    <row r="21" spans="1:9" ht="15.6">
      <c r="A21" s="39" t="str">
        <v xml:space="preserve">TX: Fort Worth - 5200 Gold Spike Dr </v>
      </c>
      <c r="B21" s="40" t="str">
        <v>TX</v>
      </c>
      <c r="C21" s="41">
        <f>SUM('1st Qtr'!C21, '2nd Qtr'!C21, '3rd Qtr'!C21, '4th Qtr'!C21)</f>
        <v>1248879</v>
      </c>
      <c r="D21" s="41">
        <f>SUM('1st Qtr'!D21, '2nd Qtr'!D21, '3rd Qtr'!D21, '4th Qtr'!D21)</f>
        <v>3317778.5279999999</v>
      </c>
      <c r="E21" s="42">
        <f t="shared" si="3"/>
        <v>-2068899.5279999999</v>
      </c>
      <c r="F21" s="43">
        <f>IFERROR(E21/D21, "")</f>
        <v>-0.6235797569186029</v>
      </c>
      <c r="G21" s="44">
        <f>SUM('1st Qtr'!G21, '2nd Qtr'!G21, '3rd Qtr'!G21, '4th Qtr'!G21)</f>
        <v>3362038.1100000003</v>
      </c>
      <c r="H21" s="44">
        <f>SUM('1st Qtr'!H21, '2nd Qtr'!H21, '3rd Qtr'!H21, '4th Qtr'!H21)</f>
        <v>-2113159.1100000003</v>
      </c>
      <c r="I21" s="43">
        <f>IFERROR(H21/G21, "")</f>
        <v>-0.62853514471315741</v>
      </c>
    </row>
    <row r="22" spans="1:9" ht="15.75">
      <c r="A22" s="32" t="str">
        <v>NY: Clifton Springs - Ontario 2 (21597)</v>
      </c>
      <c r="B22" s="33" t="str">
        <v>NY</v>
      </c>
      <c r="C22" s="34">
        <f>SUM('1st Qtr'!C22, '2nd Qtr'!C22, '3rd Qtr'!C22, '4th Qtr'!C22)</f>
        <v>1315652</v>
      </c>
      <c r="D22" s="35">
        <f>SUM('1st Qtr'!D22, '2nd Qtr'!D22, '3rd Qtr'!D22, '4th Qtr'!D22)</f>
        <v>1400190.9</v>
      </c>
      <c r="E22" s="35">
        <f t="shared" si="3"/>
        <v>-84538.899999999907</v>
      </c>
      <c r="F22" s="36">
        <f t="shared" si="4"/>
        <v>-6.0376695777697109E-2</v>
      </c>
      <c r="G22" s="37">
        <f>SUM('1st Qtr'!G22, '2nd Qtr'!G22, '3rd Qtr'!G22, '4th Qtr'!G22)</f>
        <v>1294078.8</v>
      </c>
      <c r="H22" s="37">
        <f>SUM('1st Qtr'!H22, '2nd Qtr'!H22, '3rd Qtr'!H22, '4th Qtr'!H22)</f>
        <v>21573.199999999953</v>
      </c>
      <c r="I22" s="38">
        <f t="shared" si="5"/>
        <v>1.6670700424116332E-2</v>
      </c>
    </row>
    <row r="23" spans="1:9" ht="13.9">
      <c r="A23" s="13"/>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autoFilter ref="A2:I2" xr:uid="{D5C25034-9971-4A61-864F-C938F31EB1B8}"/>
  <mergeCells count="4">
    <mergeCell ref="G1:I1"/>
    <mergeCell ref="A1:C1"/>
    <mergeCell ref="D1:F1"/>
    <mergeCell ref="A2:B2"/>
  </mergeCells>
  <conditionalFormatting sqref="F2 I2 F4:F92 I4:I92">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4"/>
  <sheetViews>
    <sheetView workbookViewId="0">
      <pane xSplit="2" ySplit="3" topLeftCell="C4" activePane="bottomRight" state="frozen"/>
      <selection pane="bottomRight" activeCell="A4" sqref="A4"/>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100" t="str" cm="1">
        <f t="array" ref="A1">portfolio</f>
        <v>Catalyze</v>
      </c>
      <c r="B1" s="100"/>
      <c r="C1" s="100"/>
      <c r="D1" s="101" t="s">
        <v>10</v>
      </c>
      <c r="E1" s="101"/>
      <c r="F1" s="101"/>
      <c r="G1" s="99" t="s">
        <v>11</v>
      </c>
      <c r="H1" s="99"/>
      <c r="I1" s="99"/>
    </row>
    <row r="2" spans="1:9" ht="19.5" customHeight="1">
      <c r="A2" s="102" t="s">
        <v>2</v>
      </c>
      <c r="B2" s="102"/>
      <c r="C2" s="5">
        <f>SUM(C4:C92)</f>
        <v>8269951.4124521911</v>
      </c>
      <c r="D2" s="5">
        <f>SUM(D4:D92)</f>
        <v>10417124.418</v>
      </c>
      <c r="E2" s="5">
        <f>C2-D2</f>
        <v>-2147173.0055478085</v>
      </c>
      <c r="F2" s="6">
        <f>IFERROR(E2/D2, 0)</f>
        <v>-0.20611955078866645</v>
      </c>
      <c r="G2" s="5">
        <f>SUM(G4:G92)</f>
        <v>10616412.676999999</v>
      </c>
      <c r="H2" s="7">
        <f>C2-G2</f>
        <v>-2346461.2645478081</v>
      </c>
      <c r="I2" s="6">
        <f>IFERROR(H2/G2, 0)</f>
        <v>-0.2210220472713269</v>
      </c>
    </row>
    <row r="3" spans="1:9" ht="14.25" customHeight="1">
      <c r="A3" s="17" t="s">
        <v>3</v>
      </c>
      <c r="B3" s="17" t="s">
        <v>4</v>
      </c>
      <c r="C3" s="25" t="s">
        <v>5</v>
      </c>
      <c r="D3" s="26" t="s">
        <v>6</v>
      </c>
      <c r="E3" s="26" t="s">
        <v>7</v>
      </c>
      <c r="F3" s="27" t="s">
        <v>8</v>
      </c>
      <c r="G3" s="28" t="s">
        <v>9</v>
      </c>
      <c r="H3" s="29" t="s">
        <v>7</v>
      </c>
      <c r="I3" s="30" t="s">
        <v>8</v>
      </c>
    </row>
    <row r="4" spans="1:9" ht="15.6">
      <c r="A4" s="53" t="str" cm="1">
        <f t="array" ref="A4:A22">Sites[Site]</f>
        <v>Fresno - 3150 Shaw Ave</v>
      </c>
      <c r="B4" s="33" t="str" cm="1">
        <f t="array" ref="B4:B22">Sites[State]</f>
        <v>CA</v>
      </c>
      <c r="C4" s="34">
        <f>SUM(Jan!C4, Feb!C4, Mar!C4)</f>
        <v>191319.25</v>
      </c>
      <c r="D4" s="35">
        <f>SUM(Jan!D4, Feb!D4, Mar!D4)</f>
        <v>182900.38999999998</v>
      </c>
      <c r="E4" s="35">
        <f>IF(AND(ISNUMBER(C4),ISNUMBER(D4)), C4-D4, "")</f>
        <v>8418.8600000000151</v>
      </c>
      <c r="F4" s="36">
        <f>IFERROR(E4/D4, "")</f>
        <v>4.6029754228517586E-2</v>
      </c>
      <c r="G4" s="37">
        <f>SUM(Jan!G4, Feb!G4, Mar!G4)</f>
        <v>210362.36</v>
      </c>
      <c r="H4" s="37">
        <f>SUM(Jan!H4, Feb!H4, Mar!H4)</f>
        <v>-19043.11</v>
      </c>
      <c r="I4" s="38">
        <f>IFERROR(H4/G4, "")</f>
        <v>-9.0525272677108221E-2</v>
      </c>
    </row>
    <row r="5" spans="1:9" ht="15.6">
      <c r="A5" s="54" t="str">
        <v>Adelanto - 1 Sheep Creek Road</v>
      </c>
      <c r="B5" s="40" t="str">
        <v>CA</v>
      </c>
      <c r="C5" s="41">
        <f>SUM(Jan!C5, Feb!C5, Mar!C5)</f>
        <v>1587343</v>
      </c>
      <c r="D5" s="42">
        <f>SUM(Jan!D5, Feb!D5, Mar!D5)</f>
        <v>1054002.04</v>
      </c>
      <c r="E5" s="42">
        <f t="shared" ref="E5:E15" si="0">IF(AND(ISNUMBER(C5),ISNUMBER(D5)), C5-D5, "")</f>
        <v>533340.96</v>
      </c>
      <c r="F5" s="43">
        <f>IFERROR(E5/D5, "")</f>
        <v>0.50601511169750668</v>
      </c>
      <c r="G5" s="44">
        <f>SUM(Jan!G5, Feb!G5, Mar!G5)</f>
        <v>1729663.7399999998</v>
      </c>
      <c r="H5" s="44">
        <f>SUM(Jan!H5, Feb!H5, Mar!H5)</f>
        <v>-142320.74</v>
      </c>
      <c r="I5" s="43">
        <f>IFERROR(H5/G5, "")</f>
        <v>-8.2282316908603298E-2</v>
      </c>
    </row>
    <row r="6" spans="1:9" ht="15.6">
      <c r="A6" s="53" t="str">
        <v>Blackstone - 83 Federal Street</v>
      </c>
      <c r="B6" s="33" t="str">
        <v>MA</v>
      </c>
      <c r="C6" s="34">
        <f>SUM(Jan!C6, Feb!C6, Mar!C6)</f>
        <v>1187392.8</v>
      </c>
      <c r="D6" s="35">
        <f>SUM(Jan!D6, Feb!D6, Mar!D6)</f>
        <v>1690571.4</v>
      </c>
      <c r="E6" s="35">
        <f t="shared" si="0"/>
        <v>-503178.59999999986</v>
      </c>
      <c r="F6" s="36">
        <f t="shared" ref="F6:F15" si="1">IFERROR(E6/D6, "")</f>
        <v>-0.29763818316103058</v>
      </c>
      <c r="G6" s="37">
        <f>SUM(Jan!G6, Feb!G6, Mar!G6)</f>
        <v>1569257.0999999999</v>
      </c>
      <c r="H6" s="37">
        <f>SUM(Jan!H6, Feb!H6, Mar!H6)</f>
        <v>-381864.29999999987</v>
      </c>
      <c r="I6" s="38">
        <f t="shared" ref="I6:I15" si="2">IFERROR(H6/G6, "")</f>
        <v>-0.24334081394310716</v>
      </c>
    </row>
    <row r="7" spans="1:9" ht="15.6">
      <c r="A7" s="54" t="str">
        <v>Charlton - 299 Worcester Road</v>
      </c>
      <c r="B7" s="40" t="str">
        <v>MA</v>
      </c>
      <c r="C7" s="41">
        <f>SUM(Jan!C7, Feb!C7, Mar!C7)</f>
        <v>106801.75</v>
      </c>
      <c r="D7" s="42">
        <f>SUM(Jan!D7, Feb!D7, Mar!D7)</f>
        <v>132014.25</v>
      </c>
      <c r="E7" s="42">
        <f t="shared" si="0"/>
        <v>-25212.5</v>
      </c>
      <c r="F7" s="43">
        <f t="shared" si="1"/>
        <v>-0.19098317037744031</v>
      </c>
      <c r="G7" s="44">
        <f>SUM(Jan!G7, Feb!G7, Mar!G7)</f>
        <v>122312.48999999999</v>
      </c>
      <c r="H7" s="44">
        <f>SUM(Jan!H7, Feb!H7, Mar!H7)</f>
        <v>-15510.739999999998</v>
      </c>
      <c r="I7" s="43">
        <f t="shared" si="2"/>
        <v>-0.12681239667347136</v>
      </c>
    </row>
    <row r="8" spans="1:9" ht="15.6">
      <c r="A8" s="53" t="str">
        <v>Wareham - 8 Thatcher Drive</v>
      </c>
      <c r="B8" s="33" t="str">
        <v>MA</v>
      </c>
      <c r="C8" s="34">
        <f>SUM(Jan!C8, Feb!C8, Mar!C8)</f>
        <v>31580.9375</v>
      </c>
      <c r="D8" s="35">
        <f>SUM(Jan!D8, Feb!D8, Mar!D8)</f>
        <v>35070.627999999997</v>
      </c>
      <c r="E8" s="35">
        <f t="shared" si="0"/>
        <v>-3489.690499999997</v>
      </c>
      <c r="F8" s="36">
        <f t="shared" si="1"/>
        <v>-9.9504648163129483E-2</v>
      </c>
      <c r="G8" s="37">
        <f>SUM(Jan!G8, Feb!G8, Mar!G8)</f>
        <v>36936.370000000003</v>
      </c>
      <c r="H8" s="37">
        <f>SUM(Jan!H8, Feb!H8, Mar!H8)</f>
        <v>-5355.4325000000008</v>
      </c>
      <c r="I8" s="38">
        <f t="shared" si="2"/>
        <v>-0.14499076384604118</v>
      </c>
    </row>
    <row r="9" spans="1:9" ht="15.6">
      <c r="A9" s="54" t="str">
        <v>West Yarmouth - 42 Mid Tech</v>
      </c>
      <c r="B9" s="40" t="str">
        <v>MA</v>
      </c>
      <c r="C9" s="41">
        <f>SUM(Jan!C9, Feb!C9, Mar!C9)</f>
        <v>24674.208702191569</v>
      </c>
      <c r="D9" s="42">
        <f>SUM(Jan!D9, Feb!D9, Mar!D9)</f>
        <v>29517.25</v>
      </c>
      <c r="E9" s="42">
        <f t="shared" si="0"/>
        <v>-4843.0412978084314</v>
      </c>
      <c r="F9" s="43">
        <f t="shared" si="1"/>
        <v>-0.16407494931975139</v>
      </c>
      <c r="G9" s="44">
        <f>SUM(Jan!G9, Feb!G9, Mar!G9)</f>
        <v>30853.656999999999</v>
      </c>
      <c r="H9" s="44">
        <f>SUM(Jan!H9, Feb!H9, Mar!H9)</f>
        <v>-6179.4482978084297</v>
      </c>
      <c r="I9" s="43">
        <f t="shared" si="2"/>
        <v>-0.20028252397465979</v>
      </c>
    </row>
    <row r="10" spans="1:9" ht="15.6">
      <c r="A10" s="53" t="str">
        <v>Harrison - 130 Union Street</v>
      </c>
      <c r="B10" s="33" t="str">
        <v>NY</v>
      </c>
      <c r="C10" s="34">
        <f>SUM(Jan!C10, Feb!C10, Mar!C10)</f>
        <v>45554.375</v>
      </c>
      <c r="D10" s="35">
        <f>SUM(Jan!D10, Feb!D10, Mar!D10)</f>
        <v>54840.160000000003</v>
      </c>
      <c r="E10" s="35">
        <f t="shared" si="0"/>
        <v>-9285.7850000000035</v>
      </c>
      <c r="F10" s="36">
        <f t="shared" si="1"/>
        <v>-0.16932454245210085</v>
      </c>
      <c r="G10" s="37">
        <f>SUM(Jan!G10, Feb!G10, Mar!G10)</f>
        <v>46386.630000000005</v>
      </c>
      <c r="H10" s="37">
        <f>SUM(Jan!H10, Feb!H10, Mar!H10)</f>
        <v>-832.25500000000102</v>
      </c>
      <c r="I10" s="38">
        <f t="shared" si="2"/>
        <v>-1.7941700011404167E-2</v>
      </c>
    </row>
    <row r="11" spans="1:9" ht="15.6">
      <c r="A11" s="54" t="str">
        <v>Staten Island - Ellis Storage</v>
      </c>
      <c r="B11" s="40" t="str">
        <v>NY</v>
      </c>
      <c r="C11" s="41">
        <f>SUM(Jan!C11, Feb!C11, Mar!C11)</f>
        <v>107385.75</v>
      </c>
      <c r="D11" s="42">
        <f>SUM(Jan!D11, Feb!D11, Mar!D11)</f>
        <v>111143.44</v>
      </c>
      <c r="E11" s="42">
        <f t="shared" si="0"/>
        <v>-3757.6900000000023</v>
      </c>
      <c r="F11" s="43">
        <f t="shared" si="1"/>
        <v>-3.3809372824882895E-2</v>
      </c>
      <c r="G11" s="44">
        <f>SUM(Jan!G11, Feb!G11, Mar!G11)</f>
        <v>101748.88</v>
      </c>
      <c r="H11" s="44">
        <f>SUM(Jan!H11, Feb!H11, Mar!H11)</f>
        <v>5636.8699999999953</v>
      </c>
      <c r="I11" s="43">
        <f t="shared" si="2"/>
        <v>5.5399823565625443E-2</v>
      </c>
    </row>
    <row r="12" spans="1:9" ht="15.6">
      <c r="A12" s="53" t="str">
        <v>Amherst - 595 Scholles Road</v>
      </c>
      <c r="B12" s="33" t="str">
        <v>NY</v>
      </c>
      <c r="C12" s="34">
        <f>SUM(Jan!C12, Feb!C12, Mar!C12)</f>
        <v>980445</v>
      </c>
      <c r="D12" s="35">
        <f>SUM(Jan!D12, Feb!D12, Mar!D12)</f>
        <v>1472428.2000000002</v>
      </c>
      <c r="E12" s="35">
        <f t="shared" si="0"/>
        <v>-491983.20000000019</v>
      </c>
      <c r="F12" s="36">
        <f t="shared" si="1"/>
        <v>-0.33413051991261788</v>
      </c>
      <c r="G12" s="37">
        <f>SUM(Jan!G12, Feb!G12, Mar!G12)</f>
        <v>1409205.7999999998</v>
      </c>
      <c r="H12" s="37">
        <f>SUM(Jan!H12, Feb!H12, Mar!H12)</f>
        <v>-428760.79999999993</v>
      </c>
      <c r="I12" s="38">
        <f t="shared" si="2"/>
        <v>-0.30425705031869721</v>
      </c>
    </row>
    <row r="13" spans="1:9" ht="15.6">
      <c r="A13" s="54" t="str">
        <v>Lancaster 1 - Gunnville Road</v>
      </c>
      <c r="B13" s="40" t="str">
        <v>NY</v>
      </c>
      <c r="C13" s="41">
        <f>SUM(Jan!C13, Feb!C13, Mar!C13)</f>
        <v>994031</v>
      </c>
      <c r="D13" s="42">
        <f>SUM(Jan!D13, Feb!D13, Mar!D13)</f>
        <v>1280756.5</v>
      </c>
      <c r="E13" s="42">
        <f t="shared" si="0"/>
        <v>-286725.5</v>
      </c>
      <c r="F13" s="43">
        <f t="shared" si="1"/>
        <v>-0.22387198503384523</v>
      </c>
      <c r="G13" s="44">
        <f>SUM(Jan!G13, Feb!G13, Mar!G13)</f>
        <v>1213137.7000000002</v>
      </c>
      <c r="H13" s="44">
        <f>SUM(Jan!H13, Feb!H13, Mar!H13)</f>
        <v>-219106.70000000007</v>
      </c>
      <c r="I13" s="43">
        <f t="shared" si="2"/>
        <v>-0.18061156618906496</v>
      </c>
    </row>
    <row r="14" spans="1:9" ht="15.6">
      <c r="A14" s="53" t="str">
        <v>Lancaster 2 - Shisler Road</v>
      </c>
      <c r="B14" s="33" t="str">
        <v>NY</v>
      </c>
      <c r="C14" s="34">
        <f>SUM(Jan!C14, Feb!C14, Mar!C14)</f>
        <v>1018864</v>
      </c>
      <c r="D14" s="35">
        <f>SUM(Jan!D14, Feb!D14, Mar!D14)</f>
        <v>1447535.4</v>
      </c>
      <c r="E14" s="35">
        <f t="shared" si="0"/>
        <v>-428671.39999999991</v>
      </c>
      <c r="F14" s="36">
        <f t="shared" si="1"/>
        <v>-0.2961388025467287</v>
      </c>
      <c r="G14" s="37">
        <f>SUM(Jan!G14, Feb!G14, Mar!G14)</f>
        <v>1320331.2999999998</v>
      </c>
      <c r="H14" s="37">
        <f>SUM(Jan!H14, Feb!H14, Mar!H14)</f>
        <v>-301467.3</v>
      </c>
      <c r="I14" s="38">
        <f t="shared" si="2"/>
        <v>-0.22832701156141647</v>
      </c>
    </row>
    <row r="15" spans="1:9" ht="15.6">
      <c r="A15" s="54" t="str">
        <v>Fullerton - 200 W Orangethorpe</v>
      </c>
      <c r="B15" s="40" t="str">
        <v>CA</v>
      </c>
      <c r="C15" s="41">
        <f>SUM(Jan!C15, Feb!C15, Mar!C15)</f>
        <v>233829</v>
      </c>
      <c r="D15" s="42">
        <f>SUM(Jan!D15, Feb!D15, Mar!D15)</f>
        <v>248271.58000000002</v>
      </c>
      <c r="E15" s="42">
        <f t="shared" si="0"/>
        <v>-14442.580000000016</v>
      </c>
      <c r="F15" s="43">
        <f t="shared" si="1"/>
        <v>-5.8172506091917632E-2</v>
      </c>
      <c r="G15" s="44">
        <f>SUM(Jan!G15, Feb!G15, Mar!G15)</f>
        <v>267643.14</v>
      </c>
      <c r="H15" s="44">
        <f>SUM(Jan!H15, Feb!H15, Mar!H15)</f>
        <v>-33814.14</v>
      </c>
      <c r="I15" s="43">
        <f t="shared" si="2"/>
        <v>-0.12634039490046334</v>
      </c>
    </row>
    <row r="16" spans="1:9" ht="15.6">
      <c r="A16" s="53" t="str">
        <v>El Paso - 10500 Railroad Drive</v>
      </c>
      <c r="B16" s="33" t="str">
        <v>TX</v>
      </c>
      <c r="C16" s="34">
        <f>SUM(Jan!C16, Feb!C16, Mar!C16)</f>
        <v>336379.75</v>
      </c>
      <c r="D16" s="35">
        <f>SUM(Jan!D16, Feb!D16, Mar!D16)</f>
        <v>316832.5</v>
      </c>
      <c r="E16" s="35">
        <f t="shared" ref="E16:E17" si="3">IF(AND(ISNUMBER(C16),ISNUMBER(D16)), C16-D16, "")</f>
        <v>19547.25</v>
      </c>
      <c r="F16" s="36">
        <f t="shared" ref="F16:F21" si="4">IFERROR(E16/D16, "")</f>
        <v>6.1695848752889935E-2</v>
      </c>
      <c r="G16" s="37">
        <f>SUM(Jan!G16, Feb!G16, Mar!G16)</f>
        <v>329629.5</v>
      </c>
      <c r="H16" s="37">
        <f>SUM(Jan!H16, Feb!H16, Mar!H16)</f>
        <v>6750.25</v>
      </c>
      <c r="I16" s="38">
        <f t="shared" ref="I16:I21" si="5">IFERROR(H16/G16, "")</f>
        <v>2.0478294570115841E-2</v>
      </c>
    </row>
    <row r="17" spans="1:9" ht="15.6">
      <c r="A17" s="54" t="str">
        <v>Friona - 900 Millard Ave</v>
      </c>
      <c r="B17" s="40" t="str">
        <v>TX</v>
      </c>
      <c r="C17" s="41">
        <f>SUM(Jan!C17, Feb!C17, Mar!C17)</f>
        <v>261826.1250000002</v>
      </c>
      <c r="D17" s="42">
        <f>SUM(Jan!D17, Feb!D17, Mar!D17)</f>
        <v>251426.81</v>
      </c>
      <c r="E17" s="42">
        <f t="shared" si="3"/>
        <v>10399.315000000206</v>
      </c>
      <c r="F17" s="43">
        <f t="shared" si="4"/>
        <v>4.1361201695237694E-2</v>
      </c>
      <c r="G17" s="44">
        <f>SUM(Jan!G17, Feb!G17, Mar!G17)</f>
        <v>257416.8</v>
      </c>
      <c r="H17" s="44">
        <f>SUM(Jan!H17, Feb!H17, Mar!H17)</f>
        <v>4409.3250000002154</v>
      </c>
      <c r="I17" s="43">
        <f t="shared" si="5"/>
        <v>1.7129126770281566E-2</v>
      </c>
    </row>
    <row r="18" spans="1:9" ht="15.6">
      <c r="A18" s="53" t="str">
        <v>Augusta - 13 York Farm Road</v>
      </c>
      <c r="B18" s="33" t="str">
        <v>ME</v>
      </c>
      <c r="C18" s="34">
        <f>SUM(Jan!C18, Feb!C18, Mar!C18)</f>
        <v>249165.875</v>
      </c>
      <c r="D18" s="35">
        <f>SUM(Jan!D18, Feb!D18, Mar!D18)</f>
        <v>430137</v>
      </c>
      <c r="E18" s="35">
        <f>IF(AND(ISNUMBER(C18),ISNUMBER(D18)), C18-D18, "")</f>
        <v>-180971.125</v>
      </c>
      <c r="F18" s="36">
        <f t="shared" si="4"/>
        <v>-0.42072903516786514</v>
      </c>
      <c r="G18" s="37">
        <f>SUM(Jan!G18, Feb!G18, Mar!G18)</f>
        <v>370860.9</v>
      </c>
      <c r="H18" s="37">
        <f>SUM(Jan!H18, Feb!H18, Mar!H18)</f>
        <v>-121695.02499999999</v>
      </c>
      <c r="I18" s="38">
        <f t="shared" si="5"/>
        <v>-0.32814196643539395</v>
      </c>
    </row>
    <row r="19" spans="1:9" ht="15.6">
      <c r="A19" s="54" t="str">
        <v xml:space="preserve">Santa Ana - 1441 West </v>
      </c>
      <c r="B19" s="40" t="str">
        <v>CA</v>
      </c>
      <c r="C19" s="41">
        <f>SUM(Jan!C19, Feb!C19, Mar!C19)</f>
        <v>149317.34125</v>
      </c>
      <c r="D19" s="42">
        <f>SUM(Jan!D19, Feb!D19, Mar!D19)</f>
        <v>147455.37</v>
      </c>
      <c r="E19" s="42">
        <f>SUM(Jan!E19, Feb!E19, Mar!E19)</f>
        <v>1861.9712499999951</v>
      </c>
      <c r="F19" s="43">
        <f t="shared" si="4"/>
        <v>1.2627354636185818E-2</v>
      </c>
      <c r="G19" s="44">
        <f>SUM(Jan!G19, Feb!G19, Mar!G19)</f>
        <v>171259.21000000002</v>
      </c>
      <c r="H19" s="44">
        <f>SUM(Jan!H19, Feb!H19, Mar!H19)</f>
        <v>-21941.868750000001</v>
      </c>
      <c r="I19" s="43">
        <f t="shared" si="5"/>
        <v>-0.12812081026182473</v>
      </c>
    </row>
    <row r="20" spans="1:9" ht="15.6">
      <c r="A20" s="53" t="str">
        <v>Jessup -7950 Oceano Ave</v>
      </c>
      <c r="B20" s="33" t="str">
        <v>MD</v>
      </c>
      <c r="C20" s="34">
        <f>SUM(Jan!C20, Feb!C20, Mar!C20)</f>
        <v>468523.25</v>
      </c>
      <c r="D20" s="35">
        <f>SUM(Jan!D20, Feb!D20, Mar!D20)</f>
        <v>510687.1</v>
      </c>
      <c r="E20" s="35">
        <f>SUM(Jan!E20, Feb!E20, Mar!E20)</f>
        <v>-42163.849999999977</v>
      </c>
      <c r="F20" s="36">
        <f t="shared" si="4"/>
        <v>-8.256298230364538E-2</v>
      </c>
      <c r="G20" s="37">
        <f>SUM(Jan!G20, Feb!G20, Mar!G20)</f>
        <v>480450.7</v>
      </c>
      <c r="H20" s="37">
        <f>SUM(Jan!H20, Feb!H20, Mar!H20)</f>
        <v>-11927.449999999997</v>
      </c>
      <c r="I20" s="38">
        <f t="shared" si="5"/>
        <v>-2.4825544015234024E-2</v>
      </c>
    </row>
    <row r="21" spans="1:9" ht="15.6">
      <c r="A21" s="54" t="str">
        <v xml:space="preserve">TX: Fort Worth - 5200 Gold Spike Dr </v>
      </c>
      <c r="B21" s="40" t="str">
        <v>TX</v>
      </c>
      <c r="C21" s="41">
        <f>SUM(Jan!C21, Feb!C21, Mar!C21)</f>
        <v>295518</v>
      </c>
      <c r="D21" s="42">
        <f>SUM(Jan!D21, Feb!D21, Mar!D21)</f>
        <v>1021534.3999999999</v>
      </c>
      <c r="E21" s="42">
        <f>SUM(Jan!E21, Feb!E21, Mar!E21)</f>
        <v>-726016.4</v>
      </c>
      <c r="F21" s="43">
        <f t="shared" si="4"/>
        <v>-0.710711651022227</v>
      </c>
      <c r="G21" s="44">
        <f>SUM(Jan!G21, Feb!G21, Mar!G21)</f>
        <v>948956.4</v>
      </c>
      <c r="H21" s="44">
        <f>SUM(Jan!H21, Feb!H21, Mar!H21)</f>
        <v>-653438.4</v>
      </c>
      <c r="I21" s="43">
        <f t="shared" si="5"/>
        <v>-0.68858632493547645</v>
      </c>
    </row>
    <row r="22" spans="1:9" ht="13.9">
      <c r="A22" s="13" t="str">
        <v>NY: Clifton Springs - Ontario 2 (21597)</v>
      </c>
      <c r="B22" s="13" t="str">
        <v>NY</v>
      </c>
      <c r="C22" s="13"/>
      <c r="D22" s="13"/>
      <c r="E22" s="13"/>
      <c r="F22" s="13"/>
      <c r="G22" s="13"/>
      <c r="H22" s="13"/>
      <c r="I22" s="13"/>
    </row>
    <row r="23" spans="1:9" ht="13.9">
      <c r="A23" s="13"/>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sortState xmlns:xlrd2="http://schemas.microsoft.com/office/spreadsheetml/2017/richdata2" ref="A3:I3">
    <sortCondition ref="A3"/>
  </sortState>
  <mergeCells count="4">
    <mergeCell ref="G1:I1"/>
    <mergeCell ref="A1:C1"/>
    <mergeCell ref="D1:F1"/>
    <mergeCell ref="A2:B2"/>
  </mergeCells>
  <conditionalFormatting sqref="F2 I2 F4:F92 I4:I92">
    <cfRule type="cellIs" dxfId="52" priority="1" stopIfTrue="1" operator="lessThanOrEqual">
      <formula>-0.1</formula>
    </cfRule>
    <cfRule type="expression" dxfId="51"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4"/>
  <sheetViews>
    <sheetView workbookViewId="0">
      <pane xSplit="2" ySplit="3" topLeftCell="C4" activePane="bottomRight" state="frozen"/>
      <selection pane="bottomRight" activeCell="K7" sqref="K7"/>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100" t="str" cm="1">
        <f t="array" ref="A1">portfolio</f>
        <v>Catalyze</v>
      </c>
      <c r="B1" s="100"/>
      <c r="C1" s="100"/>
      <c r="D1" s="101" t="s">
        <v>12</v>
      </c>
      <c r="E1" s="101"/>
      <c r="F1" s="101"/>
      <c r="G1" s="99" t="s">
        <v>13</v>
      </c>
      <c r="H1" s="99"/>
      <c r="I1" s="99"/>
    </row>
    <row r="2" spans="1:9" ht="19.5" customHeight="1">
      <c r="A2" s="102" t="s">
        <v>2</v>
      </c>
      <c r="B2" s="102"/>
      <c r="C2" s="5">
        <f>SUM(C4:C92)</f>
        <v>15350624.491748305</v>
      </c>
      <c r="D2" s="5">
        <f>SUM(D4:D92)</f>
        <v>14934047.525899999</v>
      </c>
      <c r="E2" s="5">
        <f>C2-D2</f>
        <v>416576.96584830619</v>
      </c>
      <c r="F2" s="6">
        <f>IFERROR(E2/D2, 0)</f>
        <v>2.7894444900208072E-2</v>
      </c>
      <c r="G2" s="5">
        <f>SUM(G4:G92)</f>
        <v>16198515.895</v>
      </c>
      <c r="H2" s="7">
        <f>C2-G2</f>
        <v>-847891.40325169452</v>
      </c>
      <c r="I2" s="6">
        <f>IFERROR(H2/G2, 0)</f>
        <v>-5.2343770796521763E-2</v>
      </c>
    </row>
    <row r="3" spans="1:9" ht="14.25" customHeight="1">
      <c r="A3" s="17" t="s">
        <v>3</v>
      </c>
      <c r="B3" s="17" t="s">
        <v>4</v>
      </c>
      <c r="C3" s="25" t="s">
        <v>5</v>
      </c>
      <c r="D3" s="26" t="s">
        <v>6</v>
      </c>
      <c r="E3" s="26" t="s">
        <v>7</v>
      </c>
      <c r="F3" s="27" t="s">
        <v>8</v>
      </c>
      <c r="G3" s="28" t="s">
        <v>9</v>
      </c>
      <c r="H3" s="29" t="s">
        <v>7</v>
      </c>
      <c r="I3" s="30" t="s">
        <v>8</v>
      </c>
    </row>
    <row r="4" spans="1:9" ht="15.6">
      <c r="A4" s="53" t="str" cm="1">
        <f t="array" ref="A4:A22">Sites[Site]</f>
        <v>Fresno - 3150 Shaw Ave</v>
      </c>
      <c r="B4" s="33" t="str" cm="1">
        <f t="array" ref="B4:B22">Sites[State]</f>
        <v>CA</v>
      </c>
      <c r="C4" s="34">
        <f>SUM(Apr!C4, May!C4, Jun!C4)</f>
        <v>346396</v>
      </c>
      <c r="D4" s="35">
        <f>SUM(Apr!D4, May!D4, Jun!D4)</f>
        <v>339259.99</v>
      </c>
      <c r="E4" s="35">
        <f>IF(AND(ISNUMBER(C4),ISNUMBER(D4)), C4-D4, "")</f>
        <v>7136.0100000000093</v>
      </c>
      <c r="F4" s="36">
        <f>IFERROR(E4/D4, "")</f>
        <v>2.1034045305489781E-2</v>
      </c>
      <c r="G4" s="37">
        <f>SUM(Apr!G4+May!G4+Jun!G4)</f>
        <v>378908</v>
      </c>
      <c r="H4" s="37">
        <f>SUM(Apr!H4, May!H4, Jun!H4)</f>
        <v>-32512.000000000015</v>
      </c>
      <c r="I4" s="38">
        <f>IFERROR(H4/G4, "")</f>
        <v>-8.5804469686573029E-2</v>
      </c>
    </row>
    <row r="5" spans="1:9" ht="15.6">
      <c r="A5" s="54" t="str">
        <v>Adelanto - 1 Sheep Creek Road</v>
      </c>
      <c r="B5" s="40" t="str">
        <v>CA</v>
      </c>
      <c r="C5" s="41">
        <f>SUM(Apr!C5, May!C5, Jun!C5)</f>
        <v>2238750</v>
      </c>
      <c r="D5" s="42">
        <f>SUM(Apr!D5, May!D5, Jun!D5)</f>
        <v>1160367.1549</v>
      </c>
      <c r="E5" s="42">
        <f t="shared" ref="E5:E15" si="0">IF(AND(ISNUMBER(C5),ISNUMBER(D5)), C5-D5, "")</f>
        <v>1078382.8451</v>
      </c>
      <c r="F5" s="43">
        <f>IFERROR(E5/D5, "")</f>
        <v>0.9293462336866426</v>
      </c>
      <c r="G5" s="44">
        <f>SUM(Apr!G5+May!G5+Jun!G5)</f>
        <v>0</v>
      </c>
      <c r="H5" s="44">
        <f>SUM(Apr!H5, May!H5, Jun!H5)</f>
        <v>0</v>
      </c>
      <c r="I5" s="43" t="str">
        <f>IFERROR(H5/G5, "")</f>
        <v/>
      </c>
    </row>
    <row r="6" spans="1:9" ht="15.6">
      <c r="A6" s="53" t="str">
        <v>Blackstone - 83 Federal Street</v>
      </c>
      <c r="B6" s="33" t="str">
        <v>MA</v>
      </c>
      <c r="C6" s="34">
        <f>SUM(Apr!C6, May!C6, Jun!C6)</f>
        <v>1984775.1022279342</v>
      </c>
      <c r="D6" s="35">
        <f>SUM(Apr!D6, May!D6, Jun!D6)</f>
        <v>2078573.1</v>
      </c>
      <c r="E6" s="35">
        <f t="shared" si="0"/>
        <v>-93797.997772065923</v>
      </c>
      <c r="F6" s="36">
        <f t="shared" ref="F6:F21" si="1">IFERROR(E6/D6, "")</f>
        <v>-4.5126148208146213E-2</v>
      </c>
      <c r="G6" s="37">
        <f>SUM(Apr!G6+May!G6+Jun!G6)</f>
        <v>2479544.0999999996</v>
      </c>
      <c r="H6" s="37">
        <f>SUM(Apr!H6, May!H6, Jun!H6)</f>
        <v>-494768.99777206604</v>
      </c>
      <c r="I6" s="38">
        <f t="shared" ref="I6:I21" si="2">IFERROR(H6/G6, "")</f>
        <v>-0.19954030975777609</v>
      </c>
    </row>
    <row r="7" spans="1:9" ht="15.6">
      <c r="A7" s="54" t="str">
        <v>Charlton - 299 Worcester Road</v>
      </c>
      <c r="B7" s="40" t="str">
        <v>MA</v>
      </c>
      <c r="C7" s="41">
        <f>SUM(Apr!C7, May!C7, Jun!C7)</f>
        <v>166857.25</v>
      </c>
      <c r="D7" s="42">
        <f>SUM(Apr!D7, May!D7, Jun!D7)</f>
        <v>170294.03000000003</v>
      </c>
      <c r="E7" s="42">
        <f t="shared" si="0"/>
        <v>-3436.7800000000279</v>
      </c>
      <c r="F7" s="43">
        <f t="shared" si="1"/>
        <v>-2.018144734727358E-2</v>
      </c>
      <c r="G7" s="44">
        <f>SUM(Apr!G7+May!G7+Jun!G7)</f>
        <v>202020.58000000002</v>
      </c>
      <c r="H7" s="44">
        <f>SUM(Apr!H7, May!H7, Jun!H7)</f>
        <v>-35163.330000000009</v>
      </c>
      <c r="I7" s="43">
        <f t="shared" si="2"/>
        <v>-0.17405815783718673</v>
      </c>
    </row>
    <row r="8" spans="1:9" ht="15.6">
      <c r="A8" s="53" t="str">
        <v>Wareham - 8 Thatcher Drive</v>
      </c>
      <c r="B8" s="33" t="str">
        <v>MA</v>
      </c>
      <c r="C8" s="34">
        <f>SUM(Apr!C8, May!C8, Jun!C8)</f>
        <v>55670.5625</v>
      </c>
      <c r="D8" s="35">
        <f>SUM(Apr!D8, May!D8, Jun!D8)</f>
        <v>57321.729999999996</v>
      </c>
      <c r="E8" s="35">
        <f t="shared" si="0"/>
        <v>-1651.1674999999959</v>
      </c>
      <c r="F8" s="36">
        <f t="shared" si="1"/>
        <v>-2.8805262855813949E-2</v>
      </c>
      <c r="G8" s="37">
        <f>SUM(Apr!G8+May!G8+Jun!G8)</f>
        <v>62112.17</v>
      </c>
      <c r="H8" s="37">
        <f>SUM(Apr!H8, May!H8, Jun!H8)</f>
        <v>-6441.6074999999983</v>
      </c>
      <c r="I8" s="38">
        <f t="shared" si="2"/>
        <v>-0.10370926502809351</v>
      </c>
    </row>
    <row r="9" spans="1:9" ht="15.6">
      <c r="A9" s="54" t="str">
        <v>West Yarmouth - 42 Mid Tech</v>
      </c>
      <c r="B9" s="40" t="str">
        <v>MA</v>
      </c>
      <c r="C9" s="41">
        <f>SUM(Apr!C9, May!C9, Jun!C9)</f>
        <v>52233.168182288908</v>
      </c>
      <c r="D9" s="42">
        <f>SUM(Apr!D9, May!D9, Jun!D9)</f>
        <v>58112.09</v>
      </c>
      <c r="E9" s="42">
        <f t="shared" si="0"/>
        <v>-5878.9218177110888</v>
      </c>
      <c r="F9" s="43">
        <f t="shared" si="1"/>
        <v>-0.10116521050457984</v>
      </c>
      <c r="G9" s="44">
        <f>SUM(Apr!G9+May!G9+Jun!G9)</f>
        <v>63067.369999999995</v>
      </c>
      <c r="H9" s="44">
        <f>SUM(Apr!H9, May!H9, Jun!H9)</f>
        <v>-10834.201817711095</v>
      </c>
      <c r="I9" s="43">
        <f t="shared" si="2"/>
        <v>-0.17178775359922407</v>
      </c>
    </row>
    <row r="10" spans="1:9" ht="15.6">
      <c r="A10" s="53" t="str">
        <v>Harrison - 130 Union Street</v>
      </c>
      <c r="B10" s="33" t="str">
        <v>NY</v>
      </c>
      <c r="C10" s="34">
        <f>SUM(Apr!C10, May!C10, Jun!C10)</f>
        <v>66585.875</v>
      </c>
      <c r="D10" s="35">
        <f>SUM(Apr!D10, May!D10, Jun!D10)</f>
        <v>77963.94</v>
      </c>
      <c r="E10" s="35">
        <f t="shared" si="0"/>
        <v>-11378.065000000002</v>
      </c>
      <c r="F10" s="36">
        <f t="shared" si="1"/>
        <v>-0.14594009743478847</v>
      </c>
      <c r="G10" s="37">
        <f>SUM(Apr!G10+May!G10+Jun!G10)</f>
        <v>86720.98</v>
      </c>
      <c r="H10" s="37">
        <f>SUM(Apr!H10, May!H10, Jun!H10)</f>
        <v>-20135.105</v>
      </c>
      <c r="I10" s="38">
        <f t="shared" si="2"/>
        <v>-0.23218262754872004</v>
      </c>
    </row>
    <row r="11" spans="1:9" ht="15.6">
      <c r="A11" s="54" t="str">
        <v>Staten Island - Ellis Storage</v>
      </c>
      <c r="B11" s="40" t="str">
        <v>NY</v>
      </c>
      <c r="C11" s="41">
        <f>SUM(Apr!C11, May!C11, Jun!C11)</f>
        <v>173769.875</v>
      </c>
      <c r="D11" s="42">
        <f>SUM(Apr!D11, May!D11, Jun!D11)</f>
        <v>148187.32</v>
      </c>
      <c r="E11" s="42">
        <f t="shared" si="0"/>
        <v>25582.554999999993</v>
      </c>
      <c r="F11" s="43">
        <f t="shared" si="1"/>
        <v>0.1726365994067508</v>
      </c>
      <c r="G11" s="44">
        <f>SUM(Apr!G11+May!G11+Jun!G11)</f>
        <v>205349.19</v>
      </c>
      <c r="H11" s="44">
        <f>SUM(Apr!H11, May!H11, Jun!H11)</f>
        <v>-31579.315000000002</v>
      </c>
      <c r="I11" s="43">
        <f t="shared" si="2"/>
        <v>-0.15378348947955434</v>
      </c>
    </row>
    <row r="12" spans="1:9" ht="15.6">
      <c r="A12" s="53" t="str">
        <v>Amherst - 595 Scholles Road</v>
      </c>
      <c r="B12" s="33" t="str">
        <v>NY</v>
      </c>
      <c r="C12" s="34">
        <f>SUM(Apr!C12, May!C12, Jun!C12)</f>
        <v>2774532</v>
      </c>
      <c r="D12" s="35">
        <f>SUM(Apr!D12, May!D12, Jun!D12)</f>
        <v>2888555.8</v>
      </c>
      <c r="E12" s="35">
        <f t="shared" si="0"/>
        <v>-114023.79999999981</v>
      </c>
      <c r="F12" s="36">
        <f t="shared" si="1"/>
        <v>-3.9474328313131364E-2</v>
      </c>
      <c r="G12" s="37">
        <f>SUM(Apr!G12+May!G12+Jun!G12)</f>
        <v>3248259.3</v>
      </c>
      <c r="H12" s="37">
        <f>SUM(Apr!H12, May!H12, Jun!H12)</f>
        <v>-473727.30000000005</v>
      </c>
      <c r="I12" s="38">
        <f t="shared" si="2"/>
        <v>-0.14584035824972472</v>
      </c>
    </row>
    <row r="13" spans="1:9" ht="15.6">
      <c r="A13" s="54" t="str">
        <v>Lancaster 1 - Gunnville Road</v>
      </c>
      <c r="B13" s="40" t="str">
        <v>NY</v>
      </c>
      <c r="C13" s="41">
        <f>SUM(Apr!C13, May!C13, Jun!C13)</f>
        <v>2095567</v>
      </c>
      <c r="D13" s="42">
        <f>SUM(Apr!D13, May!D13, Jun!D13)</f>
        <v>2148098.2999999998</v>
      </c>
      <c r="E13" s="42">
        <f t="shared" si="0"/>
        <v>-52531.299999999814</v>
      </c>
      <c r="F13" s="43">
        <f t="shared" si="1"/>
        <v>-2.4454793339764674E-2</v>
      </c>
      <c r="G13" s="44">
        <f>SUM(Apr!G13+May!G13+Jun!G13)</f>
        <v>2535076.7000000002</v>
      </c>
      <c r="H13" s="44">
        <f>SUM(Apr!H13, May!H13, Jun!H13)</f>
        <v>-439509.70000000007</v>
      </c>
      <c r="I13" s="43">
        <f t="shared" si="2"/>
        <v>-0.1733713619000167</v>
      </c>
    </row>
    <row r="14" spans="1:9" ht="15.6">
      <c r="A14" s="53" t="str">
        <v>Lancaster 2 - Shisler Road</v>
      </c>
      <c r="B14" s="33" t="str">
        <v>NY</v>
      </c>
      <c r="C14" s="34">
        <f>SUM(Apr!C14, May!C14, Jun!C14)</f>
        <v>2266198</v>
      </c>
      <c r="D14" s="35">
        <f>SUM(Apr!D14, May!D14, Jun!D14)</f>
        <v>2268322.7000000002</v>
      </c>
      <c r="E14" s="35">
        <f t="shared" si="0"/>
        <v>-2124.7000000001863</v>
      </c>
      <c r="F14" s="36">
        <f t="shared" si="1"/>
        <v>-9.3668330348243049E-4</v>
      </c>
      <c r="G14" s="37">
        <f>SUM(Apr!G14+May!G14+Jun!G14)</f>
        <v>2781914</v>
      </c>
      <c r="H14" s="37">
        <f>SUM(Apr!H14, May!H14, Jun!H14)</f>
        <v>-515715.99999999988</v>
      </c>
      <c r="I14" s="38">
        <f t="shared" si="2"/>
        <v>-0.18538171920483518</v>
      </c>
    </row>
    <row r="15" spans="1:9" ht="15.6">
      <c r="A15" s="54" t="str">
        <v>Fullerton - 200 W Orangethorpe</v>
      </c>
      <c r="B15" s="40" t="str">
        <v>CA</v>
      </c>
      <c r="C15" s="41">
        <f>SUM(Apr!C15, May!C15, Jun!C15)</f>
        <v>355166.875</v>
      </c>
      <c r="D15" s="42">
        <f>SUM(Apr!D15, May!D15, Jun!D15)</f>
        <v>351640.1</v>
      </c>
      <c r="E15" s="42">
        <f t="shared" si="0"/>
        <v>3526.7750000000233</v>
      </c>
      <c r="F15" s="43">
        <f t="shared" si="1"/>
        <v>1.0029501754777181E-2</v>
      </c>
      <c r="G15" s="44">
        <f>SUM(Apr!G15+May!G15+Jun!G15)</f>
        <v>392681.69999999995</v>
      </c>
      <c r="H15" s="44">
        <f>SUM(Apr!H15, May!H15, Jun!H15)</f>
        <v>-37514.824999999983</v>
      </c>
      <c r="I15" s="43">
        <f t="shared" si="2"/>
        <v>-9.5534945988061032E-2</v>
      </c>
    </row>
    <row r="16" spans="1:9" ht="15.6">
      <c r="A16" s="53" t="str">
        <v>El Paso - 10500 Railroad Drive</v>
      </c>
      <c r="B16" s="33" t="str">
        <v>TX</v>
      </c>
      <c r="C16" s="34">
        <f>SUM(Apr!C16, May!C16, Jun!C16)</f>
        <v>231468.5</v>
      </c>
      <c r="D16" s="35">
        <f>SUM(Apr!D16, May!D16, Jun!D16)</f>
        <v>215467.33</v>
      </c>
      <c r="E16" s="35">
        <f t="shared" ref="E16:E21" si="3">IF(AND(ISNUMBER(C16),ISNUMBER(D16)), C16-D16, "")</f>
        <v>16001.170000000013</v>
      </c>
      <c r="F16" s="36">
        <f t="shared" si="1"/>
        <v>7.4262627192716466E-2</v>
      </c>
      <c r="G16" s="37">
        <f>SUM(Apr!G16+May!G16+Jun!G16)</f>
        <v>307432</v>
      </c>
      <c r="H16" s="37">
        <f>SUM(Apr!H16, May!H16, Jun!H16)</f>
        <v>-75963.5</v>
      </c>
      <c r="I16" s="38">
        <f>IFERROR(H16/G16, "")</f>
        <v>-0.24709041348981239</v>
      </c>
    </row>
    <row r="17" spans="1:9" ht="15.6">
      <c r="A17" s="54" t="str">
        <v>Friona - 900 Millard Ave</v>
      </c>
      <c r="B17" s="40" t="str">
        <v>TX</v>
      </c>
      <c r="C17" s="41">
        <f>SUM(Apr!C17, May!C17, Jun!C17)</f>
        <v>184410</v>
      </c>
      <c r="D17" s="42">
        <f>SUM(Apr!D17, May!D17, Jun!D17)</f>
        <v>176485.52000000002</v>
      </c>
      <c r="E17" s="42">
        <f t="shared" si="3"/>
        <v>7924.4799999999814</v>
      </c>
      <c r="F17" s="43">
        <f t="shared" si="1"/>
        <v>4.4901587393685216E-2</v>
      </c>
      <c r="G17" s="44">
        <f>SUM(Apr!G17+May!G17+Jun!G17)</f>
        <v>263310.40000000002</v>
      </c>
      <c r="H17" s="44">
        <f>SUM(Apr!H17, May!H17, Jun!H17)</f>
        <v>-78900.400000000009</v>
      </c>
      <c r="I17" s="43">
        <f t="shared" si="2"/>
        <v>-0.29964786806749755</v>
      </c>
    </row>
    <row r="18" spans="1:9" ht="15.6">
      <c r="A18" s="53" t="str">
        <v>Augusta - 13 York Farm Road</v>
      </c>
      <c r="B18" s="33" t="str">
        <v>ME</v>
      </c>
      <c r="C18" s="34">
        <f>SUM(Apr!C18, May!C18, Jun!C18)</f>
        <v>496871.77500000002</v>
      </c>
      <c r="D18" s="35">
        <f>SUM(Apr!D18, May!D18, Jun!D18)</f>
        <v>484552.8</v>
      </c>
      <c r="E18" s="35">
        <f t="shared" si="3"/>
        <v>12318.975000000035</v>
      </c>
      <c r="F18" s="36">
        <f t="shared" si="1"/>
        <v>2.5423390392130714E-2</v>
      </c>
      <c r="G18" s="37">
        <f>SUM(Apr!G18+May!G18+Jun!G18)</f>
        <v>577791.80000000005</v>
      </c>
      <c r="H18" s="37">
        <f>SUM(Apr!H18, May!H18, Jun!H18)</f>
        <v>-80920.024999999994</v>
      </c>
      <c r="I18" s="38">
        <f t="shared" si="2"/>
        <v>-0.14005049050540347</v>
      </c>
    </row>
    <row r="19" spans="1:9" ht="15.6">
      <c r="A19" s="54" t="str">
        <v xml:space="preserve">Santa Ana - 1441 West </v>
      </c>
      <c r="B19" s="40" t="str">
        <v>CA</v>
      </c>
      <c r="C19" s="41">
        <f>SUM(Apr!C19, May!C19, Jun!C19)</f>
        <v>217337.15874999989</v>
      </c>
      <c r="D19" s="42">
        <f>SUM(Apr!D19, May!D19, Jun!D19)</f>
        <v>218090.08100000001</v>
      </c>
      <c r="E19" s="42">
        <f t="shared" si="3"/>
        <v>-752.92225000011967</v>
      </c>
      <c r="F19" s="43">
        <f t="shared" si="1"/>
        <v>-3.4523452261000336E-3</v>
      </c>
      <c r="G19" s="44">
        <f>SUM(Apr!G19+May!G19+Jun!G19)</f>
        <v>239339.81299999999</v>
      </c>
      <c r="H19" s="44">
        <f>SUM(Apr!H19, May!H19, Jun!H19)</f>
        <v>-22002.654250000109</v>
      </c>
      <c r="I19" s="43">
        <f t="shared" si="2"/>
        <v>-9.19306068397409E-2</v>
      </c>
    </row>
    <row r="20" spans="1:9" ht="15.6">
      <c r="A20" s="53" t="str">
        <v>Jessup -7950 Oceano Ave</v>
      </c>
      <c r="B20" s="33" t="str">
        <v>MD</v>
      </c>
      <c r="C20" s="34">
        <f>SUM(Apr!C20, May!C20, Jun!C20)</f>
        <v>690674.35008808295</v>
      </c>
      <c r="D20" s="35">
        <f>SUM(Apr!D20, May!D20, Jun!D20)</f>
        <v>666041.51199999999</v>
      </c>
      <c r="E20" s="35">
        <f t="shared" si="3"/>
        <v>24632.838088082965</v>
      </c>
      <c r="F20" s="36">
        <f t="shared" si="1"/>
        <v>3.6983938154417868E-2</v>
      </c>
      <c r="G20" s="37">
        <f>SUM(Apr!G20+May!G20+Jun!G20)</f>
        <v>857702.28200000001</v>
      </c>
      <c r="H20" s="37">
        <f>SUM(Apr!H20, May!H20, Jun!H20)</f>
        <v>-167027.931911917</v>
      </c>
      <c r="I20" s="38">
        <f t="shared" si="2"/>
        <v>-0.19473882187003089</v>
      </c>
    </row>
    <row r="21" spans="1:9" ht="15.6">
      <c r="A21" s="54" t="str">
        <v xml:space="preserve">TX: Fort Worth - 5200 Gold Spike Dr </v>
      </c>
      <c r="B21" s="40" t="str">
        <v>TX</v>
      </c>
      <c r="C21" s="41">
        <f>SUM(Apr!C21, May!C21, Jun!C21)</f>
        <v>953361</v>
      </c>
      <c r="D21" s="42">
        <f>SUM(Apr!D21, May!D21, Jun!D21)</f>
        <v>1426714.0279999999</v>
      </c>
      <c r="E21" s="42">
        <f t="shared" si="3"/>
        <v>-473353.02799999993</v>
      </c>
      <c r="F21" s="43">
        <f t="shared" si="1"/>
        <v>-0.33177849149177913</v>
      </c>
      <c r="G21" s="44">
        <f>SUM(Apr!G21+May!G21+Jun!G21)</f>
        <v>1517285.51</v>
      </c>
      <c r="H21" s="44">
        <f>SUM(Apr!H21, May!H21, Jun!H21)</f>
        <v>-563924.51</v>
      </c>
      <c r="I21" s="43">
        <f t="shared" si="2"/>
        <v>-0.37166670760600623</v>
      </c>
    </row>
    <row r="22" spans="1:9" ht="13.9">
      <c r="A22" s="13" t="str">
        <v>NY: Clifton Springs - Ontario 2 (21597)</v>
      </c>
      <c r="B22" s="13" t="str">
        <v>NY</v>
      </c>
      <c r="C22" s="13"/>
      <c r="D22" s="13"/>
      <c r="E22" s="13"/>
      <c r="F22" s="13"/>
      <c r="G22" s="13"/>
      <c r="H22" s="13"/>
      <c r="I22" s="13"/>
    </row>
    <row r="23" spans="1:9" ht="13.9">
      <c r="A23" s="13"/>
      <c r="B23" s="13"/>
      <c r="C23" s="13"/>
      <c r="D23" s="13"/>
      <c r="E23" s="13"/>
      <c r="F23" s="94"/>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sortState xmlns:xlrd2="http://schemas.microsoft.com/office/spreadsheetml/2017/richdata2" ref="A3:I4">
    <sortCondition ref="A3:A4"/>
  </sortState>
  <mergeCells count="4">
    <mergeCell ref="G1:I1"/>
    <mergeCell ref="A1:C1"/>
    <mergeCell ref="D1:F1"/>
    <mergeCell ref="A2:B2"/>
  </mergeCells>
  <conditionalFormatting sqref="F2 I2 F4:F92 I4:I92">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4"/>
  <sheetViews>
    <sheetView workbookViewId="0">
      <pane xSplit="2" ySplit="3" topLeftCell="C4" activePane="bottomRight" state="frozen"/>
      <selection pane="bottomRight" activeCell="F29" sqref="F29"/>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100" t="str" cm="1">
        <f t="array" ref="A1">portfolio</f>
        <v>Catalyze</v>
      </c>
      <c r="B1" s="100"/>
      <c r="C1" s="100"/>
      <c r="D1" s="101" t="s">
        <v>14</v>
      </c>
      <c r="E1" s="101"/>
      <c r="F1" s="101"/>
      <c r="G1" s="99" t="s">
        <v>15</v>
      </c>
      <c r="H1" s="99"/>
      <c r="I1" s="99"/>
    </row>
    <row r="2" spans="1:9" ht="19.5" customHeight="1">
      <c r="A2" s="102" t="s">
        <v>2</v>
      </c>
      <c r="B2" s="102"/>
      <c r="C2" s="5">
        <f>SUM(C4:C92)</f>
        <v>5941708.1351613533</v>
      </c>
      <c r="D2" s="5">
        <f>SUM(D4:D92)</f>
        <v>7773446.5399999991</v>
      </c>
      <c r="E2" s="5">
        <f>C2-D2</f>
        <v>-1831738.4048386458</v>
      </c>
      <c r="F2" s="6">
        <f>IFERROR(E2/D2, 0)</f>
        <v>-0.23564044538198445</v>
      </c>
      <c r="G2" s="5">
        <f>SUM(G4:G92)</f>
        <v>7522355.1699999999</v>
      </c>
      <c r="H2" s="7">
        <f>C2-G2</f>
        <v>-1580647.0348386467</v>
      </c>
      <c r="I2" s="6">
        <f>IFERROR(H2/G2, 0)</f>
        <v>-0.21012661581607381</v>
      </c>
    </row>
    <row r="3" spans="1:9" ht="14.25" customHeight="1">
      <c r="A3" s="17" t="s">
        <v>3</v>
      </c>
      <c r="B3" s="17" t="s">
        <v>4</v>
      </c>
      <c r="C3" s="25" t="s">
        <v>5</v>
      </c>
      <c r="D3" s="26" t="s">
        <v>6</v>
      </c>
      <c r="E3" s="26" t="s">
        <v>7</v>
      </c>
      <c r="F3" s="27" t="s">
        <v>8</v>
      </c>
      <c r="G3" s="28" t="s">
        <v>9</v>
      </c>
      <c r="H3" s="29" t="s">
        <v>7</v>
      </c>
      <c r="I3" s="30" t="s">
        <v>8</v>
      </c>
    </row>
    <row r="4" spans="1:9" ht="15.6">
      <c r="A4" s="53" t="str" cm="1">
        <f t="array" ref="A4:A22">Sites[Site]</f>
        <v>Fresno - 3150 Shaw Ave</v>
      </c>
      <c r="B4" s="33" t="str" cm="1">
        <f t="array" ref="B4:B22">Sites[State]</f>
        <v>CA</v>
      </c>
      <c r="C4" s="34">
        <f>SUM(Jul!C4, Aug!C4, Sep!C4)</f>
        <v>105481.5</v>
      </c>
      <c r="D4" s="35">
        <f>SUM(Jul!D4, Aug!D4, Sep!D4)</f>
        <v>116640.3</v>
      </c>
      <c r="E4" s="35">
        <f>IF(AND(ISNUMBER(C4),ISNUMBER(D4)), C4-D4, "")</f>
        <v>-11158.800000000003</v>
      </c>
      <c r="F4" s="36">
        <f>IFERROR(E4/D4, "")</f>
        <v>-9.5668478218934649E-2</v>
      </c>
      <c r="G4" s="37">
        <f>SUM(Jul!G4,Aug!G4,Sep!G4)</f>
        <v>129527.9</v>
      </c>
      <c r="H4" s="37">
        <f>SUM(Jul!H4, Aug!H4, Sep!H4)</f>
        <v>-24046.399999999994</v>
      </c>
      <c r="I4" s="38">
        <f>IFERROR(H4/G4, "")</f>
        <v>-0.18564649006121459</v>
      </c>
    </row>
    <row r="5" spans="1:9" ht="15.6">
      <c r="A5" s="54" t="str">
        <v>Adelanto - 1 Sheep Creek Road</v>
      </c>
      <c r="B5" s="40" t="str">
        <v>CA</v>
      </c>
      <c r="C5" s="41">
        <f>SUM(Jul!C5, Aug!C5, Sep!C5)</f>
        <v>0</v>
      </c>
      <c r="D5" s="42">
        <f>SUM(Jul!D5, Aug!D5, Sep!D5)</f>
        <v>499964</v>
      </c>
      <c r="E5" s="42">
        <f t="shared" ref="E5:E15" si="0">IF(AND(ISNUMBER(C5),ISNUMBER(D5)), C5-D5, "")</f>
        <v>-499964</v>
      </c>
      <c r="F5" s="43">
        <f>IFERROR(E5/D5, "")</f>
        <v>-1</v>
      </c>
      <c r="G5" s="44">
        <f>SUM(Jul!G5,Aug!G5,Sep!G5)</f>
        <v>0</v>
      </c>
      <c r="H5" s="44">
        <f>SUM(Jul!H5, Aug!H5, Sep!H5)</f>
        <v>0</v>
      </c>
      <c r="I5" s="43" t="str">
        <f>IFERROR(H5/G5, "")</f>
        <v/>
      </c>
    </row>
    <row r="6" spans="1:9" ht="15.6">
      <c r="A6" s="53" t="str">
        <v>Blackstone - 83 Federal Street</v>
      </c>
      <c r="B6" s="33" t="str">
        <v>MA</v>
      </c>
      <c r="C6" s="34">
        <f>SUM(Jul!C6, Aug!C6, Sep!C6)</f>
        <v>873092</v>
      </c>
      <c r="D6" s="35">
        <f>SUM(Jul!D6, Aug!D6, Sep!D6)</f>
        <v>817809.3</v>
      </c>
      <c r="E6" s="35">
        <f t="shared" si="0"/>
        <v>55282.699999999953</v>
      </c>
      <c r="F6" s="36">
        <f t="shared" ref="F6:F15" si="1">IFERROR(E6/D6, "")</f>
        <v>6.7598522051534451E-2</v>
      </c>
      <c r="G6" s="37">
        <f>SUM(Jul!G6,Aug!G6,Sep!G6)</f>
        <v>921306.5</v>
      </c>
      <c r="H6" s="37">
        <f>SUM(Jul!H6, Aug!H6, Sep!H6)</f>
        <v>-48214.5</v>
      </c>
      <c r="I6" s="38">
        <f t="shared" ref="I6:I15" si="2">IFERROR(H6/G6, "")</f>
        <v>-5.2332747028269094E-2</v>
      </c>
    </row>
    <row r="7" spans="1:9" ht="15.6">
      <c r="A7" s="54" t="str">
        <v>Charlton - 299 Worcester Road</v>
      </c>
      <c r="B7" s="40" t="str">
        <v>MA</v>
      </c>
      <c r="C7" s="41">
        <f>SUM(Jul!C7, Aug!C7, Sep!C7)</f>
        <v>67250.5</v>
      </c>
      <c r="D7" s="42">
        <f>SUM(Jul!D7, Aug!D7, Sep!D7)</f>
        <v>71010.960000000006</v>
      </c>
      <c r="E7" s="42">
        <f t="shared" si="0"/>
        <v>-3760.4600000000064</v>
      </c>
      <c r="F7" s="43">
        <f t="shared" si="1"/>
        <v>-5.2956050727944057E-2</v>
      </c>
      <c r="G7" s="44">
        <f>SUM(Jul!G7,Aug!G7,Sep!G7)</f>
        <v>66359.28</v>
      </c>
      <c r="H7" s="44">
        <f>SUM(Jul!H7, Aug!H7, Sep!H7)</f>
        <v>891.22000000000116</v>
      </c>
      <c r="I7" s="43">
        <f t="shared" si="2"/>
        <v>1.3430224077175057E-2</v>
      </c>
    </row>
    <row r="8" spans="1:9" ht="15.6">
      <c r="A8" s="53" t="str">
        <v>Wareham - 8 Thatcher Drive</v>
      </c>
      <c r="B8" s="33" t="str">
        <v>MA</v>
      </c>
      <c r="C8" s="34">
        <f>SUM(Jul!C8, Aug!C8, Sep!C8)</f>
        <v>20666.6875</v>
      </c>
      <c r="D8" s="35">
        <f>SUM(Jul!D8, Aug!D8, Sep!D8)</f>
        <v>21644.77</v>
      </c>
      <c r="E8" s="35">
        <f t="shared" si="0"/>
        <v>-978.08250000000044</v>
      </c>
      <c r="F8" s="36">
        <f t="shared" si="1"/>
        <v>-4.5187936854953897E-2</v>
      </c>
      <c r="G8" s="37">
        <f>SUM(Jul!G8,Aug!G8,Sep!G8)</f>
        <v>20765.72</v>
      </c>
      <c r="H8" s="37">
        <f>SUM(Jul!H8, Aug!H8, Sep!H8)</f>
        <v>-99.032500000001164</v>
      </c>
      <c r="I8" s="38">
        <f t="shared" si="2"/>
        <v>-4.7690376254712653E-3</v>
      </c>
    </row>
    <row r="9" spans="1:9" ht="15.6">
      <c r="A9" s="54" t="str">
        <v>West Yarmouth - 42 Mid Tech</v>
      </c>
      <c r="B9" s="40" t="str">
        <v>MA</v>
      </c>
      <c r="C9" s="41">
        <f>SUM(Jul!C9, Aug!C9, Sep!C9)</f>
        <v>19231.3944088026</v>
      </c>
      <c r="D9" s="42">
        <f>SUM(Jul!D9, Aug!D9, Sep!D9)</f>
        <v>21683.27</v>
      </c>
      <c r="E9" s="42">
        <f t="shared" si="0"/>
        <v>-2451.8755911974004</v>
      </c>
      <c r="F9" s="43">
        <f t="shared" si="1"/>
        <v>-0.11307683717434687</v>
      </c>
      <c r="G9" s="44">
        <f>SUM(Jul!G9,Aug!G9,Sep!G9)</f>
        <v>22774.39</v>
      </c>
      <c r="H9" s="44">
        <f>SUM(Jul!H9, Aug!H9, Sep!H9)</f>
        <v>-3542.9955911973993</v>
      </c>
      <c r="I9" s="43">
        <f t="shared" si="2"/>
        <v>-0.15556928599173894</v>
      </c>
    </row>
    <row r="10" spans="1:9" ht="15.6">
      <c r="A10" s="53" t="str">
        <v>Harrison - 130 Union Street</v>
      </c>
      <c r="B10" s="33" t="str">
        <v>NY</v>
      </c>
      <c r="C10" s="34">
        <f>SUM(Jul!C10, Aug!C10, Sep!C10)</f>
        <v>22933.3125</v>
      </c>
      <c r="D10" s="35">
        <f>SUM(Jul!D10, Aug!D10, Sep!D10)</f>
        <v>32350.12</v>
      </c>
      <c r="E10" s="35">
        <f t="shared" si="0"/>
        <v>-9416.807499999999</v>
      </c>
      <c r="F10" s="36">
        <f t="shared" si="1"/>
        <v>-0.29109034216874619</v>
      </c>
      <c r="G10" s="37">
        <f>SUM(Jul!G10,Aug!G10,Sep!G10)</f>
        <v>32205.39</v>
      </c>
      <c r="H10" s="37">
        <f>SUM(Jul!H10, Aug!H10, Sep!H10)</f>
        <v>-9272.0774999999994</v>
      </c>
      <c r="I10" s="38">
        <f t="shared" si="2"/>
        <v>-0.28790452467739097</v>
      </c>
    </row>
    <row r="11" spans="1:9" ht="15.6">
      <c r="A11" s="54" t="str">
        <v>Staten Island - Ellis Storage</v>
      </c>
      <c r="B11" s="40" t="str">
        <v>NY</v>
      </c>
      <c r="C11" s="41">
        <f>SUM(Jul!C11, Aug!C11, Sep!C11)</f>
        <v>73787.5</v>
      </c>
      <c r="D11" s="42">
        <f>SUM(Jul!D11, Aug!D11, Sep!D11)</f>
        <v>63480.86</v>
      </c>
      <c r="E11" s="42">
        <f t="shared" si="0"/>
        <v>10306.64</v>
      </c>
      <c r="F11" s="43">
        <f t="shared" si="1"/>
        <v>0.16235822892128429</v>
      </c>
      <c r="G11" s="44">
        <f>SUM(Jul!G11,Aug!G11,Sep!G11)</f>
        <v>73833.38</v>
      </c>
      <c r="H11" s="44">
        <f>SUM(Jul!H11, Aug!H11, Sep!H11)</f>
        <v>-45.880000000004657</v>
      </c>
      <c r="I11" s="43">
        <f t="shared" si="2"/>
        <v>-6.2139915577486297E-4</v>
      </c>
    </row>
    <row r="12" spans="1:9" ht="15.6">
      <c r="A12" s="53" t="str">
        <v>Amherst - 595 Scholles Road</v>
      </c>
      <c r="B12" s="33" t="str">
        <v>NY</v>
      </c>
      <c r="C12" s="34">
        <f>SUM(Jul!C12, Aug!C12, Sep!C12)</f>
        <v>1201793</v>
      </c>
      <c r="D12" s="35">
        <f>SUM(Jul!D12, Aug!D12, Sep!D12)</f>
        <v>1273216</v>
      </c>
      <c r="E12" s="35">
        <f t="shared" si="0"/>
        <v>-71423</v>
      </c>
      <c r="F12" s="36">
        <f t="shared" si="1"/>
        <v>-5.609653036091284E-2</v>
      </c>
      <c r="G12" s="37">
        <f>SUM(Jul!G12,Aug!G12,Sep!G12)</f>
        <v>1219682</v>
      </c>
      <c r="H12" s="37">
        <f>SUM(Jul!H12, Aug!H12, Sep!H12)</f>
        <v>-17889</v>
      </c>
      <c r="I12" s="38">
        <f t="shared" si="2"/>
        <v>-1.4666937775584128E-2</v>
      </c>
    </row>
    <row r="13" spans="1:9" ht="15.6">
      <c r="A13" s="54" t="str">
        <v>Lancaster 1 - Gunnville Road</v>
      </c>
      <c r="B13" s="40" t="str">
        <v>NY</v>
      </c>
      <c r="C13" s="41">
        <f>SUM(Jul!C13, Aug!C13, Sep!C13)</f>
        <v>768592</v>
      </c>
      <c r="D13" s="42">
        <f>SUM(Jul!D13, Aug!D13, Sep!D13)</f>
        <v>909610.4</v>
      </c>
      <c r="E13" s="42">
        <f t="shared" si="0"/>
        <v>-141018.40000000002</v>
      </c>
      <c r="F13" s="43">
        <f t="shared" si="1"/>
        <v>-0.15503164871465852</v>
      </c>
      <c r="G13" s="44">
        <f>SUM(Jul!G13,Aug!G13,Sep!G13)</f>
        <v>927008.5</v>
      </c>
      <c r="H13" s="44">
        <f>SUM(Jul!H13, Aug!H13, Sep!H13)</f>
        <v>-158416.5</v>
      </c>
      <c r="I13" s="43">
        <f t="shared" si="2"/>
        <v>-0.1708900188078103</v>
      </c>
    </row>
    <row r="14" spans="1:9" ht="15.6">
      <c r="A14" s="53" t="str">
        <v>Lancaster 2 - Shisler Road</v>
      </c>
      <c r="B14" s="33" t="str">
        <v>NY</v>
      </c>
      <c r="C14" s="34">
        <f>SUM(Jul!C14, Aug!C14, Sep!C14)</f>
        <v>840379</v>
      </c>
      <c r="D14" s="35">
        <f>SUM(Jul!D14, Aug!D14, Sep!D14)</f>
        <v>935735.2</v>
      </c>
      <c r="E14" s="35">
        <f t="shared" si="0"/>
        <v>-95356.199999999953</v>
      </c>
      <c r="F14" s="36">
        <f t="shared" si="1"/>
        <v>-0.10190511161704717</v>
      </c>
      <c r="G14" s="37">
        <f>SUM(Jul!G14,Aug!G14,Sep!G14)</f>
        <v>1015648</v>
      </c>
      <c r="H14" s="37">
        <f>SUM(Jul!H14, Aug!H14, Sep!H14)</f>
        <v>-175269</v>
      </c>
      <c r="I14" s="38">
        <f t="shared" si="2"/>
        <v>-0.17256864583005135</v>
      </c>
    </row>
    <row r="15" spans="1:9" ht="15.6">
      <c r="A15" s="54" t="str">
        <v>Fullerton - 200 W Orangethorpe</v>
      </c>
      <c r="B15" s="40" t="str">
        <v>CA</v>
      </c>
      <c r="C15" s="41">
        <f>SUM(Jul!C15, Aug!C15, Sep!C15)</f>
        <v>127781.375</v>
      </c>
      <c r="D15" s="42">
        <f>SUM(Jul!D15, Aug!D15, Sep!D15)</f>
        <v>133872.20000000001</v>
      </c>
      <c r="E15" s="42">
        <f t="shared" si="0"/>
        <v>-6090.8250000000116</v>
      </c>
      <c r="F15" s="43">
        <f t="shared" si="1"/>
        <v>-4.5497310121145475E-2</v>
      </c>
      <c r="G15" s="44">
        <f>SUM(Jul!G15,Aug!G15,Sep!G15)</f>
        <v>145971</v>
      </c>
      <c r="H15" s="44">
        <f>SUM(Jul!H15, Aug!H15, Sep!H15)</f>
        <v>-18189.625</v>
      </c>
      <c r="I15" s="43">
        <f t="shared" si="2"/>
        <v>-0.12461122414726213</v>
      </c>
    </row>
    <row r="16" spans="1:9" ht="15.6">
      <c r="A16" s="53" t="str">
        <v>El Paso - 10500 Railroad Drive</v>
      </c>
      <c r="B16" s="33" t="str">
        <v>TX</v>
      </c>
      <c r="C16" s="34">
        <f>SUM(Jul!C16, Aug!C16, Sep!C16)</f>
        <v>0</v>
      </c>
      <c r="D16" s="35">
        <f>SUM(Jul!D16, Aug!D16, Sep!D16)</f>
        <v>0</v>
      </c>
      <c r="E16" s="35">
        <f t="shared" ref="E16:E19" si="3">IF(AND(ISNUMBER(C16),ISNUMBER(D16)), C16-D16, "")</f>
        <v>0</v>
      </c>
      <c r="F16" s="36" t="str">
        <f t="shared" ref="F16:F21" si="4">IFERROR(E16/D16, "")</f>
        <v/>
      </c>
      <c r="G16" s="37">
        <f>SUM(Jul!G16,Aug!G16,Sep!G16)</f>
        <v>0</v>
      </c>
      <c r="H16" s="37">
        <f>SUM(Jul!H16, Aug!H16, Sep!H16)</f>
        <v>0</v>
      </c>
      <c r="I16" s="38" t="str">
        <f t="shared" ref="I16:I22" si="5">IFERROR(H16/G16, "")</f>
        <v/>
      </c>
    </row>
    <row r="17" spans="1:9" ht="15.6">
      <c r="A17" s="54" t="str">
        <v>Friona - 900 Millard Ave</v>
      </c>
      <c r="B17" s="40" t="str">
        <v>TX</v>
      </c>
      <c r="C17" s="41">
        <f>SUM(Jul!C17, Aug!C17, Sep!C17)</f>
        <v>3678.5</v>
      </c>
      <c r="D17" s="42">
        <f>SUM(Jul!D17, Aug!D17, Sep!D17)</f>
        <v>112331.1</v>
      </c>
      <c r="E17" s="42">
        <f t="shared" si="3"/>
        <v>-108652.6</v>
      </c>
      <c r="F17" s="43">
        <f t="shared" si="4"/>
        <v>-0.96725305814685336</v>
      </c>
      <c r="G17" s="44">
        <f>SUM(Jul!G17,Aug!G17,Sep!G17)</f>
        <v>142280.5</v>
      </c>
      <c r="H17" s="44">
        <f>SUM(Jul!H17, Aug!H17, Sep!H17)</f>
        <v>-138602</v>
      </c>
      <c r="I17" s="43">
        <f t="shared" si="5"/>
        <v>-0.97414614089773366</v>
      </c>
    </row>
    <row r="18" spans="1:9" ht="15.6">
      <c r="A18" s="53" t="str">
        <v>Augusta - 13 York Farm Road</v>
      </c>
      <c r="B18" s="33" t="str">
        <v>ME</v>
      </c>
      <c r="C18" s="34">
        <f>SUM(Jul!C18, Aug!C18, Sep!C18)</f>
        <v>168888.375</v>
      </c>
      <c r="D18" s="35">
        <f>SUM(Jul!D18, Aug!D18, Sep!D18)</f>
        <v>173690.8</v>
      </c>
      <c r="E18" s="35">
        <f t="shared" si="3"/>
        <v>-4802.4249999999884</v>
      </c>
      <c r="F18" s="36">
        <f t="shared" si="4"/>
        <v>-2.7649276760772525E-2</v>
      </c>
      <c r="G18" s="37">
        <f>SUM(Jul!G18,Aug!G18,Sep!G18)</f>
        <v>216032.7</v>
      </c>
      <c r="H18" s="37">
        <f>SUM(Jul!H18, Aug!H18, Sep!H18)</f>
        <v>-47144.325000000012</v>
      </c>
      <c r="I18" s="38">
        <f t="shared" si="5"/>
        <v>-0.21822772663582879</v>
      </c>
    </row>
    <row r="19" spans="1:9" ht="15.6">
      <c r="A19" s="54" t="str">
        <v xml:space="preserve">Santa Ana - 1441 West </v>
      </c>
      <c r="B19" s="40" t="str">
        <v>CA</v>
      </c>
      <c r="C19" s="41">
        <f>SUM(Jul!C19, Aug!C19, Sep!C19)</f>
        <v>82976.990752551006</v>
      </c>
      <c r="D19" s="42">
        <f>SUM(Jul!D19, Aug!D19, Sep!D19)</f>
        <v>81541.259999999995</v>
      </c>
      <c r="E19" s="42">
        <f t="shared" si="3"/>
        <v>1435.7307525510114</v>
      </c>
      <c r="F19" s="43">
        <f t="shared" si="4"/>
        <v>1.7607414363611889E-2</v>
      </c>
      <c r="G19" s="44">
        <f>SUM(Jul!G19,Aug!G19,Sep!G19)</f>
        <v>87849.61</v>
      </c>
      <c r="H19" s="44">
        <f>SUM(Jul!H19, Aug!H19, Sep!H19)</f>
        <v>-4872.6192474489944</v>
      </c>
      <c r="I19" s="43">
        <f t="shared" si="5"/>
        <v>-5.5465462481267637E-2</v>
      </c>
    </row>
    <row r="20" spans="1:9" ht="15.75">
      <c r="A20" s="53" t="str">
        <v>Jessup -7950 Oceano Ave</v>
      </c>
      <c r="B20" s="33" t="str">
        <v>MD</v>
      </c>
      <c r="C20" s="34">
        <f>SUM(Jul!C20, Aug!C20, Sep!C20)</f>
        <v>249524</v>
      </c>
      <c r="D20" s="35">
        <f>SUM(Jul!D20, Aug!D20, Sep!D20)</f>
        <v>239145</v>
      </c>
      <c r="E20" s="35">
        <f>IF(AND(ISNUMBER(C20),ISNUMBER(D20)), C20-D20, "")</f>
        <v>10379</v>
      </c>
      <c r="F20" s="36">
        <f>IFERROR(E20/D20, "")</f>
        <v>4.3400447427293064E-2</v>
      </c>
      <c r="G20" s="37">
        <f>SUM(Jul!G20,Aug!G20,Sep!G20)</f>
        <v>311235.3</v>
      </c>
      <c r="H20" s="37">
        <f>SUM(Jul!H20, Aug!H20, Sep!H20)</f>
        <v>-61711.299999999988</v>
      </c>
      <c r="I20" s="38">
        <f t="shared" si="5"/>
        <v>-0.19827860143113582</v>
      </c>
    </row>
    <row r="21" spans="1:9" ht="15.75">
      <c r="A21" s="54" t="str">
        <v xml:space="preserve">TX: Fort Worth - 5200 Gold Spike Dr </v>
      </c>
      <c r="B21" s="40" t="str">
        <v>TX</v>
      </c>
      <c r="C21" s="41">
        <f>SUM(Jul!C21, Aug!C21, Sep!C21)</f>
        <v>0</v>
      </c>
      <c r="D21" s="42">
        <f>SUM(Jul!D21, Aug!D21, Sep!D21)</f>
        <v>869530.1</v>
      </c>
      <c r="E21" s="42">
        <f>IF(AND(ISNUMBER(C21),ISNUMBER(D21)), C21-D21, "")</f>
        <v>-869530.1</v>
      </c>
      <c r="F21" s="43">
        <f t="shared" si="4"/>
        <v>-1</v>
      </c>
      <c r="G21" s="44">
        <f>SUM(Jul!G21,Aug!G21,Sep!G21)</f>
        <v>895796.2</v>
      </c>
      <c r="H21" s="44">
        <f>SUM(Jul!H21, Aug!H21, Sep!H21)</f>
        <v>-895796.2</v>
      </c>
      <c r="I21" s="43">
        <f t="shared" si="5"/>
        <v>-1</v>
      </c>
    </row>
    <row r="22" spans="1:9" ht="15.75">
      <c r="A22" s="53" t="str">
        <v>NY: Clifton Springs - Ontario 2 (21597)</v>
      </c>
      <c r="B22" s="33" t="str">
        <v>NY</v>
      </c>
      <c r="C22" s="34">
        <f>SUM(Jul!C22, Aug!C22, Sep!C22)</f>
        <v>1315652</v>
      </c>
      <c r="D22" s="35">
        <f>SUM(Jul!D22, Aug!D22, Sep!D22)</f>
        <v>1400190.9</v>
      </c>
      <c r="E22" s="35">
        <f>IF(AND(ISNUMBER(C22),ISNUMBER(D22)), C22-D22, "")</f>
        <v>-84538.899999999907</v>
      </c>
      <c r="F22" s="36">
        <f>IFERROR(E22/D22, "")</f>
        <v>-6.0376695777697109E-2</v>
      </c>
      <c r="G22" s="37">
        <f>SUM(Jul!G22,Aug!G22,Sep!G22)</f>
        <v>1294078.8</v>
      </c>
      <c r="H22" s="37">
        <f>SUM(Jul!H22, Aug!H22, Sep!H22)</f>
        <v>21573.199999999953</v>
      </c>
      <c r="I22" s="38">
        <f t="shared" si="5"/>
        <v>1.6670700424116332E-2</v>
      </c>
    </row>
    <row r="23" spans="1:9" ht="15.6">
      <c r="A23" s="9"/>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mergeCells count="4">
    <mergeCell ref="G1:I1"/>
    <mergeCell ref="A1:C1"/>
    <mergeCell ref="D1:F1"/>
    <mergeCell ref="A2:B2"/>
  </mergeCells>
  <conditionalFormatting sqref="F2 I2 F4:F92 I4:I92">
    <cfRule type="cellIs" dxfId="48" priority="1" stopIfTrue="1" operator="lessThanOrEqual">
      <formula>-0.1</formula>
    </cfRule>
    <cfRule type="expression" dxfId="47"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4"/>
  <sheetViews>
    <sheetView workbookViewId="0">
      <pane xSplit="2" ySplit="3" topLeftCell="C15" activePane="bottomRight" state="frozen"/>
      <selection pane="bottomRight" activeCell="H19" sqref="H19:H21"/>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100" t="str" cm="1">
        <f t="array" ref="A1">portfolio</f>
        <v>Catalyze</v>
      </c>
      <c r="B1" s="100"/>
      <c r="C1" s="100"/>
      <c r="D1" s="101" t="s">
        <v>16</v>
      </c>
      <c r="E1" s="101"/>
      <c r="F1" s="101"/>
      <c r="G1" s="99" t="s">
        <v>17</v>
      </c>
      <c r="H1" s="99"/>
      <c r="I1" s="99"/>
    </row>
    <row r="2" spans="1:9" ht="19.5" customHeight="1">
      <c r="A2" s="102" t="s">
        <v>2</v>
      </c>
      <c r="B2" s="102"/>
      <c r="C2" s="5">
        <f>SUM(C4:C92)</f>
        <v>0</v>
      </c>
      <c r="D2" s="5">
        <f>SUM(D4:D92)</f>
        <v>0</v>
      </c>
      <c r="E2" s="5">
        <f>C2-D2</f>
        <v>0</v>
      </c>
      <c r="F2" s="6">
        <f>IFERROR(E2/D2, 0)</f>
        <v>0</v>
      </c>
      <c r="G2" s="5">
        <f>SUM(G4:G92)</f>
        <v>0</v>
      </c>
      <c r="H2" s="7">
        <f>C2-G2</f>
        <v>0</v>
      </c>
      <c r="I2" s="6">
        <f>IFERROR(H2/G2, 0)</f>
        <v>0</v>
      </c>
    </row>
    <row r="3" spans="1:9" ht="14.25" customHeight="1">
      <c r="A3" s="17" t="s">
        <v>3</v>
      </c>
      <c r="B3" s="17" t="s">
        <v>4</v>
      </c>
      <c r="C3" s="25" t="s">
        <v>5</v>
      </c>
      <c r="D3" s="26" t="s">
        <v>6</v>
      </c>
      <c r="E3" s="26" t="s">
        <v>7</v>
      </c>
      <c r="F3" s="27" t="s">
        <v>8</v>
      </c>
      <c r="G3" s="28" t="s">
        <v>9</v>
      </c>
      <c r="H3" s="29" t="s">
        <v>7</v>
      </c>
      <c r="I3" s="30" t="s">
        <v>8</v>
      </c>
    </row>
    <row r="4" spans="1:9" ht="15.6">
      <c r="A4" s="53" t="str" cm="1">
        <f t="array" ref="A4:A22">Sites[Site]</f>
        <v>Fresno - 3150 Shaw Ave</v>
      </c>
      <c r="B4" s="33" t="str" cm="1">
        <f t="array" ref="B4:B22">Sites[State]</f>
        <v>CA</v>
      </c>
      <c r="C4" s="34">
        <f>SUM(Oct!C4, Nov!C4, Dec!C4)</f>
        <v>0</v>
      </c>
      <c r="D4" s="35">
        <f>SUM(Oct!D4, Nov!D4, Dec!D4)</f>
        <v>0</v>
      </c>
      <c r="E4" s="35">
        <f>IF(AND(ISNUMBER(C4),ISNUMBER(D4)), C4-D4, "")</f>
        <v>0</v>
      </c>
      <c r="F4" s="36" t="str">
        <f>IFERROR(E4/D4, "")</f>
        <v/>
      </c>
      <c r="G4" s="37">
        <f>SUM(Oct!G4,Nov!G4,Dec!G4)</f>
        <v>0</v>
      </c>
      <c r="H4" s="37">
        <f>SUM(Oct!H4, Nov!H4, Dec!H4)</f>
        <v>0</v>
      </c>
      <c r="I4" s="38" t="str">
        <f>IFERROR(H4/G4, "")</f>
        <v/>
      </c>
    </row>
    <row r="5" spans="1:9" ht="15.6">
      <c r="A5" s="54" t="str">
        <v>Adelanto - 1 Sheep Creek Road</v>
      </c>
      <c r="B5" s="40" t="str">
        <v>CA</v>
      </c>
      <c r="C5" s="41">
        <f>SUM(Oct!C5, Nov!C5, Dec!C5)</f>
        <v>0</v>
      </c>
      <c r="D5" s="42">
        <f>SUM(Oct!D5, Nov!D5, Dec!D5)</f>
        <v>0</v>
      </c>
      <c r="E5" s="42">
        <f t="shared" ref="E5:E15" si="0">IF(AND(ISNUMBER(C5),ISNUMBER(D5)), C5-D5, "")</f>
        <v>0</v>
      </c>
      <c r="F5" s="43" t="str">
        <f>IFERROR(E5/D5, "")</f>
        <v/>
      </c>
      <c r="G5" s="42">
        <f>SUM(Oct!G5,Nov!G5,Dec!G5)</f>
        <v>0</v>
      </c>
      <c r="H5" s="44">
        <f>SUM(Oct!H5, Nov!H5, Dec!H5)</f>
        <v>0</v>
      </c>
      <c r="I5" s="43" t="str">
        <f>IFERROR(H5/G5, "")</f>
        <v/>
      </c>
    </row>
    <row r="6" spans="1:9" ht="15.6">
      <c r="A6" s="53" t="str">
        <v>Blackstone - 83 Federal Street</v>
      </c>
      <c r="B6" s="33" t="str">
        <v>MA</v>
      </c>
      <c r="C6" s="34">
        <f>SUM(Oct!C6, Nov!C6, Dec!C6)</f>
        <v>0</v>
      </c>
      <c r="D6" s="35">
        <f>SUM(Oct!D6, Nov!D6, Dec!D6)</f>
        <v>0</v>
      </c>
      <c r="E6" s="35">
        <f t="shared" si="0"/>
        <v>0</v>
      </c>
      <c r="F6" s="36" t="str">
        <f t="shared" ref="F6:F15" si="1">IFERROR(E6/D6, "")</f>
        <v/>
      </c>
      <c r="G6" s="37">
        <f>SUM(Oct!G6,Nov!G6,Dec!G6)</f>
        <v>0</v>
      </c>
      <c r="H6" s="37">
        <f>SUM(Oct!H6, Nov!H6, Dec!H6)</f>
        <v>0</v>
      </c>
      <c r="I6" s="38" t="str">
        <f t="shared" ref="I6:I15" si="2">IFERROR(H6/G6, "")</f>
        <v/>
      </c>
    </row>
    <row r="7" spans="1:9" ht="15.6">
      <c r="A7" s="54" t="str">
        <v>Charlton - 299 Worcester Road</v>
      </c>
      <c r="B7" s="40" t="str">
        <v>MA</v>
      </c>
      <c r="C7" s="41">
        <f>SUM(Oct!C7, Nov!C7, Dec!C7)</f>
        <v>0</v>
      </c>
      <c r="D7" s="42">
        <f>SUM(Oct!D7, Nov!D7, Dec!D7)</f>
        <v>0</v>
      </c>
      <c r="E7" s="42">
        <f t="shared" si="0"/>
        <v>0</v>
      </c>
      <c r="F7" s="43" t="str">
        <f t="shared" si="1"/>
        <v/>
      </c>
      <c r="G7" s="42">
        <f>SUM(Oct!G7,Nov!G7,Dec!G7)</f>
        <v>0</v>
      </c>
      <c r="H7" s="44">
        <f>SUM(Oct!H7, Nov!H7, Dec!H7)</f>
        <v>0</v>
      </c>
      <c r="I7" s="43" t="str">
        <f t="shared" si="2"/>
        <v/>
      </c>
    </row>
    <row r="8" spans="1:9" ht="15.6">
      <c r="A8" s="53" t="str">
        <v>Wareham - 8 Thatcher Drive</v>
      </c>
      <c r="B8" s="33" t="str">
        <v>MA</v>
      </c>
      <c r="C8" s="34">
        <f>SUM(Oct!C8, Nov!C8, Dec!C8)</f>
        <v>0</v>
      </c>
      <c r="D8" s="35">
        <f>SUM(Oct!D8, Nov!D8, Dec!D8)</f>
        <v>0</v>
      </c>
      <c r="E8" s="35">
        <f t="shared" si="0"/>
        <v>0</v>
      </c>
      <c r="F8" s="36" t="str">
        <f t="shared" si="1"/>
        <v/>
      </c>
      <c r="G8" s="37">
        <f>SUM(Oct!G8,Nov!G8,Dec!G8)</f>
        <v>0</v>
      </c>
      <c r="H8" s="37">
        <f>SUM(Oct!H8, Nov!H8, Dec!H8)</f>
        <v>0</v>
      </c>
      <c r="I8" s="38" t="str">
        <f t="shared" si="2"/>
        <v/>
      </c>
    </row>
    <row r="9" spans="1:9" ht="15.6">
      <c r="A9" s="54" t="str">
        <v>West Yarmouth - 42 Mid Tech</v>
      </c>
      <c r="B9" s="40" t="str">
        <v>MA</v>
      </c>
      <c r="C9" s="41">
        <f>SUM(Oct!C9, Nov!C9, Dec!C9)</f>
        <v>0</v>
      </c>
      <c r="D9" s="42">
        <f>SUM(Oct!D9, Nov!D9, Dec!D9)</f>
        <v>0</v>
      </c>
      <c r="E9" s="42">
        <f t="shared" si="0"/>
        <v>0</v>
      </c>
      <c r="F9" s="43" t="str">
        <f t="shared" si="1"/>
        <v/>
      </c>
      <c r="G9" s="42">
        <f>SUM(Oct!G9,Nov!G9,Dec!G9)</f>
        <v>0</v>
      </c>
      <c r="H9" s="44">
        <f>SUM(Oct!H9, Nov!H9, Dec!H9)</f>
        <v>0</v>
      </c>
      <c r="I9" s="43" t="str">
        <f t="shared" si="2"/>
        <v/>
      </c>
    </row>
    <row r="10" spans="1:9" ht="15.6">
      <c r="A10" s="53" t="str">
        <v>Harrison - 130 Union Street</v>
      </c>
      <c r="B10" s="33" t="str">
        <v>NY</v>
      </c>
      <c r="C10" s="34">
        <f>SUM(Oct!C10, Nov!C10, Dec!C10)</f>
        <v>0</v>
      </c>
      <c r="D10" s="35">
        <f>SUM(Oct!D10, Nov!D10, Dec!D10)</f>
        <v>0</v>
      </c>
      <c r="E10" s="35">
        <f t="shared" si="0"/>
        <v>0</v>
      </c>
      <c r="F10" s="36" t="str">
        <f t="shared" si="1"/>
        <v/>
      </c>
      <c r="G10" s="37">
        <f>SUM(Oct!G10,Nov!G10,Dec!G10)</f>
        <v>0</v>
      </c>
      <c r="H10" s="37">
        <f>SUM(Oct!H10, Nov!H10, Dec!H10)</f>
        <v>0</v>
      </c>
      <c r="I10" s="38" t="str">
        <f t="shared" si="2"/>
        <v/>
      </c>
    </row>
    <row r="11" spans="1:9" ht="15.6">
      <c r="A11" s="54" t="str">
        <v>Staten Island - Ellis Storage</v>
      </c>
      <c r="B11" s="40" t="str">
        <v>NY</v>
      </c>
      <c r="C11" s="41">
        <f>SUM(Oct!C11, Nov!C11, Dec!C11)</f>
        <v>0</v>
      </c>
      <c r="D11" s="42">
        <f>SUM(Oct!D11, Nov!D11, Dec!D11)</f>
        <v>0</v>
      </c>
      <c r="E11" s="42">
        <f t="shared" si="0"/>
        <v>0</v>
      </c>
      <c r="F11" s="43" t="str">
        <f t="shared" si="1"/>
        <v/>
      </c>
      <c r="G11" s="42">
        <f>SUM(Oct!G11,Nov!G11,Dec!G11)</f>
        <v>0</v>
      </c>
      <c r="H11" s="44">
        <f>SUM(Oct!H11, Nov!H11, Dec!H11)</f>
        <v>0</v>
      </c>
      <c r="I11" s="43" t="str">
        <f t="shared" si="2"/>
        <v/>
      </c>
    </row>
    <row r="12" spans="1:9" ht="15.6">
      <c r="A12" s="53" t="str">
        <v>Amherst - 595 Scholles Road</v>
      </c>
      <c r="B12" s="33" t="str">
        <v>NY</v>
      </c>
      <c r="C12" s="34">
        <f>SUM(Oct!C12, Nov!C12, Dec!C12)</f>
        <v>0</v>
      </c>
      <c r="D12" s="35">
        <f>SUM(Oct!D12, Nov!D12, Dec!D12)</f>
        <v>0</v>
      </c>
      <c r="E12" s="35">
        <f t="shared" si="0"/>
        <v>0</v>
      </c>
      <c r="F12" s="36" t="str">
        <f t="shared" si="1"/>
        <v/>
      </c>
      <c r="G12" s="37">
        <f>SUM(Oct!G12,Nov!G12,Dec!G12)</f>
        <v>0</v>
      </c>
      <c r="H12" s="37">
        <f>SUM(Oct!H12, Nov!H12, Dec!H12)</f>
        <v>0</v>
      </c>
      <c r="I12" s="38" t="str">
        <f t="shared" si="2"/>
        <v/>
      </c>
    </row>
    <row r="13" spans="1:9" ht="15.6">
      <c r="A13" s="54" t="str">
        <v>Lancaster 1 - Gunnville Road</v>
      </c>
      <c r="B13" s="40" t="str">
        <v>NY</v>
      </c>
      <c r="C13" s="41">
        <f>SUM(Oct!C13, Nov!C13, Dec!C13)</f>
        <v>0</v>
      </c>
      <c r="D13" s="42">
        <f>SUM(Oct!D13, Nov!D13, Dec!D13)</f>
        <v>0</v>
      </c>
      <c r="E13" s="42">
        <f t="shared" si="0"/>
        <v>0</v>
      </c>
      <c r="F13" s="43" t="str">
        <f t="shared" si="1"/>
        <v/>
      </c>
      <c r="G13" s="42">
        <f>SUM(Oct!G13,Nov!G13,Dec!G13)</f>
        <v>0</v>
      </c>
      <c r="H13" s="44">
        <f>SUM(Oct!H13, Nov!H13, Dec!H13)</f>
        <v>0</v>
      </c>
      <c r="I13" s="43" t="str">
        <f t="shared" si="2"/>
        <v/>
      </c>
    </row>
    <row r="14" spans="1:9" ht="15.6">
      <c r="A14" s="53" t="str">
        <v>Lancaster 2 - Shisler Road</v>
      </c>
      <c r="B14" s="33" t="str">
        <v>NY</v>
      </c>
      <c r="C14" s="34">
        <f>SUM(Oct!C14, Nov!C14, Dec!C14)</f>
        <v>0</v>
      </c>
      <c r="D14" s="35">
        <f>SUM(Oct!D14, Nov!D14, Dec!D14)</f>
        <v>0</v>
      </c>
      <c r="E14" s="35">
        <f t="shared" si="0"/>
        <v>0</v>
      </c>
      <c r="F14" s="36" t="str">
        <f t="shared" si="1"/>
        <v/>
      </c>
      <c r="G14" s="37">
        <f>SUM(Oct!G14,Nov!G14,Dec!G14)</f>
        <v>0</v>
      </c>
      <c r="H14" s="37">
        <f>SUM(Oct!H14, Nov!H14, Dec!H14)</f>
        <v>0</v>
      </c>
      <c r="I14" s="38" t="str">
        <f t="shared" si="2"/>
        <v/>
      </c>
    </row>
    <row r="15" spans="1:9" ht="15.6">
      <c r="A15" s="54" t="str">
        <v>Fullerton - 200 W Orangethorpe</v>
      </c>
      <c r="B15" s="40" t="str">
        <v>CA</v>
      </c>
      <c r="C15" s="41">
        <f>SUM(Oct!C15, Nov!C15, Dec!C15)</f>
        <v>0</v>
      </c>
      <c r="D15" s="42">
        <f>SUM(Oct!D15, Nov!D15, Dec!D15)</f>
        <v>0</v>
      </c>
      <c r="E15" s="42">
        <f t="shared" si="0"/>
        <v>0</v>
      </c>
      <c r="F15" s="43" t="str">
        <f t="shared" si="1"/>
        <v/>
      </c>
      <c r="G15" s="42">
        <f>SUM(Oct!G15,Nov!G15,Dec!G15)</f>
        <v>0</v>
      </c>
      <c r="H15" s="44">
        <f>SUM(Oct!H15, Nov!H15, Dec!H15)</f>
        <v>0</v>
      </c>
      <c r="I15" s="43" t="str">
        <f t="shared" si="2"/>
        <v/>
      </c>
    </row>
    <row r="16" spans="1:9" ht="15.6">
      <c r="A16" s="53" t="str">
        <v>El Paso - 10500 Railroad Drive</v>
      </c>
      <c r="B16" s="33" t="str">
        <v>TX</v>
      </c>
      <c r="C16" s="34">
        <f>SUM(Oct!C16, Nov!C16, Dec!C16)</f>
        <v>0</v>
      </c>
      <c r="D16" s="35">
        <f>SUM(Oct!D16, Nov!D16, Dec!D16)</f>
        <v>0</v>
      </c>
      <c r="E16" s="35">
        <f t="shared" ref="E16:E21" si="3">IF(AND(ISNUMBER(C16),ISNUMBER(D16)), C16-D16, "")</f>
        <v>0</v>
      </c>
      <c r="F16" s="36" t="str">
        <f t="shared" ref="F16:F20" si="4">IFERROR(E16/D16, "")</f>
        <v/>
      </c>
      <c r="G16" s="37">
        <f>SUM(Oct!G16,Nov!G16,Dec!G16)</f>
        <v>0</v>
      </c>
      <c r="H16" s="37">
        <f>SUM(Oct!H16, Nov!H16, Dec!H16)</f>
        <v>0</v>
      </c>
      <c r="I16" s="38" t="str">
        <f t="shared" ref="I16:I20" si="5">IFERROR(H16/G16, "")</f>
        <v/>
      </c>
    </row>
    <row r="17" spans="1:9" ht="15.6">
      <c r="A17" s="54" t="str">
        <v>Friona - 900 Millard Ave</v>
      </c>
      <c r="B17" s="40" t="str">
        <v>TX</v>
      </c>
      <c r="C17" s="41">
        <f>SUM(Oct!C17, Nov!C17, Dec!C17)</f>
        <v>0</v>
      </c>
      <c r="D17" s="42">
        <f>SUM(Oct!D17, Nov!D17, Dec!D17)</f>
        <v>0</v>
      </c>
      <c r="E17" s="42">
        <f t="shared" si="3"/>
        <v>0</v>
      </c>
      <c r="F17" s="43" t="str">
        <f t="shared" si="4"/>
        <v/>
      </c>
      <c r="G17" s="42">
        <f>SUM(Oct!G17,Nov!G17,Dec!G17)</f>
        <v>0</v>
      </c>
      <c r="H17" s="44">
        <f>SUM(Oct!H17, Nov!H17, Dec!H17)</f>
        <v>0</v>
      </c>
      <c r="I17" s="43" t="str">
        <f t="shared" si="5"/>
        <v/>
      </c>
    </row>
    <row r="18" spans="1:9" ht="15.6">
      <c r="A18" s="53" t="str">
        <v>Augusta - 13 York Farm Road</v>
      </c>
      <c r="B18" s="33" t="str">
        <v>ME</v>
      </c>
      <c r="C18" s="34">
        <f>SUM(Oct!C18, Nov!C18, Dec!C18)</f>
        <v>0</v>
      </c>
      <c r="D18" s="35">
        <f>SUM(Oct!D18, Nov!D18, Dec!D18)</f>
        <v>0</v>
      </c>
      <c r="E18" s="35">
        <f t="shared" si="3"/>
        <v>0</v>
      </c>
      <c r="F18" s="36" t="str">
        <f t="shared" si="4"/>
        <v/>
      </c>
      <c r="G18" s="37">
        <f>SUM(Oct!G18,Nov!G18,Dec!G18)</f>
        <v>0</v>
      </c>
      <c r="H18" s="37">
        <f>SUM(Oct!H18, Nov!H18, Dec!H18)</f>
        <v>0</v>
      </c>
      <c r="I18" s="38" t="str">
        <f t="shared" si="5"/>
        <v/>
      </c>
    </row>
    <row r="19" spans="1:9" ht="15.6">
      <c r="A19" s="54" t="str">
        <v xml:space="preserve">Santa Ana - 1441 West </v>
      </c>
      <c r="B19" s="40" t="str">
        <v>CA</v>
      </c>
      <c r="C19" s="41">
        <f>SUM(Oct!C19, Nov!C19, Dec!C19)</f>
        <v>0</v>
      </c>
      <c r="D19" s="42">
        <f>SUM(Oct!D19, Nov!D19, Dec!D19)</f>
        <v>0</v>
      </c>
      <c r="E19" s="42">
        <f t="shared" si="3"/>
        <v>0</v>
      </c>
      <c r="F19" s="43" t="str">
        <f t="shared" si="4"/>
        <v/>
      </c>
      <c r="G19" s="42">
        <f>SUM(Oct!G19,Nov!G19,Dec!G19)</f>
        <v>0</v>
      </c>
      <c r="H19" s="44">
        <f>SUM(Oct!H19, Nov!H19, Dec!H19)</f>
        <v>0</v>
      </c>
      <c r="I19" s="43" t="str">
        <f t="shared" si="5"/>
        <v/>
      </c>
    </row>
    <row r="20" spans="1:9" ht="15.6">
      <c r="A20" s="53" t="str">
        <v>Jessup -7950 Oceano Ave</v>
      </c>
      <c r="B20" s="33" t="str">
        <v>MD</v>
      </c>
      <c r="C20" s="34">
        <f>SUM(Oct!C20, Nov!C20, Dec!C20)</f>
        <v>0</v>
      </c>
      <c r="D20" s="35">
        <f>SUM(Oct!D20, Nov!D20, Dec!D20)</f>
        <v>0</v>
      </c>
      <c r="E20" s="35">
        <f t="shared" si="3"/>
        <v>0</v>
      </c>
      <c r="F20" s="36" t="str">
        <f t="shared" si="4"/>
        <v/>
      </c>
      <c r="G20" s="37">
        <f>SUM(Oct!G20,Nov!G20,Dec!G20)</f>
        <v>0</v>
      </c>
      <c r="H20" s="37">
        <f>SUM(Oct!H20, Nov!H20, Dec!H20)</f>
        <v>0</v>
      </c>
      <c r="I20" s="38" t="str">
        <f t="shared" si="5"/>
        <v/>
      </c>
    </row>
    <row r="21" spans="1:9" ht="15.6">
      <c r="A21" s="54" t="str">
        <v xml:space="preserve">TX: Fort Worth - 5200 Gold Spike Dr </v>
      </c>
      <c r="B21" s="40" t="str">
        <v>TX</v>
      </c>
      <c r="C21" s="41">
        <f>SUM(Oct!C21, Nov!C21, Dec!C21)</f>
        <v>0</v>
      </c>
      <c r="D21" s="42">
        <f>SUM(Oct!D21, Nov!D21, Dec!D21)</f>
        <v>0</v>
      </c>
      <c r="E21" s="42">
        <f t="shared" si="3"/>
        <v>0</v>
      </c>
      <c r="F21" s="43"/>
      <c r="G21" s="42">
        <f>SUM(Oct!G21,Nov!G21,Dec!G21)</f>
        <v>0</v>
      </c>
      <c r="H21" s="44">
        <f>SUM(Oct!H21, Nov!H21, Dec!H21)</f>
        <v>0</v>
      </c>
      <c r="I21" s="43"/>
    </row>
    <row r="22" spans="1:9" ht="14.45">
      <c r="A22" s="13" t="str">
        <v>NY: Clifton Springs - Ontario 2 (21597)</v>
      </c>
      <c r="B22" s="8" t="str">
        <v>NY</v>
      </c>
      <c r="C22" s="21"/>
      <c r="D22" s="10"/>
      <c r="E22" s="10"/>
      <c r="F22" s="11"/>
      <c r="G22" s="12"/>
      <c r="H22" s="12"/>
      <c r="I22" s="11"/>
    </row>
    <row r="23" spans="1:9" ht="13.9">
      <c r="A23" s="13"/>
      <c r="B23" s="13"/>
      <c r="C23" s="13"/>
      <c r="D23" s="13"/>
      <c r="E23" s="13"/>
      <c r="F23" s="13"/>
      <c r="G23" s="13"/>
      <c r="H23" s="13"/>
      <c r="I23" s="13"/>
    </row>
    <row r="24" spans="1:9" ht="13.9">
      <c r="A24" s="13"/>
      <c r="B24" s="13"/>
      <c r="C24" s="13"/>
      <c r="D24" s="13"/>
      <c r="E24" s="13"/>
      <c r="F24" s="13"/>
      <c r="G24" s="13"/>
      <c r="H24" s="13"/>
      <c r="I24" s="13"/>
    </row>
    <row r="25" spans="1:9" ht="13.9">
      <c r="A25" s="13"/>
      <c r="B25" s="13"/>
      <c r="C25" s="13"/>
      <c r="D25" s="13"/>
      <c r="E25" s="13"/>
      <c r="F25" s="14"/>
      <c r="G25" s="13"/>
      <c r="H25" s="13"/>
      <c r="I25" s="14"/>
    </row>
    <row r="26" spans="1:9" ht="13.9">
      <c r="A26" s="13"/>
      <c r="B26" s="13"/>
      <c r="C26" s="13"/>
      <c r="D26" s="13"/>
      <c r="E26" s="13"/>
      <c r="F26" s="14"/>
      <c r="G26" s="13"/>
      <c r="H26" s="13"/>
      <c r="I26" s="14"/>
    </row>
    <row r="27" spans="1:9" ht="13.9">
      <c r="A27" s="13"/>
      <c r="B27" s="13"/>
      <c r="C27" s="13"/>
      <c r="D27" s="13"/>
      <c r="E27" s="13"/>
      <c r="F27" s="14"/>
      <c r="G27" s="13"/>
      <c r="H27" s="13"/>
      <c r="I27" s="14"/>
    </row>
    <row r="28" spans="1:9" ht="13.9">
      <c r="A28" s="13"/>
      <c r="B28" s="13"/>
      <c r="C28" s="13"/>
      <c r="D28" s="13"/>
      <c r="E28" s="13"/>
      <c r="F28" s="14"/>
      <c r="G28" s="13"/>
      <c r="H28" s="13"/>
      <c r="I28" s="14"/>
    </row>
    <row r="29" spans="1:9" ht="13.9">
      <c r="A29" s="13"/>
      <c r="B29" s="13"/>
      <c r="C29" s="13"/>
      <c r="D29" s="13"/>
      <c r="E29" s="13"/>
      <c r="F29" s="14"/>
      <c r="G29" s="13"/>
      <c r="H29" s="13"/>
      <c r="I29" s="14"/>
    </row>
    <row r="30" spans="1:9" ht="13.9">
      <c r="A30" s="13"/>
      <c r="B30" s="13"/>
      <c r="C30" s="13"/>
      <c r="D30" s="13"/>
      <c r="E30" s="13"/>
      <c r="F30" s="14"/>
      <c r="G30" s="13"/>
      <c r="H30" s="13"/>
      <c r="I30" s="14"/>
    </row>
    <row r="31" spans="1:9" ht="13.9">
      <c r="A31" s="13"/>
      <c r="B31" s="13"/>
      <c r="C31" s="13"/>
      <c r="D31" s="13"/>
      <c r="E31" s="13"/>
      <c r="F31" s="14"/>
      <c r="G31" s="13"/>
      <c r="H31" s="13"/>
      <c r="I31" s="14"/>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sheetData>
  <mergeCells count="4">
    <mergeCell ref="G1:I1"/>
    <mergeCell ref="A1:C1"/>
    <mergeCell ref="D1:F1"/>
    <mergeCell ref="A2:B2"/>
  </mergeCells>
  <conditionalFormatting sqref="F2 I2 F4:F92 I4:I92">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P333"/>
  <sheetViews>
    <sheetView zoomScale="60" zoomScaleNormal="60" workbookViewId="0">
      <pane xSplit="2" ySplit="3" topLeftCell="E4" activePane="bottomRight" state="frozen"/>
      <selection pane="bottomRight" activeCell="J22" sqref="J22"/>
      <selection pane="bottomLeft" activeCell="E11" sqref="E11"/>
      <selection pane="topRight" activeCell="E11" sqref="E11"/>
    </sheetView>
  </sheetViews>
  <sheetFormatPr defaultRowHeight="13.9"/>
  <cols>
    <col min="1" max="1" width="28.85546875" bestFit="1" customWidth="1"/>
    <col min="2" max="2" width="14.5703125" style="19" customWidth="1"/>
    <col min="3" max="5" width="14.5703125" customWidth="1"/>
    <col min="6" max="6" width="14.5703125" style="1" customWidth="1"/>
    <col min="7" max="8" width="14.5703125" customWidth="1"/>
    <col min="9" max="9" width="14.5703125" style="1" customWidth="1"/>
    <col min="10" max="10" width="96.140625" bestFit="1" customWidth="1"/>
    <col min="11" max="11" width="19.140625" bestFit="1" customWidth="1"/>
  </cols>
  <sheetData>
    <row r="1" spans="1:16" ht="15.6">
      <c r="A1" s="100" t="str" cm="1">
        <f t="array" ref="A1">portfolio</f>
        <v>Catalyze</v>
      </c>
      <c r="B1" s="100"/>
      <c r="C1" s="100"/>
      <c r="D1" s="101" t="s">
        <v>18</v>
      </c>
      <c r="E1" s="101"/>
      <c r="F1" s="101"/>
      <c r="G1" s="99" t="s">
        <v>19</v>
      </c>
      <c r="H1" s="99"/>
      <c r="I1" s="99"/>
      <c r="J1" s="4"/>
      <c r="K1" s="4"/>
    </row>
    <row r="2" spans="1:16" ht="15.6">
      <c r="A2" s="102" t="s">
        <v>2</v>
      </c>
      <c r="B2" s="102"/>
      <c r="C2" s="5">
        <f>SUM(C4:C91)</f>
        <v>1684623.4914328542</v>
      </c>
      <c r="D2" s="5">
        <f>SUM(D4:D91)</f>
        <v>2378878.9360000002</v>
      </c>
      <c r="E2" s="5">
        <f>C2-D2</f>
        <v>-694255.44456714601</v>
      </c>
      <c r="F2" s="6">
        <f>IFERROR(E2/D2, 0)</f>
        <v>-0.2918414359221288</v>
      </c>
      <c r="G2" s="5">
        <f>SUM(G4:G91)</f>
        <v>2175549.66</v>
      </c>
      <c r="H2" s="7">
        <f>C2-G2</f>
        <v>-490926.16856714594</v>
      </c>
      <c r="I2" s="6">
        <f>IFERROR(H2/G2, 0)</f>
        <v>-0.22565615374973602</v>
      </c>
      <c r="J2" s="1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5.6">
      <c r="A3" s="17" t="s">
        <v>3</v>
      </c>
      <c r="B3" s="17" t="s">
        <v>4</v>
      </c>
      <c r="C3" s="25" t="s">
        <v>5</v>
      </c>
      <c r="D3" s="26" t="s">
        <v>6</v>
      </c>
      <c r="E3" s="26" t="s">
        <v>7</v>
      </c>
      <c r="F3" s="27" t="s">
        <v>8</v>
      </c>
      <c r="G3" s="31" t="s">
        <v>9</v>
      </c>
      <c r="H3" s="29" t="s">
        <v>7</v>
      </c>
      <c r="I3" s="30" t="s">
        <v>8</v>
      </c>
      <c r="J3" s="15" t="s">
        <v>20</v>
      </c>
      <c r="K3" s="15" t="s">
        <v>21</v>
      </c>
    </row>
    <row r="4" spans="1:16" ht="28.9">
      <c r="A4" s="49" t="str" cm="1">
        <f t="array" ref="A4:A22">Sites[Site]</f>
        <v>Fresno - 3150 Shaw Ave</v>
      </c>
      <c r="B4" s="46" t="str" cm="1">
        <f t="array" ref="B4:B22">Sites[State]</f>
        <v>CA</v>
      </c>
      <c r="C4" s="34">
        <v>53422.875</v>
      </c>
      <c r="D4" s="35">
        <v>50400.42</v>
      </c>
      <c r="E4" s="35">
        <f>IF(AND(ISNUMBER(C4),ISNUMBER(D4)), C4-D4, "")</f>
        <v>3022.4550000000017</v>
      </c>
      <c r="F4" s="38">
        <f>IFERROR(E4/D4, "")</f>
        <v>5.9968845497716125E-2</v>
      </c>
      <c r="G4" s="37">
        <v>49997</v>
      </c>
      <c r="H4" s="37">
        <f>IF(AND(ISNUMBER(C4),ISNUMBER(G4)), C4-G4, "")</f>
        <v>3425.875</v>
      </c>
      <c r="I4" s="38">
        <f>IFERROR(H4/G4, "")</f>
        <v>6.8521611296677803E-2</v>
      </c>
      <c r="J4" s="55" t="s">
        <v>22</v>
      </c>
      <c r="K4" s="73" t="s">
        <v>23</v>
      </c>
      <c r="L4" s="77"/>
      <c r="M4" s="77"/>
      <c r="N4" s="77"/>
      <c r="O4" s="77"/>
    </row>
    <row r="5" spans="1:16" ht="111.75" customHeight="1">
      <c r="A5" s="51" t="str">
        <v>Adelanto - 1 Sheep Creek Road</v>
      </c>
      <c r="B5" s="48" t="str">
        <v>CA</v>
      </c>
      <c r="C5" s="42">
        <v>434343</v>
      </c>
      <c r="D5" s="42">
        <v>163616.26999999999</v>
      </c>
      <c r="E5" s="42">
        <f t="shared" ref="E5:E15" si="0">IF(AND(ISNUMBER(C5),ISNUMBER(D5)), C5-D5, "")</f>
        <v>270726.73</v>
      </c>
      <c r="F5" s="43">
        <f t="shared" ref="F5:F21" si="1">IFERROR(E5/D5, "")</f>
        <v>1.6546443089064431</v>
      </c>
      <c r="G5" s="44">
        <v>479912.62</v>
      </c>
      <c r="H5" s="44">
        <f t="shared" ref="H5:H6" si="2">IF(AND(ISNUMBER(C5),ISNUMBER(G5)), C5-G5, "")</f>
        <v>-45569.619999999995</v>
      </c>
      <c r="I5" s="43">
        <f t="shared" ref="I5:I6" si="3">IFERROR(H5/G5, "")</f>
        <v>-9.4953993916642568E-2</v>
      </c>
      <c r="J5" s="64" t="s">
        <v>24</v>
      </c>
      <c r="K5" s="74" t="s">
        <v>25</v>
      </c>
      <c r="L5" s="78" t="s">
        <v>26</v>
      </c>
      <c r="M5" s="78" t="s">
        <v>27</v>
      </c>
      <c r="N5" s="78" t="s">
        <v>28</v>
      </c>
      <c r="O5" s="77"/>
    </row>
    <row r="6" spans="1:16" ht="171.75" customHeight="1">
      <c r="A6" s="49" t="str">
        <v>Blackstone - 83 Federal Street</v>
      </c>
      <c r="B6" s="46" t="str">
        <v>MA</v>
      </c>
      <c r="C6" s="34">
        <v>221322</v>
      </c>
      <c r="D6" s="35">
        <v>519101.6</v>
      </c>
      <c r="E6" s="35">
        <f t="shared" si="0"/>
        <v>-297779.59999999998</v>
      </c>
      <c r="F6" s="38">
        <f t="shared" si="1"/>
        <v>-0.57364415752137921</v>
      </c>
      <c r="G6" s="37">
        <v>384369.8</v>
      </c>
      <c r="H6" s="37">
        <f t="shared" si="2"/>
        <v>-163047.79999999999</v>
      </c>
      <c r="I6" s="38">
        <f t="shared" si="3"/>
        <v>-0.42419513707892764</v>
      </c>
      <c r="J6" s="55" t="s">
        <v>29</v>
      </c>
      <c r="K6" s="73" t="s">
        <v>30</v>
      </c>
      <c r="L6" s="78" t="s">
        <v>31</v>
      </c>
      <c r="M6" s="78" t="s">
        <v>32</v>
      </c>
      <c r="N6" s="78" t="s">
        <v>33</v>
      </c>
      <c r="O6" s="78" t="s">
        <v>34</v>
      </c>
      <c r="P6" s="75" t="s">
        <v>35</v>
      </c>
    </row>
    <row r="7" spans="1:16" ht="15.6">
      <c r="A7" s="51" t="str">
        <v>Charlton - 299 Worcester Road</v>
      </c>
      <c r="B7" s="48" t="str">
        <v>MA</v>
      </c>
      <c r="C7" s="42">
        <v>23675</v>
      </c>
      <c r="D7" s="42">
        <v>33780.06</v>
      </c>
      <c r="E7" s="42">
        <f t="shared" si="0"/>
        <v>-10105.059999999998</v>
      </c>
      <c r="F7" s="43">
        <f t="shared" si="1"/>
        <v>-0.29914274871033381</v>
      </c>
      <c r="G7" s="44">
        <v>31670.95</v>
      </c>
      <c r="H7" s="44">
        <f t="shared" ref="H7:H15" si="4">IF(AND(ISNUMBER(C7),ISNUMBER(G7)), C7-G7, "")</f>
        <v>-7995.9500000000007</v>
      </c>
      <c r="I7" s="43">
        <f t="shared" ref="I7:I15" si="5">IFERROR(H7/G7, "")</f>
        <v>-0.25246953438403336</v>
      </c>
      <c r="J7" s="56" t="s">
        <v>36</v>
      </c>
      <c r="K7" s="56"/>
      <c r="L7" s="77"/>
      <c r="M7" s="77"/>
      <c r="N7" s="77"/>
      <c r="O7" s="77"/>
    </row>
    <row r="8" spans="1:16" ht="15.6">
      <c r="A8" s="49" t="str">
        <v>Wareham - 8 Thatcher Drive</v>
      </c>
      <c r="B8" s="46" t="str">
        <v>MA</v>
      </c>
      <c r="C8" s="34">
        <v>7554.0625</v>
      </c>
      <c r="D8" s="35">
        <v>9317.2880000000005</v>
      </c>
      <c r="E8" s="35">
        <f t="shared" si="0"/>
        <v>-1763.2255000000005</v>
      </c>
      <c r="F8" s="38">
        <f t="shared" si="1"/>
        <v>-0.18924235249570481</v>
      </c>
      <c r="G8" s="37">
        <v>8974.43</v>
      </c>
      <c r="H8" s="37">
        <f t="shared" si="4"/>
        <v>-1420.3675000000003</v>
      </c>
      <c r="I8" s="38">
        <f t="shared" si="5"/>
        <v>-0.15826826884827228</v>
      </c>
      <c r="J8" s="55" t="s">
        <v>36</v>
      </c>
      <c r="K8" s="55"/>
      <c r="L8" s="77"/>
      <c r="M8" s="77"/>
      <c r="N8" s="77"/>
      <c r="O8" s="77"/>
    </row>
    <row r="9" spans="1:16" ht="26.45">
      <c r="A9" s="51" t="str">
        <v>West Yarmouth - 42 Mid Tech</v>
      </c>
      <c r="B9" s="48" t="str">
        <v>MA</v>
      </c>
      <c r="C9" s="42">
        <v>5192.6951828540796</v>
      </c>
      <c r="D9" s="42">
        <v>6591.808</v>
      </c>
      <c r="E9" s="42">
        <f t="shared" si="0"/>
        <v>-1399.1128171459204</v>
      </c>
      <c r="F9" s="43">
        <f t="shared" si="1"/>
        <v>-0.21225023804484602</v>
      </c>
      <c r="G9" s="44">
        <v>6769.91</v>
      </c>
      <c r="H9" s="44">
        <f t="shared" si="4"/>
        <v>-1577.2148171459203</v>
      </c>
      <c r="I9" s="43">
        <f t="shared" si="5"/>
        <v>-0.2329742665923063</v>
      </c>
      <c r="J9" s="64" t="s">
        <v>37</v>
      </c>
      <c r="K9" s="74" t="s">
        <v>38</v>
      </c>
      <c r="L9" s="78" t="s">
        <v>39</v>
      </c>
      <c r="M9" s="77"/>
      <c r="N9" s="77"/>
      <c r="O9" s="77"/>
    </row>
    <row r="10" spans="1:16" ht="15.6">
      <c r="A10" s="49" t="str">
        <v>Harrison - 130 Union Street</v>
      </c>
      <c r="B10" s="46" t="str">
        <v>NY</v>
      </c>
      <c r="C10" s="34">
        <v>9045.625</v>
      </c>
      <c r="D10" s="35">
        <v>14196.66</v>
      </c>
      <c r="E10" s="35">
        <f t="shared" si="0"/>
        <v>-5151.0349999999999</v>
      </c>
      <c r="F10" s="38">
        <f t="shared" si="1"/>
        <v>-0.36283428637440074</v>
      </c>
      <c r="G10" s="37">
        <v>10694.18</v>
      </c>
      <c r="H10" s="37">
        <f t="shared" si="4"/>
        <v>-1648.5550000000003</v>
      </c>
      <c r="I10" s="38">
        <f t="shared" si="5"/>
        <v>-0.15415440922071633</v>
      </c>
      <c r="J10" s="55" t="s">
        <v>36</v>
      </c>
      <c r="K10" s="55"/>
      <c r="L10" s="77"/>
      <c r="M10" s="77"/>
      <c r="N10" s="77"/>
      <c r="O10" s="77"/>
    </row>
    <row r="11" spans="1:16" ht="15.6">
      <c r="A11" s="51" t="str">
        <v>Staten Island - Ellis Storage</v>
      </c>
      <c r="B11" s="48" t="str">
        <v>NY</v>
      </c>
      <c r="C11" s="42">
        <v>22396.625</v>
      </c>
      <c r="D11" s="42">
        <v>27928.2</v>
      </c>
      <c r="E11" s="42">
        <f t="shared" si="0"/>
        <v>-5531.5750000000007</v>
      </c>
      <c r="F11" s="43">
        <f t="shared" si="1"/>
        <v>-0.19806414305254189</v>
      </c>
      <c r="G11" s="44">
        <v>22865</v>
      </c>
      <c r="H11" s="44">
        <f t="shared" si="4"/>
        <v>-468.375</v>
      </c>
      <c r="I11" s="43">
        <f t="shared" si="5"/>
        <v>-2.0484364749617318E-2</v>
      </c>
      <c r="J11" s="56" t="s">
        <v>36</v>
      </c>
      <c r="K11" s="56"/>
      <c r="L11" s="77"/>
      <c r="M11" s="77"/>
      <c r="N11" s="77"/>
      <c r="O11" s="77"/>
    </row>
    <row r="12" spans="1:16" ht="28.9">
      <c r="A12" s="49" t="str">
        <v>Amherst - 595 Scholles Road</v>
      </c>
      <c r="B12" s="46" t="str">
        <v>NY</v>
      </c>
      <c r="C12" s="34">
        <v>176317</v>
      </c>
      <c r="D12" s="35">
        <v>351737</v>
      </c>
      <c r="E12" s="35">
        <f t="shared" si="0"/>
        <v>-175420</v>
      </c>
      <c r="F12" s="38">
        <f t="shared" si="1"/>
        <v>-0.49872489956984906</v>
      </c>
      <c r="G12" s="37">
        <v>279121.59999999998</v>
      </c>
      <c r="H12" s="37">
        <f t="shared" si="4"/>
        <v>-102804.59999999998</v>
      </c>
      <c r="I12" s="38">
        <f t="shared" si="5"/>
        <v>-0.36831474167531281</v>
      </c>
      <c r="J12" s="55" t="s">
        <v>40</v>
      </c>
      <c r="K12" s="73" t="s">
        <v>41</v>
      </c>
      <c r="L12" s="77"/>
      <c r="M12" s="77"/>
      <c r="N12" s="77"/>
      <c r="O12" s="77"/>
    </row>
    <row r="13" spans="1:16" ht="15.6">
      <c r="A13" s="51" t="str">
        <v>Lancaster 1 - Gunnville Road</v>
      </c>
      <c r="B13" s="48" t="str">
        <v>NY</v>
      </c>
      <c r="C13" s="42">
        <v>167972</v>
      </c>
      <c r="D13" s="42">
        <v>298839.7</v>
      </c>
      <c r="E13" s="42">
        <f t="shared" si="0"/>
        <v>-130867.70000000001</v>
      </c>
      <c r="F13" s="43">
        <f t="shared" si="1"/>
        <v>-0.43791939290529341</v>
      </c>
      <c r="G13" s="44">
        <v>191771</v>
      </c>
      <c r="H13" s="44">
        <f t="shared" si="4"/>
        <v>-23799</v>
      </c>
      <c r="I13" s="43">
        <f t="shared" si="5"/>
        <v>-0.12410114146560221</v>
      </c>
      <c r="J13" s="56" t="s">
        <v>36</v>
      </c>
      <c r="K13" s="56"/>
      <c r="L13" s="77"/>
      <c r="M13" s="77"/>
      <c r="N13" s="77"/>
      <c r="O13" s="77"/>
    </row>
    <row r="14" spans="1:16" ht="62.25" customHeight="1">
      <c r="A14" s="49" t="str">
        <v>Lancaster 2 - Shisler Road</v>
      </c>
      <c r="B14" s="46" t="str">
        <v>NY</v>
      </c>
      <c r="C14" s="34">
        <v>146912</v>
      </c>
      <c r="D14" s="35">
        <v>352791.9</v>
      </c>
      <c r="E14" s="35">
        <f t="shared" si="0"/>
        <v>-205879.90000000002</v>
      </c>
      <c r="F14" s="38">
        <f t="shared" si="1"/>
        <v>-0.58357320562065063</v>
      </c>
      <c r="G14" s="37">
        <v>204880</v>
      </c>
      <c r="H14" s="37">
        <f t="shared" si="4"/>
        <v>-57968</v>
      </c>
      <c r="I14" s="38">
        <f t="shared" si="5"/>
        <v>-0.28293635298711439</v>
      </c>
      <c r="J14" s="55" t="s">
        <v>42</v>
      </c>
      <c r="K14" s="73" t="s">
        <v>43</v>
      </c>
      <c r="L14" s="78" t="s">
        <v>44</v>
      </c>
      <c r="M14" s="78" t="s">
        <v>45</v>
      </c>
      <c r="N14" s="78" t="s">
        <v>46</v>
      </c>
      <c r="O14" s="77"/>
    </row>
    <row r="15" spans="1:16" ht="15.6">
      <c r="A15" s="51" t="str">
        <v>Fullerton - 200 W Orangethorpe</v>
      </c>
      <c r="B15" s="48" t="str">
        <v>CA</v>
      </c>
      <c r="C15" s="42">
        <v>63628.546250000101</v>
      </c>
      <c r="D15" s="42">
        <v>73372.12</v>
      </c>
      <c r="E15" s="42">
        <f t="shared" si="0"/>
        <v>-9743.5737499998941</v>
      </c>
      <c r="F15" s="43">
        <f t="shared" si="1"/>
        <v>-0.13279667740280496</v>
      </c>
      <c r="G15" s="44">
        <v>74894</v>
      </c>
      <c r="H15" s="44">
        <f t="shared" si="4"/>
        <v>-11265.453749999899</v>
      </c>
      <c r="I15" s="43">
        <f t="shared" si="5"/>
        <v>-0.15041864168024005</v>
      </c>
      <c r="J15" s="56" t="s">
        <v>36</v>
      </c>
      <c r="K15" s="56"/>
      <c r="L15" s="77"/>
      <c r="M15" s="77"/>
      <c r="N15" s="77"/>
      <c r="O15" s="77"/>
    </row>
    <row r="16" spans="1:16" ht="15.6">
      <c r="A16" s="49" t="str">
        <v>El Paso - 10500 Railroad Drive</v>
      </c>
      <c r="B16" s="46" t="str">
        <v>TX</v>
      </c>
      <c r="C16" s="34">
        <v>93351.5</v>
      </c>
      <c r="D16" s="35">
        <v>90713.1</v>
      </c>
      <c r="E16" s="35">
        <f t="shared" ref="E16:E21" si="6">IF(AND(ISNUMBER(C16),ISNUMBER(D16)), C16-D16, "")</f>
        <v>2638.3999999999942</v>
      </c>
      <c r="F16" s="38">
        <f t="shared" si="1"/>
        <v>2.9085104576957396E-2</v>
      </c>
      <c r="G16" s="37">
        <v>95865</v>
      </c>
      <c r="H16" s="37">
        <f t="shared" ref="H16:H21" si="7">IF(AND(ISNUMBER(C16),ISNUMBER(G16)), C16-G16, "")</f>
        <v>-2513.5</v>
      </c>
      <c r="I16" s="38">
        <f t="shared" ref="I16:I21" si="8">IFERROR(H16/G16, "")</f>
        <v>-2.6219162363740677E-2</v>
      </c>
      <c r="J16" s="55"/>
      <c r="K16" s="55"/>
      <c r="L16" s="77"/>
      <c r="M16" s="77"/>
      <c r="N16" s="77"/>
      <c r="O16" s="77"/>
    </row>
    <row r="17" spans="1:15" ht="28.9">
      <c r="A17" s="51" t="str">
        <v>Friona - 900 Millard Ave</v>
      </c>
      <c r="B17" s="47" t="str">
        <v>TX</v>
      </c>
      <c r="C17" s="42">
        <v>69688.25</v>
      </c>
      <c r="D17" s="42">
        <v>68867.83</v>
      </c>
      <c r="E17" s="42">
        <f t="shared" si="6"/>
        <v>820.41999999999825</v>
      </c>
      <c r="F17" s="38">
        <f t="shared" si="1"/>
        <v>1.1912964296972885E-2</v>
      </c>
      <c r="G17" s="44">
        <v>72736</v>
      </c>
      <c r="H17" s="44">
        <f t="shared" si="7"/>
        <v>-3047.75</v>
      </c>
      <c r="I17" s="38">
        <f t="shared" si="8"/>
        <v>-4.1901534315882095E-2</v>
      </c>
      <c r="J17" s="56" t="s">
        <v>47</v>
      </c>
      <c r="K17" s="76" t="s">
        <v>48</v>
      </c>
      <c r="L17" s="77"/>
      <c r="M17" s="77"/>
      <c r="N17" s="77"/>
      <c r="O17" s="77"/>
    </row>
    <row r="18" spans="1:15" ht="15.6">
      <c r="A18" s="49" t="str">
        <v>Augusta - 13 York Farm Road</v>
      </c>
      <c r="B18" s="46" t="str">
        <v>ME</v>
      </c>
      <c r="C18" s="34">
        <v>69027.875</v>
      </c>
      <c r="D18" s="35">
        <v>131266.29999999999</v>
      </c>
      <c r="E18" s="35">
        <f t="shared" si="6"/>
        <v>-62238.424999999988</v>
      </c>
      <c r="F18" s="38">
        <f t="shared" si="1"/>
        <v>-0.47413864030600383</v>
      </c>
      <c r="G18" s="37">
        <v>92474</v>
      </c>
      <c r="H18" s="37">
        <f t="shared" si="7"/>
        <v>-23446.125</v>
      </c>
      <c r="I18" s="38">
        <f t="shared" si="8"/>
        <v>-0.25354288773060535</v>
      </c>
      <c r="J18" s="55" t="s">
        <v>36</v>
      </c>
      <c r="K18" s="55"/>
      <c r="L18" s="77"/>
      <c r="M18" s="77"/>
      <c r="N18" s="77"/>
      <c r="O18" s="77"/>
    </row>
    <row r="19" spans="1:15" ht="15.6">
      <c r="A19" s="47" t="str">
        <v xml:space="preserve">Santa Ana - 1441 West </v>
      </c>
      <c r="B19" s="48" t="str">
        <v>CA</v>
      </c>
      <c r="C19" s="41">
        <v>36286.8125</v>
      </c>
      <c r="D19" s="42">
        <v>40826.68</v>
      </c>
      <c r="E19" s="42">
        <f t="shared" si="6"/>
        <v>-4539.8675000000003</v>
      </c>
      <c r="F19" s="38">
        <f t="shared" si="1"/>
        <v>-0.11119854712653589</v>
      </c>
      <c r="G19" s="44">
        <v>47186.47</v>
      </c>
      <c r="H19" s="44">
        <f t="shared" si="7"/>
        <v>-10899.657500000001</v>
      </c>
      <c r="I19" s="71">
        <f t="shared" si="8"/>
        <v>-0.23099116123753272</v>
      </c>
      <c r="J19" s="72" t="s">
        <v>36</v>
      </c>
      <c r="K19" s="57"/>
      <c r="L19" s="77"/>
      <c r="M19" s="77"/>
      <c r="N19" s="77"/>
      <c r="O19" s="77"/>
    </row>
    <row r="20" spans="1:15" ht="15.6">
      <c r="A20" s="49" t="str">
        <v>Jessup -7950 Oceano Ave</v>
      </c>
      <c r="B20" s="46" t="str">
        <v>MD</v>
      </c>
      <c r="C20" s="34">
        <v>84487.625</v>
      </c>
      <c r="D20" s="35">
        <v>145532</v>
      </c>
      <c r="E20" s="35">
        <f t="shared" si="6"/>
        <v>-61044.375</v>
      </c>
      <c r="F20" s="38">
        <f t="shared" si="1"/>
        <v>-0.41945671742297225</v>
      </c>
      <c r="G20" s="37">
        <v>121367.7</v>
      </c>
      <c r="H20" s="37">
        <f t="shared" si="7"/>
        <v>-36880.074999999997</v>
      </c>
      <c r="I20" s="38">
        <f t="shared" si="8"/>
        <v>-0.30387059324680288</v>
      </c>
      <c r="J20" s="55" t="s">
        <v>49</v>
      </c>
      <c r="K20" s="73" t="s">
        <v>50</v>
      </c>
      <c r="L20" s="77"/>
      <c r="M20" s="77"/>
      <c r="N20" s="77"/>
      <c r="O20" s="77"/>
    </row>
    <row r="21" spans="1:15" ht="15.6">
      <c r="A21" s="47" t="str">
        <v xml:space="preserve">TX: Fort Worth - 5200 Gold Spike Dr </v>
      </c>
      <c r="B21" s="48" t="str">
        <v>TX</v>
      </c>
      <c r="C21" s="41"/>
      <c r="D21" s="42"/>
      <c r="E21" s="42" t="str">
        <f t="shared" si="6"/>
        <v/>
      </c>
      <c r="F21" s="38" t="str">
        <f t="shared" si="1"/>
        <v/>
      </c>
      <c r="G21" s="44"/>
      <c r="H21" s="44" t="str">
        <f t="shared" si="7"/>
        <v/>
      </c>
      <c r="I21" s="71" t="str">
        <f t="shared" si="8"/>
        <v/>
      </c>
      <c r="J21" s="72"/>
      <c r="K21" s="57"/>
      <c r="L21" s="77"/>
      <c r="M21" s="77"/>
      <c r="N21" s="77"/>
      <c r="O21" s="77"/>
    </row>
    <row r="22" spans="1:15" ht="14.45">
      <c r="A22" s="13" t="str">
        <v>NY: Clifton Springs - Ontario 2 (21597)</v>
      </c>
      <c r="B22" s="18" t="str">
        <v>NY</v>
      </c>
      <c r="C22" s="13"/>
      <c r="D22" s="13"/>
      <c r="E22" s="13"/>
      <c r="F22" s="13"/>
      <c r="G22" s="13"/>
      <c r="H22" s="13"/>
      <c r="I22" s="13"/>
      <c r="J22" s="13"/>
      <c r="K22" s="13"/>
    </row>
    <row r="23" spans="1:15" ht="14.45">
      <c r="A23" s="13"/>
      <c r="B23" s="18"/>
      <c r="C23" s="13"/>
      <c r="D23" s="13"/>
      <c r="E23" s="13"/>
      <c r="F23" s="13"/>
      <c r="G23" s="13"/>
      <c r="H23" s="13"/>
      <c r="I23" s="13"/>
      <c r="J23" s="13"/>
      <c r="K23" s="13"/>
    </row>
    <row r="24" spans="1:15" ht="14.45">
      <c r="A24" s="13"/>
      <c r="B24" s="18"/>
      <c r="C24" s="13"/>
      <c r="D24" s="13"/>
      <c r="E24" s="13"/>
      <c r="F24" s="14"/>
      <c r="G24" s="13"/>
      <c r="H24" s="13"/>
      <c r="I24" s="14"/>
      <c r="J24" s="13"/>
      <c r="K24" s="13"/>
    </row>
    <row r="25" spans="1:15" ht="14.45">
      <c r="A25" s="13"/>
      <c r="B25" s="18"/>
      <c r="C25" s="13"/>
      <c r="D25" s="13"/>
      <c r="E25" s="13"/>
      <c r="F25" s="14"/>
      <c r="G25" s="13"/>
      <c r="H25" s="13"/>
      <c r="I25" s="14"/>
      <c r="J25" s="13"/>
      <c r="K25" s="13"/>
    </row>
    <row r="26" spans="1:15" ht="14.45">
      <c r="A26" s="13"/>
      <c r="B26" s="18"/>
      <c r="C26" s="13"/>
      <c r="D26" s="13"/>
      <c r="E26" s="13"/>
      <c r="F26" s="14"/>
      <c r="G26" s="13"/>
      <c r="H26" s="13"/>
      <c r="I26" s="14"/>
      <c r="J26" s="13"/>
      <c r="K26" s="13"/>
    </row>
    <row r="27" spans="1:15" ht="14.45">
      <c r="A27" s="13"/>
      <c r="B27" s="18"/>
      <c r="C27" s="13"/>
      <c r="D27" s="13"/>
      <c r="E27" s="13"/>
      <c r="F27" s="14"/>
      <c r="G27" s="13"/>
      <c r="H27" s="13"/>
      <c r="I27" s="14"/>
      <c r="J27" s="13"/>
      <c r="K27" s="13"/>
    </row>
    <row r="28" spans="1:15" ht="14.45">
      <c r="A28" s="13"/>
      <c r="B28" s="18"/>
      <c r="C28" s="13"/>
      <c r="D28" s="13"/>
      <c r="E28" s="13"/>
      <c r="F28" s="14"/>
      <c r="G28" s="13"/>
      <c r="H28" s="13"/>
      <c r="I28" s="14"/>
      <c r="J28" s="13"/>
      <c r="K28" s="13"/>
    </row>
    <row r="29" spans="1:15" ht="14.45">
      <c r="A29" s="13"/>
      <c r="B29" s="18"/>
      <c r="C29" s="13"/>
      <c r="D29" s="13"/>
      <c r="E29" s="13"/>
      <c r="F29" s="14"/>
      <c r="G29" s="13"/>
      <c r="H29" s="13"/>
      <c r="I29" s="14"/>
      <c r="J29" s="13"/>
      <c r="K29" s="13"/>
    </row>
    <row r="30" spans="1:15" ht="14.45">
      <c r="A30" s="13"/>
      <c r="B30" s="18"/>
      <c r="C30" s="13"/>
      <c r="D30" s="13"/>
      <c r="E30" s="13"/>
      <c r="F30" s="14"/>
      <c r="G30" s="13"/>
      <c r="H30" s="13"/>
      <c r="I30" s="14"/>
      <c r="J30" s="13"/>
      <c r="K30" s="13"/>
    </row>
    <row r="31" spans="1:15" ht="14.45">
      <c r="A31" s="13"/>
      <c r="B31" s="18"/>
      <c r="C31" s="13"/>
      <c r="D31" s="13"/>
      <c r="E31" s="13"/>
      <c r="F31" s="14"/>
      <c r="G31" s="13"/>
      <c r="H31" s="13"/>
      <c r="I31" s="14"/>
      <c r="J31" s="13"/>
      <c r="K31" s="13"/>
    </row>
    <row r="32" spans="1:15"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sheetData>
  <mergeCells count="4">
    <mergeCell ref="D1:F1"/>
    <mergeCell ref="A1:C1"/>
    <mergeCell ref="G1:I1"/>
    <mergeCell ref="A2:B2"/>
  </mergeCells>
  <conditionalFormatting sqref="F2 I2">
    <cfRule type="cellIs" dxfId="44" priority="8" stopIfTrue="1" operator="lessThanOrEqual">
      <formula>-0.1</formula>
    </cfRule>
    <cfRule type="expression" dxfId="43" priority="9">
      <formula>AND(ISNUMBER(F2), F2&gt;=0.1)</formula>
    </cfRule>
  </conditionalFormatting>
  <conditionalFormatting sqref="F4:F91 I4:I91">
    <cfRule type="cellIs" dxfId="42" priority="1" stopIfTrue="1" operator="lessThanOrEqual">
      <formula>-0.1</formula>
    </cfRule>
    <cfRule type="expression" dxfId="41" priority="2">
      <formula>AND(ISNUMBER(F4), F4&gt;=0.1)</formula>
    </cfRule>
  </conditionalFormatting>
  <hyperlinks>
    <hyperlink ref="K4" r:id="rId1" display="https://us3.assetplanner.com/service_request?ID=094993" xr:uid="{8BF02B21-0FCF-4F7F-BE86-5DB4ECECD327}"/>
    <hyperlink ref="K5" r:id="rId2" display="https://us3.assetplanner.com/service_request?ID=092431" xr:uid="{6673BC14-1860-425C-8A04-D9C248181183}"/>
    <hyperlink ref="L5" r:id="rId3" display="https://us3.assetplanner.com/service_request?ID=095414" xr:uid="{02100DA1-C584-4D7A-8143-D3ECB22DCDF8}"/>
    <hyperlink ref="M5" r:id="rId4" display="https://us3.assetplanner.com/service_request?ID=096016" xr:uid="{F0DCB959-80CF-4EE9-A333-5CC076052906}"/>
    <hyperlink ref="N5" r:id="rId5" display="https://us3.assetplanner.com/service_request?ID=096049" xr:uid="{C938D4A2-35B7-4DFF-B37C-4C8F33ED8DE2}"/>
    <hyperlink ref="K6" r:id="rId6" display="https://us3.assetplanner.com/service_request?ID=095598" xr:uid="{813F10B9-41FC-472E-8C44-48708B6FA339}"/>
    <hyperlink ref="L6" r:id="rId7" display="https://us3.assetplanner.com/service_request?ID=095641" xr:uid="{919169B2-0A9D-41DD-B691-B3F25EDB0456}"/>
    <hyperlink ref="M6" r:id="rId8" display="https://us3.assetplanner.com/service_request?ID=095796" xr:uid="{6C97E937-8B67-4B9B-8E67-B0C93481C7F7}"/>
    <hyperlink ref="N6" r:id="rId9" display="https://us3.assetplanner.com/service_request?ID=095973" xr:uid="{DA2560E1-5DB7-4CF5-9D06-86389C68D67A}"/>
    <hyperlink ref="O6" r:id="rId10" display="https://us3.assetplanner.com/service_request?ID=096060" xr:uid="{CF848F1A-4387-4510-A34A-47DE097ED143}"/>
    <hyperlink ref="P6" r:id="rId11" display="https://us3.assetplanner.com/service_request?ID=096061" xr:uid="{09C7E076-821F-4002-B12C-52CC3CD1CCDF}"/>
    <hyperlink ref="K9" r:id="rId12" display="https://us3.assetplanner.com/service_request?ID=086960" xr:uid="{36A9CE97-1D6C-4E8A-964E-A57DE6FA81BF}"/>
    <hyperlink ref="L9" r:id="rId13" display="https://us3.assetplanner.com/service_request?ID=095896" xr:uid="{75309015-07CD-4057-BDE5-9E9F0724F216}"/>
    <hyperlink ref="K12" r:id="rId14" display="https://us3.assetplanner.com/service_request?ID=095842" xr:uid="{653B3D5A-06CF-4B49-8BA8-7E764E464423}"/>
    <hyperlink ref="K14" r:id="rId15" display="https://us3.assetplanner.com/service_request?ID=095454" xr:uid="{ABD08508-2633-4BE4-B81A-12702DB9F58B}"/>
    <hyperlink ref="L14" r:id="rId16" display="https://us3.assetplanner.com/service_request?ID=095996" xr:uid="{C825CD11-64CD-4A86-B548-7FAAE430789D}"/>
    <hyperlink ref="M14" r:id="rId17" display="https://us3.assetplanner.com/service_request?ID=096058" xr:uid="{D6F226B5-3C8A-4F16-AFA9-4FACB67D1203}"/>
    <hyperlink ref="N14" r:id="rId18" display="https://us3.assetplanner.com/service_request?ID=096170" xr:uid="{14B7B28F-B53A-4634-AF72-771DB907A4FA}"/>
    <hyperlink ref="K17" r:id="rId19" display="https://us3.assetplanner.com/service_request?ID=093503" xr:uid="{FF26FFD4-AA96-4676-A4CC-EF6F2D7895DB}"/>
    <hyperlink ref="K20" r:id="rId20" display="https://us3.assetplanner.com/service_request?ID=096047" xr:uid="{A3C707A5-90E1-4776-BBCA-F960D52744F6}"/>
  </hyperlinks>
  <pageMargins left="0.4" right="0.7" top="0.25" bottom="0.25" header="0.3" footer="0.3"/>
  <pageSetup fitToHeight="99" orientation="landscape" r:id="rId2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33"/>
  <sheetViews>
    <sheetView zoomScale="60" zoomScaleNormal="60" workbookViewId="0">
      <pane xSplit="2" ySplit="3" topLeftCell="C4" activePane="bottomRight" state="frozen"/>
      <selection pane="bottomRight" activeCell="C5" sqref="C5"/>
      <selection pane="bottomLeft" activeCell="E11" sqref="E11"/>
      <selection pane="topRight" activeCell="E11" sqref="E11"/>
    </sheetView>
  </sheetViews>
  <sheetFormatPr defaultRowHeight="13.9"/>
  <cols>
    <col min="1" max="1" width="35.85546875" bestFit="1" customWidth="1"/>
    <col min="2" max="2" width="8.42578125" style="19" customWidth="1"/>
    <col min="3" max="3" width="11.85546875" customWidth="1"/>
    <col min="4" max="5" width="13.140625" customWidth="1"/>
    <col min="6" max="6" width="13.140625" style="1" customWidth="1"/>
    <col min="7" max="8" width="13.140625" customWidth="1"/>
    <col min="9" max="9" width="13.140625" style="1" customWidth="1"/>
    <col min="10" max="10" width="80.140625" customWidth="1"/>
    <col min="11" max="11" width="20.5703125" bestFit="1" customWidth="1"/>
    <col min="12" max="13" width="8.85546875" style="77"/>
  </cols>
  <sheetData>
    <row r="1" spans="1:13" ht="19.5" customHeight="1">
      <c r="A1" s="100" t="str" cm="1">
        <f t="array" ref="A1">portfolio</f>
        <v>Catalyze</v>
      </c>
      <c r="B1" s="100"/>
      <c r="C1" s="100"/>
      <c r="D1" s="101" t="s">
        <v>51</v>
      </c>
      <c r="E1" s="101"/>
      <c r="F1" s="101"/>
      <c r="G1" s="99" t="s">
        <v>52</v>
      </c>
      <c r="H1" s="99"/>
      <c r="I1" s="99"/>
      <c r="J1" s="4"/>
      <c r="K1" s="4"/>
    </row>
    <row r="2" spans="1:13" ht="19.5" customHeight="1">
      <c r="A2" s="102" t="s">
        <v>2</v>
      </c>
      <c r="B2" s="102"/>
      <c r="C2" s="5">
        <f>SUM(C4:C91)</f>
        <v>2290649.9230974293</v>
      </c>
      <c r="D2" s="5">
        <f>SUM(D4:D91)</f>
        <v>3115852.3619999997</v>
      </c>
      <c r="E2" s="5">
        <f>C2-D2</f>
        <v>-825202.4389025704</v>
      </c>
      <c r="F2" s="6">
        <f>IFERROR(E2/D2, 0)</f>
        <v>-0.2648400318854936</v>
      </c>
      <c r="G2" s="5">
        <f>SUM(G4:G91)</f>
        <v>3274320.2069999999</v>
      </c>
      <c r="H2" s="7">
        <f>C2-G2</f>
        <v>-983670.28390257061</v>
      </c>
      <c r="I2" s="6">
        <f>IFERROR(H2/G2, 0)</f>
        <v>-0.30041969682733921</v>
      </c>
      <c r="J2" s="16"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7" t="s">
        <v>3</v>
      </c>
      <c r="B3" s="17" t="s">
        <v>4</v>
      </c>
      <c r="C3" s="25" t="s">
        <v>5</v>
      </c>
      <c r="D3" s="26" t="s">
        <v>6</v>
      </c>
      <c r="E3" s="26" t="s">
        <v>7</v>
      </c>
      <c r="F3" s="27" t="s">
        <v>8</v>
      </c>
      <c r="G3" s="28" t="s">
        <v>9</v>
      </c>
      <c r="H3" s="29" t="s">
        <v>7</v>
      </c>
      <c r="I3" s="30" t="s">
        <v>8</v>
      </c>
      <c r="J3" s="15" t="s">
        <v>20</v>
      </c>
      <c r="K3" s="15" t="s">
        <v>21</v>
      </c>
    </row>
    <row r="4" spans="1:13" ht="57.6">
      <c r="A4" s="50" t="str" cm="1">
        <f t="array" ref="A4:A22">Sites[Site]</f>
        <v>Fresno - 3150 Shaw Ave</v>
      </c>
      <c r="B4" s="46" t="str" cm="1">
        <f t="array" ref="B4:B22">Sites[State]</f>
        <v>CA</v>
      </c>
      <c r="C4" s="34">
        <v>55837</v>
      </c>
      <c r="D4" s="35">
        <v>53033.79</v>
      </c>
      <c r="E4" s="35">
        <f>IF(AND(ISNUMBER(C4),ISNUMBER(D4)), C4-D4, "")</f>
        <v>2803.2099999999991</v>
      </c>
      <c r="F4" s="36">
        <f>IFERROR(E4/D4, "")</f>
        <v>5.2857055850618992E-2</v>
      </c>
      <c r="G4" s="37">
        <v>57896.36</v>
      </c>
      <c r="H4" s="37">
        <f>IF(AND(ISNUMBER(C4),ISNUMBER(G4)), C4-G4, "")</f>
        <v>-2059.3600000000006</v>
      </c>
      <c r="I4" s="38">
        <f>IFERROR(H4/G4, "")</f>
        <v>-3.556976638945869E-2</v>
      </c>
      <c r="J4" s="55" t="s">
        <v>53</v>
      </c>
      <c r="K4" s="73" t="s">
        <v>54</v>
      </c>
      <c r="L4" s="78" t="s">
        <v>55</v>
      </c>
      <c r="M4" s="78" t="s">
        <v>56</v>
      </c>
    </row>
    <row r="5" spans="1:13" ht="43.15">
      <c r="A5" s="51" t="str">
        <v>Adelanto - 1 Sheep Creek Road</v>
      </c>
      <c r="B5" s="48" t="str">
        <v>CA</v>
      </c>
      <c r="C5" s="41">
        <v>539830</v>
      </c>
      <c r="D5" s="42">
        <v>415542.92</v>
      </c>
      <c r="E5" s="42">
        <f t="shared" ref="E5:E15" si="0">IF(AND(ISNUMBER(C5),ISNUMBER(D5)), C5-D5, "")</f>
        <v>124287.08000000002</v>
      </c>
      <c r="F5" s="43">
        <f>IFERROR(E5/D5, "")</f>
        <v>0.29909565057684057</v>
      </c>
      <c r="G5" s="44">
        <v>569668.74</v>
      </c>
      <c r="H5" s="44">
        <f t="shared" ref="H5:H15" si="1">IF(AND(ISNUMBER(C5),ISNUMBER(G5)), C5-G5, "")</f>
        <v>-29838.739999999991</v>
      </c>
      <c r="I5" s="43">
        <f t="shared" ref="I5:I15" si="2">IFERROR(H5/G5, "")</f>
        <v>-5.2379107198334232E-2</v>
      </c>
      <c r="J5" s="64" t="s">
        <v>57</v>
      </c>
      <c r="K5" s="74" t="s">
        <v>58</v>
      </c>
      <c r="L5" s="78" t="s">
        <v>27</v>
      </c>
      <c r="M5" s="78" t="s">
        <v>59</v>
      </c>
    </row>
    <row r="6" spans="1:13" ht="15.6">
      <c r="A6" s="52" t="str">
        <v>Blackstone - 83 Federal Street</v>
      </c>
      <c r="B6" s="46" t="str">
        <v>MA</v>
      </c>
      <c r="C6" s="34">
        <v>344694.9</v>
      </c>
      <c r="D6" s="42">
        <v>508146.2</v>
      </c>
      <c r="E6" s="35">
        <f t="shared" si="0"/>
        <v>-163451.29999999999</v>
      </c>
      <c r="F6" s="36">
        <f t="shared" ref="F6:F15" si="3">IFERROR(E6/D6, "")</f>
        <v>-0.32166195476813558</v>
      </c>
      <c r="G6" s="37">
        <v>491267.1</v>
      </c>
      <c r="H6" s="37">
        <f t="shared" si="1"/>
        <v>-146572.19999999995</v>
      </c>
      <c r="I6" s="38">
        <f t="shared" si="2"/>
        <v>-0.29835541602521309</v>
      </c>
      <c r="J6" s="55" t="s">
        <v>60</v>
      </c>
      <c r="K6" s="73" t="s">
        <v>61</v>
      </c>
    </row>
    <row r="7" spans="1:13" ht="62.25" customHeight="1">
      <c r="A7" s="51" t="str">
        <v>Charlton - 299 Worcester Road</v>
      </c>
      <c r="B7" s="48" t="str">
        <v>MA</v>
      </c>
      <c r="C7" s="41">
        <v>27164.5</v>
      </c>
      <c r="D7" s="42">
        <v>42025.38</v>
      </c>
      <c r="E7" s="42">
        <f t="shared" si="0"/>
        <v>-14860.879999999997</v>
      </c>
      <c r="F7" s="43">
        <f t="shared" si="3"/>
        <v>-0.3536167906155756</v>
      </c>
      <c r="G7" s="44">
        <v>31343.27</v>
      </c>
      <c r="H7" s="44">
        <f t="shared" si="1"/>
        <v>-4178.7700000000004</v>
      </c>
      <c r="I7" s="43">
        <f t="shared" si="2"/>
        <v>-0.13332271967794043</v>
      </c>
      <c r="J7" s="56" t="s">
        <v>62</v>
      </c>
      <c r="K7" s="76" t="s">
        <v>63</v>
      </c>
    </row>
    <row r="8" spans="1:13" ht="15.6">
      <c r="A8" s="52" t="str">
        <v>Wareham - 8 Thatcher Drive</v>
      </c>
      <c r="B8" s="46" t="str">
        <v>MA</v>
      </c>
      <c r="C8" s="34">
        <v>9151.0625</v>
      </c>
      <c r="D8" s="42">
        <v>10698.21</v>
      </c>
      <c r="E8" s="35">
        <f t="shared" si="0"/>
        <v>-1547.1474999999991</v>
      </c>
      <c r="F8" s="36">
        <f t="shared" si="3"/>
        <v>-0.14461741730625957</v>
      </c>
      <c r="G8" s="37">
        <v>11033.87</v>
      </c>
      <c r="H8" s="37">
        <f t="shared" si="1"/>
        <v>-1882.8075000000008</v>
      </c>
      <c r="I8" s="38">
        <f t="shared" si="2"/>
        <v>-0.17063890547921995</v>
      </c>
      <c r="J8" s="55" t="s">
        <v>64</v>
      </c>
      <c r="K8" s="73"/>
    </row>
    <row r="9" spans="1:13" ht="15.6">
      <c r="A9" s="51" t="str">
        <v>West Yarmouth - 42 Mid Tech</v>
      </c>
      <c r="B9" s="48" t="str">
        <v>MA</v>
      </c>
      <c r="C9" s="41">
        <v>7255.8318474293901</v>
      </c>
      <c r="D9" s="42">
        <v>9324.2019999999993</v>
      </c>
      <c r="E9" s="42">
        <f t="shared" si="0"/>
        <v>-2068.3701525706092</v>
      </c>
      <c r="F9" s="43">
        <f t="shared" si="3"/>
        <v>-0.22182811489611759</v>
      </c>
      <c r="G9" s="44">
        <v>9379.7569999999996</v>
      </c>
      <c r="H9" s="44">
        <f t="shared" si="1"/>
        <v>-2123.9251525706095</v>
      </c>
      <c r="I9" s="43">
        <f t="shared" si="2"/>
        <v>-0.22643711906082531</v>
      </c>
      <c r="J9" s="56" t="s">
        <v>64</v>
      </c>
      <c r="K9" s="56"/>
    </row>
    <row r="10" spans="1:13" ht="15.6">
      <c r="A10" s="52" t="str">
        <v>Harrison - 130 Union Street</v>
      </c>
      <c r="B10" s="46" t="str">
        <v>NY</v>
      </c>
      <c r="C10" s="34">
        <v>13226.875</v>
      </c>
      <c r="D10" s="35">
        <v>16424.34</v>
      </c>
      <c r="E10" s="35">
        <f t="shared" si="0"/>
        <v>-3197.4650000000001</v>
      </c>
      <c r="F10" s="36">
        <f t="shared" si="3"/>
        <v>-0.1946784467442832</v>
      </c>
      <c r="G10" s="37">
        <v>14212.59</v>
      </c>
      <c r="H10" s="37">
        <f t="shared" si="1"/>
        <v>-985.71500000000015</v>
      </c>
      <c r="I10" s="38">
        <f t="shared" si="2"/>
        <v>-6.9355057734023159E-2</v>
      </c>
      <c r="J10" s="55" t="s">
        <v>36</v>
      </c>
      <c r="K10" s="55"/>
    </row>
    <row r="11" spans="1:13" ht="15.6">
      <c r="A11" s="51" t="str">
        <v>Staten Island - Ellis Storage</v>
      </c>
      <c r="B11" s="48" t="str">
        <v>NY</v>
      </c>
      <c r="C11" s="41">
        <v>31295.875</v>
      </c>
      <c r="D11" s="42">
        <v>32267.16</v>
      </c>
      <c r="E11" s="42">
        <f t="shared" si="0"/>
        <v>-971.28499999999985</v>
      </c>
      <c r="F11" s="43">
        <f t="shared" si="3"/>
        <v>-3.0101347624023927E-2</v>
      </c>
      <c r="G11" s="44">
        <v>30624.97</v>
      </c>
      <c r="H11" s="44">
        <f t="shared" si="1"/>
        <v>670.90499999999884</v>
      </c>
      <c r="I11" s="43">
        <f t="shared" si="2"/>
        <v>2.1907123500855635E-2</v>
      </c>
      <c r="J11" s="56"/>
      <c r="K11" s="56"/>
    </row>
    <row r="12" spans="1:13" ht="86.45">
      <c r="A12" s="52" t="str">
        <v>Amherst - 595 Scholles Road</v>
      </c>
      <c r="B12" s="46" t="str">
        <v>NY</v>
      </c>
      <c r="C12" s="34">
        <v>232611</v>
      </c>
      <c r="D12" s="35">
        <v>417742.3</v>
      </c>
      <c r="E12" s="35">
        <f t="shared" si="0"/>
        <v>-185131.3</v>
      </c>
      <c r="F12" s="36">
        <f t="shared" si="3"/>
        <v>-0.44317106503219805</v>
      </c>
      <c r="G12" s="37">
        <v>401280.1</v>
      </c>
      <c r="H12" s="37">
        <f t="shared" si="1"/>
        <v>-168669.09999999998</v>
      </c>
      <c r="I12" s="38">
        <f t="shared" si="2"/>
        <v>-0.42032759660895219</v>
      </c>
      <c r="J12" s="55" t="s">
        <v>65</v>
      </c>
      <c r="K12" s="73" t="s">
        <v>66</v>
      </c>
      <c r="L12" s="78" t="s">
        <v>67</v>
      </c>
      <c r="M12" s="78" t="s">
        <v>68</v>
      </c>
    </row>
    <row r="13" spans="1:13" ht="15.6">
      <c r="A13" s="51" t="str">
        <v>Lancaster 1 - Gunnville Road</v>
      </c>
      <c r="B13" s="48" t="str">
        <v>NY</v>
      </c>
      <c r="C13" s="41">
        <v>227486</v>
      </c>
      <c r="D13" s="42">
        <v>352750.8</v>
      </c>
      <c r="E13" s="42">
        <f t="shared" si="0"/>
        <v>-125264.79999999999</v>
      </c>
      <c r="F13" s="43">
        <f t="shared" si="3"/>
        <v>-0.35510847884682328</v>
      </c>
      <c r="G13" s="44">
        <v>379774.4</v>
      </c>
      <c r="H13" s="44">
        <f t="shared" si="1"/>
        <v>-152288.40000000002</v>
      </c>
      <c r="I13" s="43">
        <f t="shared" si="2"/>
        <v>-0.40099701296348572</v>
      </c>
      <c r="J13" s="96" t="s">
        <v>64</v>
      </c>
      <c r="K13" s="56"/>
    </row>
    <row r="14" spans="1:13" ht="43.15">
      <c r="A14" s="52" t="str">
        <v>Lancaster 2 - Shisler Road</v>
      </c>
      <c r="B14" s="46" t="str">
        <v>NY</v>
      </c>
      <c r="C14" s="34">
        <v>223663</v>
      </c>
      <c r="D14" s="35">
        <v>402516.6</v>
      </c>
      <c r="E14" s="35">
        <f t="shared" si="0"/>
        <v>-178853.59999999998</v>
      </c>
      <c r="F14" s="36">
        <f t="shared" si="3"/>
        <v>-0.44433844467532518</v>
      </c>
      <c r="G14" s="37">
        <v>410691.2</v>
      </c>
      <c r="H14" s="37">
        <f t="shared" si="1"/>
        <v>-187028.2</v>
      </c>
      <c r="I14" s="38">
        <f t="shared" si="2"/>
        <v>-0.45539860605730048</v>
      </c>
      <c r="J14" s="55" t="s">
        <v>69</v>
      </c>
      <c r="K14" s="73" t="s">
        <v>70</v>
      </c>
    </row>
    <row r="15" spans="1:13" ht="15.6">
      <c r="A15" s="51" t="str">
        <v>Fullerton - 200 W Orangethorpe</v>
      </c>
      <c r="B15" s="48" t="str">
        <v>CA</v>
      </c>
      <c r="C15" s="41">
        <v>73626.953749999899</v>
      </c>
      <c r="D15" s="42">
        <v>75409.94</v>
      </c>
      <c r="E15" s="42">
        <f t="shared" si="0"/>
        <v>-1782.9862500001036</v>
      </c>
      <c r="F15" s="43">
        <f t="shared" si="3"/>
        <v>-2.3643915510343907E-2</v>
      </c>
      <c r="G15" s="44">
        <v>81220.44</v>
      </c>
      <c r="H15" s="44">
        <f t="shared" si="1"/>
        <v>-7593.4862500001036</v>
      </c>
      <c r="I15" s="43">
        <f t="shared" si="2"/>
        <v>-9.3492306247049434E-2</v>
      </c>
      <c r="J15" s="56"/>
      <c r="K15" s="56"/>
    </row>
    <row r="16" spans="1:13" ht="15.6">
      <c r="A16" s="52" t="str">
        <v>El Paso - 10500 Railroad Drive</v>
      </c>
      <c r="B16" s="46" t="str">
        <v>TX</v>
      </c>
      <c r="C16" s="34">
        <v>105996.5</v>
      </c>
      <c r="D16" s="35">
        <v>100797.2</v>
      </c>
      <c r="E16" s="35">
        <f t="shared" ref="E16:E17" si="4">IF(AND(ISNUMBER(C16),ISNUMBER(D16)), C16-D16, "")</f>
        <v>5199.3000000000029</v>
      </c>
      <c r="F16" s="36">
        <f t="shared" ref="F16:F17" si="5">IFERROR(E16/D16, "")</f>
        <v>5.1581789970356347E-2</v>
      </c>
      <c r="G16" s="37">
        <v>101055</v>
      </c>
      <c r="H16" s="37">
        <f t="shared" ref="H16:H17" si="6">IF(AND(ISNUMBER(C16),ISNUMBER(G16)), C16-G16, "")</f>
        <v>4941.5</v>
      </c>
      <c r="I16" s="38">
        <f t="shared" ref="I16:I17" si="7">IFERROR(H16/G16, "")</f>
        <v>4.8899114343674235E-2</v>
      </c>
      <c r="J16" s="55"/>
      <c r="K16" s="55"/>
    </row>
    <row r="17" spans="1:13" ht="28.9">
      <c r="A17" s="51" t="str">
        <v>Friona - 900 Millard Ave</v>
      </c>
      <c r="B17" s="48" t="str">
        <v>TX</v>
      </c>
      <c r="C17" s="41">
        <v>81985.000000000204</v>
      </c>
      <c r="D17" s="42">
        <v>72229.98</v>
      </c>
      <c r="E17" s="42">
        <f t="shared" si="4"/>
        <v>9755.0200000002078</v>
      </c>
      <c r="F17" s="43">
        <f t="shared" si="5"/>
        <v>0.13505500070746534</v>
      </c>
      <c r="G17" s="44">
        <v>78972.399999999994</v>
      </c>
      <c r="H17" s="44">
        <f t="shared" si="6"/>
        <v>3012.6000000002095</v>
      </c>
      <c r="I17" s="43">
        <f t="shared" si="7"/>
        <v>3.814750469784646E-2</v>
      </c>
      <c r="J17" s="82" t="s">
        <v>71</v>
      </c>
      <c r="K17" s="88" t="s">
        <v>72</v>
      </c>
    </row>
    <row r="18" spans="1:13" ht="15.6">
      <c r="A18" s="52" t="str">
        <v>Augusta - 13 York Farm Road</v>
      </c>
      <c r="B18" s="46" t="str">
        <v>ME</v>
      </c>
      <c r="C18" s="34">
        <v>43748.5</v>
      </c>
      <c r="D18" s="35">
        <v>150180.79999999999</v>
      </c>
      <c r="E18" s="35">
        <f>IF(AND(ISNUMBER(C18),ISNUMBER(D18)), C18-D18, "")</f>
        <v>-106432.29999999999</v>
      </c>
      <c r="F18" s="36">
        <f>IFERROR(E18/D18, "")</f>
        <v>-0.70869445361857175</v>
      </c>
      <c r="G18" s="37">
        <v>115391.9</v>
      </c>
      <c r="H18" s="37">
        <f>IF(AND(ISNUMBER(C18),ISNUMBER(G18)), C18-G18, "")</f>
        <v>-71643.399999999994</v>
      </c>
      <c r="I18" s="38">
        <f>IFERROR(H18/G18, "")</f>
        <v>-0.62087026905701348</v>
      </c>
      <c r="J18" s="55" t="s">
        <v>64</v>
      </c>
      <c r="K18" s="55"/>
    </row>
    <row r="19" spans="1:13" ht="15.6">
      <c r="A19" s="47" t="str">
        <v xml:space="preserve">Santa Ana - 1441 West </v>
      </c>
      <c r="B19" s="48" t="str">
        <v>CA</v>
      </c>
      <c r="C19" s="41">
        <v>47461.375</v>
      </c>
      <c r="D19" s="42">
        <v>45475.040000000001</v>
      </c>
      <c r="E19" s="42">
        <f>IF(AND(ISNUMBER(C19),ISNUMBER(D19)), C19-D19, "")</f>
        <v>1986.3349999999991</v>
      </c>
      <c r="F19" s="43">
        <f>IFERROR(E19/D19, "")</f>
        <v>4.3679675707816841E-2</v>
      </c>
      <c r="G19" s="44">
        <v>53286.01</v>
      </c>
      <c r="H19" s="44">
        <f>IF(AND(ISNUMBER(C19),ISNUMBER(G19)), C19-G19, "")</f>
        <v>-5824.635000000002</v>
      </c>
      <c r="I19" s="43">
        <f>IFERROR(H19/G19, "")</f>
        <v>-0.10930889740102519</v>
      </c>
      <c r="J19" s="56"/>
      <c r="K19" s="57"/>
    </row>
    <row r="20" spans="1:13" ht="36" customHeight="1">
      <c r="A20" s="50" t="str">
        <v>Jessup -7950 Oceano Ave</v>
      </c>
      <c r="B20" s="46" t="str">
        <v>MD</v>
      </c>
      <c r="C20" s="34">
        <v>143523.25</v>
      </c>
      <c r="D20" s="35">
        <v>137903.29999999999</v>
      </c>
      <c r="E20" s="35">
        <f>IF(AND(ISNUMBER(C20),ISNUMBER(D20)), C20-D20, "")</f>
        <v>5619.9500000000116</v>
      </c>
      <c r="F20" s="86">
        <f>IFERROR(E20/D20, "")</f>
        <v>4.0752831875669485E-2</v>
      </c>
      <c r="G20" s="37">
        <v>143903.70000000001</v>
      </c>
      <c r="H20" s="37">
        <f>IF(AND(ISNUMBER(C20),ISNUMBER(G20)), C20-G20, "")</f>
        <v>-380.45000000001164</v>
      </c>
      <c r="I20" s="38">
        <f>IFERROR(H20/G20, "")</f>
        <v>-2.6437819180466634E-3</v>
      </c>
      <c r="J20" s="55" t="s">
        <v>73</v>
      </c>
      <c r="K20" s="73" t="s">
        <v>74</v>
      </c>
    </row>
    <row r="21" spans="1:13" ht="105" customHeight="1">
      <c r="A21" s="47" t="str">
        <v xml:space="preserve">TX: Fort Worth - 5200 Gold Spike Dr </v>
      </c>
      <c r="B21" s="48" t="str">
        <v>TX</v>
      </c>
      <c r="C21" s="41">
        <v>82092.3</v>
      </c>
      <c r="D21" s="42">
        <v>273384.2</v>
      </c>
      <c r="E21" s="84">
        <f>IF(AND(ISNUMBER(C21),ISNUMBER(D21)), C21-D21, "")</f>
        <v>-191291.90000000002</v>
      </c>
      <c r="F21" s="87">
        <f>IFERROR(E21/D21, "")</f>
        <v>-0.69971819878398245</v>
      </c>
      <c r="G21" s="85">
        <v>293318.40000000002</v>
      </c>
      <c r="H21" s="44">
        <f>IF(AND(ISNUMBER(C21),ISNUMBER(G21)), C21-G21, "")</f>
        <v>-211226.10000000003</v>
      </c>
      <c r="I21" s="43">
        <f>IFERROR(H21/G21, "")</f>
        <v>-0.72012563821430919</v>
      </c>
      <c r="J21" s="56" t="s">
        <v>75</v>
      </c>
      <c r="K21" s="74" t="s">
        <v>76</v>
      </c>
      <c r="L21" s="78" t="s">
        <v>77</v>
      </c>
      <c r="M21" s="78" t="s">
        <v>78</v>
      </c>
    </row>
    <row r="22" spans="1:13" ht="14.45">
      <c r="A22" s="13" t="str">
        <v>NY: Clifton Springs - Ontario 2 (21597)</v>
      </c>
      <c r="B22" s="18" t="str">
        <v>NY</v>
      </c>
      <c r="C22" s="13"/>
      <c r="D22" s="13"/>
      <c r="E22" s="13"/>
      <c r="F22" s="10"/>
      <c r="G22" s="13"/>
      <c r="H22" s="13"/>
      <c r="I22" s="13"/>
      <c r="J22" s="13"/>
      <c r="K22" s="13"/>
    </row>
    <row r="23" spans="1:13" ht="14.45">
      <c r="A23" s="13"/>
      <c r="B23" s="18"/>
      <c r="C23" s="13"/>
      <c r="D23" s="13"/>
      <c r="E23" s="13"/>
      <c r="F23" s="13"/>
      <c r="G23" s="13"/>
      <c r="H23" s="13"/>
      <c r="I23" s="13"/>
      <c r="J23" s="13"/>
      <c r="K23" s="13"/>
    </row>
    <row r="24" spans="1:13" ht="14.45">
      <c r="A24" s="13"/>
      <c r="B24" s="18"/>
      <c r="C24" s="13"/>
      <c r="D24" s="13"/>
      <c r="E24" s="13"/>
      <c r="F24" s="14"/>
      <c r="G24" s="13"/>
      <c r="H24" s="13"/>
      <c r="I24" s="14"/>
      <c r="J24" s="13"/>
      <c r="K24" s="13"/>
    </row>
    <row r="25" spans="1:13" ht="14.45">
      <c r="A25" s="13"/>
      <c r="B25" s="18"/>
      <c r="C25" s="13"/>
      <c r="D25" s="13"/>
      <c r="E25" s="13"/>
      <c r="F25" s="14"/>
      <c r="G25" s="13"/>
      <c r="H25" s="13"/>
      <c r="I25" s="14"/>
      <c r="J25" s="13"/>
      <c r="K25" s="13"/>
    </row>
    <row r="26" spans="1:13" ht="14.45">
      <c r="A26" s="13"/>
      <c r="B26" s="18"/>
      <c r="C26" s="13"/>
      <c r="D26" s="13"/>
      <c r="E26" s="13"/>
      <c r="F26" s="14"/>
      <c r="G26" s="13"/>
      <c r="H26" s="13"/>
      <c r="I26" s="14"/>
      <c r="J26" s="13"/>
      <c r="K26" s="13"/>
    </row>
    <row r="27" spans="1:13" ht="14.45">
      <c r="A27" s="13"/>
      <c r="B27" s="18"/>
      <c r="C27" s="13"/>
      <c r="D27" s="13"/>
      <c r="E27" s="13"/>
      <c r="F27" s="14"/>
      <c r="G27" s="13"/>
      <c r="H27" s="13"/>
      <c r="I27" s="14"/>
      <c r="J27" s="13"/>
      <c r="K27" s="13"/>
    </row>
    <row r="28" spans="1:13" ht="14.45">
      <c r="A28" s="13"/>
      <c r="B28" s="18"/>
      <c r="C28" s="13"/>
      <c r="D28" s="13"/>
      <c r="E28" s="13"/>
      <c r="F28" s="14"/>
      <c r="G28" s="13"/>
      <c r="H28" s="13"/>
      <c r="I28" s="14"/>
      <c r="J28" s="13"/>
      <c r="K28" s="13"/>
    </row>
    <row r="29" spans="1:13" ht="14.45">
      <c r="A29" s="13"/>
      <c r="B29" s="18"/>
      <c r="C29" s="13"/>
      <c r="D29" s="13"/>
      <c r="E29" s="13"/>
      <c r="F29" s="14"/>
      <c r="G29" s="13"/>
      <c r="H29" s="13"/>
      <c r="I29" s="14"/>
      <c r="J29" s="13"/>
      <c r="K29" s="13"/>
    </row>
    <row r="30" spans="1:13" ht="14.45">
      <c r="A30" s="13"/>
      <c r="B30" s="18"/>
      <c r="C30" s="13"/>
      <c r="D30" s="13"/>
      <c r="E30" s="13"/>
      <c r="F30" s="14"/>
      <c r="G30" s="13"/>
      <c r="H30" s="13"/>
      <c r="I30" s="14"/>
      <c r="J30" s="13"/>
      <c r="K30" s="13"/>
    </row>
    <row r="31" spans="1:13" ht="14.45">
      <c r="A31" s="13"/>
      <c r="B31" s="18"/>
      <c r="C31" s="13"/>
      <c r="D31" s="13"/>
      <c r="E31" s="13"/>
      <c r="F31" s="14"/>
      <c r="G31" s="13"/>
      <c r="H31" s="13"/>
      <c r="I31" s="14"/>
      <c r="J31" s="13"/>
      <c r="K31" s="13"/>
    </row>
    <row r="32" spans="1:13"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C333" s="13"/>
      <c r="D333" s="13"/>
      <c r="E333" s="13"/>
      <c r="F333" s="14"/>
      <c r="G333" s="13"/>
      <c r="H333" s="13"/>
      <c r="I333" s="14"/>
      <c r="J333" s="13"/>
      <c r="K333" s="13"/>
    </row>
  </sheetData>
  <mergeCells count="4">
    <mergeCell ref="G1:I1"/>
    <mergeCell ref="A1:C1"/>
    <mergeCell ref="D1:F1"/>
    <mergeCell ref="A2:B2"/>
  </mergeCells>
  <conditionalFormatting sqref="F2 I2 I4:I91 F23:F91">
    <cfRule type="cellIs" dxfId="40" priority="3" stopIfTrue="1" operator="lessThanOrEqual">
      <formula>-0.1</formula>
    </cfRule>
    <cfRule type="expression" dxfId="39" priority="4">
      <formula>AND(ISNUMBER(F2), F2&gt;=0.1)</formula>
    </cfRule>
  </conditionalFormatting>
  <conditionalFormatting sqref="F4:F21">
    <cfRule type="cellIs" dxfId="38" priority="1" stopIfTrue="1" operator="lessThanOrEqual">
      <formula>-0.1</formula>
    </cfRule>
    <cfRule type="expression" dxfId="37" priority="2">
      <formula>AND(ISNUMBER(F4), F4&gt;=0.1)</formula>
    </cfRule>
  </conditionalFormatting>
  <hyperlinks>
    <hyperlink ref="K4" r:id="rId1" display="https://us3.assetplanner.com/service_request?ID=096333" xr:uid="{74C873AB-EB32-44E6-8BF2-2F08B922CBAE}"/>
    <hyperlink ref="L4" r:id="rId2" display="https://us3.assetplanner.com/service_request?ID=094993" xr:uid="{511A1EDD-8BD4-4787-B091-7F9CD8145B34}"/>
    <hyperlink ref="M4" r:id="rId3" display="https://us3.assetplanner.com/service_request?ID=097172" xr:uid="{A14CB64F-0787-4936-8A34-FC602C4E004B}"/>
    <hyperlink ref="K5" r:id="rId4" display="https://us3.assetplanner.com/service_request?ID=096178" xr:uid="{590A54E9-FDD7-4FF1-9A89-9FEE75A24F3F}"/>
    <hyperlink ref="L5" r:id="rId5" display="https://us3.assetplanner.com/service_request?ID=096016" xr:uid="{3481F32F-8137-40CC-B9A5-AC7B16F9CD81}"/>
    <hyperlink ref="M5" r:id="rId6" display="https://us3.assetplanner.com/service_request?ID=097916" xr:uid="{622B8CD2-B126-4A5E-BF33-E5B031208411}"/>
    <hyperlink ref="K6" r:id="rId7" display="https://us3.assetplanner.com/service_request?ID=096554" xr:uid="{5A84E8A3-66E3-460E-B16E-74FBAAA0753B}"/>
    <hyperlink ref="K7" r:id="rId8" display="https://us3.assetplanner.com/service_request?ID=081303" xr:uid="{6FCA999C-2B37-4710-8565-D0A4DFA2E03C}"/>
    <hyperlink ref="K12" r:id="rId9" display="https://us3.assetplanner.com/service_request?ID=096212" xr:uid="{DDBB4CCF-8641-4AD2-8229-22CAFF305985}"/>
    <hyperlink ref="L12" r:id="rId10" display="https://us3.assetplanner.com/service_request?ID=097208" xr:uid="{3BCB94DC-63CB-46A0-BA19-FFE447E197CF}"/>
    <hyperlink ref="M12" r:id="rId11" display="https://us3.assetplanner.com/service_request?ID=097837" xr:uid="{D7608A23-695C-4CCB-8CF7-326ADA35BCAF}"/>
    <hyperlink ref="K14" r:id="rId12" display="https://us3.assetplanner.com/service_request?ID=096170" xr:uid="{1647271E-9307-4CE4-9532-1244DEB1D651}"/>
    <hyperlink ref="K17" r:id="rId13" display="https://us3.assetplanner.com/service_request?ID=093503" xr:uid="{D8589ABF-28DA-44D8-A51D-CF8F662C9816}"/>
    <hyperlink ref="K20" r:id="rId14" display="https://us3.assetplanner.com/service_request?ID=096047" xr:uid="{FE5C6D30-36FF-46A2-ACFB-611DDD9C918B}"/>
    <hyperlink ref="K21" r:id="rId15" display="https://us3.assetplanner.com/service_request?ID=097878" xr:uid="{9D361D33-87A6-4245-A9AA-E6D84A329F1E}"/>
    <hyperlink ref="L21" r:id="rId16" display="https://us3.assetplanner.com/service_request?ID=097940" xr:uid="{A89545DA-BE43-4196-A94E-089D58033418}"/>
    <hyperlink ref="M21" r:id="rId17" display="https://us3.assetplanner.com/service_request?ID=097900" xr:uid="{56A71482-CEEE-4DCE-AF04-237B41116C7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T334"/>
  <sheetViews>
    <sheetView zoomScale="70" zoomScaleNormal="70" workbookViewId="0">
      <pane xSplit="2" ySplit="3" topLeftCell="H4" activePane="bottomRight" state="frozen"/>
      <selection pane="bottomRight" activeCell="D1" sqref="D1:F1"/>
      <selection pane="bottomLeft" activeCell="E11" sqref="E11"/>
      <selection pane="topRight" activeCell="E11" sqref="E11"/>
    </sheetView>
  </sheetViews>
  <sheetFormatPr defaultRowHeight="13.9"/>
  <cols>
    <col min="1" max="1" width="35.85546875" bestFit="1" customWidth="1"/>
    <col min="2" max="2" width="8.42578125" style="19" customWidth="1"/>
    <col min="3" max="3" width="11.85546875" customWidth="1"/>
    <col min="4" max="5" width="13.140625" customWidth="1"/>
    <col min="6" max="6" width="13.140625" style="1" customWidth="1"/>
    <col min="7" max="8" width="13.140625" customWidth="1"/>
    <col min="9" max="9" width="13.140625" style="1" customWidth="1"/>
    <col min="10" max="10" width="74.85546875" bestFit="1" customWidth="1"/>
    <col min="11" max="11" width="20.5703125" bestFit="1" customWidth="1"/>
  </cols>
  <sheetData>
    <row r="1" spans="1:17" ht="19.5" customHeight="1">
      <c r="A1" s="100" t="str" cm="1">
        <f t="array" ref="A1">portfolio</f>
        <v>Catalyze</v>
      </c>
      <c r="B1" s="100"/>
      <c r="C1" s="100"/>
      <c r="D1" s="101" t="s">
        <v>79</v>
      </c>
      <c r="E1" s="101"/>
      <c r="F1" s="101"/>
      <c r="G1" s="99" t="s">
        <v>80</v>
      </c>
      <c r="H1" s="99"/>
      <c r="I1" s="99"/>
      <c r="J1" s="4"/>
      <c r="K1" s="4"/>
    </row>
    <row r="2" spans="1:17" ht="19.5" customHeight="1">
      <c r="A2" s="102" t="s">
        <v>2</v>
      </c>
      <c r="B2" s="102"/>
      <c r="C2" s="5">
        <f>SUM(C4:C92)</f>
        <v>4294677.9979219083</v>
      </c>
      <c r="D2" s="5">
        <f>SUM(D4:D92)</f>
        <v>4922393.1199999992</v>
      </c>
      <c r="E2" s="5">
        <f>C2-D2</f>
        <v>-627715.12207809091</v>
      </c>
      <c r="F2" s="6">
        <f>IFERROR(E2/D2, 0)</f>
        <v>-0.12752234670726401</v>
      </c>
      <c r="G2" s="5">
        <f>SUM(G4:G92)</f>
        <v>5166542.8100000005</v>
      </c>
      <c r="H2" s="7">
        <f>C2-G2</f>
        <v>-871864.81207809225</v>
      </c>
      <c r="I2" s="6">
        <f>IFERROR(H2/G2, 0)</f>
        <v>-0.16875207351240204</v>
      </c>
      <c r="J2" s="1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17" t="s">
        <v>3</v>
      </c>
      <c r="B3" s="17" t="s">
        <v>4</v>
      </c>
      <c r="C3" s="25" t="s">
        <v>5</v>
      </c>
      <c r="D3" s="26" t="s">
        <v>6</v>
      </c>
      <c r="E3" s="26" t="s">
        <v>7</v>
      </c>
      <c r="F3" s="27" t="s">
        <v>8</v>
      </c>
      <c r="G3" s="28" t="s">
        <v>9</v>
      </c>
      <c r="H3" s="29" t="s">
        <v>7</v>
      </c>
      <c r="I3" s="30" t="s">
        <v>8</v>
      </c>
      <c r="J3" s="15" t="s">
        <v>20</v>
      </c>
      <c r="K3" s="15" t="s">
        <v>21</v>
      </c>
    </row>
    <row r="4" spans="1:17" ht="72">
      <c r="A4" s="50" t="str" cm="1">
        <f t="array" ref="A4:A22">Sites[Site]</f>
        <v>Fresno - 3150 Shaw Ave</v>
      </c>
      <c r="B4" s="46" t="str" cm="1">
        <f t="array" ref="B4:B22">Sites[State]</f>
        <v>CA</v>
      </c>
      <c r="C4" s="34">
        <v>82059.375</v>
      </c>
      <c r="D4" s="35">
        <v>79466.179999999993</v>
      </c>
      <c r="E4" s="35">
        <f>IF(AND(ISNUMBER(C4),ISNUMBER(D4)), C4-D4, "")</f>
        <v>2593.195000000007</v>
      </c>
      <c r="F4" s="36">
        <f>IFERROR(E4/D4, "")</f>
        <v>3.263268726394055E-2</v>
      </c>
      <c r="G4" s="37">
        <v>102469</v>
      </c>
      <c r="H4" s="37">
        <f>IF(AND(ISNUMBER(C4),ISNUMBER(G4)), C4-G4, "")</f>
        <v>-20409.625</v>
      </c>
      <c r="I4" s="38">
        <f>IFERROR(H4/G4, "")</f>
        <v>-0.19917853204383765</v>
      </c>
      <c r="J4" s="70" t="s">
        <v>81</v>
      </c>
      <c r="K4" s="90" t="s">
        <v>82</v>
      </c>
      <c r="L4" s="75" t="s">
        <v>83</v>
      </c>
      <c r="M4" s="91" t="s">
        <v>84</v>
      </c>
    </row>
    <row r="5" spans="1:17" ht="129.75" customHeight="1">
      <c r="A5" s="51" t="str">
        <v>Adelanto - 1 Sheep Creek Road</v>
      </c>
      <c r="B5" s="48" t="str">
        <v>CA</v>
      </c>
      <c r="C5" s="41">
        <v>613170</v>
      </c>
      <c r="D5" s="42">
        <v>474842.85</v>
      </c>
      <c r="E5" s="42">
        <f t="shared" ref="E5:E17" si="0">IF(AND(ISNUMBER(C5),ISNUMBER(D5)), C5-D5, "")</f>
        <v>138327.15000000002</v>
      </c>
      <c r="F5" s="43">
        <f>IFERROR(E5/D5, "")</f>
        <v>0.29131143071860516</v>
      </c>
      <c r="G5" s="44">
        <v>680082.38</v>
      </c>
      <c r="H5" s="44">
        <f t="shared" ref="H5:H17" si="1">IF(AND(ISNUMBER(C5),ISNUMBER(G5)), C5-G5, "")</f>
        <v>-66912.38</v>
      </c>
      <c r="I5" s="43">
        <f t="shared" ref="I5:I17" si="2">IFERROR(H5/G5, "")</f>
        <v>-9.8388639329253028E-2</v>
      </c>
      <c r="J5" s="64" t="s">
        <v>85</v>
      </c>
      <c r="K5" s="76" t="s">
        <v>86</v>
      </c>
      <c r="L5" s="75" t="s">
        <v>87</v>
      </c>
      <c r="M5" s="91" t="s">
        <v>88</v>
      </c>
      <c r="N5" s="75" t="s">
        <v>89</v>
      </c>
      <c r="O5" s="75" t="s">
        <v>88</v>
      </c>
      <c r="P5" s="75" t="s">
        <v>90</v>
      </c>
      <c r="Q5" s="75" t="s">
        <v>91</v>
      </c>
    </row>
    <row r="6" spans="1:17" ht="52.35" customHeight="1">
      <c r="A6" s="52" t="str">
        <v>Blackstone - 83 Federal Street</v>
      </c>
      <c r="B6" s="46" t="str">
        <v>MA</v>
      </c>
      <c r="C6" s="34">
        <v>621375.9</v>
      </c>
      <c r="D6" s="35">
        <v>663323.6</v>
      </c>
      <c r="E6" s="35">
        <f t="shared" si="0"/>
        <v>-41947.699999999953</v>
      </c>
      <c r="F6" s="36">
        <f t="shared" ref="F6:F17" si="3">IFERROR(E6/D6, "")</f>
        <v>-6.3238666617620648E-2</v>
      </c>
      <c r="G6" s="37">
        <v>693620.2</v>
      </c>
      <c r="H6" s="37">
        <f t="shared" si="1"/>
        <v>-72244.29999999993</v>
      </c>
      <c r="I6" s="38">
        <f t="shared" si="2"/>
        <v>-0.10415541531229906</v>
      </c>
      <c r="J6" s="70" t="s">
        <v>92</v>
      </c>
      <c r="K6" s="90" t="s">
        <v>93</v>
      </c>
      <c r="L6" s="75" t="s">
        <v>94</v>
      </c>
      <c r="M6" s="91" t="s">
        <v>88</v>
      </c>
    </row>
    <row r="7" spans="1:17" ht="89.25" customHeight="1">
      <c r="A7" s="51" t="str">
        <v>Charlton - 299 Worcester Road</v>
      </c>
      <c r="B7" s="48" t="str">
        <v>MA</v>
      </c>
      <c r="C7" s="41">
        <v>55962.25</v>
      </c>
      <c r="D7" s="42">
        <v>56208.81</v>
      </c>
      <c r="E7" s="42">
        <f t="shared" si="0"/>
        <v>-246.55999999999767</v>
      </c>
      <c r="F7" s="43">
        <f t="shared" si="3"/>
        <v>-4.3865009773378528E-3</v>
      </c>
      <c r="G7" s="44">
        <v>59298.27</v>
      </c>
      <c r="H7" s="44">
        <f t="shared" si="1"/>
        <v>-3336.0199999999968</v>
      </c>
      <c r="I7" s="43">
        <f t="shared" si="2"/>
        <v>-5.6258302307976217E-2</v>
      </c>
      <c r="J7" s="64" t="s">
        <v>95</v>
      </c>
      <c r="K7" s="74" t="s">
        <v>96</v>
      </c>
      <c r="L7" s="75" t="s">
        <v>97</v>
      </c>
      <c r="M7" s="91" t="s">
        <v>98</v>
      </c>
    </row>
    <row r="8" spans="1:17" ht="28.9">
      <c r="A8" s="52" t="str">
        <v>Wareham - 8 Thatcher Drive</v>
      </c>
      <c r="B8" s="46" t="str">
        <v>MA</v>
      </c>
      <c r="C8" s="34">
        <v>14875.8125</v>
      </c>
      <c r="D8" s="35">
        <v>15055.13</v>
      </c>
      <c r="E8" s="35">
        <f t="shared" si="0"/>
        <v>-179.3174999999992</v>
      </c>
      <c r="F8" s="36">
        <f t="shared" si="3"/>
        <v>-1.1910724118622637E-2</v>
      </c>
      <c r="G8" s="37">
        <v>16928.07</v>
      </c>
      <c r="H8" s="37">
        <f t="shared" si="1"/>
        <v>-2052.2574999999997</v>
      </c>
      <c r="I8" s="38">
        <f t="shared" si="2"/>
        <v>-0.12123399182541186</v>
      </c>
      <c r="J8" s="70" t="s">
        <v>99</v>
      </c>
      <c r="K8" s="70"/>
      <c r="M8" s="58"/>
    </row>
    <row r="9" spans="1:17" ht="28.9">
      <c r="A9" s="51" t="str">
        <v>West Yarmouth - 42 Mid Tech</v>
      </c>
      <c r="B9" s="48" t="str">
        <v>MA</v>
      </c>
      <c r="C9" s="41">
        <v>12225.6816719081</v>
      </c>
      <c r="D9" s="42">
        <v>13601.24</v>
      </c>
      <c r="E9" s="42">
        <f t="shared" si="0"/>
        <v>-1375.5583280919</v>
      </c>
      <c r="F9" s="43">
        <f t="shared" si="3"/>
        <v>-0.10113477360092903</v>
      </c>
      <c r="G9" s="44">
        <v>14703.99</v>
      </c>
      <c r="H9" s="44">
        <f t="shared" si="1"/>
        <v>-2478.3083280919</v>
      </c>
      <c r="I9" s="43">
        <f t="shared" si="2"/>
        <v>-0.16854665489380094</v>
      </c>
      <c r="J9" s="64" t="s">
        <v>99</v>
      </c>
      <c r="K9" s="63"/>
      <c r="M9" s="58"/>
    </row>
    <row r="10" spans="1:17" ht="15.6">
      <c r="A10" s="52" t="str">
        <v>Harrison - 130 Union Street</v>
      </c>
      <c r="B10" s="46" t="str">
        <v>NY</v>
      </c>
      <c r="C10" s="34">
        <v>23281.875</v>
      </c>
      <c r="D10" s="35">
        <v>24219.16</v>
      </c>
      <c r="E10" s="35">
        <f t="shared" si="0"/>
        <v>-937.28499999999985</v>
      </c>
      <c r="F10" s="36">
        <f t="shared" si="3"/>
        <v>-3.8700144843999536E-2</v>
      </c>
      <c r="G10" s="37">
        <v>21479.86</v>
      </c>
      <c r="H10" s="37">
        <f t="shared" si="1"/>
        <v>1802.0149999999994</v>
      </c>
      <c r="I10" s="38">
        <f t="shared" si="2"/>
        <v>8.3893237665422365E-2</v>
      </c>
      <c r="J10" s="70"/>
      <c r="K10" s="70"/>
      <c r="M10" s="58"/>
    </row>
    <row r="11" spans="1:17" ht="15.6">
      <c r="A11" s="51" t="str">
        <v>Staten Island - Ellis Storage</v>
      </c>
      <c r="B11" s="48" t="str">
        <v>NY</v>
      </c>
      <c r="C11" s="41">
        <v>53693.25</v>
      </c>
      <c r="D11" s="42">
        <v>50948.08</v>
      </c>
      <c r="E11" s="42">
        <f t="shared" si="0"/>
        <v>2745.1699999999983</v>
      </c>
      <c r="F11" s="43">
        <f t="shared" si="3"/>
        <v>5.3881716445447959E-2</v>
      </c>
      <c r="G11" s="44">
        <v>48258.91</v>
      </c>
      <c r="H11" s="44">
        <f t="shared" si="1"/>
        <v>5434.3399999999965</v>
      </c>
      <c r="I11" s="43">
        <f t="shared" si="2"/>
        <v>0.11260801373259355</v>
      </c>
      <c r="J11" s="64"/>
      <c r="K11" s="63"/>
      <c r="M11" s="58"/>
    </row>
    <row r="12" spans="1:17" ht="86.45">
      <c r="A12" s="52" t="str">
        <v>Amherst - 595 Scholles Road</v>
      </c>
      <c r="B12" s="46" t="str">
        <v>NY</v>
      </c>
      <c r="C12" s="34">
        <v>571517</v>
      </c>
      <c r="D12" s="35">
        <v>702948.9</v>
      </c>
      <c r="E12" s="35">
        <f t="shared" si="0"/>
        <v>-131431.90000000002</v>
      </c>
      <c r="F12" s="36">
        <f t="shared" si="3"/>
        <v>-0.18697219669879278</v>
      </c>
      <c r="G12" s="37">
        <v>728804.1</v>
      </c>
      <c r="H12" s="37">
        <f t="shared" si="1"/>
        <v>-157287.09999999998</v>
      </c>
      <c r="I12" s="38">
        <f t="shared" si="2"/>
        <v>-0.21581533364041172</v>
      </c>
      <c r="J12" s="70" t="s">
        <v>100</v>
      </c>
      <c r="K12" s="90" t="s">
        <v>101</v>
      </c>
      <c r="L12" s="75" t="s">
        <v>102</v>
      </c>
      <c r="M12" s="91" t="s">
        <v>103</v>
      </c>
      <c r="N12" s="75" t="s">
        <v>104</v>
      </c>
    </row>
    <row r="13" spans="1:17" ht="28.9">
      <c r="A13" s="51" t="str">
        <v>Lancaster 1 - Gunnville Road</v>
      </c>
      <c r="B13" s="48" t="str">
        <v>NY</v>
      </c>
      <c r="C13" s="41">
        <v>598573</v>
      </c>
      <c r="D13" s="42">
        <v>629166</v>
      </c>
      <c r="E13" s="42">
        <f t="shared" si="0"/>
        <v>-30593</v>
      </c>
      <c r="F13" s="43">
        <f t="shared" si="3"/>
        <v>-4.8624687284436856E-2</v>
      </c>
      <c r="G13" s="44">
        <v>641592.30000000005</v>
      </c>
      <c r="H13" s="44">
        <f t="shared" si="1"/>
        <v>-43019.300000000047</v>
      </c>
      <c r="I13" s="43">
        <f t="shared" si="2"/>
        <v>-6.7050835865704816E-2</v>
      </c>
      <c r="J13" s="64" t="s">
        <v>105</v>
      </c>
      <c r="K13" s="74" t="s">
        <v>106</v>
      </c>
      <c r="M13" s="58"/>
    </row>
    <row r="14" spans="1:17" ht="43.15">
      <c r="A14" s="52" t="str">
        <v>Lancaster 2 - Shisler Road</v>
      </c>
      <c r="B14" s="46" t="str">
        <v>NY</v>
      </c>
      <c r="C14" s="34">
        <v>648289</v>
      </c>
      <c r="D14" s="35">
        <v>692226.9</v>
      </c>
      <c r="E14" s="35">
        <f t="shared" si="0"/>
        <v>-43937.900000000023</v>
      </c>
      <c r="F14" s="36">
        <f t="shared" si="3"/>
        <v>-6.3473262885334308E-2</v>
      </c>
      <c r="G14" s="37">
        <v>704760.1</v>
      </c>
      <c r="H14" s="37">
        <f t="shared" si="1"/>
        <v>-56471.099999999977</v>
      </c>
      <c r="I14" s="38">
        <f t="shared" si="2"/>
        <v>-8.01281173551113E-2</v>
      </c>
      <c r="J14" s="70" t="s">
        <v>107</v>
      </c>
      <c r="K14" s="90" t="s">
        <v>108</v>
      </c>
      <c r="M14" s="58"/>
    </row>
    <row r="15" spans="1:17" ht="43.15">
      <c r="A15" s="51" t="str">
        <v>Fullerton - 200 W Orangethorpe</v>
      </c>
      <c r="B15" s="48" t="str">
        <v>CA</v>
      </c>
      <c r="C15" s="41">
        <v>96573.5</v>
      </c>
      <c r="D15" s="42">
        <v>99489.52</v>
      </c>
      <c r="E15" s="42">
        <f t="shared" si="0"/>
        <v>-2916.0200000000041</v>
      </c>
      <c r="F15" s="43">
        <f t="shared" si="3"/>
        <v>-2.930982077308247E-2</v>
      </c>
      <c r="G15" s="44">
        <v>111528.7</v>
      </c>
      <c r="H15" s="44">
        <f t="shared" si="1"/>
        <v>-14955.199999999997</v>
      </c>
      <c r="I15" s="43">
        <f t="shared" si="2"/>
        <v>-0.13409283888362367</v>
      </c>
      <c r="J15" s="64" t="s">
        <v>109</v>
      </c>
      <c r="K15" s="74" t="s">
        <v>110</v>
      </c>
      <c r="M15" s="58"/>
    </row>
    <row r="16" spans="1:17" ht="57.6">
      <c r="A16" s="52" t="str">
        <v>El Paso - 10500 Railroad Drive</v>
      </c>
      <c r="B16" s="46" t="str">
        <v>TX</v>
      </c>
      <c r="C16" s="34">
        <v>137031.75</v>
      </c>
      <c r="D16" s="35">
        <v>125322.2</v>
      </c>
      <c r="E16" s="35">
        <f t="shared" si="0"/>
        <v>11709.550000000003</v>
      </c>
      <c r="F16" s="36">
        <f t="shared" si="3"/>
        <v>9.3435560499257136E-2</v>
      </c>
      <c r="G16" s="37">
        <v>132709.5</v>
      </c>
      <c r="H16" s="37">
        <f t="shared" si="1"/>
        <v>4322.25</v>
      </c>
      <c r="I16" s="38">
        <f t="shared" si="2"/>
        <v>3.2569258417822385E-2</v>
      </c>
      <c r="J16" s="70" t="s">
        <v>111</v>
      </c>
      <c r="K16" s="90" t="s">
        <v>112</v>
      </c>
      <c r="M16" s="58"/>
    </row>
    <row r="17" spans="1:20" ht="100.9">
      <c r="A17" s="51" t="str">
        <v>Friona - 900 Millard Ave</v>
      </c>
      <c r="B17" s="48" t="str">
        <v>TX</v>
      </c>
      <c r="C17" s="41">
        <v>110152.875</v>
      </c>
      <c r="D17" s="42">
        <v>110329</v>
      </c>
      <c r="E17" s="42">
        <f t="shared" si="0"/>
        <v>-176.125</v>
      </c>
      <c r="F17" s="43">
        <f t="shared" si="3"/>
        <v>-1.5963617906443455E-3</v>
      </c>
      <c r="G17" s="44">
        <v>105708.4</v>
      </c>
      <c r="H17" s="44">
        <f t="shared" si="1"/>
        <v>4444.4750000000058</v>
      </c>
      <c r="I17" s="43">
        <f t="shared" si="2"/>
        <v>4.2044671946600325E-2</v>
      </c>
      <c r="J17" s="64" t="s">
        <v>113</v>
      </c>
      <c r="K17" s="74" t="s">
        <v>114</v>
      </c>
      <c r="L17" s="75" t="s">
        <v>115</v>
      </c>
      <c r="M17" s="91" t="s">
        <v>116</v>
      </c>
    </row>
    <row r="18" spans="1:20" ht="28.9">
      <c r="A18" s="49" t="str">
        <v>Augusta - 13 York Farm Road</v>
      </c>
      <c r="B18" s="46" t="str">
        <v>ME</v>
      </c>
      <c r="C18" s="34">
        <v>136389.5</v>
      </c>
      <c r="D18" s="35">
        <v>148689.9</v>
      </c>
      <c r="E18" s="35">
        <f>IF(AND(ISNUMBER(C18),ISNUMBER(D18)), C18-D18, "")</f>
        <v>-12300.399999999994</v>
      </c>
      <c r="F18" s="36">
        <f>IFERROR(E18/D18, "")</f>
        <v>-8.2725188462699856E-2</v>
      </c>
      <c r="G18" s="37">
        <v>162995</v>
      </c>
      <c r="H18" s="37">
        <f>IF(AND(ISNUMBER(C18),ISNUMBER(G18)), C18-G18, "")</f>
        <v>-26605.5</v>
      </c>
      <c r="I18" s="38">
        <f>IFERROR(H18/G18, "")</f>
        <v>-0.16322893340286512</v>
      </c>
      <c r="J18" s="55" t="s">
        <v>99</v>
      </c>
      <c r="K18" s="55"/>
    </row>
    <row r="19" spans="1:20" ht="15.6">
      <c r="A19" s="47" t="str">
        <v xml:space="preserve">Santa Ana - 1441 West </v>
      </c>
      <c r="B19" s="48" t="str">
        <v>CA</v>
      </c>
      <c r="C19" s="41">
        <v>65569.153749999998</v>
      </c>
      <c r="D19" s="42">
        <v>61153.65</v>
      </c>
      <c r="E19" s="42">
        <f>IF(AND(ISNUMBER(C19),ISNUMBER(D19)), C19-D19, "")</f>
        <v>4415.5037499999962</v>
      </c>
      <c r="F19" s="43">
        <f>IFERROR(E19/D19, "")</f>
        <v>7.2203437570774534E-2</v>
      </c>
      <c r="G19" s="44">
        <v>70786.73</v>
      </c>
      <c r="H19" s="44">
        <f>IF(AND(ISNUMBER(C19),ISNUMBER(G19)), C19-G19, "")</f>
        <v>-5217.5762499999983</v>
      </c>
      <c r="I19" s="43">
        <f>IFERROR(H19/G19, "")</f>
        <v>-7.3708394920912412E-2</v>
      </c>
      <c r="J19" s="89"/>
      <c r="K19" s="68"/>
    </row>
    <row r="20" spans="1:20" ht="43.15">
      <c r="A20" s="49" t="str">
        <v>Jessup -7950 Oceano Ave</v>
      </c>
      <c r="B20" s="46" t="str">
        <v>MD</v>
      </c>
      <c r="C20" s="34">
        <v>240512.375</v>
      </c>
      <c r="D20" s="35">
        <v>227251.8</v>
      </c>
      <c r="E20" s="35">
        <f>IF(AND(ISNUMBER(C20),ISNUMBER(D20)), C20-D20, "")</f>
        <v>13260.575000000012</v>
      </c>
      <c r="F20" s="36">
        <f>IFERROR(E20/D20, "")</f>
        <v>5.8351903043232276E-2</v>
      </c>
      <c r="G20" s="37">
        <v>215179.3</v>
      </c>
      <c r="H20" s="37">
        <f>IF(AND(ISNUMBER(C20),ISNUMBER(G20)), C20-G20, "")</f>
        <v>25333.075000000012</v>
      </c>
      <c r="I20" s="38">
        <f>IFERROR(H20/G20, "")</f>
        <v>0.11773007440771494</v>
      </c>
      <c r="J20" s="55" t="s">
        <v>117</v>
      </c>
      <c r="K20" s="73" t="s">
        <v>118</v>
      </c>
      <c r="L20" s="75" t="s">
        <v>119</v>
      </c>
    </row>
    <row r="21" spans="1:20" ht="388.9">
      <c r="A21" s="47" t="str">
        <v xml:space="preserve">TX: Fort Worth - 5200 Gold Spike Dr </v>
      </c>
      <c r="B21" s="48" t="str">
        <v>TX</v>
      </c>
      <c r="C21" s="41">
        <v>213425.7</v>
      </c>
      <c r="D21" s="42">
        <v>748150.2</v>
      </c>
      <c r="E21" s="42">
        <f>IF(AND(ISNUMBER(C21),ISNUMBER(D21)), C21-D21, "")</f>
        <v>-534724.5</v>
      </c>
      <c r="F21" s="43">
        <f>IFERROR(E21/D21, "")</f>
        <v>-0.71472880712990527</v>
      </c>
      <c r="G21" s="44">
        <v>655638</v>
      </c>
      <c r="H21" s="44">
        <f>IF(AND(ISNUMBER(C21),ISNUMBER(G21)), C21-G21, "")</f>
        <v>-442212.3</v>
      </c>
      <c r="I21" s="43">
        <f>IFERROR(H21/G21, "")</f>
        <v>-0.67447631162318233</v>
      </c>
      <c r="J21" s="89" t="s">
        <v>120</v>
      </c>
      <c r="K21" s="76" t="s">
        <v>121</v>
      </c>
      <c r="L21" s="75" t="s">
        <v>122</v>
      </c>
      <c r="M21" s="75" t="s">
        <v>78</v>
      </c>
      <c r="N21" s="75" t="s">
        <v>123</v>
      </c>
      <c r="O21" s="75" t="s">
        <v>124</v>
      </c>
      <c r="P21" s="75" t="s">
        <v>122</v>
      </c>
      <c r="Q21" s="75" t="s">
        <v>125</v>
      </c>
      <c r="R21" s="75" t="s">
        <v>126</v>
      </c>
      <c r="S21" s="75" t="s">
        <v>122</v>
      </c>
      <c r="T21" s="75" t="s">
        <v>127</v>
      </c>
    </row>
    <row r="22" spans="1:20" ht="14.45">
      <c r="A22" s="13" t="str">
        <v>NY: Clifton Springs - Ontario 2 (21597)</v>
      </c>
      <c r="B22" s="18" t="str">
        <v>NY</v>
      </c>
      <c r="C22" s="13"/>
      <c r="D22" s="13"/>
      <c r="E22" s="13"/>
      <c r="F22" s="13"/>
      <c r="G22" s="13"/>
      <c r="H22" s="13"/>
      <c r="I22" s="13"/>
      <c r="J22" s="13"/>
      <c r="K22" s="13"/>
      <c r="M22" s="58"/>
    </row>
    <row r="23" spans="1:20" ht="14.45">
      <c r="A23" s="13"/>
      <c r="B23" s="18"/>
      <c r="C23" s="13"/>
      <c r="D23" s="13"/>
      <c r="E23" s="13"/>
      <c r="F23" s="13"/>
      <c r="G23" s="13"/>
      <c r="H23" s="13"/>
      <c r="I23" s="13"/>
      <c r="J23" s="13"/>
      <c r="K23" s="13"/>
      <c r="M23" s="58"/>
    </row>
    <row r="24" spans="1:20" ht="14.45">
      <c r="A24" s="13"/>
      <c r="B24" s="18"/>
      <c r="C24" s="13"/>
      <c r="D24" s="13"/>
      <c r="E24" s="13"/>
      <c r="F24" s="13"/>
      <c r="G24" s="13"/>
      <c r="H24" s="13"/>
      <c r="I24" s="13"/>
      <c r="J24" s="13"/>
      <c r="K24" s="13"/>
      <c r="M24" s="58"/>
    </row>
    <row r="25" spans="1:20" ht="14.45">
      <c r="A25" s="13"/>
      <c r="B25" s="18"/>
      <c r="C25" s="13"/>
      <c r="D25" s="13"/>
      <c r="E25" s="13"/>
      <c r="F25" s="14"/>
      <c r="G25" s="13"/>
      <c r="H25" s="13"/>
      <c r="I25" s="14"/>
      <c r="J25" s="13"/>
      <c r="K25" s="13"/>
      <c r="M25" s="58"/>
    </row>
    <row r="26" spans="1:20" ht="14.45">
      <c r="A26" s="13"/>
      <c r="B26" s="18"/>
      <c r="C26" s="13"/>
      <c r="D26" s="13"/>
      <c r="E26" s="13"/>
      <c r="F26" s="14"/>
      <c r="G26" s="13"/>
      <c r="H26" s="13"/>
      <c r="I26" s="14"/>
      <c r="J26" s="13"/>
      <c r="K26" s="13"/>
      <c r="M26" s="58"/>
    </row>
    <row r="27" spans="1:20" ht="14.45">
      <c r="A27" s="13"/>
      <c r="B27" s="18"/>
      <c r="C27" s="13"/>
      <c r="D27" s="13"/>
      <c r="E27" s="13"/>
      <c r="F27" s="14"/>
      <c r="G27" s="13"/>
      <c r="H27" s="13"/>
      <c r="I27" s="14"/>
      <c r="J27" s="13"/>
      <c r="K27" s="13"/>
      <c r="M27" s="58"/>
    </row>
    <row r="28" spans="1:20" ht="14.45">
      <c r="A28" s="13"/>
      <c r="B28" s="18"/>
      <c r="C28" s="13"/>
      <c r="D28" s="13"/>
      <c r="E28" s="13"/>
      <c r="F28" s="14"/>
      <c r="G28" s="13"/>
      <c r="H28" s="13"/>
      <c r="I28" s="14"/>
      <c r="J28" s="13"/>
      <c r="K28" s="13"/>
      <c r="M28" s="58"/>
    </row>
    <row r="29" spans="1:20" ht="14.45">
      <c r="A29" s="13"/>
      <c r="B29" s="18"/>
      <c r="C29" s="13"/>
      <c r="D29" s="13"/>
      <c r="E29" s="13"/>
      <c r="F29" s="14"/>
      <c r="G29" s="13"/>
      <c r="H29" s="13"/>
      <c r="I29" s="14"/>
      <c r="J29" s="13"/>
      <c r="K29" s="13"/>
      <c r="M29" s="58"/>
    </row>
    <row r="30" spans="1:20" ht="14.45">
      <c r="A30" s="13"/>
      <c r="B30" s="18"/>
      <c r="C30" s="13"/>
      <c r="D30" s="13"/>
      <c r="E30" s="13"/>
      <c r="F30" s="14"/>
      <c r="G30" s="13"/>
      <c r="H30" s="13"/>
      <c r="I30" s="14"/>
      <c r="J30" s="13"/>
      <c r="K30" s="13"/>
      <c r="M30" s="58"/>
    </row>
    <row r="31" spans="1:20" ht="14.45">
      <c r="A31" s="13"/>
      <c r="B31" s="18"/>
      <c r="C31" s="13"/>
      <c r="D31" s="13"/>
      <c r="E31" s="13"/>
      <c r="F31" s="14"/>
      <c r="G31" s="13"/>
      <c r="H31" s="13"/>
      <c r="I31" s="14"/>
      <c r="J31" s="13"/>
      <c r="K31" s="13"/>
      <c r="M31" s="58"/>
    </row>
    <row r="32" spans="1:20" ht="14.45">
      <c r="A32" s="13"/>
      <c r="B32" s="18"/>
      <c r="C32" s="13"/>
      <c r="D32" s="13"/>
      <c r="E32" s="13"/>
      <c r="F32" s="14"/>
      <c r="G32" s="13"/>
      <c r="H32" s="13"/>
      <c r="I32" s="14"/>
      <c r="J32" s="13"/>
      <c r="K32" s="13"/>
      <c r="M32" s="58"/>
    </row>
    <row r="33" spans="1:13" ht="14.45">
      <c r="A33" s="13"/>
      <c r="B33" s="18"/>
      <c r="C33" s="13"/>
      <c r="D33" s="13"/>
      <c r="E33" s="13"/>
      <c r="F33" s="14"/>
      <c r="G33" s="13"/>
      <c r="H33" s="13"/>
      <c r="I33" s="14"/>
      <c r="J33" s="13"/>
      <c r="K33" s="13"/>
      <c r="M33" s="58"/>
    </row>
    <row r="34" spans="1:13" ht="14.45">
      <c r="A34" s="13"/>
      <c r="B34" s="18"/>
      <c r="C34" s="13"/>
      <c r="D34" s="13"/>
      <c r="E34" s="13"/>
      <c r="F34" s="14"/>
      <c r="G34" s="13"/>
      <c r="H34" s="13"/>
      <c r="I34" s="14"/>
      <c r="J34" s="13"/>
      <c r="K34" s="13"/>
      <c r="M34" s="58"/>
    </row>
    <row r="35" spans="1:13" ht="14.45">
      <c r="A35" s="13"/>
      <c r="B35" s="18"/>
      <c r="C35" s="13"/>
      <c r="D35" s="13"/>
      <c r="E35" s="13"/>
      <c r="F35" s="14"/>
      <c r="G35" s="13"/>
      <c r="H35" s="13"/>
      <c r="I35" s="14"/>
      <c r="J35" s="13"/>
      <c r="K35" s="13"/>
      <c r="M35" s="58"/>
    </row>
    <row r="36" spans="1:13" ht="14.45">
      <c r="A36" s="13"/>
      <c r="B36" s="18"/>
      <c r="C36" s="13"/>
      <c r="D36" s="13"/>
      <c r="E36" s="13"/>
      <c r="F36" s="14"/>
      <c r="G36" s="13"/>
      <c r="H36" s="13"/>
      <c r="I36" s="14"/>
      <c r="J36" s="13"/>
      <c r="K36" s="13"/>
      <c r="M36" s="58"/>
    </row>
    <row r="37" spans="1:13" ht="14.45">
      <c r="A37" s="13"/>
      <c r="B37" s="18"/>
      <c r="C37" s="13"/>
      <c r="D37" s="13"/>
      <c r="E37" s="13"/>
      <c r="F37" s="14"/>
      <c r="G37" s="13"/>
      <c r="H37" s="13"/>
      <c r="I37" s="14"/>
      <c r="J37" s="13"/>
      <c r="K37" s="13"/>
      <c r="M37" s="58"/>
    </row>
    <row r="38" spans="1:13" ht="14.45">
      <c r="A38" s="13"/>
      <c r="B38" s="18"/>
      <c r="C38" s="13"/>
      <c r="D38" s="13"/>
      <c r="E38" s="13"/>
      <c r="F38" s="14"/>
      <c r="G38" s="13"/>
      <c r="H38" s="13"/>
      <c r="I38" s="14"/>
      <c r="J38" s="13"/>
      <c r="K38" s="13"/>
      <c r="M38" s="58"/>
    </row>
    <row r="39" spans="1:13" ht="14.45">
      <c r="A39" s="13"/>
      <c r="B39" s="18"/>
      <c r="C39" s="13"/>
      <c r="D39" s="13"/>
      <c r="E39" s="13"/>
      <c r="F39" s="14"/>
      <c r="G39" s="13"/>
      <c r="H39" s="13"/>
      <c r="I39" s="14"/>
      <c r="J39" s="13"/>
      <c r="K39" s="13"/>
      <c r="M39" s="58"/>
    </row>
    <row r="40" spans="1:13" ht="14.45">
      <c r="A40" s="13"/>
      <c r="B40" s="18"/>
      <c r="C40" s="13"/>
      <c r="D40" s="13"/>
      <c r="E40" s="13"/>
      <c r="F40" s="14"/>
      <c r="G40" s="13"/>
      <c r="H40" s="13"/>
      <c r="I40" s="14"/>
      <c r="J40" s="13"/>
      <c r="K40" s="13"/>
      <c r="M40" s="58"/>
    </row>
    <row r="41" spans="1:13" ht="14.45">
      <c r="A41" s="13"/>
      <c r="B41" s="18"/>
      <c r="C41" s="13"/>
      <c r="D41" s="13"/>
      <c r="E41" s="13"/>
      <c r="F41" s="14"/>
      <c r="G41" s="13"/>
      <c r="H41" s="13"/>
      <c r="I41" s="14"/>
      <c r="J41" s="13"/>
      <c r="K41" s="13"/>
      <c r="M41" s="58"/>
    </row>
    <row r="42" spans="1:13" ht="14.45">
      <c r="A42" s="13"/>
      <c r="B42" s="18"/>
      <c r="C42" s="13"/>
      <c r="D42" s="13"/>
      <c r="E42" s="13"/>
      <c r="F42" s="14"/>
      <c r="G42" s="13"/>
      <c r="H42" s="13"/>
      <c r="I42" s="14"/>
      <c r="J42" s="13"/>
      <c r="K42" s="13"/>
    </row>
    <row r="43" spans="1:13" ht="14.45">
      <c r="A43" s="13"/>
      <c r="B43" s="18"/>
      <c r="C43" s="13"/>
      <c r="D43" s="13"/>
      <c r="E43" s="13"/>
      <c r="F43" s="14"/>
      <c r="G43" s="13"/>
      <c r="H43" s="13"/>
      <c r="I43" s="14"/>
      <c r="J43" s="13"/>
      <c r="K43" s="13"/>
    </row>
    <row r="44" spans="1:13" ht="14.45">
      <c r="A44" s="13"/>
      <c r="B44" s="18"/>
      <c r="C44" s="13"/>
      <c r="D44" s="13"/>
      <c r="E44" s="13"/>
      <c r="F44" s="14"/>
      <c r="G44" s="13"/>
      <c r="H44" s="13"/>
      <c r="I44" s="14"/>
      <c r="J44" s="13"/>
      <c r="K44" s="13"/>
    </row>
    <row r="45" spans="1:13" ht="14.45">
      <c r="A45" s="13"/>
      <c r="B45" s="18"/>
      <c r="C45" s="13"/>
      <c r="D45" s="13"/>
      <c r="E45" s="13"/>
      <c r="F45" s="14"/>
      <c r="G45" s="13"/>
      <c r="H45" s="13"/>
      <c r="I45" s="14"/>
      <c r="J45" s="13"/>
      <c r="K45" s="13"/>
    </row>
    <row r="46" spans="1:13" ht="14.45">
      <c r="A46" s="13"/>
      <c r="B46" s="18"/>
      <c r="C46" s="13"/>
      <c r="D46" s="13"/>
      <c r="E46" s="13"/>
      <c r="F46" s="14"/>
      <c r="G46" s="13"/>
      <c r="H46" s="13"/>
      <c r="I46" s="14"/>
      <c r="J46" s="13"/>
      <c r="K46" s="13"/>
    </row>
    <row r="47" spans="1:13" ht="14.45">
      <c r="A47" s="13"/>
      <c r="B47" s="18"/>
      <c r="C47" s="13"/>
      <c r="D47" s="13"/>
      <c r="E47" s="13"/>
      <c r="F47" s="14"/>
      <c r="G47" s="13"/>
      <c r="H47" s="13"/>
      <c r="I47" s="14"/>
      <c r="J47" s="13"/>
      <c r="K47" s="13"/>
    </row>
    <row r="48" spans="1:13"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36" priority="5" stopIfTrue="1" operator="lessThanOrEqual">
      <formula>-0.1</formula>
    </cfRule>
    <cfRule type="expression" dxfId="35" priority="6">
      <formula>AND(ISNUMBER(F2), F2&gt;=0.1)</formula>
    </cfRule>
  </conditionalFormatting>
  <conditionalFormatting sqref="F4:F92 I4:I92">
    <cfRule type="cellIs" dxfId="34" priority="1" stopIfTrue="1" operator="lessThanOrEqual">
      <formula>-0.1</formula>
    </cfRule>
    <cfRule type="expression" dxfId="33" priority="2">
      <formula>AND(ISNUMBER(F4), F4&gt;=0.1)</formula>
    </cfRule>
  </conditionalFormatting>
  <hyperlinks>
    <hyperlink ref="K4" r:id="rId1" display="https://us3.assetplanner.com/service_request?ID=096333" xr:uid="{F2178357-35A3-41C5-9AAF-B86D798AF10A}"/>
    <hyperlink ref="L4" r:id="rId2" display="https://us3.assetplanner.com/service_request?ID=098835" xr:uid="{C3BAC9BD-C3B4-4D7A-8C73-AE73EF999BE6}"/>
    <hyperlink ref="M4" r:id="rId3" display="https://us3.assetplanner.com/service_request?ID=097877" xr:uid="{46B245B9-06DB-496F-8F68-3F6F88C01569}"/>
    <hyperlink ref="K5" r:id="rId4" display="https://us3.assetplanner.com/service_request?ID=097992" xr:uid="{E837B11E-7AE9-4E35-AFAB-E8355858E3AE}"/>
    <hyperlink ref="L5" r:id="rId5" display="https://us3.assetplanner.com/service_request?ID=089076" xr:uid="{84F8027C-87DE-4285-AE96-59DBAF28DFD4}"/>
    <hyperlink ref="M5" r:id="rId6" display="https://us3.assetplanner.com/service_request?ID=098032" xr:uid="{006BEB80-F99A-41C4-A150-FF9FEE88BDDF}"/>
    <hyperlink ref="N5" r:id="rId7" display="https://us3.assetplanner.com/service_request?ID=098553" xr:uid="{616BD4A6-AA0A-4C7A-BAA3-69C25BC639FF}"/>
    <hyperlink ref="O5" r:id="rId8" display="https://us3.assetplanner.com/service_request?ID=098032" xr:uid="{77941865-7367-449A-AD08-7C6DC4C35B5D}"/>
    <hyperlink ref="P5" r:id="rId9" display="https://us3.assetplanner.com/service_request?ID=098706" xr:uid="{5AFCFC7A-17E0-497F-A674-CE34B0EB3A09}"/>
    <hyperlink ref="Q5" r:id="rId10" display="https://us3.assetplanner.com/service_request?ID=098752" xr:uid="{48084893-52E0-462B-81FB-191E43B24908}"/>
    <hyperlink ref="K6" r:id="rId11" display="https://us3.assetplanner.com/service_request?ID=084901" xr:uid="{232D7D7F-92C7-4F77-B8FF-62CDBAC263FF}"/>
    <hyperlink ref="L6" r:id="rId12" display="https://us3.assetplanner.com/service_request?ID=099181" xr:uid="{EF26B579-A95F-43AE-8FF2-F4F549CD758B}"/>
    <hyperlink ref="M6" r:id="rId13" display="https://us3.assetplanner.com/service_request?ID=098032" xr:uid="{D4FE7E12-8660-4A4A-BB61-8B3505AF6FAC}"/>
    <hyperlink ref="K7" r:id="rId14" display="https://us3.assetplanner.com/service_request?ID=097972" xr:uid="{04B20D93-8E08-4554-B4A5-12E260FBED61}"/>
    <hyperlink ref="L7" r:id="rId15" display="https://us3.assetplanner.com/service_request?ID=098257" xr:uid="{15B5818A-EE43-4716-BA4E-DE7A3BC539FC}"/>
    <hyperlink ref="M7" r:id="rId16" display="https://us3.assetplanner.com/service_request?ID=098919" xr:uid="{2977F778-4E51-4F4D-A324-62AF9D585B9C}"/>
    <hyperlink ref="K12" r:id="rId17" display="https://us3.assetplanner.com/service_request?ID=098595" xr:uid="{20C102D3-72C8-4F4B-8E6C-0C622E0E2068}"/>
    <hyperlink ref="L12" r:id="rId18" display="https://us3.assetplanner.com/service_request?ID=098886" xr:uid="{A8C49C51-EF1F-4686-A24E-41D3E465E333}"/>
    <hyperlink ref="M12" r:id="rId19" display="https://us3.assetplanner.com/service_request?ID=098982" xr:uid="{659895F5-A97F-45E1-8526-E056633E7BA5}"/>
    <hyperlink ref="N12" r:id="rId20" display="https://us3.assetplanner.com/service_request?ID=099115" xr:uid="{0A6EFF5B-9F97-4DB6-BF5E-0E521634DC97}"/>
    <hyperlink ref="K13" r:id="rId21" display="https://us3.assetplanner.com/service_request?ID=098345" xr:uid="{48746FBA-B990-4898-BC44-9987ACCEB023}"/>
    <hyperlink ref="K14" r:id="rId22" display="https://us3.assetplanner.com/service_request?ID=098941" xr:uid="{DCAA2F4F-2DEC-4429-B153-7A5ABC2C21A0}"/>
    <hyperlink ref="K15" r:id="rId23" display="https://us3.assetplanner.com/service_request?ID=098011" xr:uid="{C5FF6C9D-D01E-4B91-A90F-3C7DE08DF6DF}"/>
    <hyperlink ref="K16" r:id="rId24" display="https://us3.assetplanner.com/service_request?ID=098406" xr:uid="{D959F129-ED86-4B9C-9189-C251C4FFC797}"/>
    <hyperlink ref="K17" r:id="rId25" display="https://us3.assetplanner.com/service_request?ID=098064" xr:uid="{82B765F7-FE96-4C2B-A2E4-C82C9BC1388E}"/>
    <hyperlink ref="L17" r:id="rId26" display="https://us3.assetplanner.com/service_request?ID=098463" xr:uid="{9B5B29A3-C9C7-41C6-80E2-C9AFDA0B4919}"/>
    <hyperlink ref="M17" r:id="rId27" display="https://us3.assetplanner.com/service_request?ID=098579" xr:uid="{FE4AD021-0A2B-44AC-BE5B-B9AA2931F600}"/>
    <hyperlink ref="K20" r:id="rId28" display="https://us3.assetplanner.com/service_request?ID=099184" xr:uid="{4D811973-81A0-4BC3-A4E6-FB33FB22706F}"/>
    <hyperlink ref="L20" r:id="rId29" display="https://us3.assetplanner.com/service_request?ID=098878" xr:uid="{3088EAA9-0B68-4EE1-849C-B7FD5D77D61A}"/>
    <hyperlink ref="K21" r:id="rId30" display="https://us3.assetplanner.com/service_request?ID=097900" xr:uid="{B47C7FCC-E308-46C6-A4FD-2872403ACC01}"/>
    <hyperlink ref="L21" r:id="rId31" display="https://us3.assetplanner.com/service_request?ID=098236" xr:uid="{91A395CE-BD83-4EED-A7D9-683ACE098B3B}"/>
    <hyperlink ref="M21" r:id="rId32" display="https://us3.assetplanner.com/service_request?ID=097900" xr:uid="{0AA42B95-4184-4DF4-ADD1-151D2D0EAB30}"/>
    <hyperlink ref="N21" r:id="rId33" display="https://us3.assetplanner.com/service_request?ID=099098" xr:uid="{E9C5C215-5C70-4FB1-9CF3-564AFD433429}"/>
    <hyperlink ref="O21" r:id="rId34" display="https://us3.assetplanner.com/service_request?ID=098953" xr:uid="{2C799EAA-4D3D-477A-B8E3-E3405C7E8219}"/>
    <hyperlink ref="P21" r:id="rId35" display="https://us3.assetplanner.com/service_request?ID=098236" xr:uid="{CBA08E40-2CEC-41FA-AE0D-135E104D342C}"/>
    <hyperlink ref="Q21" r:id="rId36" display="https://us3.assetplanner.com/service_request?ID=097879" xr:uid="{F7066F45-0C4C-45FA-9BE7-F39EFDBFFF4E}"/>
    <hyperlink ref="R21" r:id="rId37" display="https://us3.assetplanner.com/service_request?ID=098887" xr:uid="{530AB063-BDE7-4431-A140-27835F77E3FD}"/>
    <hyperlink ref="S21" r:id="rId38" display="https://us3.assetplanner.com/service_request?ID=098236" xr:uid="{0654720F-B26D-46BF-B312-7B9F4FB03A83}"/>
    <hyperlink ref="T21" r:id="rId39" display="https://us3.assetplanner.com/service_request?ID=097911" xr:uid="{90A18A19-1F95-4DA5-987B-49293881671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Q334"/>
  <sheetViews>
    <sheetView zoomScale="70" zoomScaleNormal="70" workbookViewId="0">
      <pane xSplit="2" ySplit="3" topLeftCell="C6" activePane="bottomRight" state="frozen"/>
      <selection pane="bottomRight" activeCell="G5" sqref="G5"/>
      <selection pane="bottomLeft" activeCell="E11" sqref="E11"/>
      <selection pane="topRight" activeCell="E11" sqref="E11"/>
    </sheetView>
  </sheetViews>
  <sheetFormatPr defaultRowHeight="13.9"/>
  <cols>
    <col min="1" max="1" width="35.85546875" bestFit="1" customWidth="1"/>
    <col min="2" max="2" width="8.42578125" style="19"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7" ht="19.5" customHeight="1">
      <c r="A1" s="100" t="str" cm="1">
        <f t="array" ref="A1">portfolio</f>
        <v>Catalyze</v>
      </c>
      <c r="B1" s="100"/>
      <c r="C1" s="100"/>
      <c r="D1" s="101" t="s">
        <v>128</v>
      </c>
      <c r="E1" s="101"/>
      <c r="F1" s="101"/>
      <c r="G1" s="99" t="s">
        <v>129</v>
      </c>
      <c r="H1" s="99"/>
      <c r="I1" s="99"/>
      <c r="J1" s="4"/>
      <c r="K1" s="4"/>
    </row>
    <row r="2" spans="1:17" ht="19.5" customHeight="1">
      <c r="A2" s="102" t="s">
        <v>2</v>
      </c>
      <c r="B2" s="102"/>
      <c r="C2" s="5">
        <f>SUM(C4:C92)</f>
        <v>5163386.4879647857</v>
      </c>
      <c r="D2" s="5">
        <f>SUM(D4:D92)</f>
        <v>4823758.6475000009</v>
      </c>
      <c r="E2" s="5">
        <f>C2-D2</f>
        <v>339627.84046478476</v>
      </c>
      <c r="F2" s="6">
        <f>IFERROR(E2/D2, 0)</f>
        <v>7.0407303781834726E-2</v>
      </c>
      <c r="G2" s="5">
        <f>SUM(G4:G92)</f>
        <v>5200347.03</v>
      </c>
      <c r="H2" s="7">
        <f>C2-G2</f>
        <v>-36960.542035214603</v>
      </c>
      <c r="I2" s="6">
        <f>IFERROR(H2/G2, 0)</f>
        <v>-7.1073222271504062E-3</v>
      </c>
      <c r="J2" s="1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17" t="s">
        <v>3</v>
      </c>
      <c r="B3" s="17" t="s">
        <v>4</v>
      </c>
      <c r="C3" s="25" t="s">
        <v>5</v>
      </c>
      <c r="D3" s="26" t="s">
        <v>6</v>
      </c>
      <c r="E3" s="26" t="s">
        <v>7</v>
      </c>
      <c r="F3" s="27" t="s">
        <v>8</v>
      </c>
      <c r="G3" s="28" t="s">
        <v>9</v>
      </c>
      <c r="H3" s="29" t="s">
        <v>7</v>
      </c>
      <c r="I3" s="30" t="s">
        <v>8</v>
      </c>
      <c r="J3" s="15" t="s">
        <v>20</v>
      </c>
      <c r="K3" s="15" t="s">
        <v>21</v>
      </c>
    </row>
    <row r="4" spans="1:17" ht="28.9">
      <c r="A4" s="45" t="str" cm="1">
        <f t="array" ref="A4:A22">Sites[Site]</f>
        <v>Fresno - 3150 Shaw Ave</v>
      </c>
      <c r="B4" s="46" t="str" cm="1">
        <f t="array" ref="B4:B22">Sites[State]</f>
        <v>CA</v>
      </c>
      <c r="C4" s="34">
        <v>100611</v>
      </c>
      <c r="D4" s="35">
        <v>98633.69</v>
      </c>
      <c r="E4" s="35">
        <f>IF(AND(ISNUMBER(C4),ISNUMBER(D4)), C4-D4, "")</f>
        <v>1977.3099999999977</v>
      </c>
      <c r="F4" s="36">
        <f>IFERROR(E4/D4, "")</f>
        <v>2.0047004223404778E-2</v>
      </c>
      <c r="G4" s="37">
        <v>109007.3</v>
      </c>
      <c r="H4" s="37">
        <f>IF(AND(ISNUMBER(C4),ISNUMBER(G4)), C4-G4, "")</f>
        <v>-8396.3000000000029</v>
      </c>
      <c r="I4" s="38">
        <f>IFERROR(H4/G4, "")</f>
        <v>-7.7025116666498514E-2</v>
      </c>
      <c r="J4" s="70" t="s">
        <v>130</v>
      </c>
      <c r="K4" s="90" t="s">
        <v>131</v>
      </c>
      <c r="L4" s="77"/>
      <c r="M4" s="77"/>
      <c r="N4" s="77"/>
      <c r="O4" s="77"/>
      <c r="P4" s="77"/>
      <c r="Q4" s="77"/>
    </row>
    <row r="5" spans="1:17" ht="121.5" customHeight="1">
      <c r="A5" s="47" t="str">
        <v>Adelanto - 1 Sheep Creek Road</v>
      </c>
      <c r="B5" s="48" t="str">
        <v>CA</v>
      </c>
      <c r="C5" s="41">
        <v>786306</v>
      </c>
      <c r="D5" s="42">
        <v>174230.64749999999</v>
      </c>
      <c r="E5" s="42">
        <f t="shared" ref="E5:E21" si="0">IF(AND(ISNUMBER(C5),ISNUMBER(D5)), C5-D5, "")</f>
        <v>612075.35250000004</v>
      </c>
      <c r="F5" s="43">
        <f>IFERROR(E5/D5, "")</f>
        <v>3.5130177226713233</v>
      </c>
      <c r="G5" s="59"/>
      <c r="H5" s="44" t="str">
        <f t="shared" ref="H5:H21" si="1">IF(AND(ISNUMBER(C5),ISNUMBER(G5)), C5-G5, "")</f>
        <v/>
      </c>
      <c r="I5" s="43" t="str">
        <f t="shared" ref="I5:I21" si="2">IFERROR(H5/G5, "")</f>
        <v/>
      </c>
      <c r="J5" s="83" t="s">
        <v>132</v>
      </c>
      <c r="K5" s="74" t="s">
        <v>133</v>
      </c>
      <c r="L5" s="78" t="s">
        <v>134</v>
      </c>
      <c r="M5" s="78" t="s">
        <v>135</v>
      </c>
      <c r="N5" s="77"/>
      <c r="O5" s="77"/>
      <c r="P5" s="77"/>
      <c r="Q5" s="77"/>
    </row>
    <row r="6" spans="1:17" ht="225" customHeight="1">
      <c r="A6" s="49" t="str">
        <v>Blackstone - 83 Federal Street</v>
      </c>
      <c r="B6" s="46" t="str">
        <v>MA</v>
      </c>
      <c r="C6" s="34">
        <v>490582.5</v>
      </c>
      <c r="D6" s="35">
        <v>697581.8</v>
      </c>
      <c r="E6" s="35">
        <f t="shared" si="0"/>
        <v>-206999.30000000005</v>
      </c>
      <c r="F6" s="36">
        <f t="shared" ref="F6:F21" si="3">IFERROR(E6/D6, "")</f>
        <v>-0.29673838967702432</v>
      </c>
      <c r="G6" s="37">
        <v>768668.8</v>
      </c>
      <c r="H6" s="37">
        <f t="shared" si="1"/>
        <v>-278086.30000000005</v>
      </c>
      <c r="I6" s="38">
        <f t="shared" si="2"/>
        <v>-0.36177648943211954</v>
      </c>
      <c r="J6" s="70" t="s">
        <v>136</v>
      </c>
      <c r="K6" s="90" t="s">
        <v>137</v>
      </c>
      <c r="L6" s="78" t="s">
        <v>138</v>
      </c>
      <c r="M6" s="78" t="s">
        <v>139</v>
      </c>
      <c r="N6" s="78" t="s">
        <v>140</v>
      </c>
      <c r="O6" s="78" t="s">
        <v>141</v>
      </c>
      <c r="P6" s="78" t="s">
        <v>141</v>
      </c>
      <c r="Q6" s="78" t="s">
        <v>142</v>
      </c>
    </row>
    <row r="7" spans="1:17" ht="36" customHeight="1">
      <c r="A7" s="47" t="str">
        <v>Charlton - 299 Worcester Road</v>
      </c>
      <c r="B7" s="48" t="str">
        <v>MA</v>
      </c>
      <c r="C7" s="41">
        <v>59872.5</v>
      </c>
      <c r="D7" s="42">
        <v>60825.16</v>
      </c>
      <c r="E7" s="42">
        <f t="shared" si="0"/>
        <v>-952.66000000000349</v>
      </c>
      <c r="F7" s="43">
        <f t="shared" si="3"/>
        <v>-1.566226870591057E-2</v>
      </c>
      <c r="G7" s="44">
        <v>69479.320000000007</v>
      </c>
      <c r="H7" s="44">
        <f t="shared" si="1"/>
        <v>-9606.820000000007</v>
      </c>
      <c r="I7" s="43">
        <f t="shared" si="2"/>
        <v>-0.13826876831840043</v>
      </c>
      <c r="J7" s="64" t="s">
        <v>143</v>
      </c>
      <c r="K7" s="74" t="s">
        <v>144</v>
      </c>
      <c r="L7" s="77"/>
      <c r="M7" s="77"/>
      <c r="N7" s="77"/>
      <c r="O7" s="77"/>
      <c r="P7" s="77"/>
      <c r="Q7" s="77"/>
    </row>
    <row r="8" spans="1:17" ht="15.6">
      <c r="A8" s="49" t="str">
        <v>Wareham - 8 Thatcher Drive</v>
      </c>
      <c r="B8" s="46" t="str">
        <v>MA</v>
      </c>
      <c r="C8" s="34">
        <v>17115.3125</v>
      </c>
      <c r="D8" s="35">
        <v>17134.03</v>
      </c>
      <c r="E8" s="35">
        <f t="shared" si="0"/>
        <v>-18.717499999998836</v>
      </c>
      <c r="F8" s="36">
        <f t="shared" si="3"/>
        <v>-1.092416670217038E-3</v>
      </c>
      <c r="G8" s="37">
        <v>20513.509999999998</v>
      </c>
      <c r="H8" s="37">
        <f t="shared" si="1"/>
        <v>-3398.1974999999984</v>
      </c>
      <c r="I8" s="38">
        <f t="shared" si="2"/>
        <v>-0.16565655999387713</v>
      </c>
      <c r="J8" s="70" t="s">
        <v>145</v>
      </c>
      <c r="K8" s="70"/>
      <c r="L8" s="77"/>
      <c r="M8" s="77"/>
      <c r="N8" s="77"/>
      <c r="O8" s="77"/>
      <c r="P8" s="77"/>
      <c r="Q8" s="77"/>
    </row>
    <row r="9" spans="1:17" ht="15.6">
      <c r="A9" s="47" t="str">
        <v>West Yarmouth - 42 Mid Tech</v>
      </c>
      <c r="B9" s="48" t="str">
        <v>MA</v>
      </c>
      <c r="C9" s="41">
        <v>15407.110626703001</v>
      </c>
      <c r="D9" s="42">
        <v>16609.13</v>
      </c>
      <c r="E9" s="42">
        <f t="shared" si="0"/>
        <v>-1202.0193732970001</v>
      </c>
      <c r="F9" s="43">
        <f t="shared" si="3"/>
        <v>-7.2371001569438015E-2</v>
      </c>
      <c r="G9" s="44">
        <v>19005.689999999999</v>
      </c>
      <c r="H9" s="44">
        <f t="shared" si="1"/>
        <v>-3598.5793732969978</v>
      </c>
      <c r="I9" s="43">
        <f t="shared" si="2"/>
        <v>-0.18934221137443566</v>
      </c>
      <c r="J9" s="92" t="s">
        <v>146</v>
      </c>
      <c r="K9" s="93"/>
      <c r="L9" s="77"/>
      <c r="M9" s="77"/>
      <c r="N9" s="77"/>
      <c r="O9" s="77"/>
      <c r="P9" s="77"/>
      <c r="Q9" s="77"/>
    </row>
    <row r="10" spans="1:17" ht="16.5" customHeight="1">
      <c r="A10" s="49" t="str">
        <v>Harrison - 130 Union Street</v>
      </c>
      <c r="B10" s="46" t="str">
        <v>NY</v>
      </c>
      <c r="C10" s="34">
        <v>25339.3125</v>
      </c>
      <c r="D10" s="35">
        <v>25779.61</v>
      </c>
      <c r="E10" s="35">
        <f t="shared" si="0"/>
        <v>-440.29750000000058</v>
      </c>
      <c r="F10" s="36">
        <f t="shared" si="3"/>
        <v>-1.7079292510631488E-2</v>
      </c>
      <c r="G10" s="37">
        <v>26043.9</v>
      </c>
      <c r="H10" s="37">
        <f t="shared" si="1"/>
        <v>-704.58750000000146</v>
      </c>
      <c r="I10" s="38">
        <f t="shared" si="2"/>
        <v>-2.705383986269343E-2</v>
      </c>
      <c r="J10" s="70"/>
      <c r="K10" s="70"/>
      <c r="L10" s="77"/>
      <c r="M10" s="77"/>
      <c r="N10" s="77"/>
      <c r="O10" s="77"/>
      <c r="P10" s="77"/>
      <c r="Q10" s="77"/>
    </row>
    <row r="11" spans="1:17" ht="15.6">
      <c r="A11" s="47" t="str">
        <v>Staten Island - Ellis Storage</v>
      </c>
      <c r="B11" s="48" t="str">
        <v>NY</v>
      </c>
      <c r="C11" s="41">
        <v>55255.625</v>
      </c>
      <c r="D11" s="42">
        <v>49684.37</v>
      </c>
      <c r="E11" s="42">
        <f t="shared" si="0"/>
        <v>5571.2549999999974</v>
      </c>
      <c r="F11" s="43">
        <f t="shared" si="3"/>
        <v>0.11213295046309327</v>
      </c>
      <c r="G11" s="44">
        <v>60526.2</v>
      </c>
      <c r="H11" s="44">
        <f t="shared" si="1"/>
        <v>-5270.5749999999971</v>
      </c>
      <c r="I11" s="43">
        <f t="shared" si="2"/>
        <v>-8.7079231803747756E-2</v>
      </c>
      <c r="J11" s="92"/>
      <c r="K11" s="93"/>
      <c r="L11" s="77"/>
      <c r="M11" s="77"/>
      <c r="N11" s="77"/>
      <c r="O11" s="77"/>
      <c r="P11" s="77"/>
      <c r="Q11" s="77"/>
    </row>
    <row r="12" spans="1:17" ht="28.9">
      <c r="A12" s="49" t="str">
        <v>Amherst - 595 Scholles Road</v>
      </c>
      <c r="B12" s="46" t="str">
        <v>NY</v>
      </c>
      <c r="C12" s="34">
        <v>812218.5</v>
      </c>
      <c r="D12" s="35">
        <v>838338.8</v>
      </c>
      <c r="E12" s="35">
        <f t="shared" si="0"/>
        <v>-26120.300000000047</v>
      </c>
      <c r="F12" s="36">
        <f t="shared" si="3"/>
        <v>-3.1157212334679066E-2</v>
      </c>
      <c r="G12" s="37">
        <v>916083.3</v>
      </c>
      <c r="H12" s="37">
        <f t="shared" si="1"/>
        <v>-103864.80000000005</v>
      </c>
      <c r="I12" s="38">
        <f t="shared" si="2"/>
        <v>-0.11337920907410935</v>
      </c>
      <c r="J12" s="70" t="s">
        <v>147</v>
      </c>
      <c r="K12" s="90" t="s">
        <v>148</v>
      </c>
      <c r="L12" s="77"/>
      <c r="M12" s="77"/>
      <c r="N12" s="77"/>
      <c r="O12" s="77"/>
      <c r="P12" s="77"/>
      <c r="Q12" s="77"/>
    </row>
    <row r="13" spans="1:17" ht="98.25" customHeight="1">
      <c r="A13" s="47" t="str">
        <v>Lancaster 1 - Gunnville Road</v>
      </c>
      <c r="B13" s="48" t="str">
        <v>NY</v>
      </c>
      <c r="C13" s="41">
        <v>667894</v>
      </c>
      <c r="D13" s="42">
        <v>658923.30000000005</v>
      </c>
      <c r="E13" s="42">
        <f t="shared" si="0"/>
        <v>8970.6999999999534</v>
      </c>
      <c r="F13" s="43">
        <f t="shared" si="3"/>
        <v>1.3614179374139529E-2</v>
      </c>
      <c r="G13" s="44">
        <v>743810.8</v>
      </c>
      <c r="H13" s="44">
        <f t="shared" si="1"/>
        <v>-75916.800000000047</v>
      </c>
      <c r="I13" s="43">
        <f t="shared" si="2"/>
        <v>-0.10206466483143299</v>
      </c>
      <c r="J13" s="64" t="s">
        <v>149</v>
      </c>
      <c r="K13" s="74" t="s">
        <v>150</v>
      </c>
      <c r="L13" s="78" t="s">
        <v>151</v>
      </c>
      <c r="M13" s="78" t="s">
        <v>152</v>
      </c>
      <c r="N13" s="78" t="s">
        <v>151</v>
      </c>
      <c r="O13" s="77"/>
      <c r="P13" s="77"/>
      <c r="Q13" s="77"/>
    </row>
    <row r="14" spans="1:17" ht="86.45">
      <c r="A14" s="49" t="str">
        <v>Lancaster 2 - Shisler Road</v>
      </c>
      <c r="B14" s="46" t="str">
        <v>NY</v>
      </c>
      <c r="C14" s="34">
        <v>701885</v>
      </c>
      <c r="D14" s="35">
        <v>723030.1</v>
      </c>
      <c r="E14" s="35">
        <f t="shared" si="0"/>
        <v>-21145.099999999977</v>
      </c>
      <c r="F14" s="36">
        <f t="shared" si="3"/>
        <v>-2.92451171811519E-2</v>
      </c>
      <c r="G14" s="37">
        <v>817032.2</v>
      </c>
      <c r="H14" s="37">
        <f t="shared" si="1"/>
        <v>-115147.19999999995</v>
      </c>
      <c r="I14" s="38">
        <f t="shared" si="2"/>
        <v>-0.1409334907485898</v>
      </c>
      <c r="J14" s="70" t="s">
        <v>153</v>
      </c>
      <c r="K14" s="90" t="s">
        <v>154</v>
      </c>
      <c r="L14" s="78" t="s">
        <v>155</v>
      </c>
      <c r="M14" s="77"/>
      <c r="N14" s="77"/>
      <c r="O14" s="77"/>
      <c r="P14" s="77"/>
      <c r="Q14" s="77"/>
    </row>
    <row r="15" spans="1:17" ht="15.6">
      <c r="A15" s="47" t="str">
        <v>Fullerton - 200 W Orangethorpe</v>
      </c>
      <c r="B15" s="48" t="str">
        <v>CA</v>
      </c>
      <c r="C15" s="41">
        <v>111484.625</v>
      </c>
      <c r="D15" s="42">
        <v>112078.2</v>
      </c>
      <c r="E15" s="42">
        <f t="shared" si="0"/>
        <v>-593.57499999999709</v>
      </c>
      <c r="F15" s="43">
        <f t="shared" si="3"/>
        <v>-5.2960789877067715E-3</v>
      </c>
      <c r="G15" s="44">
        <v>121425.9</v>
      </c>
      <c r="H15" s="44">
        <f t="shared" si="1"/>
        <v>-9941.2749999999942</v>
      </c>
      <c r="I15" s="43">
        <f t="shared" si="2"/>
        <v>-8.1871124694154987E-2</v>
      </c>
      <c r="J15" s="92"/>
      <c r="K15" s="93"/>
      <c r="L15" s="77"/>
      <c r="M15" s="77"/>
      <c r="N15" s="77"/>
      <c r="O15" s="77"/>
      <c r="P15" s="77"/>
      <c r="Q15" s="77"/>
    </row>
    <row r="16" spans="1:17" ht="28.9">
      <c r="A16" s="49" t="str">
        <v>El Paso - 10500 Railroad Drive</v>
      </c>
      <c r="B16" s="46" t="str">
        <v>TX</v>
      </c>
      <c r="C16" s="34">
        <v>153942.5</v>
      </c>
      <c r="D16" s="35">
        <v>135732.4</v>
      </c>
      <c r="E16" s="35">
        <f t="shared" si="0"/>
        <v>18210.100000000006</v>
      </c>
      <c r="F16" s="36">
        <f t="shared" si="3"/>
        <v>0.13416177714385075</v>
      </c>
      <c r="G16" s="37">
        <v>147311.9</v>
      </c>
      <c r="H16" s="37">
        <f t="shared" si="1"/>
        <v>6630.6000000000058</v>
      </c>
      <c r="I16" s="38">
        <f t="shared" si="2"/>
        <v>4.5010620323273312E-2</v>
      </c>
      <c r="J16" s="97" t="s">
        <v>156</v>
      </c>
      <c r="K16" s="90" t="s">
        <v>157</v>
      </c>
      <c r="L16" s="77"/>
      <c r="M16" s="77"/>
      <c r="N16" s="77"/>
      <c r="O16" s="77"/>
      <c r="P16" s="77"/>
      <c r="Q16" s="77"/>
    </row>
    <row r="17" spans="1:17" ht="28.9">
      <c r="A17" s="47" t="str">
        <v>Friona - 900 Millard Ave</v>
      </c>
      <c r="B17" s="48" t="str">
        <v>TX</v>
      </c>
      <c r="C17" s="41">
        <v>121081</v>
      </c>
      <c r="D17" s="42">
        <v>109536.6</v>
      </c>
      <c r="E17" s="42">
        <f t="shared" si="0"/>
        <v>11544.399999999994</v>
      </c>
      <c r="F17" s="43">
        <f t="shared" si="3"/>
        <v>0.10539308322515026</v>
      </c>
      <c r="G17" s="44">
        <v>124471.2</v>
      </c>
      <c r="H17" s="44">
        <f t="shared" si="1"/>
        <v>-3390.1999999999971</v>
      </c>
      <c r="I17" s="43">
        <f t="shared" si="2"/>
        <v>-2.7236822654557818E-2</v>
      </c>
      <c r="J17" s="70" t="s">
        <v>158</v>
      </c>
      <c r="K17" s="74" t="s">
        <v>159</v>
      </c>
      <c r="L17" s="77"/>
      <c r="M17" s="77"/>
      <c r="N17" s="77"/>
      <c r="O17" s="77"/>
      <c r="P17" s="77"/>
      <c r="Q17" s="77"/>
    </row>
    <row r="18" spans="1:17" ht="15.6">
      <c r="A18" s="49" t="str">
        <v>Augusta - 13 York Farm Road</v>
      </c>
      <c r="B18" s="46" t="str">
        <v>ME</v>
      </c>
      <c r="C18" s="34">
        <v>162062.75</v>
      </c>
      <c r="D18" s="35">
        <v>162237.4</v>
      </c>
      <c r="E18" s="35">
        <f t="shared" si="0"/>
        <v>-174.64999999999418</v>
      </c>
      <c r="F18" s="36">
        <f t="shared" si="3"/>
        <v>-1.0765088691016634E-3</v>
      </c>
      <c r="G18" s="37">
        <v>179807.8</v>
      </c>
      <c r="H18" s="37">
        <f t="shared" si="1"/>
        <v>-17745.049999999988</v>
      </c>
      <c r="I18" s="38">
        <f t="shared" si="2"/>
        <v>-9.8688989020498497E-2</v>
      </c>
      <c r="J18" s="70"/>
      <c r="K18" s="70"/>
      <c r="L18" s="77"/>
      <c r="M18" s="77"/>
      <c r="N18" s="77"/>
      <c r="O18" s="77"/>
      <c r="P18" s="77"/>
      <c r="Q18" s="77"/>
    </row>
    <row r="19" spans="1:17" ht="57.6">
      <c r="A19" s="47" t="str">
        <v xml:space="preserve">Santa Ana - 1441 West </v>
      </c>
      <c r="B19" s="48" t="str">
        <v>CA</v>
      </c>
      <c r="C19" s="41">
        <v>61971.8462499999</v>
      </c>
      <c r="D19" s="42">
        <v>67920.710000000006</v>
      </c>
      <c r="E19" s="42">
        <f t="shared" si="0"/>
        <v>-5948.8637500001059</v>
      </c>
      <c r="F19" s="43">
        <f t="shared" si="3"/>
        <v>-8.7585417614157821E-2</v>
      </c>
      <c r="G19" s="44">
        <v>77132.41</v>
      </c>
      <c r="H19" s="44">
        <f t="shared" si="1"/>
        <v>-15160.563750000103</v>
      </c>
      <c r="I19" s="43">
        <f t="shared" si="2"/>
        <v>-0.19655244468570479</v>
      </c>
      <c r="J19" s="64" t="s">
        <v>160</v>
      </c>
      <c r="K19" s="74" t="s">
        <v>161</v>
      </c>
      <c r="L19" s="77"/>
      <c r="M19" s="77"/>
      <c r="N19" s="77"/>
      <c r="O19" s="77"/>
      <c r="P19" s="77"/>
      <c r="Q19" s="77"/>
    </row>
    <row r="20" spans="1:17" ht="172.5" customHeight="1">
      <c r="A20" s="49" t="str">
        <v>Jessup -7950 Oceano Ave</v>
      </c>
      <c r="B20" s="46" t="str">
        <v>MD</v>
      </c>
      <c r="C20" s="34">
        <v>210761.90608808299</v>
      </c>
      <c r="D20" s="35">
        <v>220062.8</v>
      </c>
      <c r="E20" s="35">
        <f t="shared" si="0"/>
        <v>-9300.8939119169954</v>
      </c>
      <c r="F20" s="36">
        <f t="shared" si="3"/>
        <v>-4.2264725850607171E-2</v>
      </c>
      <c r="G20" s="37">
        <v>259363.5</v>
      </c>
      <c r="H20" s="37">
        <f t="shared" si="1"/>
        <v>-48601.593911917007</v>
      </c>
      <c r="I20" s="38">
        <f t="shared" si="2"/>
        <v>-0.18738794746337478</v>
      </c>
      <c r="J20" s="70" t="s">
        <v>162</v>
      </c>
      <c r="K20" s="90" t="s">
        <v>163</v>
      </c>
      <c r="L20" s="78" t="s">
        <v>164</v>
      </c>
      <c r="M20" s="78" t="s">
        <v>165</v>
      </c>
      <c r="N20" s="78" t="s">
        <v>166</v>
      </c>
      <c r="O20" s="77"/>
      <c r="P20" s="77"/>
      <c r="Q20" s="77"/>
    </row>
    <row r="21" spans="1:17" ht="129.6">
      <c r="A21" s="47" t="str">
        <v xml:space="preserve">TX: Fort Worth - 5200 Gold Spike Dr </v>
      </c>
      <c r="B21" s="48" t="str">
        <v>TX</v>
      </c>
      <c r="C21" s="41">
        <v>609595</v>
      </c>
      <c r="D21" s="42">
        <v>655419.9</v>
      </c>
      <c r="E21" s="42">
        <f t="shared" si="0"/>
        <v>-45824.900000000023</v>
      </c>
      <c r="F21" s="43">
        <f t="shared" si="3"/>
        <v>-6.9916857879963698E-2</v>
      </c>
      <c r="G21" s="44">
        <v>740663.3</v>
      </c>
      <c r="H21" s="44">
        <f t="shared" si="1"/>
        <v>-131068.30000000005</v>
      </c>
      <c r="I21" s="43">
        <f t="shared" si="2"/>
        <v>-0.17696070535694158</v>
      </c>
      <c r="J21" s="92" t="s">
        <v>167</v>
      </c>
      <c r="K21" s="74" t="s">
        <v>168</v>
      </c>
      <c r="L21" s="78" t="s">
        <v>169</v>
      </c>
      <c r="M21" s="78" t="s">
        <v>170</v>
      </c>
      <c r="N21" s="78" t="s">
        <v>171</v>
      </c>
      <c r="O21" s="77"/>
      <c r="P21" s="77"/>
      <c r="Q21" s="77"/>
    </row>
    <row r="22" spans="1:17" ht="14.45">
      <c r="A22" s="13" t="str">
        <v>NY: Clifton Springs - Ontario 2 (21597)</v>
      </c>
      <c r="B22" s="18" t="str">
        <v>NY</v>
      </c>
      <c r="C22" s="13"/>
      <c r="D22" s="13"/>
      <c r="E22" s="13"/>
      <c r="F22" s="13"/>
      <c r="G22" s="13"/>
      <c r="H22" s="13"/>
      <c r="I22" s="13"/>
      <c r="J22" s="13"/>
      <c r="K22" s="13"/>
    </row>
    <row r="23" spans="1:17" ht="14.45">
      <c r="A23" s="13"/>
      <c r="B23" s="18"/>
      <c r="C23" s="13"/>
      <c r="D23" s="13"/>
      <c r="E23" s="13"/>
      <c r="F23" s="13"/>
      <c r="G23" s="13"/>
      <c r="H23" s="13"/>
      <c r="I23" s="13"/>
      <c r="J23" s="13"/>
      <c r="K23" s="13"/>
    </row>
    <row r="24" spans="1:17" ht="14.45">
      <c r="A24" s="13"/>
      <c r="B24" s="18"/>
      <c r="C24" s="13"/>
      <c r="D24" s="13"/>
      <c r="E24" s="13"/>
      <c r="F24" s="13"/>
      <c r="G24" s="13"/>
      <c r="H24" s="13"/>
      <c r="I24" s="13"/>
      <c r="J24" s="13"/>
      <c r="K24" s="13"/>
    </row>
    <row r="25" spans="1:17" ht="14.45">
      <c r="A25" s="13"/>
      <c r="B25" s="18"/>
      <c r="C25" s="13"/>
      <c r="D25" s="13"/>
      <c r="E25" s="13"/>
      <c r="F25" s="14"/>
      <c r="G25" s="13"/>
      <c r="H25" s="13"/>
      <c r="I25" s="14"/>
      <c r="J25" s="13"/>
      <c r="K25" s="13"/>
    </row>
    <row r="26" spans="1:17" ht="14.45">
      <c r="A26" s="13"/>
      <c r="B26" s="18"/>
      <c r="C26" s="13"/>
      <c r="D26" s="13"/>
      <c r="E26" s="13"/>
      <c r="F26" s="14"/>
      <c r="G26" s="13"/>
      <c r="H26" s="13"/>
      <c r="I26" s="14"/>
      <c r="J26" s="13"/>
      <c r="K26" s="13"/>
    </row>
    <row r="27" spans="1:17" ht="14.45">
      <c r="A27" s="13"/>
      <c r="B27" s="18"/>
      <c r="C27" s="13"/>
      <c r="D27" s="13"/>
      <c r="E27" s="13"/>
      <c r="F27" s="14"/>
      <c r="G27" s="13"/>
      <c r="H27" s="13"/>
      <c r="I27" s="14"/>
      <c r="J27" s="13"/>
      <c r="K27" s="13"/>
    </row>
    <row r="28" spans="1:17" ht="14.45">
      <c r="A28" s="13"/>
      <c r="B28" s="18"/>
      <c r="C28" s="13"/>
      <c r="D28" s="13"/>
      <c r="E28" s="13"/>
      <c r="F28" s="14"/>
      <c r="G28" s="13"/>
      <c r="H28" s="13"/>
      <c r="I28" s="14"/>
      <c r="J28" s="13"/>
      <c r="K28" s="13"/>
    </row>
    <row r="29" spans="1:17" ht="14.45">
      <c r="A29" s="13"/>
      <c r="B29" s="18"/>
      <c r="C29" s="13"/>
      <c r="D29" s="13"/>
      <c r="E29" s="13"/>
      <c r="F29" s="14"/>
      <c r="G29" s="13"/>
      <c r="H29" s="13"/>
      <c r="I29" s="14"/>
      <c r="J29" s="13"/>
      <c r="K29" s="13"/>
    </row>
    <row r="30" spans="1:17" ht="14.45">
      <c r="A30" s="13"/>
      <c r="B30" s="18"/>
      <c r="C30" s="13"/>
      <c r="D30" s="13"/>
      <c r="E30" s="13"/>
      <c r="F30" s="14"/>
      <c r="G30" s="13"/>
      <c r="H30" s="13"/>
      <c r="I30" s="14"/>
      <c r="J30" s="13"/>
      <c r="K30" s="13"/>
    </row>
    <row r="31" spans="1:17" ht="14.45">
      <c r="A31" s="13"/>
      <c r="B31" s="18"/>
      <c r="C31" s="13"/>
      <c r="D31" s="13"/>
      <c r="E31" s="13"/>
      <c r="F31" s="14"/>
      <c r="G31" s="13"/>
      <c r="H31" s="13"/>
      <c r="I31" s="14"/>
      <c r="J31" s="13"/>
      <c r="K31" s="13"/>
    </row>
    <row r="32" spans="1:17"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32" priority="5" stopIfTrue="1" operator="lessThanOrEqual">
      <formula>-0.1</formula>
    </cfRule>
    <cfRule type="expression" dxfId="31" priority="6">
      <formula>AND(ISNUMBER(F2), F2&gt;=0.1)</formula>
    </cfRule>
  </conditionalFormatting>
  <conditionalFormatting sqref="F4:F92 I4:I92">
    <cfRule type="cellIs" dxfId="30" priority="1" stopIfTrue="1" operator="lessThanOrEqual">
      <formula>-0.1</formula>
    </cfRule>
    <cfRule type="expression" dxfId="29" priority="2">
      <formula>AND(ISNUMBER(F4), F4&gt;=0.1)</formula>
    </cfRule>
  </conditionalFormatting>
  <hyperlinks>
    <hyperlink ref="K4" r:id="rId1" display="https://us3.assetplanner.com/service_request?ID=098835" xr:uid="{5938162F-2C2C-48C2-9376-E3B15E762344}"/>
    <hyperlink ref="K5" r:id="rId2" display="https://us3.assetplanner.com/service_request?ID=100019" xr:uid="{AD2CFF34-A7F1-4692-BD0F-52D907A321E8}"/>
    <hyperlink ref="L5" r:id="rId3" display="https://us3.assetplanner.com/service_request?ID=099884" xr:uid="{CE353709-3E18-4163-B78D-8736A7675555}"/>
    <hyperlink ref="M5" r:id="rId4" display="https://us3.assetplanner.com/service_request?ID=100199" xr:uid="{96EEB9DD-7A4D-4751-B956-DD71E6C17F26}"/>
    <hyperlink ref="K6" r:id="rId5" display="https://us3.assetplanner.com/service_request?ID=099297" xr:uid="{88EDD577-9248-4B63-8035-FCDD8C96CAC7}"/>
    <hyperlink ref="L6" r:id="rId6" display="https://us3.assetplanner.com/service_request?ID=099335" xr:uid="{BE1F01A5-6E21-4519-B33B-62820A0169E6}"/>
    <hyperlink ref="M6" r:id="rId7" display="https://us3.assetplanner.com/service_request?ID=099350" xr:uid="{916C64DA-3685-4C22-AAB4-A3805A89FF47}"/>
    <hyperlink ref="N6" r:id="rId8" display="https://us3.assetplanner.com/service_request?ID=099592" xr:uid="{07EDE89B-BB43-43D0-B76D-7F2BA2DE3BFF}"/>
    <hyperlink ref="O6" r:id="rId9" display="https://us3.assetplanner.com/service_request?ID=100086" xr:uid="{26384C03-55A6-44E8-A4C9-DF51702C16FA}"/>
    <hyperlink ref="P6" r:id="rId10" display="https://us3.assetplanner.com/service_request?ID=100086" xr:uid="{066AD958-9C98-4E7F-9810-B6F35EE1E998}"/>
    <hyperlink ref="Q6" r:id="rId11" display="https://us3.assetplanner.com/service_request?ID=100654" xr:uid="{BFEA66AE-22F6-4730-B46A-866CD04D9DD9}"/>
    <hyperlink ref="K7" r:id="rId12" display="https://us3.assetplanner.com/service_request?ID=099076" xr:uid="{C866AB42-1D52-4A66-8064-AF7627F2CB35}"/>
    <hyperlink ref="K12" r:id="rId13" display="https://us3.assetplanner.com/service_request?ID=100051" xr:uid="{1D92BC2E-86AB-492E-BAA3-FADD21A0AD58}"/>
    <hyperlink ref="K13" r:id="rId14" display="https://us3.assetplanner.com/service_request?ID=099487" xr:uid="{DC9E3C1C-4331-4300-BC3C-84F38AD50F6C}"/>
    <hyperlink ref="L13" r:id="rId15" display="https://us3.assetplanner.com/service_request?ID=098345" xr:uid="{EF87D774-E2D0-44BC-AEC0-014C43E97A8D}"/>
    <hyperlink ref="M13" r:id="rId16" display="https://us3.assetplanner.com/service_request?ID=099487" xr:uid="{D20157D3-2F24-4FBC-BDB6-1124706DD954}"/>
    <hyperlink ref="N13" r:id="rId17" display="https://us3.assetplanner.com/service_request?ID=098345" xr:uid="{F50A5ACF-4FEF-427C-92BA-1F9B1D36D472}"/>
    <hyperlink ref="K14" r:id="rId18" display="https://us3.assetplanner.com/service_request?ID=098941" xr:uid="{D3D45AF3-4901-4BD8-B033-19E64F36411B}"/>
    <hyperlink ref="L14" r:id="rId19" display="https://us3.assetplanner.com/service_request?ID=099590" xr:uid="{7DFBE26B-9534-4BC8-8227-0E5331A5531C}"/>
    <hyperlink ref="K16" r:id="rId20" display="https://us3.assetplanner.com/service_request?ID=099965" xr:uid="{FFD7CC7C-4B98-4AF9-8F3E-D60CB739BA78}"/>
    <hyperlink ref="K17" r:id="rId21" display="https://us3.assetplanner.com/service_request?ID=098463" xr:uid="{FD177F60-2AB4-4F69-8A5D-B215553BFFC5}"/>
    <hyperlink ref="K19" r:id="rId22" display="https://us3.assetplanner.com/service_request?ID=100043" xr:uid="{D831621F-7C78-4305-AC00-24EBB3B977A0}"/>
    <hyperlink ref="K20" r:id="rId23" display="https://us3.assetplanner.com/service_request?ID=098878" xr:uid="{122189B4-AA81-4B64-B7EE-D8B75F898308}"/>
    <hyperlink ref="L20" r:id="rId24" display="https://us3.assetplanner.com/service_request?ID=099184" xr:uid="{18ED93E2-FBD1-4B67-97F7-804CCFEC9162}"/>
    <hyperlink ref="M20" r:id="rId25" display="https://us3.assetplanner.com/service_request?ID=099672" xr:uid="{C9309877-17C0-473C-98EE-A522164CFD14}"/>
    <hyperlink ref="N20" r:id="rId26" display="https://us3.assetplanner.com/service_request?ID=099915" xr:uid="{5636A5E4-57E7-4B3F-821C-4D8443ED49D2}"/>
    <hyperlink ref="K21" r:id="rId27" display="https://us3.assetplanner.com/service_request?ID=099447" xr:uid="{67FF485A-731C-4B68-9894-C11B94A6EEA5}"/>
    <hyperlink ref="L21" r:id="rId28" display="https://us3.assetplanner.com/service_request?ID=099716" xr:uid="{ACF73609-CF35-4ED2-BA51-78604469A5D4}"/>
    <hyperlink ref="M21" r:id="rId29" display="https://us3.assetplanner.com/service_request?ID=100205" xr:uid="{BB3AB89C-DBC1-454D-81F4-FAC137E9F875}"/>
    <hyperlink ref="N21" r:id="rId30" display="https://us3.assetplanner.com/service_request?ID=100364" xr:uid="{2D003D23-F4D8-4DCF-B8EE-E0B2E13F56B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4"/>
  <sheetViews>
    <sheetView zoomScale="60" zoomScaleNormal="60" workbookViewId="0">
      <pane xSplit="2" ySplit="3" topLeftCell="C7" activePane="bottomRight" state="frozen"/>
      <selection pane="bottomRight" activeCell="J11" sqref="J11"/>
      <selection pane="bottomLeft" activeCell="J4" activeCellId="3" sqref="C4:C20 D4:D20 G4:G20 J4:K19"/>
      <selection pane="topRight" activeCell="J4" activeCellId="3" sqref="C4:C20 D4:D20 G4:G20 J4:K19"/>
    </sheetView>
  </sheetViews>
  <sheetFormatPr defaultRowHeight="13.9"/>
  <cols>
    <col min="1" max="1" width="35.85546875" bestFit="1" customWidth="1"/>
    <col min="2" max="2" width="8.42578125" style="19"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7" ht="19.5" customHeight="1">
      <c r="A1" s="100" t="str" cm="1">
        <f t="array" ref="A1">portfolio</f>
        <v>Catalyze</v>
      </c>
      <c r="B1" s="100"/>
      <c r="C1" s="100"/>
      <c r="D1" s="101" t="s">
        <v>172</v>
      </c>
      <c r="E1" s="101"/>
      <c r="F1" s="101"/>
      <c r="G1" s="99" t="s">
        <v>173</v>
      </c>
      <c r="H1" s="99"/>
      <c r="I1" s="99"/>
      <c r="J1" s="4"/>
      <c r="K1" s="4"/>
    </row>
    <row r="2" spans="1:17" ht="19.5" customHeight="1">
      <c r="A2" s="102" t="s">
        <v>2</v>
      </c>
      <c r="B2" s="102"/>
      <c r="C2" s="5">
        <f>SUM(C4:C92)</f>
        <v>5303468.4408390755</v>
      </c>
      <c r="D2" s="5">
        <f>SUM(D4:D92)</f>
        <v>5160859.0473999996</v>
      </c>
      <c r="E2" s="5">
        <f>C2-D2</f>
        <v>142609.39343907591</v>
      </c>
      <c r="F2" s="6">
        <f>IFERROR(E2/D2, 0)</f>
        <v>2.763287897020195E-2</v>
      </c>
      <c r="G2" s="5">
        <f>SUM(G4:G92)</f>
        <v>6003345.2719999989</v>
      </c>
      <c r="H2" s="7">
        <f>C2-G2</f>
        <v>-699876.83116092347</v>
      </c>
      <c r="I2" s="6">
        <f>IFERROR(H2/G2, 0)</f>
        <v>-0.11658113925667335</v>
      </c>
      <c r="J2" s="1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17" t="s">
        <v>3</v>
      </c>
      <c r="B3" s="17" t="s">
        <v>4</v>
      </c>
      <c r="C3" s="25" t="s">
        <v>5</v>
      </c>
      <c r="D3" s="26" t="s">
        <v>6</v>
      </c>
      <c r="E3" s="26" t="s">
        <v>7</v>
      </c>
      <c r="F3" s="27" t="s">
        <v>8</v>
      </c>
      <c r="G3" s="28" t="s">
        <v>9</v>
      </c>
      <c r="H3" s="29" t="s">
        <v>7</v>
      </c>
      <c r="I3" s="30" t="s">
        <v>8</v>
      </c>
      <c r="J3" s="15" t="s">
        <v>20</v>
      </c>
      <c r="K3" s="15" t="s">
        <v>21</v>
      </c>
    </row>
    <row r="4" spans="1:17" ht="15.6">
      <c r="A4" s="45" t="str" cm="1">
        <f t="array" ref="A4:A22">Sites[Site]</f>
        <v>Fresno - 3150 Shaw Ave</v>
      </c>
      <c r="B4" s="46" t="str" cm="1">
        <f t="array" ref="B4:B22">Sites[State]</f>
        <v>CA</v>
      </c>
      <c r="C4" s="34">
        <v>130416.75</v>
      </c>
      <c r="D4" s="35">
        <v>121464.5</v>
      </c>
      <c r="E4" s="35">
        <f>IF(AND(ISNUMBER(C4),ISNUMBER(D4)), C4-D4, "")</f>
        <v>8952.25</v>
      </c>
      <c r="F4" s="36">
        <f>IFERROR(E4/D4, "")</f>
        <v>7.3702604464678981E-2</v>
      </c>
      <c r="G4" s="37">
        <v>135280</v>
      </c>
      <c r="H4" s="37">
        <f>IF(AND(ISNUMBER(C4),ISNUMBER(G4)), C4-G4, "")</f>
        <v>-4863.25</v>
      </c>
      <c r="I4" s="38">
        <f>IFERROR(H4/G4, "")</f>
        <v>-3.5949512123004138E-2</v>
      </c>
      <c r="J4" s="55"/>
      <c r="K4" s="55"/>
      <c r="L4" s="77"/>
      <c r="M4" s="77"/>
      <c r="N4" s="77"/>
      <c r="O4" s="77"/>
      <c r="P4" s="77"/>
      <c r="Q4" s="77"/>
    </row>
    <row r="5" spans="1:17" ht="100.9">
      <c r="A5" s="47" t="str">
        <v>Adelanto - 1 Sheep Creek Road</v>
      </c>
      <c r="B5" s="48" t="str">
        <v>CA</v>
      </c>
      <c r="C5" s="41">
        <v>887612</v>
      </c>
      <c r="D5" s="42">
        <v>504761.40740000003</v>
      </c>
      <c r="E5" s="42">
        <f>IF(AND(ISNUMBER(C5),ISNUMBER(D5)), C5-D5, "")</f>
        <v>382850.59259999997</v>
      </c>
      <c r="F5" s="43">
        <f>IFERROR(E5/D5, "")</f>
        <v>0.75847833647196528</v>
      </c>
      <c r="G5" s="44"/>
      <c r="H5" s="44" t="str">
        <f t="shared" ref="H5:H17" si="0">IF(AND(ISNUMBER(C5),ISNUMBER(G5)), C5-G5, "")</f>
        <v/>
      </c>
      <c r="I5" s="43" t="str">
        <f t="shared" ref="I5:I17" si="1">IFERROR(H5/G5, "")</f>
        <v/>
      </c>
      <c r="J5" s="64" t="s">
        <v>174</v>
      </c>
      <c r="K5" s="74" t="s">
        <v>175</v>
      </c>
      <c r="L5" s="78" t="s">
        <v>176</v>
      </c>
      <c r="M5" s="78" t="s">
        <v>135</v>
      </c>
      <c r="N5" s="77"/>
      <c r="O5" s="77"/>
      <c r="P5" s="77"/>
      <c r="Q5" s="77"/>
    </row>
    <row r="6" spans="1:17" ht="115.15">
      <c r="A6" s="49" t="str">
        <v>Blackstone - 83 Federal Street</v>
      </c>
      <c r="B6" s="46" t="str">
        <v>MA</v>
      </c>
      <c r="C6" s="34">
        <v>720855.50222793396</v>
      </c>
      <c r="D6" s="35">
        <v>634671.80000000005</v>
      </c>
      <c r="E6" s="35">
        <f t="shared" ref="E6:E17" si="2">IF(AND(ISNUMBER(C6),ISNUMBER(D6)), C6-D6, "")</f>
        <v>86183.702227933914</v>
      </c>
      <c r="F6" s="36">
        <f t="shared" ref="F6:F17" si="3">IFERROR(E6/D6, "")</f>
        <v>0.13579255014628649</v>
      </c>
      <c r="G6" s="37">
        <v>847935.1</v>
      </c>
      <c r="H6" s="37">
        <f t="shared" si="0"/>
        <v>-127079.59777206602</v>
      </c>
      <c r="I6" s="38">
        <f t="shared" si="1"/>
        <v>-0.14986948620485932</v>
      </c>
      <c r="J6" s="55" t="s">
        <v>177</v>
      </c>
      <c r="K6" s="73" t="s">
        <v>178</v>
      </c>
      <c r="L6" s="78" t="s">
        <v>179</v>
      </c>
      <c r="M6" s="78" t="s">
        <v>142</v>
      </c>
      <c r="N6" s="78" t="s">
        <v>180</v>
      </c>
      <c r="O6" s="77"/>
      <c r="P6" s="77"/>
      <c r="Q6" s="77"/>
    </row>
    <row r="7" spans="1:17" ht="72">
      <c r="A7" s="47" t="str">
        <v>Charlton - 299 Worcester Road</v>
      </c>
      <c r="B7" s="48" t="str">
        <v>MA</v>
      </c>
      <c r="C7" s="41">
        <v>44041</v>
      </c>
      <c r="D7" s="42">
        <v>45788.82</v>
      </c>
      <c r="E7" s="42">
        <f t="shared" si="2"/>
        <v>-1747.8199999999997</v>
      </c>
      <c r="F7" s="43">
        <f t="shared" si="3"/>
        <v>-3.8171326537788042E-2</v>
      </c>
      <c r="G7" s="44">
        <v>68502.44</v>
      </c>
      <c r="H7" s="44">
        <f t="shared" si="0"/>
        <v>-24461.440000000002</v>
      </c>
      <c r="I7" s="43">
        <f t="shared" si="1"/>
        <v>-0.35708859421649802</v>
      </c>
      <c r="J7" s="56" t="s">
        <v>181</v>
      </c>
      <c r="K7" s="74" t="s">
        <v>182</v>
      </c>
      <c r="L7" s="77"/>
      <c r="M7" s="77"/>
      <c r="N7" s="77"/>
      <c r="O7" s="77"/>
      <c r="P7" s="77"/>
      <c r="Q7" s="77"/>
    </row>
    <row r="8" spans="1:17" ht="28.9">
      <c r="A8" s="49" t="str">
        <v>Wareham - 8 Thatcher Drive</v>
      </c>
      <c r="B8" s="46" t="str">
        <v>MA</v>
      </c>
      <c r="C8" s="34">
        <v>18896.6875</v>
      </c>
      <c r="D8" s="35">
        <v>19480.04</v>
      </c>
      <c r="E8" s="35">
        <f t="shared" si="2"/>
        <v>-583.35250000000087</v>
      </c>
      <c r="F8" s="36">
        <f t="shared" si="3"/>
        <v>-2.9946165408284625E-2</v>
      </c>
      <c r="G8" s="37">
        <v>21158.03</v>
      </c>
      <c r="H8" s="37">
        <f t="shared" si="0"/>
        <v>-2261.3424999999988</v>
      </c>
      <c r="I8" s="38">
        <f t="shared" si="1"/>
        <v>-0.10687868861136877</v>
      </c>
      <c r="J8" s="55" t="s">
        <v>183</v>
      </c>
      <c r="K8" s="73" t="s">
        <v>184</v>
      </c>
      <c r="L8" s="77"/>
      <c r="M8" s="77"/>
      <c r="N8" s="77"/>
      <c r="O8" s="77"/>
      <c r="P8" s="77"/>
      <c r="Q8" s="77"/>
    </row>
    <row r="9" spans="1:17" ht="15.6">
      <c r="A9" s="47" t="str">
        <v>West Yarmouth - 42 Mid Tech</v>
      </c>
      <c r="B9" s="48" t="str">
        <v>MA</v>
      </c>
      <c r="C9" s="41">
        <v>17967.344611141401</v>
      </c>
      <c r="D9" s="42">
        <v>19926.91</v>
      </c>
      <c r="E9" s="42">
        <f t="shared" si="2"/>
        <v>-1959.5653888585985</v>
      </c>
      <c r="F9" s="43">
        <f t="shared" si="3"/>
        <v>-9.8337644364259111E-2</v>
      </c>
      <c r="G9" s="44">
        <v>21988.85</v>
      </c>
      <c r="H9" s="44">
        <f t="shared" si="0"/>
        <v>-4021.5053888585971</v>
      </c>
      <c r="I9" s="43">
        <f t="shared" si="1"/>
        <v>-0.18288839065520013</v>
      </c>
      <c r="J9" s="96" t="s">
        <v>185</v>
      </c>
      <c r="K9" s="57"/>
      <c r="L9" s="77"/>
      <c r="M9" s="77"/>
      <c r="N9" s="77"/>
      <c r="O9" s="77"/>
      <c r="P9" s="77"/>
      <c r="Q9" s="77"/>
    </row>
    <row r="10" spans="1:17" ht="57.6">
      <c r="A10" s="49" t="str">
        <v>Harrison - 130 Union Street</v>
      </c>
      <c r="B10" s="46" t="str">
        <v>NY</v>
      </c>
      <c r="C10" s="34">
        <v>21616.625</v>
      </c>
      <c r="D10" s="35">
        <v>24650.15</v>
      </c>
      <c r="E10" s="35">
        <f t="shared" si="2"/>
        <v>-3033.5250000000015</v>
      </c>
      <c r="F10" s="36">
        <f t="shared" si="3"/>
        <v>-0.12306314566037128</v>
      </c>
      <c r="G10" s="37">
        <v>30159.71</v>
      </c>
      <c r="H10" s="37">
        <f t="shared" si="0"/>
        <v>-8543.0849999999991</v>
      </c>
      <c r="I10" s="38">
        <f t="shared" si="1"/>
        <v>-0.28326151014051526</v>
      </c>
      <c r="J10" s="55" t="s">
        <v>186</v>
      </c>
      <c r="K10" s="73" t="s">
        <v>187</v>
      </c>
      <c r="L10" s="77"/>
      <c r="M10" s="77"/>
      <c r="N10" s="77"/>
      <c r="O10" s="77"/>
      <c r="P10" s="77"/>
      <c r="Q10" s="77"/>
    </row>
    <row r="11" spans="1:17" ht="45.75" customHeight="1">
      <c r="A11" s="47" t="str">
        <v>Staten Island - Ellis Storage</v>
      </c>
      <c r="B11" s="48" t="str">
        <v>NY</v>
      </c>
      <c r="C11" s="41">
        <v>57266.75</v>
      </c>
      <c r="D11" s="42">
        <v>48791.45</v>
      </c>
      <c r="E11" s="42">
        <f t="shared" si="2"/>
        <v>8475.3000000000029</v>
      </c>
      <c r="F11" s="43">
        <f t="shared" si="3"/>
        <v>0.1737046142305671</v>
      </c>
      <c r="G11" s="44">
        <v>71362.38</v>
      </c>
      <c r="H11" s="44">
        <f t="shared" si="0"/>
        <v>-14095.630000000005</v>
      </c>
      <c r="I11" s="43">
        <f t="shared" si="1"/>
        <v>-0.19752185955681417</v>
      </c>
      <c r="J11" s="64" t="s">
        <v>188</v>
      </c>
      <c r="K11" s="57"/>
      <c r="L11" s="77"/>
      <c r="M11" s="77"/>
      <c r="N11" s="77"/>
      <c r="O11" s="77"/>
      <c r="P11" s="77"/>
      <c r="Q11" s="77"/>
    </row>
    <row r="12" spans="1:17" ht="28.9">
      <c r="A12" s="49" t="str">
        <v>Amherst - 595 Scholles Road</v>
      </c>
      <c r="B12" s="46" t="str">
        <v>NY</v>
      </c>
      <c r="C12" s="34">
        <v>904020.5</v>
      </c>
      <c r="D12" s="35">
        <v>903508</v>
      </c>
      <c r="E12" s="35">
        <f t="shared" si="2"/>
        <v>512.5</v>
      </c>
      <c r="F12" s="36">
        <f t="shared" si="3"/>
        <v>5.6723349433541266E-4</v>
      </c>
      <c r="G12" s="37">
        <v>1145964</v>
      </c>
      <c r="H12" s="37">
        <f t="shared" si="0"/>
        <v>-241943.5</v>
      </c>
      <c r="I12" s="38">
        <f t="shared" si="1"/>
        <v>-0.21112661479767253</v>
      </c>
      <c r="J12" s="55" t="s">
        <v>147</v>
      </c>
      <c r="K12" s="73" t="s">
        <v>148</v>
      </c>
      <c r="L12" s="77"/>
      <c r="M12" s="77"/>
      <c r="N12" s="77"/>
      <c r="O12" s="77"/>
      <c r="P12" s="77"/>
      <c r="Q12" s="77"/>
    </row>
    <row r="13" spans="1:17" ht="100.9">
      <c r="A13" s="47" t="str">
        <v>Lancaster 1 - Gunnville Road</v>
      </c>
      <c r="B13" s="48" t="str">
        <v>NY</v>
      </c>
      <c r="C13" s="41">
        <v>680597</v>
      </c>
      <c r="D13" s="42">
        <v>667291.19999999995</v>
      </c>
      <c r="E13" s="42">
        <f t="shared" si="2"/>
        <v>13305.800000000047</v>
      </c>
      <c r="F13" s="43">
        <f t="shared" si="3"/>
        <v>1.9940020189086933E-2</v>
      </c>
      <c r="G13" s="60">
        <v>890932.6</v>
      </c>
      <c r="H13" s="44">
        <f t="shared" si="0"/>
        <v>-210335.59999999998</v>
      </c>
      <c r="I13" s="43">
        <f t="shared" si="1"/>
        <v>-0.23608474984527447</v>
      </c>
      <c r="J13" s="64" t="s">
        <v>189</v>
      </c>
      <c r="K13" s="76" t="s">
        <v>190</v>
      </c>
      <c r="L13" s="78" t="s">
        <v>191</v>
      </c>
      <c r="M13" s="78" t="s">
        <v>192</v>
      </c>
      <c r="N13" s="78" t="s">
        <v>193</v>
      </c>
      <c r="O13" s="77"/>
      <c r="P13" s="77"/>
      <c r="Q13" s="77"/>
    </row>
    <row r="14" spans="1:17" ht="66" customHeight="1">
      <c r="A14" s="49" t="str">
        <v>Lancaster 2 - Shisler Road</v>
      </c>
      <c r="B14" s="46" t="str">
        <v>NY</v>
      </c>
      <c r="C14" s="34">
        <v>749610</v>
      </c>
      <c r="D14" s="35">
        <v>696616.4</v>
      </c>
      <c r="E14" s="35">
        <f t="shared" si="2"/>
        <v>52993.599999999977</v>
      </c>
      <c r="F14" s="36">
        <f t="shared" si="3"/>
        <v>7.6072857314298054E-2</v>
      </c>
      <c r="G14" s="37">
        <v>977951.1</v>
      </c>
      <c r="H14" s="37">
        <f t="shared" si="0"/>
        <v>-228341.09999999998</v>
      </c>
      <c r="I14" s="38">
        <f t="shared" si="1"/>
        <v>-0.23348928182605447</v>
      </c>
      <c r="J14" s="55" t="s">
        <v>194</v>
      </c>
      <c r="K14" s="73" t="s">
        <v>195</v>
      </c>
      <c r="L14" s="77"/>
      <c r="M14" s="77"/>
      <c r="N14" s="77"/>
      <c r="O14" s="77"/>
      <c r="P14" s="77"/>
      <c r="Q14" s="77"/>
    </row>
    <row r="15" spans="1:17" ht="172.9">
      <c r="A15" s="47" t="str">
        <v>Fullerton - 200 W Orangethorpe</v>
      </c>
      <c r="B15" s="48" t="str">
        <v>CA</v>
      </c>
      <c r="C15" s="41">
        <v>119409.375</v>
      </c>
      <c r="D15" s="42">
        <v>115839.1</v>
      </c>
      <c r="E15" s="42">
        <f t="shared" si="2"/>
        <v>3570.2749999999942</v>
      </c>
      <c r="F15" s="43">
        <f t="shared" si="3"/>
        <v>3.0820983588442884E-2</v>
      </c>
      <c r="G15" s="44">
        <v>134722</v>
      </c>
      <c r="H15" s="44">
        <f t="shared" si="0"/>
        <v>-15312.625</v>
      </c>
      <c r="I15" s="43">
        <f t="shared" si="1"/>
        <v>-0.11366090913139651</v>
      </c>
      <c r="J15" s="56" t="s">
        <v>196</v>
      </c>
      <c r="K15" s="76" t="s">
        <v>197</v>
      </c>
      <c r="L15" s="78" t="s">
        <v>198</v>
      </c>
      <c r="M15" s="78" t="s">
        <v>199</v>
      </c>
      <c r="N15" s="78" t="s">
        <v>200</v>
      </c>
      <c r="O15" s="77"/>
      <c r="P15" s="77"/>
      <c r="Q15" s="77"/>
    </row>
    <row r="16" spans="1:17" ht="43.15">
      <c r="A16" s="49" t="str">
        <v>El Paso - 10500 Railroad Drive</v>
      </c>
      <c r="B16" s="46" t="str">
        <v>TX</v>
      </c>
      <c r="C16" s="34">
        <v>77526</v>
      </c>
      <c r="D16" s="35">
        <v>79734.929999999993</v>
      </c>
      <c r="E16" s="35">
        <f t="shared" si="2"/>
        <v>-2208.929999999993</v>
      </c>
      <c r="F16" s="36">
        <f t="shared" si="3"/>
        <v>-2.7703416808668335E-2</v>
      </c>
      <c r="G16" s="37">
        <v>160120.1</v>
      </c>
      <c r="H16" s="37">
        <f t="shared" si="0"/>
        <v>-82594.100000000006</v>
      </c>
      <c r="I16" s="38">
        <f t="shared" si="1"/>
        <v>-0.51582593315892256</v>
      </c>
      <c r="J16" s="55" t="s">
        <v>201</v>
      </c>
      <c r="K16" s="73" t="s">
        <v>202</v>
      </c>
      <c r="L16" s="77"/>
      <c r="M16" s="77"/>
      <c r="N16" s="77"/>
      <c r="O16" s="77"/>
      <c r="P16" s="77"/>
      <c r="Q16" s="77"/>
    </row>
    <row r="17" spans="1:17" ht="90.75" customHeight="1">
      <c r="A17" s="47" t="str">
        <v>Friona - 900 Millard Ave</v>
      </c>
      <c r="B17" s="48" t="str">
        <v>TX</v>
      </c>
      <c r="C17" s="41">
        <v>63329</v>
      </c>
      <c r="D17" s="42">
        <v>66948.92</v>
      </c>
      <c r="E17" s="42">
        <f t="shared" si="2"/>
        <v>-3619.9199999999983</v>
      </c>
      <c r="F17" s="43">
        <f t="shared" si="3"/>
        <v>-5.4069878946516214E-2</v>
      </c>
      <c r="G17" s="44">
        <v>138839.20000000001</v>
      </c>
      <c r="H17" s="44">
        <f t="shared" si="0"/>
        <v>-75510.200000000012</v>
      </c>
      <c r="I17" s="43">
        <f t="shared" si="1"/>
        <v>-0.54386801422076769</v>
      </c>
      <c r="J17" s="89" t="s">
        <v>203</v>
      </c>
      <c r="K17" s="76" t="s">
        <v>204</v>
      </c>
      <c r="L17" s="78" t="s">
        <v>205</v>
      </c>
      <c r="M17" s="77"/>
      <c r="N17" s="77"/>
      <c r="O17" s="77"/>
      <c r="P17" s="77"/>
      <c r="Q17" s="77"/>
    </row>
    <row r="18" spans="1:17" ht="15.6">
      <c r="A18" s="49" t="str">
        <v>Augusta - 13 York Farm Road</v>
      </c>
      <c r="B18" s="46" t="str">
        <v>ME</v>
      </c>
      <c r="C18" s="34">
        <v>160743.125</v>
      </c>
      <c r="D18" s="35">
        <v>150116.70000000001</v>
      </c>
      <c r="E18" s="35">
        <f>IF(AND(ISNUMBER(C18),ISNUMBER(D18)), C18-D18, "")</f>
        <v>10626.424999999988</v>
      </c>
      <c r="F18" s="36">
        <f>IFERROR(E18/D18, "")</f>
        <v>7.078776045569872E-2</v>
      </c>
      <c r="G18" s="37">
        <v>200843</v>
      </c>
      <c r="H18" s="37">
        <f>IF(AND(ISNUMBER(C18),ISNUMBER(G18)), C18-G18, "")</f>
        <v>-40099.875</v>
      </c>
      <c r="I18" s="38">
        <f>IFERROR(H18/G18, "")</f>
        <v>-0.19965781730008017</v>
      </c>
      <c r="J18" s="55" t="s">
        <v>206</v>
      </c>
      <c r="K18" s="55"/>
      <c r="L18" s="77"/>
      <c r="M18" s="77"/>
      <c r="N18" s="77"/>
      <c r="O18" s="77"/>
      <c r="P18" s="77"/>
      <c r="Q18" s="77"/>
    </row>
    <row r="19" spans="1:17" ht="86.45">
      <c r="A19" s="47" t="str">
        <v xml:space="preserve">Santa Ana - 1441 West </v>
      </c>
      <c r="B19" s="48" t="str">
        <v>CA</v>
      </c>
      <c r="C19" s="41">
        <v>75553.9375</v>
      </c>
      <c r="D19" s="42">
        <v>72601.38</v>
      </c>
      <c r="E19" s="42">
        <f>IF(AND(ISNUMBER(C19),ISNUMBER(D19)), C19-D19, "")</f>
        <v>2952.5574999999953</v>
      </c>
      <c r="F19" s="43">
        <f>IFERROR(E19/D19, "")</f>
        <v>4.0668063058856389E-2</v>
      </c>
      <c r="G19" s="44">
        <v>81082.77</v>
      </c>
      <c r="H19" s="44">
        <f>IF(AND(ISNUMBER(C19),ISNUMBER(G19)), C19-G19, "")</f>
        <v>-5528.8325000000041</v>
      </c>
      <c r="I19" s="43">
        <f>IFERROR(H19/G19, "")</f>
        <v>-6.8187513820753831E-2</v>
      </c>
      <c r="J19" s="56" t="s">
        <v>207</v>
      </c>
      <c r="K19" s="76" t="s">
        <v>208</v>
      </c>
      <c r="L19" s="78" t="s">
        <v>209</v>
      </c>
      <c r="M19" s="77"/>
      <c r="N19" s="77"/>
      <c r="O19" s="77"/>
      <c r="P19" s="77"/>
      <c r="Q19" s="77"/>
    </row>
    <row r="20" spans="1:17" ht="196.5" customHeight="1">
      <c r="A20" s="49" t="str">
        <v>Jessup -7950 Oceano Ave</v>
      </c>
      <c r="B20" s="46" t="str">
        <v>MD</v>
      </c>
      <c r="C20" s="34">
        <v>230240.84400000001</v>
      </c>
      <c r="D20" s="35">
        <v>217373.212</v>
      </c>
      <c r="E20" s="35">
        <f>IF(AND(ISNUMBER(C20),ISNUMBER(D20)), C20-D20, "")</f>
        <v>12867.632000000012</v>
      </c>
      <c r="F20" s="36">
        <f>IFERROR(E20/D20, "")</f>
        <v>5.9196033778072032E-2</v>
      </c>
      <c r="G20" s="37">
        <v>299881.78200000001</v>
      </c>
      <c r="H20" s="37">
        <f>IF(AND(ISNUMBER(C20),ISNUMBER(G20)), C20-G20, "")</f>
        <v>-69640.937999999995</v>
      </c>
      <c r="I20" s="38">
        <f>IFERROR(H20/G20, "")</f>
        <v>-0.23222797175454957</v>
      </c>
      <c r="J20" s="55" t="s">
        <v>210</v>
      </c>
      <c r="K20" s="73" t="s">
        <v>211</v>
      </c>
      <c r="L20" s="78" t="s">
        <v>166</v>
      </c>
      <c r="M20" s="78" t="s">
        <v>165</v>
      </c>
      <c r="N20" s="78" t="s">
        <v>119</v>
      </c>
      <c r="O20" s="77"/>
      <c r="P20" s="77"/>
      <c r="Q20" s="77"/>
    </row>
    <row r="21" spans="1:17" ht="106.5" customHeight="1">
      <c r="A21" s="47" t="str">
        <v xml:space="preserve">TX: Fort Worth - 5200 Gold Spike Dr </v>
      </c>
      <c r="B21" s="48" t="str">
        <v>TX</v>
      </c>
      <c r="C21" s="41">
        <v>343766</v>
      </c>
      <c r="D21" s="42">
        <v>771294.12800000003</v>
      </c>
      <c r="E21" s="42">
        <f>IF(AND(ISNUMBER(C21),ISNUMBER(D21)), C21-D21, "")</f>
        <v>-427528.12800000003</v>
      </c>
      <c r="F21" s="95">
        <f>IFERROR(E21/D21, "")</f>
        <v>-0.55429973142489686</v>
      </c>
      <c r="G21" s="60">
        <v>776622.21</v>
      </c>
      <c r="H21" s="60">
        <f>IF(AND(ISNUMBER(C21),ISNUMBER(G21)), C21-G21, "")</f>
        <v>-432856.20999999996</v>
      </c>
      <c r="I21" s="95">
        <f>IFERROR(H21/G21, "")</f>
        <v>-0.55735749560909409</v>
      </c>
      <c r="J21" s="89" t="s">
        <v>212</v>
      </c>
      <c r="K21" s="74" t="s">
        <v>213</v>
      </c>
      <c r="L21" s="78" t="s">
        <v>214</v>
      </c>
      <c r="M21" s="78" t="s">
        <v>215</v>
      </c>
      <c r="N21" s="78" t="s">
        <v>216</v>
      </c>
      <c r="O21" s="77"/>
      <c r="P21" s="77"/>
      <c r="Q21" s="77"/>
    </row>
    <row r="22" spans="1:17" ht="14.45">
      <c r="A22" s="13" t="str">
        <v>NY: Clifton Springs - Ontario 2 (21597)</v>
      </c>
      <c r="B22" s="18" t="str">
        <v>NY</v>
      </c>
      <c r="C22" s="13"/>
      <c r="D22" s="13"/>
      <c r="E22" s="13" t="str">
        <f>IF(AND(ISNUMBER(C22),ISNUMBER(D22)), C22-D22, "")</f>
        <v/>
      </c>
      <c r="F22" s="13"/>
      <c r="G22" s="13"/>
      <c r="H22" s="13"/>
      <c r="I22" s="13"/>
      <c r="J22" s="13"/>
      <c r="K22" s="13"/>
    </row>
    <row r="23" spans="1:17" ht="14.45">
      <c r="A23" s="13"/>
      <c r="B23" s="18"/>
      <c r="C23" s="13"/>
      <c r="D23" s="13"/>
      <c r="E23" s="13"/>
      <c r="F23" s="13"/>
      <c r="G23" s="13"/>
      <c r="H23" s="13"/>
      <c r="I23" s="13"/>
      <c r="J23" s="13"/>
      <c r="K23" s="13"/>
    </row>
    <row r="24" spans="1:17" ht="14.45">
      <c r="A24" s="13"/>
      <c r="B24" s="18"/>
      <c r="C24" s="13"/>
      <c r="D24" s="13"/>
      <c r="E24" s="13"/>
      <c r="F24" s="13"/>
      <c r="G24" s="13"/>
      <c r="H24" s="13"/>
      <c r="I24" s="13"/>
      <c r="J24" s="13"/>
      <c r="K24" s="13"/>
    </row>
    <row r="25" spans="1:17" ht="14.45">
      <c r="A25" s="13"/>
      <c r="B25" s="18"/>
      <c r="C25" s="13"/>
      <c r="D25" s="13"/>
      <c r="E25" s="13"/>
      <c r="F25" s="14"/>
      <c r="G25" s="13"/>
      <c r="H25" s="13"/>
      <c r="I25" s="14"/>
      <c r="J25" s="13"/>
      <c r="K25" s="13"/>
    </row>
    <row r="26" spans="1:17" ht="14.45">
      <c r="A26" s="13"/>
      <c r="B26" s="18"/>
      <c r="C26" s="13"/>
      <c r="D26" s="13"/>
      <c r="E26" s="13"/>
      <c r="F26" s="14"/>
      <c r="G26" s="13"/>
      <c r="H26" s="13"/>
      <c r="I26" s="14"/>
      <c r="J26" s="13"/>
      <c r="K26" s="13"/>
    </row>
    <row r="27" spans="1:17" ht="14.45">
      <c r="A27" s="13"/>
      <c r="B27" s="18"/>
      <c r="C27" s="13"/>
      <c r="D27" s="13"/>
      <c r="E27" s="13"/>
      <c r="F27" s="14"/>
      <c r="G27" s="13"/>
      <c r="H27" s="13"/>
      <c r="I27" s="14"/>
      <c r="J27" s="13"/>
      <c r="K27" s="13"/>
    </row>
    <row r="28" spans="1:17" ht="14.45">
      <c r="A28" s="13"/>
      <c r="B28" s="18"/>
      <c r="C28" s="13"/>
      <c r="D28" s="13"/>
      <c r="E28" s="13"/>
      <c r="F28" s="14"/>
      <c r="G28" s="13"/>
      <c r="H28" s="13"/>
      <c r="I28" s="14"/>
      <c r="J28" s="13"/>
      <c r="K28" s="13"/>
    </row>
    <row r="29" spans="1:17" ht="14.45">
      <c r="A29" s="13"/>
      <c r="B29" s="18"/>
      <c r="C29" s="13"/>
      <c r="D29" s="13"/>
      <c r="E29" s="13"/>
      <c r="F29" s="14"/>
      <c r="G29" s="13"/>
      <c r="H29" s="13"/>
      <c r="I29" s="14"/>
      <c r="J29" s="13"/>
      <c r="K29" s="13"/>
    </row>
    <row r="30" spans="1:17" ht="14.45">
      <c r="A30" s="13"/>
      <c r="B30" s="18"/>
      <c r="C30" s="13"/>
      <c r="D30" s="13"/>
      <c r="E30" s="13"/>
      <c r="F30" s="14"/>
      <c r="G30" s="13"/>
      <c r="H30" s="13"/>
      <c r="I30" s="14"/>
      <c r="J30" s="13"/>
      <c r="K30" s="13"/>
    </row>
    <row r="31" spans="1:17" ht="14.45">
      <c r="A31" s="13"/>
      <c r="B31" s="18"/>
      <c r="C31" s="13"/>
      <c r="D31" s="13"/>
      <c r="E31" s="13"/>
      <c r="F31" s="14"/>
      <c r="G31" s="13"/>
      <c r="H31" s="13"/>
      <c r="I31" s="14"/>
      <c r="J31" s="13"/>
      <c r="K31" s="13"/>
    </row>
    <row r="32" spans="1:17"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28" priority="5" stopIfTrue="1" operator="lessThanOrEqual">
      <formula>-0.1</formula>
    </cfRule>
    <cfRule type="expression" dxfId="27" priority="6">
      <formula>AND(ISNUMBER(F2), F2&gt;=0.1)</formula>
    </cfRule>
  </conditionalFormatting>
  <conditionalFormatting sqref="F4:F92 I4:I92">
    <cfRule type="cellIs" dxfId="26" priority="1" stopIfTrue="1" operator="lessThanOrEqual">
      <formula>-0.1</formula>
    </cfRule>
    <cfRule type="expression" dxfId="25" priority="2">
      <formula>AND(ISNUMBER(F4), F4&gt;=0.1)</formula>
    </cfRule>
  </conditionalFormatting>
  <hyperlinks>
    <hyperlink ref="K5" r:id="rId1" display="https://us3.assetplanner.com/service_request?ID=101370" xr:uid="{613CDB8E-206C-40C1-B7E3-C738DE808E8A}"/>
    <hyperlink ref="L5" r:id="rId2" display="https://us3.assetplanner.com/service_request?ID=101027" xr:uid="{89DB5D2E-7425-43CF-95F3-D3A589ACB16C}"/>
    <hyperlink ref="M5" r:id="rId3" display="https://us3.assetplanner.com/service_request?ID=100199" xr:uid="{8A2D5F0A-6891-4BD3-A5EF-2A9FE194190E}"/>
    <hyperlink ref="K6" r:id="rId4" display="https://us3.assetplanner.com/service_request?ID=100654" xr:uid="{C71C35EB-DCD3-4639-BC77-5EB018F830A9}"/>
    <hyperlink ref="L6" r:id="rId5" display="https://us3.assetplanner.com/service_request?ID=100896" xr:uid="{BAA6D35E-6321-4DA6-9592-3E48927DABFE}"/>
    <hyperlink ref="M6" r:id="rId6" display="https://us3.assetplanner.com/service_request?ID=100654" xr:uid="{68420BCB-19D6-4269-83D4-BB0E860217C3}"/>
    <hyperlink ref="N6" r:id="rId7" display="https://us3.assetplanner.com/service_request?ID=101246" xr:uid="{34E6349D-0326-4E4F-A10B-6169315E9AEF}"/>
    <hyperlink ref="K7" r:id="rId8" display="https://us3.assetplanner.com/service_request?ID=101207" xr:uid="{701CCC94-4870-46AB-AE8C-07BFF76BFEE7}"/>
    <hyperlink ref="K8" r:id="rId9" display="https://us3.assetplanner.com/service_request?ID=102215" xr:uid="{9ECCB5E0-08E2-494B-B14C-AF796932D336}"/>
    <hyperlink ref="K10" r:id="rId10" display="https://us3.assetplanner.com/service_request?ID=100950" xr:uid="{D0F850AC-2912-4137-8B5F-A00168EC8992}"/>
    <hyperlink ref="K12" r:id="rId11" display="https://us3.assetplanner.com/service_request?ID=100051" xr:uid="{588BA8C7-69A7-4A38-B5DE-45A7C93C54E9}"/>
    <hyperlink ref="K13" r:id="rId12" display="https://us3.assetplanner.com/service_request?ID=100368" xr:uid="{33ADFC52-D708-46F2-953F-C06A6EDDB058}"/>
    <hyperlink ref="L13" r:id="rId13" display="https://us3.assetplanner.com/service_request?ID=100507" xr:uid="{9CB92B6B-820A-4709-BC73-8C2A19560364}"/>
    <hyperlink ref="M13" r:id="rId14" display="https://us3.assetplanner.com/service_request?ID=100837" xr:uid="{48B51CA0-BBF6-4FD6-B7D9-F72B27771C08}"/>
    <hyperlink ref="N13" r:id="rId15" display="https://us3.assetplanner.com/service_request?ID=101937" xr:uid="{5B521B2E-14EF-48D6-85C2-8A3CEEBEC731}"/>
    <hyperlink ref="K14" r:id="rId16" display="https://us3.assetplanner.com/service_request?ID=098941" xr:uid="{A8AF4AE9-3E5C-4042-8A26-7CD5152E2DAF}"/>
    <hyperlink ref="K15" r:id="rId17" display="https://us3.assetplanner.com/service_request?ID=099959" xr:uid="{DEA8D7CC-85B3-44F7-94C3-F4206EB498CA}"/>
    <hyperlink ref="L15" r:id="rId18" display="https://us3.assetplanner.com/service_request?ID=101259" xr:uid="{5C86A9FA-D26E-442E-9A7F-9D87CAFB14E1}"/>
    <hyperlink ref="M15" r:id="rId19" display="https://us3.assetplanner.com/service_request?ID=099959" xr:uid="{E930B93A-5F65-44CA-A121-8D7FCCF94C15}"/>
    <hyperlink ref="N15" r:id="rId20" display="https://us3.assetplanner.com/service_request?ID=100904" xr:uid="{13D64B71-34BB-481E-A875-ADBCE34FDD28}"/>
    <hyperlink ref="K16" r:id="rId21" display="https://us3.assetplanner.com/service_request?ID=101516" xr:uid="{5A2611C0-AF4E-49AF-BEC1-16BF80A80190}"/>
    <hyperlink ref="K17" r:id="rId22" display="https://us3.assetplanner.com/service_request?ID=098463" xr:uid="{9E4F6DC8-0127-4A71-B273-B0764EADF5D4}"/>
    <hyperlink ref="L17" r:id="rId23" display="https://us3.assetplanner.com/service_request?ID=101517" xr:uid="{1A888DB2-BD70-4ED9-B4E8-F68E2BB8FB32}"/>
    <hyperlink ref="K19" r:id="rId24" display="https://us3.assetplanner.com/service_request?ID=100043" xr:uid="{9C388853-8425-4736-969B-599910CD0B9D}"/>
    <hyperlink ref="L19" r:id="rId25" display="https://us3.assetplanner.com/service_request?ID=101794" xr:uid="{3BBA5E20-E96D-446D-87EE-CC7124F16DEE}"/>
    <hyperlink ref="K20" r:id="rId26" display="https://us3.assetplanner.com/service_request?ID=101758" xr:uid="{9EDC5A51-BFE5-4C88-AAB9-69B6157226F5}"/>
    <hyperlink ref="L20" r:id="rId27" display="https://us3.assetplanner.com/service_request?ID=099915" xr:uid="{8C9D7F68-6895-4FAA-B597-881BDD139984}"/>
    <hyperlink ref="M20" r:id="rId28" display="https://us3.assetplanner.com/service_request?ID=099672" xr:uid="{786724CF-39D6-412B-A70A-0B039B92CE3F}"/>
    <hyperlink ref="N20" r:id="rId29" display="https://us3.assetplanner.com/service_request?ID=098878" xr:uid="{A05D2FB6-1F5E-4EC5-9DB0-A563348EFC52}"/>
    <hyperlink ref="K21" r:id="rId30" display="https://us3.assetplanner.com/service_request?ID=101493" xr:uid="{461353AF-EC7D-4CDA-87DF-6CBAABB9082D}"/>
    <hyperlink ref="L21" r:id="rId31" display="https://us3.assetplanner.com/service_request?ID=101392" xr:uid="{22006807-65AD-4FDD-A870-E13E0B177FAD}"/>
    <hyperlink ref="M21" r:id="rId32" display="https://us3.assetplanner.com/service_request?ID=101275" xr:uid="{D5FA5D53-82E0-4D25-B99F-11E359BD8E37}"/>
    <hyperlink ref="N21" r:id="rId33" display="https://us3.assetplanner.com/service_request?ID=101271" xr:uid="{CCF43416-475A-4DBF-81A0-A2BD68B255EB}"/>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P334"/>
  <sheetViews>
    <sheetView zoomScale="70" zoomScaleNormal="70" workbookViewId="0">
      <pane xSplit="2" ySplit="3" topLeftCell="G4" activePane="bottomRight" state="frozen"/>
      <selection pane="bottomRight" activeCell="G5" sqref="G5"/>
      <selection pane="bottomLeft" activeCell="E11" sqref="E11"/>
      <selection pane="topRight" activeCell="E11" sqref="E11"/>
    </sheetView>
  </sheetViews>
  <sheetFormatPr defaultRowHeight="13.9"/>
  <cols>
    <col min="1" max="1" width="35.85546875" bestFit="1" customWidth="1"/>
    <col min="2" max="2" width="8.42578125" style="19"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6" ht="19.5" customHeight="1">
      <c r="A1" s="100" t="str" cm="1">
        <f t="array" ref="A1">portfolio</f>
        <v>Catalyze</v>
      </c>
      <c r="B1" s="100"/>
      <c r="C1" s="100"/>
      <c r="D1" s="101" t="s">
        <v>217</v>
      </c>
      <c r="E1" s="101"/>
      <c r="F1" s="101"/>
      <c r="G1" s="99" t="s">
        <v>218</v>
      </c>
      <c r="H1" s="99"/>
      <c r="I1" s="99"/>
      <c r="J1" s="4"/>
      <c r="K1" s="4"/>
    </row>
    <row r="2" spans="1:16" ht="19.5" customHeight="1">
      <c r="A2" s="102" t="s">
        <v>2</v>
      </c>
      <c r="B2" s="102"/>
      <c r="C2" s="5">
        <f>SUM(C4:C92)</f>
        <v>4883769.5629444448</v>
      </c>
      <c r="D2" s="5">
        <f>SUM(D4:D92)</f>
        <v>4949429.8310000002</v>
      </c>
      <c r="E2" s="5">
        <f>C2-D2</f>
        <v>-65660.268055555411</v>
      </c>
      <c r="F2" s="6">
        <f>IFERROR(E2/D2, 0)</f>
        <v>-1.3266228696546483E-2</v>
      </c>
      <c r="G2" s="5">
        <f>SUM(G4:G92)</f>
        <v>4994823.5930000003</v>
      </c>
      <c r="H2" s="7">
        <f>C2-G2</f>
        <v>-111054.03005555551</v>
      </c>
      <c r="I2" s="6">
        <f>IFERROR(H2/G2, 0)</f>
        <v>-2.2233824275834743E-2</v>
      </c>
      <c r="J2" s="1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7" t="s">
        <v>3</v>
      </c>
      <c r="B3" s="17" t="s">
        <v>4</v>
      </c>
      <c r="C3" s="25" t="s">
        <v>5</v>
      </c>
      <c r="D3" s="26" t="s">
        <v>6</v>
      </c>
      <c r="E3" s="26" t="s">
        <v>7</v>
      </c>
      <c r="F3" s="27" t="s">
        <v>8</v>
      </c>
      <c r="G3" s="28" t="s">
        <v>9</v>
      </c>
      <c r="H3" s="29" t="s">
        <v>7</v>
      </c>
      <c r="I3" s="30" t="s">
        <v>8</v>
      </c>
      <c r="J3" s="15" t="s">
        <v>20</v>
      </c>
      <c r="K3" s="15" t="s">
        <v>21</v>
      </c>
    </row>
    <row r="4" spans="1:16" ht="49.5" customHeight="1">
      <c r="A4" s="45" t="str" cm="1">
        <f t="array" ref="A4:A22">Sites[Site]</f>
        <v>Fresno - 3150 Shaw Ave</v>
      </c>
      <c r="B4" s="46" t="str" cm="1">
        <f t="array" ref="B4:B22">Sites[State]</f>
        <v>CA</v>
      </c>
      <c r="C4" s="34">
        <v>115368.25</v>
      </c>
      <c r="D4" s="35">
        <v>119161.8</v>
      </c>
      <c r="E4" s="35">
        <f>IF(AND(ISNUMBER(C4),ISNUMBER(D4)), C4-D4, "")</f>
        <v>-3793.5500000000029</v>
      </c>
      <c r="F4" s="36">
        <f>IFERROR(E4/D4, "")</f>
        <v>-3.1835286140357084E-2</v>
      </c>
      <c r="G4" s="37">
        <v>134620.70000000001</v>
      </c>
      <c r="H4" s="37">
        <f>IF(AND(ISNUMBER(C4),ISNUMBER(G4)), C4-G4, "")</f>
        <v>-19252.450000000012</v>
      </c>
      <c r="I4" s="38">
        <f>IFERROR(H4/G4, "")</f>
        <v>-0.14301255304719118</v>
      </c>
      <c r="J4" s="61" t="s">
        <v>130</v>
      </c>
      <c r="K4" s="90" t="s">
        <v>219</v>
      </c>
      <c r="L4" s="78" t="s">
        <v>83</v>
      </c>
      <c r="M4" s="77"/>
      <c r="N4" s="77"/>
      <c r="O4" s="77"/>
      <c r="P4" s="77"/>
    </row>
    <row r="5" spans="1:16" ht="111.75" customHeight="1">
      <c r="A5" s="47" t="str">
        <v>Adelanto - 1 Sheep Creek Road</v>
      </c>
      <c r="B5" s="48" t="str">
        <v>CA</v>
      </c>
      <c r="C5" s="41">
        <v>564832</v>
      </c>
      <c r="D5" s="62">
        <v>481375.1</v>
      </c>
      <c r="E5" s="42">
        <f t="shared" ref="E5:E16" si="0">IF(AND(ISNUMBER(C5),ISNUMBER(D5)), C5-D5, "")</f>
        <v>83456.900000000023</v>
      </c>
      <c r="F5" s="43">
        <f>IFERROR(E5/D5, "")</f>
        <v>0.17337186738574561</v>
      </c>
      <c r="G5" s="62"/>
      <c r="H5" s="44" t="str">
        <f t="shared" ref="H5:H16" si="1">IF(AND(ISNUMBER(C5),ISNUMBER(G5)), C5-G5, "")</f>
        <v/>
      </c>
      <c r="I5" s="43" t="str">
        <f t="shared" ref="I5:I16" si="2">IFERROR(H5/G5, "")</f>
        <v/>
      </c>
      <c r="J5" s="80" t="s">
        <v>220</v>
      </c>
      <c r="K5" s="74" t="s">
        <v>221</v>
      </c>
      <c r="L5" s="78" t="s">
        <v>222</v>
      </c>
      <c r="M5" s="77"/>
      <c r="N5" s="77"/>
      <c r="O5" s="77"/>
      <c r="P5" s="77"/>
    </row>
    <row r="6" spans="1:16" ht="110.25" customHeight="1">
      <c r="A6" s="49" t="str">
        <v>Blackstone - 83 Federal Street</v>
      </c>
      <c r="B6" s="46" t="str">
        <v>MA</v>
      </c>
      <c r="C6" s="34">
        <v>773337.1</v>
      </c>
      <c r="D6" s="35">
        <v>746319.5</v>
      </c>
      <c r="E6" s="35">
        <f t="shared" si="0"/>
        <v>27017.599999999977</v>
      </c>
      <c r="F6" s="36">
        <f t="shared" ref="F6:F16" si="3">IFERROR(E6/D6, "")</f>
        <v>3.6201117617856667E-2</v>
      </c>
      <c r="G6" s="37">
        <v>862940.2</v>
      </c>
      <c r="H6" s="37">
        <f t="shared" si="1"/>
        <v>-89603.099999999977</v>
      </c>
      <c r="I6" s="38">
        <f t="shared" si="2"/>
        <v>-0.10383465737255024</v>
      </c>
      <c r="J6" s="61" t="s">
        <v>223</v>
      </c>
      <c r="K6" s="90" t="s">
        <v>224</v>
      </c>
      <c r="L6" s="78" t="s">
        <v>225</v>
      </c>
      <c r="M6" s="78" t="s">
        <v>226</v>
      </c>
      <c r="N6" s="78" t="s">
        <v>227</v>
      </c>
      <c r="O6" s="78" t="s">
        <v>228</v>
      </c>
      <c r="P6" s="77"/>
    </row>
    <row r="7" spans="1:16" ht="61.5" customHeight="1">
      <c r="A7" s="47" t="str">
        <v>Charlton - 299 Worcester Road</v>
      </c>
      <c r="B7" s="48" t="str">
        <v>MA</v>
      </c>
      <c r="C7" s="41">
        <v>62943.75</v>
      </c>
      <c r="D7" s="42">
        <v>63680.05</v>
      </c>
      <c r="E7" s="42">
        <f t="shared" si="0"/>
        <v>-736.30000000000291</v>
      </c>
      <c r="F7" s="43">
        <f t="shared" si="3"/>
        <v>-1.1562490921411067E-2</v>
      </c>
      <c r="G7" s="44">
        <v>64038.82</v>
      </c>
      <c r="H7" s="44">
        <f t="shared" si="1"/>
        <v>-1095.0699999999997</v>
      </c>
      <c r="I7" s="43">
        <f t="shared" si="2"/>
        <v>-1.7100096472733254E-2</v>
      </c>
      <c r="J7" s="80" t="s">
        <v>229</v>
      </c>
      <c r="K7" s="74" t="s">
        <v>230</v>
      </c>
      <c r="L7" s="78" t="s">
        <v>231</v>
      </c>
      <c r="M7" s="77"/>
      <c r="N7" s="77"/>
      <c r="O7" s="77"/>
      <c r="P7" s="77"/>
    </row>
    <row r="8" spans="1:16" ht="15.6">
      <c r="A8" s="49" t="str">
        <v>Wareham - 8 Thatcher Drive</v>
      </c>
      <c r="B8" s="46" t="str">
        <v>MA</v>
      </c>
      <c r="C8" s="34">
        <v>19658.5625</v>
      </c>
      <c r="D8" s="35">
        <v>20707.66</v>
      </c>
      <c r="E8" s="35">
        <f t="shared" si="0"/>
        <v>-1049.0974999999999</v>
      </c>
      <c r="F8" s="36">
        <f t="shared" si="3"/>
        <v>-5.066229115216301E-2</v>
      </c>
      <c r="G8" s="37">
        <v>20440.63</v>
      </c>
      <c r="H8" s="37">
        <f t="shared" si="1"/>
        <v>-782.06750000000102</v>
      </c>
      <c r="I8" s="38">
        <f t="shared" si="2"/>
        <v>-3.8260440113636468E-2</v>
      </c>
      <c r="J8" s="61"/>
      <c r="K8" s="61"/>
      <c r="L8" s="77"/>
      <c r="M8" s="77"/>
      <c r="N8" s="77"/>
      <c r="O8" s="77"/>
      <c r="P8" s="77"/>
    </row>
    <row r="9" spans="1:16" ht="28.9">
      <c r="A9" s="47" t="str">
        <v>West Yarmouth - 42 Mid Tech</v>
      </c>
      <c r="B9" s="48" t="str">
        <v>MA</v>
      </c>
      <c r="C9" s="41">
        <v>18858.712944444502</v>
      </c>
      <c r="D9" s="42">
        <v>21576.05</v>
      </c>
      <c r="E9" s="42">
        <f t="shared" si="0"/>
        <v>-2717.3370555554975</v>
      </c>
      <c r="F9" s="43">
        <f t="shared" si="3"/>
        <v>-0.12594228580094585</v>
      </c>
      <c r="G9" s="44">
        <v>22072.83</v>
      </c>
      <c r="H9" s="44">
        <f t="shared" si="1"/>
        <v>-3214.1170555555</v>
      </c>
      <c r="I9" s="43">
        <f t="shared" si="2"/>
        <v>-0.14561418067169002</v>
      </c>
      <c r="J9" s="79" t="s">
        <v>232</v>
      </c>
      <c r="K9" s="79"/>
      <c r="L9" s="77"/>
      <c r="M9" s="77"/>
      <c r="N9" s="77"/>
      <c r="O9" s="77"/>
      <c r="P9" s="77"/>
    </row>
    <row r="10" spans="1:16" ht="38.25" customHeight="1">
      <c r="A10" s="49" t="str">
        <v>Harrison - 130 Union Street</v>
      </c>
      <c r="B10" s="46" t="str">
        <v>NY</v>
      </c>
      <c r="C10" s="34">
        <v>19629.9375</v>
      </c>
      <c r="D10" s="35">
        <v>27534.18</v>
      </c>
      <c r="E10" s="35">
        <f t="shared" si="0"/>
        <v>-7904.2425000000003</v>
      </c>
      <c r="F10" s="36">
        <f t="shared" si="3"/>
        <v>-0.28707019784137389</v>
      </c>
      <c r="G10" s="37">
        <v>30517.37</v>
      </c>
      <c r="H10" s="37">
        <f t="shared" si="1"/>
        <v>-10887.432499999999</v>
      </c>
      <c r="I10" s="38">
        <f t="shared" si="2"/>
        <v>-0.35676182121853878</v>
      </c>
      <c r="J10" s="61" t="s">
        <v>233</v>
      </c>
      <c r="K10" s="90" t="s">
        <v>187</v>
      </c>
      <c r="L10" s="77"/>
      <c r="M10" s="77"/>
      <c r="N10" s="77"/>
      <c r="O10" s="77"/>
      <c r="P10" s="77"/>
    </row>
    <row r="11" spans="1:16" ht="28.9">
      <c r="A11" s="47" t="str">
        <v>Staten Island - Ellis Storage</v>
      </c>
      <c r="B11" s="48" t="str">
        <v>NY</v>
      </c>
      <c r="C11" s="41">
        <v>61247.5</v>
      </c>
      <c r="D11" s="42">
        <v>49711.5</v>
      </c>
      <c r="E11" s="42">
        <f t="shared" si="0"/>
        <v>11536</v>
      </c>
      <c r="F11" s="43">
        <f t="shared" si="3"/>
        <v>0.23205898031642577</v>
      </c>
      <c r="G11" s="44">
        <v>73460.61</v>
      </c>
      <c r="H11" s="44">
        <f t="shared" si="1"/>
        <v>-12213.11</v>
      </c>
      <c r="I11" s="43">
        <f t="shared" si="2"/>
        <v>-0.16625386040219378</v>
      </c>
      <c r="J11" s="79" t="s">
        <v>234</v>
      </c>
      <c r="K11" s="79"/>
      <c r="L11" s="77"/>
      <c r="M11" s="77"/>
      <c r="N11" s="77"/>
      <c r="O11" s="77"/>
      <c r="P11" s="77"/>
    </row>
    <row r="12" spans="1:16" ht="98.25" customHeight="1">
      <c r="A12" s="49" t="str">
        <v>Amherst - 595 Scholles Road</v>
      </c>
      <c r="B12" s="46" t="str">
        <v>NY</v>
      </c>
      <c r="C12" s="34">
        <v>1058293</v>
      </c>
      <c r="D12" s="35">
        <v>1146709</v>
      </c>
      <c r="E12" s="35">
        <f t="shared" si="0"/>
        <v>-88416</v>
      </c>
      <c r="F12" s="36">
        <f t="shared" si="3"/>
        <v>-7.7104130167287427E-2</v>
      </c>
      <c r="G12" s="37">
        <v>1186212</v>
      </c>
      <c r="H12" s="37">
        <f t="shared" si="1"/>
        <v>-127919</v>
      </c>
      <c r="I12" s="38">
        <f t="shared" si="2"/>
        <v>-0.10783822790529855</v>
      </c>
      <c r="J12" s="61" t="s">
        <v>235</v>
      </c>
      <c r="K12" s="90" t="s">
        <v>236</v>
      </c>
      <c r="L12" s="78" t="s">
        <v>237</v>
      </c>
      <c r="M12" s="78" t="s">
        <v>238</v>
      </c>
      <c r="N12" s="78" t="s">
        <v>239</v>
      </c>
      <c r="O12" s="77"/>
      <c r="P12" s="77"/>
    </row>
    <row r="13" spans="1:16" ht="137.25" customHeight="1">
      <c r="A13" s="47" t="str">
        <v>Lancaster 1 - Gunnville Road</v>
      </c>
      <c r="B13" s="48" t="str">
        <v>NY</v>
      </c>
      <c r="C13" s="41">
        <v>747076</v>
      </c>
      <c r="D13" s="42">
        <v>821883.8</v>
      </c>
      <c r="E13" s="42">
        <f t="shared" si="0"/>
        <v>-74807.800000000047</v>
      </c>
      <c r="F13" s="43">
        <f t="shared" si="3"/>
        <v>-9.1019922767671096E-2</v>
      </c>
      <c r="G13" s="44">
        <v>900333.3</v>
      </c>
      <c r="H13" s="44">
        <f t="shared" si="1"/>
        <v>-153257.30000000005</v>
      </c>
      <c r="I13" s="43">
        <f t="shared" si="2"/>
        <v>-0.17022284969355242</v>
      </c>
      <c r="J13" s="79" t="s">
        <v>240</v>
      </c>
      <c r="K13" s="76" t="s">
        <v>241</v>
      </c>
      <c r="L13" s="78" t="s">
        <v>242</v>
      </c>
      <c r="M13" s="78" t="s">
        <v>243</v>
      </c>
      <c r="N13" s="78" t="s">
        <v>244</v>
      </c>
      <c r="O13" s="78" t="s">
        <v>245</v>
      </c>
      <c r="P13" s="78" t="s">
        <v>246</v>
      </c>
    </row>
    <row r="14" spans="1:16" ht="86.45">
      <c r="A14" s="49" t="str">
        <v>Lancaster 2 - Shisler Road</v>
      </c>
      <c r="B14" s="46" t="str">
        <v>NY</v>
      </c>
      <c r="C14" s="34">
        <v>814703</v>
      </c>
      <c r="D14" s="35">
        <v>848676.2</v>
      </c>
      <c r="E14" s="35">
        <f t="shared" si="0"/>
        <v>-33973.199999999953</v>
      </c>
      <c r="F14" s="36">
        <f t="shared" si="3"/>
        <v>-4.0030815050545725E-2</v>
      </c>
      <c r="G14" s="37">
        <v>986930.7</v>
      </c>
      <c r="H14" s="37">
        <f t="shared" si="1"/>
        <v>-172227.69999999995</v>
      </c>
      <c r="I14" s="38">
        <f t="shared" si="2"/>
        <v>-0.17450840266697545</v>
      </c>
      <c r="J14" s="61" t="s">
        <v>247</v>
      </c>
      <c r="K14" s="90" t="s">
        <v>248</v>
      </c>
      <c r="L14" s="78" t="s">
        <v>249</v>
      </c>
      <c r="M14" s="78" t="s">
        <v>250</v>
      </c>
      <c r="N14" s="77"/>
      <c r="O14" s="77"/>
      <c r="P14" s="77"/>
    </row>
    <row r="15" spans="1:16" ht="28.9">
      <c r="A15" s="47" t="str">
        <v>Fullerton - 200 W Orangethorpe</v>
      </c>
      <c r="B15" s="48" t="str">
        <v>CA</v>
      </c>
      <c r="C15" s="41">
        <v>124272.875</v>
      </c>
      <c r="D15" s="42">
        <v>123722.8</v>
      </c>
      <c r="E15" s="42">
        <f t="shared" si="0"/>
        <v>550.07499999999709</v>
      </c>
      <c r="F15" s="43">
        <f t="shared" si="3"/>
        <v>4.4460277329643125E-3</v>
      </c>
      <c r="G15" s="44">
        <v>136533.79999999999</v>
      </c>
      <c r="H15" s="44">
        <f t="shared" si="1"/>
        <v>-12260.924999999988</v>
      </c>
      <c r="I15" s="43">
        <f t="shared" si="2"/>
        <v>-8.980138983899949E-2</v>
      </c>
      <c r="J15" s="79" t="s">
        <v>251</v>
      </c>
      <c r="K15" s="98" t="s">
        <v>252</v>
      </c>
      <c r="L15" s="77"/>
      <c r="M15" s="77"/>
      <c r="N15" s="77"/>
      <c r="O15" s="77"/>
      <c r="P15" s="77"/>
    </row>
    <row r="16" spans="1:16" ht="28.9">
      <c r="A16" s="49" t="str">
        <v>El Paso - 10500 Railroad Drive</v>
      </c>
      <c r="B16" s="46" t="str">
        <v>TX</v>
      </c>
      <c r="C16" s="34">
        <v>0</v>
      </c>
      <c r="D16" s="35">
        <v>0</v>
      </c>
      <c r="E16" s="35">
        <f t="shared" si="0"/>
        <v>0</v>
      </c>
      <c r="F16" s="36" t="str">
        <f t="shared" si="3"/>
        <v/>
      </c>
      <c r="G16" s="37">
        <v>0</v>
      </c>
      <c r="H16" s="37">
        <f t="shared" si="1"/>
        <v>0</v>
      </c>
      <c r="I16" s="38" t="str">
        <f t="shared" si="2"/>
        <v/>
      </c>
      <c r="J16" s="61" t="s">
        <v>253</v>
      </c>
      <c r="K16" s="90" t="s">
        <v>254</v>
      </c>
      <c r="L16" s="77"/>
      <c r="M16" s="77"/>
      <c r="N16" s="77"/>
      <c r="O16" s="77"/>
      <c r="P16" s="77"/>
    </row>
    <row r="17" spans="1:16" ht="28.9">
      <c r="A17" s="47" t="str">
        <v>Friona - 900 Millard Ave</v>
      </c>
      <c r="B17" s="48" t="str">
        <v>TX</v>
      </c>
      <c r="C17" s="41">
        <v>0</v>
      </c>
      <c r="D17" s="42">
        <v>0</v>
      </c>
      <c r="E17" s="42">
        <f t="shared" ref="E17:E21" si="4">IF(AND(ISNUMBER(C17),ISNUMBER(D17)), C17-D17, "")</f>
        <v>0</v>
      </c>
      <c r="F17" s="43" t="str">
        <f t="shared" ref="F17:F21" si="5">IFERROR(E17/D17, "")</f>
        <v/>
      </c>
      <c r="G17" s="44">
        <v>0</v>
      </c>
      <c r="H17" s="44">
        <f t="shared" ref="H17:H21" si="6">IF(AND(ISNUMBER(C17),ISNUMBER(G17)), C17-G17, "")</f>
        <v>0</v>
      </c>
      <c r="I17" s="43" t="str">
        <f t="shared" ref="I17:I21" si="7">IFERROR(H17/G17, "")</f>
        <v/>
      </c>
      <c r="J17" s="79" t="s">
        <v>255</v>
      </c>
      <c r="K17" s="74" t="s">
        <v>256</v>
      </c>
      <c r="L17" s="77"/>
      <c r="M17" s="77"/>
      <c r="N17" s="77"/>
      <c r="O17" s="77"/>
      <c r="P17" s="77"/>
    </row>
    <row r="18" spans="1:16" ht="28.9">
      <c r="A18" s="49" t="str">
        <v>Augusta - 13 York Farm Road</v>
      </c>
      <c r="B18" s="46" t="str">
        <v>ME</v>
      </c>
      <c r="C18" s="34">
        <v>174065.9</v>
      </c>
      <c r="D18" s="35">
        <v>172198.7</v>
      </c>
      <c r="E18" s="35">
        <f t="shared" si="4"/>
        <v>1867.1999999999825</v>
      </c>
      <c r="F18" s="36">
        <f t="shared" si="5"/>
        <v>1.0843287434806316E-2</v>
      </c>
      <c r="G18" s="37">
        <v>197141</v>
      </c>
      <c r="H18" s="37">
        <f t="shared" si="6"/>
        <v>-23075.100000000006</v>
      </c>
      <c r="I18" s="38">
        <f t="shared" si="7"/>
        <v>-0.11704871132844008</v>
      </c>
      <c r="J18" s="61" t="s">
        <v>257</v>
      </c>
      <c r="K18" s="90" t="s">
        <v>258</v>
      </c>
      <c r="L18" s="78" t="s">
        <v>259</v>
      </c>
      <c r="M18" s="77"/>
      <c r="N18" s="77"/>
      <c r="O18" s="77"/>
      <c r="P18" s="77"/>
    </row>
    <row r="19" spans="1:16" ht="26.45">
      <c r="A19" s="47" t="str">
        <v xml:space="preserve">Santa Ana - 1441 West </v>
      </c>
      <c r="B19" s="48" t="str">
        <v>CA</v>
      </c>
      <c r="C19" s="41">
        <v>79811.375</v>
      </c>
      <c r="D19" s="42">
        <v>77567.990999999995</v>
      </c>
      <c r="E19" s="42">
        <f t="shared" si="4"/>
        <v>2243.3840000000055</v>
      </c>
      <c r="F19" s="43">
        <f t="shared" si="5"/>
        <v>2.8921517382086197E-2</v>
      </c>
      <c r="G19" s="44">
        <v>81124.633000000002</v>
      </c>
      <c r="H19" s="44">
        <f t="shared" si="6"/>
        <v>-1313.2580000000016</v>
      </c>
      <c r="I19" s="43">
        <f t="shared" si="7"/>
        <v>-1.6188153356576685E-2</v>
      </c>
      <c r="J19" s="80" t="s">
        <v>260</v>
      </c>
      <c r="K19" s="74" t="s">
        <v>261</v>
      </c>
      <c r="L19" s="78" t="s">
        <v>262</v>
      </c>
      <c r="M19" s="77"/>
      <c r="N19" s="77"/>
      <c r="O19" s="77"/>
      <c r="P19" s="77"/>
    </row>
    <row r="20" spans="1:16" ht="148.5" customHeight="1">
      <c r="A20" s="49" t="str">
        <v>Jessup -7950 Oceano Ave</v>
      </c>
      <c r="B20" s="46" t="str">
        <v>MD</v>
      </c>
      <c r="C20" s="34">
        <v>249671.6</v>
      </c>
      <c r="D20" s="35">
        <v>228605.5</v>
      </c>
      <c r="E20" s="35">
        <f t="shared" si="4"/>
        <v>21066.100000000006</v>
      </c>
      <c r="F20" s="36">
        <f t="shared" si="5"/>
        <v>9.2150451323349633E-2</v>
      </c>
      <c r="G20" s="37">
        <v>298457</v>
      </c>
      <c r="H20" s="37">
        <f t="shared" si="6"/>
        <v>-48785.399999999994</v>
      </c>
      <c r="I20" s="38">
        <f t="shared" si="7"/>
        <v>-0.16345872269707193</v>
      </c>
      <c r="J20" s="61" t="s">
        <v>263</v>
      </c>
      <c r="K20" s="90" t="s">
        <v>264</v>
      </c>
      <c r="L20" s="78" t="s">
        <v>166</v>
      </c>
      <c r="M20" s="78" t="s">
        <v>265</v>
      </c>
      <c r="N20" s="78" t="s">
        <v>266</v>
      </c>
      <c r="O20" s="78" t="s">
        <v>265</v>
      </c>
      <c r="P20" s="77"/>
    </row>
    <row r="21" spans="1:16" ht="28.9">
      <c r="A21" s="47" t="str">
        <v xml:space="preserve">TX: Fort Worth - 5200 Gold Spike Dr </v>
      </c>
      <c r="B21" s="48" t="str">
        <v>TX</v>
      </c>
      <c r="C21" s="41">
        <v>0</v>
      </c>
      <c r="D21" s="42">
        <v>0</v>
      </c>
      <c r="E21" s="42">
        <f t="shared" si="4"/>
        <v>0</v>
      </c>
      <c r="F21" s="43" t="str">
        <f t="shared" si="5"/>
        <v/>
      </c>
      <c r="G21" s="44">
        <v>0</v>
      </c>
      <c r="H21" s="44">
        <f t="shared" si="6"/>
        <v>0</v>
      </c>
      <c r="I21" s="43" t="str">
        <f t="shared" si="7"/>
        <v/>
      </c>
      <c r="J21" s="79" t="s">
        <v>267</v>
      </c>
      <c r="K21" s="74" t="s">
        <v>268</v>
      </c>
      <c r="L21" s="77"/>
      <c r="M21" s="77"/>
      <c r="N21" s="77"/>
      <c r="O21" s="77"/>
      <c r="P21" s="77"/>
    </row>
    <row r="22" spans="1:16" ht="14.45">
      <c r="A22" s="13" t="str">
        <v>NY: Clifton Springs - Ontario 2 (21597)</v>
      </c>
      <c r="B22" s="18" t="str">
        <v>NY</v>
      </c>
      <c r="C22" s="13"/>
      <c r="D22" s="13"/>
      <c r="E22" s="13"/>
      <c r="F22" s="13"/>
      <c r="G22" s="13"/>
      <c r="H22" s="13"/>
      <c r="I22" s="13"/>
      <c r="J22" s="13"/>
      <c r="K22" s="13"/>
    </row>
    <row r="23" spans="1:16" ht="14.45">
      <c r="A23" s="13"/>
      <c r="B23" s="18"/>
      <c r="C23" s="13"/>
      <c r="D23" s="13"/>
      <c r="E23" s="13"/>
      <c r="F23" s="13"/>
      <c r="G23" s="13"/>
      <c r="H23" s="13"/>
      <c r="I23" s="13"/>
      <c r="J23" s="13"/>
      <c r="K23" s="13"/>
    </row>
    <row r="24" spans="1:16" ht="14.45">
      <c r="A24" s="13"/>
      <c r="B24" s="18"/>
      <c r="C24" s="13"/>
      <c r="D24" s="13"/>
      <c r="E24" s="13"/>
      <c r="F24" s="13"/>
      <c r="G24" s="13"/>
      <c r="H24" s="13"/>
      <c r="I24" s="13"/>
      <c r="J24" s="13"/>
      <c r="K24" s="13"/>
    </row>
    <row r="25" spans="1:16" ht="14.45">
      <c r="A25" s="13"/>
      <c r="B25" s="18"/>
      <c r="C25" s="13"/>
      <c r="D25" s="13"/>
      <c r="E25" s="13"/>
      <c r="F25" s="14"/>
      <c r="G25" s="13"/>
      <c r="H25" s="13"/>
      <c r="I25" s="14"/>
      <c r="J25" s="13"/>
      <c r="K25" s="13"/>
    </row>
    <row r="26" spans="1:16" ht="14.45">
      <c r="A26" s="13"/>
      <c r="B26" s="18"/>
      <c r="C26" s="13"/>
      <c r="D26" s="13"/>
      <c r="E26" s="13"/>
      <c r="F26" s="14"/>
      <c r="G26" s="13"/>
      <c r="H26" s="13"/>
      <c r="I26" s="14"/>
      <c r="J26" s="13"/>
      <c r="K26" s="13"/>
    </row>
    <row r="27" spans="1:16" ht="14.45">
      <c r="A27" s="13"/>
      <c r="B27" s="18"/>
      <c r="C27" s="13"/>
      <c r="D27" s="13"/>
      <c r="E27" s="13"/>
      <c r="F27" s="14"/>
      <c r="G27" s="13"/>
      <c r="H27" s="13"/>
      <c r="I27" s="14"/>
      <c r="J27" s="13"/>
      <c r="K27" s="13"/>
    </row>
    <row r="28" spans="1:16" ht="14.45">
      <c r="A28" s="13"/>
      <c r="B28" s="18"/>
      <c r="C28" s="13"/>
      <c r="D28" s="13"/>
      <c r="E28" s="13"/>
      <c r="F28" s="14"/>
      <c r="G28" s="13"/>
      <c r="H28" s="13"/>
      <c r="I28" s="14"/>
      <c r="J28" s="13"/>
      <c r="K28" s="13"/>
    </row>
    <row r="29" spans="1:16" ht="14.45">
      <c r="A29" s="13"/>
      <c r="B29" s="18"/>
      <c r="C29" s="13"/>
      <c r="D29" s="13"/>
      <c r="E29" s="13"/>
      <c r="F29" s="14"/>
      <c r="G29" s="13"/>
      <c r="H29" s="13"/>
      <c r="I29" s="14"/>
      <c r="J29" s="13"/>
      <c r="K29" s="13"/>
    </row>
    <row r="30" spans="1:16" ht="14.45">
      <c r="A30" s="13"/>
      <c r="B30" s="18"/>
      <c r="C30" s="13"/>
      <c r="D30" s="13"/>
      <c r="E30" s="13"/>
      <c r="F30" s="14"/>
      <c r="G30" s="13"/>
      <c r="H30" s="13"/>
      <c r="I30" s="14"/>
      <c r="J30" s="13"/>
      <c r="K30" s="13"/>
    </row>
    <row r="31" spans="1:16" ht="14.45">
      <c r="A31" s="13"/>
      <c r="B31" s="18"/>
      <c r="C31" s="13"/>
      <c r="D31" s="13"/>
      <c r="E31" s="13"/>
      <c r="F31" s="14"/>
      <c r="G31" s="13"/>
      <c r="H31" s="13"/>
      <c r="I31" s="14"/>
      <c r="J31" s="13"/>
      <c r="K31" s="13"/>
    </row>
    <row r="32" spans="1:16"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24" priority="5" stopIfTrue="1" operator="lessThanOrEqual">
      <formula>-0.1</formula>
    </cfRule>
    <cfRule type="expression" dxfId="23" priority="6">
      <formula>AND(ISNUMBER(F2), F2&gt;=0.1)</formula>
    </cfRule>
  </conditionalFormatting>
  <conditionalFormatting sqref="F4:F92 I4:I92">
    <cfRule type="cellIs" dxfId="22" priority="1" stopIfTrue="1" operator="lessThanOrEqual">
      <formula>-0.1</formula>
    </cfRule>
    <cfRule type="expression" dxfId="21" priority="2">
      <formula>AND(ISNUMBER(F4), F4&gt;=0.1)</formula>
    </cfRule>
  </conditionalFormatting>
  <hyperlinks>
    <hyperlink ref="K4" r:id="rId1" display="https://us3.assetplanner.com/service_request?ID=102597" xr:uid="{A3979874-3F1A-43B5-AFD5-E7089B01CC0D}"/>
    <hyperlink ref="L4" r:id="rId2" display="https://us3.assetplanner.com/service_request?ID=098835" xr:uid="{C12A28D3-48BF-4C56-923C-DDBCFC7709E6}"/>
    <hyperlink ref="K5" r:id="rId3" display="https://us3.assetplanner.com/service_request?ID=102554" xr:uid="{0C86BE3A-8906-4A38-8008-C9C72B869ABB}"/>
    <hyperlink ref="L5" r:id="rId4" display="https://us3.assetplanner.com/service_request?ID=103010" xr:uid="{8EDF5A53-6D0E-4214-A314-E8CF36729A69}"/>
    <hyperlink ref="K6" r:id="rId5" display="https://us3.assetplanner.com/service_request?ID=103231" xr:uid="{69135032-B8D1-4A0A-96E2-54259555EE22}"/>
    <hyperlink ref="L6" r:id="rId6" display="https://us3.assetplanner.com/service_request?ID=103350" xr:uid="{F2E395F5-1F0A-438A-B262-C25B2BA6CB87}"/>
    <hyperlink ref="M6" r:id="rId7" display="https://us3.assetplanner.com/service_request?ID=102941" xr:uid="{CEE31DC5-5A49-41D3-9C64-9EE540BA47DB}"/>
    <hyperlink ref="N6" r:id="rId8" display="https://us3.assetplanner.com/service_request?ID=102312" xr:uid="{810C233B-3D66-43A0-B6A3-A7B547234BAF}"/>
    <hyperlink ref="O6" r:id="rId9" display="https://us3.assetplanner.com/service_request?ID=102586" xr:uid="{B8628CA0-BA67-455B-9196-F6BFB3A91CEE}"/>
    <hyperlink ref="K7" r:id="rId10" display="https://us3.assetplanner.com/service_request?ID=103596" xr:uid="{57D434A5-79A6-45DE-8E89-D0875D1ECC2A}"/>
    <hyperlink ref="L7" r:id="rId11" display="https://us3.assetplanner.com/service_request?ID=102260" xr:uid="{9348F532-278E-41C0-A769-84A7E94949B5}"/>
    <hyperlink ref="K10" r:id="rId12" display="https://us3.assetplanner.com/service_request?ID=100950" xr:uid="{2C6E42EA-E4AC-45E1-9D3D-74C7337D9E22}"/>
    <hyperlink ref="K12" r:id="rId13" display="https://us3.assetplanner.com/service_request?ID=102452" xr:uid="{EB75E6A3-B15B-4F31-B449-16306E16A571}"/>
    <hyperlink ref="L12" r:id="rId14" display="https://us3.assetplanner.com/service_request?ID=102558" xr:uid="{9A780A98-3E7C-4D9D-8783-499EFBF8E4AC}"/>
    <hyperlink ref="M12" r:id="rId15" display="https://us3.assetplanner.com/service_request?ID=102830" xr:uid="{A292422C-261D-4E38-91AD-467D80EBBE17}"/>
    <hyperlink ref="N12" r:id="rId16" display="https://us3.assetplanner.com/service_request?ID=103022" xr:uid="{E03E7EF8-E510-4255-A18A-1A7CD6483F7D}"/>
    <hyperlink ref="K13" r:id="rId17" display="https://us3.assetplanner.com/service_request?ID=102589" xr:uid="{11B5426B-8080-4D58-89FE-C602DE4A6F0B}"/>
    <hyperlink ref="L13" r:id="rId18" display="https://us3.assetplanner.com/service_request?ID=102778" xr:uid="{F0FCA665-918F-4C37-8DD5-5EA16E521742}"/>
    <hyperlink ref="M13" r:id="rId19" display="https://us3.assetplanner.com/service_request?ID=102827" xr:uid="{03F2B15B-98E9-4BCF-885F-F5AA189E0B0A}"/>
    <hyperlink ref="N13" r:id="rId20" display="https://us3.assetplanner.com/service_request?ID=100368" xr:uid="{E9CD0FBA-E4D2-4123-B1D7-7A9139FE9892}"/>
    <hyperlink ref="O13" r:id="rId21" display="https://us3.assetplanner.com/service_request?ID=102999" xr:uid="{F19661FE-F240-4760-8044-B0B8E5DE8095}"/>
    <hyperlink ref="P13" r:id="rId22" display="https://us3.assetplanner.com/service_request?ID=103566" xr:uid="{7E1FB7F5-9A96-4439-9C16-DC5D9DDD4F99}"/>
    <hyperlink ref="K14" r:id="rId23" display="https://us3.assetplanner.com/service_request?ID=102588" xr:uid="{132DD202-1747-4726-B3DC-BEC6A471054E}"/>
    <hyperlink ref="L14" r:id="rId24" display="https://us3.assetplanner.com/service_request?ID=102828" xr:uid="{BAE27117-5810-4EEF-868E-A0A1A5D107C4}"/>
    <hyperlink ref="M14" r:id="rId25" display="https://us3.assetplanner.com/service_request?ID=103584" xr:uid="{7BD62B9C-A238-4142-BD16-9FEE9B4C6003}"/>
    <hyperlink ref="K15" r:id="rId26" display="https://us3.assetplanner.com/service_request?ID=100904" xr:uid="{B43408F7-6AC3-49A4-888A-BC76BF636D39}"/>
    <hyperlink ref="K16" r:id="rId27" display="https://us3.assetplanner.com/service_request?ID=101516" xr:uid="{F61837D2-B8A2-4158-BEC1-349E9DADDD0D}"/>
    <hyperlink ref="K17" r:id="rId28" display="https://us3.assetplanner.com/service_request?ID=101517" xr:uid="{C31A27F7-52C6-481A-AABE-8C08B8ACC4A4}"/>
    <hyperlink ref="K18" r:id="rId29" display="https://us3.assetplanner.com/service_request?ID=103278" xr:uid="{CADCA333-E70E-43DE-90A8-C90469C54A22}"/>
    <hyperlink ref="L18" r:id="rId30" display="https://us3.assetplanner.com/service_request?ID=103928" xr:uid="{53A5D375-4D8C-43CB-B802-3EE2D20FBB06}"/>
    <hyperlink ref="K19" r:id="rId31" display="https://us3.assetplanner.com/service_request?ID=101794" xr:uid="{9639F419-15C7-4411-AC29-590B9F5AA6AF}"/>
    <hyperlink ref="L19" r:id="rId32" display="https://us3.assetplanner.com/service_request?ID=103308" xr:uid="{8C828AE9-F494-4F8C-BD16-4A8AA91AB78A}"/>
    <hyperlink ref="K20" r:id="rId33" display="https://us3.assetplanner.com/service_request?ID=098878" xr:uid="{6B08E1BB-C9EE-4CC9-A19F-0872A156CEBE}"/>
    <hyperlink ref="L20" r:id="rId34" display="https://us3.assetplanner.com/service_request?ID=099915" xr:uid="{350E1D1C-B212-4AF9-814E-E3CC6BFBF530}"/>
    <hyperlink ref="M20" r:id="rId35" display="https://us3.assetplanner.com/service_request?ID=101758" xr:uid="{961DCAE5-3CA0-4CEF-833D-8C92EADA5A6C}"/>
    <hyperlink ref="N20" r:id="rId36" display="https://us3.assetplanner.com/service_request?ID=102980" xr:uid="{8B2ABE2E-FE58-41BF-BEBB-FAC1CAA58974}"/>
    <hyperlink ref="O20" r:id="rId37" display="https://us3.assetplanner.com/service_request?ID=101758" xr:uid="{EF277718-0EB1-42DB-83BF-56F8CB8AC7E6}"/>
    <hyperlink ref="K21" r:id="rId38" display="https://us3.assetplanner.com/service_request?ID=101493" xr:uid="{BB0D45BA-C02A-488A-9F75-4117FA990575}"/>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S334"/>
  <sheetViews>
    <sheetView tabSelected="1" zoomScale="70" zoomScaleNormal="70" workbookViewId="0">
      <pane xSplit="2" ySplit="3" topLeftCell="C11" activePane="bottomRight" state="frozen"/>
      <selection pane="bottomRight" activeCell="G31" sqref="G31"/>
      <selection pane="bottomLeft" activeCell="E11" sqref="E11"/>
      <selection pane="topRight" activeCell="E11" sqref="E11"/>
    </sheetView>
  </sheetViews>
  <sheetFormatPr defaultRowHeight="13.9"/>
  <cols>
    <col min="1" max="1" width="35.85546875" bestFit="1" customWidth="1"/>
    <col min="2" max="2" width="8.42578125" style="19"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9" ht="19.5" customHeight="1">
      <c r="A1" s="100" t="str" cm="1">
        <f t="array" ref="A1">portfolio</f>
        <v>Catalyze</v>
      </c>
      <c r="B1" s="100"/>
      <c r="C1" s="100"/>
      <c r="D1" s="101" t="s">
        <v>269</v>
      </c>
      <c r="E1" s="101"/>
      <c r="F1" s="101"/>
      <c r="G1" s="99" t="s">
        <v>270</v>
      </c>
      <c r="H1" s="99"/>
      <c r="I1" s="99"/>
      <c r="J1" s="4"/>
      <c r="K1" s="4"/>
    </row>
    <row r="2" spans="1:19" ht="19.5" customHeight="1">
      <c r="A2" s="102" t="s">
        <v>2</v>
      </c>
      <c r="B2" s="102"/>
      <c r="C2" s="5">
        <f>SUM(C4:C92)</f>
        <v>5941708.1351613533</v>
      </c>
      <c r="D2" s="5">
        <f>SUM(D4:D92)</f>
        <v>7773446.5399999991</v>
      </c>
      <c r="E2" s="5">
        <f>C2-D2</f>
        <v>-1831738.4048386458</v>
      </c>
      <c r="F2" s="6">
        <f>IFERROR(E2/D2, 0)</f>
        <v>-0.23564044538198445</v>
      </c>
      <c r="G2" s="5">
        <f>SUM(G4:G92)</f>
        <v>7522355.1699999999</v>
      </c>
      <c r="H2" s="7">
        <f>C2-G2</f>
        <v>-1580647.0348386467</v>
      </c>
      <c r="I2" s="6">
        <f>IFERROR(H2/G2, 0)</f>
        <v>-0.21012661581607381</v>
      </c>
      <c r="J2" s="1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9" ht="14.25" customHeight="1">
      <c r="A3" s="17" t="s">
        <v>3</v>
      </c>
      <c r="B3" s="17" t="s">
        <v>4</v>
      </c>
      <c r="C3" s="25" t="s">
        <v>5</v>
      </c>
      <c r="D3" s="26" t="s">
        <v>6</v>
      </c>
      <c r="E3" s="26" t="s">
        <v>7</v>
      </c>
      <c r="F3" s="27" t="s">
        <v>8</v>
      </c>
      <c r="G3" s="28" t="s">
        <v>9</v>
      </c>
      <c r="H3" s="29" t="s">
        <v>7</v>
      </c>
      <c r="I3" s="30" t="s">
        <v>8</v>
      </c>
      <c r="J3" s="15" t="s">
        <v>20</v>
      </c>
      <c r="K3" s="15" t="s">
        <v>21</v>
      </c>
    </row>
    <row r="4" spans="1:19" ht="42" customHeight="1">
      <c r="A4" s="45" t="str" cm="1">
        <f t="array" ref="A4:A22">Sites[Site]</f>
        <v>Fresno - 3150 Shaw Ave</v>
      </c>
      <c r="B4" s="46" t="str" cm="1">
        <f t="array" ref="B4:B22">Sites[State]</f>
        <v>CA</v>
      </c>
      <c r="C4" s="34">
        <v>105481.5</v>
      </c>
      <c r="D4" s="35">
        <v>116640.3</v>
      </c>
      <c r="E4" s="35">
        <f>IF(AND(ISNUMBER(C4),ISNUMBER(D4)), C4-D4, "")</f>
        <v>-11158.800000000003</v>
      </c>
      <c r="F4" s="36">
        <f>IFERROR(E4/D4, "")</f>
        <v>-9.5668478218934649E-2</v>
      </c>
      <c r="G4" s="37">
        <v>129527.9</v>
      </c>
      <c r="H4" s="37">
        <f>IF(AND(ISNUMBER(C4),ISNUMBER(G4)), C4-G4, "")</f>
        <v>-24046.399999999994</v>
      </c>
      <c r="I4" s="38">
        <f>IFERROR(H4/G4, "")</f>
        <v>-0.18564649006121459</v>
      </c>
      <c r="J4" s="61" t="s">
        <v>271</v>
      </c>
      <c r="K4" s="73" t="s">
        <v>272</v>
      </c>
      <c r="L4" s="77"/>
      <c r="M4" s="77"/>
      <c r="N4" s="77"/>
      <c r="O4" s="77"/>
      <c r="P4" s="77"/>
      <c r="Q4" s="77"/>
      <c r="R4" s="77"/>
      <c r="S4" s="77"/>
    </row>
    <row r="5" spans="1:19" ht="62.25" customHeight="1">
      <c r="A5" s="47" t="str">
        <v>Adelanto - 1 Sheep Creek Road</v>
      </c>
      <c r="B5" s="48" t="str">
        <v>CA</v>
      </c>
      <c r="C5" s="41">
        <v>0</v>
      </c>
      <c r="D5" s="42">
        <v>499964</v>
      </c>
      <c r="E5" s="42">
        <f t="shared" ref="E5:E22" si="0">IF(AND(ISNUMBER(C5),ISNUMBER(D5)), C5-D5, "")</f>
        <v>-499964</v>
      </c>
      <c r="F5" s="43">
        <f>IFERROR(E5/D5, "")</f>
        <v>-1</v>
      </c>
      <c r="G5" s="44"/>
      <c r="H5" s="44" t="str">
        <f t="shared" ref="H5:H22" si="1">IF(AND(ISNUMBER(C5),ISNUMBER(G5)), C5-G5, "")</f>
        <v/>
      </c>
      <c r="I5" s="43" t="str">
        <f t="shared" ref="I5:I22" si="2">IFERROR(H5/G5, "")</f>
        <v/>
      </c>
      <c r="J5" s="80" t="s">
        <v>273</v>
      </c>
      <c r="K5" s="76" t="s">
        <v>274</v>
      </c>
      <c r="L5" s="77"/>
      <c r="M5" s="77"/>
      <c r="N5" s="77"/>
      <c r="O5" s="77"/>
      <c r="P5" s="77"/>
      <c r="Q5" s="77"/>
      <c r="R5" s="77"/>
      <c r="S5" s="77"/>
    </row>
    <row r="6" spans="1:19" ht="15.6">
      <c r="A6" s="49" t="str">
        <v>Blackstone - 83 Federal Street</v>
      </c>
      <c r="B6" s="46" t="str">
        <v>MA</v>
      </c>
      <c r="C6" s="34">
        <v>873092</v>
      </c>
      <c r="D6" s="35">
        <v>817809.3</v>
      </c>
      <c r="E6" s="35">
        <f t="shared" si="0"/>
        <v>55282.699999999953</v>
      </c>
      <c r="F6" s="36">
        <f t="shared" ref="F6:F22" si="3">IFERROR(E6/D6, "")</f>
        <v>6.7598522051534451E-2</v>
      </c>
      <c r="G6" s="37">
        <v>921306.5</v>
      </c>
      <c r="H6" s="37">
        <f t="shared" si="1"/>
        <v>-48214.5</v>
      </c>
      <c r="I6" s="38">
        <f t="shared" si="2"/>
        <v>-5.2332747028269094E-2</v>
      </c>
      <c r="J6" s="55" t="s">
        <v>275</v>
      </c>
      <c r="K6" s="73" t="s">
        <v>276</v>
      </c>
      <c r="L6" s="77"/>
      <c r="M6" s="77"/>
      <c r="N6" s="77"/>
      <c r="O6" s="77"/>
      <c r="P6" s="77"/>
      <c r="Q6" s="77"/>
      <c r="R6" s="77"/>
      <c r="S6" s="77"/>
    </row>
    <row r="7" spans="1:19" ht="15.6">
      <c r="A7" s="47" t="str">
        <v>Charlton - 299 Worcester Road</v>
      </c>
      <c r="B7" s="48" t="str">
        <v>MA</v>
      </c>
      <c r="C7" s="41">
        <v>67250.5</v>
      </c>
      <c r="D7" s="42">
        <v>71010.960000000006</v>
      </c>
      <c r="E7" s="42">
        <f t="shared" si="0"/>
        <v>-3760.4600000000064</v>
      </c>
      <c r="F7" s="43">
        <f t="shared" si="3"/>
        <v>-5.2956050727944057E-2</v>
      </c>
      <c r="G7" s="44">
        <v>66359.28</v>
      </c>
      <c r="H7" s="44">
        <f t="shared" si="1"/>
        <v>891.22000000000116</v>
      </c>
      <c r="I7" s="43">
        <f t="shared" si="2"/>
        <v>1.3430224077175057E-2</v>
      </c>
      <c r="J7" s="56"/>
      <c r="K7" s="57"/>
      <c r="L7" s="77"/>
      <c r="M7" s="77"/>
      <c r="N7" s="77"/>
      <c r="O7" s="77"/>
      <c r="P7" s="77"/>
      <c r="Q7" s="77"/>
      <c r="R7" s="77"/>
      <c r="S7" s="77"/>
    </row>
    <row r="8" spans="1:19" ht="15.6">
      <c r="A8" s="49" t="str">
        <v>Wareham - 8 Thatcher Drive</v>
      </c>
      <c r="B8" s="46" t="str">
        <v>MA</v>
      </c>
      <c r="C8" s="34">
        <v>20666.6875</v>
      </c>
      <c r="D8" s="35">
        <v>21644.77</v>
      </c>
      <c r="E8" s="35">
        <f t="shared" si="0"/>
        <v>-978.08250000000044</v>
      </c>
      <c r="F8" s="36">
        <f t="shared" si="3"/>
        <v>-4.5187936854953897E-2</v>
      </c>
      <c r="G8" s="37">
        <v>20765.72</v>
      </c>
      <c r="H8" s="37">
        <f t="shared" si="1"/>
        <v>-99.032500000001164</v>
      </c>
      <c r="I8" s="38">
        <f t="shared" si="2"/>
        <v>-4.7690376254712653E-3</v>
      </c>
      <c r="J8" s="55"/>
      <c r="K8" s="55"/>
      <c r="L8" s="77"/>
      <c r="M8" s="77"/>
      <c r="N8" s="77"/>
      <c r="O8" s="77"/>
      <c r="P8" s="77"/>
      <c r="Q8" s="77"/>
      <c r="R8" s="77"/>
      <c r="S8" s="77"/>
    </row>
    <row r="9" spans="1:19" ht="15.6">
      <c r="A9" s="47" t="str">
        <v>West Yarmouth - 42 Mid Tech</v>
      </c>
      <c r="B9" s="48" t="str">
        <v>MA</v>
      </c>
      <c r="C9" s="41">
        <v>19231.3944088026</v>
      </c>
      <c r="D9" s="42">
        <v>21683.27</v>
      </c>
      <c r="E9" s="42">
        <f t="shared" si="0"/>
        <v>-2451.8755911974004</v>
      </c>
      <c r="F9" s="43">
        <f t="shared" si="3"/>
        <v>-0.11307683717434687</v>
      </c>
      <c r="G9" s="44">
        <v>22774.39</v>
      </c>
      <c r="H9" s="44">
        <f t="shared" si="1"/>
        <v>-3542.9955911973993</v>
      </c>
      <c r="I9" s="43">
        <f t="shared" si="2"/>
        <v>-0.15556928599173894</v>
      </c>
      <c r="J9" s="56" t="s">
        <v>277</v>
      </c>
      <c r="K9" s="57"/>
      <c r="L9" s="77"/>
      <c r="M9" s="77"/>
      <c r="N9" s="77"/>
      <c r="O9" s="77"/>
      <c r="P9" s="77"/>
      <c r="Q9" s="77"/>
      <c r="R9" s="77"/>
      <c r="S9" s="77"/>
    </row>
    <row r="10" spans="1:19" ht="15.6">
      <c r="A10" s="49" t="str">
        <v>Harrison - 130 Union Street</v>
      </c>
      <c r="B10" s="46" t="str">
        <v>NY</v>
      </c>
      <c r="C10" s="34">
        <v>22933.3125</v>
      </c>
      <c r="D10" s="35">
        <v>32350.12</v>
      </c>
      <c r="E10" s="35">
        <f t="shared" si="0"/>
        <v>-9416.807499999999</v>
      </c>
      <c r="F10" s="36">
        <f t="shared" si="3"/>
        <v>-0.29109034216874619</v>
      </c>
      <c r="G10" s="37">
        <v>32205.39</v>
      </c>
      <c r="H10" s="37">
        <f t="shared" si="1"/>
        <v>-9272.0774999999994</v>
      </c>
      <c r="I10" s="38">
        <f t="shared" si="2"/>
        <v>-0.28790452467739097</v>
      </c>
      <c r="J10" s="61" t="s">
        <v>278</v>
      </c>
      <c r="K10" s="73" t="s">
        <v>187</v>
      </c>
      <c r="L10" s="77"/>
      <c r="M10" s="77"/>
      <c r="N10" s="77"/>
      <c r="O10" s="77"/>
      <c r="P10" s="77"/>
      <c r="Q10" s="77"/>
      <c r="R10" s="77"/>
      <c r="S10" s="77"/>
    </row>
    <row r="11" spans="1:19" ht="15.6">
      <c r="A11" s="47" t="str">
        <v>Staten Island - Ellis Storage</v>
      </c>
      <c r="B11" s="48" t="str">
        <v>NY</v>
      </c>
      <c r="C11" s="41">
        <v>73787.5</v>
      </c>
      <c r="D11" s="42">
        <v>63480.86</v>
      </c>
      <c r="E11" s="42">
        <f t="shared" si="0"/>
        <v>10306.64</v>
      </c>
      <c r="F11" s="43">
        <f t="shared" si="3"/>
        <v>0.16235822892128429</v>
      </c>
      <c r="G11" s="44">
        <v>73833.38</v>
      </c>
      <c r="H11" s="44">
        <f t="shared" si="1"/>
        <v>-45.880000000004657</v>
      </c>
      <c r="I11" s="43">
        <f t="shared" si="2"/>
        <v>-6.2139915577486297E-4</v>
      </c>
      <c r="J11" s="56"/>
      <c r="K11" s="57"/>
      <c r="L11" s="77"/>
      <c r="M11" s="77"/>
      <c r="N11" s="77"/>
      <c r="O11" s="77"/>
      <c r="P11" s="77"/>
      <c r="Q11" s="77"/>
      <c r="R11" s="77"/>
      <c r="S11" s="77"/>
    </row>
    <row r="12" spans="1:19" ht="15.6">
      <c r="A12" s="49" t="str">
        <v>Amherst - 595 Scholles Road</v>
      </c>
      <c r="B12" s="46" t="str">
        <v>NY</v>
      </c>
      <c r="C12" s="34">
        <v>1201793</v>
      </c>
      <c r="D12" s="35">
        <v>1273216</v>
      </c>
      <c r="E12" s="35">
        <f t="shared" si="0"/>
        <v>-71423</v>
      </c>
      <c r="F12" s="36">
        <f t="shared" si="3"/>
        <v>-5.609653036091284E-2</v>
      </c>
      <c r="G12" s="37">
        <v>1219682</v>
      </c>
      <c r="H12" s="37">
        <f t="shared" si="1"/>
        <v>-17889</v>
      </c>
      <c r="I12" s="38">
        <f t="shared" si="2"/>
        <v>-1.4666937775584128E-2</v>
      </c>
      <c r="J12" s="55" t="s">
        <v>279</v>
      </c>
      <c r="K12" s="73" t="s">
        <v>280</v>
      </c>
      <c r="L12" s="77"/>
      <c r="M12" s="77"/>
      <c r="N12" s="77"/>
      <c r="O12" s="77"/>
      <c r="P12" s="77"/>
      <c r="Q12" s="77"/>
      <c r="R12" s="77"/>
      <c r="S12" s="77"/>
    </row>
    <row r="13" spans="1:19" ht="93.75" customHeight="1">
      <c r="A13" s="47" t="str">
        <v>Lancaster 1 - Gunnville Road</v>
      </c>
      <c r="B13" s="48" t="str">
        <v>NY</v>
      </c>
      <c r="C13" s="41">
        <v>768592</v>
      </c>
      <c r="D13" s="42">
        <v>909610.4</v>
      </c>
      <c r="E13" s="42">
        <f t="shared" si="0"/>
        <v>-141018.40000000002</v>
      </c>
      <c r="F13" s="43">
        <f t="shared" si="3"/>
        <v>-0.15503164871465852</v>
      </c>
      <c r="G13" s="44">
        <v>927008.5</v>
      </c>
      <c r="H13" s="44">
        <f t="shared" si="1"/>
        <v>-158416.5</v>
      </c>
      <c r="I13" s="43">
        <f t="shared" si="2"/>
        <v>-0.1708900188078103</v>
      </c>
      <c r="J13" s="64" t="s">
        <v>281</v>
      </c>
      <c r="K13" s="74" t="s">
        <v>282</v>
      </c>
      <c r="L13" s="78" t="s">
        <v>283</v>
      </c>
      <c r="M13" s="77"/>
      <c r="N13" s="77"/>
      <c r="O13" s="77"/>
      <c r="P13" s="77"/>
      <c r="Q13" s="77"/>
      <c r="R13" s="77"/>
      <c r="S13" s="77"/>
    </row>
    <row r="14" spans="1:19" ht="80.25" customHeight="1">
      <c r="A14" s="49" t="str">
        <v>Lancaster 2 - Shisler Road</v>
      </c>
      <c r="B14" s="46" t="str">
        <v>NY</v>
      </c>
      <c r="C14" s="34">
        <v>840379</v>
      </c>
      <c r="D14" s="35">
        <v>935735.2</v>
      </c>
      <c r="E14" s="35">
        <f>IF(AND(ISNUMBER(C14),ISNUMBER(D14)), C14-D14, "")</f>
        <v>-95356.199999999953</v>
      </c>
      <c r="F14" s="36">
        <f t="shared" si="3"/>
        <v>-0.10190511161704717</v>
      </c>
      <c r="G14" s="37">
        <v>1015648</v>
      </c>
      <c r="H14" s="37">
        <f>IF(AND(ISNUMBER(C14),ISNUMBER(G14)), C14-G14, "")</f>
        <v>-175269</v>
      </c>
      <c r="I14" s="38">
        <f t="shared" si="2"/>
        <v>-0.17256864583005135</v>
      </c>
      <c r="J14" s="55" t="s">
        <v>284</v>
      </c>
      <c r="K14" s="73" t="s">
        <v>285</v>
      </c>
      <c r="L14" s="78" t="s">
        <v>250</v>
      </c>
      <c r="M14" s="78" t="s">
        <v>286</v>
      </c>
      <c r="N14" s="78" t="s">
        <v>287</v>
      </c>
      <c r="O14" s="77"/>
      <c r="P14" s="77"/>
      <c r="Q14" s="77"/>
      <c r="R14" s="77"/>
      <c r="S14" s="77"/>
    </row>
    <row r="15" spans="1:19" ht="15.6">
      <c r="A15" s="47" t="str">
        <v>Fullerton - 200 W Orangethorpe</v>
      </c>
      <c r="B15" s="48" t="str">
        <v>CA</v>
      </c>
      <c r="C15" s="41">
        <v>127781.375</v>
      </c>
      <c r="D15" s="42">
        <v>133872.20000000001</v>
      </c>
      <c r="E15" s="60">
        <f>IF(AND(ISNUMBER(C15),ISNUMBER(D15)), C15-D15, "")</f>
        <v>-6090.8250000000116</v>
      </c>
      <c r="F15" s="43">
        <f t="shared" si="3"/>
        <v>-4.5497310121145475E-2</v>
      </c>
      <c r="G15" s="44">
        <v>145971</v>
      </c>
      <c r="H15" s="60">
        <f>IF(AND(ISNUMBER(C15),ISNUMBER(G15)), C15-G15, "")</f>
        <v>-18189.625</v>
      </c>
      <c r="I15" s="43">
        <f t="shared" si="2"/>
        <v>-0.12461122414726213</v>
      </c>
      <c r="J15" s="56"/>
      <c r="K15" s="57"/>
      <c r="L15" s="77"/>
      <c r="M15" s="77"/>
      <c r="N15" s="77"/>
      <c r="O15" s="77"/>
      <c r="P15" s="77"/>
      <c r="Q15" s="77"/>
      <c r="R15" s="77"/>
      <c r="S15" s="77"/>
    </row>
    <row r="16" spans="1:19" ht="28.9">
      <c r="A16" s="49" t="str">
        <v>El Paso - 10500 Railroad Drive</v>
      </c>
      <c r="B16" s="46" t="str">
        <v>TX</v>
      </c>
      <c r="C16" s="34" t="s">
        <v>288</v>
      </c>
      <c r="D16" s="35">
        <v>0</v>
      </c>
      <c r="E16" s="35">
        <v>0</v>
      </c>
      <c r="F16" s="36" t="str">
        <f t="shared" si="3"/>
        <v/>
      </c>
      <c r="G16" s="37">
        <v>0</v>
      </c>
      <c r="H16" s="37">
        <v>0</v>
      </c>
      <c r="I16" s="38" t="str">
        <f t="shared" si="2"/>
        <v/>
      </c>
      <c r="J16" s="61" t="s">
        <v>253</v>
      </c>
      <c r="K16" s="73" t="s">
        <v>289</v>
      </c>
      <c r="L16" s="78" t="s">
        <v>290</v>
      </c>
      <c r="M16" s="77"/>
      <c r="N16" s="77"/>
      <c r="O16" s="77"/>
      <c r="P16" s="77"/>
      <c r="Q16" s="77"/>
      <c r="R16" s="77"/>
      <c r="S16" s="77"/>
    </row>
    <row r="17" spans="1:19" ht="28.9">
      <c r="A17" s="47" t="str">
        <v>Friona - 900 Millard Ave</v>
      </c>
      <c r="B17" s="48" t="str">
        <v>TX</v>
      </c>
      <c r="C17" s="41">
        <v>3678.5</v>
      </c>
      <c r="D17" s="42">
        <v>112331.1</v>
      </c>
      <c r="E17" s="42">
        <f t="shared" si="0"/>
        <v>-108652.6</v>
      </c>
      <c r="F17" s="43">
        <f t="shared" si="3"/>
        <v>-0.96725305814685336</v>
      </c>
      <c r="G17" s="44">
        <v>142280.5</v>
      </c>
      <c r="H17" s="44">
        <f t="shared" si="1"/>
        <v>-138602</v>
      </c>
      <c r="I17" s="43">
        <f t="shared" si="2"/>
        <v>-0.97414614089773366</v>
      </c>
      <c r="J17" s="79" t="s">
        <v>255</v>
      </c>
      <c r="K17" s="74" t="s">
        <v>291</v>
      </c>
      <c r="L17" s="78" t="s">
        <v>292</v>
      </c>
      <c r="M17" s="77"/>
      <c r="N17" s="77"/>
      <c r="O17" s="77"/>
      <c r="P17" s="77"/>
      <c r="Q17" s="77"/>
      <c r="R17" s="77"/>
      <c r="S17" s="77"/>
    </row>
    <row r="18" spans="1:19" ht="43.15">
      <c r="A18" s="49" t="str">
        <v>Augusta - 13 York Farm Road</v>
      </c>
      <c r="B18" s="46" t="str">
        <v>ME</v>
      </c>
      <c r="C18" s="34">
        <v>168888.375</v>
      </c>
      <c r="D18" s="35">
        <v>173690.8</v>
      </c>
      <c r="E18" s="35">
        <f t="shared" si="0"/>
        <v>-4802.4249999999884</v>
      </c>
      <c r="F18" s="36">
        <f t="shared" si="3"/>
        <v>-2.7649276760772525E-2</v>
      </c>
      <c r="G18" s="37">
        <v>216032.7</v>
      </c>
      <c r="H18" s="37">
        <f t="shared" si="1"/>
        <v>-47144.325000000012</v>
      </c>
      <c r="I18" s="38">
        <f t="shared" si="2"/>
        <v>-0.21822772663582879</v>
      </c>
      <c r="J18" s="55" t="s">
        <v>293</v>
      </c>
      <c r="K18" s="73" t="s">
        <v>294</v>
      </c>
      <c r="L18" s="78" t="s">
        <v>295</v>
      </c>
      <c r="M18" s="78" t="s">
        <v>296</v>
      </c>
      <c r="N18" s="77"/>
      <c r="O18" s="77"/>
      <c r="P18" s="77"/>
      <c r="Q18" s="77"/>
      <c r="R18" s="77"/>
      <c r="S18" s="77"/>
    </row>
    <row r="19" spans="1:19" ht="15.6">
      <c r="A19" s="47" t="str">
        <v xml:space="preserve">Santa Ana - 1441 West </v>
      </c>
      <c r="B19" s="48" t="str">
        <v>CA</v>
      </c>
      <c r="C19" s="41">
        <v>82976.990752551006</v>
      </c>
      <c r="D19" s="42">
        <v>81541.259999999995</v>
      </c>
      <c r="E19" s="42">
        <f t="shared" si="0"/>
        <v>1435.7307525510114</v>
      </c>
      <c r="F19" s="43">
        <f t="shared" si="3"/>
        <v>1.7607414363611889E-2</v>
      </c>
      <c r="G19" s="44">
        <v>87849.61</v>
      </c>
      <c r="H19" s="44">
        <f t="shared" si="1"/>
        <v>-4872.6192474489944</v>
      </c>
      <c r="I19" s="43">
        <f t="shared" si="2"/>
        <v>-5.5465462481267637E-2</v>
      </c>
      <c r="J19" s="56"/>
      <c r="K19" s="57"/>
      <c r="L19" s="77"/>
      <c r="M19" s="77"/>
      <c r="N19" s="77"/>
      <c r="O19" s="77"/>
      <c r="P19" s="77"/>
      <c r="Q19" s="77"/>
      <c r="R19" s="77"/>
      <c r="S19" s="77"/>
    </row>
    <row r="20" spans="1:19" ht="117.75" customHeight="1">
      <c r="A20" s="49" t="str">
        <v>Jessup -7950 Oceano Ave</v>
      </c>
      <c r="B20" s="46" t="str">
        <v>MD</v>
      </c>
      <c r="C20" s="34">
        <v>249524</v>
      </c>
      <c r="D20" s="35">
        <v>239145</v>
      </c>
      <c r="E20" s="35">
        <f t="shared" si="0"/>
        <v>10379</v>
      </c>
      <c r="F20" s="36">
        <f t="shared" si="3"/>
        <v>4.3400447427293064E-2</v>
      </c>
      <c r="G20" s="37">
        <v>311235.3</v>
      </c>
      <c r="H20" s="37">
        <f t="shared" si="1"/>
        <v>-61711.299999999988</v>
      </c>
      <c r="I20" s="38">
        <f t="shared" si="2"/>
        <v>-0.19827860143113582</v>
      </c>
      <c r="J20" s="55" t="s">
        <v>297</v>
      </c>
      <c r="K20" s="73" t="s">
        <v>298</v>
      </c>
      <c r="L20" s="78" t="s">
        <v>299</v>
      </c>
      <c r="M20" s="78" t="s">
        <v>300</v>
      </c>
      <c r="N20" s="78" t="s">
        <v>301</v>
      </c>
      <c r="O20" s="78" t="s">
        <v>119</v>
      </c>
      <c r="P20" s="78" t="s">
        <v>299</v>
      </c>
      <c r="Q20" s="77"/>
      <c r="R20" s="77"/>
      <c r="S20" s="77"/>
    </row>
    <row r="21" spans="1:19" ht="30.75">
      <c r="A21" s="47" t="str">
        <v xml:space="preserve">TX: Fort Worth - 5200 Gold Spike Dr </v>
      </c>
      <c r="B21" s="48" t="str">
        <v>TX</v>
      </c>
      <c r="C21" s="41">
        <v>0</v>
      </c>
      <c r="D21" s="42">
        <v>869530.1</v>
      </c>
      <c r="E21" s="42">
        <f t="shared" si="0"/>
        <v>-869530.1</v>
      </c>
      <c r="F21" s="43">
        <f t="shared" si="3"/>
        <v>-1</v>
      </c>
      <c r="G21" s="44">
        <v>895796.2</v>
      </c>
      <c r="H21" s="44">
        <f t="shared" si="1"/>
        <v>-895796.2</v>
      </c>
      <c r="I21" s="43">
        <f t="shared" si="2"/>
        <v>-1</v>
      </c>
      <c r="J21" s="80" t="s">
        <v>267</v>
      </c>
      <c r="K21" s="76" t="s">
        <v>302</v>
      </c>
      <c r="L21" s="77"/>
      <c r="M21" s="77"/>
      <c r="N21" s="77"/>
      <c r="O21" s="77"/>
      <c r="P21" s="77"/>
      <c r="Q21" s="77"/>
      <c r="R21" s="77"/>
      <c r="S21" s="77"/>
    </row>
    <row r="22" spans="1:19" ht="15.6">
      <c r="A22" s="49" t="str">
        <v>NY: Clifton Springs - Ontario 2 (21597)</v>
      </c>
      <c r="B22" s="46" t="str">
        <v>NY</v>
      </c>
      <c r="C22" s="34">
        <v>1315652</v>
      </c>
      <c r="D22" s="35">
        <v>1400190.9</v>
      </c>
      <c r="E22" s="35">
        <f t="shared" si="0"/>
        <v>-84538.899999999907</v>
      </c>
      <c r="F22" s="36">
        <f t="shared" si="3"/>
        <v>-6.0376695777697109E-2</v>
      </c>
      <c r="G22" s="37">
        <v>1294078.8</v>
      </c>
      <c r="H22" s="37">
        <f t="shared" si="1"/>
        <v>21573.199999999953</v>
      </c>
      <c r="I22" s="38">
        <f t="shared" si="2"/>
        <v>1.6670700424116332E-2</v>
      </c>
      <c r="J22" s="61"/>
      <c r="K22" s="55"/>
      <c r="L22" s="77"/>
      <c r="M22" s="77"/>
      <c r="N22" s="77"/>
      <c r="O22" s="77"/>
      <c r="P22" s="77"/>
      <c r="Q22" s="77"/>
      <c r="R22" s="77"/>
      <c r="S22" s="77"/>
    </row>
    <row r="23" spans="1:19" ht="14.45">
      <c r="A23" s="13"/>
      <c r="B23" s="18"/>
      <c r="C23" s="13"/>
      <c r="D23" s="13"/>
      <c r="E23" s="13"/>
      <c r="F23" s="13"/>
      <c r="G23" s="13"/>
      <c r="H23" s="13"/>
      <c r="I23" s="13"/>
      <c r="J23" s="13"/>
      <c r="K23" s="13"/>
    </row>
    <row r="24" spans="1:19" ht="14.45">
      <c r="A24" s="13"/>
      <c r="B24" s="18"/>
      <c r="C24" s="13"/>
      <c r="D24" s="13"/>
      <c r="E24" s="13"/>
      <c r="F24" s="13"/>
      <c r="G24" s="13"/>
      <c r="H24" s="13"/>
      <c r="I24" s="13"/>
      <c r="J24" s="13"/>
      <c r="K24" s="13"/>
    </row>
    <row r="25" spans="1:19" ht="14.45">
      <c r="A25" s="13"/>
      <c r="B25" s="18"/>
      <c r="C25" s="13"/>
      <c r="D25" s="13"/>
      <c r="E25" s="13"/>
      <c r="F25" s="14"/>
      <c r="G25" s="13"/>
      <c r="H25" s="13"/>
      <c r="I25" s="14"/>
      <c r="J25" s="13"/>
      <c r="K25" s="13"/>
    </row>
    <row r="26" spans="1:19" ht="14.45">
      <c r="A26" s="13"/>
      <c r="B26" s="18"/>
      <c r="C26" s="13"/>
      <c r="D26" s="13"/>
      <c r="E26" s="13"/>
      <c r="F26" s="14"/>
      <c r="G26" s="13"/>
      <c r="H26" s="13"/>
      <c r="I26" s="14"/>
      <c r="J26" s="13"/>
      <c r="K26" s="13"/>
    </row>
    <row r="27" spans="1:19" ht="14.45">
      <c r="A27" s="13"/>
      <c r="B27" s="18"/>
      <c r="C27" s="13"/>
      <c r="D27" s="13"/>
      <c r="E27" s="13"/>
      <c r="F27" s="14"/>
      <c r="G27" s="13"/>
      <c r="H27" s="13"/>
      <c r="I27" s="14"/>
      <c r="J27" s="13"/>
      <c r="K27" s="13"/>
    </row>
    <row r="28" spans="1:19" ht="14.45">
      <c r="A28" s="13"/>
      <c r="B28" s="18"/>
      <c r="C28" s="13"/>
      <c r="D28" s="13"/>
      <c r="E28" s="13"/>
      <c r="F28" s="14"/>
      <c r="G28" s="13"/>
      <c r="H28" s="13"/>
      <c r="I28" s="14"/>
      <c r="J28" s="13"/>
      <c r="K28" s="13"/>
    </row>
    <row r="29" spans="1:19" ht="14.45">
      <c r="A29" s="13"/>
      <c r="B29" s="18"/>
      <c r="C29" s="13"/>
      <c r="D29" s="13"/>
      <c r="E29" s="13"/>
      <c r="F29" s="14"/>
      <c r="G29" s="13"/>
      <c r="H29" s="13"/>
      <c r="I29" s="14"/>
      <c r="J29" s="13"/>
      <c r="K29" s="13"/>
    </row>
    <row r="30" spans="1:19" ht="14.45">
      <c r="A30" s="13"/>
      <c r="B30" s="18"/>
      <c r="C30" s="13"/>
      <c r="D30" s="13"/>
      <c r="E30" s="13"/>
      <c r="F30" s="14"/>
      <c r="G30" s="13"/>
      <c r="H30" s="13"/>
      <c r="I30" s="14"/>
      <c r="J30" s="13"/>
      <c r="K30" s="13"/>
    </row>
    <row r="31" spans="1:19" ht="14.45">
      <c r="A31" s="13"/>
      <c r="B31" s="18"/>
      <c r="C31" s="13"/>
      <c r="D31" s="13"/>
      <c r="E31" s="13"/>
      <c r="F31" s="14"/>
      <c r="G31" s="13"/>
      <c r="H31" s="13"/>
      <c r="I31" s="14"/>
      <c r="J31" s="13"/>
      <c r="K31" s="13"/>
    </row>
    <row r="32" spans="1:19"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sortState xmlns:xlrd2="http://schemas.microsoft.com/office/spreadsheetml/2017/richdata2" ref="A3:K15">
    <sortCondition ref="A3:A15"/>
  </sortState>
  <mergeCells count="4">
    <mergeCell ref="G1:I1"/>
    <mergeCell ref="A1:C1"/>
    <mergeCell ref="D1:F1"/>
    <mergeCell ref="A2:B2"/>
  </mergeCells>
  <phoneticPr fontId="40" type="noConversion"/>
  <conditionalFormatting sqref="F2 I2">
    <cfRule type="cellIs" dxfId="20" priority="5" stopIfTrue="1" operator="lessThanOrEqual">
      <formula>-0.1</formula>
    </cfRule>
    <cfRule type="expression" dxfId="19" priority="6">
      <formula>AND(ISNUMBER(F2), F2&gt;=0.1)</formula>
    </cfRule>
  </conditionalFormatting>
  <conditionalFormatting sqref="F4:F92 I4:I92">
    <cfRule type="cellIs" dxfId="18" priority="1" stopIfTrue="1" operator="lessThanOrEqual">
      <formula>-0.1</formula>
    </cfRule>
    <cfRule type="expression" dxfId="17" priority="2">
      <formula>AND(ISNUMBER(F4), F4&gt;=0.1)</formula>
    </cfRule>
  </conditionalFormatting>
  <hyperlinks>
    <hyperlink ref="K4" r:id="rId1" display="https://us3.assetplanner.com/service_request?ID=102597" xr:uid="{E9AA450F-EEED-4DB3-B224-44C651D59B98}"/>
    <hyperlink ref="K5" r:id="rId2" display="https://us3.assetplanner.com/service_request?ID=102554" xr:uid="{4DB73161-B66A-4EFD-B832-EA5ADF070ECC}"/>
    <hyperlink ref="K6" r:id="rId3" display="https://us3.assetplanner.com/service_request?ID=105137" xr:uid="{18C86C61-CAB3-4F43-8093-D58C8BCD991C}"/>
    <hyperlink ref="K10" r:id="rId4" display="https://us3.assetplanner.com/service_request?ID=100950" xr:uid="{42FC1EBE-EAC7-4EE2-AE92-7D254EC6E3C3}"/>
    <hyperlink ref="K12" r:id="rId5" display="https://us3.assetplanner.com/service_request?ID=103022" xr:uid="{B421B41D-6B57-447A-9CD0-886646F84C0B}"/>
    <hyperlink ref="K13" r:id="rId6" display="https://us3.assetplanner.com/service_request?ID=103842" xr:uid="{C7D0A3B2-9E35-489E-85CF-7A8D46D78270}"/>
    <hyperlink ref="L13" r:id="rId7" display="https://us3.assetplanner.com/service_request?ID=104049" xr:uid="{B9D09B0B-06ED-4D78-9FFD-E3EE966DB79E}"/>
    <hyperlink ref="K14" r:id="rId8" display="https://us3.assetplanner.com/service_request?ID=104050" xr:uid="{A0E47D2E-73D8-427F-A89A-F9F5A1C2D0FE}"/>
    <hyperlink ref="L14" r:id="rId9" display="https://us3.assetplanner.com/service_request?ID=103584" xr:uid="{4253F364-7EEE-465B-99F7-C8CC1DA44995}"/>
    <hyperlink ref="M14" r:id="rId10" display="https://us3.assetplanner.com/service_request?ID=105109" xr:uid="{2FC1337C-2B57-42EA-AD6C-54CCD3E884FD}"/>
    <hyperlink ref="N14" r:id="rId11" display="https://us3.assetplanner.com/service_request?ID=105181" xr:uid="{572746AC-D718-4B6D-892E-BFAA640EE175}"/>
    <hyperlink ref="K16" r:id="rId12" display="https://us3.assetplanner.com/service_request?ID=101516" xr:uid="{5157D2C8-FFFF-4EFB-B448-38349DCCEFD5}"/>
    <hyperlink ref="L16" r:id="rId13" display="https://us3.assetplanner.com/service_request?ID=104969" xr:uid="{D521F0EE-BC8E-47F3-8C01-79F3D3868405}"/>
    <hyperlink ref="K17" r:id="rId14" display="https://us3.assetplanner.com/service_request?ID=101517" xr:uid="{C2B5ED70-2D95-4CD9-8FA3-7E192558E053}"/>
    <hyperlink ref="L17" r:id="rId15" display="https://us3.assetplanner.com/service_request?ID=104968" xr:uid="{6FE3F78E-ABD1-437B-979A-3383FDA5A14C}"/>
    <hyperlink ref="K18" r:id="rId16" display="https://us3.assetplanner.com/service_request?ID=104026" xr:uid="{EE2D28EE-ABF5-4417-8759-5470633D79E8}"/>
    <hyperlink ref="L18" r:id="rId17" display="https://us3.assetplanner.com/service_request?ID=104133" xr:uid="{38F1EFE9-ED66-453E-8D19-A94F76265815}"/>
    <hyperlink ref="M18" r:id="rId18" display="https://us3.assetplanner.com/service_request?ID=104663" xr:uid="{85FE88DC-AABE-4789-9E7F-F6367506FA96}"/>
    <hyperlink ref="K20" r:id="rId19" display="https://us3.assetplanner.com/service_request?ID=104022" xr:uid="{5A96359F-5D11-46BC-85CF-0CD5234457BE}"/>
    <hyperlink ref="L20" r:id="rId20" display="https://us3.assetplanner.com/service_request?ID=104573" xr:uid="{40484823-D47E-42A4-9B6E-DDCE1344FA4C}"/>
    <hyperlink ref="M20" r:id="rId21" display="https://us3.assetplanner.com/service_request?ID=104743" xr:uid="{7973DECA-F0FB-49F8-AF99-1492F248920D}"/>
    <hyperlink ref="N20" r:id="rId22" display="https://us3.assetplanner.com/service_request?ID=105104" xr:uid="{7F264DB2-B4A7-47D4-AF1C-6D69804BF931}"/>
    <hyperlink ref="O20" r:id="rId23" display="https://us3.assetplanner.com/service_request?ID=098878" xr:uid="{1FB6267D-043A-4A9F-89EC-6C4226DFE5E3}"/>
    <hyperlink ref="P20" r:id="rId24" display="https://us3.assetplanner.com/service_request?ID=104573" xr:uid="{88ED7E80-62B3-44C1-AB49-D3CF771B3526}"/>
    <hyperlink ref="K21" r:id="rId25" display="https://us3.assetplanner.com/service_request?ID=101493" xr:uid="{CC6C140D-566C-49E7-B674-AC74C03D4A2C}"/>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34"/>
  <sheetViews>
    <sheetView zoomScale="90" zoomScaleNormal="90" workbookViewId="0">
      <pane xSplit="2" ySplit="3" topLeftCell="C4"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1" ht="19.5" customHeight="1">
      <c r="A1" s="100" t="str" cm="1">
        <f t="array" ref="A1">portfolio</f>
        <v>Catalyze</v>
      </c>
      <c r="B1" s="100"/>
      <c r="C1" s="100"/>
      <c r="D1" s="101" t="s">
        <v>303</v>
      </c>
      <c r="E1" s="101"/>
      <c r="F1" s="101"/>
      <c r="G1" s="99" t="s">
        <v>304</v>
      </c>
      <c r="H1" s="99"/>
      <c r="I1" s="99"/>
      <c r="J1" s="4"/>
      <c r="K1" s="4"/>
    </row>
    <row r="2" spans="1:11" ht="19.5" customHeight="1">
      <c r="A2" s="102" t="s">
        <v>2</v>
      </c>
      <c r="B2" s="102"/>
      <c r="C2" s="5">
        <f>SUM(C4:C92)</f>
        <v>0</v>
      </c>
      <c r="D2" s="5">
        <f>SUM(D4:D92)</f>
        <v>0</v>
      </c>
      <c r="E2" s="5">
        <f>C2-D2</f>
        <v>0</v>
      </c>
      <c r="F2" s="6">
        <f>IFERROR(E2/D2, 0)</f>
        <v>0</v>
      </c>
      <c r="G2" s="5">
        <f>SUM(G4:G92)</f>
        <v>0</v>
      </c>
      <c r="H2" s="7">
        <f>C2-G2</f>
        <v>0</v>
      </c>
      <c r="I2" s="6">
        <f>IFERROR(H2/G2, 0)</f>
        <v>0</v>
      </c>
      <c r="J2" s="1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2">Sites[Site]</f>
        <v>Fresno - 3150 Shaw Ave</v>
      </c>
      <c r="B4" s="46" t="str" cm="1">
        <f t="array" ref="B4:B22">Sites[State]</f>
        <v>CA</v>
      </c>
      <c r="C4" s="34"/>
      <c r="D4" s="35"/>
      <c r="E4" s="35" t="str">
        <f>IF(AND(ISNUMBER(C4),ISNUMBER(D4)), C4-D4, "")</f>
        <v/>
      </c>
      <c r="F4" s="36" t="str">
        <f>IFERROR(E4/D4, "")</f>
        <v/>
      </c>
      <c r="G4" s="37"/>
      <c r="H4" s="37" t="str">
        <f>IF(AND(ISNUMBER(C4),ISNUMBER(G4)), C4-G4, "")</f>
        <v/>
      </c>
      <c r="I4" s="38" t="str">
        <f>IFERROR(H4/G4, "")</f>
        <v/>
      </c>
      <c r="J4" s="55"/>
      <c r="K4" s="55"/>
    </row>
    <row r="5" spans="1:11" ht="15.6">
      <c r="A5" s="47" t="str">
        <v>Adelanto - 1 Sheep Creek Road</v>
      </c>
      <c r="B5" s="48" t="str">
        <v>CA</v>
      </c>
      <c r="C5" s="41"/>
      <c r="D5" s="42"/>
      <c r="E5" s="42" t="str">
        <f t="shared" ref="E5:E17" si="0">IF(AND(ISNUMBER(C5),ISNUMBER(D5)), C5-D5, "")</f>
        <v/>
      </c>
      <c r="F5" s="43" t="str">
        <f>IFERROR(E5/D5, "")</f>
        <v/>
      </c>
      <c r="G5" s="44"/>
      <c r="H5" s="44" t="str">
        <f t="shared" ref="H5:H17" si="1">IF(AND(ISNUMBER(C5),ISNUMBER(G5)), C5-G5, "")</f>
        <v/>
      </c>
      <c r="I5" s="43" t="str">
        <f t="shared" ref="I5:I17" si="2">IFERROR(H5/G5, "")</f>
        <v/>
      </c>
      <c r="J5" s="56"/>
      <c r="K5" s="64"/>
    </row>
    <row r="6" spans="1:11" ht="15.6">
      <c r="A6" s="49" t="str">
        <v>Blackstone - 83 Federal Street</v>
      </c>
      <c r="B6" s="46" t="str">
        <v>MA</v>
      </c>
      <c r="C6" s="34"/>
      <c r="D6" s="35"/>
      <c r="E6" s="35" t="str">
        <f t="shared" si="0"/>
        <v/>
      </c>
      <c r="F6" s="36" t="str">
        <f t="shared" ref="F6:F17" si="3">IFERROR(E6/D6, "")</f>
        <v/>
      </c>
      <c r="G6" s="37"/>
      <c r="H6" s="37" t="str">
        <f t="shared" si="1"/>
        <v/>
      </c>
      <c r="I6" s="38" t="str">
        <f t="shared" si="2"/>
        <v/>
      </c>
      <c r="J6" s="55"/>
      <c r="K6" s="55"/>
    </row>
    <row r="7" spans="1:11" ht="15.6">
      <c r="A7" s="47" t="str">
        <v>Charlton - 299 Worcester Road</v>
      </c>
      <c r="B7" s="48" t="str">
        <v>MA</v>
      </c>
      <c r="C7" s="41"/>
      <c r="D7" s="42"/>
      <c r="E7" s="42" t="str">
        <f t="shared" si="0"/>
        <v/>
      </c>
      <c r="F7" s="43" t="str">
        <f t="shared" si="3"/>
        <v/>
      </c>
      <c r="G7" s="44"/>
      <c r="H7" s="44" t="str">
        <f t="shared" si="1"/>
        <v/>
      </c>
      <c r="I7" s="43" t="str">
        <f t="shared" si="2"/>
        <v/>
      </c>
      <c r="J7" s="56"/>
      <c r="K7" s="56"/>
    </row>
    <row r="8" spans="1:11" ht="15.6">
      <c r="A8" s="49" t="str">
        <v>Wareham - 8 Thatcher Drive</v>
      </c>
      <c r="B8" s="46" t="str">
        <v>MA</v>
      </c>
      <c r="C8" s="34"/>
      <c r="D8" s="35"/>
      <c r="E8" s="35" t="str">
        <f t="shared" si="0"/>
        <v/>
      </c>
      <c r="F8" s="36" t="str">
        <f t="shared" si="3"/>
        <v/>
      </c>
      <c r="G8" s="37"/>
      <c r="H8" s="37" t="str">
        <f t="shared" si="1"/>
        <v/>
      </c>
      <c r="I8" s="38" t="str">
        <f t="shared" si="2"/>
        <v/>
      </c>
      <c r="J8" s="55"/>
      <c r="K8" s="55"/>
    </row>
    <row r="9" spans="1:11" ht="15.6">
      <c r="A9" s="47" t="str">
        <v>West Yarmouth - 42 Mid Tech</v>
      </c>
      <c r="B9" s="48" t="str">
        <v>MA</v>
      </c>
      <c r="C9" s="41"/>
      <c r="D9" s="42"/>
      <c r="E9" s="42" t="str">
        <f t="shared" si="0"/>
        <v/>
      </c>
      <c r="F9" s="43" t="str">
        <f t="shared" si="3"/>
        <v/>
      </c>
      <c r="G9" s="44"/>
      <c r="H9" s="44" t="str">
        <f t="shared" si="1"/>
        <v/>
      </c>
      <c r="I9" s="43" t="str">
        <f t="shared" si="2"/>
        <v/>
      </c>
      <c r="J9" s="56"/>
      <c r="K9" s="57"/>
    </row>
    <row r="10" spans="1:11" ht="15.6">
      <c r="A10" s="49" t="str">
        <v>Harrison - 130 Union Street</v>
      </c>
      <c r="B10" s="46" t="str">
        <v>NY</v>
      </c>
      <c r="C10" s="34"/>
      <c r="D10" s="35"/>
      <c r="E10" s="35" t="str">
        <f t="shared" si="0"/>
        <v/>
      </c>
      <c r="F10" s="36" t="str">
        <f t="shared" si="3"/>
        <v/>
      </c>
      <c r="G10" s="37"/>
      <c r="H10" s="37" t="str">
        <f t="shared" si="1"/>
        <v/>
      </c>
      <c r="I10" s="38" t="str">
        <f t="shared" si="2"/>
        <v/>
      </c>
      <c r="J10" s="55"/>
      <c r="K10" s="55"/>
    </row>
    <row r="11" spans="1:11" ht="15.6">
      <c r="A11" s="47" t="str">
        <v>Staten Island - Ellis Storage</v>
      </c>
      <c r="B11" s="48" t="str">
        <v>NY</v>
      </c>
      <c r="C11" s="41"/>
      <c r="D11" s="42"/>
      <c r="E11" s="42" t="str">
        <f t="shared" si="0"/>
        <v/>
      </c>
      <c r="F11" s="43" t="str">
        <f t="shared" si="3"/>
        <v/>
      </c>
      <c r="G11" s="44"/>
      <c r="H11" s="44" t="str">
        <f t="shared" si="1"/>
        <v/>
      </c>
      <c r="I11" s="43" t="str">
        <f t="shared" si="2"/>
        <v/>
      </c>
      <c r="J11" s="56"/>
      <c r="K11" s="57"/>
    </row>
    <row r="12" spans="1:11" ht="15.6">
      <c r="A12" s="49" t="str">
        <v>Amherst - 595 Scholles Road</v>
      </c>
      <c r="B12" s="46" t="str">
        <v>NY</v>
      </c>
      <c r="C12" s="34"/>
      <c r="D12" s="35"/>
      <c r="E12" s="35" t="str">
        <f t="shared" si="0"/>
        <v/>
      </c>
      <c r="F12" s="36" t="str">
        <f t="shared" si="3"/>
        <v/>
      </c>
      <c r="G12" s="37"/>
      <c r="H12" s="37" t="str">
        <f t="shared" si="1"/>
        <v/>
      </c>
      <c r="I12" s="38" t="str">
        <f t="shared" si="2"/>
        <v/>
      </c>
      <c r="J12" s="55"/>
      <c r="K12" s="55"/>
    </row>
    <row r="13" spans="1:11" ht="15.6">
      <c r="A13" s="47" t="str">
        <v>Lancaster 1 - Gunnville Road</v>
      </c>
      <c r="B13" s="48" t="str">
        <v>NY</v>
      </c>
      <c r="C13" s="41"/>
      <c r="D13" s="42"/>
      <c r="E13" s="42" t="str">
        <f t="shared" si="0"/>
        <v/>
      </c>
      <c r="F13" s="43" t="str">
        <f t="shared" si="3"/>
        <v/>
      </c>
      <c r="G13" s="44"/>
      <c r="H13" s="44" t="str">
        <f t="shared" si="1"/>
        <v/>
      </c>
      <c r="I13" s="43" t="str">
        <f t="shared" si="2"/>
        <v/>
      </c>
      <c r="J13" s="56"/>
      <c r="K13" s="56"/>
    </row>
    <row r="14" spans="1:11" ht="15.6">
      <c r="A14" s="49" t="str">
        <v>Lancaster 2 - Shisler Road</v>
      </c>
      <c r="B14" s="46" t="str">
        <v>NY</v>
      </c>
      <c r="C14" s="34"/>
      <c r="D14" s="35"/>
      <c r="E14" s="35" t="str">
        <f t="shared" si="0"/>
        <v/>
      </c>
      <c r="F14" s="36" t="str">
        <f t="shared" si="3"/>
        <v/>
      </c>
      <c r="G14" s="37"/>
      <c r="H14" s="37" t="str">
        <f t="shared" si="1"/>
        <v/>
      </c>
      <c r="I14" s="38" t="str">
        <f t="shared" si="2"/>
        <v/>
      </c>
      <c r="J14" s="55"/>
      <c r="K14" s="55"/>
    </row>
    <row r="15" spans="1:11" ht="15.6">
      <c r="A15" s="47" t="str">
        <v>Fullerton - 200 W Orangethorpe</v>
      </c>
      <c r="B15" s="48" t="str">
        <v>CA</v>
      </c>
      <c r="C15" s="41"/>
      <c r="D15" s="42"/>
      <c r="E15" s="42" t="str">
        <f t="shared" si="0"/>
        <v/>
      </c>
      <c r="F15" s="43" t="str">
        <f t="shared" si="3"/>
        <v/>
      </c>
      <c r="G15" s="44"/>
      <c r="H15" s="44" t="str">
        <f t="shared" si="1"/>
        <v/>
      </c>
      <c r="I15" s="43" t="str">
        <f t="shared" si="2"/>
        <v/>
      </c>
      <c r="J15" s="56"/>
      <c r="K15" s="57"/>
    </row>
    <row r="16" spans="1:11" ht="15.6">
      <c r="A16" s="49" t="str">
        <v>El Paso - 10500 Railroad Drive</v>
      </c>
      <c r="B16" s="46" t="str">
        <v>TX</v>
      </c>
      <c r="C16" s="34"/>
      <c r="D16" s="35"/>
      <c r="E16" s="35" t="str">
        <f t="shared" si="0"/>
        <v/>
      </c>
      <c r="F16" s="36" t="str">
        <f t="shared" si="3"/>
        <v/>
      </c>
      <c r="G16" s="37"/>
      <c r="H16" s="37" t="str">
        <f t="shared" si="1"/>
        <v/>
      </c>
      <c r="I16" s="38" t="str">
        <f t="shared" si="2"/>
        <v/>
      </c>
      <c r="J16" s="55"/>
      <c r="K16" s="55"/>
    </row>
    <row r="17" spans="1:11" ht="15.6">
      <c r="A17" s="47" t="str">
        <v>Friona - 900 Millard Ave</v>
      </c>
      <c r="B17" s="48" t="str">
        <v>TX</v>
      </c>
      <c r="C17" s="41"/>
      <c r="D17" s="42"/>
      <c r="E17" s="42" t="str">
        <f t="shared" si="0"/>
        <v/>
      </c>
      <c r="F17" s="43" t="str">
        <f t="shared" si="3"/>
        <v/>
      </c>
      <c r="G17" s="44"/>
      <c r="H17" s="44" t="str">
        <f t="shared" si="1"/>
        <v/>
      </c>
      <c r="I17" s="43" t="str">
        <f t="shared" si="2"/>
        <v/>
      </c>
      <c r="J17" s="56"/>
      <c r="K17" s="56"/>
    </row>
    <row r="18" spans="1:11" ht="15.6">
      <c r="A18" s="49" t="str">
        <v>Augusta - 13 York Farm Road</v>
      </c>
      <c r="B18" s="46" t="str">
        <v>ME</v>
      </c>
      <c r="C18" s="34"/>
      <c r="D18" s="35"/>
      <c r="E18" s="35"/>
      <c r="F18" s="36"/>
      <c r="G18" s="37"/>
      <c r="H18" s="37"/>
      <c r="I18" s="38"/>
      <c r="J18" s="55"/>
      <c r="K18" s="55"/>
    </row>
    <row r="19" spans="1:11" ht="15.6">
      <c r="A19" s="47" t="str">
        <v xml:space="preserve">Santa Ana - 1441 West </v>
      </c>
      <c r="B19" s="48" t="str">
        <v>CA</v>
      </c>
      <c r="C19" s="41"/>
      <c r="D19" s="42"/>
      <c r="E19" s="42"/>
      <c r="F19" s="43"/>
      <c r="G19" s="44"/>
      <c r="H19" s="44"/>
      <c r="I19" s="43"/>
      <c r="J19" s="56"/>
      <c r="K19" s="57"/>
    </row>
    <row r="20" spans="1:11" ht="14.45">
      <c r="A20" s="13" t="str">
        <v>Jessup -7950 Oceano Ave</v>
      </c>
      <c r="B20" s="18" t="str">
        <v>MD</v>
      </c>
      <c r="C20" s="13"/>
      <c r="D20" s="13"/>
      <c r="E20" s="13"/>
      <c r="F20" s="13"/>
      <c r="G20" s="13"/>
      <c r="H20" s="13"/>
      <c r="I20" s="13"/>
      <c r="J20" s="13"/>
      <c r="K20" s="13"/>
    </row>
    <row r="21" spans="1:11" ht="14.45">
      <c r="A21" s="13" t="str">
        <v xml:space="preserve">TX: Fort Worth - 5200 Gold Spike Dr </v>
      </c>
      <c r="B21" s="18" t="str">
        <v>TX</v>
      </c>
      <c r="C21" s="13"/>
      <c r="D21" s="13"/>
      <c r="E21" s="13"/>
      <c r="F21" s="13"/>
      <c r="G21" s="13"/>
      <c r="H21" s="13"/>
      <c r="I21" s="13"/>
      <c r="J21" s="13"/>
      <c r="K21" s="13"/>
    </row>
    <row r="22" spans="1:11" ht="14.45">
      <c r="A22" s="13" t="str">
        <v>NY: Clifton Springs - Ontario 2 (21597)</v>
      </c>
      <c r="B22" s="18" t="str">
        <v>NY</v>
      </c>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16" priority="5" stopIfTrue="1" operator="lessThanOrEqual">
      <formula>-0.1</formula>
    </cfRule>
    <cfRule type="expression" dxfId="15" priority="6">
      <formula>AND(ISNUMBER(F2), F2&gt;=0.1)</formula>
    </cfRule>
  </conditionalFormatting>
  <conditionalFormatting sqref="F4:F92 I4:I92">
    <cfRule type="cellIs" dxfId="14" priority="1" stopIfTrue="1" operator="lessThanOrEqual">
      <formula>-0.1</formula>
    </cfRule>
    <cfRule type="expression" dxfId="13"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4"/>
  <sheetViews>
    <sheetView zoomScale="70" zoomScaleNormal="70" workbookViewId="0">
      <pane xSplit="2" ySplit="3" topLeftCell="C4"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1" ht="19.5" customHeight="1">
      <c r="A1" s="100" t="str" cm="1">
        <f t="array" ref="A1">portfolio</f>
        <v>Catalyze</v>
      </c>
      <c r="B1" s="100"/>
      <c r="C1" s="100"/>
      <c r="D1" s="101" t="s">
        <v>305</v>
      </c>
      <c r="E1" s="101"/>
      <c r="F1" s="101"/>
      <c r="G1" s="99" t="s">
        <v>306</v>
      </c>
      <c r="H1" s="99"/>
      <c r="I1" s="99"/>
      <c r="J1" s="4"/>
      <c r="K1" s="4"/>
    </row>
    <row r="2" spans="1:11" ht="19.5" customHeight="1">
      <c r="A2" s="102" t="s">
        <v>2</v>
      </c>
      <c r="B2" s="102"/>
      <c r="C2" s="5">
        <f>SUM(C4:C92)</f>
        <v>0</v>
      </c>
      <c r="D2" s="5">
        <f>SUM(D4:D92)</f>
        <v>0</v>
      </c>
      <c r="E2" s="5">
        <f>C2-D2</f>
        <v>0</v>
      </c>
      <c r="F2" s="6">
        <f>IFERROR(E2/D2, 0)</f>
        <v>0</v>
      </c>
      <c r="G2" s="5">
        <f>SUM(G4:G92)</f>
        <v>0</v>
      </c>
      <c r="H2" s="7">
        <f>C2-G2</f>
        <v>0</v>
      </c>
      <c r="I2" s="6">
        <f>IFERROR(H2/G2, 0)</f>
        <v>0</v>
      </c>
      <c r="J2" s="1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2">Sites[Site]</f>
        <v>Fresno - 3150 Shaw Ave</v>
      </c>
      <c r="B4" s="46" t="str" cm="1">
        <f t="array" ref="B4:B22">Sites[State]</f>
        <v>CA</v>
      </c>
      <c r="C4" s="34"/>
      <c r="D4" s="35"/>
      <c r="E4" s="35" t="str">
        <f>IF(AND(ISNUMBER(C4),ISNUMBER(D4)), C4-D4, "")</f>
        <v/>
      </c>
      <c r="F4" s="36" t="str">
        <f>IFERROR(E4/D4, "")</f>
        <v/>
      </c>
      <c r="G4" s="37"/>
      <c r="H4" s="37" t="str">
        <f>IF(AND(ISNUMBER(C4),ISNUMBER(G4)), C4-G4, "")</f>
        <v/>
      </c>
      <c r="I4" s="38" t="str">
        <f>IFERROR(H4/G4, "")</f>
        <v/>
      </c>
      <c r="J4" s="55"/>
      <c r="K4" s="55"/>
    </row>
    <row r="5" spans="1:11" ht="15.6">
      <c r="A5" s="47" t="str">
        <v>Adelanto - 1 Sheep Creek Road</v>
      </c>
      <c r="B5" s="48" t="str">
        <v>CA</v>
      </c>
      <c r="C5" s="67"/>
      <c r="D5" s="42"/>
      <c r="E5" s="42" t="str">
        <f t="shared" ref="E5:E19" si="0">IF(AND(ISNUMBER(C5),ISNUMBER(D5)), C5-D5, "")</f>
        <v/>
      </c>
      <c r="F5" s="43" t="str">
        <f>IFERROR(E5/D5, "")</f>
        <v/>
      </c>
      <c r="G5" s="44"/>
      <c r="H5" s="44" t="str">
        <f t="shared" ref="H5:H19" si="1">IF(AND(ISNUMBER(C5),ISNUMBER(G5)), C5-G5, "")</f>
        <v/>
      </c>
      <c r="I5" s="43" t="str">
        <f t="shared" ref="I5:I19" si="2">IFERROR(H5/G5, "")</f>
        <v/>
      </c>
      <c r="J5" s="56"/>
      <c r="K5" s="64"/>
    </row>
    <row r="6" spans="1:11" ht="15.6">
      <c r="A6" s="49" t="str">
        <v>Blackstone - 83 Federal Street</v>
      </c>
      <c r="B6" s="46" t="str">
        <v>MA</v>
      </c>
      <c r="C6" s="34"/>
      <c r="D6" s="35"/>
      <c r="E6" s="35" t="str">
        <f t="shared" si="0"/>
        <v/>
      </c>
      <c r="F6" s="36" t="str">
        <f t="shared" ref="F6:F19" si="3">IFERROR(E6/D6, "")</f>
        <v/>
      </c>
      <c r="G6" s="37"/>
      <c r="H6" s="37" t="str">
        <f t="shared" si="1"/>
        <v/>
      </c>
      <c r="I6" s="38" t="str">
        <f t="shared" si="2"/>
        <v/>
      </c>
      <c r="J6" s="55"/>
      <c r="K6" s="55"/>
    </row>
    <row r="7" spans="1:11" ht="15.6">
      <c r="A7" s="47" t="str">
        <v>Charlton - 299 Worcester Road</v>
      </c>
      <c r="B7" s="48" t="str">
        <v>MA</v>
      </c>
      <c r="C7" s="41"/>
      <c r="D7" s="42"/>
      <c r="E7" s="42" t="str">
        <f t="shared" si="0"/>
        <v/>
      </c>
      <c r="F7" s="43" t="str">
        <f t="shared" si="3"/>
        <v/>
      </c>
      <c r="G7" s="44"/>
      <c r="H7" s="44" t="str">
        <f t="shared" si="1"/>
        <v/>
      </c>
      <c r="I7" s="43" t="str">
        <f t="shared" si="2"/>
        <v/>
      </c>
      <c r="J7" s="56"/>
      <c r="K7" s="57"/>
    </row>
    <row r="8" spans="1:11" ht="15.6">
      <c r="A8" s="49" t="str">
        <v>Wareham - 8 Thatcher Drive</v>
      </c>
      <c r="B8" s="46" t="str">
        <v>MA</v>
      </c>
      <c r="C8" s="34"/>
      <c r="D8" s="35"/>
      <c r="E8" s="35" t="str">
        <f t="shared" si="0"/>
        <v/>
      </c>
      <c r="F8" s="36" t="str">
        <f t="shared" si="3"/>
        <v/>
      </c>
      <c r="G8" s="37"/>
      <c r="H8" s="37" t="str">
        <f t="shared" si="1"/>
        <v/>
      </c>
      <c r="I8" s="38" t="str">
        <f t="shared" si="2"/>
        <v/>
      </c>
      <c r="J8" s="55"/>
      <c r="K8" s="55"/>
    </row>
    <row r="9" spans="1:11" ht="15.6">
      <c r="A9" s="47" t="str">
        <v>West Yarmouth - 42 Mid Tech</v>
      </c>
      <c r="B9" s="48" t="str">
        <v>MA</v>
      </c>
      <c r="C9" s="41"/>
      <c r="D9" s="42"/>
      <c r="E9" s="42" t="str">
        <f t="shared" si="0"/>
        <v/>
      </c>
      <c r="F9" s="43" t="str">
        <f t="shared" si="3"/>
        <v/>
      </c>
      <c r="G9" s="44"/>
      <c r="H9" s="44" t="str">
        <f t="shared" si="1"/>
        <v/>
      </c>
      <c r="I9" s="43" t="str">
        <f t="shared" si="2"/>
        <v/>
      </c>
      <c r="J9" s="56"/>
      <c r="K9" s="57"/>
    </row>
    <row r="10" spans="1:11" ht="15.6">
      <c r="A10" s="49" t="str">
        <v>Harrison - 130 Union Street</v>
      </c>
      <c r="B10" s="46" t="str">
        <v>NY</v>
      </c>
      <c r="C10" s="34"/>
      <c r="D10" s="35"/>
      <c r="E10" s="35" t="str">
        <f t="shared" si="0"/>
        <v/>
      </c>
      <c r="F10" s="36" t="str">
        <f t="shared" si="3"/>
        <v/>
      </c>
      <c r="G10" s="37"/>
      <c r="H10" s="37" t="str">
        <f t="shared" si="1"/>
        <v/>
      </c>
      <c r="I10" s="38" t="str">
        <f t="shared" si="2"/>
        <v/>
      </c>
      <c r="J10" s="55"/>
      <c r="K10" s="55"/>
    </row>
    <row r="11" spans="1:11" ht="15.6">
      <c r="A11" s="47" t="str">
        <v>Staten Island - Ellis Storage</v>
      </c>
      <c r="B11" s="48" t="str">
        <v>NY</v>
      </c>
      <c r="C11" s="41"/>
      <c r="D11" s="42"/>
      <c r="E11" s="42" t="str">
        <f t="shared" si="0"/>
        <v/>
      </c>
      <c r="F11" s="43" t="str">
        <f t="shared" si="3"/>
        <v/>
      </c>
      <c r="G11" s="44"/>
      <c r="H11" s="44" t="str">
        <f t="shared" si="1"/>
        <v/>
      </c>
      <c r="I11" s="43" t="str">
        <f>IFERROR(H11/G11, "")</f>
        <v/>
      </c>
      <c r="J11" s="56"/>
      <c r="K11" s="57"/>
    </row>
    <row r="12" spans="1:11" ht="15.6">
      <c r="A12" s="49" t="str">
        <v>Amherst - 595 Scholles Road</v>
      </c>
      <c r="B12" s="46" t="str">
        <v>NY</v>
      </c>
      <c r="C12" s="34"/>
      <c r="D12" s="35"/>
      <c r="E12" s="35" t="str">
        <f t="shared" si="0"/>
        <v/>
      </c>
      <c r="F12" s="36" t="str">
        <f t="shared" si="3"/>
        <v/>
      </c>
      <c r="G12" s="37"/>
      <c r="H12" s="37" t="str">
        <f t="shared" si="1"/>
        <v/>
      </c>
      <c r="I12" s="38" t="str">
        <f t="shared" si="2"/>
        <v/>
      </c>
      <c r="J12" s="55"/>
      <c r="K12" s="55"/>
    </row>
    <row r="13" spans="1:11" ht="15.6">
      <c r="A13" s="47" t="str">
        <v>Lancaster 1 - Gunnville Road</v>
      </c>
      <c r="B13" s="48" t="str">
        <v>NY</v>
      </c>
      <c r="C13" s="41"/>
      <c r="D13" s="42"/>
      <c r="E13" s="42" t="str">
        <f t="shared" si="0"/>
        <v/>
      </c>
      <c r="F13" s="43" t="str">
        <f t="shared" si="3"/>
        <v/>
      </c>
      <c r="G13" s="44"/>
      <c r="H13" s="44" t="str">
        <f t="shared" si="1"/>
        <v/>
      </c>
      <c r="I13" s="43" t="str">
        <f t="shared" si="2"/>
        <v/>
      </c>
      <c r="J13" s="56"/>
      <c r="K13" s="57"/>
    </row>
    <row r="14" spans="1:11" ht="15.6">
      <c r="A14" s="49" t="str">
        <v>Lancaster 2 - Shisler Road</v>
      </c>
      <c r="B14" s="46" t="str">
        <v>NY</v>
      </c>
      <c r="C14" s="34"/>
      <c r="D14" s="35"/>
      <c r="E14" s="35" t="str">
        <f t="shared" si="0"/>
        <v/>
      </c>
      <c r="F14" s="36" t="str">
        <f t="shared" si="3"/>
        <v/>
      </c>
      <c r="G14" s="37"/>
      <c r="H14" s="37" t="str">
        <f t="shared" si="1"/>
        <v/>
      </c>
      <c r="I14" s="38" t="str">
        <f t="shared" si="2"/>
        <v/>
      </c>
      <c r="J14" s="55"/>
      <c r="K14" s="55"/>
    </row>
    <row r="15" spans="1:11" ht="15.6">
      <c r="A15" s="47" t="str">
        <v>Fullerton - 200 W Orangethorpe</v>
      </c>
      <c r="B15" s="48" t="str">
        <v>CA</v>
      </c>
      <c r="C15" s="41"/>
      <c r="D15" s="42"/>
      <c r="E15" s="42" t="str">
        <f t="shared" si="0"/>
        <v/>
      </c>
      <c r="F15" s="43" t="str">
        <f t="shared" si="3"/>
        <v/>
      </c>
      <c r="G15" s="44"/>
      <c r="H15" s="44" t="str">
        <f t="shared" si="1"/>
        <v/>
      </c>
      <c r="I15" s="43" t="str">
        <f t="shared" si="2"/>
        <v/>
      </c>
      <c r="J15" s="56"/>
      <c r="K15" s="57"/>
    </row>
    <row r="16" spans="1:11" ht="15.6">
      <c r="A16" s="49" t="str">
        <v>El Paso - 10500 Railroad Drive</v>
      </c>
      <c r="B16" s="46" t="str">
        <v>TX</v>
      </c>
      <c r="C16" s="34"/>
      <c r="D16" s="35"/>
      <c r="E16" s="35" t="str">
        <f t="shared" si="0"/>
        <v/>
      </c>
      <c r="F16" s="36" t="str">
        <f t="shared" si="3"/>
        <v/>
      </c>
      <c r="G16" s="37"/>
      <c r="H16" s="37" t="str">
        <f t="shared" si="1"/>
        <v/>
      </c>
      <c r="I16" s="38" t="str">
        <f t="shared" si="2"/>
        <v/>
      </c>
      <c r="J16" s="55"/>
      <c r="K16" s="55"/>
    </row>
    <row r="17" spans="1:11" ht="15.6">
      <c r="A17" s="47" t="str">
        <v>Friona - 900 Millard Ave</v>
      </c>
      <c r="B17" s="48" t="str">
        <v>TX</v>
      </c>
      <c r="C17" s="41"/>
      <c r="D17" s="42"/>
      <c r="E17" s="42" t="str">
        <f t="shared" si="0"/>
        <v/>
      </c>
      <c r="F17" s="43" t="str">
        <f t="shared" si="3"/>
        <v/>
      </c>
      <c r="G17" s="44"/>
      <c r="H17" s="44" t="str">
        <f t="shared" si="1"/>
        <v/>
      </c>
      <c r="I17" s="43" t="str">
        <f t="shared" si="2"/>
        <v/>
      </c>
      <c r="J17" s="69"/>
      <c r="K17" s="68"/>
    </row>
    <row r="18" spans="1:11" ht="15.6">
      <c r="A18" s="49" t="str">
        <v>Augusta - 13 York Farm Road</v>
      </c>
      <c r="B18" s="46" t="str">
        <v>ME</v>
      </c>
      <c r="C18" s="34"/>
      <c r="D18" s="35"/>
      <c r="E18" s="35" t="str">
        <f t="shared" si="0"/>
        <v/>
      </c>
      <c r="F18" s="36" t="str">
        <f t="shared" si="3"/>
        <v/>
      </c>
      <c r="G18" s="37"/>
      <c r="H18" s="37" t="str">
        <f t="shared" si="1"/>
        <v/>
      </c>
      <c r="I18" s="38" t="str">
        <f t="shared" si="2"/>
        <v/>
      </c>
      <c r="J18" s="55"/>
      <c r="K18" s="55"/>
    </row>
    <row r="19" spans="1:11" ht="15.6">
      <c r="A19" s="47" t="str">
        <v xml:space="preserve">Santa Ana - 1441 West </v>
      </c>
      <c r="B19" s="48" t="str">
        <v>CA</v>
      </c>
      <c r="C19" s="41"/>
      <c r="D19" s="42"/>
      <c r="E19" s="42" t="str">
        <f t="shared" si="0"/>
        <v/>
      </c>
      <c r="F19" s="43" t="str">
        <f t="shared" si="3"/>
        <v/>
      </c>
      <c r="G19" s="44"/>
      <c r="H19" s="44" t="str">
        <f t="shared" si="1"/>
        <v/>
      </c>
      <c r="I19" s="43" t="str">
        <f t="shared" si="2"/>
        <v/>
      </c>
      <c r="J19" s="56"/>
      <c r="K19" s="57"/>
    </row>
    <row r="20" spans="1:11" ht="15.6">
      <c r="A20" s="49" t="str">
        <v>Jessup -7950 Oceano Ave</v>
      </c>
      <c r="B20" s="46" t="str">
        <v>MD</v>
      </c>
      <c r="C20" s="34"/>
      <c r="D20" s="35"/>
      <c r="E20" s="35"/>
      <c r="F20" s="36"/>
      <c r="G20" s="37"/>
      <c r="H20" s="37"/>
      <c r="I20" s="38"/>
      <c r="J20" s="55"/>
      <c r="K20" s="55"/>
    </row>
    <row r="21" spans="1:11" ht="14.45">
      <c r="A21" s="13" t="str">
        <v xml:space="preserve">TX: Fort Worth - 5200 Gold Spike Dr </v>
      </c>
      <c r="B21" s="18" t="str">
        <v>TX</v>
      </c>
      <c r="C21" s="13"/>
      <c r="D21" s="13"/>
      <c r="E21" s="13"/>
      <c r="F21" s="13"/>
      <c r="G21" s="13"/>
      <c r="H21" s="13"/>
      <c r="I21" s="13"/>
      <c r="J21" s="13"/>
      <c r="K21" s="13"/>
    </row>
    <row r="22" spans="1:11" ht="14.45">
      <c r="A22" s="13" t="str">
        <v>NY: Clifton Springs - Ontario 2 (21597)</v>
      </c>
      <c r="B22" s="18" t="str">
        <v>NY</v>
      </c>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4"/>
  <sheetViews>
    <sheetView zoomScale="80" zoomScaleNormal="80" workbookViewId="0">
      <pane xSplit="2" ySplit="3" topLeftCell="C6"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85546875" customWidth="1"/>
    <col min="4" max="5" width="13.140625" customWidth="1"/>
    <col min="6" max="6" width="13.140625" style="1" customWidth="1"/>
    <col min="7" max="8" width="13.140625" customWidth="1"/>
    <col min="9" max="9" width="13.140625" style="1" customWidth="1"/>
    <col min="10" max="10" width="74.85546875" customWidth="1"/>
    <col min="11" max="11" width="20.5703125" bestFit="1" customWidth="1"/>
  </cols>
  <sheetData>
    <row r="1" spans="1:11" ht="19.5" customHeight="1">
      <c r="A1" s="100" t="str" cm="1">
        <f t="array" ref="A1">portfolio</f>
        <v>Catalyze</v>
      </c>
      <c r="B1" s="100"/>
      <c r="C1" s="100"/>
      <c r="D1" s="101" t="s">
        <v>307</v>
      </c>
      <c r="E1" s="101"/>
      <c r="F1" s="101"/>
      <c r="G1" s="99" t="s">
        <v>308</v>
      </c>
      <c r="H1" s="99"/>
      <c r="I1" s="99"/>
      <c r="J1" s="4"/>
      <c r="K1" s="4"/>
    </row>
    <row r="2" spans="1:11" ht="19.5" customHeight="1">
      <c r="A2" s="102" t="s">
        <v>2</v>
      </c>
      <c r="B2" s="102"/>
      <c r="C2" s="5">
        <f>SUM(C4:C92)</f>
        <v>0</v>
      </c>
      <c r="D2" s="5">
        <f>SUM(D4:D92)</f>
        <v>0</v>
      </c>
      <c r="E2" s="5">
        <f>C2-D2</f>
        <v>0</v>
      </c>
      <c r="F2" s="6">
        <f>IFERROR(E2/D2, 0)</f>
        <v>0</v>
      </c>
      <c r="G2" s="5">
        <f>SUM(G4:G92)</f>
        <v>0</v>
      </c>
      <c r="H2" s="7">
        <f>C2-G2</f>
        <v>0</v>
      </c>
      <c r="I2" s="6">
        <f>IFERROR(H2/G2, 0)</f>
        <v>0</v>
      </c>
      <c r="J2" s="1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2">Sites[Site]</f>
        <v>Fresno - 3150 Shaw Ave</v>
      </c>
      <c r="B4" s="46" t="str" cm="1">
        <f t="array" ref="B4:B22">Sites[State]</f>
        <v>CA</v>
      </c>
      <c r="C4" s="34"/>
      <c r="D4" s="35"/>
      <c r="E4" s="35" t="str">
        <f>IF(AND(ISNUMBER(C4),ISNUMBER(D4)), C4-D4, "")</f>
        <v/>
      </c>
      <c r="F4" s="36" t="str">
        <f>IFERROR(E4/D4, "")</f>
        <v/>
      </c>
      <c r="G4" s="37"/>
      <c r="H4" s="37" t="str">
        <f>IF(AND(ISNUMBER(C4),ISNUMBER(G4)), C4-G4, "")</f>
        <v/>
      </c>
      <c r="I4" s="38" t="str">
        <f>IFERROR(H4/G4, "")</f>
        <v/>
      </c>
      <c r="J4" s="70"/>
      <c r="K4" s="70"/>
    </row>
    <row r="5" spans="1:11" ht="84" customHeight="1">
      <c r="A5" s="47" t="str">
        <v>Adelanto - 1 Sheep Creek Road</v>
      </c>
      <c r="B5" s="48" t="str">
        <v>CA</v>
      </c>
      <c r="C5" s="41"/>
      <c r="D5" s="42"/>
      <c r="E5" s="42" t="str">
        <f t="shared" ref="E5:E19" si="0">IF(AND(ISNUMBER(C5),ISNUMBER(D5)), C5-D5, "")</f>
        <v/>
      </c>
      <c r="F5" s="43" t="str">
        <f>IFERROR(E5/D5, "")</f>
        <v/>
      </c>
      <c r="G5" s="44"/>
      <c r="H5" s="44" t="str">
        <f t="shared" ref="H5:H19" si="1">IF(AND(ISNUMBER(C5),ISNUMBER(G5)), C5-G5, "")</f>
        <v/>
      </c>
      <c r="I5" s="43" t="str">
        <f t="shared" ref="I5:I19" si="2">IFERROR(H5/G5, "")</f>
        <v/>
      </c>
      <c r="J5" s="64"/>
      <c r="K5" s="64"/>
    </row>
    <row r="6" spans="1:11" ht="15.6">
      <c r="A6" s="49" t="str">
        <v>Blackstone - 83 Federal Street</v>
      </c>
      <c r="B6" s="46" t="str">
        <v>MA</v>
      </c>
      <c r="C6" s="34"/>
      <c r="D6" s="35"/>
      <c r="E6" s="35" t="str">
        <f t="shared" si="0"/>
        <v/>
      </c>
      <c r="F6" s="36" t="str">
        <f t="shared" ref="F6:F19" si="3">IFERROR(E6/D6, "")</f>
        <v/>
      </c>
      <c r="G6" s="37"/>
      <c r="H6" s="37" t="str">
        <f t="shared" si="1"/>
        <v/>
      </c>
      <c r="I6" s="38" t="str">
        <f t="shared" si="2"/>
        <v/>
      </c>
      <c r="J6" s="70"/>
      <c r="K6" s="70"/>
    </row>
    <row r="7" spans="1:11" ht="15.6">
      <c r="A7" s="47" t="str">
        <v>Charlton - 299 Worcester Road</v>
      </c>
      <c r="B7" s="48" t="str">
        <v>MA</v>
      </c>
      <c r="C7" s="41"/>
      <c r="D7" s="42"/>
      <c r="E7" s="42" t="str">
        <f t="shared" si="0"/>
        <v/>
      </c>
      <c r="F7" s="43" t="str">
        <f t="shared" si="3"/>
        <v/>
      </c>
      <c r="G7" s="44"/>
      <c r="H7" s="44" t="str">
        <f t="shared" si="1"/>
        <v/>
      </c>
      <c r="I7" s="43" t="str">
        <f t="shared" si="2"/>
        <v/>
      </c>
      <c r="J7" s="64"/>
      <c r="K7" s="63"/>
    </row>
    <row r="8" spans="1:11" ht="15.6">
      <c r="A8" s="49" t="str">
        <v>Wareham - 8 Thatcher Drive</v>
      </c>
      <c r="B8" s="46" t="str">
        <v>MA</v>
      </c>
      <c r="C8" s="34"/>
      <c r="D8" s="35"/>
      <c r="E8" s="35" t="str">
        <f t="shared" si="0"/>
        <v/>
      </c>
      <c r="F8" s="36" t="str">
        <f t="shared" si="3"/>
        <v/>
      </c>
      <c r="G8" s="37"/>
      <c r="H8" s="37" t="str">
        <f t="shared" si="1"/>
        <v/>
      </c>
      <c r="I8" s="38" t="str">
        <f t="shared" si="2"/>
        <v/>
      </c>
      <c r="J8" s="70"/>
      <c r="K8" s="70"/>
    </row>
    <row r="9" spans="1:11" ht="15.6">
      <c r="A9" s="47" t="str">
        <v>West Yarmouth - 42 Mid Tech</v>
      </c>
      <c r="B9" s="48" t="str">
        <v>MA</v>
      </c>
      <c r="C9" s="41"/>
      <c r="D9" s="42"/>
      <c r="E9" s="42" t="str">
        <f t="shared" si="0"/>
        <v/>
      </c>
      <c r="F9" s="43" t="str">
        <f t="shared" si="3"/>
        <v/>
      </c>
      <c r="G9" s="44"/>
      <c r="H9" s="44" t="str">
        <f t="shared" si="1"/>
        <v/>
      </c>
      <c r="I9" s="43" t="str">
        <f t="shared" si="2"/>
        <v/>
      </c>
      <c r="J9" s="64"/>
      <c r="K9" s="63"/>
    </row>
    <row r="10" spans="1:11" ht="15.6">
      <c r="A10" s="49" t="str">
        <v>Harrison - 130 Union Street</v>
      </c>
      <c r="B10" s="46" t="str">
        <v>NY</v>
      </c>
      <c r="C10" s="34"/>
      <c r="D10" s="35"/>
      <c r="E10" s="35" t="str">
        <f t="shared" si="0"/>
        <v/>
      </c>
      <c r="F10" s="36" t="str">
        <f t="shared" si="3"/>
        <v/>
      </c>
      <c r="G10" s="37"/>
      <c r="H10" s="37" t="str">
        <f t="shared" si="1"/>
        <v/>
      </c>
      <c r="I10" s="38" t="str">
        <f t="shared" si="2"/>
        <v/>
      </c>
      <c r="J10" s="70"/>
      <c r="K10" s="70"/>
    </row>
    <row r="11" spans="1:11" ht="15.6">
      <c r="A11" s="47" t="str">
        <v>Staten Island - Ellis Storage</v>
      </c>
      <c r="B11" s="48" t="str">
        <v>NY</v>
      </c>
      <c r="C11" s="41"/>
      <c r="D11" s="42"/>
      <c r="E11" s="42" t="str">
        <f t="shared" si="0"/>
        <v/>
      </c>
      <c r="F11" s="43" t="str">
        <f t="shared" si="3"/>
        <v/>
      </c>
      <c r="G11" s="44"/>
      <c r="H11" s="44" t="str">
        <f t="shared" si="1"/>
        <v/>
      </c>
      <c r="I11" s="43" t="str">
        <f t="shared" si="2"/>
        <v/>
      </c>
      <c r="J11" s="64"/>
      <c r="K11" s="63"/>
    </row>
    <row r="12" spans="1:11" ht="51" customHeight="1">
      <c r="A12" s="49" t="str">
        <v>Amherst - 595 Scholles Road</v>
      </c>
      <c r="B12" s="46" t="str">
        <v>NY</v>
      </c>
      <c r="C12" s="34"/>
      <c r="D12" s="35"/>
      <c r="E12" s="35" t="str">
        <f t="shared" si="0"/>
        <v/>
      </c>
      <c r="F12" s="36" t="str">
        <f t="shared" si="3"/>
        <v/>
      </c>
      <c r="G12" s="37"/>
      <c r="H12" s="37" t="str">
        <f t="shared" si="1"/>
        <v/>
      </c>
      <c r="I12" s="38" t="str">
        <f t="shared" si="2"/>
        <v/>
      </c>
      <c r="J12" s="70"/>
      <c r="K12" s="70"/>
    </row>
    <row r="13" spans="1:11" ht="39.75" customHeight="1">
      <c r="A13" s="47" t="str">
        <v>Lancaster 1 - Gunnville Road</v>
      </c>
      <c r="B13" s="48" t="str">
        <v>NY</v>
      </c>
      <c r="C13" s="41"/>
      <c r="D13" s="42"/>
      <c r="E13" s="42" t="str">
        <f t="shared" si="0"/>
        <v/>
      </c>
      <c r="F13" s="43" t="str">
        <f t="shared" si="3"/>
        <v/>
      </c>
      <c r="G13" s="44"/>
      <c r="H13" s="44" t="str">
        <f t="shared" si="1"/>
        <v/>
      </c>
      <c r="I13" s="43" t="str">
        <f t="shared" si="2"/>
        <v/>
      </c>
      <c r="J13" s="64"/>
      <c r="K13" s="64"/>
    </row>
    <row r="14" spans="1:11" ht="15.6">
      <c r="A14" s="49" t="str">
        <v>Lancaster 2 - Shisler Road</v>
      </c>
      <c r="B14" s="46" t="str">
        <v>NY</v>
      </c>
      <c r="C14" s="34"/>
      <c r="D14" s="35"/>
      <c r="E14" s="35" t="str">
        <f t="shared" si="0"/>
        <v/>
      </c>
      <c r="F14" s="36" t="str">
        <f t="shared" si="3"/>
        <v/>
      </c>
      <c r="G14" s="37"/>
      <c r="H14" s="37" t="str">
        <f t="shared" si="1"/>
        <v/>
      </c>
      <c r="I14" s="38" t="str">
        <f t="shared" si="2"/>
        <v/>
      </c>
      <c r="J14" s="70"/>
      <c r="K14" s="70"/>
    </row>
    <row r="15" spans="1:11" ht="15.6">
      <c r="A15" s="47" t="str">
        <v>Fullerton - 200 W Orangethorpe</v>
      </c>
      <c r="B15" s="48" t="str">
        <v>CA</v>
      </c>
      <c r="C15" s="41"/>
      <c r="D15" s="42"/>
      <c r="E15" s="42" t="str">
        <f t="shared" si="0"/>
        <v/>
      </c>
      <c r="F15" s="43" t="str">
        <f t="shared" si="3"/>
        <v/>
      </c>
      <c r="G15" s="44"/>
      <c r="H15" s="44" t="str">
        <f t="shared" si="1"/>
        <v/>
      </c>
      <c r="I15" s="43" t="str">
        <f t="shared" si="2"/>
        <v/>
      </c>
      <c r="J15" s="64"/>
      <c r="K15" s="63"/>
    </row>
    <row r="16" spans="1:11" ht="15.6">
      <c r="A16" s="49" t="str">
        <v>El Paso - 10500 Railroad Drive</v>
      </c>
      <c r="B16" s="46" t="str">
        <v>TX</v>
      </c>
      <c r="C16" s="34"/>
      <c r="D16" s="35"/>
      <c r="E16" s="35" t="str">
        <f t="shared" si="0"/>
        <v/>
      </c>
      <c r="F16" s="36" t="str">
        <f>IFERROR(E16/D16, "")</f>
        <v/>
      </c>
      <c r="G16" s="37"/>
      <c r="H16" s="37" t="str">
        <f t="shared" si="1"/>
        <v/>
      </c>
      <c r="I16" s="38" t="str">
        <f t="shared" si="2"/>
        <v/>
      </c>
      <c r="J16" s="70"/>
      <c r="K16" s="70"/>
    </row>
    <row r="17" spans="1:11" ht="15.6">
      <c r="A17" s="47" t="str">
        <v>Friona - 900 Millard Ave</v>
      </c>
      <c r="B17" s="48" t="str">
        <v>TX</v>
      </c>
      <c r="C17" s="41"/>
      <c r="D17" s="42"/>
      <c r="E17" s="42" t="str">
        <f t="shared" si="0"/>
        <v/>
      </c>
      <c r="F17" s="43" t="str">
        <f t="shared" si="3"/>
        <v/>
      </c>
      <c r="G17" s="44"/>
      <c r="H17" s="44" t="str">
        <f t="shared" si="1"/>
        <v/>
      </c>
      <c r="I17" s="43" t="str">
        <f t="shared" si="2"/>
        <v/>
      </c>
      <c r="J17" s="64"/>
      <c r="K17" s="64"/>
    </row>
    <row r="18" spans="1:11" ht="15.6">
      <c r="A18" s="49" t="str">
        <v>Augusta - 13 York Farm Road</v>
      </c>
      <c r="B18" s="46" t="str">
        <v>ME</v>
      </c>
      <c r="C18" s="34"/>
      <c r="D18" s="35"/>
      <c r="E18" s="35" t="str">
        <f t="shared" si="0"/>
        <v/>
      </c>
      <c r="F18" s="36" t="str">
        <f>IFERROR(E18/D18, "")</f>
        <v/>
      </c>
      <c r="G18" s="37"/>
      <c r="H18" s="37" t="str">
        <f t="shared" si="1"/>
        <v/>
      </c>
      <c r="I18" s="38" t="str">
        <f t="shared" si="2"/>
        <v/>
      </c>
      <c r="J18" s="70"/>
      <c r="K18" s="70"/>
    </row>
    <row r="19" spans="1:11" ht="15.6">
      <c r="A19" s="47" t="str">
        <v xml:space="preserve">Santa Ana - 1441 West </v>
      </c>
      <c r="B19" s="48" t="str">
        <v>CA</v>
      </c>
      <c r="C19" s="41"/>
      <c r="D19" s="42"/>
      <c r="E19" s="42" t="str">
        <f t="shared" si="0"/>
        <v/>
      </c>
      <c r="F19" s="43" t="str">
        <f t="shared" si="3"/>
        <v/>
      </c>
      <c r="G19" s="44"/>
      <c r="H19" s="44" t="str">
        <f t="shared" si="1"/>
        <v/>
      </c>
      <c r="I19" s="43" t="str">
        <f t="shared" si="2"/>
        <v/>
      </c>
      <c r="J19" s="64"/>
      <c r="K19" s="64"/>
    </row>
    <row r="20" spans="1:11" ht="15.6">
      <c r="A20" s="49" t="str">
        <v>Jessup -7950 Oceano Ave</v>
      </c>
      <c r="B20" s="46" t="str">
        <v>MD</v>
      </c>
      <c r="C20" s="34"/>
      <c r="D20" s="35"/>
      <c r="E20" s="35"/>
      <c r="F20" s="36"/>
      <c r="G20" s="37"/>
      <c r="H20" s="37"/>
      <c r="I20" s="38"/>
      <c r="J20" s="70"/>
      <c r="K20" s="70"/>
    </row>
    <row r="21" spans="1:11" ht="14.45">
      <c r="A21" s="13" t="str">
        <v xml:space="preserve">TX: Fort Worth - 5200 Gold Spike Dr </v>
      </c>
      <c r="B21" s="18" t="str">
        <v>TX</v>
      </c>
      <c r="C21" s="13"/>
      <c r="D21" s="13"/>
      <c r="E21" s="13"/>
      <c r="F21" s="13"/>
      <c r="G21" s="13"/>
      <c r="H21" s="13"/>
      <c r="I21" s="13"/>
      <c r="J21" s="13"/>
      <c r="K21" s="13"/>
    </row>
    <row r="22" spans="1:11" ht="14.45">
      <c r="A22" s="13" t="str">
        <v>NY: Clifton Springs - Ontario 2 (21597)</v>
      </c>
      <c r="B22" s="18" t="str">
        <v>NY</v>
      </c>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4"/>
  <sheetViews>
    <sheetView workbookViewId="0">
      <pane xSplit="2" ySplit="3" topLeftCell="F14"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1" ht="19.5" customHeight="1">
      <c r="A1" s="100" t="str" cm="1">
        <f t="array" ref="A1">portfolio</f>
        <v>Catalyze</v>
      </c>
      <c r="B1" s="100"/>
      <c r="C1" s="100"/>
      <c r="D1" s="101" t="s">
        <v>309</v>
      </c>
      <c r="E1" s="101"/>
      <c r="F1" s="101"/>
      <c r="G1" s="99" t="s">
        <v>310</v>
      </c>
      <c r="H1" s="99"/>
      <c r="I1" s="99"/>
      <c r="J1" s="4"/>
      <c r="K1" s="4"/>
    </row>
    <row r="2" spans="1:11" ht="19.5" customHeight="1">
      <c r="A2" s="102" t="s">
        <v>2</v>
      </c>
      <c r="B2" s="102"/>
      <c r="C2" s="5">
        <f>SUM(C4:C92)</f>
        <v>0</v>
      </c>
      <c r="D2" s="5">
        <f>SUM(D4:D92)</f>
        <v>0</v>
      </c>
      <c r="E2" s="5">
        <f>C2-D2</f>
        <v>0</v>
      </c>
      <c r="F2" s="6">
        <f>IFERROR(E2/D2, 0)</f>
        <v>0</v>
      </c>
      <c r="G2" s="5">
        <f>SUM(G4:G92)</f>
        <v>0</v>
      </c>
      <c r="H2" s="7">
        <f>C2-G2</f>
        <v>0</v>
      </c>
      <c r="I2" s="6">
        <f>IFERROR(H2/G2, 0)</f>
        <v>0</v>
      </c>
      <c r="J2" s="1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2">Sites[Site]</f>
        <v>Fresno - 3150 Shaw Ave</v>
      </c>
      <c r="B4" s="46" t="str" cm="1">
        <f t="array" ref="B4:B22">Sites[State]</f>
        <v>CA</v>
      </c>
      <c r="C4" s="34"/>
      <c r="D4" s="35"/>
      <c r="E4" s="35" t="str">
        <f>IF(AND(ISNUMBER(C4),ISNUMBER(D4)), C4-D4, "")</f>
        <v/>
      </c>
      <c r="F4" s="36" t="str">
        <f>IFERROR(E4/D4, "")</f>
        <v/>
      </c>
      <c r="G4" s="37"/>
      <c r="H4" s="37" t="str">
        <f>IF(AND(ISNUMBER(C4),ISNUMBER(G4)), C4-G4, "")</f>
        <v/>
      </c>
      <c r="I4" s="38" t="str">
        <f>IFERROR(H4/G4, "")</f>
        <v/>
      </c>
      <c r="J4" s="70"/>
      <c r="K4" s="70"/>
    </row>
    <row r="5" spans="1:11" ht="15.6">
      <c r="A5" s="47" t="str">
        <v>Adelanto - 1 Sheep Creek Road</v>
      </c>
      <c r="B5" s="48" t="str">
        <v>CA</v>
      </c>
      <c r="C5" s="41"/>
      <c r="D5" s="42"/>
      <c r="E5" s="42" t="str">
        <f t="shared" ref="E5:E17" si="0">IF(AND(ISNUMBER(C5),ISNUMBER(D5)), C5-D5, "")</f>
        <v/>
      </c>
      <c r="F5" s="43" t="str">
        <f>IFERROR(E5/D5, "")</f>
        <v/>
      </c>
      <c r="G5" s="44"/>
      <c r="H5" s="44" t="str">
        <f t="shared" ref="H5:H17" si="1">IF(AND(ISNUMBER(C5),ISNUMBER(G5)), C5-G5, "")</f>
        <v/>
      </c>
      <c r="I5" s="43" t="str">
        <f t="shared" ref="I5:I15" si="2">IFERROR(H5/G5, "")</f>
        <v/>
      </c>
      <c r="J5" s="64"/>
      <c r="K5" s="64"/>
    </row>
    <row r="6" spans="1:11" ht="49.5" customHeight="1">
      <c r="A6" s="49" t="str">
        <v>Blackstone - 83 Federal Street</v>
      </c>
      <c r="B6" s="46" t="str">
        <v>MA</v>
      </c>
      <c r="C6" s="34"/>
      <c r="D6" s="35"/>
      <c r="E6" s="35" t="str">
        <f t="shared" si="0"/>
        <v/>
      </c>
      <c r="F6" s="36" t="str">
        <f t="shared" ref="F6:F17" si="3">IFERROR(E6/D6, "")</f>
        <v/>
      </c>
      <c r="G6" s="37"/>
      <c r="H6" s="37" t="str">
        <f t="shared" si="1"/>
        <v/>
      </c>
      <c r="I6" s="38" t="str">
        <f t="shared" si="2"/>
        <v/>
      </c>
      <c r="J6" s="70"/>
      <c r="K6" s="70"/>
    </row>
    <row r="7" spans="1:11" ht="15.6">
      <c r="A7" s="47" t="str">
        <v>Charlton - 299 Worcester Road</v>
      </c>
      <c r="B7" s="48" t="str">
        <v>MA</v>
      </c>
      <c r="C7" s="41"/>
      <c r="D7" s="42"/>
      <c r="E7" s="42" t="str">
        <f t="shared" si="0"/>
        <v/>
      </c>
      <c r="F7" s="43" t="str">
        <f t="shared" si="3"/>
        <v/>
      </c>
      <c r="G7" s="44"/>
      <c r="H7" s="44" t="str">
        <f t="shared" si="1"/>
        <v/>
      </c>
      <c r="I7" s="43" t="str">
        <f t="shared" si="2"/>
        <v/>
      </c>
      <c r="J7" s="64"/>
      <c r="K7" s="63"/>
    </row>
    <row r="8" spans="1:11" ht="15.6">
      <c r="A8" s="49" t="str">
        <v>Wareham - 8 Thatcher Drive</v>
      </c>
      <c r="B8" s="46" t="str">
        <v>MA</v>
      </c>
      <c r="C8" s="34"/>
      <c r="D8" s="35"/>
      <c r="E8" s="35" t="str">
        <f t="shared" si="0"/>
        <v/>
      </c>
      <c r="F8" s="36" t="str">
        <f t="shared" si="3"/>
        <v/>
      </c>
      <c r="G8" s="37"/>
      <c r="H8" s="37" t="str">
        <f t="shared" si="1"/>
        <v/>
      </c>
      <c r="I8" s="38" t="str">
        <f t="shared" si="2"/>
        <v/>
      </c>
      <c r="J8" s="70"/>
      <c r="K8" s="70"/>
    </row>
    <row r="9" spans="1:11" ht="15.6">
      <c r="A9" s="47" t="str">
        <v>West Yarmouth - 42 Mid Tech</v>
      </c>
      <c r="B9" s="48" t="str">
        <v>MA</v>
      </c>
      <c r="C9" s="41"/>
      <c r="D9" s="42"/>
      <c r="E9" s="42" t="str">
        <f t="shared" si="0"/>
        <v/>
      </c>
      <c r="F9" s="43" t="str">
        <f t="shared" si="3"/>
        <v/>
      </c>
      <c r="G9" s="44"/>
      <c r="H9" s="44" t="str">
        <f t="shared" si="1"/>
        <v/>
      </c>
      <c r="I9" s="43" t="str">
        <f t="shared" si="2"/>
        <v/>
      </c>
      <c r="J9" s="64"/>
      <c r="K9" s="83"/>
    </row>
    <row r="10" spans="1:11" ht="15.6">
      <c r="A10" s="49" t="str">
        <v>Harrison - 130 Union Street</v>
      </c>
      <c r="B10" s="46" t="str">
        <v>NY</v>
      </c>
      <c r="C10" s="34"/>
      <c r="D10" s="35"/>
      <c r="E10" s="35" t="str">
        <f t="shared" si="0"/>
        <v/>
      </c>
      <c r="F10" s="36" t="str">
        <f t="shared" si="3"/>
        <v/>
      </c>
      <c r="G10" s="37"/>
      <c r="H10" s="37" t="str">
        <f t="shared" si="1"/>
        <v/>
      </c>
      <c r="I10" s="38" t="str">
        <f t="shared" si="2"/>
        <v/>
      </c>
      <c r="J10" s="70"/>
      <c r="K10" s="70"/>
    </row>
    <row r="11" spans="1:11" ht="15.6">
      <c r="A11" s="47" t="str">
        <v>Staten Island - Ellis Storage</v>
      </c>
      <c r="B11" s="48" t="str">
        <v>NY</v>
      </c>
      <c r="C11" s="41"/>
      <c r="D11" s="42"/>
      <c r="E11" s="42" t="str">
        <f t="shared" si="0"/>
        <v/>
      </c>
      <c r="F11" s="43" t="str">
        <f t="shared" si="3"/>
        <v/>
      </c>
      <c r="G11" s="44"/>
      <c r="H11" s="44" t="str">
        <f t="shared" si="1"/>
        <v/>
      </c>
      <c r="I11" s="43" t="str">
        <f t="shared" si="2"/>
        <v/>
      </c>
      <c r="J11" s="64"/>
      <c r="K11" s="63"/>
    </row>
    <row r="12" spans="1:11" ht="123" customHeight="1">
      <c r="A12" s="49" t="str">
        <v>Amherst - 595 Scholles Road</v>
      </c>
      <c r="B12" s="46" t="str">
        <v>NY</v>
      </c>
      <c r="C12" s="34"/>
      <c r="D12" s="35"/>
      <c r="E12" s="35" t="str">
        <f t="shared" si="0"/>
        <v/>
      </c>
      <c r="F12" s="36" t="str">
        <f t="shared" si="3"/>
        <v/>
      </c>
      <c r="G12" s="37"/>
      <c r="H12" s="37" t="str">
        <f t="shared" si="1"/>
        <v/>
      </c>
      <c r="I12" s="38" t="str">
        <f t="shared" si="2"/>
        <v/>
      </c>
      <c r="J12" s="70"/>
      <c r="K12" s="70"/>
    </row>
    <row r="13" spans="1:11" ht="15.6">
      <c r="A13" s="47" t="str">
        <v>Lancaster 1 - Gunnville Road</v>
      </c>
      <c r="B13" s="48" t="str">
        <v>NY</v>
      </c>
      <c r="C13" s="41"/>
      <c r="D13" s="42"/>
      <c r="E13" s="42" t="str">
        <f t="shared" si="0"/>
        <v/>
      </c>
      <c r="F13" s="43" t="str">
        <f t="shared" si="3"/>
        <v/>
      </c>
      <c r="G13" s="44"/>
      <c r="H13" s="44" t="str">
        <f t="shared" si="1"/>
        <v/>
      </c>
      <c r="I13" s="43" t="str">
        <f t="shared" si="2"/>
        <v/>
      </c>
      <c r="J13" s="64"/>
      <c r="K13" s="83"/>
    </row>
    <row r="14" spans="1:11" ht="15.6">
      <c r="A14" s="49" t="str">
        <v>Lancaster 2 - Shisler Road</v>
      </c>
      <c r="B14" s="46" t="str">
        <v>NY</v>
      </c>
      <c r="C14" s="34"/>
      <c r="D14" s="35"/>
      <c r="E14" s="35" t="str">
        <f t="shared" si="0"/>
        <v/>
      </c>
      <c r="F14" s="36" t="str">
        <f t="shared" si="3"/>
        <v/>
      </c>
      <c r="G14" s="37"/>
      <c r="H14" s="37" t="str">
        <f t="shared" si="1"/>
        <v/>
      </c>
      <c r="I14" s="38" t="str">
        <f t="shared" si="2"/>
        <v/>
      </c>
      <c r="J14" s="70"/>
      <c r="K14" s="70"/>
    </row>
    <row r="15" spans="1:11" ht="37.5" customHeight="1">
      <c r="A15" s="47" t="str">
        <v>Fullerton - 200 W Orangethorpe</v>
      </c>
      <c r="B15" s="48" t="str">
        <v>CA</v>
      </c>
      <c r="C15" s="41"/>
      <c r="D15" s="42"/>
      <c r="E15" s="42" t="str">
        <f t="shared" si="0"/>
        <v/>
      </c>
      <c r="F15" s="43" t="str">
        <f t="shared" si="3"/>
        <v/>
      </c>
      <c r="G15" s="44"/>
      <c r="H15" s="44" t="str">
        <f t="shared" si="1"/>
        <v/>
      </c>
      <c r="I15" s="43" t="str">
        <f t="shared" si="2"/>
        <v/>
      </c>
      <c r="J15" s="64"/>
      <c r="K15" s="83"/>
    </row>
    <row r="16" spans="1:11" ht="15.6">
      <c r="A16" s="49" t="str">
        <v>El Paso - 10500 Railroad Drive</v>
      </c>
      <c r="B16" s="46" t="str">
        <v>TX</v>
      </c>
      <c r="C16" s="34"/>
      <c r="D16" s="35"/>
      <c r="E16" s="35" t="str">
        <f t="shared" si="0"/>
        <v/>
      </c>
      <c r="F16" s="36" t="str">
        <f t="shared" si="3"/>
        <v/>
      </c>
      <c r="G16" s="37"/>
      <c r="H16" s="37" t="str">
        <f>IF(AND(ISNUMBER(C16),ISNUMBER(G16)), C16-G16, "")</f>
        <v/>
      </c>
      <c r="I16" s="38" t="str">
        <f>IFERROR(H16/G16, "")</f>
        <v/>
      </c>
      <c r="J16" s="70"/>
      <c r="K16" s="70"/>
    </row>
    <row r="17" spans="1:11" ht="15.6">
      <c r="A17" s="47" t="str">
        <v>Friona - 900 Millard Ave</v>
      </c>
      <c r="B17" s="48" t="str">
        <v>TX</v>
      </c>
      <c r="C17" s="41"/>
      <c r="D17" s="42"/>
      <c r="E17" s="42" t="str">
        <f t="shared" si="0"/>
        <v/>
      </c>
      <c r="F17" s="43" t="str">
        <f t="shared" si="3"/>
        <v/>
      </c>
      <c r="G17" s="44"/>
      <c r="H17" s="44" t="str">
        <f t="shared" si="1"/>
        <v/>
      </c>
      <c r="I17" s="43" t="str">
        <f>IFERROR(H17/G17, "")</f>
        <v/>
      </c>
      <c r="J17" s="64"/>
      <c r="K17" s="83"/>
    </row>
    <row r="18" spans="1:11" ht="15.6">
      <c r="A18" s="49" t="str">
        <v>Augusta - 13 York Farm Road</v>
      </c>
      <c r="B18" s="46" t="str">
        <v>ME</v>
      </c>
      <c r="C18" s="34"/>
      <c r="D18" s="35"/>
      <c r="E18" s="35" t="str">
        <f>IF(AND(ISNUMBER(C18),ISNUMBER(D18)), C18-D18, "")</f>
        <v/>
      </c>
      <c r="F18" s="36" t="str">
        <f>IFERROR(E18/D18, "")</f>
        <v/>
      </c>
      <c r="G18" s="37"/>
      <c r="H18" s="37" t="str">
        <f>IF(AND(ISNUMBER(C18),ISNUMBER(G18)), C18-G18, "")</f>
        <v/>
      </c>
      <c r="I18" s="38" t="str">
        <f>IFERROR(H18/G18, "")</f>
        <v/>
      </c>
      <c r="J18" s="70"/>
      <c r="K18" s="70"/>
    </row>
    <row r="19" spans="1:11" ht="15.6">
      <c r="A19" s="47" t="str">
        <v xml:space="preserve">Santa Ana - 1441 West </v>
      </c>
      <c r="B19" s="48" t="str">
        <v>CA</v>
      </c>
      <c r="C19" s="41"/>
      <c r="D19" s="42"/>
      <c r="E19" s="42" t="str">
        <f>IF(AND(ISNUMBER(C19),ISNUMBER(D19)), C19-D19, "")</f>
        <v/>
      </c>
      <c r="F19" s="43" t="str">
        <f>IFERROR(E19/D19, "")</f>
        <v/>
      </c>
      <c r="G19" s="44"/>
      <c r="H19" s="44" t="str">
        <f>IF(AND(ISNUMBER(C19),ISNUMBER(G19)), C19-G19, "")</f>
        <v/>
      </c>
      <c r="I19" s="43" t="str">
        <f>IFERROR(H19/G19, "")</f>
        <v/>
      </c>
      <c r="J19" s="64"/>
      <c r="K19" s="83"/>
    </row>
    <row r="20" spans="1:11" ht="15.6">
      <c r="A20" s="49" t="str">
        <v>Jessup -7950 Oceano Ave</v>
      </c>
      <c r="B20" s="46" t="str">
        <v>MD</v>
      </c>
      <c r="C20" s="34"/>
      <c r="D20" s="35"/>
      <c r="E20" s="35" t="str">
        <f>IF(AND(ISNUMBER(C20),ISNUMBER(D20)), C20-D20, "")</f>
        <v/>
      </c>
      <c r="F20" s="36" t="str">
        <f>IFERROR(E20/D20, "")</f>
        <v/>
      </c>
      <c r="G20" s="37"/>
      <c r="H20" s="37" t="str">
        <f>IF(AND(ISNUMBER(C20),ISNUMBER(G20)), C20-G20, "")</f>
        <v/>
      </c>
      <c r="I20" s="38" t="str">
        <f>IFERROR(H20/G20, "")</f>
        <v/>
      </c>
      <c r="J20" s="70"/>
      <c r="K20" s="55"/>
    </row>
    <row r="21" spans="1:11" ht="14.45">
      <c r="A21" s="13" t="str">
        <v xml:space="preserve">TX: Fort Worth - 5200 Gold Spike Dr </v>
      </c>
      <c r="B21" s="18" t="str">
        <v>TX</v>
      </c>
      <c r="C21" s="13"/>
      <c r="D21" s="13"/>
      <c r="E21" s="13"/>
      <c r="F21" s="13"/>
      <c r="G21" s="13"/>
      <c r="H21" s="13"/>
      <c r="I21" s="13"/>
      <c r="J21" s="13"/>
      <c r="K21" s="13"/>
    </row>
    <row r="22" spans="1:11" ht="14.45">
      <c r="A22" s="13" t="str">
        <v>NY: Clifton Springs - Ontario 2 (21597)</v>
      </c>
      <c r="B22" s="18" t="str">
        <v>NY</v>
      </c>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4"/>
  <sheetViews>
    <sheetView zoomScale="70" zoomScaleNormal="70" workbookViewId="0">
      <pane xSplit="2" ySplit="3" topLeftCell="C12"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9"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1" ht="19.5" customHeight="1">
      <c r="A1" s="100" t="str" cm="1">
        <f t="array" ref="A1">portfolio</f>
        <v>Catalyze</v>
      </c>
      <c r="B1" s="100"/>
      <c r="C1" s="100"/>
      <c r="D1" s="101" t="s">
        <v>311</v>
      </c>
      <c r="E1" s="101"/>
      <c r="F1" s="101"/>
      <c r="G1" s="99" t="s">
        <v>312</v>
      </c>
      <c r="H1" s="99"/>
      <c r="I1" s="99"/>
      <c r="J1" s="4"/>
      <c r="K1" s="4"/>
    </row>
    <row r="2" spans="1:11" ht="19.5" customHeight="1">
      <c r="A2" s="102" t="s">
        <v>2</v>
      </c>
      <c r="B2" s="102"/>
      <c r="C2" s="5">
        <f>SUM(C4:C92)</f>
        <v>0</v>
      </c>
      <c r="D2" s="5">
        <f>SUM(D4:D92)</f>
        <v>0</v>
      </c>
      <c r="E2" s="5">
        <f>C2-D2</f>
        <v>0</v>
      </c>
      <c r="F2" s="6">
        <f>IFERROR(E2/D2, 0)</f>
        <v>0</v>
      </c>
      <c r="G2" s="5">
        <f>SUM(G4:G92)</f>
        <v>0</v>
      </c>
      <c r="H2" s="7">
        <f>C2-G2</f>
        <v>0</v>
      </c>
      <c r="I2" s="6">
        <f>IFERROR(H2/G2, 0)</f>
        <v>0</v>
      </c>
      <c r="J2" s="1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6">
      <c r="A4" s="45" t="str" cm="1">
        <f t="array" ref="A4:A22">Sites[Site]</f>
        <v>Fresno - 3150 Shaw Ave</v>
      </c>
      <c r="B4" s="46" t="str" cm="1">
        <f t="array" ref="B4:B22">Sites[State]</f>
        <v>CA</v>
      </c>
      <c r="C4" s="34"/>
      <c r="D4" s="35"/>
      <c r="E4" s="35" t="str">
        <f>IF(AND(ISNUMBER(C4),ISNUMBER(D4)), C4-D4, "")</f>
        <v/>
      </c>
      <c r="F4" s="36" t="str">
        <f>IFERROR(E4/D4, "")</f>
        <v/>
      </c>
      <c r="G4" s="37"/>
      <c r="H4" s="37" t="str">
        <f>IF(AND(ISNUMBER(C4),ISNUMBER(G4)), C4-G4, "")</f>
        <v/>
      </c>
      <c r="I4" s="38" t="str">
        <f>IFERROR(H4/G4, "")</f>
        <v/>
      </c>
      <c r="J4" s="55"/>
      <c r="K4" s="55"/>
    </row>
    <row r="5" spans="1:11" ht="15.6">
      <c r="A5" s="47" t="str">
        <v>Adelanto - 1 Sheep Creek Road</v>
      </c>
      <c r="B5" s="48" t="str">
        <v>CA</v>
      </c>
      <c r="C5" s="41"/>
      <c r="D5" s="42"/>
      <c r="E5" s="42" t="str">
        <f t="shared" ref="E5:E20" si="0">IF(AND(ISNUMBER(C5),ISNUMBER(D5)), C5-D5, "")</f>
        <v/>
      </c>
      <c r="F5" s="43" t="str">
        <f t="shared" ref="F5:F20" si="1">IFERROR(E5/D5, "")</f>
        <v/>
      </c>
      <c r="G5" s="44"/>
      <c r="H5" s="44" t="str">
        <f t="shared" ref="H5:H20" si="2">IF(AND(ISNUMBER(C5),ISNUMBER(G5)), C5-G5, "")</f>
        <v/>
      </c>
      <c r="I5" s="43" t="str">
        <f t="shared" ref="I5:I20" si="3">IFERROR(H5/G5, "")</f>
        <v/>
      </c>
      <c r="J5" s="64"/>
      <c r="K5" s="64"/>
    </row>
    <row r="6" spans="1:11" ht="15.6">
      <c r="A6" s="49" t="str">
        <v>Blackstone - 83 Federal Street</v>
      </c>
      <c r="B6" s="46" t="str">
        <v>MA</v>
      </c>
      <c r="C6" s="34"/>
      <c r="D6" s="35"/>
      <c r="E6" s="35" t="str">
        <f t="shared" si="0"/>
        <v/>
      </c>
      <c r="F6" s="36" t="str">
        <f t="shared" si="1"/>
        <v/>
      </c>
      <c r="G6" s="37"/>
      <c r="H6" s="37" t="str">
        <f t="shared" si="2"/>
        <v/>
      </c>
      <c r="I6" s="38" t="str">
        <f t="shared" si="3"/>
        <v/>
      </c>
      <c r="J6" s="55"/>
      <c r="K6" s="55"/>
    </row>
    <row r="7" spans="1:11" ht="15.6">
      <c r="A7" s="47" t="str">
        <v>Charlton - 299 Worcester Road</v>
      </c>
      <c r="B7" s="48" t="str">
        <v>MA</v>
      </c>
      <c r="C7" s="41"/>
      <c r="D7" s="42"/>
      <c r="E7" s="42" t="str">
        <f t="shared" si="0"/>
        <v/>
      </c>
      <c r="F7" s="43" t="str">
        <f t="shared" si="1"/>
        <v/>
      </c>
      <c r="G7" s="44"/>
      <c r="H7" s="44" t="str">
        <f t="shared" si="2"/>
        <v/>
      </c>
      <c r="I7" s="43" t="str">
        <f t="shared" si="3"/>
        <v/>
      </c>
      <c r="J7" s="64"/>
      <c r="K7" s="64"/>
    </row>
    <row r="8" spans="1:11" ht="15.6">
      <c r="A8" s="49" t="str">
        <v>Wareham - 8 Thatcher Drive</v>
      </c>
      <c r="B8" s="46" t="str">
        <v>MA</v>
      </c>
      <c r="C8" s="34"/>
      <c r="D8" s="35"/>
      <c r="E8" s="35" t="str">
        <f t="shared" si="0"/>
        <v/>
      </c>
      <c r="F8" s="36" t="str">
        <f t="shared" si="1"/>
        <v/>
      </c>
      <c r="G8" s="37"/>
      <c r="H8" s="37" t="str">
        <f t="shared" si="2"/>
        <v/>
      </c>
      <c r="I8" s="38" t="str">
        <f t="shared" si="3"/>
        <v/>
      </c>
      <c r="J8" s="55"/>
      <c r="K8" s="55"/>
    </row>
    <row r="9" spans="1:11" ht="15.6">
      <c r="A9" s="47" t="str">
        <v>West Yarmouth - 42 Mid Tech</v>
      </c>
      <c r="B9" s="48" t="str">
        <v>MA</v>
      </c>
      <c r="C9" s="41"/>
      <c r="D9" s="42"/>
      <c r="E9" s="42" t="str">
        <f t="shared" si="0"/>
        <v/>
      </c>
      <c r="F9" s="43" t="str">
        <f t="shared" si="1"/>
        <v/>
      </c>
      <c r="G9" s="44"/>
      <c r="H9" s="44" t="str">
        <f t="shared" si="2"/>
        <v/>
      </c>
      <c r="I9" s="43" t="str">
        <f t="shared" si="3"/>
        <v/>
      </c>
      <c r="J9" s="64"/>
      <c r="K9" s="64"/>
    </row>
    <row r="10" spans="1:11" ht="15.6">
      <c r="A10" s="49" t="str">
        <v>Harrison - 130 Union Street</v>
      </c>
      <c r="B10" s="46" t="str">
        <v>NY</v>
      </c>
      <c r="C10" s="34"/>
      <c r="D10" s="35"/>
      <c r="E10" s="35" t="str">
        <f t="shared" si="0"/>
        <v/>
      </c>
      <c r="F10" s="36" t="str">
        <f t="shared" si="1"/>
        <v/>
      </c>
      <c r="G10" s="37"/>
      <c r="H10" s="37" t="str">
        <f t="shared" si="2"/>
        <v/>
      </c>
      <c r="I10" s="38" t="str">
        <f t="shared" si="3"/>
        <v/>
      </c>
      <c r="J10" s="55"/>
      <c r="K10" s="55"/>
    </row>
    <row r="11" spans="1:11" ht="15.6">
      <c r="A11" s="47" t="str">
        <v>Staten Island - Ellis Storage</v>
      </c>
      <c r="B11" s="48" t="str">
        <v>NY</v>
      </c>
      <c r="C11" s="41"/>
      <c r="D11" s="42"/>
      <c r="E11" s="42" t="str">
        <f t="shared" si="0"/>
        <v/>
      </c>
      <c r="F11" s="43" t="str">
        <f t="shared" si="1"/>
        <v/>
      </c>
      <c r="G11" s="44"/>
      <c r="H11" s="44" t="str">
        <f t="shared" si="2"/>
        <v/>
      </c>
      <c r="I11" s="43" t="str">
        <f t="shared" si="3"/>
        <v/>
      </c>
      <c r="J11" s="64"/>
      <c r="K11" s="64"/>
    </row>
    <row r="12" spans="1:11" ht="15.6">
      <c r="A12" s="49" t="str">
        <v>Amherst - 595 Scholles Road</v>
      </c>
      <c r="B12" s="46" t="str">
        <v>NY</v>
      </c>
      <c r="C12" s="34"/>
      <c r="D12" s="35"/>
      <c r="E12" s="35" t="str">
        <f t="shared" si="0"/>
        <v/>
      </c>
      <c r="F12" s="36" t="str">
        <f t="shared" si="1"/>
        <v/>
      </c>
      <c r="G12" s="37"/>
      <c r="H12" s="37" t="str">
        <f t="shared" si="2"/>
        <v/>
      </c>
      <c r="I12" s="38" t="str">
        <f t="shared" si="3"/>
        <v/>
      </c>
      <c r="J12" s="55"/>
      <c r="K12" s="55"/>
    </row>
    <row r="13" spans="1:11" ht="15.6">
      <c r="A13" s="47" t="str">
        <v>Lancaster 1 - Gunnville Road</v>
      </c>
      <c r="B13" s="48" t="str">
        <v>NY</v>
      </c>
      <c r="C13" s="41"/>
      <c r="D13" s="42"/>
      <c r="E13" s="42" t="str">
        <f t="shared" si="0"/>
        <v/>
      </c>
      <c r="F13" s="43" t="str">
        <f t="shared" si="1"/>
        <v/>
      </c>
      <c r="G13" s="44"/>
      <c r="H13" s="44" t="str">
        <f t="shared" si="2"/>
        <v/>
      </c>
      <c r="I13" s="43" t="str">
        <f t="shared" si="3"/>
        <v/>
      </c>
      <c r="J13" s="64"/>
      <c r="K13" s="64"/>
    </row>
    <row r="14" spans="1:11" ht="93.75" customHeight="1">
      <c r="A14" s="49" t="str">
        <v>Lancaster 2 - Shisler Road</v>
      </c>
      <c r="B14" s="46" t="str">
        <v>NY</v>
      </c>
      <c r="C14" s="34"/>
      <c r="D14" s="35"/>
      <c r="E14" s="35" t="str">
        <f t="shared" si="0"/>
        <v/>
      </c>
      <c r="F14" s="36" t="str">
        <f t="shared" si="1"/>
        <v/>
      </c>
      <c r="G14" s="37"/>
      <c r="H14" s="37" t="str">
        <f t="shared" si="2"/>
        <v/>
      </c>
      <c r="I14" s="38" t="str">
        <f t="shared" si="3"/>
        <v/>
      </c>
      <c r="J14" s="55"/>
      <c r="K14" s="55"/>
    </row>
    <row r="15" spans="1:11" ht="15.6">
      <c r="A15" s="47" t="str">
        <v>Fullerton - 200 W Orangethorpe</v>
      </c>
      <c r="B15" s="48" t="str">
        <v>CA</v>
      </c>
      <c r="C15" s="41"/>
      <c r="D15" s="42"/>
      <c r="E15" s="42" t="str">
        <f t="shared" si="0"/>
        <v/>
      </c>
      <c r="F15" s="43" t="str">
        <f t="shared" si="1"/>
        <v/>
      </c>
      <c r="G15" s="44"/>
      <c r="H15" s="44" t="str">
        <f t="shared" si="2"/>
        <v/>
      </c>
      <c r="I15" s="43" t="str">
        <f t="shared" si="3"/>
        <v/>
      </c>
      <c r="J15" s="64"/>
      <c r="K15" s="64"/>
    </row>
    <row r="16" spans="1:11" ht="15.6">
      <c r="A16" s="49" t="str">
        <v>El Paso - 10500 Railroad Drive</v>
      </c>
      <c r="B16" s="46" t="str">
        <v>TX</v>
      </c>
      <c r="C16" s="34"/>
      <c r="D16" s="35"/>
      <c r="E16" s="35" t="str">
        <f t="shared" si="0"/>
        <v/>
      </c>
      <c r="F16" s="36" t="str">
        <f t="shared" si="1"/>
        <v/>
      </c>
      <c r="G16" s="37"/>
      <c r="H16" s="37" t="str">
        <f t="shared" si="2"/>
        <v/>
      </c>
      <c r="I16" s="38" t="str">
        <f t="shared" si="3"/>
        <v/>
      </c>
      <c r="J16" s="55"/>
      <c r="K16" s="55"/>
    </row>
    <row r="17" spans="1:11" ht="15.6">
      <c r="A17" s="47" t="str">
        <v>Friona - 900 Millard Ave</v>
      </c>
      <c r="B17" s="48" t="str">
        <v>TX</v>
      </c>
      <c r="C17" s="41"/>
      <c r="D17" s="42"/>
      <c r="E17" s="42" t="str">
        <f t="shared" si="0"/>
        <v/>
      </c>
      <c r="F17" s="43" t="str">
        <f t="shared" si="1"/>
        <v/>
      </c>
      <c r="G17" s="44"/>
      <c r="H17" s="44" t="str">
        <f t="shared" si="2"/>
        <v/>
      </c>
      <c r="I17" s="43" t="str">
        <f t="shared" si="3"/>
        <v/>
      </c>
      <c r="J17" s="64"/>
      <c r="K17" s="64"/>
    </row>
    <row r="18" spans="1:11" ht="15.6">
      <c r="A18" s="49" t="str">
        <v>Augusta - 13 York Farm Road</v>
      </c>
      <c r="B18" s="46" t="str">
        <v>ME</v>
      </c>
      <c r="C18" s="34"/>
      <c r="D18" s="35"/>
      <c r="E18" s="35" t="str">
        <f t="shared" si="0"/>
        <v/>
      </c>
      <c r="F18" s="36" t="str">
        <f t="shared" si="1"/>
        <v/>
      </c>
      <c r="G18" s="37"/>
      <c r="H18" s="37" t="str">
        <f t="shared" si="2"/>
        <v/>
      </c>
      <c r="I18" s="38" t="str">
        <f t="shared" si="3"/>
        <v/>
      </c>
      <c r="J18" s="70"/>
      <c r="K18" s="70"/>
    </row>
    <row r="19" spans="1:11" ht="15.6">
      <c r="A19" s="47" t="str">
        <v xml:space="preserve">Santa Ana - 1441 West </v>
      </c>
      <c r="B19" s="48" t="str">
        <v>CA</v>
      </c>
      <c r="C19" s="41"/>
      <c r="D19" s="42"/>
      <c r="E19" s="42" t="str">
        <f t="shared" si="0"/>
        <v/>
      </c>
      <c r="F19" s="43" t="str">
        <f t="shared" si="1"/>
        <v/>
      </c>
      <c r="G19" s="44"/>
      <c r="H19" s="44" t="str">
        <f t="shared" si="2"/>
        <v/>
      </c>
      <c r="I19" s="43" t="str">
        <f t="shared" si="3"/>
        <v/>
      </c>
      <c r="J19" s="64"/>
      <c r="K19" s="83"/>
    </row>
    <row r="20" spans="1:11" ht="15.6">
      <c r="A20" s="49" t="str">
        <v>Jessup -7950 Oceano Ave</v>
      </c>
      <c r="B20" s="46" t="str">
        <v>MD</v>
      </c>
      <c r="C20" s="34"/>
      <c r="D20" s="35"/>
      <c r="E20" s="35" t="str">
        <f t="shared" si="0"/>
        <v/>
      </c>
      <c r="F20" s="36" t="str">
        <f t="shared" si="1"/>
        <v/>
      </c>
      <c r="G20" s="37"/>
      <c r="H20" s="37" t="str">
        <f t="shared" si="2"/>
        <v/>
      </c>
      <c r="I20" s="38" t="str">
        <f t="shared" si="3"/>
        <v/>
      </c>
      <c r="J20" s="55"/>
      <c r="K20" s="55"/>
    </row>
    <row r="21" spans="1:11" ht="14.45">
      <c r="A21" s="13" t="str">
        <v xml:space="preserve">TX: Fort Worth - 5200 Gold Spike Dr </v>
      </c>
      <c r="B21" s="18" t="str">
        <v>TX</v>
      </c>
      <c r="C21" s="13"/>
      <c r="D21" s="13"/>
      <c r="E21" s="13"/>
      <c r="F21" s="13"/>
      <c r="G21" s="13"/>
      <c r="H21" s="13"/>
      <c r="I21" s="13"/>
      <c r="J21" s="13"/>
      <c r="K21" s="13"/>
    </row>
    <row r="22" spans="1:11" ht="14.45">
      <c r="A22" s="13" t="str">
        <v>NY: Clifton Springs - Ontario 2 (21597)</v>
      </c>
      <c r="B22" s="18" t="str">
        <v>NY</v>
      </c>
      <c r="C22" s="13"/>
      <c r="D22" s="13"/>
      <c r="E22" s="13"/>
      <c r="F22" s="13"/>
      <c r="G22" s="13"/>
      <c r="H22" s="13"/>
      <c r="I22" s="13"/>
      <c r="J22" s="13"/>
      <c r="K22" s="13"/>
    </row>
    <row r="23" spans="1:11" ht="14.45">
      <c r="A23" s="13"/>
      <c r="B23" s="18"/>
      <c r="C23" s="13"/>
      <c r="D23" s="13"/>
      <c r="E23" s="13"/>
      <c r="F23" s="13"/>
      <c r="G23" s="13"/>
      <c r="H23" s="13"/>
      <c r="I23" s="13"/>
      <c r="J23" s="13"/>
      <c r="K23" s="13"/>
    </row>
    <row r="24" spans="1:11" ht="14.45">
      <c r="A24" s="13"/>
      <c r="B24" s="18"/>
      <c r="C24" s="13"/>
      <c r="D24" s="13"/>
      <c r="E24" s="13"/>
      <c r="F24" s="13"/>
      <c r="G24" s="13"/>
      <c r="H24" s="13"/>
      <c r="I24" s="13"/>
      <c r="J24" s="13"/>
      <c r="K24" s="13"/>
    </row>
    <row r="25" spans="1:11" ht="14.45">
      <c r="A25" s="13"/>
      <c r="B25" s="18"/>
      <c r="C25" s="13"/>
      <c r="D25" s="13"/>
      <c r="E25" s="13"/>
      <c r="F25" s="14"/>
      <c r="G25" s="13"/>
      <c r="H25" s="13"/>
      <c r="I25" s="14"/>
      <c r="J25" s="13"/>
      <c r="K25" s="13"/>
    </row>
    <row r="26" spans="1:11" ht="14.45">
      <c r="A26" s="13"/>
      <c r="B26" s="18"/>
      <c r="C26" s="13"/>
      <c r="D26" s="13"/>
      <c r="E26" s="13"/>
      <c r="F26" s="14"/>
      <c r="G26" s="13"/>
      <c r="H26" s="13"/>
      <c r="I26" s="14"/>
      <c r="J26" s="13"/>
      <c r="K26" s="13"/>
    </row>
    <row r="27" spans="1:11" ht="14.45">
      <c r="A27" s="13"/>
      <c r="B27" s="18"/>
      <c r="C27" s="13"/>
      <c r="D27" s="13"/>
      <c r="E27" s="13"/>
      <c r="F27" s="14"/>
      <c r="G27" s="13"/>
      <c r="H27" s="13"/>
      <c r="I27" s="14"/>
      <c r="J27" s="13"/>
      <c r="K27" s="13"/>
    </row>
    <row r="28" spans="1:11" ht="14.45">
      <c r="A28" s="13"/>
      <c r="B28" s="18"/>
      <c r="C28" s="13"/>
      <c r="D28" s="13"/>
      <c r="E28" s="13"/>
      <c r="F28" s="14"/>
      <c r="G28" s="13"/>
      <c r="H28" s="13"/>
      <c r="I28" s="14"/>
      <c r="J28" s="13"/>
      <c r="K28" s="13"/>
    </row>
    <row r="29" spans="1:11" ht="14.45">
      <c r="A29" s="13"/>
      <c r="B29" s="18"/>
      <c r="C29" s="13"/>
      <c r="D29" s="13"/>
      <c r="E29" s="13"/>
      <c r="F29" s="14"/>
      <c r="G29" s="13"/>
      <c r="H29" s="13"/>
      <c r="I29" s="14"/>
      <c r="J29" s="13"/>
      <c r="K29" s="13"/>
    </row>
    <row r="30" spans="1:11" ht="14.45">
      <c r="A30" s="13"/>
      <c r="B30" s="18"/>
      <c r="C30" s="13"/>
      <c r="D30" s="13"/>
      <c r="E30" s="13"/>
      <c r="F30" s="14"/>
      <c r="G30" s="13"/>
      <c r="H30" s="13"/>
      <c r="I30" s="14"/>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6" priority="19" stopIfTrue="1" operator="lessThanOrEqual">
      <formula>-0.1</formula>
    </cfRule>
    <cfRule type="expression" dxfId="5" priority="20">
      <formula>AND(ISNUMBER(F2), F2&gt;=0.1)</formula>
    </cfRule>
  </conditionalFormatting>
  <conditionalFormatting sqref="F4:F92 I4:I92">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23"/>
  <sheetViews>
    <sheetView workbookViewId="0">
      <pane ySplit="3" topLeftCell="A4" activePane="bottomLeft" state="frozen"/>
      <selection pane="bottomLeft" activeCell="D22" sqref="D22"/>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313</v>
      </c>
      <c r="B1" t="s">
        <v>314</v>
      </c>
    </row>
    <row r="3" spans="1:12" ht="13.15">
      <c r="A3" t="s">
        <v>315</v>
      </c>
      <c r="B3" t="s">
        <v>3</v>
      </c>
      <c r="C3" t="s">
        <v>4</v>
      </c>
      <c r="D3" t="s">
        <v>316</v>
      </c>
      <c r="E3" s="2" t="s">
        <v>317</v>
      </c>
    </row>
    <row r="4" spans="1:12" ht="14.45">
      <c r="A4" s="24" t="s">
        <v>318</v>
      </c>
      <c r="B4" t="s">
        <v>319</v>
      </c>
      <c r="C4" s="23" t="s">
        <v>320</v>
      </c>
      <c r="D4" s="22" t="s">
        <v>321</v>
      </c>
      <c r="E4" t="s">
        <v>322</v>
      </c>
      <c r="G4" s="3"/>
    </row>
    <row r="5" spans="1:12" ht="14.45">
      <c r="A5" s="24" t="s">
        <v>323</v>
      </c>
      <c r="B5" t="s">
        <v>324</v>
      </c>
      <c r="C5" s="23" t="s">
        <v>320</v>
      </c>
      <c r="D5" s="22"/>
      <c r="E5" t="s">
        <v>325</v>
      </c>
      <c r="G5" s="3"/>
    </row>
    <row r="6" spans="1:12" ht="14.45">
      <c r="A6" s="24" t="s">
        <v>326</v>
      </c>
      <c r="B6" t="s">
        <v>327</v>
      </c>
      <c r="C6" s="23" t="s">
        <v>328</v>
      </c>
      <c r="D6" s="22" t="s">
        <v>321</v>
      </c>
      <c r="E6" t="s">
        <v>322</v>
      </c>
      <c r="G6" s="3"/>
    </row>
    <row r="7" spans="1:12" ht="12.75" customHeight="1">
      <c r="A7" s="24" t="s">
        <v>329</v>
      </c>
      <c r="B7" t="s">
        <v>330</v>
      </c>
      <c r="C7" s="23" t="s">
        <v>328</v>
      </c>
      <c r="D7" s="22" t="s">
        <v>321</v>
      </c>
      <c r="E7" t="s">
        <v>322</v>
      </c>
    </row>
    <row r="8" spans="1:12" ht="12.75" customHeight="1">
      <c r="A8" s="24" t="s">
        <v>331</v>
      </c>
      <c r="B8" t="s">
        <v>332</v>
      </c>
      <c r="C8" s="23" t="s">
        <v>328</v>
      </c>
      <c r="D8" s="22" t="s">
        <v>321</v>
      </c>
      <c r="E8" t="s">
        <v>322</v>
      </c>
    </row>
    <row r="9" spans="1:12" ht="12.75" customHeight="1">
      <c r="A9" s="24" t="s">
        <v>333</v>
      </c>
      <c r="B9" t="s">
        <v>334</v>
      </c>
      <c r="C9" s="23" t="s">
        <v>328</v>
      </c>
      <c r="D9" s="22" t="s">
        <v>321</v>
      </c>
      <c r="E9" t="s">
        <v>322</v>
      </c>
    </row>
    <row r="10" spans="1:12" ht="12.75" customHeight="1">
      <c r="A10" s="24" t="s">
        <v>335</v>
      </c>
      <c r="B10" t="s">
        <v>336</v>
      </c>
      <c r="C10" s="23" t="s">
        <v>337</v>
      </c>
      <c r="D10" s="22" t="s">
        <v>321</v>
      </c>
      <c r="E10" t="s">
        <v>322</v>
      </c>
      <c r="K10" s="20"/>
      <c r="L10" s="20"/>
    </row>
    <row r="11" spans="1:12" ht="12.75" customHeight="1">
      <c r="A11" s="24" t="s">
        <v>338</v>
      </c>
      <c r="B11" t="s">
        <v>339</v>
      </c>
      <c r="C11" s="23" t="s">
        <v>337</v>
      </c>
      <c r="D11" s="22" t="s">
        <v>321</v>
      </c>
      <c r="E11" t="s">
        <v>322</v>
      </c>
      <c r="K11" s="20"/>
      <c r="L11" s="20"/>
    </row>
    <row r="12" spans="1:12" ht="12.75" customHeight="1">
      <c r="A12" s="24" t="s">
        <v>340</v>
      </c>
      <c r="B12" t="s">
        <v>341</v>
      </c>
      <c r="C12" s="23" t="s">
        <v>337</v>
      </c>
      <c r="D12" s="22" t="s">
        <v>321</v>
      </c>
      <c r="E12" t="s">
        <v>325</v>
      </c>
      <c r="K12" s="20"/>
      <c r="L12" s="20"/>
    </row>
    <row r="13" spans="1:12" ht="12.75" customHeight="1">
      <c r="A13" s="24" t="s">
        <v>342</v>
      </c>
      <c r="B13" t="s">
        <v>343</v>
      </c>
      <c r="C13" s="23" t="s">
        <v>337</v>
      </c>
      <c r="D13" s="22" t="s">
        <v>321</v>
      </c>
      <c r="E13" t="s">
        <v>322</v>
      </c>
      <c r="K13" s="20"/>
      <c r="L13" s="20"/>
    </row>
    <row r="14" spans="1:12" ht="12.75" customHeight="1">
      <c r="A14" s="24" t="s">
        <v>344</v>
      </c>
      <c r="B14" t="s">
        <v>345</v>
      </c>
      <c r="C14" s="23" t="s">
        <v>337</v>
      </c>
      <c r="D14" s="22" t="s">
        <v>321</v>
      </c>
      <c r="E14" t="s">
        <v>322</v>
      </c>
      <c r="K14" s="20"/>
      <c r="L14" s="20"/>
    </row>
    <row r="15" spans="1:12" ht="12.75" customHeight="1">
      <c r="A15" s="24" t="s">
        <v>346</v>
      </c>
      <c r="B15" t="s">
        <v>347</v>
      </c>
      <c r="C15" s="23" t="s">
        <v>320</v>
      </c>
      <c r="D15" s="22" t="s">
        <v>321</v>
      </c>
      <c r="E15" t="s">
        <v>322</v>
      </c>
      <c r="K15" s="20"/>
      <c r="L15" s="20"/>
    </row>
    <row r="16" spans="1:12" ht="12.75" customHeight="1">
      <c r="A16" s="24" t="s">
        <v>348</v>
      </c>
      <c r="B16" t="s">
        <v>349</v>
      </c>
      <c r="C16" s="23" t="s">
        <v>350</v>
      </c>
      <c r="D16" s="22" t="s">
        <v>321</v>
      </c>
      <c r="E16" t="s">
        <v>322</v>
      </c>
      <c r="K16" s="20"/>
      <c r="L16" s="20"/>
    </row>
    <row r="17" spans="1:12" ht="12.75" customHeight="1">
      <c r="A17" s="24" t="s">
        <v>351</v>
      </c>
      <c r="B17" t="s">
        <v>352</v>
      </c>
      <c r="C17" s="23" t="s">
        <v>350</v>
      </c>
      <c r="D17" s="22" t="s">
        <v>321</v>
      </c>
      <c r="E17" t="s">
        <v>322</v>
      </c>
      <c r="K17" s="20"/>
      <c r="L17" s="20"/>
    </row>
    <row r="18" spans="1:12" ht="12.75" customHeight="1">
      <c r="A18" s="65" t="s">
        <v>353</v>
      </c>
      <c r="B18" s="66" t="s">
        <v>354</v>
      </c>
      <c r="C18" s="23" t="s">
        <v>355</v>
      </c>
      <c r="D18" s="22" t="s">
        <v>321</v>
      </c>
      <c r="E18" t="s">
        <v>322</v>
      </c>
      <c r="K18" s="20"/>
      <c r="L18" s="20"/>
    </row>
    <row r="19" spans="1:12" ht="12.75" customHeight="1">
      <c r="A19" s="65" t="s">
        <v>356</v>
      </c>
      <c r="B19" s="66" t="s">
        <v>357</v>
      </c>
      <c r="C19" s="23" t="s">
        <v>320</v>
      </c>
      <c r="D19" s="22" t="s">
        <v>321</v>
      </c>
      <c r="E19" t="s">
        <v>322</v>
      </c>
      <c r="K19" s="20"/>
      <c r="L19" s="20"/>
    </row>
    <row r="20" spans="1:12" ht="12.75" customHeight="1">
      <c r="A20" s="65" t="s">
        <v>358</v>
      </c>
      <c r="B20" s="66" t="s">
        <v>359</v>
      </c>
      <c r="C20" s="23" t="s">
        <v>360</v>
      </c>
      <c r="D20" s="22" t="s">
        <v>321</v>
      </c>
      <c r="E20" t="s">
        <v>322</v>
      </c>
      <c r="K20" s="20"/>
      <c r="L20" s="20"/>
    </row>
    <row r="21" spans="1:12" ht="12.75" customHeight="1">
      <c r="A21" s="65" t="s">
        <v>361</v>
      </c>
      <c r="B21" s="66" t="s">
        <v>362</v>
      </c>
      <c r="C21" s="23" t="s">
        <v>350</v>
      </c>
      <c r="D21" s="2" t="s">
        <v>321</v>
      </c>
      <c r="E21" s="81" t="s">
        <v>322</v>
      </c>
      <c r="K21" s="20"/>
      <c r="L21" s="20"/>
    </row>
    <row r="22" spans="1:12" ht="12.75" customHeight="1">
      <c r="A22" s="65" t="s">
        <v>363</v>
      </c>
      <c r="B22" s="66" t="s">
        <v>363</v>
      </c>
      <c r="C22" s="23" t="s">
        <v>337</v>
      </c>
      <c r="E22" t="s">
        <v>322</v>
      </c>
      <c r="K22" s="20"/>
      <c r="L22" s="20"/>
    </row>
    <row r="23" spans="1:12" ht="12.75" customHeight="1">
      <c r="K23" s="20"/>
      <c r="L23" s="20"/>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4.xml>��
</file>

<file path=customXml/item5.xml>��
</file>

<file path=customXml/item6.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389C43E-394D-44C0-87DC-4780FCFCFB40}"/>
</file>

<file path=customXml/itemProps2.xml><?xml version="1.0" encoding="utf-8"?>
<ds:datastoreItem xmlns:ds="http://schemas.openxmlformats.org/officeDocument/2006/customXml" ds:itemID="{D3A7101F-9A85-4235-8B03-415370C100B2}"/>
</file>

<file path=customXml/itemProps3.xml><?xml version="1.0" encoding="utf-8"?>
<ds:datastoreItem xmlns:ds="http://schemas.openxmlformats.org/officeDocument/2006/customXml" ds:itemID="{8D732231-4216-4543-A665-18A2886B0EB7}"/>
</file>

<file path=customXml/itemProps4.xml><?xml version="1.0" encoding="utf-8"?>
<ds:datastoreItem xmlns:ds="http://schemas.openxmlformats.org/officeDocument/2006/customXml" ds:itemID="{3AEAA9D8-2182-46BA-A58E-96C72DDA1C54}"/>
</file>

<file path=customXml/itemProps5.xml><?xml version="1.0" encoding="utf-8"?>
<ds:datastoreItem xmlns:ds="http://schemas.openxmlformats.org/officeDocument/2006/customXml" ds:itemID="{E20E8303-6A67-485C-B6F4-303542CC295C}"/>
</file>

<file path=customXml/itemProps6.xml><?xml version="1.0" encoding="utf-8"?>
<ds:datastoreItem xmlns:ds="http://schemas.openxmlformats.org/officeDocument/2006/customXml" ds:itemID="{5888AE3C-3AC7-4E0E-90FC-2D2DD7010ED3}"/>
</file>

<file path=customXml/itemProps7.xml><?xml version="1.0" encoding="utf-8"?>
<ds:datastoreItem xmlns:ds="http://schemas.openxmlformats.org/officeDocument/2006/customXml" ds:itemID="{078388C9-06F9-42F4-B857-EF76B5CAF1FD}"/>
</file>

<file path=customXml/itemProps8.xml><?xml version="1.0" encoding="utf-8"?>
<ds:datastoreItem xmlns:ds="http://schemas.openxmlformats.org/officeDocument/2006/customXml" ds:itemID="{98A113BB-8B7A-453C-8BD4-8EFC67FC2D3F}"/>
</file>

<file path=customXml/itemProps9.xml><?xml version="1.0" encoding="utf-8"?>
<ds:datastoreItem xmlns:ds="http://schemas.openxmlformats.org/officeDocument/2006/customXml" ds:itemID="{7946C510-7D04-49D8-9B25-EEC04582A1CA}"/>
</file>

<file path=customXml/itemProps10.xml><?xml version="1.0" encoding="utf-8"?>
<ds:datastoreItem xmlns:ds="http://schemas.openxmlformats.org/officeDocument/2006/customXml" ds:itemID="{CB52044A-5C0B-44A2-99D0-C1C315EC302D}"/>
</file>

<file path=customXml/itemProps11.xml><?xml version="1.0" encoding="utf-8"?>
<ds:datastoreItem xmlns:ds="http://schemas.openxmlformats.org/officeDocument/2006/customXml" ds:itemID="{BE26B669-A686-459C-A5E9-FEC3409C4C81}"/>
</file>

<file path=customXml/itemProps12.xml><?xml version="1.0" encoding="utf-8"?>
<ds:datastoreItem xmlns:ds="http://schemas.openxmlformats.org/officeDocument/2006/customXml" ds:itemID="{1954BBA4-0359-438C-B0EC-A756015F7C02}"/>
</file>

<file path=customXml/itemProps13.xml><?xml version="1.0" encoding="utf-8"?>
<ds:datastoreItem xmlns:ds="http://schemas.openxmlformats.org/officeDocument/2006/customXml" ds:itemID="{66B09F59-6532-46F8-924A-9A02417E070D}"/>
</file>

<file path=customXml/itemProps14.xml><?xml version="1.0" encoding="utf-8"?>
<ds:datastoreItem xmlns:ds="http://schemas.openxmlformats.org/officeDocument/2006/customXml" ds:itemID="{2BC74AAC-D69B-4AF1-9649-B21EF3C1C463}"/>
</file>

<file path=customXml/itemProps15.xml><?xml version="1.0" encoding="utf-8"?>
<ds:datastoreItem xmlns:ds="http://schemas.openxmlformats.org/officeDocument/2006/customXml" ds:itemID="{F6B2B1A1-1C4B-4AC9-9A7D-7A102DD1C942}"/>
</file>

<file path=customXml/itemProps16.xml><?xml version="1.0" encoding="utf-8"?>
<ds:datastoreItem xmlns:ds="http://schemas.openxmlformats.org/officeDocument/2006/customXml" ds:itemID="{89CF5C07-45EB-4100-9AFB-2C6AF77FA787}"/>
</file>

<file path=customXml/itemProps17.xml><?xml version="1.0" encoding="utf-8"?>
<ds:datastoreItem xmlns:ds="http://schemas.openxmlformats.org/officeDocument/2006/customXml" ds:itemID="{14966E4F-347B-477B-B74C-9DAC05405806}"/>
</file>

<file path=customXml/itemProps18.xml><?xml version="1.0" encoding="utf-8"?>
<ds:datastoreItem xmlns:ds="http://schemas.openxmlformats.org/officeDocument/2006/customXml" ds:itemID="{E3716282-BFD2-4ED2-BA47-BFA1123827F0}"/>
</file>

<file path=customXml/itemProps19.xml><?xml version="1.0" encoding="utf-8"?>
<ds:datastoreItem xmlns:ds="http://schemas.openxmlformats.org/officeDocument/2006/customXml" ds:itemID="{F12EFA50-0068-4A8C-85A0-F1B26389EBC3}"/>
</file>

<file path=customXml/itemProps20.xml><?xml version="1.0" encoding="utf-8"?>
<ds:datastoreItem xmlns:ds="http://schemas.openxmlformats.org/officeDocument/2006/customXml" ds:itemID="{BF5C6359-7763-4C37-8EAF-2BC4698CB2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2025-08-14T16:49:19Z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2025-03-24T14:07:31Z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939b750a-c1f0-47fe-9c7b-152ce37e9586</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