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0" documentId="13_ncr:1_{BD7B2483-C1D0-41A7-81F1-85E081DA14E9}" xr6:coauthVersionLast="47" xr6:coauthVersionMax="47" xr10:uidLastSave="{D597FADB-1A75-4E5B-B004-7A3562A49694}"/>
  <bookViews>
    <workbookView xWindow="28680" yWindow="-120" windowWidth="29040" windowHeight="15720"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Mar!$G$1:$G$328</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29" l="1"/>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J110" i="29"/>
  <c r="J111" i="29"/>
  <c r="J112" i="29"/>
  <c r="J113" i="29"/>
  <c r="J114" i="29"/>
  <c r="J115" i="29"/>
  <c r="J116" i="29"/>
  <c r="J117" i="29"/>
  <c r="J118" i="29"/>
  <c r="J119" i="29"/>
  <c r="J120" i="29"/>
  <c r="J121" i="29"/>
  <c r="J122" i="29"/>
  <c r="J123" i="29"/>
  <c r="J124" i="29"/>
  <c r="J125" i="29"/>
  <c r="J126" i="29"/>
  <c r="J127" i="29"/>
  <c r="J128" i="29"/>
  <c r="J129" i="29"/>
  <c r="J130" i="29"/>
  <c r="J131" i="29"/>
  <c r="J132" i="29"/>
  <c r="J133" i="29"/>
  <c r="J134" i="29"/>
  <c r="J135" i="29"/>
  <c r="J136" i="29"/>
  <c r="J137" i="29"/>
  <c r="J138" i="29"/>
  <c r="J139" i="29"/>
  <c r="J140" i="29"/>
  <c r="J141" i="29"/>
  <c r="J142" i="29"/>
  <c r="J143" i="29"/>
  <c r="J144" i="29"/>
  <c r="J145" i="29"/>
  <c r="J146" i="29"/>
  <c r="J147" i="29"/>
  <c r="J148" i="29"/>
  <c r="J149" i="29"/>
  <c r="J150" i="29"/>
  <c r="J151" i="29"/>
  <c r="J152" i="29"/>
  <c r="J153" i="29"/>
  <c r="J154" i="29"/>
  <c r="J155" i="29"/>
  <c r="J156" i="29"/>
  <c r="J157" i="29"/>
  <c r="J158" i="29"/>
  <c r="J159" i="29"/>
  <c r="J160" i="29"/>
  <c r="J161" i="29"/>
  <c r="J162" i="29"/>
  <c r="J163" i="29"/>
  <c r="J164" i="29"/>
  <c r="J165" i="29"/>
  <c r="J166" i="29"/>
  <c r="J167" i="29"/>
  <c r="J168" i="29"/>
  <c r="J169" i="29"/>
  <c r="J170" i="29"/>
  <c r="J171" i="29"/>
  <c r="J172" i="29"/>
  <c r="J173" i="29"/>
  <c r="J174" i="29"/>
  <c r="J175" i="29"/>
  <c r="J176" i="29"/>
  <c r="J177" i="29"/>
  <c r="J178" i="29"/>
  <c r="J179" i="29"/>
  <c r="J180" i="29"/>
  <c r="J181" i="29"/>
  <c r="J182" i="29"/>
  <c r="J183" i="29"/>
  <c r="J184" i="29"/>
  <c r="J185" i="29"/>
  <c r="J186" i="29"/>
  <c r="J187" i="29"/>
  <c r="J188" i="29"/>
  <c r="J189" i="29"/>
  <c r="J190" i="29"/>
  <c r="J191" i="29"/>
  <c r="J192" i="29"/>
  <c r="J193" i="29"/>
  <c r="J194" i="29"/>
  <c r="J195" i="29"/>
  <c r="J196" i="29"/>
  <c r="J197" i="29"/>
  <c r="J198" i="29"/>
  <c r="J199" i="29"/>
  <c r="J200" i="29"/>
  <c r="I6" i="29"/>
  <c r="I7" i="29"/>
  <c r="I8" i="29"/>
  <c r="I9" i="29"/>
  <c r="I10" i="29"/>
  <c r="I11" i="29"/>
  <c r="I12" i="29"/>
  <c r="I13" i="29"/>
  <c r="I14" i="29"/>
  <c r="I15" i="29"/>
  <c r="I16" i="29"/>
  <c r="I17" i="29"/>
  <c r="I18" i="29"/>
  <c r="I19" i="29"/>
  <c r="I20" i="29"/>
  <c r="I21" i="29"/>
  <c r="I22" i="29"/>
  <c r="I23" i="29"/>
  <c r="I24" i="29"/>
  <c r="I25" i="29"/>
  <c r="I26" i="29"/>
  <c r="I27" i="29"/>
  <c r="I28" i="29"/>
  <c r="I29" i="29"/>
  <c r="I30" i="29"/>
  <c r="I31" i="29"/>
  <c r="I32" i="29"/>
  <c r="I33" i="29"/>
  <c r="I34" i="29"/>
  <c r="I35" i="29"/>
  <c r="I36" i="29"/>
  <c r="I37" i="29"/>
  <c r="I38" i="29"/>
  <c r="I39" i="29"/>
  <c r="I40" i="29"/>
  <c r="I41" i="29"/>
  <c r="I42" i="29"/>
  <c r="I43" i="29"/>
  <c r="I44" i="29"/>
  <c r="I45" i="29"/>
  <c r="I46" i="29"/>
  <c r="I47" i="29"/>
  <c r="I48" i="29"/>
  <c r="I49" i="29"/>
  <c r="I50" i="29"/>
  <c r="I51" i="29"/>
  <c r="I52" i="29"/>
  <c r="I53" i="29"/>
  <c r="I54" i="29"/>
  <c r="I55" i="29"/>
  <c r="I56" i="29"/>
  <c r="I57" i="29"/>
  <c r="I58" i="29"/>
  <c r="I59" i="29"/>
  <c r="I60" i="29"/>
  <c r="I61" i="29"/>
  <c r="I62" i="29"/>
  <c r="I63" i="29"/>
  <c r="I64" i="29"/>
  <c r="I65" i="29"/>
  <c r="I66" i="29"/>
  <c r="I67" i="29"/>
  <c r="I68" i="29"/>
  <c r="I69" i="29"/>
  <c r="I70" i="29"/>
  <c r="I71" i="29"/>
  <c r="I72" i="29"/>
  <c r="I73" i="29"/>
  <c r="I74" i="29"/>
  <c r="I75" i="29"/>
  <c r="I76" i="29"/>
  <c r="I77" i="29"/>
  <c r="I78" i="29"/>
  <c r="I79" i="29"/>
  <c r="I80" i="29"/>
  <c r="I81" i="29"/>
  <c r="I82" i="29"/>
  <c r="I83" i="29"/>
  <c r="I84" i="29"/>
  <c r="I85" i="29"/>
  <c r="I86" i="29"/>
  <c r="I87" i="29"/>
  <c r="I88" i="29"/>
  <c r="I89" i="29"/>
  <c r="I90" i="29"/>
  <c r="I91" i="29"/>
  <c r="I92" i="29"/>
  <c r="I93" i="29"/>
  <c r="I94" i="29"/>
  <c r="I95" i="29"/>
  <c r="I96" i="29"/>
  <c r="I97" i="29"/>
  <c r="I98" i="29"/>
  <c r="I99" i="29"/>
  <c r="I100" i="29"/>
  <c r="I101" i="29"/>
  <c r="I102" i="29"/>
  <c r="I103" i="29"/>
  <c r="I104" i="29"/>
  <c r="I105" i="29"/>
  <c r="I106" i="29"/>
  <c r="I107" i="29"/>
  <c r="I108" i="29"/>
  <c r="I109" i="29"/>
  <c r="I110" i="29"/>
  <c r="I111" i="29"/>
  <c r="I112" i="29"/>
  <c r="I113" i="29"/>
  <c r="I114" i="29"/>
  <c r="I115" i="29"/>
  <c r="I116" i="29"/>
  <c r="I117" i="29"/>
  <c r="I118" i="29"/>
  <c r="I119" i="29"/>
  <c r="I120" i="29"/>
  <c r="I121" i="29"/>
  <c r="I122" i="29"/>
  <c r="I123" i="29"/>
  <c r="I124" i="29"/>
  <c r="I125" i="29"/>
  <c r="I126" i="29"/>
  <c r="I127" i="29"/>
  <c r="I128" i="29"/>
  <c r="I129" i="29"/>
  <c r="I130" i="29"/>
  <c r="I131" i="29"/>
  <c r="I132" i="29"/>
  <c r="I133" i="29"/>
  <c r="I134" i="29"/>
  <c r="I135" i="29"/>
  <c r="I136" i="29"/>
  <c r="I137" i="29"/>
  <c r="I138" i="29"/>
  <c r="I139" i="29"/>
  <c r="I140" i="29"/>
  <c r="I141" i="29"/>
  <c r="I142" i="29"/>
  <c r="I143" i="29"/>
  <c r="I144" i="29"/>
  <c r="I145" i="29"/>
  <c r="I146" i="29"/>
  <c r="I147" i="29"/>
  <c r="I148" i="29"/>
  <c r="I149" i="29"/>
  <c r="I150" i="29"/>
  <c r="I151" i="29"/>
  <c r="I152" i="29"/>
  <c r="I153" i="29"/>
  <c r="I154" i="29"/>
  <c r="I155" i="29"/>
  <c r="I156" i="29"/>
  <c r="I157" i="29"/>
  <c r="I158" i="29"/>
  <c r="I159" i="29"/>
  <c r="I160" i="29"/>
  <c r="I161" i="29"/>
  <c r="I162" i="29"/>
  <c r="I163" i="29"/>
  <c r="I164" i="29"/>
  <c r="I165" i="29"/>
  <c r="I166" i="29"/>
  <c r="I167" i="29"/>
  <c r="I168" i="29"/>
  <c r="I169" i="29"/>
  <c r="I170" i="29"/>
  <c r="I171" i="29"/>
  <c r="I172" i="29"/>
  <c r="I173" i="29"/>
  <c r="I174" i="29"/>
  <c r="I175" i="29"/>
  <c r="I176" i="29"/>
  <c r="I177" i="29"/>
  <c r="I178" i="29"/>
  <c r="I179" i="29"/>
  <c r="I180" i="29"/>
  <c r="I181" i="29"/>
  <c r="I182" i="29"/>
  <c r="I183" i="29"/>
  <c r="I184" i="29"/>
  <c r="I185" i="29"/>
  <c r="I186" i="29"/>
  <c r="I187" i="29"/>
  <c r="I188" i="29"/>
  <c r="I189" i="29"/>
  <c r="I190" i="29"/>
  <c r="I191" i="29"/>
  <c r="I192" i="29"/>
  <c r="I193" i="29"/>
  <c r="I194" i="29"/>
  <c r="I195" i="29"/>
  <c r="I196" i="29"/>
  <c r="I197" i="29"/>
  <c r="I198" i="29"/>
  <c r="I199" i="29"/>
  <c r="I200" i="29"/>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78" i="29"/>
  <c r="F79" i="29"/>
  <c r="F80" i="29"/>
  <c r="F81" i="29"/>
  <c r="F82" i="29"/>
  <c r="F83" i="29"/>
  <c r="F84" i="29"/>
  <c r="F85" i="29"/>
  <c r="F86" i="29"/>
  <c r="F87" i="29"/>
  <c r="F88" i="29"/>
  <c r="F89" i="29"/>
  <c r="F90" i="29"/>
  <c r="F91" i="29"/>
  <c r="F92" i="29"/>
  <c r="F93" i="29"/>
  <c r="F94" i="29"/>
  <c r="F95" i="29"/>
  <c r="F96" i="29"/>
  <c r="F97" i="29"/>
  <c r="F98" i="29"/>
  <c r="F99" i="29"/>
  <c r="F100" i="29"/>
  <c r="F101" i="29"/>
  <c r="F102" i="29"/>
  <c r="F103" i="29"/>
  <c r="F104" i="29"/>
  <c r="F105" i="29"/>
  <c r="F106" i="29"/>
  <c r="F107" i="29"/>
  <c r="F108" i="29"/>
  <c r="F109" i="29"/>
  <c r="F110" i="29"/>
  <c r="F111" i="29"/>
  <c r="F112" i="29"/>
  <c r="F113" i="29"/>
  <c r="F114" i="29"/>
  <c r="F115" i="29"/>
  <c r="F116" i="29"/>
  <c r="F117" i="29"/>
  <c r="F118" i="29"/>
  <c r="F119" i="29"/>
  <c r="F120" i="29"/>
  <c r="F121" i="29"/>
  <c r="F122" i="29"/>
  <c r="F123" i="29"/>
  <c r="F124" i="29"/>
  <c r="F125" i="29"/>
  <c r="F126" i="29"/>
  <c r="F127" i="29"/>
  <c r="F128" i="29"/>
  <c r="F129" i="29"/>
  <c r="F130" i="29"/>
  <c r="F131" i="29"/>
  <c r="F132" i="29"/>
  <c r="F133" i="29"/>
  <c r="F134" i="29"/>
  <c r="F135" i="29"/>
  <c r="F136" i="29"/>
  <c r="F137" i="29"/>
  <c r="F138" i="29"/>
  <c r="F139" i="29"/>
  <c r="F140" i="29"/>
  <c r="F141" i="29"/>
  <c r="F142" i="29"/>
  <c r="F143" i="29"/>
  <c r="F144" i="29"/>
  <c r="F145" i="29"/>
  <c r="F146" i="29"/>
  <c r="F147" i="29"/>
  <c r="F148" i="29"/>
  <c r="F149" i="29"/>
  <c r="F150" i="29"/>
  <c r="F151" i="29"/>
  <c r="F152" i="29"/>
  <c r="F153" i="29"/>
  <c r="F154" i="29"/>
  <c r="F155" i="29"/>
  <c r="F156" i="29"/>
  <c r="F157" i="29"/>
  <c r="F158" i="29"/>
  <c r="F159" i="29"/>
  <c r="F160" i="29"/>
  <c r="F161" i="29"/>
  <c r="F162" i="29"/>
  <c r="F163" i="29"/>
  <c r="F164" i="29"/>
  <c r="F165" i="29"/>
  <c r="F166" i="29"/>
  <c r="F167" i="29"/>
  <c r="F168" i="29"/>
  <c r="F169" i="29"/>
  <c r="F170" i="29"/>
  <c r="F171" i="29"/>
  <c r="F172" i="29"/>
  <c r="F173" i="29"/>
  <c r="F174" i="29"/>
  <c r="F175" i="29"/>
  <c r="F176" i="29"/>
  <c r="F177" i="29"/>
  <c r="F178" i="29"/>
  <c r="F179" i="29"/>
  <c r="F180" i="29"/>
  <c r="F181" i="29"/>
  <c r="F182" i="29"/>
  <c r="F183" i="29"/>
  <c r="F184" i="29"/>
  <c r="F185" i="29"/>
  <c r="F186" i="29"/>
  <c r="F187" i="29"/>
  <c r="F188" i="29"/>
  <c r="F189" i="29"/>
  <c r="F190" i="29"/>
  <c r="F191" i="29"/>
  <c r="F192" i="29"/>
  <c r="F193" i="29"/>
  <c r="F194" i="29"/>
  <c r="F195" i="29"/>
  <c r="F196" i="29"/>
  <c r="F197" i="29"/>
  <c r="F198" i="29"/>
  <c r="F199" i="29"/>
  <c r="F200"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78" i="29"/>
  <c r="G79" i="29"/>
  <c r="G80" i="29"/>
  <c r="G81" i="29"/>
  <c r="G82" i="29"/>
  <c r="G83" i="29"/>
  <c r="G84" i="29"/>
  <c r="G85" i="29"/>
  <c r="G86" i="29"/>
  <c r="G87" i="29"/>
  <c r="G88" i="29"/>
  <c r="G89" i="29"/>
  <c r="G90" i="29"/>
  <c r="G91" i="29"/>
  <c r="G92" i="29"/>
  <c r="G93" i="29"/>
  <c r="G94" i="29"/>
  <c r="G95" i="29"/>
  <c r="G96" i="29"/>
  <c r="G97" i="29"/>
  <c r="G98" i="29"/>
  <c r="G99" i="29"/>
  <c r="G100" i="29"/>
  <c r="G101" i="29"/>
  <c r="G102" i="29"/>
  <c r="G103" i="29"/>
  <c r="G104" i="29"/>
  <c r="G105" i="29"/>
  <c r="G106" i="29"/>
  <c r="G107" i="29"/>
  <c r="G108" i="29"/>
  <c r="G109" i="29"/>
  <c r="G110" i="29"/>
  <c r="G111" i="29"/>
  <c r="G112" i="29"/>
  <c r="G113" i="29"/>
  <c r="G114" i="29"/>
  <c r="G115" i="29"/>
  <c r="G116" i="29"/>
  <c r="G117" i="29"/>
  <c r="G118" i="29"/>
  <c r="G119" i="29"/>
  <c r="G120" i="29"/>
  <c r="G121" i="29"/>
  <c r="G122" i="29"/>
  <c r="G123" i="29"/>
  <c r="G124" i="29"/>
  <c r="G125" i="29"/>
  <c r="G126" i="29"/>
  <c r="G127" i="29"/>
  <c r="G128" i="29"/>
  <c r="G129" i="29"/>
  <c r="G130" i="29"/>
  <c r="G131" i="29"/>
  <c r="G132" i="29"/>
  <c r="G133" i="29"/>
  <c r="G134" i="29"/>
  <c r="G135" i="29"/>
  <c r="G136" i="29"/>
  <c r="G137" i="29"/>
  <c r="G138" i="29"/>
  <c r="G139" i="29"/>
  <c r="G140" i="29"/>
  <c r="G141" i="29"/>
  <c r="G142" i="29"/>
  <c r="G143" i="29"/>
  <c r="G144" i="29"/>
  <c r="G145" i="29"/>
  <c r="G146" i="29"/>
  <c r="G147" i="29"/>
  <c r="G148" i="29"/>
  <c r="G149" i="29"/>
  <c r="G150" i="29"/>
  <c r="G151" i="29"/>
  <c r="G152" i="29"/>
  <c r="G153" i="29"/>
  <c r="G154" i="29"/>
  <c r="G155" i="29"/>
  <c r="G156" i="29"/>
  <c r="G157" i="29"/>
  <c r="G158" i="29"/>
  <c r="G159" i="29"/>
  <c r="G160" i="29"/>
  <c r="G161" i="29"/>
  <c r="G162" i="29"/>
  <c r="G163" i="29"/>
  <c r="G164" i="29"/>
  <c r="G165" i="29"/>
  <c r="G166" i="29"/>
  <c r="G167" i="29"/>
  <c r="G168" i="29"/>
  <c r="G169" i="29"/>
  <c r="G170" i="29"/>
  <c r="G171" i="29"/>
  <c r="G172" i="29"/>
  <c r="G173" i="29"/>
  <c r="G174" i="29"/>
  <c r="G175" i="29"/>
  <c r="G176" i="29"/>
  <c r="G177" i="29"/>
  <c r="G178" i="29"/>
  <c r="G179" i="29"/>
  <c r="G180" i="29"/>
  <c r="G181" i="29"/>
  <c r="G182" i="29"/>
  <c r="G183" i="29"/>
  <c r="G184" i="29"/>
  <c r="G185" i="29"/>
  <c r="G186" i="29"/>
  <c r="G187" i="29"/>
  <c r="G188" i="29"/>
  <c r="G189" i="29"/>
  <c r="G190" i="29"/>
  <c r="G191" i="29"/>
  <c r="G192" i="29"/>
  <c r="G193" i="29"/>
  <c r="G194" i="29"/>
  <c r="G195" i="29"/>
  <c r="G196" i="29"/>
  <c r="G197" i="29"/>
  <c r="G198" i="29"/>
  <c r="G199" i="29"/>
  <c r="G200" i="29"/>
  <c r="F145" i="26"/>
  <c r="G145"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4" i="26"/>
  <c r="J95" i="26"/>
  <c r="J97" i="26"/>
  <c r="J98" i="26"/>
  <c r="J99" i="26"/>
  <c r="J100" i="26"/>
  <c r="J101" i="26"/>
  <c r="J102" i="26"/>
  <c r="J103" i="26"/>
  <c r="J104" i="26"/>
  <c r="J105" i="26"/>
  <c r="J106" i="26"/>
  <c r="J107" i="26"/>
  <c r="J108" i="26"/>
  <c r="J109"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9" i="26"/>
  <c r="J140" i="26"/>
  <c r="J141" i="26"/>
  <c r="J142" i="26"/>
  <c r="J143" i="26"/>
  <c r="J144" i="26"/>
  <c r="J145" i="26"/>
  <c r="J146" i="26"/>
  <c r="J147" i="26"/>
  <c r="J148" i="26"/>
  <c r="J149" i="26"/>
  <c r="J150" i="26"/>
  <c r="J151"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3" i="26"/>
  <c r="J196" i="26"/>
  <c r="J197"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J93" i="26" s="1"/>
  <c r="I94" i="26"/>
  <c r="I95" i="26"/>
  <c r="I96" i="26"/>
  <c r="J96" i="26" s="1"/>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J138" i="26" s="1"/>
  <c r="I139" i="26"/>
  <c r="I140" i="26"/>
  <c r="I141" i="26"/>
  <c r="I142" i="26"/>
  <c r="I143" i="26"/>
  <c r="I144" i="26"/>
  <c r="I145" i="26"/>
  <c r="I146" i="26"/>
  <c r="I147" i="26"/>
  <c r="I148" i="26"/>
  <c r="I149" i="26"/>
  <c r="I150" i="26"/>
  <c r="I151" i="26"/>
  <c r="I152" i="26"/>
  <c r="J152" i="26" s="1"/>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J191" i="26" s="1"/>
  <c r="I192" i="26"/>
  <c r="J192" i="26" s="1"/>
  <c r="I193" i="26"/>
  <c r="I194" i="26"/>
  <c r="J194" i="26" s="1"/>
  <c r="I195" i="26"/>
  <c r="I196" i="26"/>
  <c r="I197" i="26"/>
  <c r="I198" i="26"/>
  <c r="J198" i="26" s="1"/>
  <c r="I199" i="26"/>
  <c r="J199" i="26" s="1"/>
  <c r="I20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3" i="26"/>
  <c r="G196" i="26"/>
  <c r="F170" i="26"/>
  <c r="F171" i="26"/>
  <c r="F172" i="26"/>
  <c r="F173" i="26"/>
  <c r="F174" i="26"/>
  <c r="F175" i="26"/>
  <c r="F176" i="26"/>
  <c r="F177" i="26"/>
  <c r="F178" i="26"/>
  <c r="F179" i="26"/>
  <c r="F180" i="26"/>
  <c r="F181" i="26"/>
  <c r="F182" i="26"/>
  <c r="F183" i="26"/>
  <c r="F184" i="26"/>
  <c r="F185" i="26"/>
  <c r="F186" i="26"/>
  <c r="F187" i="26"/>
  <c r="F188" i="26"/>
  <c r="F189" i="26"/>
  <c r="F190" i="26"/>
  <c r="F191" i="26"/>
  <c r="G191" i="26" s="1"/>
  <c r="F192" i="26"/>
  <c r="G192" i="26" s="1"/>
  <c r="F193" i="26"/>
  <c r="F194" i="26"/>
  <c r="G194" i="26" s="1"/>
  <c r="F195" i="26"/>
  <c r="G195" i="26" s="1"/>
  <c r="F196" i="26"/>
  <c r="F197" i="26"/>
  <c r="G197" i="26" s="1"/>
  <c r="F198" i="26"/>
  <c r="G198" i="26" s="1"/>
  <c r="F199" i="26"/>
  <c r="G199" i="26" s="1"/>
  <c r="F200" i="26"/>
  <c r="G200" i="26" s="1"/>
  <c r="F160" i="26"/>
  <c r="G160" i="26" s="1"/>
  <c r="F161" i="26"/>
  <c r="F162" i="26"/>
  <c r="F163" i="26"/>
  <c r="F164" i="26"/>
  <c r="F165" i="26"/>
  <c r="F166" i="26"/>
  <c r="F167" i="26"/>
  <c r="F168" i="26"/>
  <c r="F169" i="26"/>
  <c r="F119" i="26"/>
  <c r="F120" i="26"/>
  <c r="G34" i="26"/>
  <c r="F34"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2" i="19"/>
  <c r="J193" i="19"/>
  <c r="J195" i="19"/>
  <c r="J196" i="19"/>
  <c r="J197" i="19"/>
  <c r="J198" i="19"/>
  <c r="J199" i="19"/>
  <c r="J20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J191" i="19" s="1"/>
  <c r="I192" i="19"/>
  <c r="I193" i="19"/>
  <c r="I194" i="19"/>
  <c r="J194" i="19" s="1"/>
  <c r="I195" i="19"/>
  <c r="I196" i="19"/>
  <c r="I197" i="19"/>
  <c r="I198" i="19"/>
  <c r="I199" i="19"/>
  <c r="I200"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6" i="19"/>
  <c r="G187" i="19"/>
  <c r="G188" i="19"/>
  <c r="G189" i="19"/>
  <c r="G190" i="19"/>
  <c r="G191" i="19"/>
  <c r="G192" i="19"/>
  <c r="G193" i="19"/>
  <c r="G195" i="19"/>
  <c r="G196" i="19"/>
  <c r="G197" i="19"/>
  <c r="G198" i="19"/>
  <c r="G199" i="19"/>
  <c r="G200" i="19"/>
  <c r="F86" i="19"/>
  <c r="F87" i="19"/>
  <c r="F88" i="19"/>
  <c r="F89" i="19"/>
  <c r="F90" i="19"/>
  <c r="F91" i="19"/>
  <c r="F92" i="19"/>
  <c r="F93" i="19"/>
  <c r="F94" i="19"/>
  <c r="F95" i="19"/>
  <c r="F96" i="19"/>
  <c r="F97" i="19"/>
  <c r="F98" i="19"/>
  <c r="F99" i="19"/>
  <c r="F100" i="19"/>
  <c r="G100" i="19" s="1"/>
  <c r="F101" i="19"/>
  <c r="G101" i="19" s="1"/>
  <c r="F102" i="19"/>
  <c r="F103" i="19"/>
  <c r="F104" i="19"/>
  <c r="F105" i="19"/>
  <c r="F106" i="19"/>
  <c r="F107" i="19"/>
  <c r="F108" i="19"/>
  <c r="F109" i="19"/>
  <c r="F110" i="19"/>
  <c r="F111" i="19"/>
  <c r="F112" i="19"/>
  <c r="F113" i="19"/>
  <c r="F114" i="19"/>
  <c r="F115" i="19"/>
  <c r="F116" i="19"/>
  <c r="G116" i="19" s="1"/>
  <c r="F117" i="19"/>
  <c r="G117" i="19" s="1"/>
  <c r="F118" i="19"/>
  <c r="F119" i="19"/>
  <c r="F120" i="19"/>
  <c r="F121" i="19"/>
  <c r="F122" i="19"/>
  <c r="F123" i="19"/>
  <c r="F124" i="19"/>
  <c r="F125" i="19"/>
  <c r="F126" i="19"/>
  <c r="F127" i="19"/>
  <c r="F128" i="19"/>
  <c r="F129" i="19"/>
  <c r="F130" i="19"/>
  <c r="F131" i="19"/>
  <c r="F132" i="19"/>
  <c r="G132" i="19" s="1"/>
  <c r="F133" i="19"/>
  <c r="G133" i="19" s="1"/>
  <c r="F134" i="19"/>
  <c r="F135" i="19"/>
  <c r="F136" i="19"/>
  <c r="F137" i="19"/>
  <c r="F138" i="19"/>
  <c r="F139" i="19"/>
  <c r="F140" i="19"/>
  <c r="F141" i="19"/>
  <c r="F142" i="19"/>
  <c r="F143" i="19"/>
  <c r="F144" i="19"/>
  <c r="F145" i="19"/>
  <c r="F146" i="19"/>
  <c r="F147" i="19"/>
  <c r="F148" i="19"/>
  <c r="F149"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G185" i="19" s="1"/>
  <c r="F186" i="19"/>
  <c r="F187" i="19"/>
  <c r="F188" i="19"/>
  <c r="F189" i="19"/>
  <c r="F190" i="19"/>
  <c r="F191" i="19"/>
  <c r="F192" i="19"/>
  <c r="F193" i="19"/>
  <c r="F194" i="19"/>
  <c r="G194" i="19" s="1"/>
  <c r="F195" i="19"/>
  <c r="F196" i="19"/>
  <c r="F197" i="19"/>
  <c r="F198" i="19"/>
  <c r="F199" i="19"/>
  <c r="F200"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186" i="33"/>
  <c r="C187" i="33"/>
  <c r="C188" i="33"/>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C168" i="33"/>
  <c r="C169" i="33"/>
  <c r="C170" i="33"/>
  <c r="C171" i="33"/>
  <c r="C172" i="33"/>
  <c r="C173" i="33"/>
  <c r="C174" i="33"/>
  <c r="C175" i="33"/>
  <c r="C176" i="33"/>
  <c r="C177" i="33"/>
  <c r="C178" i="33"/>
  <c r="C179" i="33"/>
  <c r="C180" i="33"/>
  <c r="C181" i="33"/>
  <c r="C182" i="33"/>
  <c r="C183" i="33"/>
  <c r="C184" i="33"/>
  <c r="C185"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C172" i="32"/>
  <c r="C173" i="32"/>
  <c r="C174" i="32"/>
  <c r="C175" i="32"/>
  <c r="C176" i="32"/>
  <c r="C177" i="32"/>
  <c r="C178" i="32"/>
  <c r="C179" i="32"/>
  <c r="C180" i="32"/>
  <c r="C181" i="32"/>
  <c r="C182" i="32"/>
  <c r="C183" i="32"/>
  <c r="C184" i="32"/>
  <c r="C185"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7" i="31"/>
  <c r="C168" i="31"/>
  <c r="C169" i="31"/>
  <c r="C170" i="31"/>
  <c r="C171" i="31"/>
  <c r="C172" i="31"/>
  <c r="C173" i="31"/>
  <c r="C174" i="31"/>
  <c r="C175" i="31"/>
  <c r="C176" i="31"/>
  <c r="C177" i="31"/>
  <c r="C178" i="31"/>
  <c r="C179" i="31"/>
  <c r="C180" i="31"/>
  <c r="C181" i="31"/>
  <c r="C182" i="31"/>
  <c r="C183" i="31"/>
  <c r="C184" i="31"/>
  <c r="C185" i="31"/>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5" i="26"/>
  <c r="C5" i="19"/>
  <c r="I45" i="20"/>
  <c r="I24" i="20"/>
  <c r="I135"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6" i="20"/>
  <c r="I154" i="20"/>
  <c r="I155" i="20"/>
  <c r="I156" i="20"/>
  <c r="I157" i="20"/>
  <c r="J157" i="20" s="1"/>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J194" i="20" s="1"/>
  <c r="I195" i="20"/>
  <c r="J195" i="20" s="1"/>
  <c r="I196" i="20"/>
  <c r="I197" i="20"/>
  <c r="J197" i="20" s="1"/>
  <c r="I198" i="20"/>
  <c r="J198" i="20" s="1"/>
  <c r="I199" i="20"/>
  <c r="J199" i="20" s="1"/>
  <c r="I200" i="20"/>
  <c r="J200" i="20" s="1"/>
  <c r="C192" i="21"/>
  <c r="F199" i="20"/>
  <c r="G199" i="20"/>
  <c r="F196" i="20"/>
  <c r="G196" i="20" s="1"/>
  <c r="F193" i="20"/>
  <c r="G193" i="20"/>
  <c r="F190" i="20"/>
  <c r="G190" i="20" s="1"/>
  <c r="F187" i="20"/>
  <c r="G187" i="20" s="1"/>
  <c r="C196" i="34"/>
  <c r="C197" i="34"/>
  <c r="C198" i="34"/>
  <c r="C199" i="34"/>
  <c r="C200" i="34"/>
  <c r="J201" i="18"/>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I158" i="21"/>
  <c r="J158" i="21" s="1"/>
  <c r="I159" i="21"/>
  <c r="J159" i="21" s="1"/>
  <c r="I160" i="21"/>
  <c r="J160" i="21" s="1"/>
  <c r="I161" i="21"/>
  <c r="J161" i="21" s="1"/>
  <c r="I162" i="21"/>
  <c r="J162" i="21" s="1"/>
  <c r="I163" i="21"/>
  <c r="J163" i="21" s="1"/>
  <c r="I164" i="21"/>
  <c r="J164" i="21" s="1"/>
  <c r="I165" i="21"/>
  <c r="J165" i="21" s="1"/>
  <c r="I166" i="21"/>
  <c r="J166" i="21" s="1"/>
  <c r="I167" i="21"/>
  <c r="J167" i="21" s="1"/>
  <c r="I168" i="21"/>
  <c r="J168" i="21" s="1"/>
  <c r="I169" i="21"/>
  <c r="J169" i="21" s="1"/>
  <c r="I170" i="21"/>
  <c r="J170" i="21" s="1"/>
  <c r="I171" i="21"/>
  <c r="J171" i="21" s="1"/>
  <c r="I172" i="21"/>
  <c r="J172" i="21" s="1"/>
  <c r="I173" i="21"/>
  <c r="J173" i="21" s="1"/>
  <c r="I174" i="21"/>
  <c r="J174" i="21" s="1"/>
  <c r="I175" i="21"/>
  <c r="J175" i="21" s="1"/>
  <c r="I176" i="21"/>
  <c r="J176" i="21" s="1"/>
  <c r="I177" i="21"/>
  <c r="J177" i="21" s="1"/>
  <c r="I178" i="21"/>
  <c r="J178" i="21" s="1"/>
  <c r="I179" i="21"/>
  <c r="J179" i="21" s="1"/>
  <c r="I180" i="21"/>
  <c r="J180" i="21" s="1"/>
  <c r="I181" i="21"/>
  <c r="J181" i="21" s="1"/>
  <c r="I182" i="21"/>
  <c r="J182" i="21" s="1"/>
  <c r="I183" i="21"/>
  <c r="J183" i="21" s="1"/>
  <c r="I184" i="21"/>
  <c r="J184" i="21" s="1"/>
  <c r="I185" i="21"/>
  <c r="J185" i="21" s="1"/>
  <c r="I186" i="21"/>
  <c r="J186" i="21" s="1"/>
  <c r="I187" i="21"/>
  <c r="J187" i="21" s="1"/>
  <c r="I188" i="21"/>
  <c r="J188" i="21" s="1"/>
  <c r="I189" i="21"/>
  <c r="J189" i="21" s="1"/>
  <c r="I190" i="21"/>
  <c r="J190" i="21" s="1"/>
  <c r="I191" i="21"/>
  <c r="J191" i="21" s="1"/>
  <c r="I192" i="21"/>
  <c r="J192" i="21" s="1"/>
  <c r="I193" i="21"/>
  <c r="J193" i="21" s="1"/>
  <c r="I194" i="21"/>
  <c r="J194" i="21" s="1"/>
  <c r="I195" i="21"/>
  <c r="J195" i="21" s="1"/>
  <c r="I196" i="21"/>
  <c r="J196" i="21" s="1"/>
  <c r="I197" i="21"/>
  <c r="J197" i="21" s="1"/>
  <c r="I198" i="21"/>
  <c r="J198" i="21" s="1"/>
  <c r="I199" i="21"/>
  <c r="J199" i="21" s="1"/>
  <c r="I200" i="21"/>
  <c r="J200" i="21" s="1"/>
  <c r="I201" i="2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F158" i="21"/>
  <c r="G158" i="21" s="1"/>
  <c r="F159" i="21"/>
  <c r="G159" i="21" s="1"/>
  <c r="F160" i="21"/>
  <c r="G160" i="21" s="1"/>
  <c r="F161" i="21"/>
  <c r="G161" i="21" s="1"/>
  <c r="F162" i="21"/>
  <c r="G162" i="21" s="1"/>
  <c r="F163" i="21"/>
  <c r="G163" i="21" s="1"/>
  <c r="F164" i="21"/>
  <c r="G164" i="21" s="1"/>
  <c r="F165" i="21"/>
  <c r="G165" i="21" s="1"/>
  <c r="F166" i="21"/>
  <c r="G166" i="21" s="1"/>
  <c r="F167" i="21"/>
  <c r="G167" i="21" s="1"/>
  <c r="F168" i="21"/>
  <c r="G168" i="21" s="1"/>
  <c r="F169" i="21"/>
  <c r="G169" i="21" s="1"/>
  <c r="F170" i="21"/>
  <c r="G170" i="21" s="1"/>
  <c r="F171" i="21"/>
  <c r="G171" i="21" s="1"/>
  <c r="F172" i="21"/>
  <c r="G172" i="21" s="1"/>
  <c r="F173" i="21"/>
  <c r="G173" i="21" s="1"/>
  <c r="F174" i="21"/>
  <c r="G174" i="21" s="1"/>
  <c r="F175" i="21"/>
  <c r="G175" i="21" s="1"/>
  <c r="F176" i="21"/>
  <c r="G176" i="21" s="1"/>
  <c r="F177" i="21"/>
  <c r="G177" i="21" s="1"/>
  <c r="F178" i="21"/>
  <c r="G178" i="21" s="1"/>
  <c r="F179" i="21"/>
  <c r="G179" i="21" s="1"/>
  <c r="F180" i="21"/>
  <c r="G180" i="21" s="1"/>
  <c r="F181" i="21"/>
  <c r="G181" i="21" s="1"/>
  <c r="F182" i="21"/>
  <c r="G182" i="21" s="1"/>
  <c r="F183" i="21"/>
  <c r="G183" i="21" s="1"/>
  <c r="F184" i="21"/>
  <c r="G184" i="21" s="1"/>
  <c r="F185" i="21"/>
  <c r="G185" i="21" s="1"/>
  <c r="F186" i="21"/>
  <c r="G186" i="21" s="1"/>
  <c r="F187" i="21"/>
  <c r="G187" i="21" s="1"/>
  <c r="F188" i="21"/>
  <c r="G188" i="21" s="1"/>
  <c r="F189" i="21"/>
  <c r="G189" i="21" s="1"/>
  <c r="F190" i="21"/>
  <c r="G190" i="21" s="1"/>
  <c r="F191" i="21"/>
  <c r="G191" i="21" s="1"/>
  <c r="F192" i="21"/>
  <c r="G192" i="21" s="1"/>
  <c r="F193" i="21"/>
  <c r="G193" i="21" s="1"/>
  <c r="F194" i="21"/>
  <c r="G194" i="21" s="1"/>
  <c r="F195" i="21"/>
  <c r="G195" i="21" s="1"/>
  <c r="F196" i="21"/>
  <c r="G196" i="21" s="1"/>
  <c r="F197" i="21"/>
  <c r="G197" i="21" s="1"/>
  <c r="F198" i="21"/>
  <c r="G198" i="21" s="1"/>
  <c r="F199" i="21"/>
  <c r="G199" i="21" s="1"/>
  <c r="F200" i="21"/>
  <c r="G200" i="21" s="1"/>
  <c r="I119"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3" i="21"/>
  <c r="C194" i="21"/>
  <c r="C195" i="21"/>
  <c r="C196" i="21"/>
  <c r="C197" i="21"/>
  <c r="C198" i="21"/>
  <c r="C199" i="21"/>
  <c r="C200" i="21"/>
  <c r="I196" i="18"/>
  <c r="I197" i="18"/>
  <c r="I198" i="18"/>
  <c r="I199" i="18"/>
  <c r="I200" i="18"/>
  <c r="H196" i="18"/>
  <c r="H197" i="18"/>
  <c r="H198" i="18"/>
  <c r="H199" i="18"/>
  <c r="H200" i="18"/>
  <c r="H200" i="34" s="1"/>
  <c r="E196" i="18"/>
  <c r="E197" i="18"/>
  <c r="E198" i="18"/>
  <c r="E199" i="18"/>
  <c r="E200" i="18"/>
  <c r="D196" i="18"/>
  <c r="D196" i="34" s="1"/>
  <c r="D197" i="18"/>
  <c r="D198" i="18"/>
  <c r="D199" i="18"/>
  <c r="D200" i="18"/>
  <c r="C196" i="18"/>
  <c r="C197" i="18"/>
  <c r="C198" i="18"/>
  <c r="C199" i="18"/>
  <c r="C200" i="18"/>
  <c r="I196" i="30"/>
  <c r="I197" i="30"/>
  <c r="I198" i="30"/>
  <c r="I199" i="30"/>
  <c r="I200" i="30"/>
  <c r="H196" i="30"/>
  <c r="H197" i="30"/>
  <c r="H198" i="30"/>
  <c r="H199" i="30"/>
  <c r="H200" i="30"/>
  <c r="F196" i="30"/>
  <c r="F197" i="30"/>
  <c r="F198" i="30"/>
  <c r="F199" i="30"/>
  <c r="F200" i="30"/>
  <c r="E196" i="30"/>
  <c r="E197" i="30"/>
  <c r="E198" i="30"/>
  <c r="E199" i="30"/>
  <c r="E200" i="30"/>
  <c r="D196" i="30"/>
  <c r="D197" i="30"/>
  <c r="D198" i="30"/>
  <c r="D199" i="30"/>
  <c r="D200" i="30"/>
  <c r="C196" i="30"/>
  <c r="C197" i="30"/>
  <c r="C198" i="30"/>
  <c r="C199" i="30"/>
  <c r="C200" i="30"/>
  <c r="H196" i="29"/>
  <c r="H197" i="29"/>
  <c r="H198" i="29"/>
  <c r="H199" i="29"/>
  <c r="H200" i="29"/>
  <c r="E196" i="29"/>
  <c r="E197" i="29"/>
  <c r="E198" i="29"/>
  <c r="E199" i="29"/>
  <c r="E200" i="29"/>
  <c r="D196" i="29"/>
  <c r="D197" i="29"/>
  <c r="D198" i="29"/>
  <c r="D199" i="29"/>
  <c r="D200" i="29"/>
  <c r="C196" i="29"/>
  <c r="C197" i="29"/>
  <c r="C198" i="29"/>
  <c r="C199" i="29"/>
  <c r="C200" i="29"/>
  <c r="J194" i="1"/>
  <c r="J195" i="1"/>
  <c r="J196" i="1"/>
  <c r="J197" i="1"/>
  <c r="J198" i="1"/>
  <c r="J199" i="1"/>
  <c r="J200" i="1"/>
  <c r="I196" i="1"/>
  <c r="I197" i="1"/>
  <c r="I198" i="1"/>
  <c r="I199" i="1"/>
  <c r="I200" i="1"/>
  <c r="H196" i="1"/>
  <c r="H197" i="1"/>
  <c r="H198" i="1"/>
  <c r="H199" i="1"/>
  <c r="H200" i="1"/>
  <c r="G194" i="1"/>
  <c r="G195" i="1"/>
  <c r="G196" i="1"/>
  <c r="G197" i="1"/>
  <c r="G198" i="1"/>
  <c r="G199" i="1"/>
  <c r="G200" i="1"/>
  <c r="F196" i="1"/>
  <c r="F197" i="1"/>
  <c r="F198" i="1"/>
  <c r="F199" i="1"/>
  <c r="F200" i="1"/>
  <c r="E196" i="1"/>
  <c r="E197" i="1"/>
  <c r="E198" i="1"/>
  <c r="E199" i="1"/>
  <c r="E200" i="1"/>
  <c r="D196" i="1"/>
  <c r="D197" i="1"/>
  <c r="D198" i="1"/>
  <c r="D199" i="1"/>
  <c r="D200" i="1"/>
  <c r="C196" i="1"/>
  <c r="C197" i="1"/>
  <c r="C198" i="1"/>
  <c r="C199" i="1"/>
  <c r="C200" i="1"/>
  <c r="G139" i="4"/>
  <c r="G140" i="4"/>
  <c r="G141" i="4"/>
  <c r="G142" i="4"/>
  <c r="G143" i="4"/>
  <c r="G144" i="4"/>
  <c r="G145" i="4"/>
  <c r="G146" i="4"/>
  <c r="G147" i="4"/>
  <c r="G148" i="4"/>
  <c r="G149" i="4"/>
  <c r="G151" i="4"/>
  <c r="G152" i="4"/>
  <c r="G153" i="4"/>
  <c r="G154" i="4"/>
  <c r="G155" i="4"/>
  <c r="G156" i="4"/>
  <c r="G157" i="4"/>
  <c r="G158" i="4"/>
  <c r="G159" i="4"/>
  <c r="G160" i="4"/>
  <c r="G161" i="4"/>
  <c r="G162" i="4"/>
  <c r="G163" i="4"/>
  <c r="G164" i="4"/>
  <c r="G165" i="4"/>
  <c r="G166" i="4"/>
  <c r="G167" i="4"/>
  <c r="G168" i="4"/>
  <c r="G169"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I148" i="4"/>
  <c r="F143" i="4"/>
  <c r="F144" i="4"/>
  <c r="F145" i="4"/>
  <c r="F146" i="4"/>
  <c r="F147" i="4"/>
  <c r="F148" i="4"/>
  <c r="F149" i="4"/>
  <c r="F150" i="4"/>
  <c r="G150" i="4" s="1"/>
  <c r="F151" i="4"/>
  <c r="F152" i="4"/>
  <c r="F153" i="4"/>
  <c r="F154" i="4"/>
  <c r="F155" i="4"/>
  <c r="F156" i="4"/>
  <c r="F157" i="4"/>
  <c r="F158" i="4"/>
  <c r="F159" i="4"/>
  <c r="F160" i="4"/>
  <c r="F161" i="4"/>
  <c r="F162" i="4"/>
  <c r="F163" i="4"/>
  <c r="F164" i="4"/>
  <c r="F165" i="4"/>
  <c r="F166" i="4"/>
  <c r="F167" i="4"/>
  <c r="F168" i="4"/>
  <c r="F169" i="4"/>
  <c r="F170" i="4"/>
  <c r="G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J139" i="4"/>
  <c r="J140" i="4"/>
  <c r="J141" i="4"/>
  <c r="J142" i="4"/>
  <c r="J143" i="4"/>
  <c r="J144" i="4"/>
  <c r="J145" i="4"/>
  <c r="J146" i="4"/>
  <c r="J149" i="4"/>
  <c r="J151" i="4"/>
  <c r="J152" i="4"/>
  <c r="J153" i="4"/>
  <c r="J154" i="4"/>
  <c r="J155" i="4"/>
  <c r="J156" i="4"/>
  <c r="J157" i="4"/>
  <c r="J158" i="4"/>
  <c r="J159" i="4"/>
  <c r="J160" i="4"/>
  <c r="J161" i="4"/>
  <c r="J162" i="4"/>
  <c r="J163" i="4"/>
  <c r="J164" i="4"/>
  <c r="J165" i="4"/>
  <c r="J166" i="4"/>
  <c r="J167" i="4"/>
  <c r="J168" i="4"/>
  <c r="J169" i="4"/>
  <c r="J171" i="4"/>
  <c r="J172" i="4"/>
  <c r="J173" i="4"/>
  <c r="J174" i="4"/>
  <c r="J175" i="4"/>
  <c r="J176" i="4"/>
  <c r="J177" i="4"/>
  <c r="J178" i="4"/>
  <c r="J179" i="4"/>
  <c r="J180" i="4"/>
  <c r="J181" i="4"/>
  <c r="J182" i="4"/>
  <c r="J183" i="4"/>
  <c r="J184" i="4"/>
  <c r="J185" i="4"/>
  <c r="J186" i="4"/>
  <c r="J187" i="4"/>
  <c r="J188" i="4"/>
  <c r="J189" i="4"/>
  <c r="J190" i="4"/>
  <c r="J192" i="4"/>
  <c r="J193" i="4"/>
  <c r="J196" i="4"/>
  <c r="I139" i="4"/>
  <c r="I140" i="4"/>
  <c r="I141" i="4"/>
  <c r="I142" i="4"/>
  <c r="I143" i="4"/>
  <c r="I144" i="4"/>
  <c r="I145" i="4"/>
  <c r="I146" i="4"/>
  <c r="I147" i="4"/>
  <c r="J147" i="4"/>
  <c r="J148" i="4"/>
  <c r="I149" i="4"/>
  <c r="I150" i="4"/>
  <c r="J150" i="4" s="1"/>
  <c r="I151" i="4"/>
  <c r="I152" i="4"/>
  <c r="I153" i="4"/>
  <c r="I154" i="4"/>
  <c r="I155" i="4"/>
  <c r="I156" i="4"/>
  <c r="I157" i="4"/>
  <c r="I158" i="4"/>
  <c r="I159" i="4"/>
  <c r="I160" i="4"/>
  <c r="I161" i="4"/>
  <c r="I162" i="4"/>
  <c r="I163" i="4"/>
  <c r="I164" i="4"/>
  <c r="I165" i="4"/>
  <c r="I166" i="4"/>
  <c r="I167" i="4"/>
  <c r="I168" i="4"/>
  <c r="I169" i="4"/>
  <c r="I170" i="4"/>
  <c r="J170" i="4"/>
  <c r="I171" i="4"/>
  <c r="I172" i="4"/>
  <c r="I173" i="4"/>
  <c r="I174" i="4"/>
  <c r="I175" i="4"/>
  <c r="I176" i="4"/>
  <c r="I177" i="4"/>
  <c r="I178" i="4"/>
  <c r="I179" i="4"/>
  <c r="I180" i="4"/>
  <c r="I181" i="4"/>
  <c r="I182" i="4"/>
  <c r="I183" i="4"/>
  <c r="I184" i="4"/>
  <c r="I185" i="4"/>
  <c r="I186" i="4"/>
  <c r="I187" i="4"/>
  <c r="I188" i="4"/>
  <c r="I189" i="4"/>
  <c r="I190" i="4"/>
  <c r="I191" i="4"/>
  <c r="J191" i="4"/>
  <c r="I192" i="4"/>
  <c r="I193" i="4"/>
  <c r="I194" i="4"/>
  <c r="J194" i="4" s="1"/>
  <c r="I195" i="4"/>
  <c r="J195" i="4" s="1"/>
  <c r="I196" i="4"/>
  <c r="I197" i="4"/>
  <c r="J197" i="4" s="1"/>
  <c r="I198" i="4"/>
  <c r="J198" i="4"/>
  <c r="I199" i="4"/>
  <c r="J199" i="4"/>
  <c r="I200" i="4"/>
  <c r="J200"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F140" i="4"/>
  <c r="F141" i="4"/>
  <c r="F142" i="4"/>
  <c r="I131" i="4"/>
  <c r="I120" i="4"/>
  <c r="F118" i="4"/>
  <c r="F79" i="4"/>
  <c r="G79" i="4"/>
  <c r="F80" i="4"/>
  <c r="G80" i="4"/>
  <c r="J27" i="3"/>
  <c r="J29" i="3"/>
  <c r="J30" i="3"/>
  <c r="J31" i="3"/>
  <c r="J32" i="3"/>
  <c r="J33" i="3"/>
  <c r="J35" i="3"/>
  <c r="J37" i="3"/>
  <c r="J38" i="3"/>
  <c r="J39" i="3"/>
  <c r="J40" i="3"/>
  <c r="J41" i="3"/>
  <c r="J42" i="3"/>
  <c r="J43" i="3"/>
  <c r="J44" i="3"/>
  <c r="J45" i="3"/>
  <c r="J46" i="3"/>
  <c r="J47" i="3"/>
  <c r="J48" i="3"/>
  <c r="J49" i="3"/>
  <c r="J50" i="3"/>
  <c r="J51" i="3"/>
  <c r="J53" i="3"/>
  <c r="J54" i="3"/>
  <c r="J55" i="3"/>
  <c r="J57" i="3"/>
  <c r="J58" i="3"/>
  <c r="J59" i="3"/>
  <c r="J60" i="3"/>
  <c r="J61" i="3"/>
  <c r="J62" i="3"/>
  <c r="J63" i="3"/>
  <c r="J64" i="3"/>
  <c r="J65" i="3"/>
  <c r="J67" i="3"/>
  <c r="J68" i="3"/>
  <c r="J69" i="3"/>
  <c r="J70" i="3"/>
  <c r="J71"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2" i="3"/>
  <c r="J173" i="3"/>
  <c r="J174" i="3"/>
  <c r="J175" i="3"/>
  <c r="J176" i="3"/>
  <c r="J177" i="3"/>
  <c r="J178" i="3"/>
  <c r="J179" i="3"/>
  <c r="J180" i="3"/>
  <c r="J181" i="3"/>
  <c r="J182" i="3"/>
  <c r="J183" i="3"/>
  <c r="J184" i="3"/>
  <c r="J185" i="3"/>
  <c r="J186" i="3"/>
  <c r="J187" i="3"/>
  <c r="J188" i="3"/>
  <c r="J189" i="3"/>
  <c r="J190" i="3"/>
  <c r="J191" i="3"/>
  <c r="J192" i="3"/>
  <c r="J193" i="3"/>
  <c r="J194" i="3"/>
  <c r="J195" i="3"/>
  <c r="J19" i="3"/>
  <c r="J20" i="3"/>
  <c r="J21" i="3"/>
  <c r="J23" i="3"/>
  <c r="J24" i="3"/>
  <c r="J25" i="3"/>
  <c r="J6" i="3"/>
  <c r="J7" i="3"/>
  <c r="J9" i="3"/>
  <c r="J10" i="3"/>
  <c r="J11" i="3"/>
  <c r="J13" i="3"/>
  <c r="J14" i="3"/>
  <c r="J15" i="3"/>
  <c r="J16" i="3"/>
  <c r="J17" i="3"/>
  <c r="I191" i="18"/>
  <c r="I192" i="18"/>
  <c r="I194" i="18"/>
  <c r="I195" i="18"/>
  <c r="H190" i="18"/>
  <c r="H191" i="18"/>
  <c r="H192" i="18"/>
  <c r="H193" i="18"/>
  <c r="H194" i="18"/>
  <c r="H195" i="18"/>
  <c r="E190" i="18"/>
  <c r="E191" i="18"/>
  <c r="E192" i="18"/>
  <c r="E193" i="18"/>
  <c r="E194" i="18"/>
  <c r="E195" i="18"/>
  <c r="D190" i="18"/>
  <c r="D191" i="18"/>
  <c r="D192" i="18"/>
  <c r="D193" i="18"/>
  <c r="D194" i="18"/>
  <c r="D194" i="34" s="1"/>
  <c r="D195" i="18"/>
  <c r="H186" i="29"/>
  <c r="H187" i="29"/>
  <c r="H188" i="29"/>
  <c r="H189" i="29"/>
  <c r="H190" i="29"/>
  <c r="H191" i="29"/>
  <c r="H192" i="29"/>
  <c r="H193" i="29"/>
  <c r="H194" i="29"/>
  <c r="H195" i="29"/>
  <c r="E189" i="29"/>
  <c r="E190" i="29"/>
  <c r="E191" i="29"/>
  <c r="E192" i="29"/>
  <c r="E193" i="29"/>
  <c r="E194" i="29"/>
  <c r="E195" i="29"/>
  <c r="D189" i="29"/>
  <c r="D190" i="29"/>
  <c r="D191" i="29"/>
  <c r="D192" i="29"/>
  <c r="D193" i="29"/>
  <c r="D194" i="29"/>
  <c r="D195" i="29"/>
  <c r="I195" i="30"/>
  <c r="I190" i="30"/>
  <c r="I191" i="30"/>
  <c r="I192" i="30"/>
  <c r="I193" i="30"/>
  <c r="I194" i="30"/>
  <c r="H190" i="30"/>
  <c r="H191" i="30"/>
  <c r="H192" i="30"/>
  <c r="H193" i="30"/>
  <c r="H194" i="30"/>
  <c r="H195" i="30"/>
  <c r="F190" i="30"/>
  <c r="F191" i="30"/>
  <c r="F192" i="30"/>
  <c r="F193" i="30"/>
  <c r="F194" i="30"/>
  <c r="F195" i="30"/>
  <c r="E190" i="30"/>
  <c r="E191" i="30"/>
  <c r="E192" i="30"/>
  <c r="E193" i="30"/>
  <c r="E194" i="30"/>
  <c r="E195" i="30"/>
  <c r="D190" i="30"/>
  <c r="D191" i="30"/>
  <c r="D192" i="30"/>
  <c r="D193" i="30"/>
  <c r="D194" i="30"/>
  <c r="D195" i="30"/>
  <c r="C185" i="30"/>
  <c r="C186" i="30"/>
  <c r="C187" i="30"/>
  <c r="C188" i="30"/>
  <c r="C189" i="30"/>
  <c r="C190" i="30"/>
  <c r="C191" i="30"/>
  <c r="C192" i="30"/>
  <c r="C193" i="30"/>
  <c r="C194" i="30"/>
  <c r="C195" i="30"/>
  <c r="I188" i="1"/>
  <c r="I189" i="1"/>
  <c r="I190" i="1"/>
  <c r="H191" i="1"/>
  <c r="I191" i="1"/>
  <c r="H192" i="1"/>
  <c r="I192" i="1"/>
  <c r="I193" i="1"/>
  <c r="H194" i="1"/>
  <c r="I194" i="1"/>
  <c r="H195" i="1"/>
  <c r="I195" i="1"/>
  <c r="D191" i="1"/>
  <c r="E191" i="1"/>
  <c r="D192" i="1"/>
  <c r="E192" i="1"/>
  <c r="D193" i="1"/>
  <c r="E193" i="1"/>
  <c r="D194" i="1"/>
  <c r="E194" i="1"/>
  <c r="D195" i="1"/>
  <c r="E195" i="1"/>
  <c r="C185" i="34"/>
  <c r="C186" i="34"/>
  <c r="C187" i="34"/>
  <c r="C188" i="34"/>
  <c r="C189" i="34"/>
  <c r="C190" i="34"/>
  <c r="C191" i="34"/>
  <c r="C192" i="34"/>
  <c r="C193" i="34"/>
  <c r="C194" i="34"/>
  <c r="C195" i="34"/>
  <c r="J191" i="1"/>
  <c r="J192" i="1"/>
  <c r="H189" i="1"/>
  <c r="J189" i="1"/>
  <c r="H190" i="1"/>
  <c r="J190" i="1"/>
  <c r="H193" i="1"/>
  <c r="J193" i="1"/>
  <c r="F194" i="1"/>
  <c r="F195" i="1"/>
  <c r="F191" i="1"/>
  <c r="G191" i="1"/>
  <c r="F192" i="1"/>
  <c r="G192" i="1"/>
  <c r="E190" i="1"/>
  <c r="C186" i="29"/>
  <c r="C187" i="29"/>
  <c r="C188" i="29"/>
  <c r="C189" i="29"/>
  <c r="C190" i="29"/>
  <c r="C191" i="29"/>
  <c r="C192" i="29"/>
  <c r="C193" i="29"/>
  <c r="C194" i="29"/>
  <c r="C195" i="29"/>
  <c r="D190" i="1"/>
  <c r="C186" i="18"/>
  <c r="C187" i="18"/>
  <c r="C188" i="18"/>
  <c r="C189" i="18"/>
  <c r="C190" i="18"/>
  <c r="C191" i="18"/>
  <c r="C192" i="18"/>
  <c r="C193" i="18"/>
  <c r="C194" i="18"/>
  <c r="C195" i="18"/>
  <c r="C186" i="1"/>
  <c r="C187" i="1"/>
  <c r="C188" i="1"/>
  <c r="C189" i="1"/>
  <c r="C190" i="1"/>
  <c r="C191" i="1"/>
  <c r="C192" i="1"/>
  <c r="C193" i="1"/>
  <c r="C194" i="1"/>
  <c r="C195" i="1"/>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160" i="3"/>
  <c r="C161" i="3"/>
  <c r="C200" i="72"/>
  <c r="C199" i="72"/>
  <c r="C197" i="72"/>
  <c r="C198" i="72"/>
  <c r="C196" i="72"/>
  <c r="C189" i="72"/>
  <c r="C188" i="72"/>
  <c r="C187" i="72"/>
  <c r="C186" i="72"/>
  <c r="C185" i="72"/>
  <c r="C183" i="72"/>
  <c r="C181" i="72"/>
  <c r="C179" i="72"/>
  <c r="C177" i="72"/>
  <c r="C175" i="72"/>
  <c r="C173" i="72"/>
  <c r="C171" i="72"/>
  <c r="C169" i="72"/>
  <c r="C167" i="72"/>
  <c r="C165" i="72"/>
  <c r="C163" i="72"/>
  <c r="C164" i="72"/>
  <c r="I189" i="3"/>
  <c r="I190" i="3"/>
  <c r="I191" i="3"/>
  <c r="I192" i="3"/>
  <c r="I193" i="3"/>
  <c r="I194" i="3"/>
  <c r="I195" i="3"/>
  <c r="F190" i="3"/>
  <c r="G190" i="3"/>
  <c r="F191" i="3"/>
  <c r="G191" i="3"/>
  <c r="F192" i="3"/>
  <c r="G192" i="3"/>
  <c r="F193" i="3"/>
  <c r="G193" i="3"/>
  <c r="F194" i="3"/>
  <c r="G194" i="3"/>
  <c r="F195" i="3"/>
  <c r="G195" i="3"/>
  <c r="I164" i="72"/>
  <c r="J164" i="72"/>
  <c r="I165" i="72"/>
  <c r="J165" i="72"/>
  <c r="I166" i="72"/>
  <c r="J166" i="72"/>
  <c r="I167" i="72"/>
  <c r="J167" i="72"/>
  <c r="I168" i="72"/>
  <c r="J168" i="72"/>
  <c r="I169" i="72"/>
  <c r="J169" i="72"/>
  <c r="I170" i="72"/>
  <c r="J170" i="72"/>
  <c r="I171" i="72"/>
  <c r="J171" i="72"/>
  <c r="I172" i="72"/>
  <c r="J172" i="72"/>
  <c r="I173" i="72"/>
  <c r="J173" i="72"/>
  <c r="I174" i="72"/>
  <c r="J174" i="72"/>
  <c r="I175" i="72"/>
  <c r="J175" i="72"/>
  <c r="I176" i="72"/>
  <c r="J176" i="72"/>
  <c r="I177" i="72"/>
  <c r="J177" i="72"/>
  <c r="I178" i="72"/>
  <c r="J178" i="72"/>
  <c r="I179" i="72"/>
  <c r="J179" i="72"/>
  <c r="I180" i="72"/>
  <c r="J180" i="72"/>
  <c r="I181" i="72"/>
  <c r="J181" i="72"/>
  <c r="I182" i="72"/>
  <c r="J182" i="72"/>
  <c r="I183" i="72"/>
  <c r="J183" i="72"/>
  <c r="I184" i="72"/>
  <c r="J184" i="72"/>
  <c r="I185" i="72"/>
  <c r="J185" i="72"/>
  <c r="I186" i="72"/>
  <c r="J186" i="72"/>
  <c r="I187" i="72"/>
  <c r="J187" i="72"/>
  <c r="I188" i="72"/>
  <c r="J188" i="72"/>
  <c r="I189" i="72"/>
  <c r="J189" i="72"/>
  <c r="I190" i="72"/>
  <c r="J190" i="72"/>
  <c r="I191" i="72"/>
  <c r="J191" i="72"/>
  <c r="I192" i="72"/>
  <c r="J192" i="72"/>
  <c r="I193" i="72"/>
  <c r="J193" i="72"/>
  <c r="I194" i="72"/>
  <c r="J194" i="72"/>
  <c r="I195" i="72"/>
  <c r="J195" i="72"/>
  <c r="F186" i="72"/>
  <c r="G186" i="72"/>
  <c r="F187" i="72"/>
  <c r="G187" i="72"/>
  <c r="F188" i="72"/>
  <c r="G188" i="72"/>
  <c r="F189" i="72"/>
  <c r="G189" i="72"/>
  <c r="F190" i="72"/>
  <c r="G190" i="72"/>
  <c r="F191" i="72"/>
  <c r="G191" i="72"/>
  <c r="F192" i="72"/>
  <c r="G192" i="72"/>
  <c r="F193" i="72"/>
  <c r="G193" i="72"/>
  <c r="F194" i="72"/>
  <c r="G194" i="72"/>
  <c r="F195" i="72"/>
  <c r="G195" i="72"/>
  <c r="C191" i="72"/>
  <c r="C192" i="72"/>
  <c r="C193" i="72"/>
  <c r="C194" i="72"/>
  <c r="C195" i="72"/>
  <c r="C190" i="72"/>
  <c r="D125" i="1"/>
  <c r="D65" i="1"/>
  <c r="I186" i="30"/>
  <c r="I187" i="30"/>
  <c r="I188" i="30"/>
  <c r="I189" i="30"/>
  <c r="H186" i="30"/>
  <c r="H187" i="30"/>
  <c r="H188" i="30"/>
  <c r="H189" i="30"/>
  <c r="F186" i="30"/>
  <c r="F187" i="30"/>
  <c r="F188" i="30"/>
  <c r="F189" i="30"/>
  <c r="E186" i="30"/>
  <c r="E187" i="30"/>
  <c r="E188" i="30"/>
  <c r="E189" i="30"/>
  <c r="D186" i="30"/>
  <c r="D187" i="30"/>
  <c r="D188" i="30"/>
  <c r="D189" i="30"/>
  <c r="D186" i="29"/>
  <c r="D187" i="29"/>
  <c r="D188" i="29"/>
  <c r="E186" i="29"/>
  <c r="E187" i="29"/>
  <c r="E188" i="29"/>
  <c r="H188" i="18"/>
  <c r="H189" i="18"/>
  <c r="H189" i="34" s="1"/>
  <c r="I186" i="18"/>
  <c r="I188" i="18"/>
  <c r="I189" i="18"/>
  <c r="I189" i="34" s="1"/>
  <c r="H186" i="18"/>
  <c r="H186" i="34" s="1"/>
  <c r="H187" i="18"/>
  <c r="E186" i="18"/>
  <c r="E187" i="18"/>
  <c r="E188" i="18"/>
  <c r="E189" i="18"/>
  <c r="D186" i="18"/>
  <c r="D186" i="34" s="1"/>
  <c r="D187" i="18"/>
  <c r="D187" i="34" s="1"/>
  <c r="D188" i="18"/>
  <c r="D188" i="34" s="1"/>
  <c r="D189" i="18"/>
  <c r="D189" i="34" s="1"/>
  <c r="D185" i="18"/>
  <c r="H186" i="1"/>
  <c r="I186" i="1"/>
  <c r="H187" i="1"/>
  <c r="H188" i="1"/>
  <c r="J188" i="1"/>
  <c r="E186" i="1"/>
  <c r="E187" i="1"/>
  <c r="E188" i="1"/>
  <c r="D188" i="1"/>
  <c r="F188" i="1"/>
  <c r="G188" i="1"/>
  <c r="E189" i="1"/>
  <c r="D186" i="1"/>
  <c r="D187" i="1"/>
  <c r="D189" i="1"/>
  <c r="I125" i="3"/>
  <c r="F125" i="3"/>
  <c r="F123" i="3"/>
  <c r="I138" i="3"/>
  <c r="I139" i="3"/>
  <c r="I140" i="3"/>
  <c r="I141" i="3"/>
  <c r="I142" i="3"/>
  <c r="J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J170" i="3" s="1"/>
  <c r="I171" i="3"/>
  <c r="I172" i="3"/>
  <c r="I173" i="3"/>
  <c r="I174" i="3"/>
  <c r="I175" i="3"/>
  <c r="I176" i="3"/>
  <c r="I177" i="3"/>
  <c r="I178" i="3"/>
  <c r="I179" i="3"/>
  <c r="I180" i="3"/>
  <c r="I181" i="3"/>
  <c r="I182" i="3"/>
  <c r="I183" i="3"/>
  <c r="I184" i="3"/>
  <c r="I185" i="3"/>
  <c r="I186" i="3"/>
  <c r="I187" i="3"/>
  <c r="I187" i="1"/>
  <c r="I188" i="3"/>
  <c r="F188" i="3"/>
  <c r="G188" i="3"/>
  <c r="F189" i="3"/>
  <c r="G189" i="3"/>
  <c r="F186" i="3"/>
  <c r="G186" i="3"/>
  <c r="F187" i="3"/>
  <c r="G187" i="3"/>
  <c r="F124" i="3"/>
  <c r="I64" i="72"/>
  <c r="I65" i="72"/>
  <c r="I66" i="72"/>
  <c r="I67" i="72"/>
  <c r="I68" i="72"/>
  <c r="I69" i="72"/>
  <c r="F64" i="72"/>
  <c r="F65" i="72"/>
  <c r="G65" i="72"/>
  <c r="F66" i="72"/>
  <c r="F67" i="72"/>
  <c r="F68" i="72"/>
  <c r="F69" i="72"/>
  <c r="I138" i="72"/>
  <c r="J138" i="72"/>
  <c r="I139" i="72"/>
  <c r="J139" i="72"/>
  <c r="I140" i="72"/>
  <c r="J140" i="72"/>
  <c r="I141" i="72"/>
  <c r="J141" i="72"/>
  <c r="I142" i="72"/>
  <c r="J142" i="72"/>
  <c r="I143" i="72"/>
  <c r="J143" i="72"/>
  <c r="I144" i="72"/>
  <c r="J144" i="72"/>
  <c r="I145" i="72"/>
  <c r="J145" i="72"/>
  <c r="I146" i="72"/>
  <c r="J146" i="72"/>
  <c r="I147" i="72"/>
  <c r="J147" i="72"/>
  <c r="I148" i="72"/>
  <c r="J148" i="72"/>
  <c r="I149" i="72"/>
  <c r="J149" i="72"/>
  <c r="I150" i="72"/>
  <c r="J150" i="72"/>
  <c r="I151" i="72"/>
  <c r="J151" i="72"/>
  <c r="I152" i="72"/>
  <c r="J152" i="72"/>
  <c r="I153" i="72"/>
  <c r="J153" i="72"/>
  <c r="I154" i="72"/>
  <c r="J154" i="72"/>
  <c r="I155" i="72"/>
  <c r="J155" i="72"/>
  <c r="I156" i="72"/>
  <c r="J156" i="72"/>
  <c r="I157" i="72"/>
  <c r="J157" i="72"/>
  <c r="I158" i="72"/>
  <c r="J158" i="72"/>
  <c r="I159" i="72"/>
  <c r="J159" i="72"/>
  <c r="I160" i="72"/>
  <c r="J160" i="72"/>
  <c r="I161" i="72"/>
  <c r="J161" i="72"/>
  <c r="I162" i="72"/>
  <c r="J162" i="72"/>
  <c r="I163" i="72"/>
  <c r="J163" i="72"/>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G138" i="72"/>
  <c r="G139" i="72"/>
  <c r="G140" i="72"/>
  <c r="G141" i="72"/>
  <c r="G142" i="72"/>
  <c r="G143" i="72"/>
  <c r="G144" i="72"/>
  <c r="G145" i="72"/>
  <c r="G146" i="72"/>
  <c r="G147" i="72"/>
  <c r="G148" i="72"/>
  <c r="G149" i="72"/>
  <c r="G150" i="72"/>
  <c r="G151" i="72"/>
  <c r="G152" i="72"/>
  <c r="G153" i="72"/>
  <c r="G154" i="72"/>
  <c r="G155" i="72"/>
  <c r="G156" i="72"/>
  <c r="G157" i="72"/>
  <c r="G158" i="72"/>
  <c r="G159" i="72"/>
  <c r="G160" i="72"/>
  <c r="G161" i="72"/>
  <c r="G162" i="72"/>
  <c r="G163" i="72"/>
  <c r="G164" i="72"/>
  <c r="G165" i="72"/>
  <c r="G166" i="72"/>
  <c r="G167" i="72"/>
  <c r="G168" i="72"/>
  <c r="G169" i="72"/>
  <c r="G170" i="72"/>
  <c r="G171" i="72"/>
  <c r="G172" i="72"/>
  <c r="G173" i="72"/>
  <c r="G174" i="72"/>
  <c r="G175" i="72"/>
  <c r="G176" i="72"/>
  <c r="G177" i="72"/>
  <c r="G178" i="72"/>
  <c r="G179" i="72"/>
  <c r="G180" i="72"/>
  <c r="G181" i="72"/>
  <c r="G182" i="72"/>
  <c r="G183" i="72"/>
  <c r="G184" i="72"/>
  <c r="G185" i="72"/>
  <c r="F164" i="33"/>
  <c r="G164" i="33"/>
  <c r="I164" i="33"/>
  <c r="J164" i="33"/>
  <c r="F165" i="33"/>
  <c r="G165" i="33"/>
  <c r="I165" i="33"/>
  <c r="J165" i="33"/>
  <c r="F166" i="33"/>
  <c r="G166" i="33"/>
  <c r="I166" i="33"/>
  <c r="J166" i="33"/>
  <c r="F167" i="33"/>
  <c r="G167" i="33"/>
  <c r="I167" i="33"/>
  <c r="J167" i="33"/>
  <c r="F168" i="33"/>
  <c r="G168" i="33"/>
  <c r="I168" i="33"/>
  <c r="J168" i="33"/>
  <c r="F169" i="33"/>
  <c r="G169" i="33"/>
  <c r="I169" i="33"/>
  <c r="J169" i="33"/>
  <c r="F170" i="33"/>
  <c r="G170" i="33"/>
  <c r="I170" i="33"/>
  <c r="J170" i="33"/>
  <c r="F171" i="33"/>
  <c r="G171" i="33"/>
  <c r="I171" i="33"/>
  <c r="J171" i="33"/>
  <c r="F172" i="33"/>
  <c r="G172" i="33"/>
  <c r="I172" i="33"/>
  <c r="J172" i="33"/>
  <c r="F173" i="33"/>
  <c r="G173" i="33"/>
  <c r="I173" i="33"/>
  <c r="J173" i="33"/>
  <c r="F174" i="33"/>
  <c r="G174" i="33"/>
  <c r="I174" i="33"/>
  <c r="J174" i="33"/>
  <c r="F175" i="33"/>
  <c r="G175" i="33"/>
  <c r="I175" i="33"/>
  <c r="J175" i="33"/>
  <c r="F176" i="33"/>
  <c r="G176" i="33"/>
  <c r="I176" i="33"/>
  <c r="J176" i="33"/>
  <c r="F177" i="33"/>
  <c r="G177" i="33"/>
  <c r="I177" i="33"/>
  <c r="J177" i="33"/>
  <c r="F178" i="33"/>
  <c r="G178" i="33"/>
  <c r="I178" i="33"/>
  <c r="J178" i="33"/>
  <c r="F179" i="33"/>
  <c r="G179" i="33"/>
  <c r="I179" i="33"/>
  <c r="J179" i="33"/>
  <c r="F180" i="33"/>
  <c r="G180" i="33"/>
  <c r="I180" i="33"/>
  <c r="J180" i="33"/>
  <c r="F181" i="33"/>
  <c r="G181" i="33"/>
  <c r="I181" i="33"/>
  <c r="J181" i="33"/>
  <c r="F182" i="33"/>
  <c r="G182" i="33"/>
  <c r="I182" i="33"/>
  <c r="J182" i="33"/>
  <c r="F183" i="33"/>
  <c r="G183" i="33"/>
  <c r="I183" i="33"/>
  <c r="J183" i="33"/>
  <c r="F184" i="33"/>
  <c r="G184" i="33"/>
  <c r="I184" i="33"/>
  <c r="J184" i="33"/>
  <c r="F185" i="33"/>
  <c r="G185" i="33"/>
  <c r="I185" i="33"/>
  <c r="J185" i="33"/>
  <c r="F164" i="32"/>
  <c r="G164" i="32"/>
  <c r="I164" i="32"/>
  <c r="J164" i="32"/>
  <c r="F165" i="32"/>
  <c r="G165" i="32"/>
  <c r="I165" i="32"/>
  <c r="J165" i="32"/>
  <c r="F166" i="32"/>
  <c r="G166" i="32"/>
  <c r="I166" i="32"/>
  <c r="J166" i="32"/>
  <c r="F167" i="32"/>
  <c r="G167" i="32"/>
  <c r="I167" i="32"/>
  <c r="J167" i="32"/>
  <c r="F168" i="32"/>
  <c r="G168" i="32"/>
  <c r="I168" i="32"/>
  <c r="J168" i="32"/>
  <c r="F169" i="32"/>
  <c r="G169" i="32"/>
  <c r="I169" i="32"/>
  <c r="I169" i="30"/>
  <c r="J169" i="30"/>
  <c r="F170" i="32"/>
  <c r="G170" i="32"/>
  <c r="I170" i="32"/>
  <c r="J170" i="32"/>
  <c r="F171" i="32"/>
  <c r="G171" i="32"/>
  <c r="I171" i="32"/>
  <c r="J171" i="32"/>
  <c r="F172" i="32"/>
  <c r="G172" i="32"/>
  <c r="I172" i="32"/>
  <c r="J172" i="32"/>
  <c r="F173" i="32"/>
  <c r="G173" i="32"/>
  <c r="I173" i="32"/>
  <c r="J173" i="32"/>
  <c r="F174" i="32"/>
  <c r="G174" i="32"/>
  <c r="I174" i="32"/>
  <c r="J174" i="32"/>
  <c r="F175" i="32"/>
  <c r="G175" i="32"/>
  <c r="I175" i="32"/>
  <c r="J175" i="32"/>
  <c r="F176" i="32"/>
  <c r="G176" i="32"/>
  <c r="I176" i="32"/>
  <c r="J176" i="32"/>
  <c r="F177" i="32"/>
  <c r="G177" i="32"/>
  <c r="I177" i="32"/>
  <c r="F178" i="32"/>
  <c r="G178" i="32"/>
  <c r="I178" i="32"/>
  <c r="J178" i="32"/>
  <c r="F179" i="32"/>
  <c r="G179" i="32"/>
  <c r="I179" i="32"/>
  <c r="J179" i="32"/>
  <c r="F180" i="32"/>
  <c r="G180" i="32"/>
  <c r="I180" i="32"/>
  <c r="J180" i="32"/>
  <c r="F181" i="32"/>
  <c r="G181" i="32"/>
  <c r="I181" i="32"/>
  <c r="J181" i="32"/>
  <c r="F182" i="32"/>
  <c r="G182" i="32"/>
  <c r="I182" i="32"/>
  <c r="J182" i="32"/>
  <c r="F183" i="32"/>
  <c r="G183" i="32"/>
  <c r="I183" i="32"/>
  <c r="J183" i="32"/>
  <c r="F184" i="32"/>
  <c r="G184" i="32"/>
  <c r="I184" i="32"/>
  <c r="J184" i="32"/>
  <c r="F185" i="32"/>
  <c r="G185" i="32"/>
  <c r="I185" i="32"/>
  <c r="I185" i="30"/>
  <c r="J185" i="30"/>
  <c r="F164" i="31"/>
  <c r="G164" i="31"/>
  <c r="I164" i="31"/>
  <c r="J164" i="31"/>
  <c r="F165" i="31"/>
  <c r="G165" i="31"/>
  <c r="I165" i="31"/>
  <c r="F166" i="31"/>
  <c r="G166" i="31"/>
  <c r="I166" i="31"/>
  <c r="J166" i="31"/>
  <c r="F167" i="31"/>
  <c r="G167" i="31"/>
  <c r="I167" i="31"/>
  <c r="F168" i="31"/>
  <c r="G168" i="31"/>
  <c r="I168" i="31"/>
  <c r="J168" i="31"/>
  <c r="F169" i="31"/>
  <c r="G169" i="31"/>
  <c r="I169" i="31"/>
  <c r="J169" i="31"/>
  <c r="F170" i="31"/>
  <c r="G170" i="31"/>
  <c r="I170" i="31"/>
  <c r="J170" i="31"/>
  <c r="F171" i="31"/>
  <c r="G171" i="31"/>
  <c r="I171" i="31"/>
  <c r="F172" i="31"/>
  <c r="G172" i="31"/>
  <c r="I172" i="31"/>
  <c r="J172" i="31"/>
  <c r="F173" i="31"/>
  <c r="G173" i="31"/>
  <c r="I173" i="31"/>
  <c r="F174" i="31"/>
  <c r="G174" i="31"/>
  <c r="I174" i="31"/>
  <c r="J174" i="31"/>
  <c r="F175" i="31"/>
  <c r="G175" i="31"/>
  <c r="I175" i="31"/>
  <c r="F176" i="31"/>
  <c r="G176" i="31"/>
  <c r="I176" i="31"/>
  <c r="J176" i="31"/>
  <c r="F177" i="31"/>
  <c r="G177" i="31"/>
  <c r="I177" i="31"/>
  <c r="J177" i="31"/>
  <c r="F178" i="31"/>
  <c r="G178" i="31"/>
  <c r="I178" i="31"/>
  <c r="J178" i="31"/>
  <c r="F179" i="31"/>
  <c r="G179" i="31"/>
  <c r="I179" i="31"/>
  <c r="F180" i="31"/>
  <c r="G180" i="31"/>
  <c r="I180" i="31"/>
  <c r="J180" i="31"/>
  <c r="F181" i="31"/>
  <c r="G181" i="31"/>
  <c r="I181" i="31"/>
  <c r="F182" i="31"/>
  <c r="G182" i="31"/>
  <c r="I182" i="31"/>
  <c r="J182" i="31"/>
  <c r="F183" i="31"/>
  <c r="G183" i="31"/>
  <c r="I183" i="31"/>
  <c r="F184" i="31"/>
  <c r="G184" i="31"/>
  <c r="I184" i="31"/>
  <c r="J184" i="31"/>
  <c r="F185" i="31"/>
  <c r="G185" i="31"/>
  <c r="I185" i="31"/>
  <c r="J185" i="31"/>
  <c r="F162" i="28"/>
  <c r="G162" i="28"/>
  <c r="I162" i="28"/>
  <c r="J162" i="28"/>
  <c r="F163" i="28"/>
  <c r="G163" i="28"/>
  <c r="I163" i="28"/>
  <c r="J163" i="28"/>
  <c r="F164" i="28"/>
  <c r="G164" i="28"/>
  <c r="I164" i="28"/>
  <c r="J164" i="28"/>
  <c r="F165" i="28"/>
  <c r="G165" i="28"/>
  <c r="I165" i="28"/>
  <c r="J165" i="28"/>
  <c r="F166" i="28"/>
  <c r="G166" i="28"/>
  <c r="I166" i="28"/>
  <c r="J166" i="28"/>
  <c r="F167" i="28"/>
  <c r="G167" i="28"/>
  <c r="I167" i="28"/>
  <c r="J167" i="28"/>
  <c r="F168" i="28"/>
  <c r="G168" i="28"/>
  <c r="I168" i="28"/>
  <c r="J168" i="28"/>
  <c r="F169" i="28"/>
  <c r="G169" i="28"/>
  <c r="I169" i="28"/>
  <c r="J169" i="28"/>
  <c r="F170" i="28"/>
  <c r="G170" i="28"/>
  <c r="I170" i="28"/>
  <c r="J170" i="28"/>
  <c r="F171" i="28"/>
  <c r="G171" i="28"/>
  <c r="I171" i="28"/>
  <c r="J171" i="28"/>
  <c r="F172" i="28"/>
  <c r="G172" i="28"/>
  <c r="I172" i="28"/>
  <c r="J172" i="28"/>
  <c r="F173" i="28"/>
  <c r="G173" i="28"/>
  <c r="I173" i="28"/>
  <c r="J173" i="28"/>
  <c r="F174" i="28"/>
  <c r="G174" i="28"/>
  <c r="I174" i="28"/>
  <c r="J174" i="28"/>
  <c r="F175" i="28"/>
  <c r="G175" i="28"/>
  <c r="I175" i="28"/>
  <c r="J175" i="28"/>
  <c r="F176" i="28"/>
  <c r="G176" i="28"/>
  <c r="I176" i="28"/>
  <c r="J176" i="28"/>
  <c r="F177" i="28"/>
  <c r="G177" i="28"/>
  <c r="I177" i="28"/>
  <c r="J177" i="28"/>
  <c r="F178" i="28"/>
  <c r="G178" i="28"/>
  <c r="I178" i="28"/>
  <c r="J178" i="28"/>
  <c r="F179" i="28"/>
  <c r="G179" i="28"/>
  <c r="I179" i="28"/>
  <c r="J179" i="28"/>
  <c r="F180" i="28"/>
  <c r="G180" i="28"/>
  <c r="I180" i="28"/>
  <c r="J180" i="28"/>
  <c r="F181" i="28"/>
  <c r="G181" i="28"/>
  <c r="I181" i="28"/>
  <c r="J181" i="28"/>
  <c r="F182" i="28"/>
  <c r="G182" i="28"/>
  <c r="I182" i="28"/>
  <c r="J182" i="28"/>
  <c r="F183" i="28"/>
  <c r="G183" i="28"/>
  <c r="I183" i="28"/>
  <c r="J183" i="28"/>
  <c r="F184" i="28"/>
  <c r="G184" i="28"/>
  <c r="I184" i="28"/>
  <c r="J184" i="28"/>
  <c r="F185" i="28"/>
  <c r="G185" i="28"/>
  <c r="I185" i="28"/>
  <c r="J185" i="28"/>
  <c r="F162" i="27"/>
  <c r="G162" i="27"/>
  <c r="I162" i="27"/>
  <c r="J162" i="27"/>
  <c r="F163" i="27"/>
  <c r="G163" i="27"/>
  <c r="I163" i="27"/>
  <c r="J163" i="27"/>
  <c r="F164" i="27"/>
  <c r="G164" i="27"/>
  <c r="I164" i="27"/>
  <c r="J164" i="27"/>
  <c r="F165" i="27"/>
  <c r="G165" i="27"/>
  <c r="I165" i="27"/>
  <c r="J165" i="27"/>
  <c r="F166" i="27"/>
  <c r="G166" i="27"/>
  <c r="I166" i="27"/>
  <c r="J166" i="27"/>
  <c r="F167" i="27"/>
  <c r="G167" i="27"/>
  <c r="I167" i="27"/>
  <c r="J167" i="27"/>
  <c r="F168" i="27"/>
  <c r="G168" i="27"/>
  <c r="I168" i="27"/>
  <c r="F169" i="27"/>
  <c r="G169" i="27"/>
  <c r="I169" i="27"/>
  <c r="J169" i="27"/>
  <c r="F170" i="27"/>
  <c r="G170" i="27"/>
  <c r="I170" i="27"/>
  <c r="J170" i="27"/>
  <c r="F171" i="27"/>
  <c r="G171" i="27"/>
  <c r="I171" i="27"/>
  <c r="J171" i="27"/>
  <c r="F172" i="27"/>
  <c r="G172" i="27"/>
  <c r="I172" i="27"/>
  <c r="J172" i="27"/>
  <c r="F173" i="27"/>
  <c r="G173" i="27"/>
  <c r="I173" i="27"/>
  <c r="J173" i="27"/>
  <c r="F174" i="27"/>
  <c r="G174" i="27"/>
  <c r="I174" i="27"/>
  <c r="J174" i="27"/>
  <c r="F175" i="27"/>
  <c r="G175" i="27"/>
  <c r="I175" i="27"/>
  <c r="J175" i="27"/>
  <c r="F176" i="27"/>
  <c r="G176" i="27"/>
  <c r="I176" i="27"/>
  <c r="J176" i="27"/>
  <c r="F177" i="27"/>
  <c r="G177" i="27"/>
  <c r="I177" i="27"/>
  <c r="J177" i="27"/>
  <c r="F178" i="27"/>
  <c r="G178" i="27"/>
  <c r="I178" i="27"/>
  <c r="J178" i="27"/>
  <c r="F179" i="27"/>
  <c r="G179" i="27"/>
  <c r="I179" i="27"/>
  <c r="J179" i="27"/>
  <c r="F180" i="27"/>
  <c r="G180" i="27"/>
  <c r="I180" i="27"/>
  <c r="J180" i="27"/>
  <c r="F181" i="27"/>
  <c r="G181" i="27"/>
  <c r="I181" i="27"/>
  <c r="J181" i="27"/>
  <c r="F182" i="27"/>
  <c r="G182" i="27"/>
  <c r="I182" i="27"/>
  <c r="J182" i="27"/>
  <c r="F183" i="27"/>
  <c r="G183" i="27"/>
  <c r="I183" i="27"/>
  <c r="J183" i="27"/>
  <c r="F184" i="27"/>
  <c r="G184" i="27"/>
  <c r="I184" i="27"/>
  <c r="F185" i="27"/>
  <c r="G185" i="27"/>
  <c r="I185" i="27"/>
  <c r="J185" i="27"/>
  <c r="F162" i="20"/>
  <c r="G162" i="20" s="1"/>
  <c r="I162" i="18"/>
  <c r="F164" i="20"/>
  <c r="G164" i="20" s="1"/>
  <c r="F166" i="20"/>
  <c r="G166" i="20"/>
  <c r="F168" i="20"/>
  <c r="G168" i="20" s="1"/>
  <c r="F170" i="20"/>
  <c r="G170" i="20" s="1"/>
  <c r="F172" i="20"/>
  <c r="G172" i="20" s="1"/>
  <c r="F174" i="20"/>
  <c r="G174" i="20"/>
  <c r="F176" i="20"/>
  <c r="G176" i="20" s="1"/>
  <c r="F178" i="20"/>
  <c r="G178" i="20"/>
  <c r="F180" i="20"/>
  <c r="G180" i="20" s="1"/>
  <c r="F182" i="20"/>
  <c r="G182" i="20" s="1"/>
  <c r="F184" i="20"/>
  <c r="G184" i="20" s="1"/>
  <c r="F126" i="3"/>
  <c r="F127" i="3"/>
  <c r="F128" i="3"/>
  <c r="F129" i="3"/>
  <c r="F130" i="3"/>
  <c r="F131" i="3"/>
  <c r="G131" i="3"/>
  <c r="F132" i="3"/>
  <c r="G132" i="3"/>
  <c r="F133" i="3"/>
  <c r="F134" i="3"/>
  <c r="F135" i="3"/>
  <c r="F136" i="3"/>
  <c r="F137" i="3"/>
  <c r="F138" i="3"/>
  <c r="G138" i="3"/>
  <c r="F139" i="3"/>
  <c r="G139" i="3"/>
  <c r="F140" i="3"/>
  <c r="G140" i="3"/>
  <c r="F141" i="3"/>
  <c r="G141" i="3"/>
  <c r="F142" i="3"/>
  <c r="G142" i="3"/>
  <c r="F143" i="3"/>
  <c r="G143" i="3"/>
  <c r="F144" i="3"/>
  <c r="G144" i="3"/>
  <c r="F145" i="3"/>
  <c r="G145" i="3"/>
  <c r="F146" i="3"/>
  <c r="G146" i="3"/>
  <c r="F147" i="3"/>
  <c r="G147" i="3"/>
  <c r="F148" i="3"/>
  <c r="G148" i="3"/>
  <c r="F149" i="3"/>
  <c r="G149" i="3"/>
  <c r="F150" i="3"/>
  <c r="G150" i="3"/>
  <c r="F151" i="3"/>
  <c r="G151" i="3"/>
  <c r="F152" i="3"/>
  <c r="G152" i="3"/>
  <c r="F153" i="3"/>
  <c r="G153" i="3"/>
  <c r="F154" i="3"/>
  <c r="G154" i="3"/>
  <c r="F155" i="3"/>
  <c r="G155" i="3"/>
  <c r="F156" i="3"/>
  <c r="G156" i="3"/>
  <c r="F157" i="3"/>
  <c r="G157" i="3"/>
  <c r="F158" i="3"/>
  <c r="G158" i="3"/>
  <c r="F159" i="3"/>
  <c r="G159" i="3"/>
  <c r="F160" i="3"/>
  <c r="G160" i="3"/>
  <c r="F161" i="3"/>
  <c r="G161" i="3"/>
  <c r="F162" i="3"/>
  <c r="G162" i="3"/>
  <c r="F163" i="3"/>
  <c r="G163" i="3"/>
  <c r="F164" i="3"/>
  <c r="G164" i="3"/>
  <c r="F165" i="3"/>
  <c r="G165" i="3"/>
  <c r="F166" i="3"/>
  <c r="G166" i="3"/>
  <c r="F167" i="3"/>
  <c r="G167" i="3"/>
  <c r="F168" i="3"/>
  <c r="G168" i="3"/>
  <c r="F169" i="3"/>
  <c r="G169" i="3"/>
  <c r="F170" i="3"/>
  <c r="G170" i="3"/>
  <c r="F171" i="3"/>
  <c r="G171" i="3"/>
  <c r="F172" i="3"/>
  <c r="G172" i="3"/>
  <c r="F173" i="3"/>
  <c r="G173" i="3"/>
  <c r="F174" i="3"/>
  <c r="G174" i="3"/>
  <c r="F175" i="3"/>
  <c r="G175" i="3"/>
  <c r="F176" i="3"/>
  <c r="G176" i="3"/>
  <c r="F177" i="3"/>
  <c r="G177" i="3"/>
  <c r="F178" i="3"/>
  <c r="G178" i="3"/>
  <c r="F179" i="3"/>
  <c r="G179" i="3"/>
  <c r="F180" i="3"/>
  <c r="G180" i="3"/>
  <c r="F181" i="3"/>
  <c r="G181" i="3"/>
  <c r="F182" i="3"/>
  <c r="G182" i="3"/>
  <c r="F183" i="3"/>
  <c r="G183" i="3"/>
  <c r="F184" i="3"/>
  <c r="G184" i="3"/>
  <c r="F185" i="3"/>
  <c r="G185" i="3"/>
  <c r="C162" i="72"/>
  <c r="C166" i="72"/>
  <c r="C168" i="72"/>
  <c r="C170" i="72"/>
  <c r="C172" i="72"/>
  <c r="C174" i="72"/>
  <c r="C176" i="72"/>
  <c r="C178" i="72"/>
  <c r="C180" i="72"/>
  <c r="C182" i="72"/>
  <c r="C184" i="72"/>
  <c r="C162" i="30"/>
  <c r="D162" i="30"/>
  <c r="F162" i="30"/>
  <c r="G162" i="30"/>
  <c r="E162" i="30"/>
  <c r="H162" i="30"/>
  <c r="I162" i="30"/>
  <c r="J162" i="30"/>
  <c r="C163" i="30"/>
  <c r="D163" i="30"/>
  <c r="F163" i="30"/>
  <c r="G163" i="30"/>
  <c r="E163" i="30"/>
  <c r="H163" i="30"/>
  <c r="I163" i="30"/>
  <c r="J163" i="30"/>
  <c r="C164" i="30"/>
  <c r="D164" i="30"/>
  <c r="F164" i="30"/>
  <c r="G164" i="30"/>
  <c r="E164" i="30"/>
  <c r="H164" i="30"/>
  <c r="I164" i="30"/>
  <c r="J164" i="30"/>
  <c r="C165" i="30"/>
  <c r="D165" i="30"/>
  <c r="E165" i="30"/>
  <c r="H165" i="30"/>
  <c r="C166" i="30"/>
  <c r="D166" i="30"/>
  <c r="E166" i="30"/>
  <c r="H166" i="30"/>
  <c r="I166" i="30"/>
  <c r="C167" i="30"/>
  <c r="D167" i="30"/>
  <c r="E167" i="30"/>
  <c r="H167" i="30"/>
  <c r="C168" i="30"/>
  <c r="D168" i="30"/>
  <c r="E168" i="30"/>
  <c r="H168" i="30"/>
  <c r="I168" i="30"/>
  <c r="C169" i="30"/>
  <c r="D169" i="30"/>
  <c r="E169" i="30"/>
  <c r="H169" i="30"/>
  <c r="C170" i="30"/>
  <c r="D170" i="30"/>
  <c r="E170" i="30"/>
  <c r="H170" i="30"/>
  <c r="I170" i="30"/>
  <c r="C171" i="30"/>
  <c r="D171" i="30"/>
  <c r="E171" i="30"/>
  <c r="H171" i="30"/>
  <c r="C172" i="30"/>
  <c r="D172" i="30"/>
  <c r="E172" i="30"/>
  <c r="H172" i="30"/>
  <c r="I172" i="30"/>
  <c r="C173" i="30"/>
  <c r="D173" i="30"/>
  <c r="E173" i="30"/>
  <c r="H173" i="30"/>
  <c r="C174" i="30"/>
  <c r="D174" i="30"/>
  <c r="E174" i="30"/>
  <c r="H174" i="30"/>
  <c r="I174" i="30"/>
  <c r="C175" i="30"/>
  <c r="D175" i="30"/>
  <c r="E175" i="30"/>
  <c r="H175" i="30"/>
  <c r="C176" i="30"/>
  <c r="D176" i="30"/>
  <c r="E176" i="30"/>
  <c r="H176" i="30"/>
  <c r="I176" i="30"/>
  <c r="C177" i="30"/>
  <c r="D177" i="30"/>
  <c r="E177" i="30"/>
  <c r="H177" i="30"/>
  <c r="C178" i="30"/>
  <c r="D178" i="30"/>
  <c r="E178" i="30"/>
  <c r="H178" i="30"/>
  <c r="I178" i="30"/>
  <c r="C179" i="30"/>
  <c r="D179" i="30"/>
  <c r="E179" i="30"/>
  <c r="H179" i="30"/>
  <c r="C180" i="30"/>
  <c r="D180" i="30"/>
  <c r="E180" i="30"/>
  <c r="H180" i="30"/>
  <c r="I180" i="30"/>
  <c r="C181" i="30"/>
  <c r="D181" i="30"/>
  <c r="E181" i="30"/>
  <c r="H181" i="30"/>
  <c r="C182" i="30"/>
  <c r="D182" i="30"/>
  <c r="E182" i="30"/>
  <c r="H182" i="30"/>
  <c r="I182" i="30"/>
  <c r="C183" i="30"/>
  <c r="D183" i="30"/>
  <c r="E183" i="30"/>
  <c r="H183" i="30"/>
  <c r="C184" i="30"/>
  <c r="D184" i="30"/>
  <c r="E184" i="30"/>
  <c r="H184" i="30"/>
  <c r="I184" i="30"/>
  <c r="D185" i="30"/>
  <c r="E185" i="30"/>
  <c r="H185" i="30"/>
  <c r="C162" i="29"/>
  <c r="D162" i="29"/>
  <c r="E162" i="29"/>
  <c r="H162" i="29"/>
  <c r="C163" i="29"/>
  <c r="D163" i="29"/>
  <c r="E163" i="29"/>
  <c r="H163" i="29"/>
  <c r="C164" i="29"/>
  <c r="D164" i="29"/>
  <c r="E164" i="29"/>
  <c r="H164" i="29"/>
  <c r="C165" i="29"/>
  <c r="D165" i="29"/>
  <c r="E165" i="29"/>
  <c r="H165" i="29"/>
  <c r="C166" i="29"/>
  <c r="D166" i="29"/>
  <c r="E166" i="29"/>
  <c r="H166" i="29"/>
  <c r="C167" i="29"/>
  <c r="D167" i="29"/>
  <c r="E167" i="29"/>
  <c r="H167" i="29"/>
  <c r="C168" i="29"/>
  <c r="D168" i="29"/>
  <c r="E168" i="29"/>
  <c r="H168" i="29"/>
  <c r="C169" i="29"/>
  <c r="D169" i="29"/>
  <c r="E169" i="29"/>
  <c r="H169" i="29"/>
  <c r="C170" i="29"/>
  <c r="D170" i="29"/>
  <c r="E170" i="29"/>
  <c r="H170" i="29"/>
  <c r="C171" i="29"/>
  <c r="D171" i="29"/>
  <c r="E171" i="29"/>
  <c r="H171" i="29"/>
  <c r="C172" i="29"/>
  <c r="D172" i="29"/>
  <c r="E172" i="29"/>
  <c r="H172" i="29"/>
  <c r="C173" i="29"/>
  <c r="D173" i="29"/>
  <c r="E173" i="29"/>
  <c r="H173" i="29"/>
  <c r="C174" i="29"/>
  <c r="D174" i="29"/>
  <c r="E174" i="29"/>
  <c r="H174" i="29"/>
  <c r="C175" i="29"/>
  <c r="D175" i="29"/>
  <c r="E175" i="29"/>
  <c r="H175" i="29"/>
  <c r="C176" i="29"/>
  <c r="D176" i="29"/>
  <c r="E176" i="29"/>
  <c r="H176" i="29"/>
  <c r="C177" i="29"/>
  <c r="D177" i="29"/>
  <c r="E177" i="29"/>
  <c r="H177" i="29"/>
  <c r="C178" i="29"/>
  <c r="D178" i="29"/>
  <c r="E178" i="29"/>
  <c r="H178" i="29"/>
  <c r="C179" i="29"/>
  <c r="D179" i="29"/>
  <c r="E179" i="29"/>
  <c r="H179" i="29"/>
  <c r="C180" i="29"/>
  <c r="D180" i="29"/>
  <c r="E180" i="29"/>
  <c r="H180" i="29"/>
  <c r="C181" i="29"/>
  <c r="D181" i="29"/>
  <c r="E181" i="29"/>
  <c r="H181" i="29"/>
  <c r="C182" i="29"/>
  <c r="D182" i="29"/>
  <c r="E182" i="29"/>
  <c r="H182" i="29"/>
  <c r="C183" i="29"/>
  <c r="D183" i="29"/>
  <c r="E183" i="29"/>
  <c r="H183" i="29"/>
  <c r="C184" i="29"/>
  <c r="D184" i="29"/>
  <c r="E184" i="29"/>
  <c r="H184" i="29"/>
  <c r="C185" i="29"/>
  <c r="D185" i="29"/>
  <c r="E185" i="29"/>
  <c r="H185" i="29"/>
  <c r="C162" i="18"/>
  <c r="D162" i="18"/>
  <c r="E162" i="18"/>
  <c r="H162" i="18"/>
  <c r="C163" i="18"/>
  <c r="D163" i="18"/>
  <c r="E163" i="18"/>
  <c r="E163" i="34" s="1"/>
  <c r="H163" i="18"/>
  <c r="H163" i="34" s="1"/>
  <c r="I163" i="18"/>
  <c r="C164" i="18"/>
  <c r="D164" i="18"/>
  <c r="E164" i="18"/>
  <c r="H164" i="18"/>
  <c r="C165" i="18"/>
  <c r="D165" i="18"/>
  <c r="D165" i="34" s="1"/>
  <c r="E165" i="18"/>
  <c r="H165" i="18"/>
  <c r="I165" i="18"/>
  <c r="I165" i="34" s="1"/>
  <c r="C166" i="18"/>
  <c r="D166" i="18"/>
  <c r="E166" i="18"/>
  <c r="E166" i="34" s="1"/>
  <c r="H166" i="18"/>
  <c r="C167" i="18"/>
  <c r="D167" i="18"/>
  <c r="D167" i="34" s="1"/>
  <c r="E167" i="18"/>
  <c r="H167" i="18"/>
  <c r="I167" i="18"/>
  <c r="I167" i="34" s="1"/>
  <c r="C168" i="18"/>
  <c r="D168" i="18"/>
  <c r="E168" i="18"/>
  <c r="H168" i="18"/>
  <c r="C169" i="18"/>
  <c r="D169" i="18"/>
  <c r="E169" i="18"/>
  <c r="E169" i="34" s="1"/>
  <c r="H169" i="18"/>
  <c r="H169" i="34" s="1"/>
  <c r="I169" i="18"/>
  <c r="I169" i="34" s="1"/>
  <c r="C170" i="18"/>
  <c r="D170" i="18"/>
  <c r="E170" i="18"/>
  <c r="E170" i="34" s="1"/>
  <c r="H170" i="18"/>
  <c r="C171" i="18"/>
  <c r="D171" i="18"/>
  <c r="E171" i="18"/>
  <c r="H171" i="18"/>
  <c r="I171" i="18"/>
  <c r="I171" i="34" s="1"/>
  <c r="C172" i="18"/>
  <c r="D172" i="18"/>
  <c r="E172" i="18"/>
  <c r="H172" i="18"/>
  <c r="H172" i="34" s="1"/>
  <c r="C173" i="18"/>
  <c r="D173" i="18"/>
  <c r="E173" i="18"/>
  <c r="H173" i="18"/>
  <c r="I173" i="18"/>
  <c r="I173" i="34" s="1"/>
  <c r="C174" i="18"/>
  <c r="D174" i="18"/>
  <c r="E174" i="18"/>
  <c r="E174" i="34" s="1"/>
  <c r="H174" i="18"/>
  <c r="C175" i="18"/>
  <c r="D175" i="18"/>
  <c r="E175" i="18"/>
  <c r="H175" i="18"/>
  <c r="H175" i="34" s="1"/>
  <c r="I175" i="18"/>
  <c r="C176" i="18"/>
  <c r="D176" i="18"/>
  <c r="E176" i="18"/>
  <c r="H176" i="18"/>
  <c r="C177" i="18"/>
  <c r="D177" i="18"/>
  <c r="D177" i="34" s="1"/>
  <c r="E177" i="18"/>
  <c r="E177" i="34" s="1"/>
  <c r="H177" i="18"/>
  <c r="I177" i="18"/>
  <c r="C178" i="18"/>
  <c r="D178" i="18"/>
  <c r="E178" i="18"/>
  <c r="E178" i="34" s="1"/>
  <c r="H178" i="18"/>
  <c r="C179" i="18"/>
  <c r="D179" i="18"/>
  <c r="D179" i="34" s="1"/>
  <c r="E179" i="18"/>
  <c r="H179" i="18"/>
  <c r="I179" i="18"/>
  <c r="C180" i="18"/>
  <c r="D180" i="18"/>
  <c r="E180" i="18"/>
  <c r="H180" i="18"/>
  <c r="C181" i="18"/>
  <c r="D181" i="18"/>
  <c r="E181" i="18"/>
  <c r="E181" i="34" s="1"/>
  <c r="H181" i="18"/>
  <c r="H181" i="34" s="1"/>
  <c r="I181" i="18"/>
  <c r="I181" i="34" s="1"/>
  <c r="C182" i="18"/>
  <c r="D182" i="18"/>
  <c r="E182" i="18"/>
  <c r="E182" i="34" s="1"/>
  <c r="H182" i="18"/>
  <c r="C183" i="18"/>
  <c r="D183" i="18"/>
  <c r="E183" i="18"/>
  <c r="H183" i="18"/>
  <c r="H183" i="34" s="1"/>
  <c r="I183" i="18"/>
  <c r="I183" i="34" s="1"/>
  <c r="C184" i="18"/>
  <c r="D184" i="18"/>
  <c r="E184" i="18"/>
  <c r="E184" i="34" s="1"/>
  <c r="H184" i="18"/>
  <c r="C185" i="18"/>
  <c r="E185" i="18"/>
  <c r="H185" i="18"/>
  <c r="I185" i="18"/>
  <c r="I185" i="34" s="1"/>
  <c r="C160" i="1"/>
  <c r="D160" i="1"/>
  <c r="E160" i="1"/>
  <c r="H160" i="1"/>
  <c r="I160" i="1"/>
  <c r="C161" i="1"/>
  <c r="D161" i="1"/>
  <c r="E161" i="1"/>
  <c r="H161" i="1"/>
  <c r="I161" i="1"/>
  <c r="C162" i="1"/>
  <c r="D162" i="1"/>
  <c r="E162" i="1"/>
  <c r="F162" i="1"/>
  <c r="G162" i="1"/>
  <c r="H162" i="1"/>
  <c r="I162" i="1"/>
  <c r="J162" i="1"/>
  <c r="C163" i="1"/>
  <c r="D163" i="1"/>
  <c r="E163" i="1"/>
  <c r="H163" i="1"/>
  <c r="I163" i="1"/>
  <c r="J163" i="1"/>
  <c r="C164" i="1"/>
  <c r="D164" i="1"/>
  <c r="E164" i="1"/>
  <c r="H164" i="1"/>
  <c r="I164" i="1"/>
  <c r="J164" i="1"/>
  <c r="C165" i="1"/>
  <c r="D165" i="1"/>
  <c r="E165" i="1"/>
  <c r="H165" i="1"/>
  <c r="I165" i="1"/>
  <c r="J165" i="1"/>
  <c r="C166" i="1"/>
  <c r="D166" i="1"/>
  <c r="E166" i="1"/>
  <c r="H166" i="1"/>
  <c r="I166" i="1"/>
  <c r="C167" i="1"/>
  <c r="D167" i="1"/>
  <c r="E167" i="1"/>
  <c r="H167" i="1"/>
  <c r="I167" i="1"/>
  <c r="J167" i="1"/>
  <c r="C168" i="1"/>
  <c r="D168" i="1"/>
  <c r="E168" i="1"/>
  <c r="H168" i="1"/>
  <c r="I168" i="1"/>
  <c r="J168" i="1"/>
  <c r="C169" i="1"/>
  <c r="D169" i="1"/>
  <c r="E169" i="1"/>
  <c r="H169" i="1"/>
  <c r="I169" i="1"/>
  <c r="J169" i="1"/>
  <c r="C170" i="1"/>
  <c r="D170" i="1"/>
  <c r="E170" i="1"/>
  <c r="H170" i="1"/>
  <c r="I170" i="1"/>
  <c r="J170" i="1"/>
  <c r="C171" i="1"/>
  <c r="D171" i="1"/>
  <c r="E171" i="1"/>
  <c r="H171" i="1"/>
  <c r="I171" i="1"/>
  <c r="J171" i="1"/>
  <c r="C172" i="1"/>
  <c r="D172" i="1"/>
  <c r="E172" i="1"/>
  <c r="F172" i="1"/>
  <c r="G172" i="1"/>
  <c r="H172" i="1"/>
  <c r="I172" i="1"/>
  <c r="J172" i="1"/>
  <c r="C173" i="1"/>
  <c r="D173" i="1"/>
  <c r="E173" i="1"/>
  <c r="H173" i="1"/>
  <c r="I173" i="1"/>
  <c r="J173" i="1"/>
  <c r="C174" i="1"/>
  <c r="D174" i="1"/>
  <c r="E174" i="1"/>
  <c r="F174" i="1"/>
  <c r="G174" i="1"/>
  <c r="H174" i="1"/>
  <c r="I174" i="1"/>
  <c r="C175" i="1"/>
  <c r="D175" i="1"/>
  <c r="E175" i="1"/>
  <c r="H175" i="1"/>
  <c r="I175" i="1"/>
  <c r="J175" i="1"/>
  <c r="C176" i="1"/>
  <c r="D176" i="1"/>
  <c r="E176" i="1"/>
  <c r="H176" i="1"/>
  <c r="I176" i="1"/>
  <c r="C177" i="1"/>
  <c r="D177" i="1"/>
  <c r="E177" i="1"/>
  <c r="F177" i="1"/>
  <c r="G177" i="1"/>
  <c r="H177" i="1"/>
  <c r="I177" i="1"/>
  <c r="J177" i="1"/>
  <c r="C178" i="1"/>
  <c r="D178" i="1"/>
  <c r="E178" i="1"/>
  <c r="H178" i="1"/>
  <c r="I178" i="1"/>
  <c r="J178" i="1"/>
  <c r="C179" i="1"/>
  <c r="D179" i="1"/>
  <c r="E179" i="1"/>
  <c r="H179" i="1"/>
  <c r="I179" i="1"/>
  <c r="J179" i="1"/>
  <c r="C180" i="1"/>
  <c r="D180" i="1"/>
  <c r="E180" i="1"/>
  <c r="H180" i="1"/>
  <c r="I180" i="1"/>
  <c r="J180" i="1"/>
  <c r="C181" i="1"/>
  <c r="D181" i="1"/>
  <c r="E181" i="1"/>
  <c r="H181" i="1"/>
  <c r="I181" i="1"/>
  <c r="C182" i="1"/>
  <c r="D182" i="1"/>
  <c r="E182" i="1"/>
  <c r="H182" i="1"/>
  <c r="I182" i="1"/>
  <c r="J182" i="1"/>
  <c r="C183" i="1"/>
  <c r="D183" i="1"/>
  <c r="E183" i="1"/>
  <c r="H183" i="1"/>
  <c r="I183" i="1"/>
  <c r="J183" i="1"/>
  <c r="C184" i="1"/>
  <c r="D184" i="1"/>
  <c r="E184" i="1"/>
  <c r="H184" i="1"/>
  <c r="I184" i="1"/>
  <c r="J184" i="1"/>
  <c r="C185" i="1"/>
  <c r="D185" i="1"/>
  <c r="E185" i="1"/>
  <c r="H185" i="1"/>
  <c r="I185" i="1"/>
  <c r="J185" i="1"/>
  <c r="C159" i="34"/>
  <c r="C160" i="34"/>
  <c r="C161" i="34"/>
  <c r="C162" i="34"/>
  <c r="C163" i="34"/>
  <c r="C164" i="34"/>
  <c r="C165" i="34"/>
  <c r="C166" i="34"/>
  <c r="C167" i="34"/>
  <c r="C168" i="34"/>
  <c r="C169" i="34"/>
  <c r="C170" i="34"/>
  <c r="C171" i="34"/>
  <c r="C172" i="34"/>
  <c r="C173" i="34"/>
  <c r="C174" i="34"/>
  <c r="C175" i="34"/>
  <c r="C176" i="34"/>
  <c r="C177" i="34"/>
  <c r="C178" i="34"/>
  <c r="C179" i="34"/>
  <c r="C180" i="34"/>
  <c r="C181" i="34"/>
  <c r="C182" i="34"/>
  <c r="C183" i="34"/>
  <c r="C184" i="34"/>
  <c r="I172" i="18"/>
  <c r="I176" i="18"/>
  <c r="I184" i="18"/>
  <c r="I159" i="19"/>
  <c r="I159" i="18" s="1"/>
  <c r="I160" i="19"/>
  <c r="C161" i="30"/>
  <c r="C160" i="30"/>
  <c r="C161" i="29"/>
  <c r="C160" i="29"/>
  <c r="C161" i="18"/>
  <c r="C154" i="1"/>
  <c r="G17" i="27"/>
  <c r="G18" i="27"/>
  <c r="F133" i="33"/>
  <c r="J35" i="33"/>
  <c r="J38" i="33"/>
  <c r="J43" i="33"/>
  <c r="J57" i="33"/>
  <c r="J65" i="33"/>
  <c r="I18" i="33"/>
  <c r="J18" i="33"/>
  <c r="I19" i="33"/>
  <c r="J19" i="33"/>
  <c r="I20" i="33"/>
  <c r="J20" i="33"/>
  <c r="I21" i="33"/>
  <c r="J21" i="33"/>
  <c r="I22" i="33"/>
  <c r="J22" i="33"/>
  <c r="I23" i="33"/>
  <c r="J23" i="33"/>
  <c r="I24" i="33"/>
  <c r="J24" i="33"/>
  <c r="I25" i="33"/>
  <c r="J25" i="33"/>
  <c r="I26" i="33"/>
  <c r="J26" i="33"/>
  <c r="I27" i="33"/>
  <c r="J27" i="33"/>
  <c r="I28" i="33"/>
  <c r="J28" i="33"/>
  <c r="I29" i="33"/>
  <c r="J29" i="33"/>
  <c r="I30" i="33"/>
  <c r="J30" i="33"/>
  <c r="I31" i="33"/>
  <c r="J31" i="33"/>
  <c r="I32" i="33"/>
  <c r="J32" i="33"/>
  <c r="I33" i="33"/>
  <c r="J33" i="33"/>
  <c r="I34" i="33"/>
  <c r="J34" i="33"/>
  <c r="I35" i="33"/>
  <c r="I36" i="33"/>
  <c r="J36" i="33"/>
  <c r="I37" i="33"/>
  <c r="J37" i="33"/>
  <c r="I38" i="33"/>
  <c r="I39" i="33"/>
  <c r="J39" i="33"/>
  <c r="I40" i="33"/>
  <c r="J40" i="33"/>
  <c r="I41" i="33"/>
  <c r="J41" i="33"/>
  <c r="I42" i="33"/>
  <c r="J42" i="33"/>
  <c r="I43" i="33"/>
  <c r="I44" i="33"/>
  <c r="J44" i="33"/>
  <c r="I45" i="33"/>
  <c r="J45" i="33"/>
  <c r="I46" i="33"/>
  <c r="J46" i="33"/>
  <c r="I47" i="33"/>
  <c r="J47" i="33"/>
  <c r="I48" i="33"/>
  <c r="J48" i="33"/>
  <c r="I49" i="33"/>
  <c r="J49" i="33"/>
  <c r="I50" i="33"/>
  <c r="J50" i="33"/>
  <c r="I51" i="33"/>
  <c r="J51" i="33"/>
  <c r="I52" i="33"/>
  <c r="J52" i="33"/>
  <c r="I53" i="33"/>
  <c r="J53" i="33"/>
  <c r="I54" i="33"/>
  <c r="J54" i="33"/>
  <c r="I55" i="33"/>
  <c r="J55" i="33"/>
  <c r="I56" i="33"/>
  <c r="J56" i="33"/>
  <c r="I57" i="33"/>
  <c r="I58" i="33"/>
  <c r="J58" i="33"/>
  <c r="I59" i="33"/>
  <c r="J59" i="33"/>
  <c r="I60" i="33"/>
  <c r="J60" i="33"/>
  <c r="I61" i="33"/>
  <c r="J61" i="33"/>
  <c r="I62" i="33"/>
  <c r="J62" i="33"/>
  <c r="I63" i="33"/>
  <c r="J63" i="33"/>
  <c r="I64" i="33"/>
  <c r="J64" i="33"/>
  <c r="I65" i="33"/>
  <c r="I66" i="33"/>
  <c r="J66" i="33"/>
  <c r="I67" i="33"/>
  <c r="J67" i="33"/>
  <c r="I68" i="33"/>
  <c r="J68" i="33"/>
  <c r="I69" i="33"/>
  <c r="J69" i="33"/>
  <c r="I70" i="33"/>
  <c r="J70" i="33"/>
  <c r="I71" i="33"/>
  <c r="J71" i="33"/>
  <c r="I72" i="33"/>
  <c r="J72" i="33"/>
  <c r="I73" i="33"/>
  <c r="J73" i="33"/>
  <c r="I74" i="33"/>
  <c r="J74" i="33"/>
  <c r="I75" i="33"/>
  <c r="J75" i="33"/>
  <c r="I76" i="33"/>
  <c r="J76" i="33"/>
  <c r="I77" i="33"/>
  <c r="J77" i="33"/>
  <c r="I78" i="33"/>
  <c r="J78" i="33"/>
  <c r="I79" i="33"/>
  <c r="J79" i="33"/>
  <c r="I80" i="33"/>
  <c r="J80" i="33"/>
  <c r="I81" i="33"/>
  <c r="J81" i="33"/>
  <c r="I82" i="33"/>
  <c r="J82" i="33"/>
  <c r="I83" i="33"/>
  <c r="J83" i="33"/>
  <c r="I84" i="33"/>
  <c r="J84" i="33"/>
  <c r="I85" i="33"/>
  <c r="J85" i="33"/>
  <c r="I86" i="33"/>
  <c r="J86" i="33"/>
  <c r="I87" i="33"/>
  <c r="J87" i="33"/>
  <c r="I88" i="33"/>
  <c r="J88" i="33"/>
  <c r="I89" i="33"/>
  <c r="J89" i="33"/>
  <c r="I90" i="33"/>
  <c r="J90" i="33"/>
  <c r="I91" i="33"/>
  <c r="J91" i="33"/>
  <c r="I92" i="33"/>
  <c r="J92" i="33"/>
  <c r="I93" i="33"/>
  <c r="J93" i="33"/>
  <c r="I94" i="33"/>
  <c r="J94" i="33"/>
  <c r="I95" i="33"/>
  <c r="J95" i="33"/>
  <c r="I96" i="33"/>
  <c r="J96" i="33"/>
  <c r="I97" i="33"/>
  <c r="J97" i="33"/>
  <c r="I98" i="33"/>
  <c r="J98" i="33"/>
  <c r="I99" i="33"/>
  <c r="J99" i="33"/>
  <c r="I100" i="33"/>
  <c r="J100" i="33"/>
  <c r="I101" i="33"/>
  <c r="J101" i="33"/>
  <c r="I102" i="33"/>
  <c r="J102" i="33"/>
  <c r="I103" i="33"/>
  <c r="J103" i="33"/>
  <c r="I104" i="33"/>
  <c r="J104" i="33"/>
  <c r="I105" i="33"/>
  <c r="J105" i="33"/>
  <c r="I106" i="33"/>
  <c r="J106" i="33"/>
  <c r="I107" i="33"/>
  <c r="J107" i="33"/>
  <c r="I108" i="33"/>
  <c r="J108" i="33"/>
  <c r="I109" i="33"/>
  <c r="J109" i="33"/>
  <c r="I110" i="33"/>
  <c r="J110" i="33"/>
  <c r="I111" i="33"/>
  <c r="J111" i="33"/>
  <c r="I112" i="33"/>
  <c r="J112" i="33"/>
  <c r="I113" i="33"/>
  <c r="J113" i="33"/>
  <c r="I114" i="33"/>
  <c r="J114" i="33"/>
  <c r="I115" i="33"/>
  <c r="J115" i="33"/>
  <c r="I116" i="33"/>
  <c r="J116" i="33"/>
  <c r="I117" i="33"/>
  <c r="J117" i="33"/>
  <c r="I118" i="33"/>
  <c r="J118" i="33"/>
  <c r="I119" i="33"/>
  <c r="J119" i="33"/>
  <c r="I120" i="33"/>
  <c r="J120" i="33"/>
  <c r="I121" i="33"/>
  <c r="J121" i="33"/>
  <c r="I122" i="33"/>
  <c r="J122" i="33"/>
  <c r="I123" i="33"/>
  <c r="J123" i="33"/>
  <c r="I124" i="33"/>
  <c r="J124" i="33"/>
  <c r="I125" i="33"/>
  <c r="J125" i="33"/>
  <c r="I126" i="33"/>
  <c r="J126" i="33"/>
  <c r="I127" i="33"/>
  <c r="J127" i="33"/>
  <c r="I128" i="33"/>
  <c r="J128" i="33"/>
  <c r="I129" i="33"/>
  <c r="J129" i="33"/>
  <c r="I130" i="33"/>
  <c r="J130" i="33"/>
  <c r="I131" i="33"/>
  <c r="J131" i="33"/>
  <c r="I132" i="33"/>
  <c r="J132" i="33"/>
  <c r="I133" i="33"/>
  <c r="J133" i="33"/>
  <c r="I134" i="33"/>
  <c r="J134" i="33"/>
  <c r="I135" i="33"/>
  <c r="J135" i="33"/>
  <c r="I136" i="33"/>
  <c r="J136" i="33"/>
  <c r="I137" i="33"/>
  <c r="J137" i="33"/>
  <c r="I138" i="33"/>
  <c r="J138" i="33"/>
  <c r="I139" i="33"/>
  <c r="J139" i="33"/>
  <c r="I140" i="33"/>
  <c r="J140" i="33"/>
  <c r="I141" i="33"/>
  <c r="J141" i="33"/>
  <c r="I142" i="33"/>
  <c r="J142" i="33"/>
  <c r="I143" i="33"/>
  <c r="J143" i="33"/>
  <c r="I144" i="33"/>
  <c r="J144" i="33"/>
  <c r="I145" i="33"/>
  <c r="J145" i="33"/>
  <c r="I146" i="33"/>
  <c r="J146" i="33"/>
  <c r="I147" i="33"/>
  <c r="J147" i="33"/>
  <c r="I148" i="33"/>
  <c r="J148" i="33"/>
  <c r="I149" i="33"/>
  <c r="J149" i="33"/>
  <c r="I150" i="33"/>
  <c r="J150" i="33"/>
  <c r="I151" i="33"/>
  <c r="J151" i="33"/>
  <c r="I152" i="33"/>
  <c r="J152" i="33"/>
  <c r="I153" i="33"/>
  <c r="J153" i="33"/>
  <c r="I154" i="33"/>
  <c r="J154" i="33"/>
  <c r="I155" i="33"/>
  <c r="J155" i="33"/>
  <c r="I156" i="33"/>
  <c r="J156" i="33"/>
  <c r="I157" i="33"/>
  <c r="J157" i="33"/>
  <c r="I158" i="33"/>
  <c r="J158" i="33"/>
  <c r="I159" i="33"/>
  <c r="J159" i="33"/>
  <c r="I160" i="33"/>
  <c r="J160" i="33"/>
  <c r="I161" i="33"/>
  <c r="J161" i="33"/>
  <c r="I162" i="33"/>
  <c r="J162" i="33"/>
  <c r="I163" i="33"/>
  <c r="J163" i="33"/>
  <c r="I16" i="33"/>
  <c r="G21" i="33"/>
  <c r="G22" i="33"/>
  <c r="G25" i="33"/>
  <c r="G26" i="33"/>
  <c r="G30" i="33"/>
  <c r="G45" i="33"/>
  <c r="G46" i="33"/>
  <c r="G49" i="33"/>
  <c r="G50" i="33"/>
  <c r="G53" i="33"/>
  <c r="G54" i="33"/>
  <c r="G57" i="33"/>
  <c r="G58" i="33"/>
  <c r="G63" i="33"/>
  <c r="G69" i="33"/>
  <c r="G74" i="33"/>
  <c r="G113" i="33"/>
  <c r="G121" i="33"/>
  <c r="G126" i="33"/>
  <c r="G133" i="33"/>
  <c r="F18" i="33"/>
  <c r="G18" i="33"/>
  <c r="F19" i="33"/>
  <c r="G19" i="33"/>
  <c r="F20" i="33"/>
  <c r="G20" i="33"/>
  <c r="F21" i="33"/>
  <c r="F22" i="33"/>
  <c r="F23" i="33"/>
  <c r="G23" i="33"/>
  <c r="F24" i="33"/>
  <c r="G24" i="33"/>
  <c r="F25" i="33"/>
  <c r="F26" i="33"/>
  <c r="F27" i="33"/>
  <c r="G27" i="33"/>
  <c r="F28" i="33"/>
  <c r="G28" i="33"/>
  <c r="F29" i="33"/>
  <c r="G29" i="33"/>
  <c r="F30" i="33"/>
  <c r="F31" i="33"/>
  <c r="G31" i="33"/>
  <c r="F32" i="33"/>
  <c r="G32" i="33"/>
  <c r="F33" i="33"/>
  <c r="G33" i="33"/>
  <c r="F34" i="33"/>
  <c r="G34" i="33"/>
  <c r="F35" i="33"/>
  <c r="G35" i="33"/>
  <c r="F36" i="33"/>
  <c r="G36" i="33"/>
  <c r="F37" i="33"/>
  <c r="G37" i="33"/>
  <c r="F38" i="33"/>
  <c r="G38" i="33"/>
  <c r="F39" i="33"/>
  <c r="G39" i="33"/>
  <c r="F40" i="33"/>
  <c r="G40" i="33"/>
  <c r="F41" i="33"/>
  <c r="G41" i="33"/>
  <c r="F42" i="33"/>
  <c r="G42" i="33"/>
  <c r="F43" i="33"/>
  <c r="G43" i="33"/>
  <c r="F44" i="33"/>
  <c r="G44" i="33"/>
  <c r="F45" i="33"/>
  <c r="F46" i="33"/>
  <c r="F47" i="33"/>
  <c r="G47" i="33"/>
  <c r="F48" i="33"/>
  <c r="G48" i="33"/>
  <c r="F49" i="33"/>
  <c r="F50" i="33"/>
  <c r="F51" i="33"/>
  <c r="G51" i="33"/>
  <c r="F52" i="33"/>
  <c r="G52" i="33"/>
  <c r="F53" i="33"/>
  <c r="F54" i="33"/>
  <c r="F55" i="33"/>
  <c r="G55" i="33"/>
  <c r="F56" i="33"/>
  <c r="G56" i="33"/>
  <c r="F57" i="33"/>
  <c r="F58" i="33"/>
  <c r="F59" i="33"/>
  <c r="G59" i="33"/>
  <c r="F60" i="33"/>
  <c r="G60" i="33"/>
  <c r="F61" i="33"/>
  <c r="G61" i="33"/>
  <c r="F62" i="33"/>
  <c r="G62" i="33"/>
  <c r="F63" i="33"/>
  <c r="F64" i="33"/>
  <c r="G64" i="33"/>
  <c r="F65" i="33"/>
  <c r="G65" i="33"/>
  <c r="F66" i="33"/>
  <c r="G66" i="33"/>
  <c r="F67" i="33"/>
  <c r="G67" i="33"/>
  <c r="F68" i="33"/>
  <c r="G68" i="33"/>
  <c r="F69" i="33"/>
  <c r="F70" i="33"/>
  <c r="G70" i="33"/>
  <c r="F71" i="33"/>
  <c r="G71" i="33"/>
  <c r="F72" i="33"/>
  <c r="G72" i="33"/>
  <c r="F73" i="33"/>
  <c r="G73" i="33"/>
  <c r="F74" i="33"/>
  <c r="F75" i="33"/>
  <c r="G75" i="33"/>
  <c r="F76" i="33"/>
  <c r="G76" i="33"/>
  <c r="F77" i="33"/>
  <c r="G77" i="33"/>
  <c r="F78" i="33"/>
  <c r="G78" i="33"/>
  <c r="F79" i="33"/>
  <c r="G79" i="33"/>
  <c r="F80" i="33"/>
  <c r="G80" i="33"/>
  <c r="F81" i="33"/>
  <c r="G81" i="33"/>
  <c r="F82" i="33"/>
  <c r="G82" i="33"/>
  <c r="F83" i="33"/>
  <c r="G83" i="33"/>
  <c r="F84" i="33"/>
  <c r="G84" i="33"/>
  <c r="F85" i="33"/>
  <c r="G85" i="33"/>
  <c r="F86" i="33"/>
  <c r="G86" i="33"/>
  <c r="F87" i="33"/>
  <c r="G87" i="33"/>
  <c r="F88" i="33"/>
  <c r="G88" i="33"/>
  <c r="F89" i="33"/>
  <c r="G89" i="33"/>
  <c r="F90" i="33"/>
  <c r="G90" i="33"/>
  <c r="F91" i="33"/>
  <c r="G91" i="33"/>
  <c r="F92" i="33"/>
  <c r="G92" i="33"/>
  <c r="F93" i="33"/>
  <c r="G93" i="33"/>
  <c r="F94" i="33"/>
  <c r="G94" i="33"/>
  <c r="F95" i="33"/>
  <c r="G95" i="33"/>
  <c r="F96" i="33"/>
  <c r="G96" i="33"/>
  <c r="F97" i="33"/>
  <c r="G97" i="33"/>
  <c r="F98" i="33"/>
  <c r="G98" i="33"/>
  <c r="F99" i="33"/>
  <c r="G99" i="33"/>
  <c r="F100" i="33"/>
  <c r="G100" i="33"/>
  <c r="F101" i="33"/>
  <c r="G101" i="33"/>
  <c r="F102" i="33"/>
  <c r="G102" i="33"/>
  <c r="F103" i="33"/>
  <c r="G103" i="33"/>
  <c r="F104" i="33"/>
  <c r="G104" i="33"/>
  <c r="F105" i="33"/>
  <c r="G105" i="33"/>
  <c r="F106" i="33"/>
  <c r="G106" i="33"/>
  <c r="F107" i="33"/>
  <c r="G107" i="33"/>
  <c r="F108" i="33"/>
  <c r="G108" i="33"/>
  <c r="F109" i="33"/>
  <c r="G109" i="33"/>
  <c r="F110" i="33"/>
  <c r="G110" i="33"/>
  <c r="F111" i="33"/>
  <c r="G111" i="33"/>
  <c r="F112" i="33"/>
  <c r="G112" i="33"/>
  <c r="F113" i="33"/>
  <c r="F114" i="33"/>
  <c r="G114" i="33"/>
  <c r="F115" i="33"/>
  <c r="G115" i="33"/>
  <c r="F116" i="33"/>
  <c r="G116" i="33"/>
  <c r="F117" i="33"/>
  <c r="G117" i="33"/>
  <c r="F118" i="33"/>
  <c r="G118" i="33"/>
  <c r="F119" i="33"/>
  <c r="G119" i="33"/>
  <c r="F120" i="33"/>
  <c r="G120" i="33"/>
  <c r="F121" i="33"/>
  <c r="F122" i="33"/>
  <c r="G122" i="33"/>
  <c r="F123" i="33"/>
  <c r="G123" i="33"/>
  <c r="F124" i="33"/>
  <c r="G124" i="33"/>
  <c r="F125" i="33"/>
  <c r="G125" i="33"/>
  <c r="F126" i="33"/>
  <c r="F127" i="33"/>
  <c r="G127" i="33"/>
  <c r="F128" i="33"/>
  <c r="G128" i="33"/>
  <c r="F129" i="33"/>
  <c r="G129" i="33"/>
  <c r="F130" i="33"/>
  <c r="G130" i="33"/>
  <c r="F131" i="33"/>
  <c r="G131" i="33"/>
  <c r="F132" i="33"/>
  <c r="G132" i="33"/>
  <c r="F134" i="33"/>
  <c r="G134" i="33"/>
  <c r="F135" i="33"/>
  <c r="G135" i="33"/>
  <c r="F136" i="33"/>
  <c r="G136" i="33"/>
  <c r="F137" i="33"/>
  <c r="G137" i="33"/>
  <c r="F138" i="33"/>
  <c r="G138" i="33"/>
  <c r="F139" i="33"/>
  <c r="G139" i="33"/>
  <c r="F140" i="33"/>
  <c r="G140" i="33"/>
  <c r="F141" i="33"/>
  <c r="G141" i="33"/>
  <c r="F142" i="33"/>
  <c r="G142" i="33"/>
  <c r="F143" i="33"/>
  <c r="G143" i="33"/>
  <c r="F144" i="33"/>
  <c r="G144" i="33"/>
  <c r="F145" i="33"/>
  <c r="G145" i="33"/>
  <c r="F146" i="33"/>
  <c r="G146" i="33"/>
  <c r="F147" i="33"/>
  <c r="G147" i="33"/>
  <c r="F148" i="33"/>
  <c r="G148" i="33"/>
  <c r="F149" i="33"/>
  <c r="G149" i="33"/>
  <c r="F150" i="33"/>
  <c r="G150" i="33"/>
  <c r="F151" i="33"/>
  <c r="G151" i="33"/>
  <c r="F152" i="33"/>
  <c r="G152" i="33"/>
  <c r="F153" i="33"/>
  <c r="G153" i="33"/>
  <c r="F154" i="33"/>
  <c r="G154" i="33"/>
  <c r="F155" i="33"/>
  <c r="G155" i="33"/>
  <c r="F156" i="33"/>
  <c r="G156" i="33"/>
  <c r="F157" i="33"/>
  <c r="G157" i="33"/>
  <c r="F158" i="33"/>
  <c r="G158" i="33"/>
  <c r="F159" i="33"/>
  <c r="G159" i="33"/>
  <c r="F160" i="33"/>
  <c r="G160" i="33"/>
  <c r="F161" i="33"/>
  <c r="G161" i="33"/>
  <c r="F162" i="33"/>
  <c r="G162" i="33"/>
  <c r="F163" i="33"/>
  <c r="G163" i="33"/>
  <c r="F162" i="31"/>
  <c r="G162" i="31"/>
  <c r="I162" i="31"/>
  <c r="J162" i="31"/>
  <c r="F163" i="31"/>
  <c r="G163" i="31"/>
  <c r="I163" i="31"/>
  <c r="J163" i="31"/>
  <c r="F162" i="32"/>
  <c r="G162" i="32"/>
  <c r="I162" i="32"/>
  <c r="J162" i="32"/>
  <c r="F163" i="32"/>
  <c r="G163" i="32"/>
  <c r="I163" i="32"/>
  <c r="J163" i="32"/>
  <c r="G85" i="32"/>
  <c r="G86" i="32"/>
  <c r="G87" i="32"/>
  <c r="F105" i="32"/>
  <c r="J28" i="32"/>
  <c r="J29" i="32"/>
  <c r="J33" i="32"/>
  <c r="J41" i="32"/>
  <c r="J42" i="32"/>
  <c r="J44" i="32"/>
  <c r="J45" i="32"/>
  <c r="J52" i="32"/>
  <c r="J53" i="32"/>
  <c r="J58" i="32"/>
  <c r="J74" i="32"/>
  <c r="I18" i="32"/>
  <c r="J18" i="32"/>
  <c r="I19" i="32"/>
  <c r="J19" i="32"/>
  <c r="I20" i="32"/>
  <c r="J20" i="32"/>
  <c r="I21" i="32"/>
  <c r="J21" i="32"/>
  <c r="I22" i="32"/>
  <c r="J22" i="32"/>
  <c r="I23" i="32"/>
  <c r="J23" i="32"/>
  <c r="I24" i="32"/>
  <c r="J24" i="32"/>
  <c r="I25" i="32"/>
  <c r="J25" i="32"/>
  <c r="I26" i="32"/>
  <c r="J26" i="32"/>
  <c r="I27" i="32"/>
  <c r="J27" i="32"/>
  <c r="I28" i="32"/>
  <c r="I29" i="32"/>
  <c r="I30" i="32"/>
  <c r="J30" i="32"/>
  <c r="I31" i="32"/>
  <c r="J31" i="32"/>
  <c r="I32" i="32"/>
  <c r="J32" i="32"/>
  <c r="I33" i="32"/>
  <c r="I34" i="32"/>
  <c r="J34" i="32"/>
  <c r="I35" i="32"/>
  <c r="J35" i="32"/>
  <c r="I36" i="32"/>
  <c r="J36" i="32"/>
  <c r="I37" i="32"/>
  <c r="J37" i="32"/>
  <c r="I38" i="32"/>
  <c r="J38" i="32"/>
  <c r="I39" i="32"/>
  <c r="J39" i="32"/>
  <c r="I40" i="32"/>
  <c r="J40" i="32"/>
  <c r="I41" i="32"/>
  <c r="I42" i="32"/>
  <c r="I43" i="32"/>
  <c r="J43" i="32"/>
  <c r="I44" i="32"/>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c r="I60" i="32"/>
  <c r="J60" i="32"/>
  <c r="I61" i="32"/>
  <c r="J61" i="32"/>
  <c r="I62" i="32"/>
  <c r="J62" i="32"/>
  <c r="I63" i="32"/>
  <c r="J63" i="32"/>
  <c r="I64" i="32"/>
  <c r="J64" i="32"/>
  <c r="I65" i="32"/>
  <c r="J65" i="32"/>
  <c r="I66" i="32"/>
  <c r="J66" i="32"/>
  <c r="I67" i="32"/>
  <c r="J67" i="32"/>
  <c r="I68" i="32"/>
  <c r="J68" i="32"/>
  <c r="I69" i="32"/>
  <c r="J69" i="32"/>
  <c r="I70" i="32"/>
  <c r="J70" i="32"/>
  <c r="I71" i="32"/>
  <c r="J71" i="32"/>
  <c r="I72" i="32"/>
  <c r="J72" i="32"/>
  <c r="I73" i="32"/>
  <c r="J73" i="32"/>
  <c r="I74" i="32"/>
  <c r="I75" i="32"/>
  <c r="J75" i="32"/>
  <c r="I76" i="32"/>
  <c r="J76" i="32"/>
  <c r="I77" i="32"/>
  <c r="J77" i="32"/>
  <c r="I78" i="32"/>
  <c r="J78" i="32"/>
  <c r="I79" i="32"/>
  <c r="J79" i="32"/>
  <c r="I80" i="32"/>
  <c r="J80" i="32"/>
  <c r="I81" i="32"/>
  <c r="J81" i="32"/>
  <c r="I82" i="32"/>
  <c r="J82" i="32"/>
  <c r="I83" i="32"/>
  <c r="J83" i="32"/>
  <c r="I84" i="32"/>
  <c r="J84" i="32"/>
  <c r="I85" i="32"/>
  <c r="J85" i="32"/>
  <c r="I86" i="32"/>
  <c r="J86" i="32"/>
  <c r="I87" i="32"/>
  <c r="J87" i="32"/>
  <c r="I88" i="32"/>
  <c r="J88" i="32"/>
  <c r="I89" i="32"/>
  <c r="J89" i="32"/>
  <c r="I90" i="32"/>
  <c r="J90" i="32"/>
  <c r="I91" i="32"/>
  <c r="J91" i="32"/>
  <c r="I92" i="32"/>
  <c r="J92" i="32"/>
  <c r="I93" i="32"/>
  <c r="J93" i="32"/>
  <c r="I94" i="32"/>
  <c r="J94" i="32"/>
  <c r="I95" i="32"/>
  <c r="J95" i="32"/>
  <c r="I96" i="32"/>
  <c r="J96" i="32"/>
  <c r="I97" i="32"/>
  <c r="J97" i="32"/>
  <c r="I98" i="32"/>
  <c r="J98" i="32"/>
  <c r="I99" i="32"/>
  <c r="J99" i="32"/>
  <c r="I100" i="32"/>
  <c r="J100" i="32"/>
  <c r="I101" i="32"/>
  <c r="J101" i="32"/>
  <c r="I102" i="32"/>
  <c r="J102" i="32"/>
  <c r="I103" i="32"/>
  <c r="J103" i="32"/>
  <c r="I104" i="32"/>
  <c r="J104" i="32"/>
  <c r="I105" i="32"/>
  <c r="J105" i="32"/>
  <c r="I106" i="32"/>
  <c r="J106" i="32"/>
  <c r="I107" i="32"/>
  <c r="J107" i="32"/>
  <c r="I108" i="32"/>
  <c r="J108" i="32"/>
  <c r="I109" i="32"/>
  <c r="J109" i="32"/>
  <c r="I110" i="32"/>
  <c r="J110" i="32"/>
  <c r="I111" i="32"/>
  <c r="J111" i="32"/>
  <c r="I112" i="32"/>
  <c r="J112" i="32"/>
  <c r="I113" i="32"/>
  <c r="J113" i="32"/>
  <c r="I114" i="32"/>
  <c r="J114" i="32"/>
  <c r="I115" i="32"/>
  <c r="J115" i="32"/>
  <c r="I116" i="32"/>
  <c r="J116" i="32"/>
  <c r="I117" i="32"/>
  <c r="J117" i="32"/>
  <c r="I118" i="32"/>
  <c r="J118" i="32"/>
  <c r="I119" i="32"/>
  <c r="J119" i="32"/>
  <c r="I120" i="32"/>
  <c r="J120" i="32"/>
  <c r="I121" i="32"/>
  <c r="J121" i="32"/>
  <c r="I122" i="32"/>
  <c r="J122" i="32"/>
  <c r="I123" i="32"/>
  <c r="J123" i="32"/>
  <c r="I124" i="32"/>
  <c r="J124" i="32"/>
  <c r="I125" i="32"/>
  <c r="J125" i="32"/>
  <c r="I126" i="32"/>
  <c r="J126" i="32"/>
  <c r="I127" i="32"/>
  <c r="J127" i="32"/>
  <c r="I128" i="32"/>
  <c r="J128" i="32"/>
  <c r="I129" i="32"/>
  <c r="J129" i="32"/>
  <c r="I130" i="32"/>
  <c r="J130" i="32"/>
  <c r="I131" i="32"/>
  <c r="J131" i="32"/>
  <c r="I132" i="32"/>
  <c r="J132" i="32"/>
  <c r="I133" i="32"/>
  <c r="J133" i="32"/>
  <c r="I134" i="32"/>
  <c r="J134" i="32"/>
  <c r="I135" i="32"/>
  <c r="J135" i="32"/>
  <c r="I136" i="32"/>
  <c r="J136" i="32"/>
  <c r="I137" i="32"/>
  <c r="J137" i="32"/>
  <c r="I138" i="32"/>
  <c r="J138" i="32"/>
  <c r="I139" i="32"/>
  <c r="J139" i="32"/>
  <c r="I140" i="32"/>
  <c r="J140" i="32"/>
  <c r="I141" i="32"/>
  <c r="J141" i="32"/>
  <c r="I142" i="32"/>
  <c r="J142" i="32"/>
  <c r="I143" i="32"/>
  <c r="J143" i="32"/>
  <c r="I144" i="32"/>
  <c r="J144" i="32"/>
  <c r="I145" i="32"/>
  <c r="J145" i="32"/>
  <c r="I146" i="32"/>
  <c r="J146" i="32"/>
  <c r="I147" i="32"/>
  <c r="J147" i="32"/>
  <c r="I148" i="32"/>
  <c r="J148" i="32"/>
  <c r="I149" i="32"/>
  <c r="J149" i="32"/>
  <c r="I150" i="32"/>
  <c r="J150" i="32"/>
  <c r="I151" i="32"/>
  <c r="J151" i="32"/>
  <c r="I152" i="32"/>
  <c r="J152" i="32"/>
  <c r="I153" i="32"/>
  <c r="J153" i="32"/>
  <c r="I154" i="32"/>
  <c r="J154" i="32"/>
  <c r="I155" i="32"/>
  <c r="J155" i="32"/>
  <c r="I156" i="32"/>
  <c r="J156" i="32"/>
  <c r="I157" i="32"/>
  <c r="J157" i="32"/>
  <c r="I158" i="32"/>
  <c r="J158" i="32"/>
  <c r="I159" i="32"/>
  <c r="J159" i="32"/>
  <c r="I160" i="32"/>
  <c r="J160" i="32"/>
  <c r="I161" i="32"/>
  <c r="J161" i="32"/>
  <c r="G19" i="32"/>
  <c r="G22" i="32"/>
  <c r="G23" i="32"/>
  <c r="G24" i="32"/>
  <c r="G25" i="32"/>
  <c r="G27" i="32"/>
  <c r="G30" i="32"/>
  <c r="G31" i="32"/>
  <c r="G32" i="32"/>
  <c r="G33" i="32"/>
  <c r="G35" i="32"/>
  <c r="G38" i="32"/>
  <c r="G39" i="32"/>
  <c r="G40" i="32"/>
  <c r="G45" i="32"/>
  <c r="G46" i="32"/>
  <c r="G51" i="32"/>
  <c r="G53" i="32"/>
  <c r="G54" i="32"/>
  <c r="G59" i="32"/>
  <c r="G61" i="32"/>
  <c r="G75" i="32"/>
  <c r="G91" i="32"/>
  <c r="G150" i="32"/>
  <c r="F18" i="32"/>
  <c r="G18" i="32"/>
  <c r="F19" i="32"/>
  <c r="F20" i="32"/>
  <c r="G20" i="32"/>
  <c r="F21" i="32"/>
  <c r="G21" i="32"/>
  <c r="F22" i="32"/>
  <c r="F23" i="32"/>
  <c r="F24" i="32"/>
  <c r="F25" i="32"/>
  <c r="F26" i="32"/>
  <c r="G26" i="32"/>
  <c r="F27" i="32"/>
  <c r="F28" i="32"/>
  <c r="G28" i="32"/>
  <c r="F29" i="32"/>
  <c r="G29" i="32"/>
  <c r="F30" i="32"/>
  <c r="F31" i="32"/>
  <c r="F32" i="32"/>
  <c r="F33" i="32"/>
  <c r="F34" i="32"/>
  <c r="G34" i="32"/>
  <c r="F35" i="32"/>
  <c r="F36" i="32"/>
  <c r="G36" i="32"/>
  <c r="F37" i="32"/>
  <c r="G37" i="32"/>
  <c r="F38" i="32"/>
  <c r="F39" i="32"/>
  <c r="F40" i="32"/>
  <c r="F41" i="32"/>
  <c r="G41" i="32"/>
  <c r="F42" i="32"/>
  <c r="G42" i="32"/>
  <c r="F43" i="32"/>
  <c r="G43" i="32"/>
  <c r="F44" i="32"/>
  <c r="G44" i="32"/>
  <c r="F45" i="32"/>
  <c r="F46" i="32"/>
  <c r="F47" i="32"/>
  <c r="G47" i="32"/>
  <c r="F48" i="32"/>
  <c r="G48" i="32"/>
  <c r="F49" i="32"/>
  <c r="G49" i="32"/>
  <c r="F50" i="32"/>
  <c r="G50" i="32"/>
  <c r="F51" i="32"/>
  <c r="F52" i="32"/>
  <c r="G52" i="32"/>
  <c r="F53" i="32"/>
  <c r="F54" i="32"/>
  <c r="F55" i="32"/>
  <c r="G55" i="32"/>
  <c r="F56" i="32"/>
  <c r="G56" i="32"/>
  <c r="F57" i="32"/>
  <c r="G57" i="32"/>
  <c r="F58" i="32"/>
  <c r="G58" i="32"/>
  <c r="F59" i="32"/>
  <c r="F60" i="32"/>
  <c r="G60" i="32"/>
  <c r="F61" i="32"/>
  <c r="F62" i="32"/>
  <c r="G62" i="32"/>
  <c r="F63" i="32"/>
  <c r="G63" i="32"/>
  <c r="F64" i="32"/>
  <c r="G64" i="32"/>
  <c r="F65" i="32"/>
  <c r="G65" i="32"/>
  <c r="F66" i="32"/>
  <c r="G66" i="32"/>
  <c r="F67" i="32"/>
  <c r="G67" i="32"/>
  <c r="F68" i="32"/>
  <c r="G68" i="32"/>
  <c r="F69" i="32"/>
  <c r="G69" i="32"/>
  <c r="F70" i="32"/>
  <c r="G70" i="32"/>
  <c r="F71" i="32"/>
  <c r="G71" i="32"/>
  <c r="F72" i="32"/>
  <c r="G72" i="32"/>
  <c r="F73" i="32"/>
  <c r="G73" i="32"/>
  <c r="F74" i="32"/>
  <c r="G74" i="32"/>
  <c r="F75" i="32"/>
  <c r="F76" i="32"/>
  <c r="G76" i="32"/>
  <c r="F77" i="32"/>
  <c r="G77" i="32"/>
  <c r="F78" i="32"/>
  <c r="G78" i="32"/>
  <c r="F79" i="32"/>
  <c r="G79" i="32"/>
  <c r="F80" i="32"/>
  <c r="G80" i="32"/>
  <c r="F81" i="32"/>
  <c r="G81" i="32"/>
  <c r="F82" i="32"/>
  <c r="G82" i="32"/>
  <c r="F83" i="32"/>
  <c r="G83" i="32"/>
  <c r="F84" i="32"/>
  <c r="G84" i="32"/>
  <c r="F85" i="32"/>
  <c r="F86" i="32"/>
  <c r="F87" i="32"/>
  <c r="F88" i="32"/>
  <c r="G88" i="32"/>
  <c r="F89" i="32"/>
  <c r="G89" i="32"/>
  <c r="F90" i="32"/>
  <c r="G90" i="32"/>
  <c r="F91" i="32"/>
  <c r="F92" i="32"/>
  <c r="G92" i="32"/>
  <c r="F93" i="32"/>
  <c r="G93" i="32"/>
  <c r="F94" i="32"/>
  <c r="G94" i="32"/>
  <c r="F95" i="32"/>
  <c r="G95" i="32"/>
  <c r="F96" i="32"/>
  <c r="G96" i="32"/>
  <c r="F97" i="32"/>
  <c r="G97" i="32"/>
  <c r="F98" i="32"/>
  <c r="G98" i="32"/>
  <c r="F99" i="32"/>
  <c r="G99" i="32"/>
  <c r="F100" i="32"/>
  <c r="G100" i="32"/>
  <c r="F101" i="32"/>
  <c r="G101" i="32"/>
  <c r="F102" i="32"/>
  <c r="G102" i="32"/>
  <c r="F103" i="32"/>
  <c r="G103" i="32"/>
  <c r="F104" i="32"/>
  <c r="G104" i="32"/>
  <c r="G105" i="32"/>
  <c r="F106" i="32"/>
  <c r="G106" i="32"/>
  <c r="F107" i="32"/>
  <c r="G107" i="32"/>
  <c r="F108" i="32"/>
  <c r="G108" i="32"/>
  <c r="F109" i="32"/>
  <c r="G109" i="32"/>
  <c r="F110" i="32"/>
  <c r="G110" i="32"/>
  <c r="F111" i="32"/>
  <c r="G111" i="32"/>
  <c r="F112" i="32"/>
  <c r="G112" i="32"/>
  <c r="F113" i="32"/>
  <c r="G113" i="32"/>
  <c r="F114" i="32"/>
  <c r="G114" i="32"/>
  <c r="F115" i="32"/>
  <c r="G115" i="32"/>
  <c r="F116" i="32"/>
  <c r="G116" i="32"/>
  <c r="F117" i="32"/>
  <c r="G117" i="32"/>
  <c r="F118" i="32"/>
  <c r="G118" i="32"/>
  <c r="F119" i="32"/>
  <c r="G119" i="32"/>
  <c r="F120" i="32"/>
  <c r="G120" i="32"/>
  <c r="F121" i="32"/>
  <c r="G121" i="32"/>
  <c r="F122" i="32"/>
  <c r="G122" i="32"/>
  <c r="F123" i="32"/>
  <c r="G123" i="32"/>
  <c r="F124" i="32"/>
  <c r="G124" i="32"/>
  <c r="F125" i="32"/>
  <c r="G125" i="32"/>
  <c r="F126" i="32"/>
  <c r="G126" i="32"/>
  <c r="F127" i="32"/>
  <c r="G127" i="32"/>
  <c r="F128" i="32"/>
  <c r="G128" i="32"/>
  <c r="F129" i="32"/>
  <c r="G129" i="32"/>
  <c r="F130" i="32"/>
  <c r="G130" i="32"/>
  <c r="F131" i="32"/>
  <c r="G131" i="32"/>
  <c r="F132" i="32"/>
  <c r="G132" i="32"/>
  <c r="F133" i="32"/>
  <c r="G133" i="32"/>
  <c r="F134" i="32"/>
  <c r="G134" i="32"/>
  <c r="F135" i="32"/>
  <c r="G135" i="32"/>
  <c r="F136" i="32"/>
  <c r="G136" i="32"/>
  <c r="F137" i="32"/>
  <c r="G137" i="32"/>
  <c r="F138" i="32"/>
  <c r="G138" i="32"/>
  <c r="F139" i="32"/>
  <c r="G139" i="32"/>
  <c r="F140" i="32"/>
  <c r="G140" i="32"/>
  <c r="F141" i="32"/>
  <c r="G141" i="32"/>
  <c r="F142" i="32"/>
  <c r="G142" i="32"/>
  <c r="F143" i="32"/>
  <c r="G143" i="32"/>
  <c r="F144" i="32"/>
  <c r="G144" i="32"/>
  <c r="F145" i="32"/>
  <c r="G145" i="32"/>
  <c r="F146" i="32"/>
  <c r="G146" i="32"/>
  <c r="F147" i="32"/>
  <c r="G147" i="32"/>
  <c r="F148" i="32"/>
  <c r="G148" i="32"/>
  <c r="F149" i="32"/>
  <c r="G149" i="32"/>
  <c r="F150" i="32"/>
  <c r="F151" i="32"/>
  <c r="G151" i="32"/>
  <c r="F152" i="32"/>
  <c r="G152" i="32"/>
  <c r="F153" i="32"/>
  <c r="G153" i="32"/>
  <c r="F154" i="32"/>
  <c r="G154" i="32"/>
  <c r="G155" i="32"/>
  <c r="F156" i="32"/>
  <c r="G156" i="32"/>
  <c r="F157" i="32"/>
  <c r="G157" i="32"/>
  <c r="F158" i="32"/>
  <c r="G158" i="32"/>
  <c r="F159" i="32"/>
  <c r="G159" i="32"/>
  <c r="F160" i="32"/>
  <c r="G160" i="32"/>
  <c r="F161" i="32"/>
  <c r="G161" i="32"/>
  <c r="F16" i="32"/>
  <c r="F183" i="1"/>
  <c r="G183" i="1"/>
  <c r="F175" i="1"/>
  <c r="G175" i="1"/>
  <c r="F160" i="1"/>
  <c r="G160" i="1"/>
  <c r="J161" i="1"/>
  <c r="F161" i="1"/>
  <c r="G161" i="1"/>
  <c r="F171" i="1"/>
  <c r="G171" i="1"/>
  <c r="F163" i="1"/>
  <c r="G163" i="1"/>
  <c r="J172" i="30"/>
  <c r="F172" i="30"/>
  <c r="G172" i="30"/>
  <c r="J180" i="30"/>
  <c r="I177" i="30"/>
  <c r="J177" i="30"/>
  <c r="F184" i="30"/>
  <c r="G184" i="30"/>
  <c r="I179" i="30"/>
  <c r="J179" i="30"/>
  <c r="J185" i="32"/>
  <c r="J177" i="32"/>
  <c r="J169" i="32"/>
  <c r="I181" i="30"/>
  <c r="J181" i="30"/>
  <c r="I165" i="30"/>
  <c r="J165" i="30"/>
  <c r="F170" i="30"/>
  <c r="G170" i="30"/>
  <c r="I175" i="30"/>
  <c r="J175" i="30"/>
  <c r="F180" i="30"/>
  <c r="G180" i="30"/>
  <c r="F168" i="30"/>
  <c r="G168" i="30"/>
  <c r="I171" i="30"/>
  <c r="J171" i="30"/>
  <c r="F178" i="30"/>
  <c r="G178" i="30"/>
  <c r="I183" i="30"/>
  <c r="J183" i="30"/>
  <c r="I167" i="30"/>
  <c r="J167" i="30"/>
  <c r="F176" i="30"/>
  <c r="G176" i="30"/>
  <c r="I173" i="30"/>
  <c r="J173" i="30"/>
  <c r="J182" i="30"/>
  <c r="F181" i="30"/>
  <c r="G181" i="30"/>
  <c r="J174" i="30"/>
  <c r="F173" i="30"/>
  <c r="G173" i="30"/>
  <c r="J166" i="30"/>
  <c r="F165" i="30"/>
  <c r="G165" i="30"/>
  <c r="J183" i="31"/>
  <c r="J181" i="31"/>
  <c r="J179" i="31"/>
  <c r="J175" i="31"/>
  <c r="J173" i="31"/>
  <c r="J171" i="31"/>
  <c r="J167" i="31"/>
  <c r="J165" i="31"/>
  <c r="F182" i="30"/>
  <c r="G182" i="30"/>
  <c r="F174" i="30"/>
  <c r="G174" i="30"/>
  <c r="F166" i="30"/>
  <c r="G166" i="30"/>
  <c r="F185" i="30"/>
  <c r="G185" i="30"/>
  <c r="J178" i="30"/>
  <c r="F177" i="30"/>
  <c r="G177" i="30"/>
  <c r="J170" i="30"/>
  <c r="F169" i="30"/>
  <c r="G169" i="30"/>
  <c r="F179" i="30"/>
  <c r="G179" i="30"/>
  <c r="J184" i="30"/>
  <c r="F183" i="30"/>
  <c r="G183" i="30"/>
  <c r="J176" i="30"/>
  <c r="F175" i="30"/>
  <c r="G175" i="30"/>
  <c r="J168" i="30"/>
  <c r="F167" i="30"/>
  <c r="G167" i="30"/>
  <c r="F171" i="30"/>
  <c r="G171" i="30"/>
  <c r="J184" i="27"/>
  <c r="J168" i="27"/>
  <c r="F180" i="1"/>
  <c r="G180" i="1"/>
  <c r="F164" i="1"/>
  <c r="G164" i="1"/>
  <c r="F182" i="1"/>
  <c r="G182" i="1"/>
  <c r="F166" i="1"/>
  <c r="G166" i="1"/>
  <c r="F167" i="1"/>
  <c r="G167" i="1"/>
  <c r="F178" i="1"/>
  <c r="G178" i="1"/>
  <c r="F165" i="1"/>
  <c r="G165" i="1"/>
  <c r="F168" i="1"/>
  <c r="G168" i="1"/>
  <c r="F185" i="1"/>
  <c r="G185" i="1"/>
  <c r="F169" i="1"/>
  <c r="G169" i="1"/>
  <c r="J160" i="1"/>
  <c r="F179" i="1"/>
  <c r="G179" i="1"/>
  <c r="F176" i="1"/>
  <c r="G176" i="1"/>
  <c r="F173" i="1"/>
  <c r="G173" i="1"/>
  <c r="F170" i="1"/>
  <c r="G170" i="1"/>
  <c r="H2" i="26"/>
  <c r="D2" i="26"/>
  <c r="K2" i="26" s="1"/>
  <c r="H2" i="27"/>
  <c r="D2" i="27"/>
  <c r="H2" i="28"/>
  <c r="D2" i="28"/>
  <c r="H2" i="31"/>
  <c r="D2" i="31"/>
  <c r="I18" i="31"/>
  <c r="J18" i="31"/>
  <c r="I19" i="31"/>
  <c r="I19" i="30"/>
  <c r="I20" i="31"/>
  <c r="I21" i="31"/>
  <c r="I21" i="30"/>
  <c r="I22" i="31"/>
  <c r="J22" i="31"/>
  <c r="I23" i="31"/>
  <c r="J23" i="31"/>
  <c r="I24" i="31"/>
  <c r="I25" i="31"/>
  <c r="I25" i="30"/>
  <c r="I26" i="31"/>
  <c r="J26" i="31"/>
  <c r="I27" i="31"/>
  <c r="J27" i="31"/>
  <c r="I28" i="31"/>
  <c r="J28" i="31"/>
  <c r="I29" i="31"/>
  <c r="J29" i="31"/>
  <c r="I30" i="31"/>
  <c r="J30" i="31"/>
  <c r="I31" i="31"/>
  <c r="J31" i="31"/>
  <c r="I32" i="31"/>
  <c r="I33" i="31"/>
  <c r="I33" i="30"/>
  <c r="I34" i="31"/>
  <c r="J34" i="31"/>
  <c r="I35" i="31"/>
  <c r="J35" i="31"/>
  <c r="I36" i="31"/>
  <c r="I37" i="31"/>
  <c r="J37" i="31"/>
  <c r="I38" i="31"/>
  <c r="J38" i="31"/>
  <c r="I39" i="31"/>
  <c r="J39" i="31"/>
  <c r="I40" i="31"/>
  <c r="I41" i="31"/>
  <c r="I41" i="30"/>
  <c r="I42" i="31"/>
  <c r="J42" i="31"/>
  <c r="I43" i="31"/>
  <c r="J43" i="31"/>
  <c r="I44" i="31"/>
  <c r="I45" i="31"/>
  <c r="J45" i="31"/>
  <c r="I46" i="31"/>
  <c r="J46" i="31"/>
  <c r="I47" i="31"/>
  <c r="J47" i="31"/>
  <c r="I48" i="31"/>
  <c r="I49" i="31"/>
  <c r="I49" i="30"/>
  <c r="I50" i="31"/>
  <c r="J50" i="31"/>
  <c r="I51" i="31"/>
  <c r="I51" i="30"/>
  <c r="I52" i="31"/>
  <c r="I52" i="30"/>
  <c r="J52" i="31"/>
  <c r="I53" i="31"/>
  <c r="J53" i="31"/>
  <c r="I54" i="31"/>
  <c r="J54" i="31"/>
  <c r="I55" i="31"/>
  <c r="J55" i="31"/>
  <c r="I56" i="31"/>
  <c r="J56" i="31"/>
  <c r="I57" i="31"/>
  <c r="I58" i="31"/>
  <c r="J58" i="31"/>
  <c r="I59" i="31"/>
  <c r="J59" i="31"/>
  <c r="I60" i="31"/>
  <c r="J60" i="31"/>
  <c r="I61" i="31"/>
  <c r="I61" i="30"/>
  <c r="J61" i="30"/>
  <c r="I62" i="31"/>
  <c r="J62" i="31"/>
  <c r="I63" i="31"/>
  <c r="J63" i="31"/>
  <c r="I64" i="31"/>
  <c r="J64" i="31"/>
  <c r="I65" i="31"/>
  <c r="I65" i="30"/>
  <c r="J65" i="31"/>
  <c r="I66" i="31"/>
  <c r="I67" i="31"/>
  <c r="J67" i="31"/>
  <c r="I68" i="31"/>
  <c r="J68" i="31"/>
  <c r="I69" i="31"/>
  <c r="I69" i="30"/>
  <c r="I70" i="31"/>
  <c r="J70" i="31"/>
  <c r="I71" i="31"/>
  <c r="I72" i="31"/>
  <c r="J72" i="31"/>
  <c r="I73" i="31"/>
  <c r="I73" i="30"/>
  <c r="I74" i="31"/>
  <c r="J74" i="31"/>
  <c r="I75" i="31"/>
  <c r="I75" i="30"/>
  <c r="I76" i="31"/>
  <c r="J76" i="31"/>
  <c r="I77" i="31"/>
  <c r="I77" i="30"/>
  <c r="I78" i="31"/>
  <c r="J78" i="31"/>
  <c r="I79" i="31"/>
  <c r="I79" i="30"/>
  <c r="I80" i="31"/>
  <c r="I81" i="31"/>
  <c r="J81" i="31"/>
  <c r="I82" i="31"/>
  <c r="J82" i="31"/>
  <c r="I83" i="31"/>
  <c r="J83" i="31"/>
  <c r="I84" i="31"/>
  <c r="I84" i="30"/>
  <c r="J84" i="31"/>
  <c r="I85" i="31"/>
  <c r="J85" i="31"/>
  <c r="I86" i="31"/>
  <c r="J86" i="31"/>
  <c r="I87" i="31"/>
  <c r="J87" i="31"/>
  <c r="I88" i="31"/>
  <c r="J88" i="31"/>
  <c r="I89" i="31"/>
  <c r="I90" i="31"/>
  <c r="J90" i="31"/>
  <c r="I91" i="31"/>
  <c r="J91" i="31"/>
  <c r="I92" i="31"/>
  <c r="J92" i="31"/>
  <c r="I93" i="31"/>
  <c r="I93" i="30"/>
  <c r="I94" i="31"/>
  <c r="J94" i="31"/>
  <c r="I95" i="31"/>
  <c r="J95" i="31"/>
  <c r="I96" i="31"/>
  <c r="J96" i="31"/>
  <c r="I97" i="31"/>
  <c r="J97" i="31"/>
  <c r="I98" i="31"/>
  <c r="I99" i="31"/>
  <c r="J99" i="31"/>
  <c r="I100" i="31"/>
  <c r="J100" i="31"/>
  <c r="I101" i="31"/>
  <c r="I101" i="30"/>
  <c r="J101" i="31"/>
  <c r="I102" i="31"/>
  <c r="I103" i="31"/>
  <c r="I104" i="31"/>
  <c r="J104" i="31"/>
  <c r="I105" i="31"/>
  <c r="I105" i="30"/>
  <c r="I106" i="31"/>
  <c r="J106" i="31"/>
  <c r="I107" i="31"/>
  <c r="I107" i="30"/>
  <c r="I108" i="31"/>
  <c r="J108" i="31"/>
  <c r="I109" i="31"/>
  <c r="I109" i="30"/>
  <c r="J109" i="31"/>
  <c r="I110" i="31"/>
  <c r="J110" i="31"/>
  <c r="I111" i="31"/>
  <c r="J111" i="31"/>
  <c r="I112" i="31"/>
  <c r="I113" i="31"/>
  <c r="I113" i="30"/>
  <c r="I114" i="31"/>
  <c r="J114" i="31"/>
  <c r="I115" i="31"/>
  <c r="J115" i="31"/>
  <c r="I116" i="31"/>
  <c r="I116" i="30"/>
  <c r="I117" i="31"/>
  <c r="I117" i="30"/>
  <c r="J117" i="31"/>
  <c r="I118" i="31"/>
  <c r="J118" i="31"/>
  <c r="I119" i="31"/>
  <c r="J119" i="31"/>
  <c r="I120" i="31"/>
  <c r="J120" i="31"/>
  <c r="I121" i="31"/>
  <c r="J121" i="31"/>
  <c r="I122" i="31"/>
  <c r="J122" i="31"/>
  <c r="I123" i="31"/>
  <c r="J123" i="31"/>
  <c r="I124" i="31"/>
  <c r="J124" i="31"/>
  <c r="I125" i="31"/>
  <c r="I125" i="30"/>
  <c r="I126" i="31"/>
  <c r="J126" i="31"/>
  <c r="I127" i="31"/>
  <c r="J127" i="31"/>
  <c r="I128" i="31"/>
  <c r="J128" i="31"/>
  <c r="I129" i="31"/>
  <c r="I129" i="30"/>
  <c r="I130" i="31"/>
  <c r="I131" i="31"/>
  <c r="J131" i="31"/>
  <c r="I132" i="31"/>
  <c r="J132" i="31"/>
  <c r="I133" i="31"/>
  <c r="J133" i="31"/>
  <c r="I134" i="31"/>
  <c r="I135" i="31"/>
  <c r="J135" i="31"/>
  <c r="I136" i="31"/>
  <c r="J136" i="31"/>
  <c r="I137" i="31"/>
  <c r="I137" i="30"/>
  <c r="I138" i="31"/>
  <c r="J138" i="31"/>
  <c r="I139" i="31"/>
  <c r="I139" i="30"/>
  <c r="J139" i="31"/>
  <c r="I140" i="31"/>
  <c r="I140" i="30"/>
  <c r="I141" i="31"/>
  <c r="I141" i="30"/>
  <c r="J141" i="31"/>
  <c r="I142" i="31"/>
  <c r="J142" i="31"/>
  <c r="I143" i="31"/>
  <c r="J143" i="31"/>
  <c r="I144" i="31"/>
  <c r="I145" i="31"/>
  <c r="J145" i="31"/>
  <c r="I146" i="31"/>
  <c r="J146" i="31"/>
  <c r="I147" i="31"/>
  <c r="J147" i="31"/>
  <c r="I148" i="31"/>
  <c r="J148" i="31"/>
  <c r="I149" i="31"/>
  <c r="I149" i="30"/>
  <c r="J149" i="31"/>
  <c r="I150" i="31"/>
  <c r="J150" i="31"/>
  <c r="I151" i="31"/>
  <c r="J151" i="31"/>
  <c r="I152" i="31"/>
  <c r="J152" i="31"/>
  <c r="I153" i="31"/>
  <c r="J153" i="31"/>
  <c r="I154" i="31"/>
  <c r="J154" i="31"/>
  <c r="I155" i="31"/>
  <c r="J155" i="31"/>
  <c r="I156" i="31"/>
  <c r="J156" i="31"/>
  <c r="I157" i="31"/>
  <c r="I157" i="30"/>
  <c r="I158" i="31"/>
  <c r="J158" i="31"/>
  <c r="I159" i="31"/>
  <c r="J159" i="31"/>
  <c r="I160" i="31"/>
  <c r="J160" i="31"/>
  <c r="I161" i="31"/>
  <c r="I161" i="30"/>
  <c r="J161" i="31"/>
  <c r="F18" i="31"/>
  <c r="G18" i="31"/>
  <c r="F19" i="31"/>
  <c r="G19" i="31"/>
  <c r="F20" i="31"/>
  <c r="G20" i="31"/>
  <c r="F21" i="31"/>
  <c r="G21" i="31"/>
  <c r="F22" i="31"/>
  <c r="G22" i="31"/>
  <c r="F23" i="31"/>
  <c r="G23" i="31"/>
  <c r="F24" i="31"/>
  <c r="G24" i="31"/>
  <c r="F25" i="31"/>
  <c r="G25" i="31"/>
  <c r="F26" i="31"/>
  <c r="G26" i="31"/>
  <c r="F27" i="31"/>
  <c r="G27" i="31"/>
  <c r="F28" i="31"/>
  <c r="G28" i="31"/>
  <c r="F29" i="31"/>
  <c r="G29" i="31"/>
  <c r="F30" i="31"/>
  <c r="G30" i="31"/>
  <c r="F31" i="31"/>
  <c r="G31" i="31"/>
  <c r="F32" i="31"/>
  <c r="G32" i="31"/>
  <c r="F33" i="31"/>
  <c r="G33" i="31"/>
  <c r="F34" i="31"/>
  <c r="G34" i="31"/>
  <c r="F35" i="31"/>
  <c r="G35" i="31"/>
  <c r="F36" i="31"/>
  <c r="G36" i="31"/>
  <c r="F37" i="31"/>
  <c r="G37" i="31"/>
  <c r="F38" i="31"/>
  <c r="G38" i="31"/>
  <c r="F39" i="31"/>
  <c r="G39" i="31"/>
  <c r="F40" i="31"/>
  <c r="G40" i="31"/>
  <c r="F41" i="31"/>
  <c r="G41" i="31"/>
  <c r="F42" i="31"/>
  <c r="G42" i="31"/>
  <c r="F43" i="31"/>
  <c r="G43" i="31"/>
  <c r="F44" i="31"/>
  <c r="G44" i="31"/>
  <c r="F45" i="31"/>
  <c r="G45" i="31"/>
  <c r="F46" i="31"/>
  <c r="G46" i="31"/>
  <c r="F47" i="31"/>
  <c r="G47" i="31"/>
  <c r="F48" i="31"/>
  <c r="G48" i="31"/>
  <c r="F49" i="31"/>
  <c r="G49" i="31"/>
  <c r="F50" i="31"/>
  <c r="G50" i="31"/>
  <c r="F51" i="31"/>
  <c r="G51" i="31"/>
  <c r="F52" i="31"/>
  <c r="G52" i="31"/>
  <c r="F53" i="31"/>
  <c r="G53" i="31"/>
  <c r="F54" i="31"/>
  <c r="G54" i="31"/>
  <c r="F55" i="31"/>
  <c r="G55" i="31"/>
  <c r="F56" i="31"/>
  <c r="G56" i="31"/>
  <c r="F57" i="31"/>
  <c r="G57" i="31"/>
  <c r="F58" i="31"/>
  <c r="G58" i="31"/>
  <c r="F59" i="31"/>
  <c r="G59" i="31"/>
  <c r="F60" i="31"/>
  <c r="G60" i="31"/>
  <c r="F61" i="31"/>
  <c r="G61" i="31"/>
  <c r="F62" i="31"/>
  <c r="G62" i="31"/>
  <c r="F63" i="31"/>
  <c r="G63" i="31"/>
  <c r="F64" i="31"/>
  <c r="G64" i="31"/>
  <c r="F65" i="31"/>
  <c r="G65" i="31"/>
  <c r="F66" i="31"/>
  <c r="G66" i="31"/>
  <c r="F67" i="31"/>
  <c r="G67" i="31"/>
  <c r="F68" i="31"/>
  <c r="G68" i="31"/>
  <c r="F69" i="31"/>
  <c r="G69" i="31"/>
  <c r="F70" i="31"/>
  <c r="G70" i="31"/>
  <c r="F71" i="31"/>
  <c r="G71" i="31"/>
  <c r="F72" i="31"/>
  <c r="G72" i="31"/>
  <c r="F73" i="31"/>
  <c r="G73" i="31"/>
  <c r="F74" i="31"/>
  <c r="G74" i="31"/>
  <c r="F75" i="31"/>
  <c r="G75" i="31"/>
  <c r="F76" i="31"/>
  <c r="G76" i="31"/>
  <c r="F77" i="31"/>
  <c r="G77" i="31"/>
  <c r="F78" i="31"/>
  <c r="G78" i="31"/>
  <c r="F79" i="31"/>
  <c r="G79" i="31"/>
  <c r="F80" i="31"/>
  <c r="G80" i="31"/>
  <c r="F81" i="31"/>
  <c r="G81" i="31"/>
  <c r="F82" i="31"/>
  <c r="G82" i="31"/>
  <c r="F83" i="31"/>
  <c r="G83" i="31"/>
  <c r="F84" i="31"/>
  <c r="G84" i="31"/>
  <c r="F85" i="31"/>
  <c r="G85" i="31"/>
  <c r="F86" i="31"/>
  <c r="G86" i="31"/>
  <c r="F87" i="31"/>
  <c r="G87" i="31"/>
  <c r="F88" i="31"/>
  <c r="G88" i="31"/>
  <c r="F89" i="31"/>
  <c r="G89" i="31"/>
  <c r="F90" i="31"/>
  <c r="G90" i="31"/>
  <c r="F91" i="31"/>
  <c r="G91" i="31"/>
  <c r="F92" i="31"/>
  <c r="G92" i="31"/>
  <c r="F93" i="31"/>
  <c r="G93" i="31"/>
  <c r="F94" i="31"/>
  <c r="G94" i="31"/>
  <c r="F95" i="31"/>
  <c r="G95" i="31"/>
  <c r="F96" i="31"/>
  <c r="G96" i="31"/>
  <c r="F97" i="31"/>
  <c r="G97" i="31"/>
  <c r="F98" i="31"/>
  <c r="G98" i="31"/>
  <c r="F99" i="31"/>
  <c r="G99" i="31"/>
  <c r="F100" i="31"/>
  <c r="G100" i="31"/>
  <c r="F101" i="31"/>
  <c r="G101" i="31"/>
  <c r="F102" i="31"/>
  <c r="G102" i="31"/>
  <c r="F103" i="31"/>
  <c r="G103" i="31"/>
  <c r="F104" i="31"/>
  <c r="G104" i="31"/>
  <c r="F105" i="31"/>
  <c r="G105" i="31"/>
  <c r="F106" i="31"/>
  <c r="G106" i="31"/>
  <c r="F107" i="31"/>
  <c r="G107" i="31"/>
  <c r="F108" i="31"/>
  <c r="G108" i="31"/>
  <c r="F109" i="31"/>
  <c r="G109" i="31"/>
  <c r="F110" i="31"/>
  <c r="G110" i="31"/>
  <c r="F111" i="31"/>
  <c r="G111" i="31"/>
  <c r="F112" i="31"/>
  <c r="G112" i="31"/>
  <c r="F113" i="31"/>
  <c r="G113" i="31"/>
  <c r="F114" i="31"/>
  <c r="G114" i="31"/>
  <c r="F115" i="31"/>
  <c r="G115" i="31"/>
  <c r="F116" i="31"/>
  <c r="G116" i="31"/>
  <c r="F117" i="31"/>
  <c r="G117" i="31"/>
  <c r="F118" i="31"/>
  <c r="G118" i="31"/>
  <c r="F119" i="31"/>
  <c r="G119" i="31"/>
  <c r="F120" i="31"/>
  <c r="G120" i="31"/>
  <c r="F121" i="31"/>
  <c r="G121" i="31"/>
  <c r="F122" i="31"/>
  <c r="G122" i="31"/>
  <c r="F123" i="31"/>
  <c r="G123" i="31"/>
  <c r="F124" i="31"/>
  <c r="G124" i="31"/>
  <c r="F125" i="31"/>
  <c r="G125" i="31"/>
  <c r="F126" i="31"/>
  <c r="G126" i="31"/>
  <c r="F127" i="31"/>
  <c r="G127" i="31"/>
  <c r="F128" i="31"/>
  <c r="G128" i="31"/>
  <c r="F129" i="31"/>
  <c r="G129" i="31"/>
  <c r="F130" i="31"/>
  <c r="G130" i="31"/>
  <c r="F131" i="31"/>
  <c r="G131" i="31"/>
  <c r="F132" i="31"/>
  <c r="G132" i="31"/>
  <c r="F133" i="31"/>
  <c r="G133" i="31"/>
  <c r="F134" i="31"/>
  <c r="G134" i="31"/>
  <c r="F135" i="31"/>
  <c r="G135" i="31"/>
  <c r="F136" i="31"/>
  <c r="G136" i="31"/>
  <c r="F137" i="31"/>
  <c r="G137" i="31"/>
  <c r="F138" i="31"/>
  <c r="G138" i="31"/>
  <c r="F139" i="31"/>
  <c r="G139" i="31"/>
  <c r="F140" i="31"/>
  <c r="G140" i="31"/>
  <c r="F141" i="31"/>
  <c r="G141" i="31"/>
  <c r="F142" i="31"/>
  <c r="G142" i="31"/>
  <c r="F143" i="31"/>
  <c r="G143" i="31"/>
  <c r="F144" i="31"/>
  <c r="G144" i="31"/>
  <c r="F145" i="31"/>
  <c r="G145" i="31"/>
  <c r="F146" i="31"/>
  <c r="G146" i="31"/>
  <c r="F147" i="31"/>
  <c r="G147" i="31"/>
  <c r="F148" i="31"/>
  <c r="G148" i="31"/>
  <c r="F149" i="31"/>
  <c r="G149" i="31"/>
  <c r="F150" i="31"/>
  <c r="G150" i="31"/>
  <c r="F151" i="31"/>
  <c r="G151" i="31"/>
  <c r="F152" i="31"/>
  <c r="G152" i="31"/>
  <c r="F153" i="31"/>
  <c r="G153" i="31"/>
  <c r="F154" i="31"/>
  <c r="G154" i="31"/>
  <c r="F155" i="31"/>
  <c r="G155" i="31"/>
  <c r="F156" i="31"/>
  <c r="G156" i="31"/>
  <c r="F157" i="31"/>
  <c r="G157" i="31"/>
  <c r="F158" i="31"/>
  <c r="G158" i="31"/>
  <c r="F159" i="31"/>
  <c r="G159" i="31"/>
  <c r="F160" i="31"/>
  <c r="G160" i="31"/>
  <c r="F161" i="31"/>
  <c r="G161" i="31"/>
  <c r="F136" i="28"/>
  <c r="G136" i="28"/>
  <c r="I136" i="28"/>
  <c r="F60" i="28"/>
  <c r="I18" i="28"/>
  <c r="J18" i="28"/>
  <c r="I19" i="28"/>
  <c r="J19" i="28"/>
  <c r="I20" i="28"/>
  <c r="J20" i="28"/>
  <c r="I21" i="28"/>
  <c r="J21" i="28"/>
  <c r="I22" i="28"/>
  <c r="J22" i="28"/>
  <c r="I23" i="28"/>
  <c r="J23" i="28"/>
  <c r="I24" i="28"/>
  <c r="J24" i="28"/>
  <c r="I25" i="28"/>
  <c r="J25" i="28"/>
  <c r="I26" i="28"/>
  <c r="J26" i="28"/>
  <c r="I27" i="28"/>
  <c r="J27" i="28"/>
  <c r="I28" i="28"/>
  <c r="J28" i="28"/>
  <c r="I29" i="28"/>
  <c r="J29" i="28"/>
  <c r="I30" i="28"/>
  <c r="J30" i="28"/>
  <c r="I31" i="28"/>
  <c r="J31" i="28"/>
  <c r="I32" i="28"/>
  <c r="J32" i="28"/>
  <c r="I33" i="28"/>
  <c r="J33" i="28"/>
  <c r="I34" i="28"/>
  <c r="J34" i="28"/>
  <c r="I35" i="28"/>
  <c r="J35" i="28"/>
  <c r="I36" i="28"/>
  <c r="J36" i="28"/>
  <c r="I37" i="28"/>
  <c r="J37" i="28"/>
  <c r="I38" i="28"/>
  <c r="J38" i="28"/>
  <c r="I39" i="28"/>
  <c r="J39" i="28"/>
  <c r="I40" i="28"/>
  <c r="J40" i="28"/>
  <c r="I41" i="28"/>
  <c r="J41" i="28"/>
  <c r="I42" i="28"/>
  <c r="J42" i="28"/>
  <c r="I43" i="28"/>
  <c r="J43" i="28"/>
  <c r="I44" i="28"/>
  <c r="J44" i="28"/>
  <c r="I45" i="28"/>
  <c r="J45" i="28"/>
  <c r="I46" i="28"/>
  <c r="J46" i="28"/>
  <c r="I47" i="28"/>
  <c r="J47" i="28"/>
  <c r="I48" i="28"/>
  <c r="J48" i="28"/>
  <c r="I49" i="28"/>
  <c r="J49" i="28"/>
  <c r="I50" i="28"/>
  <c r="J50" i="28"/>
  <c r="I51" i="28"/>
  <c r="J51" i="28"/>
  <c r="I52" i="28"/>
  <c r="J52" i="28"/>
  <c r="I53" i="28"/>
  <c r="J53" i="28"/>
  <c r="I54" i="28"/>
  <c r="J54" i="28"/>
  <c r="I55" i="28"/>
  <c r="J55" i="28"/>
  <c r="I56" i="28"/>
  <c r="J56" i="28"/>
  <c r="I57" i="28"/>
  <c r="J57" i="28"/>
  <c r="I58" i="28"/>
  <c r="J58" i="28"/>
  <c r="I59" i="28"/>
  <c r="J59" i="28"/>
  <c r="I60" i="28"/>
  <c r="J60" i="28"/>
  <c r="I61" i="28"/>
  <c r="J61" i="28"/>
  <c r="I62" i="28"/>
  <c r="J62" i="28"/>
  <c r="I63" i="28"/>
  <c r="J63" i="28"/>
  <c r="I64" i="28"/>
  <c r="J64" i="28"/>
  <c r="I65" i="28"/>
  <c r="J65" i="28"/>
  <c r="I66" i="28"/>
  <c r="J66" i="28"/>
  <c r="I67" i="28"/>
  <c r="J67" i="28"/>
  <c r="I68" i="28"/>
  <c r="J68" i="28"/>
  <c r="I69" i="28"/>
  <c r="J69" i="28"/>
  <c r="I70" i="28"/>
  <c r="J70" i="28"/>
  <c r="I71" i="28"/>
  <c r="J71" i="28"/>
  <c r="I72" i="28"/>
  <c r="J72" i="28"/>
  <c r="I73" i="28"/>
  <c r="J73" i="28"/>
  <c r="I74" i="28"/>
  <c r="J74" i="28"/>
  <c r="I75" i="28"/>
  <c r="J75" i="28"/>
  <c r="I76" i="28"/>
  <c r="J76" i="28"/>
  <c r="I77" i="28"/>
  <c r="J77" i="28"/>
  <c r="I78" i="28"/>
  <c r="I79" i="28"/>
  <c r="I80" i="28"/>
  <c r="J80" i="28"/>
  <c r="I81" i="28"/>
  <c r="J81" i="28"/>
  <c r="I82" i="28"/>
  <c r="J82" i="28"/>
  <c r="I83" i="28"/>
  <c r="J83" i="28"/>
  <c r="I84" i="28"/>
  <c r="J84" i="28"/>
  <c r="I85" i="28"/>
  <c r="J85" i="28"/>
  <c r="I86" i="28"/>
  <c r="J86" i="28"/>
  <c r="I87" i="28"/>
  <c r="J87" i="28"/>
  <c r="I88" i="28"/>
  <c r="J88" i="28"/>
  <c r="I89" i="28"/>
  <c r="J89" i="28"/>
  <c r="I90" i="28"/>
  <c r="J90" i="28"/>
  <c r="I91" i="28"/>
  <c r="J91" i="28"/>
  <c r="I92" i="28"/>
  <c r="J92" i="28"/>
  <c r="I93" i="28"/>
  <c r="J93" i="28"/>
  <c r="I94" i="28"/>
  <c r="J94" i="28"/>
  <c r="I95" i="28"/>
  <c r="J95" i="28"/>
  <c r="I96" i="28"/>
  <c r="J96" i="28"/>
  <c r="I97" i="28"/>
  <c r="J97" i="28"/>
  <c r="I98" i="28"/>
  <c r="J98" i="28"/>
  <c r="I99" i="28"/>
  <c r="J99" i="28"/>
  <c r="I100" i="28"/>
  <c r="J100" i="28"/>
  <c r="I101" i="28"/>
  <c r="J101" i="28"/>
  <c r="I102" i="28"/>
  <c r="J102" i="28"/>
  <c r="I103" i="28"/>
  <c r="J103" i="28"/>
  <c r="I104" i="28"/>
  <c r="J104" i="28"/>
  <c r="I105" i="28"/>
  <c r="J105" i="28"/>
  <c r="I106" i="28"/>
  <c r="J106" i="28"/>
  <c r="I107" i="28"/>
  <c r="J107" i="28"/>
  <c r="I108" i="28"/>
  <c r="J108" i="28"/>
  <c r="I109" i="28"/>
  <c r="J109" i="28"/>
  <c r="I110" i="28"/>
  <c r="J110" i="28"/>
  <c r="I111" i="28"/>
  <c r="J111" i="28"/>
  <c r="I112" i="28"/>
  <c r="J112" i="28"/>
  <c r="I113" i="28"/>
  <c r="J113" i="28"/>
  <c r="I114" i="28"/>
  <c r="J114" i="28"/>
  <c r="I115" i="28"/>
  <c r="J115" i="28"/>
  <c r="I116" i="28"/>
  <c r="J116" i="28"/>
  <c r="I117" i="28"/>
  <c r="J117" i="28"/>
  <c r="I118" i="28"/>
  <c r="J118" i="28"/>
  <c r="I119" i="28"/>
  <c r="J119" i="28"/>
  <c r="I120" i="28"/>
  <c r="J120" i="28"/>
  <c r="I121" i="28"/>
  <c r="J121" i="28"/>
  <c r="I122" i="28"/>
  <c r="J122" i="28"/>
  <c r="I123" i="28"/>
  <c r="J123" i="28"/>
  <c r="I124" i="28"/>
  <c r="J124" i="28"/>
  <c r="I125" i="28"/>
  <c r="J125" i="28"/>
  <c r="I126" i="28"/>
  <c r="J126" i="28"/>
  <c r="I127" i="28"/>
  <c r="J127" i="28"/>
  <c r="I128" i="28"/>
  <c r="J128" i="28"/>
  <c r="I129" i="28"/>
  <c r="J129" i="28"/>
  <c r="I130" i="28"/>
  <c r="J130" i="28"/>
  <c r="I131" i="28"/>
  <c r="J131" i="28"/>
  <c r="I132" i="28"/>
  <c r="J132" i="28"/>
  <c r="J133" i="28"/>
  <c r="I134" i="28"/>
  <c r="J134" i="28"/>
  <c r="I135" i="28"/>
  <c r="J135" i="28"/>
  <c r="J136" i="28"/>
  <c r="I137" i="28"/>
  <c r="J137" i="28"/>
  <c r="I138" i="28"/>
  <c r="J138" i="28"/>
  <c r="I139" i="28"/>
  <c r="J139" i="28"/>
  <c r="I140" i="28"/>
  <c r="J140" i="28"/>
  <c r="I141" i="28"/>
  <c r="J141" i="28"/>
  <c r="I142" i="28"/>
  <c r="J142" i="28"/>
  <c r="I143" i="28"/>
  <c r="J143" i="28"/>
  <c r="I144" i="28"/>
  <c r="J144" i="28"/>
  <c r="I145" i="28"/>
  <c r="J145" i="28"/>
  <c r="I146" i="28"/>
  <c r="J146" i="28"/>
  <c r="I147" i="28"/>
  <c r="J147" i="28"/>
  <c r="I148" i="28"/>
  <c r="J148" i="28"/>
  <c r="I149" i="28"/>
  <c r="J149" i="28"/>
  <c r="I150" i="28"/>
  <c r="J150" i="28"/>
  <c r="I151" i="28"/>
  <c r="J151" i="28"/>
  <c r="I152" i="28"/>
  <c r="J152" i="28"/>
  <c r="I153" i="28"/>
  <c r="J153" i="28"/>
  <c r="I154" i="28"/>
  <c r="J154" i="28"/>
  <c r="I155" i="28"/>
  <c r="J155" i="28"/>
  <c r="I156" i="28"/>
  <c r="J156" i="28"/>
  <c r="I157" i="28"/>
  <c r="J157" i="28"/>
  <c r="I158" i="28"/>
  <c r="J158" i="28"/>
  <c r="I159" i="28"/>
  <c r="J159" i="28"/>
  <c r="I160" i="28"/>
  <c r="J160" i="28"/>
  <c r="I161" i="28"/>
  <c r="J161" i="28"/>
  <c r="F18" i="28"/>
  <c r="G18" i="28"/>
  <c r="F19" i="28"/>
  <c r="G19" i="28"/>
  <c r="F20" i="28"/>
  <c r="G20" i="28"/>
  <c r="F21" i="28"/>
  <c r="G21" i="28"/>
  <c r="F22" i="28"/>
  <c r="G22" i="28"/>
  <c r="F23" i="28"/>
  <c r="G23" i="28"/>
  <c r="F24" i="28"/>
  <c r="G24" i="28"/>
  <c r="F25" i="28"/>
  <c r="G25" i="28"/>
  <c r="F26" i="28"/>
  <c r="G26" i="28"/>
  <c r="F27" i="28"/>
  <c r="G27" i="28"/>
  <c r="F28" i="28"/>
  <c r="G28" i="28"/>
  <c r="F29" i="28"/>
  <c r="G29" i="28"/>
  <c r="F30" i="28"/>
  <c r="G30" i="28"/>
  <c r="F31" i="28"/>
  <c r="G31" i="28"/>
  <c r="F32" i="28"/>
  <c r="G32" i="28"/>
  <c r="F33" i="28"/>
  <c r="G33" i="28"/>
  <c r="F34" i="28"/>
  <c r="G34" i="28"/>
  <c r="F35" i="28"/>
  <c r="G35" i="28"/>
  <c r="F36" i="28"/>
  <c r="G36" i="28"/>
  <c r="F37" i="28"/>
  <c r="G37" i="28"/>
  <c r="F38" i="28"/>
  <c r="G38" i="28"/>
  <c r="F39" i="28"/>
  <c r="G39" i="28"/>
  <c r="F40" i="28"/>
  <c r="G40" i="28"/>
  <c r="F41" i="28"/>
  <c r="G41" i="28"/>
  <c r="F42" i="28"/>
  <c r="G42" i="28"/>
  <c r="F43" i="28"/>
  <c r="G43" i="28"/>
  <c r="F44" i="28"/>
  <c r="G44" i="28"/>
  <c r="F45" i="28"/>
  <c r="G45" i="28"/>
  <c r="F46" i="28"/>
  <c r="G46" i="28"/>
  <c r="F47" i="28"/>
  <c r="G47" i="28"/>
  <c r="F48" i="28"/>
  <c r="G48" i="28"/>
  <c r="F49" i="28"/>
  <c r="G49" i="28"/>
  <c r="F50" i="28"/>
  <c r="G50" i="28"/>
  <c r="F51" i="28"/>
  <c r="G51" i="28"/>
  <c r="F52" i="28"/>
  <c r="G52" i="28"/>
  <c r="F53" i="28"/>
  <c r="G53" i="28"/>
  <c r="F54" i="28"/>
  <c r="G54" i="28"/>
  <c r="F55" i="28"/>
  <c r="G55" i="28"/>
  <c r="F56" i="28"/>
  <c r="G56" i="28"/>
  <c r="F57" i="28"/>
  <c r="G57" i="28"/>
  <c r="F58" i="28"/>
  <c r="G58" i="28"/>
  <c r="F59" i="28"/>
  <c r="G59" i="28"/>
  <c r="G60"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c r="F152" i="28"/>
  <c r="G152" i="28"/>
  <c r="F153" i="28"/>
  <c r="G153" i="28"/>
  <c r="F154" i="28"/>
  <c r="G154" i="28"/>
  <c r="F155" i="28"/>
  <c r="G155" i="28"/>
  <c r="F156" i="28"/>
  <c r="G156" i="28"/>
  <c r="F157" i="28"/>
  <c r="G157" i="28"/>
  <c r="F158" i="28"/>
  <c r="G158" i="28"/>
  <c r="F159" i="28"/>
  <c r="G159" i="28"/>
  <c r="F160" i="28"/>
  <c r="G160" i="28"/>
  <c r="F161" i="28"/>
  <c r="G161" i="28"/>
  <c r="I18" i="27"/>
  <c r="J18" i="27"/>
  <c r="I19" i="27"/>
  <c r="J19" i="27"/>
  <c r="I20" i="27"/>
  <c r="J20" i="27"/>
  <c r="I21" i="27"/>
  <c r="J21" i="27"/>
  <c r="I22" i="27"/>
  <c r="J22" i="27"/>
  <c r="I23" i="27"/>
  <c r="J23" i="27"/>
  <c r="I24" i="27"/>
  <c r="J24" i="27"/>
  <c r="I25" i="27"/>
  <c r="J25" i="27"/>
  <c r="I26" i="27"/>
  <c r="J26" i="27"/>
  <c r="I27" i="27"/>
  <c r="J27" i="27"/>
  <c r="I28" i="27"/>
  <c r="J28" i="27"/>
  <c r="I29" i="27"/>
  <c r="J29" i="27"/>
  <c r="I30" i="27"/>
  <c r="J30" i="27"/>
  <c r="I31" i="27"/>
  <c r="J31" i="27"/>
  <c r="I32" i="27"/>
  <c r="J32" i="27"/>
  <c r="I33" i="27"/>
  <c r="J33" i="27"/>
  <c r="I34" i="27"/>
  <c r="J34" i="27"/>
  <c r="I35" i="27"/>
  <c r="J35" i="27"/>
  <c r="I36" i="27"/>
  <c r="J36" i="27"/>
  <c r="I37" i="27"/>
  <c r="J37" i="27"/>
  <c r="I38" i="27"/>
  <c r="J38" i="27"/>
  <c r="I39" i="27"/>
  <c r="J39" i="27"/>
  <c r="I40" i="27"/>
  <c r="J40" i="27"/>
  <c r="I41" i="27"/>
  <c r="J41" i="27"/>
  <c r="I42" i="27"/>
  <c r="J42" i="27"/>
  <c r="I43" i="27"/>
  <c r="J43" i="27"/>
  <c r="I44" i="27"/>
  <c r="J44" i="27"/>
  <c r="I45" i="27"/>
  <c r="J45" i="27"/>
  <c r="I46" i="27"/>
  <c r="J46" i="27"/>
  <c r="I47" i="27"/>
  <c r="J47" i="27"/>
  <c r="I48" i="27"/>
  <c r="J48" i="27"/>
  <c r="I49" i="27"/>
  <c r="J49" i="27"/>
  <c r="I50" i="27"/>
  <c r="J50" i="27"/>
  <c r="I51" i="27"/>
  <c r="J51" i="27"/>
  <c r="I52" i="27"/>
  <c r="J52" i="27"/>
  <c r="I53" i="27"/>
  <c r="J53" i="27"/>
  <c r="I54" i="27"/>
  <c r="J54" i="27"/>
  <c r="I55" i="27"/>
  <c r="J55" i="27"/>
  <c r="I56" i="27"/>
  <c r="J56" i="27"/>
  <c r="I57" i="27"/>
  <c r="I58" i="27"/>
  <c r="I59" i="27"/>
  <c r="J59" i="27"/>
  <c r="I60" i="27"/>
  <c r="J60" i="27"/>
  <c r="I61" i="27"/>
  <c r="J61" i="27"/>
  <c r="I62" i="27"/>
  <c r="J62" i="27"/>
  <c r="I63" i="27"/>
  <c r="J63" i="27"/>
  <c r="I64" i="27"/>
  <c r="J64" i="27"/>
  <c r="I65" i="27"/>
  <c r="J65" i="27"/>
  <c r="I66" i="27"/>
  <c r="J66" i="27"/>
  <c r="I67" i="27"/>
  <c r="J67" i="27"/>
  <c r="I68" i="27"/>
  <c r="J68" i="27"/>
  <c r="I69" i="27"/>
  <c r="J69" i="27"/>
  <c r="I70" i="27"/>
  <c r="J70" i="27"/>
  <c r="I71" i="27"/>
  <c r="J71" i="27"/>
  <c r="I72" i="27"/>
  <c r="J72" i="27"/>
  <c r="I73" i="27"/>
  <c r="J73" i="27"/>
  <c r="I74" i="27"/>
  <c r="J74" i="27"/>
  <c r="I75" i="27"/>
  <c r="J75" i="27"/>
  <c r="I76" i="27"/>
  <c r="J76" i="27"/>
  <c r="I77" i="27"/>
  <c r="J77" i="27"/>
  <c r="I78" i="27"/>
  <c r="J78" i="27"/>
  <c r="I79" i="27"/>
  <c r="J79" i="27"/>
  <c r="I80" i="27"/>
  <c r="J80" i="27"/>
  <c r="I81" i="27"/>
  <c r="I82" i="27"/>
  <c r="I83" i="27"/>
  <c r="J83" i="27"/>
  <c r="I84" i="27"/>
  <c r="J84" i="27"/>
  <c r="I85" i="27"/>
  <c r="J85" i="27"/>
  <c r="I86" i="27"/>
  <c r="J86" i="27"/>
  <c r="I87" i="27"/>
  <c r="J87" i="27"/>
  <c r="I88" i="27"/>
  <c r="J88" i="27"/>
  <c r="I89" i="27"/>
  <c r="I90" i="27"/>
  <c r="J90" i="27"/>
  <c r="I91" i="27"/>
  <c r="J91" i="27"/>
  <c r="I92" i="27"/>
  <c r="J92" i="27"/>
  <c r="I93" i="27"/>
  <c r="J93" i="27"/>
  <c r="I94" i="27"/>
  <c r="J94" i="27"/>
  <c r="I95" i="27"/>
  <c r="J95" i="27"/>
  <c r="I96" i="27"/>
  <c r="J96" i="27"/>
  <c r="I97" i="27"/>
  <c r="J97" i="27"/>
  <c r="I98" i="27"/>
  <c r="J98" i="27"/>
  <c r="I99" i="27"/>
  <c r="J99" i="27"/>
  <c r="I100" i="27"/>
  <c r="J100" i="27"/>
  <c r="I101" i="27"/>
  <c r="J101" i="27"/>
  <c r="I102" i="27"/>
  <c r="J102" i="27"/>
  <c r="I103" i="27"/>
  <c r="J103" i="27"/>
  <c r="I104" i="27"/>
  <c r="J104" i="27"/>
  <c r="I105" i="27"/>
  <c r="J105" i="27"/>
  <c r="I106" i="27"/>
  <c r="J106" i="27"/>
  <c r="I107" i="27"/>
  <c r="J107" i="27"/>
  <c r="I108" i="27"/>
  <c r="J108" i="27"/>
  <c r="I109" i="27"/>
  <c r="J109" i="27"/>
  <c r="I110" i="27"/>
  <c r="J110" i="27"/>
  <c r="I111" i="27"/>
  <c r="J111" i="27"/>
  <c r="I112" i="27"/>
  <c r="J112" i="27"/>
  <c r="I113" i="27"/>
  <c r="J113" i="27"/>
  <c r="I114" i="27"/>
  <c r="J114" i="27"/>
  <c r="I115" i="27"/>
  <c r="J115" i="27"/>
  <c r="I116" i="27"/>
  <c r="J116" i="27"/>
  <c r="I117" i="27"/>
  <c r="J117" i="27"/>
  <c r="I118" i="27"/>
  <c r="J118" i="27"/>
  <c r="I119" i="27"/>
  <c r="J119" i="27"/>
  <c r="I120" i="27"/>
  <c r="J120" i="27"/>
  <c r="I121" i="27"/>
  <c r="J121" i="27"/>
  <c r="I122" i="27"/>
  <c r="J122" i="27"/>
  <c r="I123" i="27"/>
  <c r="J123" i="27"/>
  <c r="I124" i="27"/>
  <c r="J124" i="27"/>
  <c r="I125" i="27"/>
  <c r="J125" i="27"/>
  <c r="I126" i="27"/>
  <c r="J126" i="27"/>
  <c r="I127" i="27"/>
  <c r="I128" i="27"/>
  <c r="J128" i="27"/>
  <c r="I129" i="27"/>
  <c r="J129" i="27"/>
  <c r="I130" i="27"/>
  <c r="J130" i="27"/>
  <c r="I131" i="27"/>
  <c r="J131" i="27"/>
  <c r="I132" i="27"/>
  <c r="I133" i="27"/>
  <c r="J133" i="27"/>
  <c r="I134" i="27"/>
  <c r="J134" i="27"/>
  <c r="I135" i="27"/>
  <c r="J135" i="27"/>
  <c r="I136" i="27"/>
  <c r="I137" i="27"/>
  <c r="J137" i="27"/>
  <c r="I138" i="27"/>
  <c r="J138" i="27"/>
  <c r="I139" i="27"/>
  <c r="J139" i="27"/>
  <c r="I140" i="27"/>
  <c r="J140" i="27"/>
  <c r="I141" i="27"/>
  <c r="J141" i="27"/>
  <c r="I142" i="27"/>
  <c r="J142" i="27"/>
  <c r="I143" i="27"/>
  <c r="J143" i="27"/>
  <c r="I144" i="27"/>
  <c r="J144" i="27"/>
  <c r="I145" i="27"/>
  <c r="I146" i="27"/>
  <c r="J146" i="27"/>
  <c r="I147" i="27"/>
  <c r="J147" i="27"/>
  <c r="I148" i="27"/>
  <c r="J148" i="27"/>
  <c r="I149" i="27"/>
  <c r="J149" i="27"/>
  <c r="I150" i="27"/>
  <c r="J150" i="27"/>
  <c r="I151" i="27"/>
  <c r="J151" i="27"/>
  <c r="I152" i="27"/>
  <c r="J152" i="27"/>
  <c r="I153" i="27"/>
  <c r="I154" i="27"/>
  <c r="J154" i="27"/>
  <c r="I155" i="27"/>
  <c r="I156" i="27"/>
  <c r="J156" i="27"/>
  <c r="I157" i="27"/>
  <c r="J157" i="27"/>
  <c r="I158" i="27"/>
  <c r="J158" i="27"/>
  <c r="I159" i="27"/>
  <c r="I160" i="27"/>
  <c r="J160" i="27"/>
  <c r="I161" i="27"/>
  <c r="J161" i="27"/>
  <c r="F18" i="27"/>
  <c r="F19" i="27"/>
  <c r="G19" i="27"/>
  <c r="F20" i="27"/>
  <c r="G20" i="27"/>
  <c r="F21" i="27"/>
  <c r="G21" i="27"/>
  <c r="F22" i="27"/>
  <c r="G22" i="27"/>
  <c r="F23" i="27"/>
  <c r="G23" i="27"/>
  <c r="F24" i="27"/>
  <c r="G24" i="27"/>
  <c r="F25" i="27"/>
  <c r="G25" i="27"/>
  <c r="F26" i="27"/>
  <c r="G26" i="27"/>
  <c r="F27" i="27"/>
  <c r="G27" i="27"/>
  <c r="F28" i="27"/>
  <c r="G28" i="27"/>
  <c r="F29" i="27"/>
  <c r="G29" i="27"/>
  <c r="F30" i="27"/>
  <c r="G30" i="27"/>
  <c r="F31" i="27"/>
  <c r="G31" i="27"/>
  <c r="F32" i="27"/>
  <c r="G32" i="27"/>
  <c r="F33" i="27"/>
  <c r="G33" i="27"/>
  <c r="F34" i="27"/>
  <c r="G34" i="27"/>
  <c r="F35" i="27"/>
  <c r="G35" i="27"/>
  <c r="F36" i="27"/>
  <c r="G36" i="27"/>
  <c r="F37" i="27"/>
  <c r="G37" i="27"/>
  <c r="F38" i="27"/>
  <c r="G38" i="27"/>
  <c r="F39" i="27"/>
  <c r="G39" i="27"/>
  <c r="F40" i="27"/>
  <c r="G40" i="27"/>
  <c r="F41" i="27"/>
  <c r="G41" i="27"/>
  <c r="F42" i="27"/>
  <c r="G42" i="27"/>
  <c r="F43" i="27"/>
  <c r="G43" i="27"/>
  <c r="F44" i="27"/>
  <c r="G44" i="27"/>
  <c r="F45" i="27"/>
  <c r="G45" i="27"/>
  <c r="F46" i="27"/>
  <c r="G46" i="27"/>
  <c r="F47" i="27"/>
  <c r="G47" i="27"/>
  <c r="F48" i="27"/>
  <c r="G48" i="27"/>
  <c r="F49" i="27"/>
  <c r="G49" i="27"/>
  <c r="F50" i="27"/>
  <c r="G50"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4" i="27"/>
  <c r="G74" i="27"/>
  <c r="F75" i="27"/>
  <c r="G75" i="27"/>
  <c r="F76" i="27"/>
  <c r="G76" i="27"/>
  <c r="F77" i="27"/>
  <c r="G77" i="27"/>
  <c r="F78" i="27"/>
  <c r="G78" i="27"/>
  <c r="F79" i="27"/>
  <c r="G79" i="27"/>
  <c r="F80" i="27"/>
  <c r="G80" i="27"/>
  <c r="F81" i="27"/>
  <c r="G81" i="27"/>
  <c r="F82" i="27"/>
  <c r="G82" i="27"/>
  <c r="F83" i="27"/>
  <c r="G83" i="27"/>
  <c r="F84" i="27"/>
  <c r="G84" i="27"/>
  <c r="F85" i="27"/>
  <c r="G85" i="27"/>
  <c r="F86" i="27"/>
  <c r="G86" i="27"/>
  <c r="F87" i="27"/>
  <c r="G87" i="27"/>
  <c r="F88" i="27"/>
  <c r="G88" i="27"/>
  <c r="F89" i="27"/>
  <c r="G89" i="27"/>
  <c r="F90" i="27"/>
  <c r="G90" i="27"/>
  <c r="F91" i="27"/>
  <c r="G91" i="27"/>
  <c r="F92" i="27"/>
  <c r="G92" i="27"/>
  <c r="F93" i="27"/>
  <c r="G93" i="27"/>
  <c r="F94" i="27"/>
  <c r="G94" i="27"/>
  <c r="F95" i="27"/>
  <c r="G95" i="27"/>
  <c r="F96" i="27"/>
  <c r="G96" i="27"/>
  <c r="F97" i="27"/>
  <c r="G97" i="27"/>
  <c r="F98" i="27"/>
  <c r="G98" i="27"/>
  <c r="F99" i="27"/>
  <c r="G99" i="27"/>
  <c r="F100" i="27"/>
  <c r="G100" i="27"/>
  <c r="F101" i="27"/>
  <c r="G101" i="27"/>
  <c r="F102" i="27"/>
  <c r="G102" i="27"/>
  <c r="F103" i="27"/>
  <c r="G103" i="27"/>
  <c r="F104" i="27"/>
  <c r="G104" i="27"/>
  <c r="F105" i="27"/>
  <c r="G105" i="27"/>
  <c r="F106" i="27"/>
  <c r="G106" i="27"/>
  <c r="F107" i="27"/>
  <c r="G107" i="27"/>
  <c r="F108" i="27"/>
  <c r="G108" i="27"/>
  <c r="F109" i="27"/>
  <c r="G109" i="27"/>
  <c r="F110" i="27"/>
  <c r="G110" i="27"/>
  <c r="F111" i="27"/>
  <c r="G111" i="27"/>
  <c r="F112" i="27"/>
  <c r="G112" i="27"/>
  <c r="F113" i="27"/>
  <c r="G113" i="27"/>
  <c r="F114" i="27"/>
  <c r="G114" i="27"/>
  <c r="F115" i="27"/>
  <c r="G115"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7" i="27"/>
  <c r="G147" i="27"/>
  <c r="F148" i="27"/>
  <c r="G148" i="27"/>
  <c r="F149" i="27"/>
  <c r="G149" i="27"/>
  <c r="F150" i="27"/>
  <c r="G150" i="27"/>
  <c r="F151" i="27"/>
  <c r="G151" i="27"/>
  <c r="F152" i="27"/>
  <c r="G152" i="27"/>
  <c r="F153" i="27"/>
  <c r="G153" i="27"/>
  <c r="F154" i="27"/>
  <c r="G154" i="27"/>
  <c r="F155" i="27"/>
  <c r="G155" i="27"/>
  <c r="F156" i="27"/>
  <c r="G156" i="27"/>
  <c r="F157" i="27"/>
  <c r="G157" i="27"/>
  <c r="F158" i="27"/>
  <c r="G158" i="27"/>
  <c r="F159" i="27"/>
  <c r="G159" i="27"/>
  <c r="F160" i="27"/>
  <c r="G160" i="27"/>
  <c r="F161" i="27"/>
  <c r="G161" i="27"/>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4" i="34" s="1"/>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0" i="34" s="1"/>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D20" i="30"/>
  <c r="E20" i="30"/>
  <c r="D21" i="30"/>
  <c r="E21" i="30"/>
  <c r="D22" i="30"/>
  <c r="E22" i="30"/>
  <c r="I22" i="30"/>
  <c r="D23" i="30"/>
  <c r="E23" i="30"/>
  <c r="I23" i="30"/>
  <c r="D24" i="30"/>
  <c r="E24" i="30"/>
  <c r="D25" i="30"/>
  <c r="E25" i="30"/>
  <c r="D26" i="30"/>
  <c r="E26" i="30"/>
  <c r="I26" i="30"/>
  <c r="D27" i="30"/>
  <c r="E27" i="30"/>
  <c r="I27" i="30"/>
  <c r="D28" i="30"/>
  <c r="E28" i="30"/>
  <c r="I28" i="30"/>
  <c r="D29" i="30"/>
  <c r="E29" i="30"/>
  <c r="I29" i="30"/>
  <c r="D30" i="30"/>
  <c r="E30" i="30"/>
  <c r="I30" i="30"/>
  <c r="D31" i="30"/>
  <c r="E31" i="30"/>
  <c r="I31" i="30"/>
  <c r="D32" i="30"/>
  <c r="E32" i="30"/>
  <c r="D33" i="30"/>
  <c r="E33" i="30"/>
  <c r="D34" i="30"/>
  <c r="E34" i="30"/>
  <c r="I34" i="30"/>
  <c r="J34" i="30"/>
  <c r="D35" i="30"/>
  <c r="E35" i="30"/>
  <c r="I35" i="30"/>
  <c r="D36" i="30"/>
  <c r="E36" i="30"/>
  <c r="D37" i="30"/>
  <c r="E37" i="30"/>
  <c r="I37" i="30"/>
  <c r="D38" i="30"/>
  <c r="E38" i="30"/>
  <c r="D39" i="30"/>
  <c r="E39" i="30"/>
  <c r="I39" i="30"/>
  <c r="D40" i="30"/>
  <c r="E40" i="30"/>
  <c r="D41" i="30"/>
  <c r="E41" i="30"/>
  <c r="D42" i="30"/>
  <c r="E42" i="30"/>
  <c r="I42" i="30"/>
  <c r="D43" i="30"/>
  <c r="E43" i="30"/>
  <c r="I43" i="30"/>
  <c r="D44" i="30"/>
  <c r="E44" i="30"/>
  <c r="D45" i="30"/>
  <c r="E45" i="30"/>
  <c r="I45" i="30"/>
  <c r="D46" i="30"/>
  <c r="E46" i="30"/>
  <c r="I46" i="30"/>
  <c r="D47" i="30"/>
  <c r="E47" i="30"/>
  <c r="I47" i="30"/>
  <c r="D48" i="30"/>
  <c r="E48" i="30"/>
  <c r="D49" i="30"/>
  <c r="E49" i="30"/>
  <c r="D50" i="30"/>
  <c r="E50" i="30"/>
  <c r="I50" i="30"/>
  <c r="D51" i="30"/>
  <c r="E51" i="30"/>
  <c r="D52" i="30"/>
  <c r="E52" i="30"/>
  <c r="D53" i="30"/>
  <c r="E53" i="30"/>
  <c r="I53" i="30"/>
  <c r="J53" i="30"/>
  <c r="D54" i="30"/>
  <c r="E54" i="30"/>
  <c r="I54" i="30"/>
  <c r="D55" i="30"/>
  <c r="E55" i="30"/>
  <c r="I55" i="30"/>
  <c r="D56" i="30"/>
  <c r="E56" i="30"/>
  <c r="D57" i="30"/>
  <c r="E57" i="30"/>
  <c r="D58" i="30"/>
  <c r="E58" i="30"/>
  <c r="I58" i="30"/>
  <c r="D59" i="30"/>
  <c r="E59" i="30"/>
  <c r="I59" i="30"/>
  <c r="D60" i="30"/>
  <c r="E60" i="30"/>
  <c r="I60" i="30"/>
  <c r="D61" i="30"/>
  <c r="E61" i="30"/>
  <c r="D62" i="30"/>
  <c r="E62" i="30"/>
  <c r="I62" i="30"/>
  <c r="D63" i="30"/>
  <c r="E63" i="30"/>
  <c r="I63" i="30"/>
  <c r="D64" i="30"/>
  <c r="E64" i="30"/>
  <c r="I64" i="30"/>
  <c r="D65" i="30"/>
  <c r="E65" i="30"/>
  <c r="D66" i="30"/>
  <c r="E66" i="30"/>
  <c r="D67" i="30"/>
  <c r="E67" i="30"/>
  <c r="F67" i="30"/>
  <c r="G67" i="30"/>
  <c r="I67" i="30"/>
  <c r="D68" i="30"/>
  <c r="E68" i="30"/>
  <c r="I68" i="30"/>
  <c r="D69" i="30"/>
  <c r="E69" i="30"/>
  <c r="D70" i="30"/>
  <c r="E70" i="30"/>
  <c r="I70" i="30"/>
  <c r="D71" i="30"/>
  <c r="E71" i="30"/>
  <c r="D72" i="30"/>
  <c r="E72" i="30"/>
  <c r="I72" i="30"/>
  <c r="D73" i="30"/>
  <c r="E73" i="30"/>
  <c r="D74" i="30"/>
  <c r="E74" i="30"/>
  <c r="I74" i="30"/>
  <c r="D75" i="30"/>
  <c r="F75" i="30"/>
  <c r="G75" i="30"/>
  <c r="E75" i="30"/>
  <c r="D76" i="30"/>
  <c r="E76" i="30"/>
  <c r="I76" i="30"/>
  <c r="D77" i="30"/>
  <c r="E77" i="30"/>
  <c r="D78" i="30"/>
  <c r="E78" i="30"/>
  <c r="I78" i="30"/>
  <c r="J78" i="30"/>
  <c r="D79" i="30"/>
  <c r="E79" i="30"/>
  <c r="D80" i="30"/>
  <c r="F80" i="30"/>
  <c r="G80" i="30"/>
  <c r="E80" i="30"/>
  <c r="D81" i="30"/>
  <c r="E81" i="30"/>
  <c r="I81" i="30"/>
  <c r="J81" i="30"/>
  <c r="D82" i="30"/>
  <c r="E82" i="30"/>
  <c r="I82" i="30"/>
  <c r="J82" i="30"/>
  <c r="D83" i="30"/>
  <c r="E83" i="30"/>
  <c r="F83" i="30"/>
  <c r="G83" i="30"/>
  <c r="I83" i="30"/>
  <c r="D84" i="30"/>
  <c r="E84" i="30"/>
  <c r="D85" i="30"/>
  <c r="E85" i="30"/>
  <c r="I85" i="30"/>
  <c r="J85" i="30"/>
  <c r="D86" i="30"/>
  <c r="E86" i="30"/>
  <c r="I86" i="30"/>
  <c r="J86" i="30"/>
  <c r="D87" i="30"/>
  <c r="E87" i="30"/>
  <c r="F87" i="30"/>
  <c r="G87" i="30"/>
  <c r="I87" i="30"/>
  <c r="D88" i="30"/>
  <c r="E88" i="30"/>
  <c r="I88" i="30"/>
  <c r="D89" i="30"/>
  <c r="E89" i="30"/>
  <c r="D90" i="30"/>
  <c r="E90" i="30"/>
  <c r="D91" i="30"/>
  <c r="E91" i="30"/>
  <c r="I91" i="30"/>
  <c r="D92" i="30"/>
  <c r="F92" i="30"/>
  <c r="G92" i="30"/>
  <c r="E92" i="30"/>
  <c r="I92" i="30"/>
  <c r="D93" i="30"/>
  <c r="E93" i="30"/>
  <c r="D94" i="30"/>
  <c r="E94" i="30"/>
  <c r="I94" i="30"/>
  <c r="J94" i="30"/>
  <c r="D95" i="30"/>
  <c r="E95" i="30"/>
  <c r="F95" i="30"/>
  <c r="G95" i="30"/>
  <c r="D96" i="30"/>
  <c r="E96" i="30"/>
  <c r="I96" i="30"/>
  <c r="D97" i="30"/>
  <c r="E97" i="30"/>
  <c r="I97" i="30"/>
  <c r="J97" i="30"/>
  <c r="D98" i="30"/>
  <c r="E98" i="30"/>
  <c r="D99" i="30"/>
  <c r="E99" i="30"/>
  <c r="F99" i="30"/>
  <c r="G99" i="30"/>
  <c r="I99" i="30"/>
  <c r="D100" i="30"/>
  <c r="E100" i="30"/>
  <c r="F100" i="30"/>
  <c r="G100" i="30"/>
  <c r="I100" i="30"/>
  <c r="D101" i="30"/>
  <c r="E101" i="30"/>
  <c r="D102" i="30"/>
  <c r="E102" i="30"/>
  <c r="D103" i="30"/>
  <c r="E103" i="30"/>
  <c r="D104" i="30"/>
  <c r="E104" i="30"/>
  <c r="F104" i="30"/>
  <c r="G104" i="30"/>
  <c r="I104" i="30"/>
  <c r="D105" i="30"/>
  <c r="E105" i="30"/>
  <c r="D106" i="30"/>
  <c r="E106" i="30"/>
  <c r="I106" i="30"/>
  <c r="J106" i="30"/>
  <c r="D107" i="30"/>
  <c r="E107" i="30"/>
  <c r="F107" i="30"/>
  <c r="G107" i="30"/>
  <c r="D108" i="30"/>
  <c r="E108" i="30"/>
  <c r="I108" i="30"/>
  <c r="D109" i="30"/>
  <c r="E109" i="30"/>
  <c r="D110" i="30"/>
  <c r="E110" i="30"/>
  <c r="I110" i="30"/>
  <c r="J110" i="30"/>
  <c r="D111" i="30"/>
  <c r="E111" i="30"/>
  <c r="I111" i="30"/>
  <c r="D112" i="30"/>
  <c r="E112" i="30"/>
  <c r="D113" i="30"/>
  <c r="E113" i="30"/>
  <c r="D114" i="30"/>
  <c r="E114" i="30"/>
  <c r="I114" i="30"/>
  <c r="J114" i="30"/>
  <c r="D115" i="30"/>
  <c r="E115" i="30"/>
  <c r="I115" i="30"/>
  <c r="D116" i="30"/>
  <c r="E116" i="30"/>
  <c r="D117" i="30"/>
  <c r="E117" i="30"/>
  <c r="D118" i="30"/>
  <c r="E118" i="30"/>
  <c r="I118" i="30"/>
  <c r="J118" i="30"/>
  <c r="D119" i="30"/>
  <c r="E119" i="30"/>
  <c r="I119" i="30"/>
  <c r="D120" i="30"/>
  <c r="F120" i="30"/>
  <c r="G120" i="30"/>
  <c r="E120" i="30"/>
  <c r="I120" i="30"/>
  <c r="D121" i="30"/>
  <c r="E121" i="30"/>
  <c r="I121" i="30"/>
  <c r="J121" i="30"/>
  <c r="D122" i="30"/>
  <c r="E122" i="30"/>
  <c r="I122" i="30"/>
  <c r="J122" i="30"/>
  <c r="D123" i="30"/>
  <c r="E123" i="30"/>
  <c r="I123" i="30"/>
  <c r="D124" i="30"/>
  <c r="E124" i="30"/>
  <c r="I124" i="30"/>
  <c r="D125" i="30"/>
  <c r="E125" i="30"/>
  <c r="D126" i="30"/>
  <c r="E126" i="30"/>
  <c r="I126" i="30"/>
  <c r="J126" i="30"/>
  <c r="D127" i="30"/>
  <c r="E127" i="30"/>
  <c r="I127" i="30"/>
  <c r="D128" i="30"/>
  <c r="E128" i="30"/>
  <c r="I128" i="30"/>
  <c r="D129" i="30"/>
  <c r="E129" i="30"/>
  <c r="D130" i="30"/>
  <c r="E130" i="30"/>
  <c r="D131" i="30"/>
  <c r="E131" i="30"/>
  <c r="I131" i="30"/>
  <c r="D132" i="30"/>
  <c r="E132" i="30"/>
  <c r="I132" i="30"/>
  <c r="D133" i="30"/>
  <c r="E133" i="30"/>
  <c r="I133" i="30"/>
  <c r="J133" i="30"/>
  <c r="D134" i="30"/>
  <c r="E134" i="30"/>
  <c r="D135" i="30"/>
  <c r="E135" i="30"/>
  <c r="I135" i="30"/>
  <c r="D136" i="30"/>
  <c r="E136" i="30"/>
  <c r="F136" i="30"/>
  <c r="G136" i="30"/>
  <c r="I136" i="30"/>
  <c r="J136" i="30"/>
  <c r="D137" i="30"/>
  <c r="E137" i="30"/>
  <c r="D138" i="30"/>
  <c r="E138" i="30"/>
  <c r="I138" i="30"/>
  <c r="J138" i="30"/>
  <c r="D139" i="30"/>
  <c r="E139" i="30"/>
  <c r="D140" i="30"/>
  <c r="E140" i="30"/>
  <c r="D141" i="30"/>
  <c r="E141" i="30"/>
  <c r="D142" i="30"/>
  <c r="E142" i="30"/>
  <c r="I142" i="30"/>
  <c r="D143" i="30"/>
  <c r="E143" i="30"/>
  <c r="I143" i="30"/>
  <c r="D144" i="30"/>
  <c r="F144" i="30"/>
  <c r="G144" i="30"/>
  <c r="E144" i="30"/>
  <c r="D145" i="30"/>
  <c r="E145" i="30"/>
  <c r="D146" i="30"/>
  <c r="E146" i="30"/>
  <c r="I146" i="30"/>
  <c r="J146" i="30"/>
  <c r="D147" i="30"/>
  <c r="E147" i="30"/>
  <c r="I147" i="30"/>
  <c r="D148" i="30"/>
  <c r="E148" i="30"/>
  <c r="F148" i="30"/>
  <c r="G148" i="30"/>
  <c r="I148" i="30"/>
  <c r="D149" i="30"/>
  <c r="E149" i="30"/>
  <c r="D150" i="30"/>
  <c r="E150" i="30"/>
  <c r="D151" i="30"/>
  <c r="E151" i="30"/>
  <c r="I151" i="30"/>
  <c r="D152" i="30"/>
  <c r="E152" i="30"/>
  <c r="F152" i="30"/>
  <c r="G152" i="30"/>
  <c r="I152" i="30"/>
  <c r="J152" i="30"/>
  <c r="D153" i="30"/>
  <c r="E153" i="30"/>
  <c r="I153" i="30"/>
  <c r="D154" i="30"/>
  <c r="E154" i="30"/>
  <c r="I154" i="30"/>
  <c r="J154" i="30"/>
  <c r="D155" i="30"/>
  <c r="E155" i="30"/>
  <c r="I155" i="30"/>
  <c r="D156" i="30"/>
  <c r="E156" i="30"/>
  <c r="F156" i="30"/>
  <c r="G156" i="30"/>
  <c r="I156" i="30"/>
  <c r="D157" i="30"/>
  <c r="E157" i="30"/>
  <c r="D158" i="30"/>
  <c r="E158" i="30"/>
  <c r="I158" i="30"/>
  <c r="J158" i="30"/>
  <c r="D159" i="30"/>
  <c r="E159" i="30"/>
  <c r="I159" i="30"/>
  <c r="D160" i="30"/>
  <c r="E160" i="30"/>
  <c r="I160" i="30"/>
  <c r="D161" i="30"/>
  <c r="E161" i="30"/>
  <c r="D17" i="29"/>
  <c r="E17" i="29"/>
  <c r="D18" i="29"/>
  <c r="E18" i="29"/>
  <c r="D19" i="29"/>
  <c r="E19" i="29"/>
  <c r="D20" i="29"/>
  <c r="E20" i="29"/>
  <c r="D21" i="29"/>
  <c r="E21" i="29"/>
  <c r="D22" i="29"/>
  <c r="E22" i="29"/>
  <c r="D23" i="29"/>
  <c r="E23" i="29"/>
  <c r="D24" i="29"/>
  <c r="E24" i="29"/>
  <c r="D25" i="29"/>
  <c r="E25" i="29"/>
  <c r="D26" i="29"/>
  <c r="E26" i="29"/>
  <c r="D27" i="29"/>
  <c r="E27" i="29"/>
  <c r="D28" i="29"/>
  <c r="E28" i="29"/>
  <c r="D29" i="29"/>
  <c r="E29" i="29"/>
  <c r="D30" i="29"/>
  <c r="E30" i="29"/>
  <c r="D31" i="29"/>
  <c r="E31" i="29"/>
  <c r="D32" i="29"/>
  <c r="E32" i="29"/>
  <c r="D33" i="29"/>
  <c r="E33" i="29"/>
  <c r="D34" i="29"/>
  <c r="E34" i="29"/>
  <c r="D35" i="29"/>
  <c r="E35" i="29"/>
  <c r="D36" i="29"/>
  <c r="E36" i="29"/>
  <c r="D37" i="29"/>
  <c r="E37" i="29"/>
  <c r="D38" i="29"/>
  <c r="E38" i="29"/>
  <c r="D39" i="29"/>
  <c r="E39" i="29"/>
  <c r="D40" i="29"/>
  <c r="E40" i="29"/>
  <c r="E40" i="34" s="1"/>
  <c r="D41" i="29"/>
  <c r="E41" i="29"/>
  <c r="D42" i="29"/>
  <c r="E42" i="29"/>
  <c r="D43" i="29"/>
  <c r="E43" i="29"/>
  <c r="D44" i="29"/>
  <c r="E44" i="29"/>
  <c r="D45" i="29"/>
  <c r="E45" i="29"/>
  <c r="D46" i="29"/>
  <c r="E46" i="29"/>
  <c r="D47" i="29"/>
  <c r="E47" i="29"/>
  <c r="D48" i="29"/>
  <c r="E48" i="29"/>
  <c r="D49" i="29"/>
  <c r="E49" i="29"/>
  <c r="D50" i="29"/>
  <c r="E50" i="29"/>
  <c r="E50" i="34" s="1"/>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D64" i="29"/>
  <c r="E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D78" i="29"/>
  <c r="E78" i="29"/>
  <c r="D79" i="29"/>
  <c r="E79" i="29"/>
  <c r="D80" i="29"/>
  <c r="E80" i="29"/>
  <c r="D81" i="29"/>
  <c r="E81" i="29"/>
  <c r="D82" i="29"/>
  <c r="E82" i="29"/>
  <c r="D83" i="29"/>
  <c r="E83" i="29"/>
  <c r="D84" i="29"/>
  <c r="E84" i="29"/>
  <c r="D85" i="29"/>
  <c r="E85" i="29"/>
  <c r="D86" i="29"/>
  <c r="E86" i="29"/>
  <c r="D87" i="29"/>
  <c r="E87" i="29"/>
  <c r="D88" i="29"/>
  <c r="E88" i="29"/>
  <c r="D89" i="29"/>
  <c r="E89" i="29"/>
  <c r="D90" i="29"/>
  <c r="E90" i="29"/>
  <c r="D91" i="29"/>
  <c r="E91" i="29"/>
  <c r="D92" i="29"/>
  <c r="E92" i="29"/>
  <c r="D93" i="29"/>
  <c r="E93" i="29"/>
  <c r="D94" i="29"/>
  <c r="E94" i="29"/>
  <c r="D95" i="29"/>
  <c r="E95" i="29"/>
  <c r="D96" i="29"/>
  <c r="E96" i="29"/>
  <c r="D97" i="29"/>
  <c r="E97" i="29"/>
  <c r="D98" i="29"/>
  <c r="E98" i="29"/>
  <c r="D99" i="29"/>
  <c r="E99" i="29"/>
  <c r="D100" i="29"/>
  <c r="E100" i="29"/>
  <c r="D101" i="29"/>
  <c r="E101" i="29"/>
  <c r="D102" i="29"/>
  <c r="E102" i="29"/>
  <c r="D103" i="29"/>
  <c r="E103" i="29"/>
  <c r="D104" i="29"/>
  <c r="E104" i="29"/>
  <c r="D105" i="29"/>
  <c r="E105" i="29"/>
  <c r="D106" i="29"/>
  <c r="E106" i="29"/>
  <c r="D107" i="29"/>
  <c r="E107" i="29"/>
  <c r="D108" i="29"/>
  <c r="E108" i="29"/>
  <c r="D109" i="29"/>
  <c r="E109" i="29"/>
  <c r="D110" i="29"/>
  <c r="E110" i="29"/>
  <c r="D111" i="29"/>
  <c r="E111" i="29"/>
  <c r="D112" i="29"/>
  <c r="E112" i="29"/>
  <c r="D113" i="29"/>
  <c r="E113" i="29"/>
  <c r="D114" i="29"/>
  <c r="E114" i="29"/>
  <c r="D115" i="29"/>
  <c r="E115" i="29"/>
  <c r="D116" i="29"/>
  <c r="E116" i="29"/>
  <c r="D117" i="29"/>
  <c r="E117" i="29"/>
  <c r="D118" i="29"/>
  <c r="E118" i="29"/>
  <c r="D119" i="29"/>
  <c r="E119" i="29"/>
  <c r="D120" i="29"/>
  <c r="E120" i="29"/>
  <c r="D121" i="29"/>
  <c r="E121" i="29"/>
  <c r="D122" i="29"/>
  <c r="E122" i="29"/>
  <c r="D123" i="29"/>
  <c r="E123" i="29"/>
  <c r="D124" i="29"/>
  <c r="E124" i="29"/>
  <c r="D125" i="29"/>
  <c r="E125" i="29"/>
  <c r="D126" i="29"/>
  <c r="E126" i="29"/>
  <c r="D127" i="29"/>
  <c r="E127" i="29"/>
  <c r="D128" i="29"/>
  <c r="E128" i="29"/>
  <c r="D129" i="29"/>
  <c r="E129" i="29"/>
  <c r="E129" i="34" s="1"/>
  <c r="D130" i="29"/>
  <c r="E130" i="29"/>
  <c r="D131" i="29"/>
  <c r="E131" i="29"/>
  <c r="D132" i="29"/>
  <c r="E132" i="29"/>
  <c r="D133" i="29"/>
  <c r="E133" i="29"/>
  <c r="D134" i="29"/>
  <c r="E134" i="29"/>
  <c r="D135" i="29"/>
  <c r="E135" i="29"/>
  <c r="D136" i="29"/>
  <c r="E136" i="29"/>
  <c r="D137" i="29"/>
  <c r="E137" i="29"/>
  <c r="D138" i="29"/>
  <c r="E138" i="29"/>
  <c r="D139" i="29"/>
  <c r="E139" i="29"/>
  <c r="D140" i="29"/>
  <c r="E140" i="29"/>
  <c r="D141" i="29"/>
  <c r="E141" i="29"/>
  <c r="D142" i="29"/>
  <c r="E142" i="29"/>
  <c r="D143" i="29"/>
  <c r="E143" i="29"/>
  <c r="D144" i="29"/>
  <c r="E144" i="29"/>
  <c r="D145" i="29"/>
  <c r="E145" i="29"/>
  <c r="D146" i="29"/>
  <c r="E146" i="29"/>
  <c r="D147" i="29"/>
  <c r="E147" i="29"/>
  <c r="D148" i="29"/>
  <c r="E148" i="29"/>
  <c r="D149" i="29"/>
  <c r="E149" i="29"/>
  <c r="D150" i="29"/>
  <c r="E150" i="29"/>
  <c r="D151" i="29"/>
  <c r="E151" i="29"/>
  <c r="D152" i="29"/>
  <c r="E152" i="29"/>
  <c r="D153" i="29"/>
  <c r="E153" i="29"/>
  <c r="D154" i="29"/>
  <c r="E154" i="29"/>
  <c r="D155" i="29"/>
  <c r="E155" i="29"/>
  <c r="D156" i="29"/>
  <c r="E156" i="29"/>
  <c r="D157" i="29"/>
  <c r="E157" i="29"/>
  <c r="D158" i="29"/>
  <c r="E158" i="29"/>
  <c r="D159" i="29"/>
  <c r="E159" i="29"/>
  <c r="D160" i="29"/>
  <c r="E160" i="29"/>
  <c r="D161" i="29"/>
  <c r="E161" i="29"/>
  <c r="D161" i="18"/>
  <c r="E161" i="18"/>
  <c r="H161" i="18"/>
  <c r="I161" i="18"/>
  <c r="C160" i="18"/>
  <c r="C159" i="18"/>
  <c r="C158" i="18"/>
  <c r="C157" i="18"/>
  <c r="C156" i="18"/>
  <c r="C155" i="18"/>
  <c r="C154" i="18"/>
  <c r="C153" i="18"/>
  <c r="C152" i="18"/>
  <c r="C151" i="18"/>
  <c r="C150" i="18"/>
  <c r="C149" i="18"/>
  <c r="C148" i="18"/>
  <c r="C147" i="18"/>
  <c r="C146" i="18"/>
  <c r="C145" i="18"/>
  <c r="C144" i="18"/>
  <c r="C143" i="18"/>
  <c r="C142" i="18"/>
  <c r="C141" i="18"/>
  <c r="C140" i="18"/>
  <c r="F91" i="26"/>
  <c r="G91" i="26" s="1"/>
  <c r="G84" i="26"/>
  <c r="G81" i="26"/>
  <c r="G76" i="26"/>
  <c r="G77" i="26"/>
  <c r="G78" i="26"/>
  <c r="G79" i="26"/>
  <c r="G80" i="26"/>
  <c r="G82" i="26"/>
  <c r="G83" i="26"/>
  <c r="G75" i="26"/>
  <c r="F74" i="26"/>
  <c r="G74" i="26" s="1"/>
  <c r="F159" i="26"/>
  <c r="G159" i="26"/>
  <c r="F123" i="26"/>
  <c r="G123" i="26" s="1"/>
  <c r="F110" i="26"/>
  <c r="G110" i="26"/>
  <c r="D5" i="29"/>
  <c r="D6" i="29"/>
  <c r="D7" i="29"/>
  <c r="D8" i="29"/>
  <c r="D9" i="29"/>
  <c r="D10" i="29"/>
  <c r="D11" i="29"/>
  <c r="D12" i="29"/>
  <c r="D13" i="29"/>
  <c r="D14" i="29"/>
  <c r="D15" i="29"/>
  <c r="D16" i="29"/>
  <c r="F130" i="26"/>
  <c r="G130" i="26" s="1"/>
  <c r="F131" i="26"/>
  <c r="G131" i="26" s="1"/>
  <c r="F18" i="26"/>
  <c r="G18" i="26" s="1"/>
  <c r="F19" i="26"/>
  <c r="G19" i="26" s="1"/>
  <c r="F20" i="26"/>
  <c r="G20" i="26"/>
  <c r="F21" i="26"/>
  <c r="G21" i="26" s="1"/>
  <c r="F22" i="26"/>
  <c r="G22" i="26" s="1"/>
  <c r="F23" i="26"/>
  <c r="G23" i="26" s="1"/>
  <c r="F24" i="26"/>
  <c r="G24" i="26" s="1"/>
  <c r="F25" i="26"/>
  <c r="G25" i="26" s="1"/>
  <c r="F26" i="26"/>
  <c r="G26" i="26" s="1"/>
  <c r="F27" i="26"/>
  <c r="G27" i="26" s="1"/>
  <c r="F28" i="26"/>
  <c r="G28" i="26"/>
  <c r="F29" i="26"/>
  <c r="G29" i="26" s="1"/>
  <c r="F30" i="26"/>
  <c r="G30" i="26" s="1"/>
  <c r="F31" i="26"/>
  <c r="G31" i="26" s="1"/>
  <c r="F32" i="26"/>
  <c r="G32" i="26" s="1"/>
  <c r="F33" i="26"/>
  <c r="G33" i="26" s="1"/>
  <c r="F35" i="26"/>
  <c r="G35" i="26"/>
  <c r="F36" i="26"/>
  <c r="G36" i="26"/>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s="1"/>
  <c r="F53" i="26"/>
  <c r="G53" i="26" s="1"/>
  <c r="F54" i="26"/>
  <c r="G54" i="26" s="1"/>
  <c r="F55" i="26"/>
  <c r="G55" i="26" s="1"/>
  <c r="F56" i="26"/>
  <c r="G56" i="26"/>
  <c r="F57" i="26"/>
  <c r="G57" i="26"/>
  <c r="F58" i="26"/>
  <c r="G58" i="26" s="1"/>
  <c r="F59" i="26"/>
  <c r="G59" i="26" s="1"/>
  <c r="F60" i="26"/>
  <c r="G60" i="26" s="1"/>
  <c r="F61" i="26"/>
  <c r="G61" i="26" s="1"/>
  <c r="F62" i="26"/>
  <c r="G62" i="26" s="1"/>
  <c r="F63" i="26"/>
  <c r="G63" i="26" s="1"/>
  <c r="F64" i="26"/>
  <c r="G64" i="26" s="1"/>
  <c r="F65" i="26"/>
  <c r="G65" i="26"/>
  <c r="F66" i="26"/>
  <c r="G66" i="26"/>
  <c r="F67" i="26"/>
  <c r="G67" i="26" s="1"/>
  <c r="F68" i="26"/>
  <c r="G68" i="26" s="1"/>
  <c r="F69" i="26"/>
  <c r="G69" i="26"/>
  <c r="F70" i="26"/>
  <c r="G70" i="26"/>
  <c r="F71" i="26"/>
  <c r="G71" i="26"/>
  <c r="F72" i="26"/>
  <c r="G72" i="26" s="1"/>
  <c r="F73" i="26"/>
  <c r="G73" i="26" s="1"/>
  <c r="F85" i="26"/>
  <c r="G85" i="26" s="1"/>
  <c r="F86" i="26"/>
  <c r="G86" i="26" s="1"/>
  <c r="F87" i="26"/>
  <c r="G87" i="26" s="1"/>
  <c r="F88" i="26"/>
  <c r="G88" i="26" s="1"/>
  <c r="F89" i="26"/>
  <c r="G89" i="26" s="1"/>
  <c r="F90" i="26"/>
  <c r="G90" i="26" s="1"/>
  <c r="F92" i="26"/>
  <c r="G92" i="26"/>
  <c r="F93" i="26"/>
  <c r="G93" i="26" s="1"/>
  <c r="F94" i="26"/>
  <c r="G94" i="26"/>
  <c r="F95" i="26"/>
  <c r="G95" i="26" s="1"/>
  <c r="F96" i="26"/>
  <c r="G96" i="26" s="1"/>
  <c r="F97" i="26"/>
  <c r="G97" i="26" s="1"/>
  <c r="F98" i="26"/>
  <c r="G98" i="26" s="1"/>
  <c r="F99" i="26"/>
  <c r="G99" i="26" s="1"/>
  <c r="F100" i="26"/>
  <c r="G100" i="26" s="1"/>
  <c r="F101" i="26"/>
  <c r="G101" i="26" s="1"/>
  <c r="F102" i="26"/>
  <c r="G102" i="26" s="1"/>
  <c r="F103" i="26"/>
  <c r="G103" i="26" s="1"/>
  <c r="F104" i="26"/>
  <c r="G104" i="26"/>
  <c r="F105" i="26"/>
  <c r="G105" i="26" s="1"/>
  <c r="F106" i="26"/>
  <c r="G106" i="26" s="1"/>
  <c r="F107" i="26"/>
  <c r="G107" i="26" s="1"/>
  <c r="F108" i="26"/>
  <c r="G108" i="26" s="1"/>
  <c r="F109" i="26"/>
  <c r="G109" i="26" s="1"/>
  <c r="F111" i="26"/>
  <c r="G111" i="26" s="1"/>
  <c r="F112" i="26"/>
  <c r="G112" i="26"/>
  <c r="F113" i="26"/>
  <c r="G113" i="26" s="1"/>
  <c r="F114" i="26"/>
  <c r="G114" i="26"/>
  <c r="F115" i="26"/>
  <c r="G115" i="26" s="1"/>
  <c r="F116" i="26"/>
  <c r="G116" i="26"/>
  <c r="F117" i="26"/>
  <c r="G117" i="26"/>
  <c r="F118" i="26"/>
  <c r="G118" i="26" s="1"/>
  <c r="G119" i="26"/>
  <c r="G120" i="26"/>
  <c r="F121" i="26"/>
  <c r="G121" i="26" s="1"/>
  <c r="F122" i="26"/>
  <c r="G122" i="26"/>
  <c r="F124" i="26"/>
  <c r="G124" i="26" s="1"/>
  <c r="F125" i="26"/>
  <c r="G125" i="26" s="1"/>
  <c r="F126" i="26"/>
  <c r="G126" i="26" s="1"/>
  <c r="F127" i="26"/>
  <c r="G127" i="26" s="1"/>
  <c r="F128" i="26"/>
  <c r="G128" i="26"/>
  <c r="F129" i="26"/>
  <c r="G129" i="26"/>
  <c r="F132" i="26"/>
  <c r="G132" i="26"/>
  <c r="F133" i="26"/>
  <c r="G133" i="26"/>
  <c r="F134" i="26"/>
  <c r="G134" i="26"/>
  <c r="F135" i="26"/>
  <c r="G135" i="26"/>
  <c r="F136" i="26"/>
  <c r="G136" i="26"/>
  <c r="F137" i="26"/>
  <c r="G137" i="26"/>
  <c r="F138" i="26"/>
  <c r="G138" i="26"/>
  <c r="F139" i="26"/>
  <c r="G139" i="26" s="1"/>
  <c r="F140" i="26"/>
  <c r="G140" i="26" s="1"/>
  <c r="F141" i="26"/>
  <c r="G141" i="26"/>
  <c r="F142" i="26"/>
  <c r="G142" i="26" s="1"/>
  <c r="F143" i="26"/>
  <c r="G143" i="26"/>
  <c r="F144" i="26"/>
  <c r="G144" i="26" s="1"/>
  <c r="F147" i="26"/>
  <c r="G147" i="26"/>
  <c r="F148" i="26"/>
  <c r="G148" i="26"/>
  <c r="F149" i="26"/>
  <c r="G149" i="26"/>
  <c r="F150" i="26"/>
  <c r="G150" i="26" s="1"/>
  <c r="F151" i="26"/>
  <c r="G151" i="26"/>
  <c r="F152" i="26"/>
  <c r="G152" i="26"/>
  <c r="F153" i="26"/>
  <c r="G153" i="26" s="1"/>
  <c r="F154" i="26"/>
  <c r="G154" i="26"/>
  <c r="F155" i="26"/>
  <c r="G155" i="26" s="1"/>
  <c r="F156" i="26"/>
  <c r="G156" i="26"/>
  <c r="F157" i="26"/>
  <c r="G157" i="26" s="1"/>
  <c r="F158" i="26"/>
  <c r="G158" i="26" s="1"/>
  <c r="C139" i="30"/>
  <c r="C140" i="30"/>
  <c r="C141" i="30"/>
  <c r="C142" i="30"/>
  <c r="C143" i="30"/>
  <c r="C144" i="30"/>
  <c r="C145" i="30"/>
  <c r="C146" i="30"/>
  <c r="C147" i="30"/>
  <c r="C148" i="30"/>
  <c r="C149" i="30"/>
  <c r="C150" i="30"/>
  <c r="C151" i="30"/>
  <c r="C152" i="30"/>
  <c r="C153" i="30"/>
  <c r="C154" i="30"/>
  <c r="C155" i="30"/>
  <c r="C156" i="30"/>
  <c r="C157" i="30"/>
  <c r="C158" i="30"/>
  <c r="C159" i="30"/>
  <c r="C138" i="30"/>
  <c r="C139" i="29"/>
  <c r="C140" i="29"/>
  <c r="C141" i="29"/>
  <c r="C142" i="29"/>
  <c r="C143" i="29"/>
  <c r="C144" i="29"/>
  <c r="C145" i="29"/>
  <c r="C146" i="29"/>
  <c r="C147" i="29"/>
  <c r="C148" i="29"/>
  <c r="C149" i="29"/>
  <c r="C150" i="29"/>
  <c r="C151" i="29"/>
  <c r="C152" i="29"/>
  <c r="C153" i="29"/>
  <c r="C154" i="29"/>
  <c r="C155" i="29"/>
  <c r="C156" i="29"/>
  <c r="C157" i="29"/>
  <c r="C158" i="29"/>
  <c r="C159" i="29"/>
  <c r="C137" i="29"/>
  <c r="C158" i="34"/>
  <c r="C157" i="34"/>
  <c r="C156" i="34"/>
  <c r="C155" i="34"/>
  <c r="C154" i="34"/>
  <c r="C153" i="34"/>
  <c r="C152" i="34"/>
  <c r="C151" i="34"/>
  <c r="C150" i="34"/>
  <c r="C149" i="34"/>
  <c r="C148" i="34"/>
  <c r="C147" i="34"/>
  <c r="C146" i="34"/>
  <c r="C145" i="34"/>
  <c r="C144" i="34"/>
  <c r="C143" i="34"/>
  <c r="C142" i="34"/>
  <c r="C141" i="34"/>
  <c r="C140" i="1"/>
  <c r="C140" i="34"/>
  <c r="C159" i="1"/>
  <c r="C158" i="1"/>
  <c r="C157" i="1"/>
  <c r="C156" i="1"/>
  <c r="C155" i="1"/>
  <c r="C153" i="1"/>
  <c r="C152" i="1"/>
  <c r="C151" i="1"/>
  <c r="C150" i="1"/>
  <c r="C149" i="1"/>
  <c r="C148" i="1"/>
  <c r="C147" i="1"/>
  <c r="C146" i="1"/>
  <c r="C145" i="1"/>
  <c r="C144" i="1"/>
  <c r="C143" i="1"/>
  <c r="C142" i="1"/>
  <c r="C141" i="1"/>
  <c r="F75" i="19"/>
  <c r="G75" i="19"/>
  <c r="H2" i="19"/>
  <c r="D2" i="19"/>
  <c r="I18" i="19"/>
  <c r="J18" i="19" s="1"/>
  <c r="I19" i="19"/>
  <c r="J19" i="19"/>
  <c r="I20" i="19"/>
  <c r="J20" i="19"/>
  <c r="I21" i="19"/>
  <c r="J21" i="19" s="1"/>
  <c r="I22" i="19"/>
  <c r="J22" i="19" s="1"/>
  <c r="I23" i="19"/>
  <c r="J23" i="19" s="1"/>
  <c r="I24" i="19"/>
  <c r="J24" i="19" s="1"/>
  <c r="I25" i="19"/>
  <c r="J25" i="19" s="1"/>
  <c r="I26" i="19"/>
  <c r="J26" i="19" s="1"/>
  <c r="I27" i="19"/>
  <c r="J27" i="19" s="1"/>
  <c r="I28" i="19"/>
  <c r="J28" i="19" s="1"/>
  <c r="I29" i="19"/>
  <c r="J29" i="19" s="1"/>
  <c r="I30" i="19"/>
  <c r="J30" i="19"/>
  <c r="I31" i="19"/>
  <c r="J31" i="19" s="1"/>
  <c r="I32" i="19"/>
  <c r="J32" i="19" s="1"/>
  <c r="I33" i="19"/>
  <c r="J33" i="19" s="1"/>
  <c r="I34" i="19"/>
  <c r="J34" i="19" s="1"/>
  <c r="I35" i="19"/>
  <c r="J35" i="19"/>
  <c r="I36" i="19"/>
  <c r="J36" i="19"/>
  <c r="I37" i="19"/>
  <c r="J37" i="19"/>
  <c r="I38" i="19"/>
  <c r="J38" i="19" s="1"/>
  <c r="I39" i="19"/>
  <c r="J39" i="19"/>
  <c r="I40" i="19"/>
  <c r="J40" i="19" s="1"/>
  <c r="I41" i="19"/>
  <c r="J41" i="19" s="1"/>
  <c r="I42" i="19"/>
  <c r="J42" i="19"/>
  <c r="I43" i="19"/>
  <c r="J43" i="19" s="1"/>
  <c r="I44" i="19"/>
  <c r="J44" i="19" s="1"/>
  <c r="I45" i="19"/>
  <c r="J45" i="19" s="1"/>
  <c r="I46" i="19"/>
  <c r="J46" i="19" s="1"/>
  <c r="I47" i="19"/>
  <c r="J47" i="19" s="1"/>
  <c r="I48" i="19"/>
  <c r="J48" i="19" s="1"/>
  <c r="I49" i="19"/>
  <c r="J49" i="19" s="1"/>
  <c r="I50" i="19"/>
  <c r="J50" i="19" s="1"/>
  <c r="I51" i="19"/>
  <c r="J51" i="19" s="1"/>
  <c r="I52" i="19"/>
  <c r="J52" i="19" s="1"/>
  <c r="I53" i="19"/>
  <c r="J53" i="19" s="1"/>
  <c r="I54" i="19"/>
  <c r="J54" i="19" s="1"/>
  <c r="I55" i="19"/>
  <c r="J55" i="19" s="1"/>
  <c r="I56" i="19"/>
  <c r="J56" i="19" s="1"/>
  <c r="I57" i="19"/>
  <c r="J57" i="19" s="1"/>
  <c r="I58" i="19"/>
  <c r="J58" i="19" s="1"/>
  <c r="I59" i="19"/>
  <c r="J59" i="19" s="1"/>
  <c r="I60" i="19"/>
  <c r="J60" i="19" s="1"/>
  <c r="I61" i="19"/>
  <c r="J61" i="19" s="1"/>
  <c r="I62" i="19"/>
  <c r="J62" i="19" s="1"/>
  <c r="I63" i="19"/>
  <c r="J63" i="19" s="1"/>
  <c r="I64" i="19"/>
  <c r="J64" i="19" s="1"/>
  <c r="I65" i="19"/>
  <c r="I65" i="18" s="1"/>
  <c r="I66" i="19"/>
  <c r="J66" i="19" s="1"/>
  <c r="I67" i="19"/>
  <c r="I67" i="18" s="1"/>
  <c r="J67" i="19"/>
  <c r="I68" i="19"/>
  <c r="J68" i="19"/>
  <c r="I69" i="19"/>
  <c r="I69" i="18" s="1"/>
  <c r="J69" i="19"/>
  <c r="I70" i="19"/>
  <c r="I70" i="18" s="1"/>
  <c r="J70" i="19"/>
  <c r="I71" i="19"/>
  <c r="J71" i="19" s="1"/>
  <c r="I72" i="19"/>
  <c r="I72" i="18" s="1"/>
  <c r="J72" i="19"/>
  <c r="I73" i="19"/>
  <c r="J73" i="19" s="1"/>
  <c r="I74" i="19"/>
  <c r="J74" i="19"/>
  <c r="I75" i="19"/>
  <c r="J75" i="19" s="1"/>
  <c r="I76" i="19"/>
  <c r="J76" i="19" s="1"/>
  <c r="I77" i="19"/>
  <c r="J77" i="19"/>
  <c r="I78" i="19"/>
  <c r="I78" i="18" s="1"/>
  <c r="J78" i="18" s="1"/>
  <c r="J78" i="19"/>
  <c r="I79" i="19"/>
  <c r="J79" i="19"/>
  <c r="I80" i="19"/>
  <c r="J80" i="19"/>
  <c r="I81" i="19"/>
  <c r="J81" i="19"/>
  <c r="I82" i="19"/>
  <c r="J82" i="19" s="1"/>
  <c r="I83" i="19"/>
  <c r="J83" i="19"/>
  <c r="I84" i="19"/>
  <c r="J84" i="19" s="1"/>
  <c r="I85" i="19"/>
  <c r="J85" i="19"/>
  <c r="I86" i="19"/>
  <c r="I86" i="18" s="1"/>
  <c r="J86" i="19"/>
  <c r="I87" i="19"/>
  <c r="I87" i="18" s="1"/>
  <c r="J87" i="19"/>
  <c r="I88" i="19"/>
  <c r="J88" i="19"/>
  <c r="I89" i="19"/>
  <c r="I89" i="18" s="1"/>
  <c r="J89" i="19"/>
  <c r="I90" i="19"/>
  <c r="J90" i="19" s="1"/>
  <c r="I91" i="19"/>
  <c r="J91" i="19" s="1"/>
  <c r="I92" i="19"/>
  <c r="J92" i="19"/>
  <c r="I93" i="19"/>
  <c r="I94" i="19"/>
  <c r="J94" i="19" s="1"/>
  <c r="I95" i="19"/>
  <c r="J95" i="19" s="1"/>
  <c r="I96" i="19"/>
  <c r="J96" i="19"/>
  <c r="I97" i="19"/>
  <c r="I97" i="18" s="1"/>
  <c r="J97" i="19"/>
  <c r="I98" i="19"/>
  <c r="J98" i="19"/>
  <c r="I99" i="19"/>
  <c r="I99" i="18" s="1"/>
  <c r="J99" i="19"/>
  <c r="I100" i="19"/>
  <c r="J100" i="19"/>
  <c r="I101" i="19"/>
  <c r="J101" i="19" s="1"/>
  <c r="I102" i="19"/>
  <c r="J102" i="19" s="1"/>
  <c r="I103" i="19"/>
  <c r="J103" i="19" s="1"/>
  <c r="I104" i="19"/>
  <c r="J104" i="19"/>
  <c r="I105" i="19"/>
  <c r="I106" i="19"/>
  <c r="J106" i="19"/>
  <c r="I107" i="19"/>
  <c r="J107" i="19"/>
  <c r="I108" i="19"/>
  <c r="J108" i="19"/>
  <c r="I109" i="19"/>
  <c r="I109" i="18" s="1"/>
  <c r="J109" i="19"/>
  <c r="I110" i="19"/>
  <c r="J110" i="19" s="1"/>
  <c r="I111" i="19"/>
  <c r="J111" i="19" s="1"/>
  <c r="I112" i="19"/>
  <c r="J112" i="19" s="1"/>
  <c r="I113" i="19"/>
  <c r="J113" i="19" s="1"/>
  <c r="I114" i="19"/>
  <c r="J114" i="19" s="1"/>
  <c r="I115" i="19"/>
  <c r="J115" i="19" s="1"/>
  <c r="I116" i="19"/>
  <c r="J116" i="19" s="1"/>
  <c r="I117" i="19"/>
  <c r="J117" i="19" s="1"/>
  <c r="I118" i="19"/>
  <c r="I118" i="18" s="1"/>
  <c r="J118" i="18" s="1"/>
  <c r="I119" i="19"/>
  <c r="J119" i="19"/>
  <c r="I120" i="19"/>
  <c r="I120" i="18" s="1"/>
  <c r="J120" i="19"/>
  <c r="I121" i="19"/>
  <c r="I121" i="18" s="1"/>
  <c r="J121" i="19"/>
  <c r="I122" i="19"/>
  <c r="I122" i="18" s="1"/>
  <c r="J122" i="19"/>
  <c r="I123" i="19"/>
  <c r="J123" i="19" s="1"/>
  <c r="I124" i="19"/>
  <c r="J124" i="19" s="1"/>
  <c r="I125" i="19"/>
  <c r="J125" i="19" s="1"/>
  <c r="I126" i="19"/>
  <c r="I126" i="18" s="1"/>
  <c r="I127" i="19"/>
  <c r="I127" i="18" s="1"/>
  <c r="I128" i="19"/>
  <c r="I128" i="18" s="1"/>
  <c r="J128" i="19"/>
  <c r="I129" i="19"/>
  <c r="I129" i="18" s="1"/>
  <c r="J129" i="19"/>
  <c r="I130" i="19"/>
  <c r="I130" i="18" s="1"/>
  <c r="I131" i="19"/>
  <c r="J131" i="19" s="1"/>
  <c r="I132" i="19"/>
  <c r="J132" i="19" s="1"/>
  <c r="I133" i="19"/>
  <c r="J133" i="19"/>
  <c r="I134" i="19"/>
  <c r="J134" i="19" s="1"/>
  <c r="I135" i="19"/>
  <c r="I135" i="18" s="1"/>
  <c r="I136" i="19"/>
  <c r="J136" i="19" s="1"/>
  <c r="I137" i="19"/>
  <c r="I137" i="18" s="1"/>
  <c r="J137" i="19"/>
  <c r="I138" i="19"/>
  <c r="I138" i="18" s="1"/>
  <c r="J138" i="19"/>
  <c r="I139" i="19"/>
  <c r="J139" i="19" s="1"/>
  <c r="I140" i="19"/>
  <c r="J140" i="19" s="1"/>
  <c r="I141" i="19"/>
  <c r="J141" i="19"/>
  <c r="I142" i="19"/>
  <c r="J142" i="19" s="1"/>
  <c r="I143" i="19"/>
  <c r="J143" i="19"/>
  <c r="I144" i="19"/>
  <c r="J144" i="19"/>
  <c r="I145" i="19"/>
  <c r="I145" i="18" s="1"/>
  <c r="J145" i="19"/>
  <c r="I146" i="19"/>
  <c r="I146" i="18" s="1"/>
  <c r="J146" i="19"/>
  <c r="I147" i="19"/>
  <c r="J147" i="19" s="1"/>
  <c r="I148" i="19"/>
  <c r="J148" i="19" s="1"/>
  <c r="I149" i="19"/>
  <c r="J149" i="19" s="1"/>
  <c r="I150" i="19"/>
  <c r="J150" i="19" s="1"/>
  <c r="I151" i="19"/>
  <c r="J151" i="19" s="1"/>
  <c r="I152" i="19"/>
  <c r="I152" i="18" s="1"/>
  <c r="I153" i="19"/>
  <c r="J153" i="19"/>
  <c r="I154" i="19"/>
  <c r="I154" i="18" s="1"/>
  <c r="J154" i="19"/>
  <c r="I155" i="19"/>
  <c r="J155" i="19" s="1"/>
  <c r="I156" i="19"/>
  <c r="J156" i="19" s="1"/>
  <c r="I157" i="19"/>
  <c r="J157" i="19" s="1"/>
  <c r="I158" i="19"/>
  <c r="J158" i="19" s="1"/>
  <c r="G30" i="19"/>
  <c r="F18" i="19"/>
  <c r="G18" i="19" s="1"/>
  <c r="F19" i="19"/>
  <c r="G19" i="19" s="1"/>
  <c r="F20" i="19"/>
  <c r="G20" i="19"/>
  <c r="F21" i="19"/>
  <c r="G21" i="19" s="1"/>
  <c r="F22" i="19"/>
  <c r="G22" i="19" s="1"/>
  <c r="F23" i="19"/>
  <c r="G23" i="19" s="1"/>
  <c r="F24" i="19"/>
  <c r="G24" i="19" s="1"/>
  <c r="F25" i="19"/>
  <c r="G25" i="19" s="1"/>
  <c r="F26" i="19"/>
  <c r="G26" i="19" s="1"/>
  <c r="F27" i="19"/>
  <c r="G27" i="19" s="1"/>
  <c r="F28" i="19"/>
  <c r="G28" i="19" s="1"/>
  <c r="F29" i="19"/>
  <c r="G29" i="19"/>
  <c r="F30" i="19"/>
  <c r="F31" i="19"/>
  <c r="G31" i="19" s="1"/>
  <c r="F32" i="19"/>
  <c r="G32" i="19" s="1"/>
  <c r="F33" i="19"/>
  <c r="G33" i="19"/>
  <c r="F34" i="19"/>
  <c r="G34" i="19" s="1"/>
  <c r="F35" i="19"/>
  <c r="G35" i="19" s="1"/>
  <c r="F36" i="19"/>
  <c r="G36" i="19" s="1"/>
  <c r="F37" i="19"/>
  <c r="G37" i="19" s="1"/>
  <c r="F38" i="19"/>
  <c r="G38" i="19" s="1"/>
  <c r="F39" i="19"/>
  <c r="G39" i="19"/>
  <c r="F40" i="19"/>
  <c r="G40" i="19" s="1"/>
  <c r="F41" i="19"/>
  <c r="G41" i="19" s="1"/>
  <c r="F42" i="19"/>
  <c r="G42" i="19" s="1"/>
  <c r="F43" i="19"/>
  <c r="G43" i="19" s="1"/>
  <c r="F44" i="19"/>
  <c r="G44" i="19" s="1"/>
  <c r="F45" i="19"/>
  <c r="G45" i="19" s="1"/>
  <c r="F46" i="19"/>
  <c r="G46" i="19" s="1"/>
  <c r="F47" i="19"/>
  <c r="G47" i="19" s="1"/>
  <c r="F48" i="19"/>
  <c r="G48" i="19" s="1"/>
  <c r="F49" i="19"/>
  <c r="G49" i="19" s="1"/>
  <c r="F50" i="19"/>
  <c r="G50" i="19" s="1"/>
  <c r="F51" i="19"/>
  <c r="G51" i="19" s="1"/>
  <c r="F52" i="19"/>
  <c r="G52" i="19" s="1"/>
  <c r="F53" i="19"/>
  <c r="G53" i="19" s="1"/>
  <c r="F54" i="19"/>
  <c r="G54" i="19" s="1"/>
  <c r="F55" i="19"/>
  <c r="G55" i="19" s="1"/>
  <c r="F56" i="19"/>
  <c r="G56" i="19"/>
  <c r="F57" i="19"/>
  <c r="G57" i="19" s="1"/>
  <c r="F58" i="19"/>
  <c r="G58" i="19" s="1"/>
  <c r="F59" i="19"/>
  <c r="G59" i="19" s="1"/>
  <c r="F60" i="19"/>
  <c r="G60" i="19" s="1"/>
  <c r="F61" i="19"/>
  <c r="G61" i="19" s="1"/>
  <c r="F62" i="19"/>
  <c r="G62" i="19" s="1"/>
  <c r="F63" i="19"/>
  <c r="G63" i="19" s="1"/>
  <c r="F64" i="19"/>
  <c r="G64" i="19"/>
  <c r="F65" i="19"/>
  <c r="G65" i="19"/>
  <c r="F66" i="19"/>
  <c r="G66" i="19"/>
  <c r="F67" i="19"/>
  <c r="G67" i="19"/>
  <c r="F68" i="19"/>
  <c r="G68" i="19"/>
  <c r="F69" i="19"/>
  <c r="G69" i="19"/>
  <c r="F70" i="19"/>
  <c r="G70" i="19"/>
  <c r="F71" i="19"/>
  <c r="G71" i="19" s="1"/>
  <c r="F72" i="19"/>
  <c r="G72" i="19"/>
  <c r="F73" i="19"/>
  <c r="G73" i="19" s="1"/>
  <c r="F74" i="19"/>
  <c r="G74" i="19" s="1"/>
  <c r="F76" i="19"/>
  <c r="G76" i="19"/>
  <c r="F77" i="19"/>
  <c r="G77" i="19"/>
  <c r="F78" i="19"/>
  <c r="G78" i="19"/>
  <c r="F79" i="19"/>
  <c r="G79" i="19" s="1"/>
  <c r="F80" i="19"/>
  <c r="G80" i="19"/>
  <c r="F81" i="19"/>
  <c r="G81" i="19"/>
  <c r="F82" i="19"/>
  <c r="G82" i="19"/>
  <c r="F83" i="19"/>
  <c r="G83" i="19"/>
  <c r="F84" i="19"/>
  <c r="G84" i="19"/>
  <c r="F85" i="19"/>
  <c r="G85" i="19"/>
  <c r="G86" i="19"/>
  <c r="G87" i="19"/>
  <c r="G88" i="19"/>
  <c r="G89" i="19"/>
  <c r="G90" i="19"/>
  <c r="G91" i="19"/>
  <c r="G92" i="19"/>
  <c r="G93" i="19"/>
  <c r="G94" i="19"/>
  <c r="G95" i="19"/>
  <c r="G96" i="19"/>
  <c r="G97" i="19"/>
  <c r="G98" i="19"/>
  <c r="G99" i="19"/>
  <c r="G102" i="19"/>
  <c r="G103" i="19"/>
  <c r="G104" i="19"/>
  <c r="G105" i="19"/>
  <c r="G106" i="19"/>
  <c r="G107" i="19"/>
  <c r="G108" i="19"/>
  <c r="G109" i="19"/>
  <c r="G110" i="19"/>
  <c r="G111" i="19"/>
  <c r="G112" i="19"/>
  <c r="G113" i="19"/>
  <c r="G114" i="19"/>
  <c r="G115" i="19"/>
  <c r="G118" i="19"/>
  <c r="G119" i="19"/>
  <c r="G120" i="19"/>
  <c r="G121" i="19"/>
  <c r="G122" i="19"/>
  <c r="G123" i="19"/>
  <c r="G124" i="19"/>
  <c r="G125" i="19"/>
  <c r="G126" i="19"/>
  <c r="G127" i="19"/>
  <c r="G128" i="19"/>
  <c r="G129" i="19"/>
  <c r="G130" i="19"/>
  <c r="G131" i="19"/>
  <c r="G134" i="19"/>
  <c r="G135" i="19"/>
  <c r="G136" i="19"/>
  <c r="G137" i="19"/>
  <c r="G138" i="19"/>
  <c r="G139" i="19"/>
  <c r="G140" i="19"/>
  <c r="G141" i="19"/>
  <c r="G142" i="19"/>
  <c r="G143" i="19"/>
  <c r="I139" i="1"/>
  <c r="I140" i="1"/>
  <c r="I141" i="1"/>
  <c r="I142" i="1"/>
  <c r="I143" i="1"/>
  <c r="I144" i="1"/>
  <c r="I145" i="1"/>
  <c r="I146" i="1"/>
  <c r="I147" i="1"/>
  <c r="I148" i="1"/>
  <c r="I149" i="1"/>
  <c r="I150" i="1"/>
  <c r="I151" i="1"/>
  <c r="I152" i="1"/>
  <c r="I153" i="1"/>
  <c r="I154" i="1"/>
  <c r="I155" i="1"/>
  <c r="I156" i="1"/>
  <c r="I157" i="1"/>
  <c r="I158" i="1"/>
  <c r="I159" i="1"/>
  <c r="H138" i="1"/>
  <c r="H139" i="1"/>
  <c r="H140" i="1"/>
  <c r="J140" i="1"/>
  <c r="H141" i="1"/>
  <c r="H142" i="1"/>
  <c r="H143" i="1"/>
  <c r="H144" i="1"/>
  <c r="H145" i="1"/>
  <c r="H146" i="1"/>
  <c r="H147" i="1"/>
  <c r="H148" i="1"/>
  <c r="J148" i="1"/>
  <c r="H149" i="1"/>
  <c r="H150" i="1"/>
  <c r="H151" i="1"/>
  <c r="H152" i="1"/>
  <c r="H153" i="1"/>
  <c r="H154" i="1"/>
  <c r="H155" i="1"/>
  <c r="H156" i="1"/>
  <c r="J156" i="1"/>
  <c r="H157" i="1"/>
  <c r="H158" i="1"/>
  <c r="H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F145" i="1"/>
  <c r="G145" i="1"/>
  <c r="D146" i="1"/>
  <c r="D147" i="1"/>
  <c r="D148" i="1"/>
  <c r="D149" i="1"/>
  <c r="D150" i="1"/>
  <c r="D151" i="1"/>
  <c r="D152" i="1"/>
  <c r="D153" i="1"/>
  <c r="F153" i="1"/>
  <c r="G153" i="1"/>
  <c r="D154" i="1"/>
  <c r="D155" i="1"/>
  <c r="D156" i="1"/>
  <c r="F156" i="1"/>
  <c r="G156" i="1"/>
  <c r="D157" i="1"/>
  <c r="D158" i="1"/>
  <c r="D159" i="1"/>
  <c r="E138" i="18"/>
  <c r="E139" i="18"/>
  <c r="E140" i="18"/>
  <c r="E141" i="18"/>
  <c r="E141" i="34" s="1"/>
  <c r="E142" i="18"/>
  <c r="E142" i="34" s="1"/>
  <c r="E143" i="18"/>
  <c r="E144" i="18"/>
  <c r="E145" i="18"/>
  <c r="E145" i="34" s="1"/>
  <c r="E146" i="18"/>
  <c r="E147" i="18"/>
  <c r="E147" i="34" s="1"/>
  <c r="E148" i="18"/>
  <c r="E149" i="18"/>
  <c r="E149" i="34" s="1"/>
  <c r="E150" i="18"/>
  <c r="E150" i="34" s="1"/>
  <c r="E151" i="18"/>
  <c r="E151" i="34" s="1"/>
  <c r="E152" i="18"/>
  <c r="E152" i="34" s="1"/>
  <c r="E153" i="18"/>
  <c r="E154" i="18"/>
  <c r="E155" i="18"/>
  <c r="E155" i="34" s="1"/>
  <c r="E156" i="18"/>
  <c r="E156" i="34" s="1"/>
  <c r="E157" i="18"/>
  <c r="E157" i="34" s="1"/>
  <c r="E158" i="18"/>
  <c r="E159" i="18"/>
  <c r="E159" i="34" s="1"/>
  <c r="E160" i="18"/>
  <c r="E160" i="34" s="1"/>
  <c r="D138" i="18"/>
  <c r="D139" i="18"/>
  <c r="D140" i="18"/>
  <c r="D141" i="18"/>
  <c r="D141" i="34" s="1"/>
  <c r="D142" i="18"/>
  <c r="D142" i="34" s="1"/>
  <c r="D143" i="18"/>
  <c r="D144" i="18"/>
  <c r="D144" i="34" s="1"/>
  <c r="D145" i="18"/>
  <c r="D146" i="18"/>
  <c r="D146" i="34" s="1"/>
  <c r="D147" i="18"/>
  <c r="D148" i="18"/>
  <c r="D149" i="18"/>
  <c r="D150" i="18"/>
  <c r="D151" i="18"/>
  <c r="D151" i="34" s="1"/>
  <c r="D152" i="18"/>
  <c r="D152" i="34" s="1"/>
  <c r="D153" i="18"/>
  <c r="D154" i="18"/>
  <c r="D155" i="18"/>
  <c r="D156" i="18"/>
  <c r="D156" i="34" s="1"/>
  <c r="D157" i="18"/>
  <c r="D158" i="18"/>
  <c r="D159" i="18"/>
  <c r="D160" i="18"/>
  <c r="H5" i="18"/>
  <c r="H6" i="18"/>
  <c r="H7" i="18"/>
  <c r="H8" i="18"/>
  <c r="H9" i="18"/>
  <c r="H10" i="18"/>
  <c r="H11" i="18"/>
  <c r="H11" i="34" s="1"/>
  <c r="H12" i="18"/>
  <c r="H12" i="34" s="1"/>
  <c r="H13" i="18"/>
  <c r="H13" i="34" s="1"/>
  <c r="H14" i="18"/>
  <c r="H14" i="34" s="1"/>
  <c r="H15" i="18"/>
  <c r="H15" i="34" s="1"/>
  <c r="H16" i="18"/>
  <c r="H16" i="34" s="1"/>
  <c r="H17" i="18"/>
  <c r="H18" i="18"/>
  <c r="H19" i="18"/>
  <c r="H20" i="18"/>
  <c r="H21" i="18"/>
  <c r="H21" i="34" s="1"/>
  <c r="H22" i="18"/>
  <c r="H23" i="18"/>
  <c r="H23" i="34" s="1"/>
  <c r="H24" i="18"/>
  <c r="H24" i="34" s="1"/>
  <c r="H25" i="18"/>
  <c r="H25" i="34" s="1"/>
  <c r="H26" i="18"/>
  <c r="H26" i="34" s="1"/>
  <c r="H27" i="18"/>
  <c r="H27" i="34" s="1"/>
  <c r="H28" i="18"/>
  <c r="H29" i="18"/>
  <c r="H30" i="18"/>
  <c r="H31" i="18"/>
  <c r="H32" i="18"/>
  <c r="H33" i="18"/>
  <c r="H34" i="18"/>
  <c r="H35" i="18"/>
  <c r="H35" i="34" s="1"/>
  <c r="H36" i="18"/>
  <c r="H36" i="34" s="1"/>
  <c r="H37" i="18"/>
  <c r="H37" i="34" s="1"/>
  <c r="H38" i="18"/>
  <c r="H38" i="34" s="1"/>
  <c r="H39" i="18"/>
  <c r="H39" i="34" s="1"/>
  <c r="H40" i="18"/>
  <c r="H40" i="34" s="1"/>
  <c r="H41" i="18"/>
  <c r="H41" i="34" s="1"/>
  <c r="H42" i="18"/>
  <c r="H43" i="18"/>
  <c r="H43" i="34" s="1"/>
  <c r="H44" i="18"/>
  <c r="H45" i="18"/>
  <c r="H46" i="18"/>
  <c r="H46" i="34" s="1"/>
  <c r="H47" i="18"/>
  <c r="H48" i="18"/>
  <c r="H48" i="34" s="1"/>
  <c r="H49" i="18"/>
  <c r="H49" i="34" s="1"/>
  <c r="H50" i="18"/>
  <c r="H51" i="18"/>
  <c r="H52" i="18"/>
  <c r="H53" i="18"/>
  <c r="H54" i="18"/>
  <c r="H55" i="18"/>
  <c r="H55" i="34" s="1"/>
  <c r="H56" i="18"/>
  <c r="H56" i="34" s="1"/>
  <c r="H57" i="18"/>
  <c r="H57" i="34" s="1"/>
  <c r="H58" i="18"/>
  <c r="H58" i="34" s="1"/>
  <c r="H59" i="18"/>
  <c r="H59" i="34" s="1"/>
  <c r="H60" i="18"/>
  <c r="H60" i="34" s="1"/>
  <c r="H61" i="18"/>
  <c r="H62" i="18"/>
  <c r="H63" i="18"/>
  <c r="H64" i="18"/>
  <c r="H64" i="34" s="1"/>
  <c r="H65" i="18"/>
  <c r="H66" i="18"/>
  <c r="H66" i="34" s="1"/>
  <c r="H67" i="18"/>
  <c r="H67" i="34" s="1"/>
  <c r="H68" i="18"/>
  <c r="H69" i="18"/>
  <c r="H70" i="18"/>
  <c r="H71" i="18"/>
  <c r="H71" i="34" s="1"/>
  <c r="H72" i="18"/>
  <c r="H72" i="34" s="1"/>
  <c r="H73" i="18"/>
  <c r="H74" i="18"/>
  <c r="H74" i="34" s="1"/>
  <c r="H75" i="18"/>
  <c r="H76" i="18"/>
  <c r="H77" i="18"/>
  <c r="H77" i="34" s="1"/>
  <c r="H78" i="18"/>
  <c r="H79" i="18"/>
  <c r="H80" i="18"/>
  <c r="H81" i="18"/>
  <c r="H81" i="34" s="1"/>
  <c r="H82" i="18"/>
  <c r="H82" i="34" s="1"/>
  <c r="H83" i="18"/>
  <c r="H83" i="34" s="1"/>
  <c r="H84" i="18"/>
  <c r="H85" i="18"/>
  <c r="H85" i="34" s="1"/>
  <c r="H86" i="18"/>
  <c r="H87" i="18"/>
  <c r="H87" i="34" s="1"/>
  <c r="H88" i="18"/>
  <c r="H88" i="34" s="1"/>
  <c r="H89" i="18"/>
  <c r="H89" i="34" s="1"/>
  <c r="H90" i="18"/>
  <c r="H91" i="18"/>
  <c r="H91" i="34" s="1"/>
  <c r="H92" i="18"/>
  <c r="H92" i="34" s="1"/>
  <c r="H93" i="18"/>
  <c r="H93" i="34" s="1"/>
  <c r="H94" i="18"/>
  <c r="H94" i="34" s="1"/>
  <c r="H95" i="18"/>
  <c r="H95" i="34" s="1"/>
  <c r="H96" i="18"/>
  <c r="H97" i="18"/>
  <c r="H97" i="34" s="1"/>
  <c r="H98" i="18"/>
  <c r="H99" i="18"/>
  <c r="H99" i="34" s="1"/>
  <c r="H100" i="18"/>
  <c r="H101" i="18"/>
  <c r="H102" i="18"/>
  <c r="H102" i="34" s="1"/>
  <c r="H103" i="18"/>
  <c r="H104" i="18"/>
  <c r="H104" i="34" s="1"/>
  <c r="H105" i="18"/>
  <c r="H106" i="18"/>
  <c r="H107" i="18"/>
  <c r="H108" i="18"/>
  <c r="H108" i="34" s="1"/>
  <c r="H109" i="18"/>
  <c r="H110" i="18"/>
  <c r="H111" i="18"/>
  <c r="H111" i="34" s="1"/>
  <c r="H112" i="18"/>
  <c r="H112" i="34" s="1"/>
  <c r="H113" i="18"/>
  <c r="H113" i="34" s="1"/>
  <c r="H114" i="18"/>
  <c r="H114" i="34" s="1"/>
  <c r="H115" i="18"/>
  <c r="H115" i="34" s="1"/>
  <c r="H116" i="18"/>
  <c r="H116" i="34" s="1"/>
  <c r="H117" i="18"/>
  <c r="H118" i="18"/>
  <c r="H119" i="18"/>
  <c r="H119" i="34" s="1"/>
  <c r="H120" i="18"/>
  <c r="H120" i="34" s="1"/>
  <c r="H121" i="18"/>
  <c r="H122" i="18"/>
  <c r="H123" i="18"/>
  <c r="H123" i="34" s="1"/>
  <c r="H124" i="18"/>
  <c r="H125" i="18"/>
  <c r="H125" i="34" s="1"/>
  <c r="H126" i="18"/>
  <c r="H126" i="34" s="1"/>
  <c r="H127" i="18"/>
  <c r="H128" i="18"/>
  <c r="H129" i="18"/>
  <c r="H129" i="34" s="1"/>
  <c r="H130" i="18"/>
  <c r="H130" i="34" s="1"/>
  <c r="H131" i="18"/>
  <c r="H132" i="18"/>
  <c r="H133" i="18"/>
  <c r="H133" i="34" s="1"/>
  <c r="H134" i="18"/>
  <c r="H135" i="18"/>
  <c r="H135" i="34" s="1"/>
  <c r="H136" i="18"/>
  <c r="H136" i="34" s="1"/>
  <c r="H137" i="18"/>
  <c r="H137" i="34" s="1"/>
  <c r="H138" i="18"/>
  <c r="H139" i="18"/>
  <c r="H139" i="34" s="1"/>
  <c r="H140" i="18"/>
  <c r="H141" i="18"/>
  <c r="H141" i="34" s="1"/>
  <c r="H142" i="18"/>
  <c r="H143" i="18"/>
  <c r="H143" i="34" s="1"/>
  <c r="H144" i="18"/>
  <c r="H144" i="34" s="1"/>
  <c r="H145" i="18"/>
  <c r="H145" i="34" s="1"/>
  <c r="H146" i="18"/>
  <c r="H147" i="18"/>
  <c r="H147" i="34" s="1"/>
  <c r="H148" i="18"/>
  <c r="H149" i="18"/>
  <c r="H150" i="18"/>
  <c r="H150" i="34" s="1"/>
  <c r="H151" i="18"/>
  <c r="H151" i="34" s="1"/>
  <c r="H152" i="18"/>
  <c r="H153" i="18"/>
  <c r="H153" i="34" s="1"/>
  <c r="H154" i="18"/>
  <c r="H155" i="18"/>
  <c r="H155" i="34" s="1"/>
  <c r="H156" i="18"/>
  <c r="H156" i="34" s="1"/>
  <c r="H157" i="18"/>
  <c r="H157" i="34" s="1"/>
  <c r="H158" i="18"/>
  <c r="H158" i="34" s="1"/>
  <c r="H159" i="18"/>
  <c r="H159" i="34" s="1"/>
  <c r="H160" i="18"/>
  <c r="H4" i="18"/>
  <c r="I18" i="20"/>
  <c r="J18" i="20" s="1"/>
  <c r="I19" i="20"/>
  <c r="J19" i="20" s="1"/>
  <c r="I20" i="20"/>
  <c r="J20" i="20" s="1"/>
  <c r="I21" i="20"/>
  <c r="J21" i="20" s="1"/>
  <c r="I22" i="20"/>
  <c r="J22" i="20" s="1"/>
  <c r="I23" i="20"/>
  <c r="J23" i="20" s="1"/>
  <c r="J24" i="20"/>
  <c r="I25" i="20"/>
  <c r="J25" i="20" s="1"/>
  <c r="I26" i="20"/>
  <c r="J26" i="20" s="1"/>
  <c r="I27" i="20"/>
  <c r="J27" i="20" s="1"/>
  <c r="I28" i="20"/>
  <c r="J28" i="20" s="1"/>
  <c r="I29" i="20"/>
  <c r="J29" i="20" s="1"/>
  <c r="I30" i="20"/>
  <c r="J30" i="20" s="1"/>
  <c r="I31" i="20"/>
  <c r="J31" i="20" s="1"/>
  <c r="I32" i="20"/>
  <c r="J32" i="20" s="1"/>
  <c r="I33" i="20"/>
  <c r="J33" i="20" s="1"/>
  <c r="I34" i="20"/>
  <c r="I35" i="20"/>
  <c r="J35" i="20" s="1"/>
  <c r="I36" i="20"/>
  <c r="I37" i="20"/>
  <c r="J37" i="20" s="1"/>
  <c r="I38" i="20"/>
  <c r="J38" i="20" s="1"/>
  <c r="I39" i="20"/>
  <c r="J39" i="20" s="1"/>
  <c r="I40" i="20"/>
  <c r="J40" i="20" s="1"/>
  <c r="I41" i="20"/>
  <c r="J41" i="20" s="1"/>
  <c r="I42" i="20"/>
  <c r="J42" i="20" s="1"/>
  <c r="I43" i="20"/>
  <c r="J43" i="20" s="1"/>
  <c r="I44" i="20"/>
  <c r="J44" i="20" s="1"/>
  <c r="J45" i="20"/>
  <c r="I46" i="20"/>
  <c r="J46" i="20" s="1"/>
  <c r="I47" i="20"/>
  <c r="J47" i="20" s="1"/>
  <c r="I48" i="20"/>
  <c r="J48" i="20" s="1"/>
  <c r="I49" i="20"/>
  <c r="J49" i="20" s="1"/>
  <c r="I50" i="20"/>
  <c r="J50" i="20" s="1"/>
  <c r="I51" i="20"/>
  <c r="J51" i="20" s="1"/>
  <c r="I52" i="20"/>
  <c r="J52" i="20" s="1"/>
  <c r="I53" i="20"/>
  <c r="J53" i="20" s="1"/>
  <c r="I54" i="20"/>
  <c r="J54" i="20" s="1"/>
  <c r="I55" i="20"/>
  <c r="J55" i="20" s="1"/>
  <c r="I56" i="20"/>
  <c r="J56" i="20" s="1"/>
  <c r="I57" i="20"/>
  <c r="J57" i="20" s="1"/>
  <c r="I58" i="20"/>
  <c r="J58" i="20" s="1"/>
  <c r="I59" i="20"/>
  <c r="J59" i="20" s="1"/>
  <c r="I60" i="20"/>
  <c r="J60" i="20" s="1"/>
  <c r="I61" i="20"/>
  <c r="J61" i="20" s="1"/>
  <c r="I62" i="20"/>
  <c r="J62" i="20" s="1"/>
  <c r="I63" i="20"/>
  <c r="J63" i="20" s="1"/>
  <c r="I64" i="20"/>
  <c r="J64" i="20"/>
  <c r="I65" i="20"/>
  <c r="J65" i="20"/>
  <c r="I66" i="20"/>
  <c r="J66" i="20"/>
  <c r="I67" i="20"/>
  <c r="J67" i="20"/>
  <c r="I68" i="20"/>
  <c r="J68" i="20"/>
  <c r="I69" i="20"/>
  <c r="J69" i="20"/>
  <c r="I70" i="20"/>
  <c r="J70" i="20"/>
  <c r="I71" i="20"/>
  <c r="J71" i="20" s="1"/>
  <c r="I72" i="20"/>
  <c r="J72" i="20"/>
  <c r="I73" i="20"/>
  <c r="J73" i="20" s="1"/>
  <c r="I74" i="20"/>
  <c r="J74" i="20" s="1"/>
  <c r="I75" i="20"/>
  <c r="J75" i="20" s="1"/>
  <c r="I76" i="20"/>
  <c r="J76" i="20"/>
  <c r="I77" i="20"/>
  <c r="J77" i="20" s="1"/>
  <c r="I78" i="20"/>
  <c r="J78" i="20" s="1"/>
  <c r="I79" i="20"/>
  <c r="J79" i="20"/>
  <c r="I80" i="20"/>
  <c r="J80" i="20" s="1"/>
  <c r="I81" i="20"/>
  <c r="J81" i="20" s="1"/>
  <c r="I82" i="20"/>
  <c r="J82" i="20" s="1"/>
  <c r="I83" i="20"/>
  <c r="J83" i="20"/>
  <c r="I84" i="20"/>
  <c r="J84" i="20"/>
  <c r="I85" i="20"/>
  <c r="J85" i="20"/>
  <c r="I86" i="20"/>
  <c r="J86" i="20"/>
  <c r="I87" i="20"/>
  <c r="J87" i="20"/>
  <c r="I88" i="20"/>
  <c r="J88" i="20"/>
  <c r="I89" i="20"/>
  <c r="J89" i="20"/>
  <c r="I90" i="20"/>
  <c r="J90" i="20"/>
  <c r="I91" i="20"/>
  <c r="I92" i="20"/>
  <c r="J92" i="20"/>
  <c r="I93" i="20"/>
  <c r="J93" i="20"/>
  <c r="I94" i="20"/>
  <c r="J94" i="20"/>
  <c r="I95" i="20"/>
  <c r="J95" i="20"/>
  <c r="I96" i="20"/>
  <c r="J96" i="20"/>
  <c r="I97" i="20"/>
  <c r="J97" i="20"/>
  <c r="I98" i="20"/>
  <c r="J98" i="20"/>
  <c r="I99" i="20"/>
  <c r="J99" i="20"/>
  <c r="I100" i="20"/>
  <c r="J100" i="20"/>
  <c r="I101" i="20"/>
  <c r="I102" i="20"/>
  <c r="J102" i="20" s="1"/>
  <c r="I103" i="20"/>
  <c r="J103" i="20" s="1"/>
  <c r="I104" i="20"/>
  <c r="J104" i="20" s="1"/>
  <c r="I105" i="20"/>
  <c r="J105" i="20"/>
  <c r="I106" i="20"/>
  <c r="J106" i="20"/>
  <c r="I107" i="20"/>
  <c r="J107" i="20"/>
  <c r="I108" i="20"/>
  <c r="J108" i="20" s="1"/>
  <c r="I109" i="20"/>
  <c r="J109" i="20"/>
  <c r="I110" i="20"/>
  <c r="J110" i="20"/>
  <c r="I111" i="20"/>
  <c r="I112" i="20"/>
  <c r="I113" i="20"/>
  <c r="I114" i="20"/>
  <c r="J114" i="20" s="1"/>
  <c r="I115" i="20"/>
  <c r="J115" i="20"/>
  <c r="I116" i="20"/>
  <c r="J116" i="20"/>
  <c r="I117" i="20"/>
  <c r="J117" i="20"/>
  <c r="I118" i="20"/>
  <c r="J118" i="20"/>
  <c r="I119" i="20"/>
  <c r="J119" i="20"/>
  <c r="I120" i="20"/>
  <c r="J120" i="20"/>
  <c r="I121" i="20"/>
  <c r="J121" i="20"/>
  <c r="I122" i="20"/>
  <c r="J122" i="20"/>
  <c r="I123" i="20"/>
  <c r="J123" i="20"/>
  <c r="I124" i="20"/>
  <c r="J124" i="20"/>
  <c r="I125" i="20"/>
  <c r="J125" i="20"/>
  <c r="I126" i="20"/>
  <c r="J126" i="20"/>
  <c r="I127" i="20"/>
  <c r="J127" i="20"/>
  <c r="I128" i="20"/>
  <c r="J128" i="20"/>
  <c r="I129" i="20"/>
  <c r="J129" i="20"/>
  <c r="I130" i="20"/>
  <c r="J130" i="20"/>
  <c r="I131" i="20"/>
  <c r="J131" i="20"/>
  <c r="I132" i="20"/>
  <c r="J132" i="20"/>
  <c r="I133" i="20"/>
  <c r="J133" i="20"/>
  <c r="I134" i="20"/>
  <c r="J134" i="20"/>
  <c r="J135" i="20"/>
  <c r="I136" i="20"/>
  <c r="J136" i="20"/>
  <c r="I137" i="20"/>
  <c r="J137" i="20"/>
  <c r="I138" i="20"/>
  <c r="J138" i="20"/>
  <c r="I139" i="20"/>
  <c r="J139" i="20"/>
  <c r="I140" i="20"/>
  <c r="J140" i="20" s="1"/>
  <c r="I141" i="20"/>
  <c r="J141" i="20"/>
  <c r="I142" i="20"/>
  <c r="J142" i="20" s="1"/>
  <c r="I143" i="20"/>
  <c r="J143" i="20" s="1"/>
  <c r="I144" i="20"/>
  <c r="J144" i="20"/>
  <c r="I145" i="20"/>
  <c r="J145" i="20"/>
  <c r="I146" i="20"/>
  <c r="J146" i="20" s="1"/>
  <c r="I147" i="20"/>
  <c r="J147" i="20"/>
  <c r="I148" i="20"/>
  <c r="J148" i="20"/>
  <c r="I149" i="20"/>
  <c r="I149" i="18" s="1"/>
  <c r="J149" i="20"/>
  <c r="I150" i="20"/>
  <c r="J150" i="20"/>
  <c r="I151" i="20"/>
  <c r="J151" i="20" s="1"/>
  <c r="I152" i="20"/>
  <c r="J152" i="20" s="1"/>
  <c r="I153" i="20"/>
  <c r="J153" i="20"/>
  <c r="J154" i="20"/>
  <c r="J155" i="20"/>
  <c r="J156" i="20"/>
  <c r="F18" i="20"/>
  <c r="G18" i="20"/>
  <c r="F19" i="20"/>
  <c r="G19" i="20" s="1"/>
  <c r="F20" i="20"/>
  <c r="G20" i="20"/>
  <c r="F21" i="20"/>
  <c r="G21" i="20" s="1"/>
  <c r="F22" i="20"/>
  <c r="G22" i="20" s="1"/>
  <c r="F23" i="20"/>
  <c r="G23" i="20" s="1"/>
  <c r="F24" i="20"/>
  <c r="G24" i="20" s="1"/>
  <c r="F25" i="20"/>
  <c r="G25" i="20" s="1"/>
  <c r="F26" i="20"/>
  <c r="G26" i="20" s="1"/>
  <c r="F27" i="20"/>
  <c r="G27" i="20" s="1"/>
  <c r="F28" i="20"/>
  <c r="G28" i="20"/>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c r="F65" i="20"/>
  <c r="G65" i="20"/>
  <c r="F66" i="20"/>
  <c r="G66" i="20"/>
  <c r="F67" i="20"/>
  <c r="G67" i="20"/>
  <c r="F68" i="20"/>
  <c r="G68" i="20"/>
  <c r="F69" i="20"/>
  <c r="G69" i="20"/>
  <c r="F70" i="20"/>
  <c r="G70" i="20"/>
  <c r="F71" i="20"/>
  <c r="G71" i="20" s="1"/>
  <c r="F72" i="20"/>
  <c r="G72" i="20"/>
  <c r="F73" i="20"/>
  <c r="G73" i="20" s="1"/>
  <c r="F74" i="20"/>
  <c r="G74" i="20" s="1"/>
  <c r="F75" i="20"/>
  <c r="G75" i="20"/>
  <c r="F76" i="20"/>
  <c r="G76" i="20" s="1"/>
  <c r="F77" i="20"/>
  <c r="G77" i="20"/>
  <c r="F78" i="20"/>
  <c r="G78" i="20"/>
  <c r="F79" i="20"/>
  <c r="G79" i="20" s="1"/>
  <c r="F80" i="20"/>
  <c r="G80" i="20"/>
  <c r="F81" i="20"/>
  <c r="G81" i="20"/>
  <c r="F82" i="20"/>
  <c r="G82" i="20" s="1"/>
  <c r="F83" i="20"/>
  <c r="G83" i="20"/>
  <c r="F84" i="20"/>
  <c r="G84" i="20" s="1"/>
  <c r="F85" i="20"/>
  <c r="G85" i="20" s="1"/>
  <c r="F86" i="20"/>
  <c r="G86" i="20" s="1"/>
  <c r="F87" i="20"/>
  <c r="G87" i="20"/>
  <c r="F88" i="20"/>
  <c r="G88" i="20"/>
  <c r="F89" i="20"/>
  <c r="G89" i="20"/>
  <c r="F90" i="20"/>
  <c r="G90" i="20"/>
  <c r="F91" i="20"/>
  <c r="G91" i="20" s="1"/>
  <c r="F92" i="20"/>
  <c r="G92" i="20" s="1"/>
  <c r="F93" i="20"/>
  <c r="G93" i="20" s="1"/>
  <c r="F94" i="20"/>
  <c r="G94" i="20" s="1"/>
  <c r="F95" i="20"/>
  <c r="G95" i="20"/>
  <c r="F96" i="20"/>
  <c r="G96" i="20"/>
  <c r="F97" i="20"/>
  <c r="G97" i="20"/>
  <c r="F98" i="20"/>
  <c r="G98" i="20"/>
  <c r="F99" i="20"/>
  <c r="G99" i="20"/>
  <c r="F100" i="20"/>
  <c r="G100" i="20"/>
  <c r="F101" i="20"/>
  <c r="G101" i="20"/>
  <c r="F102" i="20"/>
  <c r="G102" i="20" s="1"/>
  <c r="F103" i="20"/>
  <c r="G103" i="20"/>
  <c r="F104" i="20"/>
  <c r="G104" i="20" s="1"/>
  <c r="F105" i="20"/>
  <c r="G105" i="20" s="1"/>
  <c r="F106" i="20"/>
  <c r="G106" i="20" s="1"/>
  <c r="F107" i="20"/>
  <c r="G107" i="20" s="1"/>
  <c r="F108" i="20"/>
  <c r="G108" i="20"/>
  <c r="F109" i="20"/>
  <c r="G109" i="20" s="1"/>
  <c r="F110" i="20"/>
  <c r="G110" i="20"/>
  <c r="F111" i="20"/>
  <c r="G111" i="20" s="1"/>
  <c r="F112" i="20"/>
  <c r="G112" i="20" s="1"/>
  <c r="F113" i="20"/>
  <c r="G113" i="20" s="1"/>
  <c r="F114" i="20"/>
  <c r="G114" i="20" s="1"/>
  <c r="F115" i="20"/>
  <c r="G115" i="20"/>
  <c r="F116" i="20"/>
  <c r="G116" i="20"/>
  <c r="F117" i="20"/>
  <c r="G117" i="20"/>
  <c r="F118" i="20"/>
  <c r="G118" i="20"/>
  <c r="F119" i="20"/>
  <c r="G119" i="20"/>
  <c r="F120" i="20"/>
  <c r="G120" i="20"/>
  <c r="F121" i="20"/>
  <c r="G121" i="20"/>
  <c r="F122" i="20"/>
  <c r="G122" i="20"/>
  <c r="F123" i="20"/>
  <c r="G123" i="20"/>
  <c r="F124" i="20"/>
  <c r="G124" i="20"/>
  <c r="F125" i="20"/>
  <c r="G125" i="20"/>
  <c r="F126" i="20"/>
  <c r="G126" i="20"/>
  <c r="F127" i="20"/>
  <c r="G127" i="20"/>
  <c r="F128" i="20"/>
  <c r="G128" i="20"/>
  <c r="F129" i="20"/>
  <c r="G129" i="20"/>
  <c r="F130" i="20"/>
  <c r="G130" i="20"/>
  <c r="F131" i="20"/>
  <c r="G131" i="20"/>
  <c r="F132" i="20"/>
  <c r="G132" i="20"/>
  <c r="F133" i="20"/>
  <c r="G133" i="20"/>
  <c r="F134" i="20"/>
  <c r="G134" i="20"/>
  <c r="F135" i="20"/>
  <c r="G135" i="20"/>
  <c r="F136" i="20"/>
  <c r="G136" i="20"/>
  <c r="F137" i="20"/>
  <c r="G137" i="20"/>
  <c r="F138" i="20"/>
  <c r="G138" i="20"/>
  <c r="F139" i="20"/>
  <c r="G139" i="20"/>
  <c r="F140" i="20"/>
  <c r="G140" i="20" s="1"/>
  <c r="F141" i="20"/>
  <c r="G141" i="20"/>
  <c r="F142" i="20"/>
  <c r="G142" i="20"/>
  <c r="F143" i="20"/>
  <c r="F144" i="20"/>
  <c r="G144" i="20" s="1"/>
  <c r="F145" i="20"/>
  <c r="G145" i="20"/>
  <c r="F146" i="20"/>
  <c r="G146" i="20" s="1"/>
  <c r="F147" i="20"/>
  <c r="G147" i="20"/>
  <c r="F148" i="20"/>
  <c r="G148" i="20"/>
  <c r="F149" i="20"/>
  <c r="G149" i="20"/>
  <c r="F150" i="20"/>
  <c r="G150" i="20" s="1"/>
  <c r="F151" i="20"/>
  <c r="G151" i="20"/>
  <c r="F152" i="20"/>
  <c r="G152" i="20"/>
  <c r="F153" i="20"/>
  <c r="G153" i="20" s="1"/>
  <c r="F154" i="20"/>
  <c r="G154" i="20"/>
  <c r="F155" i="20"/>
  <c r="G155" i="20"/>
  <c r="F156" i="20"/>
  <c r="G156" i="20"/>
  <c r="F157" i="20"/>
  <c r="G157" i="20"/>
  <c r="F158" i="20"/>
  <c r="G158" i="20" s="1"/>
  <c r="F159" i="20"/>
  <c r="G159" i="20" s="1"/>
  <c r="F160" i="20"/>
  <c r="G160" i="20" s="1"/>
  <c r="H2" i="21"/>
  <c r="E2" i="21"/>
  <c r="H2" i="20"/>
  <c r="E2" i="20"/>
  <c r="D2" i="20"/>
  <c r="K2" i="20" s="1"/>
  <c r="D2" i="21"/>
  <c r="K2" i="21" s="1"/>
  <c r="C140" i="3"/>
  <c r="C141" i="3"/>
  <c r="C142" i="3"/>
  <c r="C143" i="3"/>
  <c r="C144" i="3"/>
  <c r="C145" i="3"/>
  <c r="C146" i="3"/>
  <c r="C147" i="3"/>
  <c r="C148" i="3"/>
  <c r="C149" i="3"/>
  <c r="C150" i="3"/>
  <c r="C151" i="3"/>
  <c r="C152" i="3"/>
  <c r="C153" i="3"/>
  <c r="C154" i="3"/>
  <c r="C155" i="3"/>
  <c r="C156" i="3"/>
  <c r="C157" i="3"/>
  <c r="C158" i="3"/>
  <c r="C159" i="3"/>
  <c r="C140" i="72"/>
  <c r="C141" i="72"/>
  <c r="C142" i="72"/>
  <c r="C143" i="72"/>
  <c r="C144" i="72"/>
  <c r="C145" i="72"/>
  <c r="C146" i="72"/>
  <c r="C147" i="72"/>
  <c r="C148" i="72"/>
  <c r="C149" i="72"/>
  <c r="C150" i="72"/>
  <c r="C151" i="72"/>
  <c r="C152" i="72"/>
  <c r="C153" i="72"/>
  <c r="C154" i="72"/>
  <c r="C155" i="72"/>
  <c r="C156" i="72"/>
  <c r="C157" i="72"/>
  <c r="C158" i="72"/>
  <c r="C159" i="72"/>
  <c r="C160" i="72"/>
  <c r="I18" i="21"/>
  <c r="J18" i="21" s="1"/>
  <c r="I19" i="21"/>
  <c r="J19" i="21" s="1"/>
  <c r="I20" i="21"/>
  <c r="J20" i="21"/>
  <c r="I21" i="21"/>
  <c r="I22" i="21"/>
  <c r="J22" i="21" s="1"/>
  <c r="I23" i="21"/>
  <c r="I24" i="21"/>
  <c r="I25" i="21"/>
  <c r="I26" i="21"/>
  <c r="I27" i="21"/>
  <c r="J27" i="21" s="1"/>
  <c r="I28" i="21"/>
  <c r="J28" i="21" s="1"/>
  <c r="I29" i="21"/>
  <c r="I30" i="21"/>
  <c r="I31" i="21"/>
  <c r="J31" i="21" s="1"/>
  <c r="I32" i="21"/>
  <c r="I33" i="21"/>
  <c r="I34" i="21"/>
  <c r="I35" i="21"/>
  <c r="I36" i="21"/>
  <c r="J36" i="21" s="1"/>
  <c r="I37" i="21"/>
  <c r="I38" i="21"/>
  <c r="J38" i="21" s="1"/>
  <c r="I39" i="21"/>
  <c r="J39" i="21" s="1"/>
  <c r="I40" i="21"/>
  <c r="I41" i="21"/>
  <c r="J41" i="21" s="1"/>
  <c r="I42" i="21"/>
  <c r="J42" i="21"/>
  <c r="I43" i="21"/>
  <c r="I44" i="21"/>
  <c r="J44" i="21" s="1"/>
  <c r="I45" i="21"/>
  <c r="J45" i="21" s="1"/>
  <c r="I46" i="21"/>
  <c r="J46" i="21" s="1"/>
  <c r="I47" i="21"/>
  <c r="I48" i="21"/>
  <c r="I49" i="21"/>
  <c r="J49" i="21" s="1"/>
  <c r="I50" i="21"/>
  <c r="J50" i="21" s="1"/>
  <c r="I51" i="21"/>
  <c r="I52" i="21"/>
  <c r="J52" i="21" s="1"/>
  <c r="I53" i="21"/>
  <c r="J53" i="21" s="1"/>
  <c r="I54" i="21"/>
  <c r="I55" i="21"/>
  <c r="J55" i="21" s="1"/>
  <c r="I56" i="21"/>
  <c r="I57" i="21"/>
  <c r="I58" i="21"/>
  <c r="J58" i="21" s="1"/>
  <c r="I59" i="21"/>
  <c r="J59" i="21" s="1"/>
  <c r="I60" i="21"/>
  <c r="J60" i="21" s="1"/>
  <c r="I61" i="21"/>
  <c r="J61" i="21" s="1"/>
  <c r="I62" i="21"/>
  <c r="J62" i="21" s="1"/>
  <c r="I63" i="21"/>
  <c r="J63" i="21" s="1"/>
  <c r="I64" i="21"/>
  <c r="I65" i="21"/>
  <c r="I66" i="21"/>
  <c r="I67" i="21"/>
  <c r="I68" i="21"/>
  <c r="J68" i="21"/>
  <c r="I69" i="21"/>
  <c r="J69" i="21" s="1"/>
  <c r="I70" i="21"/>
  <c r="J70" i="21" s="1"/>
  <c r="I71" i="21"/>
  <c r="J71" i="21" s="1"/>
  <c r="I72" i="21"/>
  <c r="I73" i="21"/>
  <c r="I74" i="21"/>
  <c r="I75" i="21"/>
  <c r="J75" i="21" s="1"/>
  <c r="I76" i="21"/>
  <c r="J76" i="21" s="1"/>
  <c r="I77" i="21"/>
  <c r="J77" i="21" s="1"/>
  <c r="I78" i="21"/>
  <c r="J78" i="21" s="1"/>
  <c r="I79" i="21"/>
  <c r="J79" i="21"/>
  <c r="I80" i="21"/>
  <c r="J80" i="21" s="1"/>
  <c r="I81" i="21"/>
  <c r="J81" i="21" s="1"/>
  <c r="I82" i="21"/>
  <c r="J82" i="21" s="1"/>
  <c r="I83" i="21"/>
  <c r="I84" i="21"/>
  <c r="J84" i="21" s="1"/>
  <c r="I85" i="21"/>
  <c r="I85" i="18" s="1"/>
  <c r="I86" i="21"/>
  <c r="J86" i="21" s="1"/>
  <c r="I87" i="21"/>
  <c r="J87" i="21" s="1"/>
  <c r="I88" i="21"/>
  <c r="J88" i="21" s="1"/>
  <c r="I89" i="21"/>
  <c r="J89" i="21" s="1"/>
  <c r="I90" i="21"/>
  <c r="I91" i="21"/>
  <c r="I92" i="21"/>
  <c r="J92" i="21"/>
  <c r="I93" i="21"/>
  <c r="J93" i="21" s="1"/>
  <c r="I94" i="21"/>
  <c r="I94" i="18" s="1"/>
  <c r="I95" i="21"/>
  <c r="I96" i="21"/>
  <c r="J96" i="21" s="1"/>
  <c r="I97" i="21"/>
  <c r="J97" i="21" s="1"/>
  <c r="I98" i="21"/>
  <c r="J98" i="21" s="1"/>
  <c r="I99" i="21"/>
  <c r="J99" i="21" s="1"/>
  <c r="I100" i="21"/>
  <c r="J100" i="21" s="1"/>
  <c r="I101" i="21"/>
  <c r="J101" i="21" s="1"/>
  <c r="I102" i="21"/>
  <c r="J102" i="21" s="1"/>
  <c r="I103" i="21"/>
  <c r="J103" i="21"/>
  <c r="I104" i="21"/>
  <c r="J104" i="21" s="1"/>
  <c r="I105" i="21"/>
  <c r="J105" i="21" s="1"/>
  <c r="I106" i="21"/>
  <c r="J106" i="21" s="1"/>
  <c r="I107" i="21"/>
  <c r="J107" i="21"/>
  <c r="I108" i="21"/>
  <c r="J108" i="21" s="1"/>
  <c r="I109" i="21"/>
  <c r="J109" i="21" s="1"/>
  <c r="I110" i="21"/>
  <c r="I111" i="21"/>
  <c r="I112" i="21"/>
  <c r="J112" i="21" s="1"/>
  <c r="I113" i="21"/>
  <c r="I114" i="21"/>
  <c r="I115" i="21"/>
  <c r="J115" i="21" s="1"/>
  <c r="I116" i="21"/>
  <c r="J116" i="21" s="1"/>
  <c r="I117" i="21"/>
  <c r="I117" i="18" s="1"/>
  <c r="I118" i="21"/>
  <c r="J118" i="21"/>
  <c r="J119" i="21"/>
  <c r="I120" i="21"/>
  <c r="J120" i="21" s="1"/>
  <c r="I121" i="21"/>
  <c r="I122" i="21"/>
  <c r="I123" i="21"/>
  <c r="I124" i="21"/>
  <c r="I125" i="21"/>
  <c r="J125" i="21" s="1"/>
  <c r="I126" i="21"/>
  <c r="J126" i="21"/>
  <c r="I127" i="21"/>
  <c r="J127" i="21" s="1"/>
  <c r="I128" i="21"/>
  <c r="J128" i="21" s="1"/>
  <c r="I129" i="21"/>
  <c r="J129" i="21" s="1"/>
  <c r="I130" i="21"/>
  <c r="J130" i="21"/>
  <c r="I131" i="21"/>
  <c r="J131" i="21" s="1"/>
  <c r="I132" i="21"/>
  <c r="J132" i="21"/>
  <c r="I133" i="18"/>
  <c r="I134" i="21"/>
  <c r="J134" i="21"/>
  <c r="I135" i="21"/>
  <c r="J135" i="21"/>
  <c r="I136" i="21"/>
  <c r="I137" i="21"/>
  <c r="I138" i="21"/>
  <c r="J138" i="21" s="1"/>
  <c r="I139" i="21"/>
  <c r="J139" i="21" s="1"/>
  <c r="F18" i="21"/>
  <c r="G18" i="21"/>
  <c r="F19" i="21"/>
  <c r="G19" i="21" s="1"/>
  <c r="F20" i="21"/>
  <c r="G20" i="21" s="1"/>
  <c r="F21" i="21"/>
  <c r="G21" i="21" s="1"/>
  <c r="F22" i="21"/>
  <c r="G22" i="21" s="1"/>
  <c r="F23" i="21"/>
  <c r="G23" i="2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s="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c r="F63" i="21"/>
  <c r="G63" i="21" s="1"/>
  <c r="F64" i="21"/>
  <c r="G64" i="21" s="1"/>
  <c r="F65" i="21"/>
  <c r="G65" i="21" s="1"/>
  <c r="F66" i="21"/>
  <c r="G66" i="21"/>
  <c r="F67" i="21"/>
  <c r="G67" i="21" s="1"/>
  <c r="F68" i="21"/>
  <c r="G68" i="21" s="1"/>
  <c r="F69" i="21"/>
  <c r="G69" i="21" s="1"/>
  <c r="F70" i="21"/>
  <c r="G70" i="21" s="1"/>
  <c r="F71" i="21"/>
  <c r="G71" i="21" s="1"/>
  <c r="F72" i="21"/>
  <c r="G72" i="21" s="1"/>
  <c r="F73" i="21"/>
  <c r="G73" i="21"/>
  <c r="F74" i="21"/>
  <c r="G74" i="21" s="1"/>
  <c r="F75" i="21"/>
  <c r="G75" i="21" s="1"/>
  <c r="F76" i="21"/>
  <c r="G76" i="21" s="1"/>
  <c r="F77" i="21"/>
  <c r="G77" i="21" s="1"/>
  <c r="F78" i="21"/>
  <c r="G78" i="21" s="1"/>
  <c r="F79" i="21"/>
  <c r="G79" i="21" s="1"/>
  <c r="F80" i="21"/>
  <c r="G80" i="21" s="1"/>
  <c r="F81" i="21"/>
  <c r="G81" i="21" s="1"/>
  <c r="F82" i="21"/>
  <c r="G82" i="21" s="1"/>
  <c r="F83" i="21"/>
  <c r="G83" i="21" s="1"/>
  <c r="F84" i="21"/>
  <c r="G84" i="21" s="1"/>
  <c r="F85" i="21"/>
  <c r="G85" i="21" s="1"/>
  <c r="F86" i="21"/>
  <c r="G86" i="21"/>
  <c r="F87" i="21"/>
  <c r="G87" i="21" s="1"/>
  <c r="F88" i="21"/>
  <c r="G88" i="21" s="1"/>
  <c r="F89" i="21"/>
  <c r="G89" i="21"/>
  <c r="F90" i="21"/>
  <c r="G90" i="21" s="1"/>
  <c r="F91" i="21"/>
  <c r="G91" i="21"/>
  <c r="F92" i="21"/>
  <c r="G92" i="21" s="1"/>
  <c r="F93" i="21"/>
  <c r="G93" i="21" s="1"/>
  <c r="F94" i="21"/>
  <c r="G94" i="21" s="1"/>
  <c r="F95" i="21"/>
  <c r="G95" i="21" s="1"/>
  <c r="F96" i="21"/>
  <c r="G96" i="21"/>
  <c r="F97" i="21"/>
  <c r="G97" i="21" s="1"/>
  <c r="F98" i="21"/>
  <c r="G98" i="21" s="1"/>
  <c r="F99" i="21"/>
  <c r="G99" i="21" s="1"/>
  <c r="F100" i="21"/>
  <c r="G100" i="21"/>
  <c r="F101" i="21"/>
  <c r="G101" i="21"/>
  <c r="F102" i="21"/>
  <c r="G102" i="21" s="1"/>
  <c r="F103" i="21"/>
  <c r="G103" i="21"/>
  <c r="F104" i="21"/>
  <c r="G104" i="21" s="1"/>
  <c r="F105" i="21"/>
  <c r="G105" i="21" s="1"/>
  <c r="F106" i="21"/>
  <c r="G106" i="21" s="1"/>
  <c r="F107" i="21"/>
  <c r="G107" i="2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c r="F120" i="21"/>
  <c r="G120" i="21" s="1"/>
  <c r="F121" i="21"/>
  <c r="G121" i="21" s="1"/>
  <c r="F122" i="21"/>
  <c r="G122" i="21" s="1"/>
  <c r="F123" i="21"/>
  <c r="G123" i="21" s="1"/>
  <c r="F124" i="21"/>
  <c r="G124" i="2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c r="F136" i="21"/>
  <c r="G136" i="21" s="1"/>
  <c r="F137" i="21"/>
  <c r="G137"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5" i="21"/>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c r="I138" i="4"/>
  <c r="J138" i="4"/>
  <c r="F139" i="4"/>
  <c r="D138" i="1"/>
  <c r="F138" i="1"/>
  <c r="G138" i="1"/>
  <c r="I138" i="1"/>
  <c r="H2" i="4"/>
  <c r="E2" i="4"/>
  <c r="D2" i="4"/>
  <c r="K2" i="4"/>
  <c r="E18" i="18"/>
  <c r="E19" i="18"/>
  <c r="E19" i="34" s="1"/>
  <c r="E20" i="18"/>
  <c r="E20" i="34" s="1"/>
  <c r="E21" i="18"/>
  <c r="E22" i="18"/>
  <c r="E23" i="18"/>
  <c r="E24" i="18"/>
  <c r="E25" i="18"/>
  <c r="E25" i="34" s="1"/>
  <c r="E26" i="18"/>
  <c r="E26" i="34" s="1"/>
  <c r="E27" i="18"/>
  <c r="E27" i="34" s="1"/>
  <c r="E28" i="18"/>
  <c r="E28" i="34" s="1"/>
  <c r="E29" i="18"/>
  <c r="E30" i="18"/>
  <c r="E30" i="34" s="1"/>
  <c r="E31" i="18"/>
  <c r="E32" i="18"/>
  <c r="E32" i="34" s="1"/>
  <c r="E33" i="18"/>
  <c r="E33" i="34" s="1"/>
  <c r="E34" i="18"/>
  <c r="E35" i="18"/>
  <c r="E35" i="34" s="1"/>
  <c r="E36" i="18"/>
  <c r="E37" i="18"/>
  <c r="E38" i="18"/>
  <c r="E38" i="34" s="1"/>
  <c r="E39" i="18"/>
  <c r="E40" i="18"/>
  <c r="E41" i="18"/>
  <c r="E41" i="34" s="1"/>
  <c r="E42" i="18"/>
  <c r="E43" i="18"/>
  <c r="E44" i="18"/>
  <c r="E45" i="18"/>
  <c r="E46" i="18"/>
  <c r="E47" i="18"/>
  <c r="E48" i="18"/>
  <c r="E48" i="34" s="1"/>
  <c r="E49" i="18"/>
  <c r="E50" i="18"/>
  <c r="E51" i="18"/>
  <c r="E52" i="18"/>
  <c r="E52" i="34" s="1"/>
  <c r="E53" i="18"/>
  <c r="E54" i="18"/>
  <c r="E55" i="18"/>
  <c r="E56" i="18"/>
  <c r="E57" i="18"/>
  <c r="E58" i="18"/>
  <c r="E58" i="34" s="1"/>
  <c r="E59" i="18"/>
  <c r="E60" i="18"/>
  <c r="E61" i="18"/>
  <c r="E62" i="18"/>
  <c r="E62" i="34" s="1"/>
  <c r="E63" i="18"/>
  <c r="E64" i="18"/>
  <c r="E65" i="18"/>
  <c r="E65" i="34" s="1"/>
  <c r="E66" i="18"/>
  <c r="E67" i="18"/>
  <c r="E68" i="18"/>
  <c r="E69" i="18"/>
  <c r="E70" i="18"/>
  <c r="E70" i="34" s="1"/>
  <c r="E71" i="18"/>
  <c r="E71" i="34" s="1"/>
  <c r="E72" i="18"/>
  <c r="E73" i="18"/>
  <c r="E73" i="34" s="1"/>
  <c r="E74" i="18"/>
  <c r="E76" i="18"/>
  <c r="E76" i="34" s="1"/>
  <c r="E77" i="18"/>
  <c r="E77" i="34" s="1"/>
  <c r="E78" i="18"/>
  <c r="E79" i="18"/>
  <c r="E80" i="18"/>
  <c r="E80" i="34" s="1"/>
  <c r="E81" i="18"/>
  <c r="E81" i="34" s="1"/>
  <c r="E82" i="18"/>
  <c r="E82" i="34" s="1"/>
  <c r="E83" i="18"/>
  <c r="E83" i="34" s="1"/>
  <c r="E84" i="18"/>
  <c r="E85" i="18"/>
  <c r="E85" i="34" s="1"/>
  <c r="E86" i="18"/>
  <c r="E86" i="34" s="1"/>
  <c r="E87" i="18"/>
  <c r="E87" i="34" s="1"/>
  <c r="E88" i="18"/>
  <c r="E88" i="34" s="1"/>
  <c r="E89" i="18"/>
  <c r="E90" i="18"/>
  <c r="E90" i="34" s="1"/>
  <c r="E91" i="18"/>
  <c r="E92" i="18"/>
  <c r="E93" i="18"/>
  <c r="E93" i="34" s="1"/>
  <c r="E94" i="18"/>
  <c r="E94" i="34" s="1"/>
  <c r="E95" i="18"/>
  <c r="E95" i="34" s="1"/>
  <c r="E96" i="18"/>
  <c r="E96" i="34" s="1"/>
  <c r="E97" i="18"/>
  <c r="E97" i="34" s="1"/>
  <c r="E98" i="18"/>
  <c r="E99" i="18"/>
  <c r="E99" i="34" s="1"/>
  <c r="E100" i="18"/>
  <c r="E100" i="34" s="1"/>
  <c r="E101" i="18"/>
  <c r="E101" i="34" s="1"/>
  <c r="E102" i="18"/>
  <c r="E102" i="34" s="1"/>
  <c r="E103" i="18"/>
  <c r="E104" i="18"/>
  <c r="E104" i="34" s="1"/>
  <c r="E105" i="18"/>
  <c r="E106" i="18"/>
  <c r="E107" i="18"/>
  <c r="E108" i="18"/>
  <c r="E109" i="18"/>
  <c r="E109" i="34" s="1"/>
  <c r="E110" i="18"/>
  <c r="E110" i="34" s="1"/>
  <c r="E111" i="18"/>
  <c r="E112" i="18"/>
  <c r="E113" i="18"/>
  <c r="E113" i="34" s="1"/>
  <c r="E114" i="18"/>
  <c r="E114" i="34" s="1"/>
  <c r="E115" i="18"/>
  <c r="E115" i="34" s="1"/>
  <c r="E116" i="18"/>
  <c r="E116" i="34" s="1"/>
  <c r="E117" i="18"/>
  <c r="E117" i="34" s="1"/>
  <c r="E118" i="18"/>
  <c r="E119" i="18"/>
  <c r="E119" i="34" s="1"/>
  <c r="E120" i="18"/>
  <c r="E120" i="34" s="1"/>
  <c r="E121" i="18"/>
  <c r="E121" i="34" s="1"/>
  <c r="E122" i="18"/>
  <c r="E123" i="18"/>
  <c r="E123" i="34" s="1"/>
  <c r="E124" i="18"/>
  <c r="E124" i="34" s="1"/>
  <c r="E125" i="18"/>
  <c r="E126" i="18"/>
  <c r="E126" i="34" s="1"/>
  <c r="E127" i="18"/>
  <c r="E128" i="18"/>
  <c r="E129" i="18"/>
  <c r="E130" i="18"/>
  <c r="E130" i="34" s="1"/>
  <c r="E131" i="18"/>
  <c r="E132" i="18"/>
  <c r="E132" i="34" s="1"/>
  <c r="E133" i="18"/>
  <c r="E134" i="18"/>
  <c r="E134" i="34" s="1"/>
  <c r="E135" i="18"/>
  <c r="E136" i="18"/>
  <c r="E136" i="34" s="1"/>
  <c r="E137" i="18"/>
  <c r="D18" i="18"/>
  <c r="D18" i="34" s="1"/>
  <c r="D19" i="18"/>
  <c r="D20" i="18"/>
  <c r="D21" i="18"/>
  <c r="D21" i="34" s="1"/>
  <c r="D22" i="18"/>
  <c r="D23" i="18"/>
  <c r="D23" i="34" s="1"/>
  <c r="D24" i="18"/>
  <c r="D25" i="18"/>
  <c r="D26" i="18"/>
  <c r="D26" i="34" s="1"/>
  <c r="D27" i="18"/>
  <c r="D28" i="18"/>
  <c r="D29" i="18"/>
  <c r="D29" i="34" s="1"/>
  <c r="D30" i="18"/>
  <c r="D30" i="34" s="1"/>
  <c r="D31" i="18"/>
  <c r="D32" i="18"/>
  <c r="D33" i="18"/>
  <c r="D34" i="18"/>
  <c r="D34" i="34" s="1"/>
  <c r="D35" i="18"/>
  <c r="D36" i="18"/>
  <c r="D37" i="18"/>
  <c r="D37" i="34" s="1"/>
  <c r="D38" i="18"/>
  <c r="D38" i="34" s="1"/>
  <c r="D39" i="18"/>
  <c r="D40" i="18"/>
  <c r="D41" i="18"/>
  <c r="D42" i="18"/>
  <c r="D43" i="18"/>
  <c r="D43" i="34" s="1"/>
  <c r="D44" i="18"/>
  <c r="D45" i="18"/>
  <c r="D45" i="34" s="1"/>
  <c r="D46" i="18"/>
  <c r="D47" i="18"/>
  <c r="D48" i="18"/>
  <c r="D49" i="18"/>
  <c r="D49" i="34" s="1"/>
  <c r="D50" i="18"/>
  <c r="D51" i="18"/>
  <c r="D51" i="34" s="1"/>
  <c r="D52" i="18"/>
  <c r="D53" i="18"/>
  <c r="D53" i="34" s="1"/>
  <c r="D54" i="18"/>
  <c r="D55" i="18"/>
  <c r="D55" i="34" s="1"/>
  <c r="D56" i="18"/>
  <c r="D56" i="34" s="1"/>
  <c r="D57" i="18"/>
  <c r="D58" i="18"/>
  <c r="D59" i="18"/>
  <c r="D60" i="18"/>
  <c r="D61" i="18"/>
  <c r="D61" i="34" s="1"/>
  <c r="D62" i="18"/>
  <c r="D63" i="18"/>
  <c r="D63" i="34" s="1"/>
  <c r="D64" i="18"/>
  <c r="D65" i="18"/>
  <c r="D65" i="34" s="1"/>
  <c r="D66" i="18"/>
  <c r="D66" i="34" s="1"/>
  <c r="D67" i="18"/>
  <c r="D67" i="34" s="1"/>
  <c r="D68" i="18"/>
  <c r="D69" i="18"/>
  <c r="D69" i="34" s="1"/>
  <c r="D70" i="18"/>
  <c r="D71" i="18"/>
  <c r="D72" i="18"/>
  <c r="D73" i="18"/>
  <c r="D74" i="18"/>
  <c r="D75" i="18"/>
  <c r="D76" i="18"/>
  <c r="D77" i="18"/>
  <c r="D77" i="34" s="1"/>
  <c r="D78" i="18"/>
  <c r="D79" i="18"/>
  <c r="D80" i="18"/>
  <c r="D81" i="18"/>
  <c r="D81" i="34" s="1"/>
  <c r="D82" i="18"/>
  <c r="D83" i="18"/>
  <c r="D83" i="34" s="1"/>
  <c r="D84" i="18"/>
  <c r="D85" i="18"/>
  <c r="F85" i="18" s="1"/>
  <c r="G85" i="18" s="1"/>
  <c r="D86" i="18"/>
  <c r="D87" i="18"/>
  <c r="F87" i="18" s="1"/>
  <c r="G87" i="18" s="1"/>
  <c r="D88" i="18"/>
  <c r="D88" i="34" s="1"/>
  <c r="D89" i="18"/>
  <c r="D89" i="34" s="1"/>
  <c r="D90" i="18"/>
  <c r="D91" i="18"/>
  <c r="D92" i="18"/>
  <c r="D93" i="18"/>
  <c r="D93" i="34" s="1"/>
  <c r="D94" i="18"/>
  <c r="D94" i="34" s="1"/>
  <c r="D95" i="18"/>
  <c r="D96" i="18"/>
  <c r="D96" i="34" s="1"/>
  <c r="D97" i="18"/>
  <c r="D98" i="18"/>
  <c r="D99" i="18"/>
  <c r="D100" i="18"/>
  <c r="D100" i="34" s="1"/>
  <c r="D101" i="18"/>
  <c r="D102" i="18"/>
  <c r="D102" i="34" s="1"/>
  <c r="D103" i="18"/>
  <c r="D104" i="18"/>
  <c r="D104" i="34" s="1"/>
  <c r="D105" i="18"/>
  <c r="F105" i="18" s="1"/>
  <c r="G105" i="18" s="1"/>
  <c r="D106" i="18"/>
  <c r="D107" i="18"/>
  <c r="D108" i="18"/>
  <c r="D109" i="18"/>
  <c r="F109" i="18" s="1"/>
  <c r="G109" i="18" s="1"/>
  <c r="D110" i="18"/>
  <c r="D110" i="34" s="1"/>
  <c r="D111" i="18"/>
  <c r="D111" i="34" s="1"/>
  <c r="D112" i="18"/>
  <c r="D112" i="34" s="1"/>
  <c r="D113" i="18"/>
  <c r="D114" i="18"/>
  <c r="D115" i="18"/>
  <c r="D116" i="18"/>
  <c r="D117" i="18"/>
  <c r="F117" i="18" s="1"/>
  <c r="G117" i="18" s="1"/>
  <c r="D118" i="18"/>
  <c r="D119" i="18"/>
  <c r="F119" i="18" s="1"/>
  <c r="G119" i="18" s="1"/>
  <c r="D120" i="18"/>
  <c r="F120" i="18" s="1"/>
  <c r="G120" i="18" s="1"/>
  <c r="D121" i="18"/>
  <c r="F121" i="18" s="1"/>
  <c r="G121" i="18" s="1"/>
  <c r="D122" i="18"/>
  <c r="D123" i="18"/>
  <c r="D123" i="34" s="1"/>
  <c r="D124" i="18"/>
  <c r="D124" i="34" s="1"/>
  <c r="D125" i="18"/>
  <c r="D126" i="18"/>
  <c r="D126" i="34" s="1"/>
  <c r="D127" i="18"/>
  <c r="D128" i="18"/>
  <c r="D128" i="34" s="1"/>
  <c r="D129" i="18"/>
  <c r="D130" i="18"/>
  <c r="D131" i="18"/>
  <c r="D132" i="18"/>
  <c r="D132" i="34" s="1"/>
  <c r="D133" i="18"/>
  <c r="D134" i="18"/>
  <c r="D134" i="34" s="1"/>
  <c r="D135" i="18"/>
  <c r="D135" i="34" s="1"/>
  <c r="D136" i="18"/>
  <c r="D136" i="34" s="1"/>
  <c r="D137" i="18"/>
  <c r="D137" i="34" s="1"/>
  <c r="I18" i="4"/>
  <c r="I18" i="1"/>
  <c r="I19" i="4"/>
  <c r="J19" i="4"/>
  <c r="I20" i="4"/>
  <c r="J20" i="4"/>
  <c r="I21" i="4"/>
  <c r="J21" i="4"/>
  <c r="I22" i="4"/>
  <c r="J22" i="4"/>
  <c r="I23" i="4"/>
  <c r="J23" i="4"/>
  <c r="I24" i="4"/>
  <c r="J24" i="4"/>
  <c r="I25" i="4"/>
  <c r="J25" i="4"/>
  <c r="I26" i="4"/>
  <c r="J26" i="4"/>
  <c r="I27" i="4"/>
  <c r="J27" i="4"/>
  <c r="I28" i="4"/>
  <c r="J28" i="4"/>
  <c r="I29" i="4"/>
  <c r="J29" i="4"/>
  <c r="I30" i="4"/>
  <c r="J30" i="4"/>
  <c r="I31" i="4"/>
  <c r="J31" i="4"/>
  <c r="I32" i="4"/>
  <c r="I32" i="1"/>
  <c r="I33" i="4"/>
  <c r="J33" i="4"/>
  <c r="I34" i="4"/>
  <c r="J34" i="4"/>
  <c r="I35" i="4"/>
  <c r="J35" i="4"/>
  <c r="I36" i="4"/>
  <c r="J36" i="4"/>
  <c r="I37" i="4"/>
  <c r="J37" i="4"/>
  <c r="I38" i="4"/>
  <c r="J38" i="4"/>
  <c r="I39" i="4"/>
  <c r="J39" i="4"/>
  <c r="I40" i="4"/>
  <c r="J40" i="4"/>
  <c r="I41" i="4"/>
  <c r="J41" i="4"/>
  <c r="I42" i="4"/>
  <c r="J42" i="4"/>
  <c r="I43" i="4"/>
  <c r="J43" i="4"/>
  <c r="I44" i="4"/>
  <c r="J44" i="4"/>
  <c r="I45" i="4"/>
  <c r="J45" i="4"/>
  <c r="I46" i="4"/>
  <c r="J46" i="4"/>
  <c r="I47" i="4"/>
  <c r="J47" i="4"/>
  <c r="I48" i="4"/>
  <c r="J48" i="4"/>
  <c r="I49" i="4"/>
  <c r="J49" i="4"/>
  <c r="I50" i="4"/>
  <c r="J50" i="4"/>
  <c r="I51" i="4"/>
  <c r="J51" i="4"/>
  <c r="I52" i="4"/>
  <c r="J52" i="4"/>
  <c r="I53" i="4"/>
  <c r="J53" i="4"/>
  <c r="I54" i="4"/>
  <c r="J54" i="4"/>
  <c r="I55" i="4"/>
  <c r="J55" i="4"/>
  <c r="I56" i="4"/>
  <c r="J56" i="4"/>
  <c r="I57" i="4"/>
  <c r="J57" i="4"/>
  <c r="I58" i="4"/>
  <c r="J58" i="4"/>
  <c r="I59" i="4"/>
  <c r="J59" i="4"/>
  <c r="I60" i="4"/>
  <c r="J60" i="4"/>
  <c r="I61" i="4"/>
  <c r="J61" i="4"/>
  <c r="I62" i="4"/>
  <c r="J62" i="4"/>
  <c r="I63" i="4"/>
  <c r="J63" i="4"/>
  <c r="I64" i="4"/>
  <c r="J64" i="4"/>
  <c r="I65" i="4"/>
  <c r="J65" i="4"/>
  <c r="I66" i="4"/>
  <c r="J66" i="4"/>
  <c r="I67" i="4"/>
  <c r="J67" i="4"/>
  <c r="I68" i="4"/>
  <c r="J68" i="4"/>
  <c r="I69" i="4"/>
  <c r="J69" i="4"/>
  <c r="I70" i="4"/>
  <c r="J70" i="4"/>
  <c r="I71" i="4"/>
  <c r="J71" i="4"/>
  <c r="I72" i="4"/>
  <c r="J72" i="4"/>
  <c r="I73" i="4"/>
  <c r="J73" i="4"/>
  <c r="I74" i="4"/>
  <c r="J74" i="4"/>
  <c r="I75" i="4"/>
  <c r="J75" i="4"/>
  <c r="I76" i="4"/>
  <c r="J76" i="4"/>
  <c r="I77" i="4"/>
  <c r="J77" i="4"/>
  <c r="I78" i="4"/>
  <c r="J78" i="4"/>
  <c r="I79" i="4"/>
  <c r="I79" i="1"/>
  <c r="J79" i="4"/>
  <c r="I80" i="4"/>
  <c r="J80" i="4"/>
  <c r="I81" i="4"/>
  <c r="J81" i="4"/>
  <c r="I82" i="4"/>
  <c r="J82" i="4"/>
  <c r="I83" i="4"/>
  <c r="J83" i="4"/>
  <c r="I84" i="4"/>
  <c r="J84" i="4"/>
  <c r="I85" i="4"/>
  <c r="I85" i="1"/>
  <c r="J85" i="4"/>
  <c r="I86" i="4"/>
  <c r="J86" i="4"/>
  <c r="I87" i="4"/>
  <c r="J87" i="4"/>
  <c r="I88" i="4"/>
  <c r="J88" i="4"/>
  <c r="I89" i="4"/>
  <c r="J89" i="4"/>
  <c r="I90" i="4"/>
  <c r="J90" i="4"/>
  <c r="I91" i="4"/>
  <c r="J91" i="4"/>
  <c r="I92" i="4"/>
  <c r="J92" i="4"/>
  <c r="I93" i="4"/>
  <c r="J93" i="4"/>
  <c r="I94" i="4"/>
  <c r="J94" i="4"/>
  <c r="I95" i="4"/>
  <c r="J95" i="4"/>
  <c r="I96" i="4"/>
  <c r="J96" i="4"/>
  <c r="I97" i="4"/>
  <c r="J97" i="4"/>
  <c r="I98" i="4"/>
  <c r="J98" i="4"/>
  <c r="I99" i="4"/>
  <c r="J99" i="4"/>
  <c r="I100" i="4"/>
  <c r="J100" i="4"/>
  <c r="I101" i="4"/>
  <c r="J101" i="4"/>
  <c r="I102" i="4"/>
  <c r="J102" i="4"/>
  <c r="I103" i="4"/>
  <c r="J103" i="4"/>
  <c r="I104" i="4"/>
  <c r="J104" i="4"/>
  <c r="I105" i="4"/>
  <c r="J105" i="4"/>
  <c r="I106" i="4"/>
  <c r="J106" i="4"/>
  <c r="I107" i="4"/>
  <c r="J107" i="4"/>
  <c r="I108" i="4"/>
  <c r="J108" i="4"/>
  <c r="I109" i="4"/>
  <c r="J109" i="4"/>
  <c r="I110" i="4"/>
  <c r="J110" i="4"/>
  <c r="I111" i="4"/>
  <c r="J111" i="4"/>
  <c r="I112" i="4"/>
  <c r="J112" i="4"/>
  <c r="I113" i="4"/>
  <c r="J113" i="4"/>
  <c r="I114" i="4"/>
  <c r="J114" i="4"/>
  <c r="I115" i="4"/>
  <c r="J115" i="4"/>
  <c r="I116" i="4"/>
  <c r="J116" i="4"/>
  <c r="I117" i="4"/>
  <c r="J117" i="4"/>
  <c r="I118" i="4"/>
  <c r="J118" i="4"/>
  <c r="I119" i="4"/>
  <c r="J119" i="4"/>
  <c r="J120" i="4"/>
  <c r="I121" i="4"/>
  <c r="J121" i="4"/>
  <c r="I122" i="4"/>
  <c r="J122" i="4"/>
  <c r="I123" i="4"/>
  <c r="J123" i="4"/>
  <c r="I124" i="4"/>
  <c r="J124" i="4"/>
  <c r="I125" i="4"/>
  <c r="J125" i="4"/>
  <c r="I126" i="4"/>
  <c r="J126" i="4"/>
  <c r="I127" i="4"/>
  <c r="J127" i="4"/>
  <c r="I128" i="4"/>
  <c r="J128" i="4"/>
  <c r="I129" i="4"/>
  <c r="J129" i="4"/>
  <c r="I130" i="4"/>
  <c r="J130" i="4"/>
  <c r="J131" i="4"/>
  <c r="I132" i="4"/>
  <c r="J132" i="4"/>
  <c r="I133" i="4"/>
  <c r="J133" i="4"/>
  <c r="I134" i="4"/>
  <c r="J134" i="4"/>
  <c r="I135" i="4"/>
  <c r="J135" i="4"/>
  <c r="I136" i="4"/>
  <c r="J136" i="4"/>
  <c r="I137" i="4"/>
  <c r="J137"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55" i="4"/>
  <c r="G55" i="4"/>
  <c r="F56" i="4"/>
  <c r="G56" i="4"/>
  <c r="F57" i="4"/>
  <c r="G57" i="4"/>
  <c r="F58" i="4"/>
  <c r="G58" i="4"/>
  <c r="F59" i="4"/>
  <c r="G59" i="4"/>
  <c r="F60" i="4"/>
  <c r="G60" i="4"/>
  <c r="F61" i="4"/>
  <c r="G61" i="4"/>
  <c r="F62" i="4"/>
  <c r="G62" i="4"/>
  <c r="F63" i="4"/>
  <c r="G63" i="4"/>
  <c r="F64" i="4"/>
  <c r="G64" i="4"/>
  <c r="F65" i="4"/>
  <c r="G65" i="4"/>
  <c r="F66" i="4"/>
  <c r="G66" i="4"/>
  <c r="F67" i="4"/>
  <c r="G67" i="4"/>
  <c r="F68" i="4"/>
  <c r="G68" i="4"/>
  <c r="F69" i="4"/>
  <c r="G69" i="4"/>
  <c r="F70" i="4"/>
  <c r="G70" i="4"/>
  <c r="F71" i="4"/>
  <c r="G71" i="4"/>
  <c r="F72" i="4"/>
  <c r="G72" i="4"/>
  <c r="F73" i="4"/>
  <c r="G73" i="4"/>
  <c r="F74" i="4"/>
  <c r="G74" i="4"/>
  <c r="F75" i="4"/>
  <c r="G75" i="4"/>
  <c r="F76" i="4"/>
  <c r="G76" i="4"/>
  <c r="F77" i="4"/>
  <c r="G77" i="4"/>
  <c r="F78" i="4"/>
  <c r="G78" i="4"/>
  <c r="F81" i="4"/>
  <c r="G81" i="4"/>
  <c r="F82" i="4"/>
  <c r="G82" i="4"/>
  <c r="F83" i="4"/>
  <c r="G83" i="4"/>
  <c r="F84" i="4"/>
  <c r="G84" i="4"/>
  <c r="F85" i="4"/>
  <c r="G85" i="4"/>
  <c r="F86" i="4"/>
  <c r="G86" i="4"/>
  <c r="F87" i="4"/>
  <c r="G87" i="4"/>
  <c r="F88" i="4"/>
  <c r="G88" i="4"/>
  <c r="F89" i="4"/>
  <c r="G89" i="4"/>
  <c r="F90" i="4"/>
  <c r="G90" i="4"/>
  <c r="F91" i="4"/>
  <c r="G91" i="4"/>
  <c r="F92" i="4"/>
  <c r="G92" i="4"/>
  <c r="F93" i="4"/>
  <c r="G93" i="4"/>
  <c r="F94" i="4"/>
  <c r="G94" i="4"/>
  <c r="F95" i="4"/>
  <c r="G95" i="4"/>
  <c r="F96" i="4"/>
  <c r="G96" i="4"/>
  <c r="F97" i="4"/>
  <c r="G97" i="4"/>
  <c r="F98" i="4"/>
  <c r="G98" i="4"/>
  <c r="F99" i="4"/>
  <c r="G99" i="4"/>
  <c r="F100" i="4"/>
  <c r="G100" i="4"/>
  <c r="F101" i="4"/>
  <c r="G101" i="4"/>
  <c r="F102" i="4"/>
  <c r="G102" i="4"/>
  <c r="F103" i="4"/>
  <c r="G103" i="4"/>
  <c r="F104" i="4"/>
  <c r="G104" i="4"/>
  <c r="F105" i="4"/>
  <c r="G105" i="4"/>
  <c r="F106" i="4"/>
  <c r="G106" i="4"/>
  <c r="F107" i="4"/>
  <c r="G107" i="4"/>
  <c r="F108" i="4"/>
  <c r="G108" i="4"/>
  <c r="F109" i="4"/>
  <c r="G109" i="4"/>
  <c r="F110" i="4"/>
  <c r="G110" i="4"/>
  <c r="F111" i="4"/>
  <c r="G111" i="4"/>
  <c r="F112" i="4"/>
  <c r="G112" i="4"/>
  <c r="F113" i="4"/>
  <c r="G113" i="4"/>
  <c r="F114" i="4"/>
  <c r="G114" i="4"/>
  <c r="F115" i="4"/>
  <c r="G115" i="4"/>
  <c r="F116" i="4"/>
  <c r="G116" i="4"/>
  <c r="F117" i="4"/>
  <c r="G117" i="4"/>
  <c r="G118" i="4"/>
  <c r="F119" i="4"/>
  <c r="G119" i="4"/>
  <c r="F120" i="4"/>
  <c r="G120" i="4"/>
  <c r="F121" i="4"/>
  <c r="G121" i="4"/>
  <c r="F122" i="4"/>
  <c r="G122" i="4"/>
  <c r="F123" i="4"/>
  <c r="G123" i="4"/>
  <c r="F124" i="4"/>
  <c r="G124" i="4"/>
  <c r="F125" i="4"/>
  <c r="G125" i="4"/>
  <c r="F126" i="4"/>
  <c r="G126" i="4"/>
  <c r="F127" i="4"/>
  <c r="G127" i="4"/>
  <c r="F128" i="4"/>
  <c r="G128" i="4"/>
  <c r="F129" i="4"/>
  <c r="G129" i="4"/>
  <c r="F130" i="4"/>
  <c r="G130" i="4"/>
  <c r="F131" i="4"/>
  <c r="G131" i="4"/>
  <c r="F132" i="4"/>
  <c r="G132" i="4"/>
  <c r="F133" i="4"/>
  <c r="G133" i="4"/>
  <c r="F134" i="4"/>
  <c r="G134" i="4"/>
  <c r="F135" i="4"/>
  <c r="G135" i="4"/>
  <c r="F136" i="4"/>
  <c r="G136" i="4"/>
  <c r="F137" i="4"/>
  <c r="G137" i="4"/>
  <c r="H2" i="3"/>
  <c r="E2" i="3"/>
  <c r="E2" i="72"/>
  <c r="H2" i="72"/>
  <c r="D2" i="3"/>
  <c r="D2" i="72"/>
  <c r="F144" i="1"/>
  <c r="G144" i="1"/>
  <c r="F152" i="1"/>
  <c r="G152" i="1"/>
  <c r="J145" i="1"/>
  <c r="J147" i="1"/>
  <c r="J155" i="1"/>
  <c r="J139" i="1"/>
  <c r="J146" i="1"/>
  <c r="J153" i="1"/>
  <c r="F147" i="1"/>
  <c r="G147" i="1"/>
  <c r="J159" i="1"/>
  <c r="J151" i="1"/>
  <c r="J143" i="1"/>
  <c r="F158" i="1"/>
  <c r="G158" i="1"/>
  <c r="J154" i="1"/>
  <c r="F154" i="1"/>
  <c r="G154" i="1"/>
  <c r="J158" i="1"/>
  <c r="J150" i="1"/>
  <c r="J142" i="1"/>
  <c r="F155" i="1"/>
  <c r="G155" i="1"/>
  <c r="F139" i="1"/>
  <c r="G139" i="1"/>
  <c r="F146" i="1"/>
  <c r="G146" i="1"/>
  <c r="F148" i="1"/>
  <c r="G148" i="1"/>
  <c r="F140" i="1"/>
  <c r="G140" i="1"/>
  <c r="F142" i="1"/>
  <c r="G142" i="1"/>
  <c r="J152" i="1"/>
  <c r="J144" i="1"/>
  <c r="F159" i="1"/>
  <c r="G159" i="1"/>
  <c r="F151" i="1"/>
  <c r="G151" i="1"/>
  <c r="F143" i="1"/>
  <c r="G143" i="1"/>
  <c r="J157" i="1"/>
  <c r="J149" i="1"/>
  <c r="J141" i="1"/>
  <c r="I157" i="18"/>
  <c r="I56" i="30"/>
  <c r="I38" i="30"/>
  <c r="J140" i="31"/>
  <c r="J129" i="31"/>
  <c r="J107" i="31"/>
  <c r="J79" i="31"/>
  <c r="J51" i="31"/>
  <c r="J19" i="31"/>
  <c r="I145" i="30"/>
  <c r="J84" i="30"/>
  <c r="J138" i="1"/>
  <c r="J85" i="21"/>
  <c r="I153" i="18"/>
  <c r="I150" i="30"/>
  <c r="J150" i="30"/>
  <c r="J99" i="30"/>
  <c r="J139" i="30"/>
  <c r="J93" i="31"/>
  <c r="J77" i="31"/>
  <c r="J155" i="30"/>
  <c r="J123" i="30"/>
  <c r="I90" i="30"/>
  <c r="J90" i="30"/>
  <c r="J125" i="31"/>
  <c r="J69" i="31"/>
  <c r="I136" i="18"/>
  <c r="I64" i="18"/>
  <c r="J117" i="21"/>
  <c r="J64" i="21"/>
  <c r="I95" i="30"/>
  <c r="J95" i="30"/>
  <c r="J157" i="30"/>
  <c r="J75" i="30"/>
  <c r="J40" i="31"/>
  <c r="I40" i="30"/>
  <c r="J40" i="30"/>
  <c r="J122" i="21"/>
  <c r="J90" i="21"/>
  <c r="I82" i="18"/>
  <c r="I82" i="34" s="1"/>
  <c r="J74" i="21"/>
  <c r="J66" i="21"/>
  <c r="I66" i="18"/>
  <c r="J34" i="21"/>
  <c r="J26" i="21"/>
  <c r="I26" i="18"/>
  <c r="I141" i="18"/>
  <c r="J81" i="27"/>
  <c r="J116" i="31"/>
  <c r="I89" i="30"/>
  <c r="J89" i="30"/>
  <c r="J89" i="31"/>
  <c r="J61" i="31"/>
  <c r="J32" i="31"/>
  <c r="I32" i="30"/>
  <c r="J67" i="21"/>
  <c r="J144" i="31"/>
  <c r="I144" i="30"/>
  <c r="J144" i="30"/>
  <c r="I57" i="30"/>
  <c r="J57" i="31"/>
  <c r="J20" i="31"/>
  <c r="I20" i="30"/>
  <c r="J137" i="21"/>
  <c r="J121" i="21"/>
  <c r="J113" i="21"/>
  <c r="J73" i="21"/>
  <c r="J65" i="21"/>
  <c r="J57" i="21"/>
  <c r="J33" i="21"/>
  <c r="J25" i="21"/>
  <c r="J136" i="21"/>
  <c r="J72" i="21"/>
  <c r="I151" i="18"/>
  <c r="I119" i="18"/>
  <c r="J119" i="18" s="1"/>
  <c r="F157" i="1"/>
  <c r="G157" i="1"/>
  <c r="F149" i="1"/>
  <c r="G149" i="1"/>
  <c r="F141" i="1"/>
  <c r="G141" i="1"/>
  <c r="J44" i="31"/>
  <c r="I44" i="30"/>
  <c r="J43" i="21"/>
  <c r="J133" i="21"/>
  <c r="I150" i="18"/>
  <c r="F51" i="30"/>
  <c r="G51" i="30"/>
  <c r="J71" i="31"/>
  <c r="I71" i="30"/>
  <c r="J66" i="31"/>
  <c r="I66" i="30"/>
  <c r="J66" i="30"/>
  <c r="J24" i="31"/>
  <c r="I24" i="30"/>
  <c r="J24" i="30"/>
  <c r="J124" i="21"/>
  <c r="J51" i="21"/>
  <c r="I51" i="18"/>
  <c r="J35" i="21"/>
  <c r="J111" i="21"/>
  <c r="J95" i="21"/>
  <c r="I95" i="18"/>
  <c r="J23" i="21"/>
  <c r="I23" i="18"/>
  <c r="I134" i="18"/>
  <c r="J134" i="18" s="1"/>
  <c r="I116" i="18"/>
  <c r="J79" i="28"/>
  <c r="J157" i="31"/>
  <c r="J103" i="31"/>
  <c r="I103" i="30"/>
  <c r="J103" i="30"/>
  <c r="J98" i="31"/>
  <c r="I98" i="30"/>
  <c r="J98" i="30"/>
  <c r="J36" i="31"/>
  <c r="I36" i="30"/>
  <c r="J123" i="21"/>
  <c r="I123" i="18"/>
  <c r="J83" i="21"/>
  <c r="I83" i="18"/>
  <c r="J110" i="21"/>
  <c r="I110" i="18"/>
  <c r="J110" i="18" s="1"/>
  <c r="J54" i="21"/>
  <c r="J30" i="21"/>
  <c r="I30" i="18"/>
  <c r="J30" i="18" s="1"/>
  <c r="J78" i="28"/>
  <c r="J130" i="31"/>
  <c r="I130" i="30"/>
  <c r="J130" i="30"/>
  <c r="J102" i="31"/>
  <c r="I102" i="30"/>
  <c r="J102" i="30"/>
  <c r="J48" i="31"/>
  <c r="I48" i="30"/>
  <c r="J112" i="31"/>
  <c r="I112" i="30"/>
  <c r="J91" i="21"/>
  <c r="I20" i="18"/>
  <c r="I144" i="18"/>
  <c r="J134" i="31"/>
  <c r="I134" i="30"/>
  <c r="J134" i="30"/>
  <c r="J80" i="31"/>
  <c r="I80" i="30"/>
  <c r="J75" i="31"/>
  <c r="D148" i="34"/>
  <c r="J137" i="31"/>
  <c r="J105" i="31"/>
  <c r="J73" i="31"/>
  <c r="F128" i="30"/>
  <c r="G128" i="30"/>
  <c r="J113" i="31"/>
  <c r="J49" i="31"/>
  <c r="J41" i="31"/>
  <c r="J33" i="31"/>
  <c r="J25" i="31"/>
  <c r="J21" i="31"/>
  <c r="J62" i="30"/>
  <c r="J50" i="30"/>
  <c r="J42" i="30"/>
  <c r="J38" i="30"/>
  <c r="J159" i="30"/>
  <c r="F43" i="30"/>
  <c r="G43" i="30"/>
  <c r="F31" i="30"/>
  <c r="G31" i="30"/>
  <c r="F112" i="30"/>
  <c r="G112" i="30"/>
  <c r="J58" i="30"/>
  <c r="J43" i="30"/>
  <c r="J26" i="30"/>
  <c r="J23" i="30"/>
  <c r="J22" i="30"/>
  <c r="H2" i="30"/>
  <c r="F132" i="30"/>
  <c r="G132" i="30"/>
  <c r="F124" i="30"/>
  <c r="G124" i="30"/>
  <c r="F116" i="30"/>
  <c r="G116" i="30"/>
  <c r="F160" i="30"/>
  <c r="G160" i="30"/>
  <c r="F96" i="30"/>
  <c r="G96" i="30"/>
  <c r="F108" i="30"/>
  <c r="G108" i="30"/>
  <c r="F88" i="30"/>
  <c r="G88" i="30"/>
  <c r="F103" i="30"/>
  <c r="G103" i="30"/>
  <c r="F84" i="30"/>
  <c r="G84" i="30"/>
  <c r="F140" i="30"/>
  <c r="G140" i="30"/>
  <c r="F79" i="30"/>
  <c r="G79" i="30"/>
  <c r="J128" i="30"/>
  <c r="J56" i="30"/>
  <c r="J120" i="30"/>
  <c r="J112" i="30"/>
  <c r="J104" i="30"/>
  <c r="J87" i="30"/>
  <c r="J80" i="30"/>
  <c r="J64" i="30"/>
  <c r="J31" i="30"/>
  <c r="J72" i="30"/>
  <c r="J47" i="30"/>
  <c r="J39" i="30"/>
  <c r="J153" i="30"/>
  <c r="J143" i="30"/>
  <c r="J135" i="30"/>
  <c r="J55" i="30"/>
  <c r="J151" i="30"/>
  <c r="J160" i="30"/>
  <c r="J145" i="30"/>
  <c r="J127" i="30"/>
  <c r="J96" i="30"/>
  <c r="J63" i="30"/>
  <c r="J119" i="30"/>
  <c r="J88" i="30"/>
  <c r="J79" i="30"/>
  <c r="J71" i="30"/>
  <c r="F91" i="30"/>
  <c r="G91" i="30"/>
  <c r="J32" i="30"/>
  <c r="F19" i="30"/>
  <c r="G19" i="30"/>
  <c r="F158" i="30"/>
  <c r="G158" i="30"/>
  <c r="F157" i="30"/>
  <c r="G157" i="30"/>
  <c r="F155" i="30"/>
  <c r="G155" i="30"/>
  <c r="F154" i="30"/>
  <c r="G154" i="30"/>
  <c r="F153" i="30"/>
  <c r="G153" i="30"/>
  <c r="F151" i="30"/>
  <c r="G151" i="30"/>
  <c r="F150" i="30"/>
  <c r="G150" i="30"/>
  <c r="F147" i="30"/>
  <c r="G147" i="30"/>
  <c r="F146" i="30"/>
  <c r="G146" i="30"/>
  <c r="F143" i="30"/>
  <c r="G143" i="30"/>
  <c r="F142" i="30"/>
  <c r="G142" i="30"/>
  <c r="F141" i="30"/>
  <c r="G141" i="30"/>
  <c r="F139" i="30"/>
  <c r="G139" i="30"/>
  <c r="F138" i="30"/>
  <c r="G138" i="30"/>
  <c r="F135" i="30"/>
  <c r="G135" i="30"/>
  <c r="F134" i="30"/>
  <c r="G134" i="30"/>
  <c r="F133" i="30"/>
  <c r="G133" i="30"/>
  <c r="F131" i="30"/>
  <c r="G131" i="30"/>
  <c r="F130" i="30"/>
  <c r="G130" i="30"/>
  <c r="F127" i="30"/>
  <c r="G127" i="30"/>
  <c r="F126" i="30"/>
  <c r="G126" i="30"/>
  <c r="F125" i="30"/>
  <c r="G125" i="30"/>
  <c r="F123" i="30"/>
  <c r="G123" i="30"/>
  <c r="F122" i="30"/>
  <c r="G122" i="30"/>
  <c r="F121" i="30"/>
  <c r="G121" i="30"/>
  <c r="F119" i="30"/>
  <c r="G119" i="30"/>
  <c r="F118" i="30"/>
  <c r="G118" i="30"/>
  <c r="F115" i="30"/>
  <c r="G115" i="30"/>
  <c r="F110" i="30"/>
  <c r="G110" i="30"/>
  <c r="F109" i="30"/>
  <c r="G109" i="30"/>
  <c r="F106" i="30"/>
  <c r="G106" i="30"/>
  <c r="F105" i="30"/>
  <c r="G105" i="30"/>
  <c r="F102" i="30"/>
  <c r="G102" i="30"/>
  <c r="F101" i="30"/>
  <c r="G101" i="30"/>
  <c r="F98" i="30"/>
  <c r="G98" i="30"/>
  <c r="F97" i="30"/>
  <c r="G97" i="30"/>
  <c r="F94" i="30"/>
  <c r="G94" i="30"/>
  <c r="F93" i="30"/>
  <c r="G93" i="30"/>
  <c r="F90" i="30"/>
  <c r="G90" i="30"/>
  <c r="F89" i="30"/>
  <c r="G89" i="30"/>
  <c r="F86" i="30"/>
  <c r="G86" i="30"/>
  <c r="F85" i="30"/>
  <c r="G85" i="30"/>
  <c r="F82" i="30"/>
  <c r="G82" i="30"/>
  <c r="F81" i="30"/>
  <c r="G81" i="30"/>
  <c r="F78" i="30"/>
  <c r="G78" i="30"/>
  <c r="F77" i="30"/>
  <c r="G77" i="30"/>
  <c r="F76" i="30"/>
  <c r="G76" i="30"/>
  <c r="F74" i="30"/>
  <c r="G74" i="30"/>
  <c r="F72" i="30"/>
  <c r="G72" i="30"/>
  <c r="F71" i="30"/>
  <c r="G71" i="30"/>
  <c r="F69" i="30"/>
  <c r="G69" i="30"/>
  <c r="F68" i="30"/>
  <c r="G68" i="30"/>
  <c r="F66" i="30"/>
  <c r="G66" i="30"/>
  <c r="F64" i="30"/>
  <c r="G64" i="30"/>
  <c r="F62" i="30"/>
  <c r="G62" i="30"/>
  <c r="F59" i="30"/>
  <c r="G59" i="30"/>
  <c r="F58" i="30"/>
  <c r="G58" i="30"/>
  <c r="F57" i="30"/>
  <c r="G57" i="30"/>
  <c r="F54" i="30"/>
  <c r="G54" i="30"/>
  <c r="F53" i="30"/>
  <c r="G53" i="30"/>
  <c r="F50" i="30"/>
  <c r="G50" i="30"/>
  <c r="F46" i="30"/>
  <c r="G46" i="30"/>
  <c r="F41" i="30"/>
  <c r="G41" i="30"/>
  <c r="F40" i="30"/>
  <c r="G40" i="30"/>
  <c r="F38" i="30"/>
  <c r="G38" i="30"/>
  <c r="F35" i="30"/>
  <c r="G35" i="30"/>
  <c r="F34" i="30"/>
  <c r="G34" i="30"/>
  <c r="F28" i="30"/>
  <c r="G28" i="30"/>
  <c r="F26" i="30"/>
  <c r="G26" i="30"/>
  <c r="F25" i="30"/>
  <c r="G25" i="30"/>
  <c r="F18" i="30"/>
  <c r="G18" i="30"/>
  <c r="F17" i="30"/>
  <c r="G17" i="30"/>
  <c r="J147" i="30"/>
  <c r="J107" i="30"/>
  <c r="J67" i="30"/>
  <c r="J59" i="30"/>
  <c r="J51" i="30"/>
  <c r="J35" i="30"/>
  <c r="J19" i="30"/>
  <c r="J149" i="30"/>
  <c r="J141" i="30"/>
  <c r="J137" i="30"/>
  <c r="J129" i="30"/>
  <c r="J125" i="30"/>
  <c r="J117" i="30"/>
  <c r="J109" i="30"/>
  <c r="J105" i="30"/>
  <c r="J101" i="30"/>
  <c r="J93" i="30"/>
  <c r="J77" i="30"/>
  <c r="J73" i="30"/>
  <c r="J69" i="30"/>
  <c r="J65" i="30"/>
  <c r="J57" i="30"/>
  <c r="J161" i="30"/>
  <c r="J91" i="30"/>
  <c r="J131" i="30"/>
  <c r="J111" i="30"/>
  <c r="J115" i="30"/>
  <c r="J27" i="30"/>
  <c r="J83" i="30"/>
  <c r="J70" i="30"/>
  <c r="F70" i="30"/>
  <c r="G70" i="30"/>
  <c r="F63" i="30"/>
  <c r="G63" i="30"/>
  <c r="J113" i="30"/>
  <c r="J74" i="30"/>
  <c r="F114" i="30"/>
  <c r="G114" i="30"/>
  <c r="J18" i="30"/>
  <c r="F111" i="30"/>
  <c r="G111" i="30"/>
  <c r="F61" i="30"/>
  <c r="G61" i="30"/>
  <c r="F60" i="30"/>
  <c r="G60" i="30"/>
  <c r="F56" i="30"/>
  <c r="G56" i="30"/>
  <c r="F55" i="30"/>
  <c r="G55" i="30"/>
  <c r="J54" i="30"/>
  <c r="F52" i="30"/>
  <c r="G52" i="30"/>
  <c r="J49" i="30"/>
  <c r="F49" i="30"/>
  <c r="G49" i="30"/>
  <c r="J48" i="30"/>
  <c r="F48" i="30"/>
  <c r="G48" i="30"/>
  <c r="F47" i="30"/>
  <c r="G47" i="30"/>
  <c r="J46" i="30"/>
  <c r="J45" i="30"/>
  <c r="F45" i="30"/>
  <c r="G45" i="30"/>
  <c r="F42" i="30"/>
  <c r="G42" i="30"/>
  <c r="J41" i="30"/>
  <c r="F39" i="30"/>
  <c r="G39" i="30"/>
  <c r="F159" i="30"/>
  <c r="G159" i="30"/>
  <c r="J37" i="30"/>
  <c r="F37" i="30"/>
  <c r="G37" i="30"/>
  <c r="F36" i="30"/>
  <c r="G36" i="30"/>
  <c r="J33" i="30"/>
  <c r="F33" i="30"/>
  <c r="G33" i="30"/>
  <c r="F32" i="30"/>
  <c r="G32" i="30"/>
  <c r="J30" i="30"/>
  <c r="F30" i="30"/>
  <c r="G30" i="30"/>
  <c r="J29" i="30"/>
  <c r="F29" i="30"/>
  <c r="G29" i="30"/>
  <c r="F27" i="30"/>
  <c r="G27" i="30"/>
  <c r="J25" i="30"/>
  <c r="F24" i="30"/>
  <c r="G24" i="30"/>
  <c r="F23" i="30"/>
  <c r="G23" i="30"/>
  <c r="F22" i="30"/>
  <c r="G22" i="30"/>
  <c r="J21" i="30"/>
  <c r="F21" i="30"/>
  <c r="G21" i="30"/>
  <c r="F16" i="30"/>
  <c r="G16" i="30"/>
  <c r="F44" i="30"/>
  <c r="G44" i="30"/>
  <c r="J142" i="30"/>
  <c r="F20" i="30"/>
  <c r="G20" i="30"/>
  <c r="J127" i="27"/>
  <c r="J155" i="27"/>
  <c r="J57" i="27"/>
  <c r="D140" i="34"/>
  <c r="J159" i="27"/>
  <c r="J153" i="27"/>
  <c r="J145" i="27"/>
  <c r="J132" i="27"/>
  <c r="J136" i="27"/>
  <c r="J89" i="27"/>
  <c r="E148" i="34"/>
  <c r="J82" i="27"/>
  <c r="J58" i="27"/>
  <c r="J116" i="30"/>
  <c r="J92" i="30"/>
  <c r="J68" i="30"/>
  <c r="J52" i="30"/>
  <c r="J36" i="30"/>
  <c r="J20" i="30"/>
  <c r="J132" i="30"/>
  <c r="J156" i="30"/>
  <c r="J100" i="30"/>
  <c r="J148" i="30"/>
  <c r="J140" i="30"/>
  <c r="J124" i="30"/>
  <c r="J108" i="30"/>
  <c r="J76" i="30"/>
  <c r="J60" i="30"/>
  <c r="J44" i="30"/>
  <c r="J28" i="30"/>
  <c r="F161" i="30"/>
  <c r="G161" i="30"/>
  <c r="F129" i="30"/>
  <c r="G129" i="30"/>
  <c r="F65" i="30"/>
  <c r="G65" i="30"/>
  <c r="F137" i="30"/>
  <c r="G137" i="30"/>
  <c r="F73" i="30"/>
  <c r="G73" i="30"/>
  <c r="F145" i="30"/>
  <c r="G145" i="30"/>
  <c r="F113" i="30"/>
  <c r="G113" i="30"/>
  <c r="F149" i="30"/>
  <c r="G149" i="30"/>
  <c r="F117" i="30"/>
  <c r="G117" i="30"/>
  <c r="D138" i="34"/>
  <c r="D154" i="34"/>
  <c r="I42" i="18"/>
  <c r="I131" i="18"/>
  <c r="I104" i="18"/>
  <c r="I96" i="18"/>
  <c r="J96" i="18" s="1"/>
  <c r="I148" i="18"/>
  <c r="I148" i="34" s="1"/>
  <c r="I125" i="18"/>
  <c r="J93" i="19"/>
  <c r="I115" i="18"/>
  <c r="I68" i="18"/>
  <c r="E75" i="18"/>
  <c r="E2" i="19"/>
  <c r="I77" i="18"/>
  <c r="J105" i="19"/>
  <c r="I75" i="18"/>
  <c r="I75" i="34" s="1"/>
  <c r="J47" i="21"/>
  <c r="F76" i="3"/>
  <c r="D18" i="1"/>
  <c r="E18" i="1"/>
  <c r="E18" i="34"/>
  <c r="H18" i="1"/>
  <c r="D19" i="1"/>
  <c r="E19" i="1"/>
  <c r="H19" i="1"/>
  <c r="D20" i="1"/>
  <c r="E20" i="1"/>
  <c r="H20" i="1"/>
  <c r="I20" i="1"/>
  <c r="J20" i="1"/>
  <c r="D21" i="1"/>
  <c r="E21" i="1"/>
  <c r="H21" i="1"/>
  <c r="D22" i="1"/>
  <c r="E22" i="1"/>
  <c r="H22" i="1"/>
  <c r="H22" i="34"/>
  <c r="D23" i="1"/>
  <c r="E23" i="1"/>
  <c r="H23" i="1"/>
  <c r="D24" i="1"/>
  <c r="E24" i="1"/>
  <c r="H24" i="1"/>
  <c r="D25" i="1"/>
  <c r="E25" i="1"/>
  <c r="H25" i="1"/>
  <c r="D26" i="1"/>
  <c r="E26" i="1"/>
  <c r="H26" i="1"/>
  <c r="D27" i="1"/>
  <c r="D27" i="34"/>
  <c r="E27" i="1"/>
  <c r="H27" i="1"/>
  <c r="D28" i="1"/>
  <c r="E28" i="1"/>
  <c r="H28" i="1"/>
  <c r="D29" i="1"/>
  <c r="E29" i="1"/>
  <c r="H29" i="1"/>
  <c r="D30" i="1"/>
  <c r="E30" i="1"/>
  <c r="H30" i="1"/>
  <c r="D31" i="1"/>
  <c r="E31" i="1"/>
  <c r="H31" i="1"/>
  <c r="D32" i="1"/>
  <c r="E32" i="1"/>
  <c r="H32" i="1"/>
  <c r="D33" i="1"/>
  <c r="E33" i="1"/>
  <c r="H33" i="1"/>
  <c r="I33" i="1"/>
  <c r="D34" i="1"/>
  <c r="E34" i="1"/>
  <c r="H34" i="1"/>
  <c r="D35" i="1"/>
  <c r="E35" i="1"/>
  <c r="H35" i="1"/>
  <c r="D36" i="1"/>
  <c r="E36" i="1"/>
  <c r="H36" i="1"/>
  <c r="D37" i="1"/>
  <c r="E37" i="1"/>
  <c r="H37" i="1"/>
  <c r="D38" i="1"/>
  <c r="E38" i="1"/>
  <c r="F38" i="1"/>
  <c r="G38" i="1"/>
  <c r="H38" i="1"/>
  <c r="I38" i="1"/>
  <c r="D39" i="1"/>
  <c r="E39" i="1"/>
  <c r="H39" i="1"/>
  <c r="D40" i="1"/>
  <c r="E40" i="1"/>
  <c r="H40" i="1"/>
  <c r="D41" i="1"/>
  <c r="E41" i="1"/>
  <c r="H41" i="1"/>
  <c r="D42" i="1"/>
  <c r="E42" i="1"/>
  <c r="H42" i="1"/>
  <c r="D43" i="1"/>
  <c r="E43" i="1"/>
  <c r="H43" i="1"/>
  <c r="D44" i="1"/>
  <c r="E44" i="1"/>
  <c r="F44" i="1"/>
  <c r="G44" i="1"/>
  <c r="H44" i="1"/>
  <c r="D45" i="1"/>
  <c r="E45" i="1"/>
  <c r="H45" i="1"/>
  <c r="D46" i="1"/>
  <c r="E46" i="1"/>
  <c r="H46" i="1"/>
  <c r="D47" i="1"/>
  <c r="E47" i="1"/>
  <c r="F47" i="1"/>
  <c r="G47" i="1"/>
  <c r="H47" i="1"/>
  <c r="H47" i="34"/>
  <c r="D48" i="1"/>
  <c r="E48" i="1"/>
  <c r="H48" i="1"/>
  <c r="D49" i="1"/>
  <c r="E49" i="1"/>
  <c r="H49" i="1"/>
  <c r="D50" i="1"/>
  <c r="E50" i="1"/>
  <c r="F50" i="1"/>
  <c r="G50" i="1"/>
  <c r="H50" i="1"/>
  <c r="D51" i="1"/>
  <c r="E51" i="1"/>
  <c r="H51" i="1"/>
  <c r="D52" i="1"/>
  <c r="E52" i="1"/>
  <c r="F52" i="1"/>
  <c r="G52" i="1"/>
  <c r="H52" i="1"/>
  <c r="D53" i="1"/>
  <c r="E53" i="1"/>
  <c r="H53" i="1"/>
  <c r="D54" i="1"/>
  <c r="E54" i="1"/>
  <c r="F54" i="1"/>
  <c r="G54" i="1"/>
  <c r="H54" i="1"/>
  <c r="D55" i="1"/>
  <c r="E55" i="1"/>
  <c r="H55" i="1"/>
  <c r="D56" i="1"/>
  <c r="E56" i="1"/>
  <c r="H56" i="1"/>
  <c r="D57" i="1"/>
  <c r="E57" i="1"/>
  <c r="E57" i="34"/>
  <c r="H57" i="1"/>
  <c r="D58" i="1"/>
  <c r="E58" i="1"/>
  <c r="F58" i="1"/>
  <c r="G58" i="1"/>
  <c r="H58" i="1"/>
  <c r="D59" i="1"/>
  <c r="E59" i="1"/>
  <c r="H59" i="1"/>
  <c r="D60" i="1"/>
  <c r="E60" i="1"/>
  <c r="H60" i="1"/>
  <c r="I60" i="1"/>
  <c r="D61" i="1"/>
  <c r="E61" i="1"/>
  <c r="H61" i="1"/>
  <c r="D62" i="1"/>
  <c r="E62" i="1"/>
  <c r="H62" i="1"/>
  <c r="I62" i="1"/>
  <c r="D63" i="1"/>
  <c r="E63" i="1"/>
  <c r="H63" i="1"/>
  <c r="D64" i="1"/>
  <c r="E64" i="1"/>
  <c r="H64" i="1"/>
  <c r="E65" i="1"/>
  <c r="H65" i="1"/>
  <c r="D66" i="1"/>
  <c r="E66" i="1"/>
  <c r="E66" i="34"/>
  <c r="H66" i="1"/>
  <c r="D67" i="1"/>
  <c r="E67" i="1"/>
  <c r="H67" i="1"/>
  <c r="D68" i="1"/>
  <c r="E68" i="1"/>
  <c r="H68" i="1"/>
  <c r="D69" i="1"/>
  <c r="E69" i="1"/>
  <c r="H69" i="1"/>
  <c r="D70" i="1"/>
  <c r="E70" i="1"/>
  <c r="H70" i="1"/>
  <c r="D71" i="1"/>
  <c r="E71" i="1"/>
  <c r="H71" i="1"/>
  <c r="D72" i="1"/>
  <c r="E72" i="1"/>
  <c r="H72" i="1"/>
  <c r="D73" i="1"/>
  <c r="E73" i="1"/>
  <c r="F73" i="1"/>
  <c r="G73" i="1"/>
  <c r="H73" i="1"/>
  <c r="D74" i="1"/>
  <c r="E74" i="1"/>
  <c r="H74" i="1"/>
  <c r="D75" i="1"/>
  <c r="E75" i="1"/>
  <c r="H75" i="1"/>
  <c r="D76" i="1"/>
  <c r="E76" i="1"/>
  <c r="H76" i="1"/>
  <c r="D77" i="1"/>
  <c r="E77" i="1"/>
  <c r="H77" i="1"/>
  <c r="D78" i="1"/>
  <c r="E78" i="1"/>
  <c r="H78" i="1"/>
  <c r="D79" i="1"/>
  <c r="E79" i="1"/>
  <c r="H79" i="1"/>
  <c r="D80" i="1"/>
  <c r="E80" i="1"/>
  <c r="H80" i="1"/>
  <c r="D81" i="1"/>
  <c r="E81" i="1"/>
  <c r="H81" i="1"/>
  <c r="D82" i="1"/>
  <c r="E82" i="1"/>
  <c r="H82" i="1"/>
  <c r="D83" i="1"/>
  <c r="E83" i="1"/>
  <c r="H83" i="1"/>
  <c r="D84" i="1"/>
  <c r="E84" i="1"/>
  <c r="F84" i="1"/>
  <c r="G84" i="1"/>
  <c r="H84" i="1"/>
  <c r="D85" i="1"/>
  <c r="E85" i="1"/>
  <c r="F85" i="1"/>
  <c r="G85" i="1"/>
  <c r="H85" i="1"/>
  <c r="D86" i="1"/>
  <c r="E86" i="1"/>
  <c r="H86" i="1"/>
  <c r="H86" i="34"/>
  <c r="D87" i="1"/>
  <c r="E87" i="1"/>
  <c r="F87" i="1"/>
  <c r="G87" i="1"/>
  <c r="H87" i="1"/>
  <c r="D88" i="1"/>
  <c r="E88" i="1"/>
  <c r="H88" i="1"/>
  <c r="D89" i="1"/>
  <c r="E89" i="1"/>
  <c r="H89" i="1"/>
  <c r="D90" i="1"/>
  <c r="E90" i="1"/>
  <c r="F90" i="1"/>
  <c r="G90" i="1"/>
  <c r="D90" i="34"/>
  <c r="H90" i="1"/>
  <c r="D91" i="1"/>
  <c r="E91" i="1"/>
  <c r="H91" i="1"/>
  <c r="D92" i="1"/>
  <c r="E92" i="1"/>
  <c r="H92" i="1"/>
  <c r="D93" i="1"/>
  <c r="E93" i="1"/>
  <c r="F93" i="1"/>
  <c r="G93" i="1"/>
  <c r="H93" i="1"/>
  <c r="D94" i="1"/>
  <c r="E94" i="1"/>
  <c r="H94" i="1"/>
  <c r="D95" i="1"/>
  <c r="E95" i="1"/>
  <c r="H95" i="1"/>
  <c r="D96" i="1"/>
  <c r="E96" i="1"/>
  <c r="H96" i="1"/>
  <c r="D97" i="1"/>
  <c r="E97" i="1"/>
  <c r="H97" i="1"/>
  <c r="D98" i="1"/>
  <c r="E98" i="1"/>
  <c r="F98" i="1"/>
  <c r="G98" i="1"/>
  <c r="H98" i="1"/>
  <c r="D99" i="1"/>
  <c r="E99" i="1"/>
  <c r="H99" i="1"/>
  <c r="D100" i="1"/>
  <c r="E100" i="1"/>
  <c r="H100" i="1"/>
  <c r="D101" i="1"/>
  <c r="E101" i="1"/>
  <c r="F101" i="1"/>
  <c r="G101" i="1"/>
  <c r="H101" i="1"/>
  <c r="D102" i="1"/>
  <c r="E102" i="1"/>
  <c r="H102" i="1"/>
  <c r="D103" i="1"/>
  <c r="E103" i="1"/>
  <c r="H103" i="1"/>
  <c r="H103" i="34"/>
  <c r="D104" i="1"/>
  <c r="E104" i="1"/>
  <c r="H104" i="1"/>
  <c r="D105" i="1"/>
  <c r="E105" i="1"/>
  <c r="E105" i="34"/>
  <c r="H105" i="1"/>
  <c r="D106" i="1"/>
  <c r="E106" i="1"/>
  <c r="E106" i="34"/>
  <c r="H106" i="1"/>
  <c r="D107" i="1"/>
  <c r="E107" i="1"/>
  <c r="H107" i="1"/>
  <c r="D108" i="1"/>
  <c r="E108" i="1"/>
  <c r="H108" i="1"/>
  <c r="D109" i="1"/>
  <c r="E109" i="1"/>
  <c r="H109" i="1"/>
  <c r="D110" i="1"/>
  <c r="E110" i="1"/>
  <c r="H110" i="1"/>
  <c r="D111" i="1"/>
  <c r="E111" i="1"/>
  <c r="F111" i="1"/>
  <c r="G111" i="1"/>
  <c r="H111" i="1"/>
  <c r="D112" i="1"/>
  <c r="E112" i="1"/>
  <c r="F112" i="1"/>
  <c r="G112" i="1"/>
  <c r="H112" i="1"/>
  <c r="D113" i="1"/>
  <c r="E113" i="1"/>
  <c r="H113" i="1"/>
  <c r="D114" i="1"/>
  <c r="E114" i="1"/>
  <c r="H114" i="1"/>
  <c r="D115" i="1"/>
  <c r="E115" i="1"/>
  <c r="H115" i="1"/>
  <c r="D116" i="1"/>
  <c r="E116" i="1"/>
  <c r="H116" i="1"/>
  <c r="D117" i="1"/>
  <c r="E117" i="1"/>
  <c r="H117" i="1"/>
  <c r="D118" i="1"/>
  <c r="E118" i="1"/>
  <c r="H118" i="1"/>
  <c r="H118" i="34"/>
  <c r="D119" i="1"/>
  <c r="E119" i="1"/>
  <c r="H119" i="1"/>
  <c r="D120" i="1"/>
  <c r="E120" i="1"/>
  <c r="H120" i="1"/>
  <c r="D121" i="1"/>
  <c r="E121" i="1"/>
  <c r="H121" i="1"/>
  <c r="D122" i="1"/>
  <c r="E122" i="1"/>
  <c r="E122" i="34"/>
  <c r="H122" i="1"/>
  <c r="D123" i="1"/>
  <c r="E123" i="1"/>
  <c r="H123" i="1"/>
  <c r="D124" i="1"/>
  <c r="E124" i="1"/>
  <c r="H124" i="1"/>
  <c r="E125" i="1"/>
  <c r="E125" i="34"/>
  <c r="H125" i="1"/>
  <c r="D126" i="1"/>
  <c r="E126" i="1"/>
  <c r="H126" i="1"/>
  <c r="D127" i="1"/>
  <c r="E127" i="1"/>
  <c r="H127" i="1"/>
  <c r="D128" i="1"/>
  <c r="E128" i="1"/>
  <c r="H128" i="1"/>
  <c r="H128" i="34"/>
  <c r="D129" i="1"/>
  <c r="E129" i="1"/>
  <c r="H129" i="1"/>
  <c r="D130" i="1"/>
  <c r="E130" i="1"/>
  <c r="H130" i="1"/>
  <c r="D131" i="1"/>
  <c r="E131" i="1"/>
  <c r="H131" i="1"/>
  <c r="D132" i="1"/>
  <c r="E132" i="1"/>
  <c r="H132" i="1"/>
  <c r="H132" i="34"/>
  <c r="D133" i="1"/>
  <c r="E133" i="1"/>
  <c r="E133" i="34"/>
  <c r="H133" i="1"/>
  <c r="D134" i="1"/>
  <c r="E134" i="1"/>
  <c r="H134" i="1"/>
  <c r="H134" i="34"/>
  <c r="D135" i="1"/>
  <c r="E135" i="1"/>
  <c r="H135" i="1"/>
  <c r="D136" i="1"/>
  <c r="E136" i="1"/>
  <c r="H136" i="1"/>
  <c r="D137" i="1"/>
  <c r="H137" i="1"/>
  <c r="F127" i="1"/>
  <c r="G127" i="1"/>
  <c r="F126" i="1"/>
  <c r="G126" i="1"/>
  <c r="F128" i="1"/>
  <c r="G128" i="1"/>
  <c r="F70" i="1"/>
  <c r="G70" i="1"/>
  <c r="F36" i="1"/>
  <c r="G36" i="1"/>
  <c r="F105" i="1"/>
  <c r="G105" i="1"/>
  <c r="F97" i="1"/>
  <c r="G97" i="1"/>
  <c r="F65" i="1"/>
  <c r="G65" i="1"/>
  <c r="F72" i="1"/>
  <c r="G72" i="1"/>
  <c r="F64" i="1"/>
  <c r="G64" i="1"/>
  <c r="F53" i="1"/>
  <c r="G53" i="1"/>
  <c r="F45" i="1"/>
  <c r="G45" i="1"/>
  <c r="F23" i="1"/>
  <c r="G23" i="1"/>
  <c r="F124" i="1"/>
  <c r="G124" i="1"/>
  <c r="F68" i="1"/>
  <c r="G68" i="1"/>
  <c r="F39" i="1"/>
  <c r="G39" i="1"/>
  <c r="F37" i="1"/>
  <c r="G37" i="1"/>
  <c r="F21" i="1"/>
  <c r="G21" i="1"/>
  <c r="F123" i="1"/>
  <c r="G123" i="1"/>
  <c r="F67" i="1"/>
  <c r="G67" i="1"/>
  <c r="F25" i="1"/>
  <c r="G25" i="1"/>
  <c r="F117" i="1"/>
  <c r="G117" i="1"/>
  <c r="F51" i="1"/>
  <c r="G51" i="1"/>
  <c r="F66" i="1"/>
  <c r="G66" i="1"/>
  <c r="F40" i="1"/>
  <c r="G40" i="1"/>
  <c r="F133" i="1"/>
  <c r="G133" i="1"/>
  <c r="F30" i="1"/>
  <c r="G30" i="1"/>
  <c r="F20" i="1"/>
  <c r="G20" i="1"/>
  <c r="F130" i="1"/>
  <c r="G130" i="1"/>
  <c r="F115" i="1"/>
  <c r="G115" i="1"/>
  <c r="F102" i="1"/>
  <c r="G102" i="1"/>
  <c r="F135" i="1"/>
  <c r="G135" i="1"/>
  <c r="F125" i="1"/>
  <c r="G125" i="1"/>
  <c r="F96" i="1"/>
  <c r="G96" i="1"/>
  <c r="F32" i="1"/>
  <c r="G32" i="1"/>
  <c r="F27" i="1"/>
  <c r="G27" i="1"/>
  <c r="F137" i="1"/>
  <c r="G137" i="1"/>
  <c r="F109" i="1"/>
  <c r="G109" i="1"/>
  <c r="F69" i="1"/>
  <c r="G69" i="1"/>
  <c r="F59" i="1"/>
  <c r="G59" i="1"/>
  <c r="F49" i="1"/>
  <c r="G49" i="1"/>
  <c r="F71" i="1"/>
  <c r="G71" i="1"/>
  <c r="F131" i="1"/>
  <c r="G131" i="1"/>
  <c r="F116" i="1"/>
  <c r="G116" i="1"/>
  <c r="F28" i="1"/>
  <c r="G28" i="1"/>
  <c r="F41" i="1"/>
  <c r="G41" i="1"/>
  <c r="F43" i="1"/>
  <c r="G43" i="1"/>
  <c r="F60" i="1"/>
  <c r="G60" i="1"/>
  <c r="F118" i="1"/>
  <c r="G118" i="1"/>
  <c r="F136" i="1"/>
  <c r="G136" i="1"/>
  <c r="F134" i="1"/>
  <c r="G134" i="1"/>
  <c r="F132" i="1"/>
  <c r="G132" i="1"/>
  <c r="F129" i="1"/>
  <c r="G129" i="1"/>
  <c r="F122" i="1"/>
  <c r="G122" i="1"/>
  <c r="F121" i="1"/>
  <c r="G121" i="1"/>
  <c r="F120" i="1"/>
  <c r="G120" i="1"/>
  <c r="F18" i="1"/>
  <c r="G18" i="1"/>
  <c r="F22" i="1"/>
  <c r="G22" i="1"/>
  <c r="F110" i="1"/>
  <c r="G110" i="1"/>
  <c r="F104" i="1"/>
  <c r="G104" i="1"/>
  <c r="F94" i="1"/>
  <c r="G94" i="1"/>
  <c r="F92" i="1"/>
  <c r="G92" i="1"/>
  <c r="F86" i="1"/>
  <c r="G86" i="1"/>
  <c r="F89" i="1"/>
  <c r="G89" i="1"/>
  <c r="F95" i="1"/>
  <c r="G95" i="1"/>
  <c r="F119" i="1"/>
  <c r="G119" i="1"/>
  <c r="F31" i="1"/>
  <c r="G31" i="1"/>
  <c r="F75" i="1"/>
  <c r="G75" i="1"/>
  <c r="F76" i="1"/>
  <c r="G76" i="1"/>
  <c r="F83" i="1"/>
  <c r="G83" i="1"/>
  <c r="F80" i="1"/>
  <c r="G80" i="1"/>
  <c r="F78" i="1"/>
  <c r="G78" i="1"/>
  <c r="F18" i="3"/>
  <c r="G18" i="3"/>
  <c r="I18" i="3"/>
  <c r="J18" i="3"/>
  <c r="F19" i="3"/>
  <c r="G19" i="3"/>
  <c r="I19" i="3"/>
  <c r="F20" i="3"/>
  <c r="G20" i="3"/>
  <c r="I20" i="3"/>
  <c r="F21" i="3"/>
  <c r="G21" i="3"/>
  <c r="I21" i="3"/>
  <c r="F22" i="3"/>
  <c r="G22" i="3"/>
  <c r="I22" i="3"/>
  <c r="J22" i="3"/>
  <c r="F23" i="3"/>
  <c r="G23" i="3"/>
  <c r="I23" i="3"/>
  <c r="F24" i="3"/>
  <c r="G24" i="3"/>
  <c r="I24" i="3"/>
  <c r="F25" i="3"/>
  <c r="G25" i="3"/>
  <c r="I25" i="3"/>
  <c r="F26" i="3"/>
  <c r="G26" i="3"/>
  <c r="I26" i="3"/>
  <c r="J26" i="3"/>
  <c r="F27" i="3"/>
  <c r="G27" i="3"/>
  <c r="I27" i="3"/>
  <c r="F28" i="3"/>
  <c r="G28" i="3"/>
  <c r="I28" i="3"/>
  <c r="J28" i="3"/>
  <c r="F29" i="3"/>
  <c r="G29" i="3"/>
  <c r="I29" i="3"/>
  <c r="F30" i="3"/>
  <c r="G30" i="3"/>
  <c r="I30" i="3"/>
  <c r="F31" i="3"/>
  <c r="G31" i="3"/>
  <c r="I31" i="3"/>
  <c r="F32" i="3"/>
  <c r="G32" i="3"/>
  <c r="I32" i="3"/>
  <c r="F33" i="3"/>
  <c r="G33" i="3"/>
  <c r="I33" i="3"/>
  <c r="F34" i="3"/>
  <c r="G34" i="3"/>
  <c r="I34" i="3"/>
  <c r="J34" i="3"/>
  <c r="F35" i="3"/>
  <c r="G35" i="3"/>
  <c r="I35" i="3"/>
  <c r="F36" i="3"/>
  <c r="G36" i="3"/>
  <c r="I36" i="3"/>
  <c r="J36" i="3"/>
  <c r="F37" i="3"/>
  <c r="G37" i="3"/>
  <c r="I37" i="3"/>
  <c r="F38" i="3"/>
  <c r="G38" i="3"/>
  <c r="I38" i="3"/>
  <c r="F39" i="3"/>
  <c r="G39" i="3"/>
  <c r="I39" i="3"/>
  <c r="F40" i="3"/>
  <c r="G40" i="3"/>
  <c r="I40" i="3"/>
  <c r="F41" i="3"/>
  <c r="G41" i="3"/>
  <c r="I41" i="3"/>
  <c r="F42" i="3"/>
  <c r="G42" i="3"/>
  <c r="I42" i="3"/>
  <c r="F43" i="3"/>
  <c r="G43" i="3"/>
  <c r="I43" i="3"/>
  <c r="F44" i="3"/>
  <c r="G44" i="3"/>
  <c r="I44" i="3"/>
  <c r="F45" i="3"/>
  <c r="G45" i="3"/>
  <c r="I45" i="3"/>
  <c r="F46" i="3"/>
  <c r="G46" i="3"/>
  <c r="I46" i="3"/>
  <c r="F47" i="3"/>
  <c r="G47" i="3"/>
  <c r="I47" i="3"/>
  <c r="F48" i="3"/>
  <c r="G48" i="3"/>
  <c r="I48" i="3"/>
  <c r="F49" i="3"/>
  <c r="G49" i="3"/>
  <c r="I49" i="3"/>
  <c r="F50" i="3"/>
  <c r="G50" i="3"/>
  <c r="I50" i="3"/>
  <c r="F51" i="3"/>
  <c r="G51" i="3"/>
  <c r="I51" i="3"/>
  <c r="F52" i="3"/>
  <c r="G52" i="3"/>
  <c r="I52" i="3"/>
  <c r="J52" i="3"/>
  <c r="F53" i="3"/>
  <c r="G53" i="3"/>
  <c r="I53" i="3"/>
  <c r="F54" i="3"/>
  <c r="G54" i="3"/>
  <c r="I54" i="3"/>
  <c r="F55" i="3"/>
  <c r="G55" i="3"/>
  <c r="I55" i="3"/>
  <c r="F56" i="3"/>
  <c r="G56" i="3"/>
  <c r="I56" i="3"/>
  <c r="J56" i="3"/>
  <c r="F57" i="3"/>
  <c r="G57" i="3"/>
  <c r="I57" i="3"/>
  <c r="F58" i="3"/>
  <c r="G58" i="3"/>
  <c r="I58" i="3"/>
  <c r="F59" i="3"/>
  <c r="G59" i="3"/>
  <c r="I59" i="3"/>
  <c r="F60" i="3"/>
  <c r="G60" i="3"/>
  <c r="I60" i="3"/>
  <c r="F61" i="3"/>
  <c r="G61" i="3"/>
  <c r="I61" i="3"/>
  <c r="F62" i="3"/>
  <c r="G62" i="3"/>
  <c r="I62" i="3"/>
  <c r="F63" i="3"/>
  <c r="G63" i="3"/>
  <c r="I63" i="3"/>
  <c r="F64" i="3"/>
  <c r="G64" i="3"/>
  <c r="I64" i="3"/>
  <c r="F65" i="3"/>
  <c r="G65" i="3"/>
  <c r="I65" i="3"/>
  <c r="F66" i="3"/>
  <c r="G66" i="3"/>
  <c r="I66" i="3"/>
  <c r="J66" i="3"/>
  <c r="F67" i="3"/>
  <c r="G67" i="3"/>
  <c r="I67" i="3"/>
  <c r="F68" i="3"/>
  <c r="G68" i="3"/>
  <c r="I68" i="3"/>
  <c r="F69" i="3"/>
  <c r="G69" i="3"/>
  <c r="I69" i="3"/>
  <c r="F70" i="3"/>
  <c r="G70" i="3"/>
  <c r="I70" i="3"/>
  <c r="F71" i="3"/>
  <c r="G71" i="3"/>
  <c r="I71" i="3"/>
  <c r="F72" i="3"/>
  <c r="G72" i="3"/>
  <c r="I72" i="3"/>
  <c r="J72" i="3"/>
  <c r="F73" i="3"/>
  <c r="G73" i="3"/>
  <c r="I73" i="3"/>
  <c r="F74" i="3"/>
  <c r="G74" i="3"/>
  <c r="I74" i="3"/>
  <c r="F75" i="3"/>
  <c r="G75" i="3"/>
  <c r="I75" i="3"/>
  <c r="G76" i="3"/>
  <c r="I76" i="3"/>
  <c r="F77" i="3"/>
  <c r="G77" i="3"/>
  <c r="I77" i="3"/>
  <c r="F78" i="3"/>
  <c r="G78" i="3"/>
  <c r="I78" i="3"/>
  <c r="F79" i="3"/>
  <c r="G79" i="3"/>
  <c r="I79" i="3"/>
  <c r="F80" i="3"/>
  <c r="G80" i="3"/>
  <c r="I80" i="3"/>
  <c r="F81" i="3"/>
  <c r="G81" i="3"/>
  <c r="I81" i="3"/>
  <c r="F82" i="3"/>
  <c r="G82" i="3"/>
  <c r="I82" i="3"/>
  <c r="F83" i="3"/>
  <c r="G83" i="3"/>
  <c r="I83" i="3"/>
  <c r="F84" i="3"/>
  <c r="G84" i="3"/>
  <c r="I84" i="3"/>
  <c r="F85" i="3"/>
  <c r="G85" i="3"/>
  <c r="I85" i="3"/>
  <c r="F86" i="3"/>
  <c r="G86" i="3"/>
  <c r="I86" i="3"/>
  <c r="F87" i="3"/>
  <c r="G87" i="3"/>
  <c r="I87" i="3"/>
  <c r="F88" i="3"/>
  <c r="G88" i="3"/>
  <c r="I88" i="3"/>
  <c r="F89" i="3"/>
  <c r="G89" i="3"/>
  <c r="I89" i="3"/>
  <c r="F90" i="3"/>
  <c r="G90" i="3"/>
  <c r="I90" i="3"/>
  <c r="F91" i="3"/>
  <c r="G91" i="3"/>
  <c r="I91" i="3"/>
  <c r="F92" i="3"/>
  <c r="G92" i="3"/>
  <c r="I92" i="3"/>
  <c r="F93" i="3"/>
  <c r="G93" i="3"/>
  <c r="I93" i="3"/>
  <c r="F94" i="3"/>
  <c r="G94" i="3"/>
  <c r="I94" i="3"/>
  <c r="F95" i="3"/>
  <c r="G95" i="3"/>
  <c r="I95" i="3"/>
  <c r="F96" i="3"/>
  <c r="G96" i="3"/>
  <c r="I96" i="3"/>
  <c r="F97" i="3"/>
  <c r="G97" i="3"/>
  <c r="I97" i="3"/>
  <c r="F98" i="3"/>
  <c r="G98" i="3"/>
  <c r="I98" i="3"/>
  <c r="F99" i="3"/>
  <c r="G99" i="3"/>
  <c r="I99" i="3"/>
  <c r="F100" i="3"/>
  <c r="G100" i="3"/>
  <c r="I100" i="3"/>
  <c r="F101" i="3"/>
  <c r="G101" i="3"/>
  <c r="I101" i="3"/>
  <c r="F102" i="3"/>
  <c r="G102" i="3"/>
  <c r="I102" i="3"/>
  <c r="F103" i="3"/>
  <c r="G103" i="3"/>
  <c r="I103" i="3"/>
  <c r="F104" i="3"/>
  <c r="G104" i="3"/>
  <c r="I104" i="3"/>
  <c r="F105" i="3"/>
  <c r="G105" i="3"/>
  <c r="I105" i="3"/>
  <c r="F106" i="3"/>
  <c r="G106" i="3"/>
  <c r="I106" i="3"/>
  <c r="F107" i="3"/>
  <c r="G107" i="3"/>
  <c r="I107" i="3"/>
  <c r="F108" i="3"/>
  <c r="G108" i="3"/>
  <c r="I108" i="3"/>
  <c r="F109" i="3"/>
  <c r="G109" i="3"/>
  <c r="I109" i="3"/>
  <c r="F110" i="3"/>
  <c r="G110" i="3"/>
  <c r="I110" i="3"/>
  <c r="F111" i="3"/>
  <c r="G111" i="3"/>
  <c r="I111" i="3"/>
  <c r="F112" i="3"/>
  <c r="G112" i="3"/>
  <c r="I112" i="3"/>
  <c r="F113" i="3"/>
  <c r="G113" i="3"/>
  <c r="I113" i="3"/>
  <c r="F114" i="3"/>
  <c r="G114" i="3"/>
  <c r="I114" i="3"/>
  <c r="F115" i="3"/>
  <c r="G115" i="3"/>
  <c r="I115" i="3"/>
  <c r="F116" i="3"/>
  <c r="G116" i="3"/>
  <c r="I116" i="3"/>
  <c r="F117" i="3"/>
  <c r="G117" i="3"/>
  <c r="I117" i="3"/>
  <c r="F118" i="3"/>
  <c r="G118" i="3"/>
  <c r="I118" i="3"/>
  <c r="F119" i="3"/>
  <c r="G119" i="3"/>
  <c r="I119" i="3"/>
  <c r="F120" i="3"/>
  <c r="G120" i="3"/>
  <c r="I120" i="3"/>
  <c r="F121" i="3"/>
  <c r="G121" i="3"/>
  <c r="I121" i="3"/>
  <c r="F122" i="3"/>
  <c r="G122" i="3"/>
  <c r="I122" i="3"/>
  <c r="G123" i="3"/>
  <c r="I123" i="3"/>
  <c r="G124" i="3"/>
  <c r="I124" i="3"/>
  <c r="G125" i="3"/>
  <c r="G126" i="3"/>
  <c r="I126" i="3"/>
  <c r="G127" i="3"/>
  <c r="I127" i="3"/>
  <c r="G128" i="3"/>
  <c r="I128" i="3"/>
  <c r="G129" i="3"/>
  <c r="I129" i="3"/>
  <c r="G130" i="3"/>
  <c r="I130" i="3"/>
  <c r="I131" i="3"/>
  <c r="I132" i="3"/>
  <c r="G133" i="3"/>
  <c r="I133" i="3"/>
  <c r="G134" i="3"/>
  <c r="I134" i="3"/>
  <c r="G135" i="3"/>
  <c r="I135" i="3"/>
  <c r="G136" i="3"/>
  <c r="I136" i="3"/>
  <c r="G137" i="3"/>
  <c r="I137" i="3"/>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70" i="72"/>
  <c r="I71" i="72"/>
  <c r="I72" i="72"/>
  <c r="I73" i="72"/>
  <c r="I74" i="72"/>
  <c r="I75" i="72"/>
  <c r="J75" i="72"/>
  <c r="I76" i="72"/>
  <c r="J76" i="72"/>
  <c r="I77" i="72"/>
  <c r="J77" i="72"/>
  <c r="I78" i="72"/>
  <c r="J78" i="72"/>
  <c r="I79" i="72"/>
  <c r="J79" i="72"/>
  <c r="I80" i="72"/>
  <c r="J80" i="72"/>
  <c r="I81" i="72"/>
  <c r="J81" i="72"/>
  <c r="I82" i="72"/>
  <c r="J82" i="72"/>
  <c r="I83" i="72"/>
  <c r="J83" i="72"/>
  <c r="I84" i="72"/>
  <c r="J84" i="72"/>
  <c r="I85" i="72"/>
  <c r="I86" i="72"/>
  <c r="I87" i="72"/>
  <c r="I88" i="72"/>
  <c r="I89" i="72"/>
  <c r="I90" i="72"/>
  <c r="I91" i="72"/>
  <c r="I92" i="72"/>
  <c r="I93" i="72"/>
  <c r="I94" i="72"/>
  <c r="I95" i="72"/>
  <c r="I96" i="72"/>
  <c r="I97" i="72"/>
  <c r="J97" i="72"/>
  <c r="I98" i="72"/>
  <c r="J98" i="72"/>
  <c r="I99" i="72"/>
  <c r="J99" i="72"/>
  <c r="I100" i="72"/>
  <c r="J100" i="72"/>
  <c r="I101" i="72"/>
  <c r="J101" i="72"/>
  <c r="I102" i="72"/>
  <c r="J102" i="72"/>
  <c r="I103" i="72"/>
  <c r="J103" i="72"/>
  <c r="I104" i="72"/>
  <c r="J104" i="72"/>
  <c r="I105" i="72"/>
  <c r="J105" i="72"/>
  <c r="I106" i="72"/>
  <c r="J106" i="72"/>
  <c r="I107" i="72"/>
  <c r="J107" i="72"/>
  <c r="I108" i="72"/>
  <c r="J108" i="72"/>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F22" i="72"/>
  <c r="G22" i="72"/>
  <c r="F23" i="72"/>
  <c r="G23" i="72"/>
  <c r="F24" i="72"/>
  <c r="G24" i="72"/>
  <c r="F25" i="72"/>
  <c r="G25" i="72"/>
  <c r="F26" i="72"/>
  <c r="G26" i="72"/>
  <c r="F27" i="72"/>
  <c r="G27" i="72"/>
  <c r="F28" i="72"/>
  <c r="G28" i="72"/>
  <c r="F29" i="72"/>
  <c r="G29" i="72"/>
  <c r="F30" i="72"/>
  <c r="G30" i="72"/>
  <c r="F31" i="72"/>
  <c r="G31" i="72"/>
  <c r="F32" i="72"/>
  <c r="G32" i="72"/>
  <c r="F33" i="72"/>
  <c r="G33" i="72"/>
  <c r="F34" i="72"/>
  <c r="G34" i="72"/>
  <c r="F35" i="72"/>
  <c r="G35" i="72"/>
  <c r="F36" i="72"/>
  <c r="G36" i="72"/>
  <c r="F37" i="72"/>
  <c r="G37" i="72"/>
  <c r="F38" i="72"/>
  <c r="G38" i="72"/>
  <c r="F39" i="72"/>
  <c r="G39" i="72"/>
  <c r="F40" i="72"/>
  <c r="G40" i="72"/>
  <c r="F41" i="72"/>
  <c r="G41" i="72"/>
  <c r="F42" i="72"/>
  <c r="G42" i="72"/>
  <c r="F43" i="72"/>
  <c r="G43" i="72"/>
  <c r="F44" i="72"/>
  <c r="G44" i="72"/>
  <c r="F45" i="72"/>
  <c r="G45" i="72"/>
  <c r="F46" i="72"/>
  <c r="G46" i="72"/>
  <c r="F47" i="72"/>
  <c r="G47" i="72"/>
  <c r="F48" i="72"/>
  <c r="G48" i="72"/>
  <c r="F49" i="72"/>
  <c r="G49" i="72"/>
  <c r="F50" i="72"/>
  <c r="G50" i="72"/>
  <c r="F51" i="72"/>
  <c r="G51" i="72"/>
  <c r="F52" i="72"/>
  <c r="G52" i="72"/>
  <c r="F53" i="72"/>
  <c r="G53" i="72"/>
  <c r="F54" i="72"/>
  <c r="G54" i="72"/>
  <c r="F55" i="72"/>
  <c r="G55" i="72"/>
  <c r="F56" i="72"/>
  <c r="G56" i="72"/>
  <c r="F57" i="72"/>
  <c r="G57" i="72"/>
  <c r="F58" i="72"/>
  <c r="G58" i="72"/>
  <c r="F59" i="72"/>
  <c r="G59" i="72"/>
  <c r="F60" i="72"/>
  <c r="G60" i="72"/>
  <c r="F61" i="72"/>
  <c r="G61" i="72"/>
  <c r="F62" i="72"/>
  <c r="G62" i="72"/>
  <c r="F63" i="72"/>
  <c r="G63" i="72"/>
  <c r="G64" i="72"/>
  <c r="G66" i="72"/>
  <c r="G67" i="72"/>
  <c r="G68" i="72"/>
  <c r="G69" i="72"/>
  <c r="F70" i="72"/>
  <c r="G70" i="72"/>
  <c r="F71" i="72"/>
  <c r="G71" i="72"/>
  <c r="F72" i="72"/>
  <c r="G72" i="72"/>
  <c r="F73" i="72"/>
  <c r="G73" i="72"/>
  <c r="F74" i="72"/>
  <c r="G74" i="72"/>
  <c r="F75" i="72"/>
  <c r="G75" i="72"/>
  <c r="F76" i="72"/>
  <c r="G76" i="72"/>
  <c r="F77" i="72"/>
  <c r="G77" i="72"/>
  <c r="F78" i="72"/>
  <c r="G78" i="72"/>
  <c r="F79" i="72"/>
  <c r="G79" i="72"/>
  <c r="F80" i="72"/>
  <c r="G80" i="72"/>
  <c r="F81" i="72"/>
  <c r="G81" i="72"/>
  <c r="F82" i="72"/>
  <c r="G82" i="72"/>
  <c r="F83" i="72"/>
  <c r="G83" i="72"/>
  <c r="F84" i="72"/>
  <c r="G84" i="72"/>
  <c r="F85" i="72"/>
  <c r="G85" i="72"/>
  <c r="F86" i="72"/>
  <c r="G86" i="72"/>
  <c r="F87" i="72"/>
  <c r="G87" i="72"/>
  <c r="F88" i="72"/>
  <c r="G88" i="72"/>
  <c r="F89" i="72"/>
  <c r="G89" i="72"/>
  <c r="F90" i="72"/>
  <c r="G90" i="72"/>
  <c r="F91" i="72"/>
  <c r="G91" i="72"/>
  <c r="F92" i="72"/>
  <c r="G92" i="72"/>
  <c r="F93" i="72"/>
  <c r="G93" i="72"/>
  <c r="F94" i="72"/>
  <c r="G94" i="72"/>
  <c r="F95" i="72"/>
  <c r="G95" i="72"/>
  <c r="F96" i="72"/>
  <c r="G96" i="72"/>
  <c r="F97" i="72"/>
  <c r="G97" i="72"/>
  <c r="F98" i="72"/>
  <c r="G98" i="72"/>
  <c r="F99" i="72"/>
  <c r="G99" i="72"/>
  <c r="F100" i="72"/>
  <c r="G100" i="72"/>
  <c r="F101" i="72"/>
  <c r="G101" i="72"/>
  <c r="F102" i="72"/>
  <c r="G102" i="72"/>
  <c r="F103" i="72"/>
  <c r="G103" i="72"/>
  <c r="F104" i="72"/>
  <c r="G104" i="72"/>
  <c r="F105" i="72"/>
  <c r="G105" i="72"/>
  <c r="F106" i="72"/>
  <c r="G106" i="72"/>
  <c r="F107" i="72"/>
  <c r="G107" i="72"/>
  <c r="F108" i="72"/>
  <c r="G108" i="72"/>
  <c r="F109" i="72"/>
  <c r="G109" i="72"/>
  <c r="F110" i="72"/>
  <c r="G110" i="72"/>
  <c r="F111" i="72"/>
  <c r="G111" i="72"/>
  <c r="F112" i="72"/>
  <c r="G112" i="72"/>
  <c r="F113" i="72"/>
  <c r="G113" i="72"/>
  <c r="F114" i="72"/>
  <c r="G114" i="72"/>
  <c r="F115" i="72"/>
  <c r="G115" i="72"/>
  <c r="F116" i="72"/>
  <c r="G116" i="72"/>
  <c r="F117" i="72"/>
  <c r="G117" i="72"/>
  <c r="F118" i="72"/>
  <c r="G118" i="72"/>
  <c r="F119" i="72"/>
  <c r="G119" i="72"/>
  <c r="F120" i="72"/>
  <c r="G120" i="72"/>
  <c r="F121" i="72"/>
  <c r="G121" i="72"/>
  <c r="F122" i="72"/>
  <c r="G122" i="72"/>
  <c r="F123" i="72"/>
  <c r="G123" i="72"/>
  <c r="F124" i="72"/>
  <c r="G124" i="72"/>
  <c r="F125" i="72"/>
  <c r="G125" i="72"/>
  <c r="F126" i="72"/>
  <c r="G126" i="72"/>
  <c r="F127" i="72"/>
  <c r="G127" i="72"/>
  <c r="F128" i="72"/>
  <c r="G128" i="72"/>
  <c r="F129" i="72"/>
  <c r="G129" i="72"/>
  <c r="F130" i="72"/>
  <c r="G130" i="72"/>
  <c r="F131" i="72"/>
  <c r="G131" i="72"/>
  <c r="F132" i="72"/>
  <c r="G132" i="72"/>
  <c r="F133" i="72"/>
  <c r="G133" i="72"/>
  <c r="F134" i="72"/>
  <c r="G134" i="72"/>
  <c r="F135" i="72"/>
  <c r="G135" i="72"/>
  <c r="F136" i="72"/>
  <c r="G136" i="72"/>
  <c r="F137" i="72"/>
  <c r="G137" i="72"/>
  <c r="F21" i="72"/>
  <c r="G21" i="72"/>
  <c r="F18" i="72"/>
  <c r="G18" i="72"/>
  <c r="F19" i="72"/>
  <c r="G19" i="72"/>
  <c r="F20" i="72"/>
  <c r="G20" i="72"/>
  <c r="J136" i="72"/>
  <c r="I136" i="1"/>
  <c r="J120" i="72"/>
  <c r="I120" i="1"/>
  <c r="J112" i="72"/>
  <c r="I112" i="1"/>
  <c r="J88" i="72"/>
  <c r="I88" i="1"/>
  <c r="J72" i="72"/>
  <c r="I72" i="1"/>
  <c r="I57" i="1"/>
  <c r="J41" i="72"/>
  <c r="I41" i="1"/>
  <c r="J41" i="1"/>
  <c r="J18" i="72"/>
  <c r="J131" i="72"/>
  <c r="I131" i="1"/>
  <c r="J123" i="72"/>
  <c r="I123" i="1"/>
  <c r="J115" i="72"/>
  <c r="I115" i="1"/>
  <c r="J91" i="72"/>
  <c r="I91" i="1"/>
  <c r="J67" i="72"/>
  <c r="I67" i="1"/>
  <c r="J59" i="72"/>
  <c r="I59" i="1"/>
  <c r="J52" i="72"/>
  <c r="I52" i="1"/>
  <c r="J52" i="1"/>
  <c r="J44" i="72"/>
  <c r="I44" i="1"/>
  <c r="J44" i="1"/>
  <c r="J36" i="72"/>
  <c r="J28" i="72"/>
  <c r="I21" i="1"/>
  <c r="J21" i="1"/>
  <c r="J130" i="72"/>
  <c r="I130" i="1"/>
  <c r="J122" i="72"/>
  <c r="I122" i="1"/>
  <c r="J114" i="72"/>
  <c r="I114" i="1"/>
  <c r="J114" i="1"/>
  <c r="J90" i="72"/>
  <c r="I90" i="1"/>
  <c r="J74" i="72"/>
  <c r="J66" i="72"/>
  <c r="I66" i="1"/>
  <c r="J58" i="72"/>
  <c r="I58" i="1"/>
  <c r="J58" i="1"/>
  <c r="J51" i="72"/>
  <c r="I51" i="1"/>
  <c r="J43" i="72"/>
  <c r="J35" i="72"/>
  <c r="I35" i="1"/>
  <c r="J35" i="1"/>
  <c r="J27" i="72"/>
  <c r="I27" i="1"/>
  <c r="J137" i="72"/>
  <c r="I137" i="1"/>
  <c r="J129" i="72"/>
  <c r="I129" i="1"/>
  <c r="J121" i="72"/>
  <c r="I121" i="1"/>
  <c r="J113" i="72"/>
  <c r="I113" i="1"/>
  <c r="J113" i="1"/>
  <c r="J89" i="72"/>
  <c r="I89" i="1"/>
  <c r="J73" i="72"/>
  <c r="I73" i="1"/>
  <c r="J73" i="1"/>
  <c r="J65" i="72"/>
  <c r="I65" i="1"/>
  <c r="J57" i="72"/>
  <c r="J50" i="72"/>
  <c r="I50" i="1"/>
  <c r="J42" i="72"/>
  <c r="I42" i="1"/>
  <c r="J34" i="72"/>
  <c r="I34" i="1"/>
  <c r="J34" i="1"/>
  <c r="J26" i="72"/>
  <c r="J19" i="72"/>
  <c r="I19" i="1"/>
  <c r="J19" i="1"/>
  <c r="J128" i="72"/>
  <c r="I128" i="1"/>
  <c r="J96" i="72"/>
  <c r="I96" i="1"/>
  <c r="J135" i="72"/>
  <c r="I135" i="1"/>
  <c r="J127" i="72"/>
  <c r="I127" i="1"/>
  <c r="J111" i="72"/>
  <c r="J95" i="72"/>
  <c r="I95" i="1"/>
  <c r="J63" i="72"/>
  <c r="I63" i="1"/>
  <c r="J48" i="72"/>
  <c r="I48" i="1"/>
  <c r="J40" i="72"/>
  <c r="J32" i="72"/>
  <c r="J126" i="72"/>
  <c r="I126" i="1"/>
  <c r="J47" i="72"/>
  <c r="I47" i="1"/>
  <c r="J125" i="72"/>
  <c r="I125" i="1"/>
  <c r="J117" i="72"/>
  <c r="I117" i="1"/>
  <c r="J93" i="72"/>
  <c r="I93" i="1"/>
  <c r="J85" i="72"/>
  <c r="J69" i="72"/>
  <c r="I69" i="1"/>
  <c r="J61" i="72"/>
  <c r="I61" i="1"/>
  <c r="J54" i="72"/>
  <c r="I54" i="1"/>
  <c r="J38" i="72"/>
  <c r="J30" i="72"/>
  <c r="I30" i="1"/>
  <c r="J22" i="72"/>
  <c r="I22" i="1"/>
  <c r="J64" i="72"/>
  <c r="I64" i="1"/>
  <c r="J49" i="72"/>
  <c r="I49" i="1"/>
  <c r="J49" i="1"/>
  <c r="J33" i="72"/>
  <c r="J25" i="72"/>
  <c r="I25" i="1"/>
  <c r="J119" i="72"/>
  <c r="I119" i="1"/>
  <c r="I87" i="1"/>
  <c r="J71" i="72"/>
  <c r="I71" i="1"/>
  <c r="J56" i="72"/>
  <c r="I56" i="1"/>
  <c r="J56" i="1"/>
  <c r="J24" i="72"/>
  <c r="I24" i="1"/>
  <c r="J134" i="72"/>
  <c r="I134" i="1"/>
  <c r="J118" i="72"/>
  <c r="I118" i="1"/>
  <c r="J110" i="72"/>
  <c r="I110" i="1"/>
  <c r="J94" i="72"/>
  <c r="J86" i="72"/>
  <c r="I86" i="1"/>
  <c r="J70" i="72"/>
  <c r="I70" i="1"/>
  <c r="J62" i="72"/>
  <c r="J55" i="72"/>
  <c r="I55" i="1"/>
  <c r="J55" i="1"/>
  <c r="J39" i="72"/>
  <c r="I39" i="1"/>
  <c r="J39" i="1"/>
  <c r="J31" i="72"/>
  <c r="I31" i="1"/>
  <c r="J31" i="1"/>
  <c r="J23" i="72"/>
  <c r="I23" i="1"/>
  <c r="J133" i="72"/>
  <c r="I133" i="1"/>
  <c r="J109" i="72"/>
  <c r="I109" i="1"/>
  <c r="J109" i="1"/>
  <c r="J46" i="72"/>
  <c r="J132" i="72"/>
  <c r="I132" i="1"/>
  <c r="J124" i="72"/>
  <c r="I124" i="1"/>
  <c r="J116" i="72"/>
  <c r="I116" i="1"/>
  <c r="J92" i="72"/>
  <c r="I92" i="1"/>
  <c r="J68" i="72"/>
  <c r="I68" i="1"/>
  <c r="J60" i="72"/>
  <c r="J53" i="72"/>
  <c r="I53" i="1"/>
  <c r="J53" i="1"/>
  <c r="J45" i="72"/>
  <c r="I45" i="1"/>
  <c r="J45" i="1"/>
  <c r="J37" i="72"/>
  <c r="I37" i="1"/>
  <c r="J29" i="72"/>
  <c r="I29" i="1"/>
  <c r="J21" i="72"/>
  <c r="J20" i="72"/>
  <c r="I83" i="1"/>
  <c r="I82" i="1"/>
  <c r="I84" i="1"/>
  <c r="J84" i="1"/>
  <c r="I81" i="1"/>
  <c r="I80" i="1"/>
  <c r="I76" i="1"/>
  <c r="J76" i="1"/>
  <c r="I77" i="1"/>
  <c r="J77" i="1"/>
  <c r="I78" i="1"/>
  <c r="J78" i="1"/>
  <c r="I75" i="1"/>
  <c r="I97" i="1"/>
  <c r="I105" i="1"/>
  <c r="I101" i="1"/>
  <c r="J101" i="1"/>
  <c r="I107" i="1"/>
  <c r="I108" i="1"/>
  <c r="J108" i="1"/>
  <c r="I100" i="1"/>
  <c r="I106" i="1"/>
  <c r="I102" i="1"/>
  <c r="I98" i="1"/>
  <c r="I104" i="1"/>
  <c r="E16" i="29"/>
  <c r="D16" i="18"/>
  <c r="E16" i="18"/>
  <c r="D17" i="18"/>
  <c r="E17" i="18"/>
  <c r="D16" i="1"/>
  <c r="E16" i="1"/>
  <c r="H16" i="1"/>
  <c r="D17" i="1"/>
  <c r="E17" i="1"/>
  <c r="F17" i="1"/>
  <c r="G17" i="1"/>
  <c r="H17" i="1"/>
  <c r="I17" i="33"/>
  <c r="J17" i="33"/>
  <c r="F17" i="33"/>
  <c r="G17" i="33"/>
  <c r="J16" i="33"/>
  <c r="F16" i="33"/>
  <c r="G16" i="33"/>
  <c r="I17" i="32"/>
  <c r="J17" i="32"/>
  <c r="F17" i="32"/>
  <c r="G17" i="32"/>
  <c r="I16" i="32"/>
  <c r="J16" i="32"/>
  <c r="G16" i="32"/>
  <c r="I17" i="31"/>
  <c r="F17" i="31"/>
  <c r="G17" i="31"/>
  <c r="I16" i="31"/>
  <c r="F16" i="31"/>
  <c r="G16" i="31"/>
  <c r="I17" i="28"/>
  <c r="J17" i="28"/>
  <c r="F17" i="28"/>
  <c r="G17" i="28"/>
  <c r="I16" i="28"/>
  <c r="J16" i="28"/>
  <c r="F16" i="28"/>
  <c r="G16" i="28"/>
  <c r="I17" i="27"/>
  <c r="F17" i="27"/>
  <c r="I16" i="27"/>
  <c r="J16" i="27"/>
  <c r="F16" i="27"/>
  <c r="G16" i="27"/>
  <c r="F17" i="26"/>
  <c r="G17" i="26"/>
  <c r="F16" i="26"/>
  <c r="G16" i="26" s="1"/>
  <c r="I17" i="19"/>
  <c r="J17" i="19" s="1"/>
  <c r="F17" i="19"/>
  <c r="G17" i="19" s="1"/>
  <c r="I16" i="19"/>
  <c r="J16" i="19" s="1"/>
  <c r="F16" i="19"/>
  <c r="G16" i="19"/>
  <c r="I17" i="20"/>
  <c r="J17" i="20" s="1"/>
  <c r="F17" i="20"/>
  <c r="G17" i="20" s="1"/>
  <c r="I16" i="20"/>
  <c r="J16" i="20" s="1"/>
  <c r="F16" i="20"/>
  <c r="G16" i="20" s="1"/>
  <c r="I17" i="21"/>
  <c r="J17" i="21" s="1"/>
  <c r="F17" i="21"/>
  <c r="G17" i="21" s="1"/>
  <c r="I16" i="21"/>
  <c r="F16" i="21"/>
  <c r="G16" i="21" s="1"/>
  <c r="I17" i="4"/>
  <c r="J17" i="4"/>
  <c r="I16" i="4"/>
  <c r="J16" i="4"/>
  <c r="F16" i="3"/>
  <c r="G16" i="3"/>
  <c r="I16" i="3"/>
  <c r="F17" i="3"/>
  <c r="G17" i="3"/>
  <c r="I17" i="3"/>
  <c r="F16" i="72"/>
  <c r="G16" i="72"/>
  <c r="I16" i="72"/>
  <c r="J16" i="72"/>
  <c r="F17" i="72"/>
  <c r="G17" i="72"/>
  <c r="I17" i="72"/>
  <c r="J17" i="72"/>
  <c r="F15" i="72"/>
  <c r="G15" i="72"/>
  <c r="F14" i="72"/>
  <c r="G14" i="72"/>
  <c r="F13" i="72"/>
  <c r="G13" i="72"/>
  <c r="F12" i="72"/>
  <c r="G12" i="72"/>
  <c r="F11" i="72"/>
  <c r="G11" i="72"/>
  <c r="F10" i="72"/>
  <c r="G10" i="72"/>
  <c r="F9" i="72"/>
  <c r="G9" i="72"/>
  <c r="F8" i="72"/>
  <c r="G8" i="72"/>
  <c r="F7" i="72"/>
  <c r="G7" i="72"/>
  <c r="F6" i="72"/>
  <c r="G6" i="72"/>
  <c r="F5" i="72"/>
  <c r="G5" i="72"/>
  <c r="F4" i="72"/>
  <c r="G4" i="72"/>
  <c r="B4" i="33" a="1"/>
  <c r="B4" i="33"/>
  <c r="A4" i="33" a="1"/>
  <c r="A4" i="33"/>
  <c r="B4" i="32" a="1"/>
  <c r="B4" i="32"/>
  <c r="A4" i="32" a="1"/>
  <c r="A4" i="32"/>
  <c r="B4" i="31" a="1"/>
  <c r="B4" i="31"/>
  <c r="A4" i="31" a="1"/>
  <c r="A4" i="31"/>
  <c r="B4" i="19" a="1"/>
  <c r="B4" i="19"/>
  <c r="A4" i="19" a="1"/>
  <c r="A4" i="19"/>
  <c r="B4" i="20" a="1"/>
  <c r="B4" i="20"/>
  <c r="A4" i="20" a="1"/>
  <c r="A4" i="20"/>
  <c r="B4" i="21" a="1"/>
  <c r="B4" i="21" s="1"/>
  <c r="A4" i="21" a="1"/>
  <c r="A4" i="21" s="1"/>
  <c r="B4" i="4" a="1"/>
  <c r="B4" i="4"/>
  <c r="A4" i="4" a="1"/>
  <c r="A4" i="4"/>
  <c r="B4" i="3" a="1"/>
  <c r="B4" i="3"/>
  <c r="A4" i="3" a="1"/>
  <c r="A4" i="3"/>
  <c r="B4" i="27" a="1"/>
  <c r="B4" i="27"/>
  <c r="A4" i="27" a="1"/>
  <c r="A4" i="27"/>
  <c r="B4" i="26" a="1"/>
  <c r="B4" i="26" s="1"/>
  <c r="A4" i="26" a="1"/>
  <c r="A4" i="26" s="1"/>
  <c r="A4" i="72" a="1"/>
  <c r="A4" i="72"/>
  <c r="A4" i="30" a="1"/>
  <c r="A4" i="30"/>
  <c r="B4" i="72" a="1"/>
  <c r="B4" i="72"/>
  <c r="F4" i="3"/>
  <c r="G4" i="3"/>
  <c r="I4" i="3"/>
  <c r="J4" i="3"/>
  <c r="F5" i="3"/>
  <c r="G5" i="3"/>
  <c r="I5" i="3"/>
  <c r="J5" i="3"/>
  <c r="F6" i="3"/>
  <c r="G6" i="3"/>
  <c r="I6" i="3"/>
  <c r="F7" i="3"/>
  <c r="G7" i="3"/>
  <c r="I7" i="3"/>
  <c r="F8" i="3"/>
  <c r="G8" i="3"/>
  <c r="I8" i="3"/>
  <c r="J8" i="3"/>
  <c r="F9" i="3"/>
  <c r="G9" i="3"/>
  <c r="I9" i="3"/>
  <c r="F10" i="3"/>
  <c r="G10" i="3"/>
  <c r="I10" i="3"/>
  <c r="F11" i="3"/>
  <c r="G11" i="3"/>
  <c r="I11" i="3"/>
  <c r="F12" i="3"/>
  <c r="G12" i="3"/>
  <c r="I12" i="3"/>
  <c r="J12" i="3"/>
  <c r="F13" i="3"/>
  <c r="G13" i="3"/>
  <c r="I13" i="3"/>
  <c r="F14" i="3"/>
  <c r="G14" i="3"/>
  <c r="I14" i="3"/>
  <c r="F15" i="3"/>
  <c r="G15" i="3"/>
  <c r="I15" i="3"/>
  <c r="H6" i="1"/>
  <c r="H7" i="1"/>
  <c r="H8" i="1"/>
  <c r="H9" i="1"/>
  <c r="H10" i="1"/>
  <c r="H11" i="1"/>
  <c r="H12" i="1"/>
  <c r="H13" i="1"/>
  <c r="H14" i="1"/>
  <c r="H15" i="1"/>
  <c r="H5" i="1"/>
  <c r="H4" i="1"/>
  <c r="B4" i="34" a="1"/>
  <c r="B4" i="34"/>
  <c r="A4" i="34" a="1"/>
  <c r="A4" i="34"/>
  <c r="A1" i="34" a="1"/>
  <c r="A1" i="34"/>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F5" i="29" s="1"/>
  <c r="G5" i="29" s="1"/>
  <c r="E4" i="29"/>
  <c r="D4" i="29"/>
  <c r="F4" i="29" s="1"/>
  <c r="G4" i="29" s="1"/>
  <c r="E15" i="18"/>
  <c r="D15" i="18"/>
  <c r="D15" i="34" s="1"/>
  <c r="E14" i="18"/>
  <c r="D14" i="18"/>
  <c r="D14" i="34" s="1"/>
  <c r="E13" i="18"/>
  <c r="D13" i="18"/>
  <c r="E12" i="18"/>
  <c r="E12" i="34" s="1"/>
  <c r="D12" i="18"/>
  <c r="E11" i="18"/>
  <c r="D11" i="18"/>
  <c r="E10" i="18"/>
  <c r="E10" i="34" s="1"/>
  <c r="D10" i="18"/>
  <c r="D10" i="34" s="1"/>
  <c r="E9" i="18"/>
  <c r="D9" i="18"/>
  <c r="D9" i="34" s="1"/>
  <c r="E8" i="18"/>
  <c r="E8" i="34" s="1"/>
  <c r="D8" i="18"/>
  <c r="E7" i="18"/>
  <c r="E7" i="34" s="1"/>
  <c r="D7" i="18"/>
  <c r="D7" i="34" s="1"/>
  <c r="E6" i="18"/>
  <c r="D6" i="18"/>
  <c r="E5" i="18"/>
  <c r="D5" i="18"/>
  <c r="E4" i="18"/>
  <c r="D4" i="18"/>
  <c r="B4" i="30" a="1"/>
  <c r="B4" i="30"/>
  <c r="A1" i="30" a="1"/>
  <c r="A1" i="30"/>
  <c r="B4" i="29" a="1"/>
  <c r="B4" i="29"/>
  <c r="A4" i="29" a="1"/>
  <c r="A4" i="29"/>
  <c r="A1" i="29" a="1"/>
  <c r="A1" i="29"/>
  <c r="B4" i="18" a="1"/>
  <c r="B4" i="18"/>
  <c r="A4" i="18" a="1"/>
  <c r="A4" i="18"/>
  <c r="A1" i="18" a="1"/>
  <c r="A1" i="18"/>
  <c r="D15" i="1"/>
  <c r="D14" i="1"/>
  <c r="D13" i="1"/>
  <c r="D12" i="1"/>
  <c r="D11" i="1"/>
  <c r="E11" i="1"/>
  <c r="F11" i="1"/>
  <c r="G11" i="1"/>
  <c r="D10" i="1"/>
  <c r="D9" i="1"/>
  <c r="D8" i="1"/>
  <c r="D7" i="1"/>
  <c r="D6" i="1"/>
  <c r="D5" i="1"/>
  <c r="D4" i="1"/>
  <c r="E6" i="1"/>
  <c r="E7" i="1"/>
  <c r="E8" i="1"/>
  <c r="E9" i="1"/>
  <c r="E10" i="1"/>
  <c r="E12" i="1"/>
  <c r="E13" i="1"/>
  <c r="E14" i="1"/>
  <c r="E15" i="1"/>
  <c r="F15" i="1"/>
  <c r="G15" i="1"/>
  <c r="E5" i="1"/>
  <c r="E4" i="1"/>
  <c r="B4" i="1" a="1"/>
  <c r="B4" i="1"/>
  <c r="A4" i="1" a="1"/>
  <c r="A4" i="1"/>
  <c r="A1" i="1" a="1"/>
  <c r="A1" i="1"/>
  <c r="I15" i="33"/>
  <c r="J15" i="33"/>
  <c r="F15" i="33"/>
  <c r="G15" i="33"/>
  <c r="I14" i="33"/>
  <c r="J14" i="33"/>
  <c r="F14" i="33"/>
  <c r="G14" i="33"/>
  <c r="I13" i="33"/>
  <c r="J13" i="33"/>
  <c r="F13" i="33"/>
  <c r="G13" i="33"/>
  <c r="I12" i="33"/>
  <c r="J12" i="33"/>
  <c r="F12" i="33"/>
  <c r="G12" i="33"/>
  <c r="I11" i="33"/>
  <c r="J11" i="33"/>
  <c r="F11" i="33"/>
  <c r="G11" i="33"/>
  <c r="I10" i="33"/>
  <c r="J10" i="33"/>
  <c r="F10" i="33"/>
  <c r="G10" i="33"/>
  <c r="I9" i="33"/>
  <c r="J9" i="33"/>
  <c r="F9" i="33"/>
  <c r="G9" i="33"/>
  <c r="I8" i="33"/>
  <c r="J8" i="33"/>
  <c r="F8" i="33"/>
  <c r="G8" i="33"/>
  <c r="I7" i="33"/>
  <c r="J7" i="33"/>
  <c r="F7" i="33"/>
  <c r="G7" i="33"/>
  <c r="I6" i="33"/>
  <c r="J6" i="33"/>
  <c r="F6" i="33"/>
  <c r="G6" i="33"/>
  <c r="I5" i="33"/>
  <c r="J5" i="33"/>
  <c r="F5" i="33"/>
  <c r="G5" i="33"/>
  <c r="I4" i="33"/>
  <c r="J4" i="33"/>
  <c r="F4" i="33"/>
  <c r="G4" i="33"/>
  <c r="H2" i="33"/>
  <c r="E2" i="33"/>
  <c r="D2" i="33"/>
  <c r="A1" i="33" a="1"/>
  <c r="A1" i="33"/>
  <c r="I15" i="32"/>
  <c r="J15" i="32"/>
  <c r="F15" i="32"/>
  <c r="G15" i="32"/>
  <c r="I14" i="32"/>
  <c r="J14" i="32"/>
  <c r="F14" i="32"/>
  <c r="G14" i="32"/>
  <c r="I13" i="32"/>
  <c r="J13" i="32"/>
  <c r="F13" i="32"/>
  <c r="G13" i="32"/>
  <c r="I12" i="32"/>
  <c r="J12" i="32"/>
  <c r="F12" i="32"/>
  <c r="G12" i="32"/>
  <c r="I11" i="32"/>
  <c r="J11" i="32"/>
  <c r="F11" i="32"/>
  <c r="G11" i="32"/>
  <c r="I10" i="32"/>
  <c r="J10" i="32"/>
  <c r="F10" i="32"/>
  <c r="G10" i="32"/>
  <c r="I9" i="32"/>
  <c r="J9" i="32"/>
  <c r="F9" i="32"/>
  <c r="G9" i="32"/>
  <c r="I8" i="32"/>
  <c r="J8" i="32"/>
  <c r="F8" i="32"/>
  <c r="G8" i="32"/>
  <c r="I7" i="32"/>
  <c r="J7" i="32"/>
  <c r="F7" i="32"/>
  <c r="G7" i="32"/>
  <c r="I6" i="32"/>
  <c r="J6" i="32"/>
  <c r="F6" i="32"/>
  <c r="G6" i="32"/>
  <c r="I5" i="32"/>
  <c r="J5" i="32"/>
  <c r="F5" i="32"/>
  <c r="G5" i="32"/>
  <c r="I4" i="32"/>
  <c r="J4" i="32"/>
  <c r="F4" i="32"/>
  <c r="G4" i="32"/>
  <c r="H2" i="32"/>
  <c r="E2" i="32"/>
  <c r="D2" i="32"/>
  <c r="A1" i="32" a="1"/>
  <c r="A1" i="32"/>
  <c r="I15" i="31"/>
  <c r="J15" i="31"/>
  <c r="F15" i="31"/>
  <c r="G15" i="31"/>
  <c r="I14" i="31"/>
  <c r="J14" i="31"/>
  <c r="F14" i="31"/>
  <c r="G14" i="31"/>
  <c r="I13" i="31"/>
  <c r="J13" i="31"/>
  <c r="F13" i="31"/>
  <c r="G13" i="31"/>
  <c r="I12" i="31"/>
  <c r="J12" i="31"/>
  <c r="F12" i="31"/>
  <c r="G12" i="31"/>
  <c r="I11" i="31"/>
  <c r="J11" i="31"/>
  <c r="F11" i="31"/>
  <c r="G11" i="31"/>
  <c r="I10" i="31"/>
  <c r="J10" i="31"/>
  <c r="F10" i="31"/>
  <c r="G10" i="31"/>
  <c r="I9" i="31"/>
  <c r="J9" i="31"/>
  <c r="F9" i="31"/>
  <c r="G9" i="31"/>
  <c r="I8" i="31"/>
  <c r="J8" i="31"/>
  <c r="F8" i="31"/>
  <c r="G8" i="31"/>
  <c r="I7" i="31"/>
  <c r="J7" i="31"/>
  <c r="F7" i="31"/>
  <c r="G7" i="31"/>
  <c r="I6" i="31"/>
  <c r="J6" i="31"/>
  <c r="F6" i="31"/>
  <c r="G6" i="31"/>
  <c r="I5" i="31"/>
  <c r="J5" i="31"/>
  <c r="F5" i="31"/>
  <c r="G5" i="31"/>
  <c r="I4" i="31"/>
  <c r="J4" i="31"/>
  <c r="F4" i="31"/>
  <c r="G4" i="31"/>
  <c r="E2" i="31"/>
  <c r="A1" i="31" a="1"/>
  <c r="A1" i="31"/>
  <c r="I15" i="28"/>
  <c r="J15" i="28"/>
  <c r="F15" i="28"/>
  <c r="G15" i="28"/>
  <c r="I14" i="28"/>
  <c r="J14" i="28"/>
  <c r="F14" i="28"/>
  <c r="G14" i="28"/>
  <c r="I13" i="28"/>
  <c r="J13" i="28"/>
  <c r="F13" i="28"/>
  <c r="G13" i="28"/>
  <c r="I12" i="28"/>
  <c r="J12" i="28"/>
  <c r="F12" i="28"/>
  <c r="G12" i="28"/>
  <c r="I11" i="28"/>
  <c r="J11" i="28"/>
  <c r="F11" i="28"/>
  <c r="G11" i="28"/>
  <c r="I10" i="28"/>
  <c r="J10" i="28"/>
  <c r="F10" i="28"/>
  <c r="G10" i="28"/>
  <c r="I9" i="28"/>
  <c r="J9" i="28"/>
  <c r="F9" i="28"/>
  <c r="G9" i="28"/>
  <c r="I8" i="28"/>
  <c r="J8" i="28"/>
  <c r="F8" i="28"/>
  <c r="G8" i="28"/>
  <c r="I7" i="28"/>
  <c r="J7" i="28"/>
  <c r="F7" i="28"/>
  <c r="G7" i="28"/>
  <c r="I6" i="28"/>
  <c r="J6" i="28"/>
  <c r="F6" i="28"/>
  <c r="G6" i="28"/>
  <c r="I5" i="28"/>
  <c r="J5" i="28"/>
  <c r="F5" i="28"/>
  <c r="G5" i="28"/>
  <c r="I4" i="28"/>
  <c r="J4" i="28"/>
  <c r="F4" i="28"/>
  <c r="G4" i="28"/>
  <c r="B4" i="28" a="1"/>
  <c r="B4" i="28"/>
  <c r="A4" i="28" a="1"/>
  <c r="A4" i="28"/>
  <c r="E2" i="28"/>
  <c r="K2" i="28"/>
  <c r="A1" i="28" a="1"/>
  <c r="A1" i="28"/>
  <c r="I15" i="27"/>
  <c r="J15" i="27"/>
  <c r="F15" i="27"/>
  <c r="G15" i="27"/>
  <c r="I14" i="27"/>
  <c r="J14" i="27"/>
  <c r="F14" i="27"/>
  <c r="G14" i="27"/>
  <c r="I13" i="27"/>
  <c r="J13" i="27"/>
  <c r="F13" i="27"/>
  <c r="G13" i="27"/>
  <c r="I12" i="27"/>
  <c r="J12" i="27"/>
  <c r="F12" i="27"/>
  <c r="G12" i="27"/>
  <c r="I11" i="27"/>
  <c r="J11" i="27"/>
  <c r="F11" i="27"/>
  <c r="G11" i="27"/>
  <c r="I10" i="27"/>
  <c r="J10" i="27"/>
  <c r="F10" i="27"/>
  <c r="G10" i="27"/>
  <c r="I9" i="27"/>
  <c r="J9" i="27"/>
  <c r="F9" i="27"/>
  <c r="G9" i="27"/>
  <c r="I8" i="27"/>
  <c r="J8" i="27"/>
  <c r="F8" i="27"/>
  <c r="G8" i="27"/>
  <c r="I7" i="27"/>
  <c r="J7" i="27"/>
  <c r="F7" i="27"/>
  <c r="G7" i="27"/>
  <c r="I6" i="27"/>
  <c r="J6" i="27"/>
  <c r="F6" i="27"/>
  <c r="G6" i="27"/>
  <c r="I5" i="27"/>
  <c r="J5" i="27"/>
  <c r="F5" i="27"/>
  <c r="G5" i="27"/>
  <c r="I4" i="27"/>
  <c r="J4" i="27"/>
  <c r="F4" i="27"/>
  <c r="G4" i="27"/>
  <c r="E2" i="27"/>
  <c r="A1" i="27" a="1"/>
  <c r="A1" i="27"/>
  <c r="F15" i="26"/>
  <c r="G15" i="26" s="1"/>
  <c r="F14" i="26"/>
  <c r="G14" i="26"/>
  <c r="F13" i="26"/>
  <c r="G13" i="26" s="1"/>
  <c r="F12" i="26"/>
  <c r="G12" i="26" s="1"/>
  <c r="F11" i="26"/>
  <c r="G11" i="26" s="1"/>
  <c r="F10" i="26"/>
  <c r="G10" i="26" s="1"/>
  <c r="F9" i="26"/>
  <c r="G9" i="26" s="1"/>
  <c r="F8" i="26"/>
  <c r="G8" i="26"/>
  <c r="F7" i="26"/>
  <c r="G7" i="26"/>
  <c r="F6" i="26"/>
  <c r="G6" i="26"/>
  <c r="I5" i="26"/>
  <c r="I5" i="29" s="1"/>
  <c r="J5" i="26"/>
  <c r="F5" i="26"/>
  <c r="G5" i="26" s="1"/>
  <c r="I4" i="26"/>
  <c r="J4" i="26"/>
  <c r="F4" i="26"/>
  <c r="G4" i="26"/>
  <c r="E2" i="26"/>
  <c r="A1" i="26" a="1"/>
  <c r="A1" i="26"/>
  <c r="I15" i="19"/>
  <c r="J15" i="19"/>
  <c r="F15" i="19"/>
  <c r="G15" i="19" s="1"/>
  <c r="I14" i="19"/>
  <c r="J14" i="19" s="1"/>
  <c r="F14" i="19"/>
  <c r="G14" i="19"/>
  <c r="I13" i="19"/>
  <c r="J13" i="19" s="1"/>
  <c r="F13" i="19"/>
  <c r="G13" i="19" s="1"/>
  <c r="I12" i="19"/>
  <c r="J12" i="19" s="1"/>
  <c r="F12" i="19"/>
  <c r="G12" i="19" s="1"/>
  <c r="I11" i="19"/>
  <c r="J11" i="19" s="1"/>
  <c r="F11" i="19"/>
  <c r="G11" i="19"/>
  <c r="I10" i="19"/>
  <c r="J10" i="19" s="1"/>
  <c r="F10" i="19"/>
  <c r="G10" i="19" s="1"/>
  <c r="I9" i="19"/>
  <c r="J9" i="19" s="1"/>
  <c r="F9" i="19"/>
  <c r="G9" i="19"/>
  <c r="I8" i="19"/>
  <c r="I8" i="18" s="1"/>
  <c r="J8" i="19"/>
  <c r="F8" i="19"/>
  <c r="G8" i="19" s="1"/>
  <c r="I7" i="19"/>
  <c r="J7" i="19"/>
  <c r="F7" i="19"/>
  <c r="G7" i="19" s="1"/>
  <c r="I6" i="19"/>
  <c r="J6" i="19" s="1"/>
  <c r="F6" i="19"/>
  <c r="G6" i="19" s="1"/>
  <c r="I5" i="19"/>
  <c r="J5" i="19" s="1"/>
  <c r="F5" i="19"/>
  <c r="G5" i="19"/>
  <c r="I4" i="19"/>
  <c r="J4" i="19"/>
  <c r="F4" i="19"/>
  <c r="G4" i="19" s="1"/>
  <c r="A1" i="19" a="1"/>
  <c r="A1" i="19"/>
  <c r="I15" i="20"/>
  <c r="J15" i="20" s="1"/>
  <c r="F15" i="20"/>
  <c r="G15" i="20" s="1"/>
  <c r="I14" i="20"/>
  <c r="J14" i="20" s="1"/>
  <c r="F14" i="20"/>
  <c r="G14" i="20" s="1"/>
  <c r="I13" i="20"/>
  <c r="J13" i="20" s="1"/>
  <c r="F13" i="20"/>
  <c r="G13" i="20"/>
  <c r="I12" i="20"/>
  <c r="F12" i="20"/>
  <c r="G12" i="20" s="1"/>
  <c r="I11" i="20"/>
  <c r="J11" i="20" s="1"/>
  <c r="F11" i="20"/>
  <c r="G11" i="20" s="1"/>
  <c r="I10" i="20"/>
  <c r="J10" i="20" s="1"/>
  <c r="F10" i="20"/>
  <c r="G10" i="20" s="1"/>
  <c r="I9" i="20"/>
  <c r="J9" i="20" s="1"/>
  <c r="F9" i="20"/>
  <c r="G9" i="20" s="1"/>
  <c r="I8" i="20"/>
  <c r="J8" i="20"/>
  <c r="F8" i="20"/>
  <c r="G8" i="20"/>
  <c r="I7" i="20"/>
  <c r="J7" i="20" s="1"/>
  <c r="F7" i="20"/>
  <c r="G7" i="20" s="1"/>
  <c r="I6" i="20"/>
  <c r="J6" i="20"/>
  <c r="F6" i="20"/>
  <c r="G6" i="20"/>
  <c r="I5" i="20"/>
  <c r="J5" i="20" s="1"/>
  <c r="F5" i="20"/>
  <c r="G5" i="20" s="1"/>
  <c r="I4" i="20"/>
  <c r="J4" i="20" s="1"/>
  <c r="F4" i="20"/>
  <c r="G4" i="20" s="1"/>
  <c r="A1" i="20" a="1"/>
  <c r="A1" i="20"/>
  <c r="I15" i="21"/>
  <c r="F15" i="21"/>
  <c r="G15" i="21" s="1"/>
  <c r="I14" i="21"/>
  <c r="J14" i="21" s="1"/>
  <c r="F14" i="21"/>
  <c r="G14" i="21" s="1"/>
  <c r="I13" i="21"/>
  <c r="J13" i="21" s="1"/>
  <c r="F13" i="21"/>
  <c r="G13" i="21" s="1"/>
  <c r="I12" i="21"/>
  <c r="J12" i="21" s="1"/>
  <c r="F12" i="21"/>
  <c r="G12" i="21"/>
  <c r="I11" i="21"/>
  <c r="F11" i="21"/>
  <c r="G11" i="21" s="1"/>
  <c r="I10" i="21"/>
  <c r="J10" i="21" s="1"/>
  <c r="F10" i="21"/>
  <c r="G10" i="21" s="1"/>
  <c r="I9" i="21"/>
  <c r="J9" i="21"/>
  <c r="F9" i="21"/>
  <c r="G9" i="21" s="1"/>
  <c r="I8" i="21"/>
  <c r="J8" i="21" s="1"/>
  <c r="F8" i="21"/>
  <c r="G8" i="21" s="1"/>
  <c r="I7" i="21"/>
  <c r="J7" i="21"/>
  <c r="F7" i="21"/>
  <c r="G7" i="21" s="1"/>
  <c r="I6" i="21"/>
  <c r="J6" i="21" s="1"/>
  <c r="F6" i="21"/>
  <c r="G6" i="21" s="1"/>
  <c r="I5" i="21"/>
  <c r="J5" i="21"/>
  <c r="F5" i="21"/>
  <c r="G5" i="21" s="1"/>
  <c r="I4" i="21"/>
  <c r="J4" i="21" s="1"/>
  <c r="F4" i="21"/>
  <c r="G4" i="21" s="1"/>
  <c r="A1" i="21" a="1"/>
  <c r="A1" i="21" s="1"/>
  <c r="I15" i="4"/>
  <c r="J15" i="4"/>
  <c r="I14" i="4"/>
  <c r="J14" i="4"/>
  <c r="I13" i="4"/>
  <c r="J13" i="4"/>
  <c r="F13" i="4"/>
  <c r="G13" i="4"/>
  <c r="I12" i="4"/>
  <c r="I12" i="1"/>
  <c r="F12" i="4"/>
  <c r="G12" i="4"/>
  <c r="I11" i="4"/>
  <c r="J11" i="4"/>
  <c r="F11" i="4"/>
  <c r="G11" i="4"/>
  <c r="I10" i="4"/>
  <c r="J10" i="4"/>
  <c r="F10" i="4"/>
  <c r="G10" i="4"/>
  <c r="I9" i="4"/>
  <c r="J9" i="4"/>
  <c r="F9" i="4"/>
  <c r="G9" i="4"/>
  <c r="I8" i="4"/>
  <c r="I8" i="1"/>
  <c r="F8" i="4"/>
  <c r="G8" i="4"/>
  <c r="I7" i="4"/>
  <c r="J7" i="4"/>
  <c r="F7" i="4"/>
  <c r="G7" i="4"/>
  <c r="I6" i="4"/>
  <c r="I6" i="1"/>
  <c r="F6" i="4"/>
  <c r="G6" i="4"/>
  <c r="I5" i="4"/>
  <c r="J5" i="4"/>
  <c r="F5" i="4"/>
  <c r="G5" i="4"/>
  <c r="I4" i="4"/>
  <c r="I4" i="1"/>
  <c r="J4" i="4"/>
  <c r="F4" i="4"/>
  <c r="G4" i="4"/>
  <c r="A1" i="4" a="1"/>
  <c r="A1" i="4"/>
  <c r="K2" i="3"/>
  <c r="A1" i="3" a="1"/>
  <c r="A1" i="3"/>
  <c r="I6" i="72"/>
  <c r="J6" i="72"/>
  <c r="I7" i="72"/>
  <c r="J7" i="72"/>
  <c r="I8" i="72"/>
  <c r="J8" i="72"/>
  <c r="I9" i="72"/>
  <c r="J9" i="72"/>
  <c r="I10" i="72"/>
  <c r="J10" i="72"/>
  <c r="I11" i="72"/>
  <c r="J11" i="72"/>
  <c r="I12" i="72"/>
  <c r="J12" i="72"/>
  <c r="I13" i="72"/>
  <c r="J13" i="72"/>
  <c r="I14" i="72"/>
  <c r="J14" i="72"/>
  <c r="I15" i="72"/>
  <c r="J15" i="72"/>
  <c r="I5" i="72"/>
  <c r="J5" i="72"/>
  <c r="I4" i="72"/>
  <c r="J4" i="72"/>
  <c r="K2" i="72"/>
  <c r="A1" i="72" a="1"/>
  <c r="A1" i="72"/>
  <c r="J104" i="1"/>
  <c r="J107" i="1"/>
  <c r="J83" i="1"/>
  <c r="J92" i="1"/>
  <c r="J86" i="1"/>
  <c r="J118" i="1"/>
  <c r="J87" i="1"/>
  <c r="J33" i="1"/>
  <c r="J38" i="1"/>
  <c r="J47" i="1"/>
  <c r="J128" i="1"/>
  <c r="J50" i="1"/>
  <c r="J121" i="1"/>
  <c r="J115" i="1"/>
  <c r="I115" i="34"/>
  <c r="J112" i="1"/>
  <c r="J97" i="1"/>
  <c r="J95" i="1"/>
  <c r="J27" i="1"/>
  <c r="J132" i="1"/>
  <c r="J133" i="1"/>
  <c r="J117" i="1"/>
  <c r="J135" i="1"/>
  <c r="J89" i="1"/>
  <c r="J72" i="1"/>
  <c r="J120" i="1"/>
  <c r="J37" i="1"/>
  <c r="J22" i="1"/>
  <c r="J69" i="1"/>
  <c r="J51" i="1"/>
  <c r="J80" i="1"/>
  <c r="J116" i="1"/>
  <c r="J119" i="1"/>
  <c r="J54" i="1"/>
  <c r="J126" i="1"/>
  <c r="J129" i="1"/>
  <c r="J122" i="1"/>
  <c r="J67" i="1"/>
  <c r="J123" i="1"/>
  <c r="J98" i="1"/>
  <c r="J134" i="1"/>
  <c r="J71" i="1"/>
  <c r="J125" i="1"/>
  <c r="J65" i="1"/>
  <c r="J106" i="1"/>
  <c r="J100" i="1"/>
  <c r="J75" i="1"/>
  <c r="J82" i="1"/>
  <c r="J68" i="1"/>
  <c r="J23" i="1"/>
  <c r="J70" i="1"/>
  <c r="J110" i="1"/>
  <c r="J25" i="1"/>
  <c r="J30" i="1"/>
  <c r="J96" i="1"/>
  <c r="J42" i="1"/>
  <c r="J137" i="1"/>
  <c r="J91" i="1"/>
  <c r="J88" i="1"/>
  <c r="J136" i="1"/>
  <c r="J102" i="1"/>
  <c r="J105" i="1"/>
  <c r="J24" i="1"/>
  <c r="J64" i="1"/>
  <c r="J61" i="1"/>
  <c r="J63" i="1"/>
  <c r="J90" i="1"/>
  <c r="J130" i="1"/>
  <c r="J131" i="1"/>
  <c r="J81" i="1"/>
  <c r="J29" i="1"/>
  <c r="J124" i="1"/>
  <c r="J93" i="1"/>
  <c r="J127" i="1"/>
  <c r="J66" i="1"/>
  <c r="J57" i="1"/>
  <c r="D2" i="30"/>
  <c r="I2" i="30" s="1"/>
  <c r="J2" i="30" s="1"/>
  <c r="J17" i="31"/>
  <c r="I17" i="30"/>
  <c r="J17" i="30"/>
  <c r="J16" i="31"/>
  <c r="I16" i="30"/>
  <c r="J16" i="30"/>
  <c r="J17" i="27"/>
  <c r="F11" i="30"/>
  <c r="G11" i="30"/>
  <c r="F10" i="30"/>
  <c r="G10" i="30"/>
  <c r="F14" i="30"/>
  <c r="G14" i="30"/>
  <c r="F8" i="30"/>
  <c r="G8" i="30"/>
  <c r="F12" i="30"/>
  <c r="G12" i="30"/>
  <c r="F9" i="30"/>
  <c r="G9" i="30"/>
  <c r="F13" i="30"/>
  <c r="G13" i="30"/>
  <c r="F16" i="1"/>
  <c r="G16" i="1"/>
  <c r="F15" i="30"/>
  <c r="G15" i="30"/>
  <c r="E2" i="30"/>
  <c r="F5" i="30"/>
  <c r="G5" i="30"/>
  <c r="F6" i="30"/>
  <c r="G6" i="30"/>
  <c r="I6" i="30"/>
  <c r="J6" i="30"/>
  <c r="F4" i="30"/>
  <c r="G4" i="30"/>
  <c r="I17" i="1"/>
  <c r="J17" i="1"/>
  <c r="I16" i="1"/>
  <c r="J16" i="1"/>
  <c r="I2" i="33"/>
  <c r="J2" i="33"/>
  <c r="K2" i="33"/>
  <c r="I2" i="32"/>
  <c r="J2" i="32"/>
  <c r="K2" i="32"/>
  <c r="I2" i="31"/>
  <c r="J2" i="31"/>
  <c r="K2" i="31"/>
  <c r="I2" i="28"/>
  <c r="J2" i="28"/>
  <c r="F2" i="28"/>
  <c r="G2" i="28"/>
  <c r="I2" i="27"/>
  <c r="J2" i="27"/>
  <c r="K2" i="27"/>
  <c r="I2" i="3"/>
  <c r="J2" i="3"/>
  <c r="F7" i="1"/>
  <c r="G7" i="1"/>
  <c r="F8" i="1"/>
  <c r="G8" i="1"/>
  <c r="F9" i="1"/>
  <c r="G9" i="1"/>
  <c r="F12" i="1"/>
  <c r="G12" i="1"/>
  <c r="F13" i="1"/>
  <c r="G13" i="1"/>
  <c r="F6" i="1"/>
  <c r="G6" i="1"/>
  <c r="F14" i="1"/>
  <c r="G14" i="1"/>
  <c r="I14" i="30"/>
  <c r="J14" i="30"/>
  <c r="I9" i="30"/>
  <c r="J9" i="30"/>
  <c r="I4" i="30"/>
  <c r="J4" i="30"/>
  <c r="F7" i="30"/>
  <c r="G7" i="30"/>
  <c r="I12" i="30"/>
  <c r="J12" i="30"/>
  <c r="I7" i="30"/>
  <c r="J7" i="30"/>
  <c r="I15" i="30"/>
  <c r="J15" i="30"/>
  <c r="I10" i="30"/>
  <c r="J10" i="30"/>
  <c r="I5" i="30"/>
  <c r="J5" i="30"/>
  <c r="I13" i="30"/>
  <c r="J13" i="30"/>
  <c r="I8" i="30"/>
  <c r="J8" i="30"/>
  <c r="I11" i="30"/>
  <c r="J11" i="30"/>
  <c r="I4" i="29"/>
  <c r="J4" i="29"/>
  <c r="F2" i="3"/>
  <c r="G2" i="3"/>
  <c r="F4" i="1"/>
  <c r="G4" i="1"/>
  <c r="I14" i="1"/>
  <c r="F2" i="33"/>
  <c r="G2" i="33"/>
  <c r="F2" i="32"/>
  <c r="G2" i="32"/>
  <c r="F2" i="31"/>
  <c r="G2" i="31"/>
  <c r="F2" i="27"/>
  <c r="G2" i="27"/>
  <c r="I2" i="72"/>
  <c r="J2" i="72"/>
  <c r="F2" i="72"/>
  <c r="G2" i="72"/>
  <c r="J187" i="1"/>
  <c r="J186" i="1"/>
  <c r="F189" i="1"/>
  <c r="G189" i="1"/>
  <c r="F107" i="1"/>
  <c r="G107" i="1"/>
  <c r="F106" i="1"/>
  <c r="G106" i="1"/>
  <c r="F82" i="1"/>
  <c r="G82" i="1"/>
  <c r="F81" i="1"/>
  <c r="G81" i="1"/>
  <c r="F100" i="1"/>
  <c r="G100" i="1"/>
  <c r="I99" i="1"/>
  <c r="F99" i="1"/>
  <c r="G99" i="1"/>
  <c r="I94" i="1"/>
  <c r="F103" i="1"/>
  <c r="G103" i="1"/>
  <c r="I103" i="1"/>
  <c r="F77" i="1"/>
  <c r="G77" i="1"/>
  <c r="F88" i="1"/>
  <c r="G88" i="1"/>
  <c r="F108" i="1"/>
  <c r="G108" i="1"/>
  <c r="J79" i="1"/>
  <c r="F79" i="1"/>
  <c r="G79" i="1"/>
  <c r="J85" i="1"/>
  <c r="F150" i="1"/>
  <c r="G150" i="1"/>
  <c r="J12" i="1"/>
  <c r="J12" i="4"/>
  <c r="J166" i="1"/>
  <c r="F63" i="1"/>
  <c r="G63" i="1"/>
  <c r="F187" i="1"/>
  <c r="G187" i="1"/>
  <c r="F186" i="1"/>
  <c r="G186" i="1"/>
  <c r="F113" i="1"/>
  <c r="G113" i="1"/>
  <c r="I74" i="1"/>
  <c r="F74" i="1"/>
  <c r="G74" i="1"/>
  <c r="F114" i="1"/>
  <c r="G114" i="1"/>
  <c r="I11" i="1"/>
  <c r="J18" i="1"/>
  <c r="J18" i="4"/>
  <c r="I111" i="1"/>
  <c r="F91" i="1"/>
  <c r="G91" i="1"/>
  <c r="F19" i="1"/>
  <c r="G19" i="1"/>
  <c r="F184" i="1"/>
  <c r="G184" i="1"/>
  <c r="J62" i="1"/>
  <c r="F62" i="1"/>
  <c r="G62" i="1"/>
  <c r="F61" i="1"/>
  <c r="G61" i="1"/>
  <c r="J60" i="1"/>
  <c r="J59" i="1"/>
  <c r="F57" i="1"/>
  <c r="G57" i="1"/>
  <c r="F56" i="1"/>
  <c r="G56" i="1"/>
  <c r="F55" i="1"/>
  <c r="G55" i="1"/>
  <c r="J181" i="1"/>
  <c r="F181" i="1"/>
  <c r="G181" i="1"/>
  <c r="J48" i="1"/>
  <c r="F48" i="1"/>
  <c r="G48" i="1"/>
  <c r="I46" i="1"/>
  <c r="F46" i="1"/>
  <c r="G46" i="1"/>
  <c r="I43" i="1"/>
  <c r="F42" i="1"/>
  <c r="G42" i="1"/>
  <c r="I40" i="1"/>
  <c r="J40" i="1"/>
  <c r="J176" i="1"/>
  <c r="J174" i="1"/>
  <c r="I36" i="1"/>
  <c r="F35" i="1"/>
  <c r="G35" i="1"/>
  <c r="F2" i="4"/>
  <c r="G2" i="4"/>
  <c r="F34" i="1"/>
  <c r="G34" i="1"/>
  <c r="I2" i="4"/>
  <c r="J2" i="4"/>
  <c r="F33" i="1"/>
  <c r="G33" i="1"/>
  <c r="J32" i="1"/>
  <c r="J32" i="4"/>
  <c r="F29" i="1"/>
  <c r="G29" i="1"/>
  <c r="I28" i="1"/>
  <c r="F26" i="1"/>
  <c r="G26" i="1"/>
  <c r="I26" i="1"/>
  <c r="F24" i="1"/>
  <c r="G24" i="1"/>
  <c r="J6" i="1"/>
  <c r="J6" i="4"/>
  <c r="F190" i="1"/>
  <c r="G190" i="1"/>
  <c r="D190" i="34"/>
  <c r="I15" i="1"/>
  <c r="J14" i="1"/>
  <c r="E2" i="1"/>
  <c r="I13" i="1"/>
  <c r="F193" i="1"/>
  <c r="G193" i="1"/>
  <c r="I10" i="1"/>
  <c r="J10" i="1"/>
  <c r="H2" i="1"/>
  <c r="I2" i="1" s="1"/>
  <c r="J2" i="1" s="1"/>
  <c r="F10" i="1"/>
  <c r="G10" i="1"/>
  <c r="I9" i="1"/>
  <c r="J8" i="4"/>
  <c r="J8" i="1"/>
  <c r="I7" i="1"/>
  <c r="I5" i="1"/>
  <c r="F5" i="1"/>
  <c r="G5" i="1"/>
  <c r="J4" i="1"/>
  <c r="D2" i="1"/>
  <c r="F2" i="1" s="1"/>
  <c r="G2" i="1" s="1"/>
  <c r="J99" i="1"/>
  <c r="J94" i="1"/>
  <c r="J103" i="1"/>
  <c r="J74" i="1"/>
  <c r="J11" i="1"/>
  <c r="J111" i="1"/>
  <c r="J46" i="1"/>
  <c r="J43" i="1"/>
  <c r="J36" i="1"/>
  <c r="J28" i="1"/>
  <c r="J26" i="1"/>
  <c r="J15" i="1"/>
  <c r="J13" i="1"/>
  <c r="J9" i="1"/>
  <c r="J7" i="1"/>
  <c r="J5" i="1"/>
  <c r="E143" i="34" l="1"/>
  <c r="E89" i="34"/>
  <c r="E92" i="34"/>
  <c r="E98" i="34"/>
  <c r="E103" i="34"/>
  <c r="E107" i="34"/>
  <c r="E108" i="34"/>
  <c r="E139" i="34"/>
  <c r="E153" i="34"/>
  <c r="E154" i="34"/>
  <c r="E158" i="34"/>
  <c r="H96" i="34"/>
  <c r="J110" i="26"/>
  <c r="D157" i="34"/>
  <c r="F157" i="34" s="1"/>
  <c r="G157" i="34" s="1"/>
  <c r="J195" i="26"/>
  <c r="D197" i="34"/>
  <c r="H199" i="34"/>
  <c r="J200" i="26"/>
  <c r="I145" i="34"/>
  <c r="J145" i="34" s="1"/>
  <c r="I138" i="34"/>
  <c r="I122" i="34"/>
  <c r="I65" i="34"/>
  <c r="I161" i="34"/>
  <c r="I163" i="34"/>
  <c r="E199" i="34"/>
  <c r="E200" i="34"/>
  <c r="D106" i="34"/>
  <c r="H106" i="34"/>
  <c r="H105" i="34"/>
  <c r="D155" i="34"/>
  <c r="I154" i="34"/>
  <c r="H154" i="34"/>
  <c r="I95" i="34"/>
  <c r="E84" i="34"/>
  <c r="H84" i="34"/>
  <c r="H80" i="34"/>
  <c r="H100" i="34"/>
  <c r="I99" i="34"/>
  <c r="D149" i="34"/>
  <c r="H149" i="34"/>
  <c r="D78" i="34"/>
  <c r="H78" i="34"/>
  <c r="D103" i="34"/>
  <c r="E140" i="34"/>
  <c r="F140" i="34" s="1"/>
  <c r="G140" i="34" s="1"/>
  <c r="E146" i="34"/>
  <c r="F146" i="34" s="1"/>
  <c r="G146" i="34" s="1"/>
  <c r="H146" i="34"/>
  <c r="I144" i="34"/>
  <c r="I89" i="34"/>
  <c r="I97" i="34"/>
  <c r="J97" i="34" s="1"/>
  <c r="I141" i="34"/>
  <c r="H109" i="34"/>
  <c r="H152" i="34"/>
  <c r="D86" i="34"/>
  <c r="I86" i="34"/>
  <c r="H101" i="34"/>
  <c r="E79" i="34"/>
  <c r="H79" i="34"/>
  <c r="D75" i="34"/>
  <c r="E75" i="34"/>
  <c r="F75" i="34" s="1"/>
  <c r="G75" i="34" s="1"/>
  <c r="H75" i="34"/>
  <c r="J75" i="34" s="1"/>
  <c r="I137" i="34"/>
  <c r="H131" i="34"/>
  <c r="E131" i="34"/>
  <c r="I130" i="34"/>
  <c r="D130" i="34"/>
  <c r="E128" i="34"/>
  <c r="H127" i="34"/>
  <c r="D127" i="34"/>
  <c r="I125" i="34"/>
  <c r="J125" i="34" s="1"/>
  <c r="H124" i="34"/>
  <c r="H122" i="34"/>
  <c r="H121" i="34"/>
  <c r="I121" i="34"/>
  <c r="D118" i="34"/>
  <c r="I117" i="34"/>
  <c r="I116" i="34"/>
  <c r="J116" i="34" s="1"/>
  <c r="I66" i="34"/>
  <c r="J66" i="34" s="1"/>
  <c r="H69" i="34"/>
  <c r="H45" i="34"/>
  <c r="E72" i="34"/>
  <c r="E64" i="34"/>
  <c r="H68" i="34"/>
  <c r="H70" i="34"/>
  <c r="D72" i="34"/>
  <c r="F72" i="34" s="1"/>
  <c r="G72" i="34" s="1"/>
  <c r="E68" i="34"/>
  <c r="E11" i="34"/>
  <c r="E6" i="34"/>
  <c r="I20" i="34"/>
  <c r="E24" i="34"/>
  <c r="H20" i="34"/>
  <c r="D12" i="34"/>
  <c r="H168" i="34"/>
  <c r="E168" i="34"/>
  <c r="D168" i="34"/>
  <c r="E167" i="34"/>
  <c r="F167" i="34" s="1"/>
  <c r="G167" i="34" s="1"/>
  <c r="D71" i="34"/>
  <c r="H166" i="34"/>
  <c r="H165" i="34"/>
  <c r="E165" i="34"/>
  <c r="H164" i="34"/>
  <c r="D164" i="34"/>
  <c r="H63" i="34"/>
  <c r="E63" i="34"/>
  <c r="E189" i="34"/>
  <c r="E187" i="34"/>
  <c r="E186" i="34"/>
  <c r="E74" i="34"/>
  <c r="D11" i="34"/>
  <c r="D17" i="34"/>
  <c r="E112" i="34"/>
  <c r="E91" i="34"/>
  <c r="H19" i="34"/>
  <c r="H184" i="34"/>
  <c r="I184" i="34"/>
  <c r="E183" i="34"/>
  <c r="D183" i="34"/>
  <c r="H62" i="34"/>
  <c r="H61" i="34"/>
  <c r="E60" i="34"/>
  <c r="E59" i="34"/>
  <c r="D59" i="34"/>
  <c r="F59" i="34" s="1"/>
  <c r="G59" i="34" s="1"/>
  <c r="D58" i="34"/>
  <c r="D182" i="34"/>
  <c r="E56" i="34"/>
  <c r="H180" i="34"/>
  <c r="E180" i="34"/>
  <c r="D180" i="34"/>
  <c r="E54" i="34"/>
  <c r="D181" i="34"/>
  <c r="H179" i="34"/>
  <c r="H53" i="34"/>
  <c r="I51" i="34"/>
  <c r="H178" i="34"/>
  <c r="D178" i="34"/>
  <c r="D50" i="34"/>
  <c r="E49" i="34"/>
  <c r="H177" i="34"/>
  <c r="D47" i="34"/>
  <c r="E46" i="34"/>
  <c r="H73" i="34"/>
  <c r="E42" i="34"/>
  <c r="D42" i="34"/>
  <c r="F42" i="34" s="1"/>
  <c r="G42" i="34" s="1"/>
  <c r="I42" i="34"/>
  <c r="D41" i="34"/>
  <c r="D39" i="34"/>
  <c r="H176" i="34"/>
  <c r="E176" i="34"/>
  <c r="E175" i="34"/>
  <c r="D163" i="34"/>
  <c r="H162" i="34"/>
  <c r="D162" i="34"/>
  <c r="H174" i="34"/>
  <c r="D174" i="34"/>
  <c r="E37" i="34"/>
  <c r="E36" i="34"/>
  <c r="E34" i="34"/>
  <c r="E173" i="34"/>
  <c r="D173" i="34"/>
  <c r="H33" i="34"/>
  <c r="H32" i="34"/>
  <c r="H31" i="34"/>
  <c r="D31" i="34"/>
  <c r="H30" i="34"/>
  <c r="H29" i="34"/>
  <c r="E172" i="34"/>
  <c r="I172" i="34"/>
  <c r="D172" i="34"/>
  <c r="E171" i="34"/>
  <c r="H170" i="34"/>
  <c r="D170" i="34"/>
  <c r="I26" i="34"/>
  <c r="D24" i="34"/>
  <c r="E22" i="34"/>
  <c r="H6" i="34"/>
  <c r="D6" i="34"/>
  <c r="E16" i="34"/>
  <c r="E44" i="34"/>
  <c r="H142" i="34"/>
  <c r="E13" i="34"/>
  <c r="H185" i="34"/>
  <c r="E185" i="34"/>
  <c r="D185" i="34"/>
  <c r="H10" i="34"/>
  <c r="H9" i="34"/>
  <c r="H2" i="29"/>
  <c r="H8" i="34"/>
  <c r="I8" i="34"/>
  <c r="H7" i="34"/>
  <c r="H5" i="34"/>
  <c r="J5" i="29"/>
  <c r="E2" i="29"/>
  <c r="H4" i="34"/>
  <c r="E4" i="34"/>
  <c r="D161" i="34"/>
  <c r="H188" i="34"/>
  <c r="E188" i="34"/>
  <c r="E193" i="34"/>
  <c r="H191" i="34"/>
  <c r="D198" i="34"/>
  <c r="I186" i="34"/>
  <c r="E192" i="34"/>
  <c r="H190" i="34"/>
  <c r="H198" i="34"/>
  <c r="F2" i="26"/>
  <c r="G2" i="26" s="1"/>
  <c r="D192" i="34"/>
  <c r="E190" i="34"/>
  <c r="F190" i="34" s="1"/>
  <c r="G190" i="34" s="1"/>
  <c r="H197" i="34"/>
  <c r="D191" i="34"/>
  <c r="H195" i="34"/>
  <c r="I192" i="34"/>
  <c r="J192" i="34" s="1"/>
  <c r="H196" i="34"/>
  <c r="I2" i="26"/>
  <c r="J2" i="26" s="1"/>
  <c r="H187" i="34"/>
  <c r="H194" i="34"/>
  <c r="E198" i="34"/>
  <c r="E195" i="34"/>
  <c r="H193" i="34"/>
  <c r="D200" i="34"/>
  <c r="E197" i="34"/>
  <c r="F197" i="34" s="1"/>
  <c r="G197" i="34" s="1"/>
  <c r="E194" i="34"/>
  <c r="H192" i="34"/>
  <c r="D2" i="29"/>
  <c r="E196" i="34"/>
  <c r="J130" i="19"/>
  <c r="J152" i="19"/>
  <c r="I156" i="18"/>
  <c r="I156" i="34" s="1"/>
  <c r="J156" i="34" s="1"/>
  <c r="F154" i="18"/>
  <c r="G154" i="18" s="1"/>
  <c r="I155" i="18"/>
  <c r="I147" i="18"/>
  <c r="I147" i="34" s="1"/>
  <c r="F148" i="18"/>
  <c r="G148" i="18" s="1"/>
  <c r="I140" i="18"/>
  <c r="I140" i="34" s="1"/>
  <c r="J127" i="19"/>
  <c r="J118" i="19"/>
  <c r="I139" i="18"/>
  <c r="I124" i="18"/>
  <c r="I124" i="34" s="1"/>
  <c r="J124" i="34" s="1"/>
  <c r="J135" i="19"/>
  <c r="J126" i="19"/>
  <c r="I132" i="18"/>
  <c r="I132" i="34" s="1"/>
  <c r="J132" i="34" s="1"/>
  <c r="J126" i="18"/>
  <c r="F123" i="18"/>
  <c r="G123" i="18" s="1"/>
  <c r="I102" i="18"/>
  <c r="I103" i="18"/>
  <c r="J103" i="18" s="1"/>
  <c r="F101" i="18"/>
  <c r="G101" i="18" s="1"/>
  <c r="F102" i="34"/>
  <c r="G102" i="34" s="1"/>
  <c r="F98" i="18"/>
  <c r="G98" i="18" s="1"/>
  <c r="F97" i="18"/>
  <c r="G97" i="18" s="1"/>
  <c r="F96" i="34"/>
  <c r="G96" i="34" s="1"/>
  <c r="I92" i="18"/>
  <c r="I90" i="18"/>
  <c r="I90" i="34" s="1"/>
  <c r="F88" i="34"/>
  <c r="G88" i="34" s="1"/>
  <c r="J65" i="19"/>
  <c r="J70" i="18"/>
  <c r="I70" i="34"/>
  <c r="J70" i="34" s="1"/>
  <c r="I71" i="18"/>
  <c r="J71" i="18" s="1"/>
  <c r="I180" i="18"/>
  <c r="J180" i="18" s="1"/>
  <c r="I50" i="18"/>
  <c r="I50" i="34" s="1"/>
  <c r="I48" i="18"/>
  <c r="I48" i="34" s="1"/>
  <c r="J48" i="34" s="1"/>
  <c r="J159" i="19"/>
  <c r="I25" i="18"/>
  <c r="I25" i="34" s="1"/>
  <c r="J25" i="34" s="1"/>
  <c r="F2" i="19"/>
  <c r="G2" i="19" s="1"/>
  <c r="I2" i="19"/>
  <c r="J2" i="19" s="1"/>
  <c r="I12" i="18"/>
  <c r="I12" i="34" s="1"/>
  <c r="J12" i="34" s="1"/>
  <c r="I113" i="18"/>
  <c r="I113" i="34" s="1"/>
  <c r="J113" i="34" s="1"/>
  <c r="I112" i="18"/>
  <c r="I112" i="34" s="1"/>
  <c r="J112" i="34" s="1"/>
  <c r="I111" i="18"/>
  <c r="I111" i="34" s="1"/>
  <c r="J111" i="34" s="1"/>
  <c r="I107" i="18"/>
  <c r="I107" i="34" s="1"/>
  <c r="I106" i="18"/>
  <c r="J106" i="18" s="1"/>
  <c r="I105" i="18"/>
  <c r="I101" i="18"/>
  <c r="J101" i="18" s="1"/>
  <c r="I100" i="18"/>
  <c r="I100" i="34" s="1"/>
  <c r="J100" i="34" s="1"/>
  <c r="I98" i="18"/>
  <c r="I98" i="34" s="1"/>
  <c r="I91" i="18"/>
  <c r="I91" i="34" s="1"/>
  <c r="I88" i="18"/>
  <c r="I88" i="34" s="1"/>
  <c r="J88" i="34" s="1"/>
  <c r="I36" i="18"/>
  <c r="I34" i="18"/>
  <c r="I34" i="34" s="1"/>
  <c r="J189" i="18"/>
  <c r="I195" i="34"/>
  <c r="J195" i="18"/>
  <c r="J192" i="18"/>
  <c r="I198" i="34"/>
  <c r="J198" i="18"/>
  <c r="I187" i="18"/>
  <c r="I187" i="34" s="1"/>
  <c r="J187" i="34" s="1"/>
  <c r="I193" i="18"/>
  <c r="D98" i="34"/>
  <c r="F98" i="34" s="1"/>
  <c r="G98" i="34" s="1"/>
  <c r="I143" i="18"/>
  <c r="J143" i="18" s="1"/>
  <c r="I160" i="18"/>
  <c r="I160" i="34" s="1"/>
  <c r="I158" i="18"/>
  <c r="J158" i="18" s="1"/>
  <c r="J101" i="20"/>
  <c r="I79" i="18"/>
  <c r="I79" i="34" s="1"/>
  <c r="J79" i="34" s="1"/>
  <c r="J12" i="20"/>
  <c r="I168" i="18"/>
  <c r="I168" i="34" s="1"/>
  <c r="J168" i="34" s="1"/>
  <c r="I63" i="18"/>
  <c r="J63" i="18" s="1"/>
  <c r="I74" i="18"/>
  <c r="I74" i="34" s="1"/>
  <c r="J74" i="34" s="1"/>
  <c r="F114" i="18"/>
  <c r="G114" i="18" s="1"/>
  <c r="J112" i="20"/>
  <c r="F91" i="18"/>
  <c r="G91" i="18" s="1"/>
  <c r="I56" i="18"/>
  <c r="J56" i="18" s="1"/>
  <c r="I174" i="18"/>
  <c r="I174" i="34" s="1"/>
  <c r="J174" i="34" s="1"/>
  <c r="I15" i="18"/>
  <c r="I15" i="34" s="1"/>
  <c r="J15" i="34" s="1"/>
  <c r="I7" i="18"/>
  <c r="I7" i="34" s="1"/>
  <c r="J7" i="34" s="1"/>
  <c r="I166" i="18"/>
  <c r="I166" i="34" s="1"/>
  <c r="J166" i="34" s="1"/>
  <c r="J186" i="18"/>
  <c r="J113" i="20"/>
  <c r="I114" i="18"/>
  <c r="I114" i="34" s="1"/>
  <c r="J114" i="34" s="1"/>
  <c r="J91" i="20"/>
  <c r="J184" i="18"/>
  <c r="I61" i="18"/>
  <c r="I61" i="34" s="1"/>
  <c r="J61" i="34" s="1"/>
  <c r="I59" i="18"/>
  <c r="I59" i="34" s="1"/>
  <c r="J59" i="34" s="1"/>
  <c r="I182" i="18"/>
  <c r="I182" i="34" s="1"/>
  <c r="I54" i="18"/>
  <c r="J54" i="18" s="1"/>
  <c r="I178" i="18"/>
  <c r="I178" i="34" s="1"/>
  <c r="J178" i="34" s="1"/>
  <c r="I47" i="18"/>
  <c r="J47" i="18" s="1"/>
  <c r="I45" i="18"/>
  <c r="I45" i="34" s="1"/>
  <c r="J45" i="34" s="1"/>
  <c r="I35" i="18"/>
  <c r="I35" i="34" s="1"/>
  <c r="J35" i="34" s="1"/>
  <c r="I21" i="18"/>
  <c r="I190" i="18"/>
  <c r="J190" i="18" s="1"/>
  <c r="I2" i="20"/>
  <c r="J2" i="20" s="1"/>
  <c r="I5" i="18"/>
  <c r="I5" i="34" s="1"/>
  <c r="J5" i="34" s="1"/>
  <c r="F2" i="20"/>
  <c r="G2" i="20" s="1"/>
  <c r="I164" i="18"/>
  <c r="I164" i="34" s="1"/>
  <c r="J164" i="34" s="1"/>
  <c r="F196" i="34"/>
  <c r="G196" i="34" s="1"/>
  <c r="I11" i="18"/>
  <c r="I11" i="34" s="1"/>
  <c r="J11" i="34" s="1"/>
  <c r="F112" i="34"/>
  <c r="G112" i="34" s="1"/>
  <c r="J111" i="20"/>
  <c r="I19" i="18"/>
  <c r="I19" i="34" s="1"/>
  <c r="J19" i="34" s="1"/>
  <c r="I57" i="18"/>
  <c r="I57" i="34" s="1"/>
  <c r="J57" i="34" s="1"/>
  <c r="J181" i="18"/>
  <c r="J181" i="34"/>
  <c r="I73" i="18"/>
  <c r="I73" i="34" s="1"/>
  <c r="J73" i="34" s="1"/>
  <c r="I43" i="18"/>
  <c r="I43" i="34" s="1"/>
  <c r="J43" i="34" s="1"/>
  <c r="I40" i="18"/>
  <c r="I40" i="34" s="1"/>
  <c r="J40" i="34" s="1"/>
  <c r="I38" i="18"/>
  <c r="I38" i="34" s="1"/>
  <c r="J38" i="34" s="1"/>
  <c r="I37" i="18"/>
  <c r="J37" i="18" s="1"/>
  <c r="J36" i="20"/>
  <c r="J34" i="20"/>
  <c r="I33" i="18"/>
  <c r="I33" i="34" s="1"/>
  <c r="J33" i="34" s="1"/>
  <c r="F33" i="18"/>
  <c r="G33" i="18" s="1"/>
  <c r="I32" i="18"/>
  <c r="J32" i="18" s="1"/>
  <c r="I30" i="34"/>
  <c r="J30" i="34" s="1"/>
  <c r="I29" i="18"/>
  <c r="J29" i="18" s="1"/>
  <c r="I170" i="18"/>
  <c r="I170" i="34" s="1"/>
  <c r="J170" i="34" s="1"/>
  <c r="I16" i="18"/>
  <c r="I16" i="34" s="1"/>
  <c r="J16" i="34" s="1"/>
  <c r="I142" i="18"/>
  <c r="I142" i="34" s="1"/>
  <c r="J142" i="34" s="1"/>
  <c r="I13" i="18"/>
  <c r="J13" i="18" s="1"/>
  <c r="J185" i="18"/>
  <c r="I9" i="18"/>
  <c r="I9" i="34" s="1"/>
  <c r="J9" i="34" s="1"/>
  <c r="I188" i="34"/>
  <c r="J188" i="34" s="1"/>
  <c r="J188" i="18"/>
  <c r="I194" i="34"/>
  <c r="J194" i="34" s="1"/>
  <c r="J194" i="18"/>
  <c r="I193" i="34"/>
  <c r="J193" i="18"/>
  <c r="I191" i="34"/>
  <c r="J191" i="34" s="1"/>
  <c r="J191" i="18"/>
  <c r="F199" i="18"/>
  <c r="G199" i="18" s="1"/>
  <c r="D199" i="34"/>
  <c r="I200" i="34"/>
  <c r="J200" i="34" s="1"/>
  <c r="J200" i="18"/>
  <c r="I199" i="34"/>
  <c r="J199" i="34" s="1"/>
  <c r="J199" i="18"/>
  <c r="I197" i="34"/>
  <c r="J197" i="34" s="1"/>
  <c r="J197" i="18"/>
  <c r="I196" i="34"/>
  <c r="J196" i="18"/>
  <c r="F113" i="18"/>
  <c r="G113" i="18" s="1"/>
  <c r="J114" i="21"/>
  <c r="I18" i="18"/>
  <c r="I18" i="34" s="1"/>
  <c r="I62" i="18"/>
  <c r="J62" i="18" s="1"/>
  <c r="I60" i="18"/>
  <c r="I60" i="34" s="1"/>
  <c r="J60" i="34" s="1"/>
  <c r="I58" i="18"/>
  <c r="I58" i="34" s="1"/>
  <c r="J58" i="34" s="1"/>
  <c r="F57" i="18"/>
  <c r="G57" i="18" s="1"/>
  <c r="I55" i="18"/>
  <c r="I55" i="34" s="1"/>
  <c r="J55" i="34" s="1"/>
  <c r="I53" i="18"/>
  <c r="I53" i="34" s="1"/>
  <c r="J53" i="34" s="1"/>
  <c r="I52" i="18"/>
  <c r="I52" i="34" s="1"/>
  <c r="I49" i="18"/>
  <c r="I49" i="34" s="1"/>
  <c r="J49" i="34" s="1"/>
  <c r="J48" i="21"/>
  <c r="I46" i="18"/>
  <c r="I46" i="34" s="1"/>
  <c r="J46" i="34" s="1"/>
  <c r="F73" i="18"/>
  <c r="G73" i="18" s="1"/>
  <c r="I41" i="18"/>
  <c r="J41" i="18" s="1"/>
  <c r="J40" i="21"/>
  <c r="I39" i="18"/>
  <c r="I39" i="34" s="1"/>
  <c r="J39" i="34" s="1"/>
  <c r="J37" i="21"/>
  <c r="J32" i="21"/>
  <c r="I31" i="18"/>
  <c r="I31" i="34" s="1"/>
  <c r="J31" i="34" s="1"/>
  <c r="J29" i="21"/>
  <c r="I28" i="18"/>
  <c r="I28" i="34" s="1"/>
  <c r="I27" i="18"/>
  <c r="I27" i="34" s="1"/>
  <c r="J27" i="34" s="1"/>
  <c r="F25" i="18"/>
  <c r="G25" i="18" s="1"/>
  <c r="D25" i="34"/>
  <c r="F25" i="34" s="1"/>
  <c r="G25" i="34" s="1"/>
  <c r="I22" i="18"/>
  <c r="I22" i="34" s="1"/>
  <c r="J22" i="34" s="1"/>
  <c r="J21" i="21"/>
  <c r="J16" i="21"/>
  <c r="J15" i="21"/>
  <c r="I44" i="18"/>
  <c r="I44" i="34" s="1"/>
  <c r="I10" i="18"/>
  <c r="I10" i="34" s="1"/>
  <c r="J10" i="34" s="1"/>
  <c r="I4" i="18"/>
  <c r="J4" i="18" s="1"/>
  <c r="I84" i="18"/>
  <c r="I84" i="34" s="1"/>
  <c r="I81" i="18"/>
  <c r="I81" i="34" s="1"/>
  <c r="J81" i="34" s="1"/>
  <c r="F81" i="18"/>
  <c r="G81" i="18" s="1"/>
  <c r="I80" i="18"/>
  <c r="J94" i="21"/>
  <c r="I93" i="18"/>
  <c r="I93" i="34" s="1"/>
  <c r="J93" i="34" s="1"/>
  <c r="F140" i="18"/>
  <c r="G140" i="18" s="1"/>
  <c r="I76" i="18"/>
  <c r="I76" i="34" s="1"/>
  <c r="F89" i="18"/>
  <c r="G89" i="18" s="1"/>
  <c r="D97" i="34"/>
  <c r="F97" i="34" s="1"/>
  <c r="G97" i="34" s="1"/>
  <c r="I108" i="18"/>
  <c r="F79" i="18"/>
  <c r="G79" i="18" s="1"/>
  <c r="F156" i="18"/>
  <c r="G156" i="18" s="1"/>
  <c r="F2" i="21"/>
  <c r="G2" i="21" s="1"/>
  <c r="I2" i="21"/>
  <c r="J2" i="21" s="1"/>
  <c r="F137" i="18"/>
  <c r="G137" i="18" s="1"/>
  <c r="F146" i="18"/>
  <c r="G146" i="18" s="1"/>
  <c r="F166" i="18"/>
  <c r="G166" i="18" s="1"/>
  <c r="F14" i="18"/>
  <c r="G14" i="18" s="1"/>
  <c r="F17" i="18"/>
  <c r="G17" i="18" s="1"/>
  <c r="D57" i="34"/>
  <c r="F57" i="34" s="1"/>
  <c r="G57" i="34" s="1"/>
  <c r="J79" i="18"/>
  <c r="F174" i="34"/>
  <c r="G174" i="34" s="1"/>
  <c r="F186" i="34"/>
  <c r="G186" i="34" s="1"/>
  <c r="J23" i="18"/>
  <c r="J95" i="18"/>
  <c r="D166" i="34"/>
  <c r="F166" i="34" s="1"/>
  <c r="G166" i="34" s="1"/>
  <c r="D91" i="34"/>
  <c r="F91" i="34" s="1"/>
  <c r="G91" i="34" s="1"/>
  <c r="J127" i="18"/>
  <c r="F174" i="18"/>
  <c r="G174" i="18" s="1"/>
  <c r="F187" i="34"/>
  <c r="G187" i="34" s="1"/>
  <c r="J159" i="18"/>
  <c r="F183" i="34"/>
  <c r="G183" i="34" s="1"/>
  <c r="J120" i="18"/>
  <c r="F163" i="18"/>
  <c r="G163" i="18" s="1"/>
  <c r="D113" i="34"/>
  <c r="F113" i="34" s="1"/>
  <c r="G113" i="34" s="1"/>
  <c r="F41" i="18"/>
  <c r="G41" i="18" s="1"/>
  <c r="J149" i="18"/>
  <c r="F183" i="18"/>
  <c r="G183" i="18" s="1"/>
  <c r="I120" i="34"/>
  <c r="J120" i="34" s="1"/>
  <c r="D121" i="34"/>
  <c r="F121" i="34" s="1"/>
  <c r="G121" i="34" s="1"/>
  <c r="D33" i="34"/>
  <c r="F33" i="34" s="1"/>
  <c r="G33" i="34" s="1"/>
  <c r="F72" i="18"/>
  <c r="G72" i="18" s="1"/>
  <c r="F155" i="34"/>
  <c r="G155" i="34" s="1"/>
  <c r="F49" i="18"/>
  <c r="G49" i="18" s="1"/>
  <c r="F170" i="34"/>
  <c r="G170" i="34" s="1"/>
  <c r="F162" i="18"/>
  <c r="G162" i="18" s="1"/>
  <c r="D105" i="34"/>
  <c r="F105" i="34" s="1"/>
  <c r="G105" i="34" s="1"/>
  <c r="D73" i="34"/>
  <c r="F73" i="34" s="1"/>
  <c r="G73" i="34" s="1"/>
  <c r="F56" i="18"/>
  <c r="G56" i="18" s="1"/>
  <c r="J88" i="18"/>
  <c r="J104" i="18"/>
  <c r="E137" i="34"/>
  <c r="F137" i="34" s="1"/>
  <c r="G137" i="34" s="1"/>
  <c r="F151" i="34"/>
  <c r="G151" i="34" s="1"/>
  <c r="F143" i="18"/>
  <c r="G143" i="18" s="1"/>
  <c r="F178" i="18"/>
  <c r="G178" i="18" s="1"/>
  <c r="J171" i="18"/>
  <c r="F168" i="18"/>
  <c r="G168" i="18" s="1"/>
  <c r="F40" i="18"/>
  <c r="G40" i="18" s="1"/>
  <c r="F32" i="18"/>
  <c r="G32" i="18" s="1"/>
  <c r="I78" i="34"/>
  <c r="J78" i="34" s="1"/>
  <c r="I96" i="34"/>
  <c r="J96" i="34" s="1"/>
  <c r="F58" i="34"/>
  <c r="G58" i="34" s="1"/>
  <c r="J69" i="18"/>
  <c r="F65" i="18"/>
  <c r="G65" i="18" s="1"/>
  <c r="F176" i="18"/>
  <c r="G176" i="18" s="1"/>
  <c r="F65" i="34"/>
  <c r="G65" i="34" s="1"/>
  <c r="F64" i="18"/>
  <c r="G64" i="18" s="1"/>
  <c r="F24" i="18"/>
  <c r="G24" i="18" s="1"/>
  <c r="J163" i="18"/>
  <c r="J136" i="18"/>
  <c r="J152" i="18"/>
  <c r="J128" i="18"/>
  <c r="F132" i="34"/>
  <c r="G132" i="34" s="1"/>
  <c r="F38" i="34"/>
  <c r="G38" i="34" s="1"/>
  <c r="E14" i="34"/>
  <c r="F14" i="34" s="1"/>
  <c r="G14" i="34" s="1"/>
  <c r="I136" i="34"/>
  <c r="J136" i="34" s="1"/>
  <c r="I119" i="34"/>
  <c r="J119" i="34" s="1"/>
  <c r="I128" i="34"/>
  <c r="J128" i="34" s="1"/>
  <c r="J91" i="34"/>
  <c r="F141" i="18"/>
  <c r="G141" i="18" s="1"/>
  <c r="F37" i="34"/>
  <c r="G37" i="34" s="1"/>
  <c r="I152" i="34"/>
  <c r="F149" i="18"/>
  <c r="G149" i="18" s="1"/>
  <c r="J82" i="34"/>
  <c r="F43" i="18"/>
  <c r="G43" i="18" s="1"/>
  <c r="D119" i="34"/>
  <c r="F119" i="34" s="1"/>
  <c r="G119" i="34" s="1"/>
  <c r="F157" i="18"/>
  <c r="G157" i="18" s="1"/>
  <c r="J183" i="18"/>
  <c r="I134" i="34"/>
  <c r="J134" i="34" s="1"/>
  <c r="E162" i="34"/>
  <c r="F162" i="34" s="1"/>
  <c r="G162" i="34" s="1"/>
  <c r="F142" i="34"/>
  <c r="G142" i="34" s="1"/>
  <c r="D79" i="34"/>
  <c r="F79" i="34" s="1"/>
  <c r="G79" i="34" s="1"/>
  <c r="J11" i="21"/>
  <c r="F154" i="34"/>
  <c r="G154" i="34" s="1"/>
  <c r="F133" i="18"/>
  <c r="G133" i="18" s="1"/>
  <c r="F125" i="18"/>
  <c r="G125" i="18" s="1"/>
  <c r="J56" i="21"/>
  <c r="F177" i="34"/>
  <c r="G177" i="34" s="1"/>
  <c r="I6" i="18"/>
  <c r="I6" i="34" s="1"/>
  <c r="J6" i="34" s="1"/>
  <c r="F6" i="34"/>
  <c r="G6" i="34" s="1"/>
  <c r="D117" i="34"/>
  <c r="F117" i="34" s="1"/>
  <c r="G117" i="34" s="1"/>
  <c r="J86" i="34"/>
  <c r="I71" i="34"/>
  <c r="J71" i="34" s="1"/>
  <c r="I14" i="18"/>
  <c r="J14" i="18" s="1"/>
  <c r="F50" i="34"/>
  <c r="G50" i="34" s="1"/>
  <c r="I149" i="34"/>
  <c r="J149" i="34" s="1"/>
  <c r="F188" i="34"/>
  <c r="G188" i="34" s="1"/>
  <c r="F104" i="34"/>
  <c r="G104" i="34" s="1"/>
  <c r="F56" i="34"/>
  <c r="G56" i="34" s="1"/>
  <c r="F136" i="34"/>
  <c r="G136" i="34" s="1"/>
  <c r="J117" i="18"/>
  <c r="F144" i="18"/>
  <c r="G144" i="18" s="1"/>
  <c r="I17" i="18"/>
  <c r="I17" i="34" s="1"/>
  <c r="I126" i="34"/>
  <c r="J126" i="34" s="1"/>
  <c r="F185" i="18"/>
  <c r="G185" i="18" s="1"/>
  <c r="F10" i="34"/>
  <c r="G10" i="34" s="1"/>
  <c r="E17" i="34"/>
  <c r="F17" i="34" s="1"/>
  <c r="G17" i="34" s="1"/>
  <c r="J86" i="18"/>
  <c r="F160" i="18"/>
  <c r="G160" i="18" s="1"/>
  <c r="F152" i="34"/>
  <c r="G152" i="34" s="1"/>
  <c r="F180" i="18"/>
  <c r="G180" i="18" s="1"/>
  <c r="F177" i="18"/>
  <c r="G177" i="18" s="1"/>
  <c r="F172" i="34"/>
  <c r="G172" i="34" s="1"/>
  <c r="F200" i="18"/>
  <c r="G200" i="18" s="1"/>
  <c r="H117" i="34"/>
  <c r="J117" i="34" s="1"/>
  <c r="F126" i="34"/>
  <c r="G126" i="34" s="1"/>
  <c r="F86" i="34"/>
  <c r="G86" i="34" s="1"/>
  <c r="J115" i="34"/>
  <c r="D64" i="34"/>
  <c r="F64" i="34" s="1"/>
  <c r="G64" i="34" s="1"/>
  <c r="J109" i="18"/>
  <c r="J94" i="18"/>
  <c r="E144" i="34"/>
  <c r="F144" i="34" s="1"/>
  <c r="G144" i="34" s="1"/>
  <c r="J26" i="34"/>
  <c r="F158" i="18"/>
  <c r="G158" i="18" s="1"/>
  <c r="I159" i="34"/>
  <c r="J159" i="34" s="1"/>
  <c r="J125" i="18"/>
  <c r="I118" i="34"/>
  <c r="J118" i="34" s="1"/>
  <c r="I104" i="34"/>
  <c r="J104" i="34" s="1"/>
  <c r="D32" i="34"/>
  <c r="F32" i="34" s="1"/>
  <c r="G32" i="34" s="1"/>
  <c r="F26" i="34"/>
  <c r="G26" i="34" s="1"/>
  <c r="F75" i="18"/>
  <c r="G75" i="18" s="1"/>
  <c r="F155" i="18"/>
  <c r="G155" i="18" s="1"/>
  <c r="F168" i="34"/>
  <c r="G168" i="34" s="1"/>
  <c r="F180" i="34"/>
  <c r="G180" i="34" s="1"/>
  <c r="F156" i="34"/>
  <c r="G156" i="34" s="1"/>
  <c r="F11" i="18"/>
  <c r="G11" i="18" s="1"/>
  <c r="F6" i="18"/>
  <c r="G6" i="18" s="1"/>
  <c r="D120" i="34"/>
  <c r="F120" i="34" s="1"/>
  <c r="G120" i="34" s="1"/>
  <c r="D40" i="34"/>
  <c r="F40" i="34" s="1"/>
  <c r="G40" i="34" s="1"/>
  <c r="J141" i="18"/>
  <c r="J157" i="18"/>
  <c r="J185" i="34"/>
  <c r="J175" i="18"/>
  <c r="J169" i="34"/>
  <c r="F8" i="18"/>
  <c r="G8" i="18" s="1"/>
  <c r="F34" i="34"/>
  <c r="G34" i="34" s="1"/>
  <c r="F77" i="18"/>
  <c r="G77" i="18" s="1"/>
  <c r="F93" i="18"/>
  <c r="G93" i="18" s="1"/>
  <c r="I157" i="34"/>
  <c r="J157" i="34" s="1"/>
  <c r="J51" i="18"/>
  <c r="D109" i="34"/>
  <c r="F109" i="34" s="1"/>
  <c r="G109" i="34" s="1"/>
  <c r="D133" i="34"/>
  <c r="F133" i="34" s="1"/>
  <c r="G133" i="34" s="1"/>
  <c r="D125" i="34"/>
  <c r="F125" i="34" s="1"/>
  <c r="G125" i="34" s="1"/>
  <c r="F123" i="34"/>
  <c r="G123" i="34" s="1"/>
  <c r="H171" i="34"/>
  <c r="J171" i="34" s="1"/>
  <c r="F36" i="18"/>
  <c r="G36" i="18" s="1"/>
  <c r="F24" i="34"/>
  <c r="G24" i="34" s="1"/>
  <c r="J165" i="18"/>
  <c r="F151" i="18"/>
  <c r="G151" i="18" s="1"/>
  <c r="F44" i="18"/>
  <c r="G44" i="18" s="1"/>
  <c r="D85" i="34"/>
  <c r="F85" i="34" s="1"/>
  <c r="G85" i="34" s="1"/>
  <c r="D101" i="34"/>
  <c r="F101" i="34" s="1"/>
  <c r="G101" i="34" s="1"/>
  <c r="I69" i="34"/>
  <c r="F10" i="18"/>
  <c r="G10" i="18" s="1"/>
  <c r="H98" i="34"/>
  <c r="F66" i="34"/>
  <c r="G66" i="34" s="1"/>
  <c r="F148" i="34"/>
  <c r="G148" i="34" s="1"/>
  <c r="J130" i="34"/>
  <c r="J66" i="18"/>
  <c r="D176" i="34"/>
  <c r="F176" i="34" s="1"/>
  <c r="G176" i="34" s="1"/>
  <c r="F189" i="34"/>
  <c r="G189" i="34" s="1"/>
  <c r="I23" i="34"/>
  <c r="J23" i="34" s="1"/>
  <c r="J122" i="34"/>
  <c r="J99" i="34"/>
  <c r="F12" i="18"/>
  <c r="G12" i="18" s="1"/>
  <c r="I109" i="34"/>
  <c r="J109" i="34" s="1"/>
  <c r="F49" i="34"/>
  <c r="G49" i="34" s="1"/>
  <c r="J144" i="34"/>
  <c r="F83" i="18"/>
  <c r="G83" i="18" s="1"/>
  <c r="D143" i="34"/>
  <c r="F143" i="34" s="1"/>
  <c r="G143" i="34" s="1"/>
  <c r="J144" i="18"/>
  <c r="J137" i="34"/>
  <c r="J183" i="34"/>
  <c r="J174" i="18"/>
  <c r="J8" i="34"/>
  <c r="I110" i="34"/>
  <c r="J110" i="34" s="1"/>
  <c r="F18" i="34"/>
  <c r="G18" i="34" s="1"/>
  <c r="J67" i="18"/>
  <c r="J26" i="18"/>
  <c r="F71" i="34"/>
  <c r="G71" i="34" s="1"/>
  <c r="D160" i="34"/>
  <c r="F160" i="34" s="1"/>
  <c r="G160" i="34" s="1"/>
  <c r="F187" i="18"/>
  <c r="G187" i="18" s="1"/>
  <c r="I146" i="34"/>
  <c r="J146" i="34" s="1"/>
  <c r="J146" i="18"/>
  <c r="F76" i="18"/>
  <c r="G76" i="18" s="1"/>
  <c r="D76" i="34"/>
  <c r="F76" i="34" s="1"/>
  <c r="G76" i="34" s="1"/>
  <c r="D36" i="34"/>
  <c r="F36" i="34" s="1"/>
  <c r="G36" i="34" s="1"/>
  <c r="F107" i="18"/>
  <c r="G107" i="18" s="1"/>
  <c r="D107" i="34"/>
  <c r="F35" i="18"/>
  <c r="G35" i="18" s="1"/>
  <c r="J177" i="18"/>
  <c r="I177" i="34"/>
  <c r="J139" i="18"/>
  <c r="I139" i="34"/>
  <c r="J139" i="34" s="1"/>
  <c r="F92" i="18"/>
  <c r="G92" i="18" s="1"/>
  <c r="D92" i="34"/>
  <c r="F92" i="34" s="1"/>
  <c r="G92" i="34" s="1"/>
  <c r="H17" i="34"/>
  <c r="D158" i="34"/>
  <c r="F158" i="34" s="1"/>
  <c r="G158" i="34" s="1"/>
  <c r="E43" i="34"/>
  <c r="F43" i="34" s="1"/>
  <c r="G43" i="34" s="1"/>
  <c r="F59" i="18"/>
  <c r="G59" i="18" s="1"/>
  <c r="D44" i="34"/>
  <c r="F44" i="34" s="1"/>
  <c r="G44" i="34" s="1"/>
  <c r="F15" i="18"/>
  <c r="G15" i="18" s="1"/>
  <c r="E15" i="34"/>
  <c r="F15" i="34" s="1"/>
  <c r="G15" i="34" s="1"/>
  <c r="J150" i="18"/>
  <c r="I150" i="34"/>
  <c r="J150" i="34" s="1"/>
  <c r="J113" i="18"/>
  <c r="F142" i="18"/>
  <c r="G142" i="18" s="1"/>
  <c r="E5" i="34"/>
  <c r="E2" i="18"/>
  <c r="J64" i="18"/>
  <c r="I64" i="34"/>
  <c r="J64" i="34" s="1"/>
  <c r="F131" i="18"/>
  <c r="G131" i="18" s="1"/>
  <c r="D131" i="34"/>
  <c r="F131" i="34" s="1"/>
  <c r="G131" i="34" s="1"/>
  <c r="F108" i="18"/>
  <c r="G108" i="18" s="1"/>
  <c r="D108" i="34"/>
  <c r="F108" i="34" s="1"/>
  <c r="G108" i="34" s="1"/>
  <c r="E51" i="34"/>
  <c r="F51" i="34" s="1"/>
  <c r="G51" i="34" s="1"/>
  <c r="F51" i="18"/>
  <c r="G51" i="18" s="1"/>
  <c r="H65" i="34"/>
  <c r="J65" i="34" s="1"/>
  <c r="J65" i="18"/>
  <c r="J77" i="18"/>
  <c r="I77" i="34"/>
  <c r="J77" i="34" s="1"/>
  <c r="J137" i="18"/>
  <c r="F115" i="18"/>
  <c r="G115" i="18" s="1"/>
  <c r="D115" i="34"/>
  <c r="F115" i="34" s="1"/>
  <c r="G115" i="34" s="1"/>
  <c r="F99" i="18"/>
  <c r="G99" i="18" s="1"/>
  <c r="D99" i="34"/>
  <c r="F99" i="34" s="1"/>
  <c r="G99" i="34" s="1"/>
  <c r="F27" i="18"/>
  <c r="G27" i="18" s="1"/>
  <c r="F171" i="18"/>
  <c r="G171" i="18" s="1"/>
  <c r="D171" i="34"/>
  <c r="F171" i="34" s="1"/>
  <c r="G171" i="34" s="1"/>
  <c r="J89" i="34"/>
  <c r="F16" i="18"/>
  <c r="G16" i="18" s="1"/>
  <c r="D16" i="34"/>
  <c r="F16" i="34" s="1"/>
  <c r="G16" i="34" s="1"/>
  <c r="F124" i="34"/>
  <c r="G124" i="34" s="1"/>
  <c r="J93" i="18"/>
  <c r="F95" i="18"/>
  <c r="G95" i="18" s="1"/>
  <c r="D95" i="34"/>
  <c r="F95" i="34" s="1"/>
  <c r="G95" i="34" s="1"/>
  <c r="F135" i="18"/>
  <c r="G135" i="18" s="1"/>
  <c r="E135" i="34"/>
  <c r="F135" i="34" s="1"/>
  <c r="G135" i="34" s="1"/>
  <c r="F127" i="18"/>
  <c r="G127" i="18" s="1"/>
  <c r="E127" i="34"/>
  <c r="F127" i="34" s="1"/>
  <c r="G127" i="34" s="1"/>
  <c r="E111" i="34"/>
  <c r="F111" i="34" s="1"/>
  <c r="G111" i="34" s="1"/>
  <c r="F111" i="18"/>
  <c r="G111" i="18" s="1"/>
  <c r="J148" i="18"/>
  <c r="H148" i="34"/>
  <c r="J148" i="34" s="1"/>
  <c r="H140" i="34"/>
  <c r="J140" i="34" s="1"/>
  <c r="J140" i="18"/>
  <c r="H28" i="34"/>
  <c r="F145" i="18"/>
  <c r="G145" i="18" s="1"/>
  <c r="D145" i="34"/>
  <c r="F145" i="34" s="1"/>
  <c r="G145" i="34" s="1"/>
  <c r="H161" i="34"/>
  <c r="J161" i="34" s="1"/>
  <c r="J161" i="18"/>
  <c r="E9" i="34"/>
  <c r="F9" i="34" s="1"/>
  <c r="G9" i="34" s="1"/>
  <c r="F9" i="18"/>
  <c r="G9" i="18" s="1"/>
  <c r="F116" i="18"/>
  <c r="G116" i="18" s="1"/>
  <c r="D116" i="34"/>
  <c r="F116" i="34" s="1"/>
  <c r="G116" i="34" s="1"/>
  <c r="D84" i="34"/>
  <c r="F84" i="18"/>
  <c r="G84" i="18" s="1"/>
  <c r="E67" i="34"/>
  <c r="F67" i="34" s="1"/>
  <c r="G67" i="34" s="1"/>
  <c r="F67" i="18"/>
  <c r="G67" i="18" s="1"/>
  <c r="D150" i="34"/>
  <c r="F150" i="34" s="1"/>
  <c r="G150" i="34" s="1"/>
  <c r="F150" i="18"/>
  <c r="G150" i="18" s="1"/>
  <c r="F19" i="18"/>
  <c r="G19" i="18" s="1"/>
  <c r="D87" i="34"/>
  <c r="F87" i="34" s="1"/>
  <c r="G87" i="34" s="1"/>
  <c r="I135" i="34"/>
  <c r="J135" i="34" s="1"/>
  <c r="J135" i="18"/>
  <c r="F100" i="18"/>
  <c r="G100" i="18" s="1"/>
  <c r="F30" i="18"/>
  <c r="G30" i="18" s="1"/>
  <c r="D2" i="18"/>
  <c r="I151" i="34"/>
  <c r="J151" i="34" s="1"/>
  <c r="J151" i="18"/>
  <c r="J72" i="18"/>
  <c r="I72" i="34"/>
  <c r="J72" i="34" s="1"/>
  <c r="F70" i="18"/>
  <c r="G70" i="18" s="1"/>
  <c r="D70" i="34"/>
  <c r="F70" i="34" s="1"/>
  <c r="G70" i="34" s="1"/>
  <c r="F62" i="18"/>
  <c r="G62" i="18" s="1"/>
  <c r="D62" i="34"/>
  <c r="F62" i="34" s="1"/>
  <c r="G62" i="34" s="1"/>
  <c r="E164" i="34"/>
  <c r="F164" i="34" s="1"/>
  <c r="G164" i="34" s="1"/>
  <c r="F164" i="18"/>
  <c r="G164" i="18" s="1"/>
  <c r="J162" i="18"/>
  <c r="I162" i="34"/>
  <c r="J162" i="34" s="1"/>
  <c r="F195" i="18"/>
  <c r="G195" i="18" s="1"/>
  <c r="D195" i="34"/>
  <c r="F195" i="34" s="1"/>
  <c r="G195" i="34" s="1"/>
  <c r="F7" i="18"/>
  <c r="G7" i="18" s="1"/>
  <c r="I67" i="34"/>
  <c r="J67" i="34" s="1"/>
  <c r="H107" i="34"/>
  <c r="J99" i="18"/>
  <c r="F152" i="18"/>
  <c r="G152" i="18" s="1"/>
  <c r="J87" i="18"/>
  <c r="I87" i="34"/>
  <c r="J87" i="34" s="1"/>
  <c r="F132" i="18"/>
  <c r="G132" i="18" s="1"/>
  <c r="F124" i="18"/>
  <c r="G124" i="18" s="1"/>
  <c r="F37" i="18"/>
  <c r="G37" i="18" s="1"/>
  <c r="H138" i="34"/>
  <c r="J138" i="34" s="1"/>
  <c r="J138" i="18"/>
  <c r="F159" i="18"/>
  <c r="G159" i="18" s="1"/>
  <c r="D159" i="34"/>
  <c r="F159" i="34" s="1"/>
  <c r="G159" i="34" s="1"/>
  <c r="I175" i="34"/>
  <c r="J175" i="34" s="1"/>
  <c r="F182" i="18"/>
  <c r="G182" i="18" s="1"/>
  <c r="F83" i="34"/>
  <c r="G83" i="34" s="1"/>
  <c r="H51" i="34"/>
  <c r="J51" i="34" s="1"/>
  <c r="F38" i="18"/>
  <c r="G38" i="18" s="1"/>
  <c r="J59" i="18"/>
  <c r="F149" i="34"/>
  <c r="G149" i="34" s="1"/>
  <c r="J102" i="18"/>
  <c r="I102" i="34"/>
  <c r="J102" i="34" s="1"/>
  <c r="F129" i="18"/>
  <c r="G129" i="18" s="1"/>
  <c r="D129" i="34"/>
  <c r="F129" i="34" s="1"/>
  <c r="G129" i="34" s="1"/>
  <c r="D122" i="34"/>
  <c r="F122" i="34" s="1"/>
  <c r="G122" i="34" s="1"/>
  <c r="F122" i="18"/>
  <c r="G122" i="18" s="1"/>
  <c r="J147" i="18"/>
  <c r="J115" i="18"/>
  <c r="J156" i="18"/>
  <c r="J121" i="18"/>
  <c r="J153" i="18"/>
  <c r="I153" i="34"/>
  <c r="J153" i="34" s="1"/>
  <c r="J155" i="18"/>
  <c r="I155" i="34"/>
  <c r="J155" i="34" s="1"/>
  <c r="F181" i="18"/>
  <c r="G181" i="18" s="1"/>
  <c r="I179" i="34"/>
  <c r="J179" i="34" s="1"/>
  <c r="J179" i="18"/>
  <c r="J169" i="18"/>
  <c r="J83" i="18"/>
  <c r="I83" i="34"/>
  <c r="J83" i="34" s="1"/>
  <c r="J163" i="34"/>
  <c r="F181" i="34"/>
  <c r="G181" i="34" s="1"/>
  <c r="J131" i="18"/>
  <c r="J89" i="18"/>
  <c r="J97" i="18"/>
  <c r="F192" i="18"/>
  <c r="G192" i="18" s="1"/>
  <c r="F197" i="18"/>
  <c r="G197" i="18" s="1"/>
  <c r="J75" i="18"/>
  <c r="J123" i="18"/>
  <c r="J129" i="18"/>
  <c r="J165" i="34"/>
  <c r="F66" i="18"/>
  <c r="G66" i="18" s="1"/>
  <c r="F50" i="18"/>
  <c r="G50" i="18" s="1"/>
  <c r="F42" i="18"/>
  <c r="G42" i="18" s="1"/>
  <c r="F34" i="18"/>
  <c r="G34" i="18" s="1"/>
  <c r="F18" i="18"/>
  <c r="G18" i="18" s="1"/>
  <c r="F167" i="18"/>
  <c r="G167" i="18" s="1"/>
  <c r="F172" i="18"/>
  <c r="G172" i="18" s="1"/>
  <c r="F196" i="18"/>
  <c r="G196" i="18" s="1"/>
  <c r="J95" i="34"/>
  <c r="J121" i="34"/>
  <c r="D114" i="34"/>
  <c r="F114" i="34" s="1"/>
  <c r="G114" i="34" s="1"/>
  <c r="D35" i="34"/>
  <c r="F35" i="34" s="1"/>
  <c r="G35" i="34" s="1"/>
  <c r="J20" i="18"/>
  <c r="J145" i="18"/>
  <c r="F190" i="18"/>
  <c r="G190" i="18" s="1"/>
  <c r="J20" i="34"/>
  <c r="F5" i="18"/>
  <c r="G5" i="18" s="1"/>
  <c r="F13" i="18"/>
  <c r="G13" i="18" s="1"/>
  <c r="D19" i="34"/>
  <c r="F19" i="34" s="1"/>
  <c r="G19" i="34" s="1"/>
  <c r="J68" i="18"/>
  <c r="F103" i="18"/>
  <c r="G103" i="18" s="1"/>
  <c r="J176" i="18"/>
  <c r="F189" i="18"/>
  <c r="G189" i="18" s="1"/>
  <c r="F11" i="34"/>
  <c r="G11" i="34" s="1"/>
  <c r="F134" i="34"/>
  <c r="G134" i="34" s="1"/>
  <c r="F110" i="34"/>
  <c r="G110" i="34" s="1"/>
  <c r="F106" i="34"/>
  <c r="G106" i="34" s="1"/>
  <c r="F103" i="34"/>
  <c r="G103" i="34" s="1"/>
  <c r="F93" i="34"/>
  <c r="G93" i="34" s="1"/>
  <c r="F90" i="34"/>
  <c r="G90" i="34" s="1"/>
  <c r="F89" i="34"/>
  <c r="G89" i="34" s="1"/>
  <c r="F77" i="34"/>
  <c r="G77" i="34" s="1"/>
  <c r="F30" i="34"/>
  <c r="G30" i="34" s="1"/>
  <c r="F27" i="34"/>
  <c r="G27" i="34" s="1"/>
  <c r="F141" i="34"/>
  <c r="G141" i="34" s="1"/>
  <c r="F136" i="18"/>
  <c r="G136" i="18" s="1"/>
  <c r="F134" i="18"/>
  <c r="G134" i="18" s="1"/>
  <c r="F128" i="18"/>
  <c r="G128" i="18" s="1"/>
  <c r="F126" i="18"/>
  <c r="G126" i="18" s="1"/>
  <c r="F71" i="18"/>
  <c r="G71" i="18" s="1"/>
  <c r="F63" i="18"/>
  <c r="G63" i="18" s="1"/>
  <c r="I24" i="18"/>
  <c r="I24" i="34" s="1"/>
  <c r="J24" i="34" s="1"/>
  <c r="J24" i="21"/>
  <c r="F178" i="34"/>
  <c r="G178" i="34" s="1"/>
  <c r="F173" i="34"/>
  <c r="G173" i="34" s="1"/>
  <c r="F165" i="34"/>
  <c r="G165" i="34" s="1"/>
  <c r="F194" i="34"/>
  <c r="G194" i="34" s="1"/>
  <c r="I85" i="34"/>
  <c r="J85" i="34" s="1"/>
  <c r="J85" i="18"/>
  <c r="I133" i="34"/>
  <c r="J133" i="34" s="1"/>
  <c r="J133" i="18"/>
  <c r="F130" i="18"/>
  <c r="G130" i="18" s="1"/>
  <c r="F104" i="18"/>
  <c r="G104" i="18" s="1"/>
  <c r="F12" i="34"/>
  <c r="G12" i="34" s="1"/>
  <c r="F128" i="34"/>
  <c r="G128" i="34" s="1"/>
  <c r="F90" i="18"/>
  <c r="G90" i="18" s="1"/>
  <c r="F173" i="18"/>
  <c r="G173" i="18" s="1"/>
  <c r="J141" i="34"/>
  <c r="F58" i="18"/>
  <c r="G58" i="18" s="1"/>
  <c r="F26" i="18"/>
  <c r="G26" i="18" s="1"/>
  <c r="F194" i="18"/>
  <c r="G194" i="18" s="1"/>
  <c r="D13" i="34"/>
  <c r="F13" i="34" s="1"/>
  <c r="G13" i="34" s="1"/>
  <c r="F106" i="18"/>
  <c r="G106" i="18" s="1"/>
  <c r="J124" i="18"/>
  <c r="J116" i="18"/>
  <c r="F182" i="34"/>
  <c r="G182" i="34" s="1"/>
  <c r="F163" i="34"/>
  <c r="G163" i="34" s="1"/>
  <c r="F179" i="18"/>
  <c r="G179" i="18" s="1"/>
  <c r="J189" i="34"/>
  <c r="F198" i="18"/>
  <c r="G198" i="18" s="1"/>
  <c r="J8" i="18"/>
  <c r="D8" i="34"/>
  <c r="F8" i="34" s="1"/>
  <c r="G8" i="34" s="1"/>
  <c r="F81" i="34"/>
  <c r="G81" i="34" s="1"/>
  <c r="J147" i="34"/>
  <c r="F186" i="18"/>
  <c r="G186" i="18" s="1"/>
  <c r="F130" i="34"/>
  <c r="G130" i="34" s="1"/>
  <c r="H2" i="18"/>
  <c r="J130" i="18"/>
  <c r="J122" i="18"/>
  <c r="J114" i="18"/>
  <c r="J82" i="18"/>
  <c r="J172" i="34"/>
  <c r="F4" i="18"/>
  <c r="G4" i="18" s="1"/>
  <c r="D4" i="34"/>
  <c r="F4" i="34" s="1"/>
  <c r="G4" i="34" s="1"/>
  <c r="D5" i="34"/>
  <c r="F94" i="34"/>
  <c r="G94" i="34" s="1"/>
  <c r="J186" i="34"/>
  <c r="F41" i="34"/>
  <c r="G41" i="34" s="1"/>
  <c r="F110" i="18"/>
  <c r="G110" i="18" s="1"/>
  <c r="F102" i="18"/>
  <c r="G102" i="18" s="1"/>
  <c r="F94" i="18"/>
  <c r="G94" i="18" s="1"/>
  <c r="F86" i="18"/>
  <c r="G86" i="18" s="1"/>
  <c r="F74" i="18"/>
  <c r="G74" i="18" s="1"/>
  <c r="D74" i="34"/>
  <c r="F74" i="34" s="1"/>
  <c r="G74" i="34" s="1"/>
  <c r="F28" i="18"/>
  <c r="G28" i="18" s="1"/>
  <c r="D28" i="34"/>
  <c r="F28" i="34" s="1"/>
  <c r="G28" i="34" s="1"/>
  <c r="F184" i="18"/>
  <c r="G184" i="18" s="1"/>
  <c r="D184" i="34"/>
  <c r="F184" i="34" s="1"/>
  <c r="G184" i="34" s="1"/>
  <c r="H182" i="34"/>
  <c r="F63" i="34"/>
  <c r="G63" i="34" s="1"/>
  <c r="F88" i="18"/>
  <c r="G88" i="18" s="1"/>
  <c r="F80" i="18"/>
  <c r="G80" i="18" s="1"/>
  <c r="D80" i="34"/>
  <c r="F80" i="34" s="1"/>
  <c r="G80" i="34" s="1"/>
  <c r="D20" i="34"/>
  <c r="F20" i="18"/>
  <c r="G20" i="18" s="1"/>
  <c r="F161" i="18"/>
  <c r="G161" i="18" s="1"/>
  <c r="E161" i="34"/>
  <c r="F161" i="34" s="1"/>
  <c r="G161" i="34" s="1"/>
  <c r="F112" i="18"/>
  <c r="G112" i="18" s="1"/>
  <c r="F147" i="18"/>
  <c r="G147" i="18" s="1"/>
  <c r="D147" i="34"/>
  <c r="F147" i="34" s="1"/>
  <c r="G147" i="34" s="1"/>
  <c r="D139" i="34"/>
  <c r="F139" i="34" s="1"/>
  <c r="G139" i="34" s="1"/>
  <c r="F139" i="18"/>
  <c r="G139" i="18" s="1"/>
  <c r="D48" i="34"/>
  <c r="F48" i="34" s="1"/>
  <c r="G48" i="34" s="1"/>
  <c r="F48" i="18"/>
  <c r="G48" i="18" s="1"/>
  <c r="H76" i="34"/>
  <c r="H52" i="34"/>
  <c r="J44" i="18"/>
  <c r="H44" i="34"/>
  <c r="J172" i="18"/>
  <c r="F193" i="18"/>
  <c r="G193" i="18" s="1"/>
  <c r="D193" i="34"/>
  <c r="F193" i="34" s="1"/>
  <c r="G193" i="34" s="1"/>
  <c r="F191" i="18"/>
  <c r="G191" i="18" s="1"/>
  <c r="E191" i="34"/>
  <c r="F7" i="34"/>
  <c r="G7" i="34" s="1"/>
  <c r="D153" i="34"/>
  <c r="F153" i="34" s="1"/>
  <c r="G153" i="34" s="1"/>
  <c r="F153" i="18"/>
  <c r="G153" i="18" s="1"/>
  <c r="F138" i="18"/>
  <c r="G138" i="18" s="1"/>
  <c r="E138" i="34"/>
  <c r="F138" i="34" s="1"/>
  <c r="G138" i="34" s="1"/>
  <c r="F169" i="18"/>
  <c r="G169" i="18" s="1"/>
  <c r="D169" i="34"/>
  <c r="F169" i="34" s="1"/>
  <c r="G169" i="34" s="1"/>
  <c r="H167" i="34"/>
  <c r="J167" i="34" s="1"/>
  <c r="J167" i="18"/>
  <c r="F54" i="18"/>
  <c r="G54" i="18" s="1"/>
  <c r="D54" i="34"/>
  <c r="F54" i="34" s="1"/>
  <c r="G54" i="34" s="1"/>
  <c r="D46" i="34"/>
  <c r="F46" i="34" s="1"/>
  <c r="G46" i="34" s="1"/>
  <c r="F46" i="18"/>
  <c r="G46" i="18" s="1"/>
  <c r="F55" i="18"/>
  <c r="G55" i="18" s="1"/>
  <c r="E55" i="34"/>
  <c r="F55" i="34" s="1"/>
  <c r="G55" i="34" s="1"/>
  <c r="F47" i="18"/>
  <c r="G47" i="18" s="1"/>
  <c r="E47" i="34"/>
  <c r="F47" i="34" s="1"/>
  <c r="G47" i="34" s="1"/>
  <c r="E39" i="34"/>
  <c r="F39" i="34" s="1"/>
  <c r="G39" i="34" s="1"/>
  <c r="F39" i="18"/>
  <c r="G39" i="18" s="1"/>
  <c r="F31" i="18"/>
  <c r="G31" i="18" s="1"/>
  <c r="E31" i="34"/>
  <c r="F31" i="34" s="1"/>
  <c r="G31" i="34" s="1"/>
  <c r="E23" i="34"/>
  <c r="F23" i="34" s="1"/>
  <c r="G23" i="34" s="1"/>
  <c r="F23" i="18"/>
  <c r="G23" i="18" s="1"/>
  <c r="J90" i="18"/>
  <c r="H90" i="34"/>
  <c r="J50" i="18"/>
  <c r="H50" i="34"/>
  <c r="J42" i="18"/>
  <c r="H42" i="34"/>
  <c r="J42" i="34" s="1"/>
  <c r="H34" i="34"/>
  <c r="H18" i="34"/>
  <c r="F68" i="18"/>
  <c r="G68" i="18" s="1"/>
  <c r="D68" i="34"/>
  <c r="F60" i="18"/>
  <c r="G60" i="18" s="1"/>
  <c r="D60" i="34"/>
  <c r="F60" i="34" s="1"/>
  <c r="G60" i="34" s="1"/>
  <c r="H160" i="34"/>
  <c r="J160" i="34" s="1"/>
  <c r="J160" i="18"/>
  <c r="F185" i="34"/>
  <c r="G185" i="34" s="1"/>
  <c r="D175" i="34"/>
  <c r="F175" i="34" s="1"/>
  <c r="G175" i="34" s="1"/>
  <c r="F175" i="18"/>
  <c r="G175" i="18" s="1"/>
  <c r="J173" i="18"/>
  <c r="H173" i="34"/>
  <c r="J173" i="34" s="1"/>
  <c r="F100" i="34"/>
  <c r="G100" i="34" s="1"/>
  <c r="F96" i="18"/>
  <c r="G96" i="18" s="1"/>
  <c r="F82" i="18"/>
  <c r="G82" i="18" s="1"/>
  <c r="D82" i="34"/>
  <c r="F82" i="34" s="1"/>
  <c r="G82" i="34" s="1"/>
  <c r="D52" i="34"/>
  <c r="F52" i="34" s="1"/>
  <c r="G52" i="34" s="1"/>
  <c r="F52" i="18"/>
  <c r="G52" i="18" s="1"/>
  <c r="F22" i="18"/>
  <c r="G22" i="18" s="1"/>
  <c r="D22" i="34"/>
  <c r="F22" i="34" s="1"/>
  <c r="G22" i="34" s="1"/>
  <c r="F118" i="18"/>
  <c r="G118" i="18" s="1"/>
  <c r="E118" i="34"/>
  <c r="F118" i="34" s="1"/>
  <c r="G118" i="34" s="1"/>
  <c r="E78" i="34"/>
  <c r="F78" i="34" s="1"/>
  <c r="G78" i="34" s="1"/>
  <c r="F78" i="18"/>
  <c r="G78" i="18" s="1"/>
  <c r="F69" i="18"/>
  <c r="G69" i="18" s="1"/>
  <c r="E69" i="34"/>
  <c r="F69" i="34" s="1"/>
  <c r="G69" i="34" s="1"/>
  <c r="F61" i="18"/>
  <c r="G61" i="18" s="1"/>
  <c r="E61" i="34"/>
  <c r="F61" i="34" s="1"/>
  <c r="G61" i="34" s="1"/>
  <c r="F53" i="18"/>
  <c r="G53" i="18" s="1"/>
  <c r="E53" i="34"/>
  <c r="F53" i="34" s="1"/>
  <c r="G53" i="34" s="1"/>
  <c r="F45" i="18"/>
  <c r="G45" i="18" s="1"/>
  <c r="E45" i="34"/>
  <c r="F45" i="34" s="1"/>
  <c r="G45" i="34" s="1"/>
  <c r="F29" i="18"/>
  <c r="G29" i="18" s="1"/>
  <c r="E29" i="34"/>
  <c r="F29" i="34" s="1"/>
  <c r="G29" i="34" s="1"/>
  <c r="F21" i="18"/>
  <c r="G21" i="18" s="1"/>
  <c r="E21" i="34"/>
  <c r="F21" i="34" s="1"/>
  <c r="G21" i="34" s="1"/>
  <c r="F170" i="18"/>
  <c r="G170" i="18" s="1"/>
  <c r="E179" i="34"/>
  <c r="F179" i="34" s="1"/>
  <c r="G179" i="34" s="1"/>
  <c r="J154" i="18"/>
  <c r="F188" i="18"/>
  <c r="G188" i="18" s="1"/>
  <c r="F165" i="18"/>
  <c r="G165" i="18" s="1"/>
  <c r="F2" i="30"/>
  <c r="G2" i="30" s="1"/>
  <c r="F107" i="34" l="1"/>
  <c r="G107" i="34" s="1"/>
  <c r="F192" i="34"/>
  <c r="G192" i="34" s="1"/>
  <c r="F199" i="34"/>
  <c r="G199" i="34" s="1"/>
  <c r="F200" i="34"/>
  <c r="G200" i="34" s="1"/>
  <c r="J152" i="34"/>
  <c r="F191" i="34"/>
  <c r="G191" i="34" s="1"/>
  <c r="J184" i="34"/>
  <c r="I131" i="34"/>
  <c r="J131" i="34" s="1"/>
  <c r="I105" i="34"/>
  <c r="J105" i="34" s="1"/>
  <c r="J154" i="34"/>
  <c r="F84" i="34"/>
  <c r="G84" i="34" s="1"/>
  <c r="J84" i="34"/>
  <c r="I94" i="34"/>
  <c r="J94" i="34" s="1"/>
  <c r="I92" i="34"/>
  <c r="J92" i="34" s="1"/>
  <c r="J90" i="34"/>
  <c r="I108" i="34"/>
  <c r="J108" i="34" s="1"/>
  <c r="I129" i="34"/>
  <c r="J129" i="34" s="1"/>
  <c r="I127" i="34"/>
  <c r="J127" i="34" s="1"/>
  <c r="I123" i="34"/>
  <c r="J123" i="34" s="1"/>
  <c r="I68" i="34"/>
  <c r="J68" i="34" s="1"/>
  <c r="F68" i="34"/>
  <c r="G68" i="34" s="1"/>
  <c r="J69" i="34"/>
  <c r="I21" i="34"/>
  <c r="J21" i="34" s="1"/>
  <c r="J177" i="34"/>
  <c r="I176" i="34"/>
  <c r="J176" i="34" s="1"/>
  <c r="I36" i="34"/>
  <c r="J36" i="34" s="1"/>
  <c r="I2" i="29"/>
  <c r="J2" i="29" s="1"/>
  <c r="F2" i="29"/>
  <c r="G2" i="29" s="1"/>
  <c r="J198" i="34"/>
  <c r="J193" i="34"/>
  <c r="J195" i="34"/>
  <c r="F198" i="34"/>
  <c r="G198" i="34" s="1"/>
  <c r="J196" i="34"/>
  <c r="J132" i="18"/>
  <c r="I158" i="34"/>
  <c r="J158" i="34" s="1"/>
  <c r="I143" i="34"/>
  <c r="J143" i="34" s="1"/>
  <c r="I103" i="34"/>
  <c r="J103" i="34" s="1"/>
  <c r="J105" i="18"/>
  <c r="I101" i="34"/>
  <c r="J101" i="34" s="1"/>
  <c r="J98" i="18"/>
  <c r="I106" i="34"/>
  <c r="J106" i="34" s="1"/>
  <c r="J108" i="18"/>
  <c r="J98" i="34"/>
  <c r="J92" i="18"/>
  <c r="J100" i="18"/>
  <c r="J107" i="34"/>
  <c r="J107" i="18"/>
  <c r="J76" i="18"/>
  <c r="J76" i="34"/>
  <c r="I190" i="34"/>
  <c r="J190" i="34" s="1"/>
  <c r="J187" i="18"/>
  <c r="J12" i="18"/>
  <c r="I63" i="34"/>
  <c r="J63" i="34" s="1"/>
  <c r="J74" i="18"/>
  <c r="J112" i="18"/>
  <c r="J111" i="18"/>
  <c r="J91" i="18"/>
  <c r="J182" i="18"/>
  <c r="J55" i="18"/>
  <c r="I180" i="34"/>
  <c r="J180" i="34" s="1"/>
  <c r="J50" i="34"/>
  <c r="J48" i="18"/>
  <c r="J43" i="18"/>
  <c r="J40" i="18"/>
  <c r="J36" i="18"/>
  <c r="J34" i="18"/>
  <c r="J34" i="34"/>
  <c r="J25" i="18"/>
  <c r="J15" i="18"/>
  <c r="J44" i="34"/>
  <c r="J7" i="18"/>
  <c r="J81" i="18"/>
  <c r="J168" i="18"/>
  <c r="J11" i="18"/>
  <c r="J19" i="18"/>
  <c r="J61" i="18"/>
  <c r="J60" i="18"/>
  <c r="J57" i="18"/>
  <c r="J182" i="34"/>
  <c r="I56" i="34"/>
  <c r="J56" i="34" s="1"/>
  <c r="I54" i="34"/>
  <c r="J54" i="34" s="1"/>
  <c r="J178" i="18"/>
  <c r="I47" i="34"/>
  <c r="J47" i="34" s="1"/>
  <c r="J45" i="18"/>
  <c r="J73" i="18"/>
  <c r="I41" i="34"/>
  <c r="J41" i="34" s="1"/>
  <c r="I37" i="34"/>
  <c r="J37" i="34" s="1"/>
  <c r="J35" i="18"/>
  <c r="J31" i="18"/>
  <c r="J166" i="18"/>
  <c r="J164" i="18"/>
  <c r="J38" i="18"/>
  <c r="J33" i="18"/>
  <c r="I32" i="34"/>
  <c r="J32" i="34" s="1"/>
  <c r="I29" i="34"/>
  <c r="J29" i="34" s="1"/>
  <c r="J170" i="18"/>
  <c r="J21" i="18"/>
  <c r="J16" i="18"/>
  <c r="J142" i="18"/>
  <c r="I13" i="34"/>
  <c r="J13" i="34" s="1"/>
  <c r="J10" i="18"/>
  <c r="J9" i="18"/>
  <c r="J5" i="18"/>
  <c r="J52" i="18"/>
  <c r="J52" i="34"/>
  <c r="J39" i="18"/>
  <c r="J22" i="18"/>
  <c r="J6" i="18"/>
  <c r="J17" i="18"/>
  <c r="J18" i="18"/>
  <c r="I62" i="34"/>
  <c r="J62" i="34" s="1"/>
  <c r="J58" i="18"/>
  <c r="J53" i="18"/>
  <c r="J49" i="18"/>
  <c r="J46" i="18"/>
  <c r="J28" i="18"/>
  <c r="J28" i="34"/>
  <c r="J27" i="18"/>
  <c r="I14" i="34"/>
  <c r="J14" i="34" s="1"/>
  <c r="I4" i="34"/>
  <c r="J4" i="34" s="1"/>
  <c r="J84" i="18"/>
  <c r="J80" i="18"/>
  <c r="I80" i="34"/>
  <c r="J80" i="34" s="1"/>
  <c r="F2" i="18"/>
  <c r="G2" i="18" s="1"/>
  <c r="I2" i="18"/>
  <c r="J2" i="18" s="1"/>
  <c r="J17" i="34"/>
  <c r="F5" i="34"/>
  <c r="G5" i="34" s="1"/>
  <c r="J24" i="18"/>
  <c r="J18" i="34"/>
  <c r="H2" i="34"/>
  <c r="F20" i="34"/>
  <c r="G20" i="34" s="1"/>
  <c r="D2" i="34"/>
  <c r="E2" i="34"/>
  <c r="I2" i="34" l="1"/>
  <c r="J2" i="34" s="1"/>
  <c r="F2" i="34"/>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tc={FEC78F6E-B6A8-46E5-AE38-8A2E85B6C96B}</author>
  </authors>
  <commentList>
    <comment ref="D10" authorId="0" shapeId="0" xr:uid="{FEC78F6E-B6A8-46E5-AE38-8A2E85B6C96B}">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tc={47C2B8D1-FF8F-4B22-B4D7-B7CE2920B0C7}</author>
  </authors>
  <commentList>
    <comment ref="D10" authorId="0" shapeId="0" xr:uid="{47C2B8D1-FF8F-4B22-B4D7-B7CE2920B0C7}">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<sst xmlns="http://schemas.openxmlformats.org/spreadsheetml/2006/main" count="4050" uniqueCount="2468">
  <si>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</si>
  <si>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</si>
  <si>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</si>
  <si>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</si>
  <si>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</si>
  <si>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</si>
  <si>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</si>
  <si>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</si>
  <si>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</si>
  <si>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</si>
  <si>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</si>
  <si>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</si>
  <si>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</si>
  <si>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</si>
  <si>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</si>
  <si>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</si>
  <si>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</si>
  <si>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</si>
  <si>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</si>
  <si>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</si>
  <si>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</si>
  <si>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</si>
  <si>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</si>
  <si>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1.Low generation due to weather/snow.</t>
  </si>
  <si>
    <t>1.Meter has no communication due that we have added total inverter production as total site production</t>
  </si>
  <si>
    <t>1. SR094057</t>
  </si>
  <si>
    <t>1. Site tripped offline at 13:15 and self resolved at 14:15 on 01/15</t>
  </si>
  <si>
    <t>1. SR091355</t>
  </si>
  <si>
    <t>1. Inverter 2 was offline throughout the month and reporting fault "Watchdog". Gen Cap will work directly with Rural Solar.
2. Inverter 1 is underperforming 30kW, no fault code. Holding dispatch until all inverters are replaced during repower.</t>
  </si>
  <si>
    <t>1. SR082252,SR092555
2. SR091903</t>
  </si>
  <si>
    <t>SR092555</t>
  </si>
  <si>
    <t>SR091903</t>
  </si>
  <si>
    <t>1. 8 inverters are offline and need to be replaced, no fault code. Gen Cap will work directly with Rural Solar.</t>
  </si>
  <si>
    <t>1. SR092556</t>
  </si>
  <si>
    <t>1. Site underperformed by 24kW, likely due to one of the offline inverter. Technician found Inverter 2 offline due to an ARC detection fault. Replaced MC4 connector for String 13, restoring production on 01/23.</t>
  </si>
  <si>
    <t>1. SR095708</t>
  </si>
  <si>
    <t>1. Expected values are too low observed during monthly reports. The weather station at site is virtual weather station.</t>
  </si>
  <si>
    <t>1. SR093028</t>
  </si>
  <si>
    <t>1. Inverter 2 has been sporadically derating on high irradiance days, with a history of issues. Technician, with SMA's support, identified an overcurrent in one IGBT CT. The entire IGBT unit will to be replaced.
2. Expected values are too low observed during monthly reports. The weather station at site is virtual weather station.</t>
  </si>
  <si>
    <t>1. SR091894
2. SR093029</t>
  </si>
  <si>
    <t>SR093029</t>
  </si>
  <si>
    <t>1. Meters 8 &amp; 9 are continuously tripping and self-resolving. Technician found a State 514 fault, and Fronius confirmed two faulty power stacks need replacement.</t>
  </si>
  <si>
    <t>1. SR093550</t>
  </si>
  <si>
    <t>1. Inverters 4 and 11 are experiencing heavy shading throughout the day due to trees.</t>
  </si>
  <si>
    <t>1. SR093047</t>
  </si>
  <si>
    <t>1. Inverter 3 was offline on 01/16 with no fault code and self resolved on 01/17.</t>
  </si>
  <si>
    <t>1. SR095619</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</si>
  <si>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</si>
  <si>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</si>
  <si>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</si>
  <si>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</si>
  <si>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</si>
  <si>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</si>
  <si>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</si>
  <si>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</si>
  <si>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</si>
  <si>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</si>
  <si>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</si>
  <si>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</si>
  <si>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</si>
  <si>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</si>
  <si>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</si>
  <si>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</si>
  <si>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</si>
  <si>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</si>
  <si>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</si>
  <si>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</si>
  <si>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</si>
  <si>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</si>
  <si>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</si>
  <si>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</si>
  <si>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</si>
  <si>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</si>
  <si>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</si>
  <si>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</si>
  <si>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</si>
  <si>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</si>
  <si>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</si>
  <si>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</si>
  <si>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</si>
  <si>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</si>
  <si>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</si>
  <si>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</si>
  <si>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</si>
  <si>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</si>
  <si>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</si>
  <si>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</si>
  <si>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</si>
  <si>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</si>
  <si>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</si>
  <si>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</si>
  <si>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</si>
  <si>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</si>
  <si>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</si>
  <si>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</si>
  <si>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</si>
  <si>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</si>
  <si>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</si>
  <si>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</si>
  <si>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</si>
  <si>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</si>
  <si>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</si>
  <si>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</si>
  <si>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</si>
  <si>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</si>
  <si>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</si>
  <si>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</si>
  <si>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</si>
  <si>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</si>
  <si>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</si>
  <si>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</si>
  <si>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</si>
  <si>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</si>
  <si>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</si>
  <si>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</si>
  <si>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</si>
  <si>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</si>
  <si>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</si>
  <si>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</si>
  <si>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</si>
  <si>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</si>
  <si>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</si>
  <si>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</si>
  <si>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</si>
  <si>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</si>
  <si>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</si>
  <si>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</si>
  <si>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</si>
  <si>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</si>
  <si>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</si>
  <si>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</si>
  <si>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</si>
  <si>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</si>
  <si>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</si>
  <si>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</si>
  <si>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</si>
  <si>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</si>
  <si>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</si>
  <si>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</si>
  <si>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</si>
  <si>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</si>
  <si>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</si>
  <si>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</si>
  <si>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</si>
  <si>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</si>
  <si>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</si>
  <si>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</si>
  <si>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</si>
  <si>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</si>
  <si>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</si>
  <si>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</si>
  <si>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</si>
  <si>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</si>
  <si>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</si>
  <si>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</si>
  <si>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</si>
  <si>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</si>
  <si>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</si>
  <si>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</si>
  <si>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 The site was offline for whole month due to non-operational meter and the meter being replaced.</t>
  </si>
  <si>
    <t>1. 	SR087641</t>
  </si>
  <si>
    <t>1. The inverter was offline from 01/01 as it was being RMA'd. After the inverter was replaced, it came back online on 01/16 at 11:00 AM.</t>
  </si>
  <si>
    <t>1. SR095581</t>
  </si>
  <si>
    <t>1. Inverter 3 is offline since 14:15 on 16/11/24 due to "Interference device" fault.
2. Site was back online on 01/01 at 07:00</t>
  </si>
  <si>
    <t>1.SR093354
2.SR094955</t>
  </si>
  <si>
    <t>SR094955</t>
  </si>
  <si>
    <t>1. Inverter 25 has been offline since 10/19/24 due to a Fault Current. Followed up with Aireko; Ameresco will dispatch in the first week of Feb for PMs and corrective maintenance.
2. Inverter 15 was offline since 12/17/24 due to Fault current. Followed up with Aireko; Ameresco will dispatch in the first week of Feb for PMs and corrective maintenance.
3. Inverters 9, 11, 14, 16, 17, and 19 went offline on 01/03 due to a grid reconnection fault. Other inverters also went offline on alternating days. From 01/03 to 01/06, all inverters experienced intermittent ON/OFF issues. On 01/07, all self-resolved and came back online.
4. Site self resolved and is back online on 01/02 at 16:15.
5. Inverter 26 was offline since 01/17 due to fault current.</t>
  </si>
  <si>
    <t>1. SR092332
2. SR094825
3. SR095136
4. SR095183
5. SR095649</t>
  </si>
  <si>
    <t>SR094825</t>
  </si>
  <si>
    <t>SR095136</t>
  </si>
  <si>
    <t>SR095183</t>
  </si>
  <si>
    <t>SR095649</t>
  </si>
  <si>
    <t>1. Inverter 4 was being RMA'd from 10/15.  Followed up with Aireko on new dispatching.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self-resolving on alternate days.  Followed up with Aireko on new dispatching.
8. Inverter 1 was offline since 12/20 due to Fault overcurrent single input. Followed up with Aireko on new dispatching.</t>
  </si>
  <si>
    <t>1.SR088869
2.SR092095
3. SR092115
4. SR092209
5. SR092255
6. SR092751
7. SR095850, SR092777
8. SR094998</t>
  </si>
  <si>
    <t>SR092095</t>
  </si>
  <si>
    <t>SR092115</t>
  </si>
  <si>
    <t>SR092209</t>
  </si>
  <si>
    <t>SR092255</t>
  </si>
  <si>
    <t>SR092751</t>
  </si>
  <si>
    <t>SR095850</t>
  </si>
  <si>
    <t>SR092777</t>
  </si>
  <si>
    <t>SR094998</t>
  </si>
  <si>
    <t>1. Weather station has barely reported values since 12/06, causing high expected energy readings. Troubleshooting planned for next site visit per Generate's request.</t>
  </si>
  <si>
    <t xml:space="preserve">	1. SR095305</t>
  </si>
  <si>
    <t>1. Weather station was not communicating since 01/14. Will address next time onsite.</t>
  </si>
  <si>
    <t>1. SR095643</t>
  </si>
  <si>
    <t>1.Site stopped communicating from 01/14 at 2:15AM, technician confirmed that cell modem seems to be stuck in "Dialing" according to the LED configuration and user manual.</t>
  </si>
  <si>
    <t>1.SR095531</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</si>
  <si>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</si>
  <si>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</si>
  <si>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</si>
  <si>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</si>
  <si>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</si>
  <si>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</si>
  <si>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</si>
  <si>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</si>
  <si>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</si>
  <si>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</si>
  <si>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</si>
  <si>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</si>
  <si>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</si>
  <si>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</si>
  <si>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</si>
  <si>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</si>
  <si>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</si>
  <si>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</si>
  <si>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</si>
  <si>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</si>
  <si>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</si>
  <si>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</si>
  <si>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</si>
  <si>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</si>
  <si>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</si>
  <si>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</si>
  <si>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</si>
  <si>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</si>
  <si>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</si>
  <si>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</si>
  <si>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</si>
  <si>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</si>
  <si>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</si>
  <si>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</si>
  <si>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</si>
  <si>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</si>
  <si>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</si>
  <si>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</si>
  <si>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</si>
  <si>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</si>
  <si>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</si>
  <si>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</si>
  <si>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</si>
  <si>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</si>
  <si>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</si>
  <si>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</si>
  <si>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</si>
  <si>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</si>
  <si>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</si>
  <si>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</si>
  <si>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</si>
  <si>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</si>
  <si>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</si>
  <si>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</si>
  <si>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</si>
  <si>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</si>
  <si>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</si>
  <si>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</si>
  <si>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</si>
  <si>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</si>
  <si>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</si>
  <si>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</si>
  <si>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</si>
  <si>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</si>
  <si>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</si>
  <si>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</si>
  <si>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</si>
  <si>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</si>
  <si>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</si>
  <si>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</si>
  <si>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</si>
  <si>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</si>
  <si>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</si>
  <si>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</si>
  <si>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</si>
  <si>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</si>
  <si>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</si>
  <si>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</si>
  <si>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</si>
  <si>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</si>
  <si>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February Actual v. Expected</t>
  </si>
  <si>
    <t>February Actual v. Forecasted</t>
  </si>
  <si>
    <t>1.SR094057</t>
  </si>
  <si>
    <t>1. Inverter 2 was offline throughout the month and reporting fault "Watchdog". Gen Cap will work directly with Rural Solar.
2.Inverter 1 shows production in line with peers from 02/13</t>
  </si>
  <si>
    <t>1.SR092555
2.SR091903</t>
  </si>
  <si>
    <t>1.8 inverters are offline and need to be replaced, no fault code. Gen Cap will work directly with Rural Solar.</t>
  </si>
  <si>
    <t>1.SR092556</t>
  </si>
  <si>
    <t>1.SR093028</t>
  </si>
  <si>
    <t>1.SR091894 , SR093029
2.SR093029</t>
  </si>
  <si>
    <t>1.SR093550</t>
  </si>
  <si>
    <t>1. Inverters 4 and 11 are experiencing heavy shading throughout the day due to trees.
2. Inverter 2 tripped offline at 09:00 AM on 02/28 and reporting "Shutdown: Abnormal".</t>
  </si>
  <si>
    <t>1.SR093047
2.	SR097910</t>
  </si>
  <si>
    <t>SR097910</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</si>
  <si>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</si>
  <si>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</si>
  <si>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</si>
  <si>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</si>
  <si>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</si>
  <si>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</si>
  <si>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</si>
  <si>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</si>
  <si>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</si>
  <si>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</si>
  <si>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</si>
  <si>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</si>
  <si>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</si>
  <si>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</si>
  <si>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</si>
  <si>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</si>
  <si>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</si>
  <si>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</si>
  <si>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</si>
  <si>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</si>
  <si>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</si>
  <si>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</si>
  <si>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</si>
  <si>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</si>
  <si>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</si>
  <si>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</si>
  <si>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</si>
  <si>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</si>
  <si>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</si>
  <si>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</si>
  <si>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</si>
  <si>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</si>
  <si>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</si>
  <si>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</si>
  <si>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</si>
  <si>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</si>
  <si>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</si>
  <si>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</si>
  <si>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</si>
  <si>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</si>
  <si>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</si>
  <si>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</si>
  <si>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</si>
  <si>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</si>
  <si>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</si>
  <si>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</si>
  <si>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</si>
  <si>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</si>
  <si>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</si>
  <si>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</si>
  <si>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</si>
  <si>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</si>
  <si>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</si>
  <si>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</si>
  <si>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</si>
  <si>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</si>
  <si>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</si>
  <si>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</si>
  <si>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</si>
  <si>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</si>
  <si>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</si>
  <si>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</si>
  <si>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</si>
  <si>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</si>
  <si>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</si>
  <si>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</si>
  <si>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</si>
  <si>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</si>
  <si>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</si>
  <si>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</si>
  <si>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</si>
  <si>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</si>
  <si>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</si>
  <si>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</si>
  <si>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</si>
  <si>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</si>
  <si>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</si>
  <si>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</si>
  <si>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</si>
  <si>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</si>
  <si>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</si>
  <si>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</si>
  <si>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</si>
  <si>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</si>
  <si>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</si>
  <si>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</si>
  <si>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</si>
  <si>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</si>
  <si>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</si>
  <si>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</si>
  <si>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</si>
  <si>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</si>
  <si>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</si>
  <si>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</si>
  <si>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</si>
  <si>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</si>
  <si>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</si>
  <si>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1.Site has been offline since 02/05 at 22:15. The technician will get in touch with Erika to schedule a time to access the electrical room. The technician was unable to gain access to the site and will need to schedule a return visit.</t>
  </si>
  <si>
    <t>1.SR096397</t>
  </si>
  <si>
    <t>1. The site was offline for whole month due to non-operational meter and the meter being replaced the new meter, but the data was not populating in AE portal. Additional troubleshooting is required with AlsoEnergy</t>
  </si>
  <si>
    <t>1.SR087641 , 	SR097740</t>
  </si>
  <si>
    <t>SR097740</t>
  </si>
  <si>
    <t>1. Inverter 3 is offline since 14:15 from 16/11/24 due to "Interference device" fault and will need to be looked at during the PM visit
2.Site tripped offline at 01:45 to 04:00 on 02/07 
3. Site not started has voltages, reporting reconnection fault grid on 02/13 at 07:00 and selfresolved at 13:45 on same day
4.Inverter 4 is down a string  will need to be looked at during the PM visit</t>
  </si>
  <si>
    <t>1.SR093354
2.SR096413
3.	SR096870
4.SR092301</t>
  </si>
  <si>
    <t>SR096413</t>
  </si>
  <si>
    <t>SR096870</t>
  </si>
  <si>
    <t>SR092301</t>
  </si>
  <si>
    <t>1. Inverter 25 has been offline since 10/19/24 due to a Fault Current. Followed up with Aireko; Ameresco will dispatch in  during the PM and work with manufacturer as needed
2. Inverter 15 was offline since 12/17/24 due to Fault current. Followed up with Aireko; Ameresco will dispatch in the first week of Feb for PMs and corrective maintenance.
3. Inverter 26 was offline since 01/17 due to fault current and also inverter 22 offlline  investigate while onsite and work with manufacturer as needed. 
4.Inverter 14 tripped offline at 11:45AM from 02/02 during the PM  technician reset the inverter and it came back online on 02/22
5. Inverters 16,17, and 19 are down a string.  During the PM will investigate</t>
  </si>
  <si>
    <t>1.SR092332
2.SR094825
3.	SR095649
4.SR096223
5.	SR097176</t>
  </si>
  <si>
    <t>SR096223</t>
  </si>
  <si>
    <t>SR097176</t>
  </si>
  <si>
    <t>1. Inverter 4 was being RMA'd from 10/15.  Followed up with Aireko on new dispatching. Waiting for replacement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Tech reset the inverter to clear the fault inverter back online from 02/23
8. Inverter 1 was offline since 12/20 due to Fault overcurrent single input. Followed up with Aireko on new dispatching.</t>
  </si>
  <si>
    <t>1.SR088869
2.SR092095
3.	SR092115
4.	SR092209
5.SR092255
6.SR092751
7.SR095850
8.SR094998</t>
  </si>
  <si>
    <t>1.SR095305</t>
  </si>
  <si>
    <t>1.Site is significantly underproducing on each inverter given snow has melted and high irradiance is present.</t>
  </si>
  <si>
    <t>1.SR097968</t>
  </si>
  <si>
    <t>1.The site has been underperforming for the entire month due to a weather event</t>
  </si>
  <si>
    <t>1. Weather station was not communicating since 01/14. Will address next time onsite.
2.The site has been underperforming for the entire month due to a weather event</t>
  </si>
  <si>
    <t>1.SR095643</t>
  </si>
  <si>
    <t>1.Site stopped communicating from 01/14 at 2:15AM, technician confirmed that needs new data logger  need to be replaced.</t>
  </si>
  <si>
    <t>1.SR097969</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</si>
  <si>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</si>
  <si>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</si>
  <si>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</si>
  <si>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</si>
  <si>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</si>
  <si>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</si>
  <si>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</si>
  <si>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</si>
  <si>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</si>
  <si>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</si>
  <si>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</si>
  <si>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</si>
  <si>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</si>
  <si>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</si>
  <si>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</si>
  <si>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</si>
  <si>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</si>
  <si>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</si>
  <si>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</si>
  <si>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</si>
  <si>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</si>
  <si>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</si>
  <si>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</si>
  <si>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</si>
  <si>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</si>
  <si>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</si>
  <si>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</si>
  <si>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</si>
  <si>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</si>
  <si>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</si>
  <si>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</si>
  <si>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</si>
  <si>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</si>
  <si>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</si>
  <si>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</si>
  <si>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</si>
  <si>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</si>
  <si>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</si>
  <si>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</si>
  <si>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</si>
  <si>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</si>
  <si>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</si>
  <si>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</si>
  <si>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</si>
  <si>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</si>
  <si>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</si>
  <si>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</si>
  <si>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</si>
  <si>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</si>
  <si>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</si>
  <si>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</si>
  <si>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</si>
  <si>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</si>
  <si>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</si>
  <si>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</si>
  <si>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</si>
  <si>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</si>
  <si>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</si>
  <si>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</si>
  <si>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</si>
  <si>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</si>
  <si>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</si>
  <si>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</si>
  <si>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</si>
  <si>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</si>
  <si>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</si>
  <si>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</si>
  <si>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The site production was low on 03/07, 03/13 and 03/14 due to bad weather.</t>
  </si>
  <si>
    <t>1. The site production was low on 03/06 to 03/08 and 03/14 due to bad weather.</t>
  </si>
  <si>
    <t>1.Technician replaced the production meter, and it has been reporting since 03/28.
2. Since meter started reporting on 03/28 we had considered total inverter production as site production.</t>
  </si>
  <si>
    <t>1.	SR094057</t>
  </si>
  <si>
    <t>1.Inverter 1 is back online on 03/06 after the technician power-cycled the inverter.
  Inverters 1 &amp; 2 are operational but not communicating. underperformance located within the array.
2.Inverter 3 tripped offline from 03/28 at 13:30 and reporting "Inverter fault (14) Gate feedback fault phase B inverter 1 (66)" fault.</t>
  </si>
  <si>
    <t>1.	SR098069 , SR098310
2.SR099126</t>
  </si>
  <si>
    <t>SR098310</t>
  </si>
  <si>
    <t>SR099126</t>
  </si>
  <si>
    <t xml:space="preserve">1. Site expired in Also Energy on 03/01/2025
</t>
  </si>
  <si>
    <t>1.Meter has been intermittently dropping from 11:30 AM onwards, then self-resolving the next day. The first occurrences were on 03/18 and 03/19. This is indicative of an inverter intermittently dropping the connection. The issue has self-resolved from 03/20.</t>
  </si>
  <si>
    <t>1.SR098780</t>
  </si>
  <si>
    <t>1.SR091894 , 	SR093029
2.	SR093029</t>
  </si>
  <si>
    <t>1. Site expired in Alsoenergy on 03/27</t>
  </si>
  <si>
    <t>1.Inverter 2 tripped offline at 9:00 AM on 02/28, reporting 'Shutdown: Abnormal.' On 03/03, the technician cleared the ARC fault, reset the inverter, and it came back online at 08:45AM.
2. Inverters 4 and 11 are experiencing heavy shading throughout the day due to trees.</t>
  </si>
  <si>
    <t>1.SR097910
2.SR093047</t>
  </si>
  <si>
    <t>SR093047</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</si>
  <si>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</si>
  <si>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</si>
  <si>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</si>
  <si>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</si>
  <si>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</si>
  <si>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</si>
  <si>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</si>
  <si>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</si>
  <si>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</si>
  <si>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</si>
  <si>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</si>
  <si>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</si>
  <si>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</si>
  <si>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</si>
  <si>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</si>
  <si>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</si>
  <si>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</si>
  <si>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</si>
  <si>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</si>
  <si>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</si>
  <si>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</si>
  <si>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</si>
  <si>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</si>
  <si>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</si>
  <si>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</si>
  <si>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</si>
  <si>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</si>
  <si>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</si>
  <si>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</si>
  <si>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</si>
  <si>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</si>
  <si>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</si>
  <si>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</si>
  <si>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</si>
  <si>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</si>
  <si>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</si>
  <si>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</si>
  <si>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</si>
  <si>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</si>
  <si>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</si>
  <si>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</si>
  <si>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</si>
  <si>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</si>
  <si>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</si>
  <si>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</si>
  <si>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</si>
  <si>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</si>
  <si>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</si>
  <si>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</si>
  <si>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</si>
  <si>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</si>
  <si>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</si>
  <si>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</si>
  <si>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</si>
  <si>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</si>
  <si>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</si>
  <si>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</si>
  <si>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</si>
  <si>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</si>
  <si>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</si>
  <si>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</si>
  <si>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</si>
  <si>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</si>
  <si>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</si>
  <si>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</si>
  <si>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</si>
  <si>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</si>
  <si>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</si>
  <si>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</si>
  <si>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</si>
  <si>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</si>
  <si>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</si>
  <si>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</si>
  <si>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</si>
  <si>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</si>
  <si>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</si>
  <si>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</si>
  <si>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</si>
  <si>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</si>
  <si>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</si>
  <si>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</si>
  <si>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</si>
  <si>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</si>
  <si>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</si>
  <si>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</si>
  <si>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</si>
  <si>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</si>
  <si>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</si>
  <si>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</si>
  <si>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</si>
  <si>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</si>
  <si>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</si>
  <si>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</si>
  <si>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</si>
  <si>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</si>
  <si>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</si>
  <si>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</si>
  <si>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</si>
  <si>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</si>
  <si>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</si>
  <si>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</si>
  <si>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</si>
  <si>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</si>
  <si>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</si>
  <si>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</si>
  <si>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</si>
  <si>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</si>
  <si>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</si>
  <si>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</si>
  <si>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</si>
  <si>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</si>
  <si>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</si>
  <si>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</si>
  <si>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</si>
  <si>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</si>
  <si>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</si>
  <si>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</si>
  <si>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</si>
  <si>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</si>
  <si>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</si>
  <si>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</si>
  <si>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</si>
  <si>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</si>
  <si>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</si>
  <si>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</si>
  <si>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</si>
  <si>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</si>
  <si>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</si>
  <si>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</si>
  <si>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</si>
  <si>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</si>
  <si>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</si>
  <si>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</si>
  <si>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</si>
  <si>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</si>
  <si>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1.Site stopped communication at 23:45 on 03/27 and continued throught the month.</t>
  </si>
  <si>
    <t xml:space="preserve">1.SR099072
</t>
  </si>
  <si>
    <t>1. Site production was low on 03/05, 03/14 and 03/16 due to bad weather.</t>
  </si>
  <si>
    <t>1.POA was not communicating and quote send to Also energy. Generate hold off dispatch and will investigate in future.</t>
  </si>
  <si>
    <t>1.SR091182</t>
  </si>
  <si>
    <t>1.Upon the technician's arrival on 03/05, the site was brought back online at 10:00 AM after changing the Modbus address, baud rate, and CT ratio of the generation meter.</t>
  </si>
  <si>
    <t>1.SR097740,SR087641</t>
  </si>
  <si>
    <t>SR087641</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</si>
  <si>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</si>
  <si>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</si>
  <si>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SR095581</t>
  </si>
  <si>
    <t>SR099162</t>
  </si>
  <si>
    <t>1. Inverter 3 is offline since 14:15 from 16/11/24 due to "Interference device" fault and will need to be looked at during the PM visit.
2. the site tripped offline at 10:15 AM later self resolve at 12:00 PM on 03/12.</t>
  </si>
  <si>
    <t>1. SR093354
2. SR098436</t>
  </si>
  <si>
    <t>SR098436</t>
  </si>
  <si>
    <t>1. Inverter 25 was offline since 10/19/24 due to a fault current. Followed up with Aireko; Ameresco will dispatch a team during the PM and work with the manufacturer as needed. The inverter is now under possible RMA needed.
2. Inverter 26 was offline since 03/03 due to fault current. The inverter is now under possible RMA needed.
3. Inverter 16 tripped offline at 16:15 on 03/21 due to an electrical arc detection, and the issue continued throughout the month.
4. Inverters 1 and 13 have been underperforming by about 18 kW each since 02/24/25. Additionally, Inverters 16 and 17 are down one string each (4 kW), and Inverter 19 is intermittently de-rating by 5 kW. During the PM will investigate.</t>
  </si>
  <si>
    <t>1.SR092332
2. SR095649
3. SR098883
4. SR098311</t>
  </si>
  <si>
    <t>SR098883</t>
  </si>
  <si>
    <t>SR098311</t>
  </si>
  <si>
    <t xml:space="preserve">1. Inverter 4 went offline on 03/02, 03/05, 03/19, and 03/30.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t>
  </si>
  <si>
    <t>1. SR088869
2. SR092209
3. SR092095
4. SR092255
5. SR092751</t>
  </si>
  <si>
    <t>1. Weather station has barely reported values since 12/06, causing low expected energy readings. Troubleshooting planned for next site visit per Generate's request.</t>
  </si>
  <si>
    <t>1.Low site production  from 03/01 to 03/05 due to frozen snow coverage of modules. Inverters are running.</t>
  </si>
  <si>
    <t>1. Site production was low on 03/05, 03/16 to 03/17, 03/24 and 03/30 due to bad weather.</t>
  </si>
  <si>
    <t>1.Inverter 6 offline at 09:45 on 03/13.Technician after re-energizing the inverter 6 back online at 12:30 on 03/18</t>
  </si>
  <si>
    <t>1.	SR098550</t>
  </si>
  <si>
    <t>1.Site stopped communicating from 01/14 at 2:15AM, technician confirmed that needs new data logger  need to be replaced. On 02/20 Technician checked out, needs new data logger.</t>
  </si>
  <si>
    <t>1.	SR095531</t>
  </si>
  <si>
    <t>1.Low site production from 03/01 to 03/06  due to frozen snow coverage of modules. Inverters are running.
2. Inverter 5 is down a string, underperforming by about 6kw</t>
  </si>
  <si>
    <t>1.SR097967
2.SR098776</t>
  </si>
  <si>
    <t>SR098776</t>
  </si>
  <si>
    <t>1.Low site production from 03/01 to 03/05  due to frozen snow coverage of modules. Inverters are running.</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</si>
  <si>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</si>
  <si>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</si>
  <si>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</si>
  <si>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</si>
  <si>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</si>
  <si>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</si>
  <si>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</si>
  <si>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</si>
  <si>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</si>
  <si>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</si>
  <si>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</si>
  <si>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</si>
  <si>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</si>
  <si>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</si>
  <si>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</si>
  <si>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</si>
  <si>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</si>
  <si>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</si>
  <si>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</si>
  <si>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</si>
  <si>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</si>
  <si>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</si>
  <si>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</si>
  <si>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</si>
  <si>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</si>
  <si>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</si>
  <si>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</si>
  <si>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</si>
  <si>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</si>
  <si>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</si>
  <si>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</si>
  <si>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</si>
  <si>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</si>
  <si>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</si>
  <si>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</si>
  <si>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</si>
  <si>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</si>
  <si>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</si>
  <si>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</si>
  <si>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</si>
  <si>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</si>
  <si>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</si>
  <si>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</si>
  <si>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</si>
  <si>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</si>
  <si>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</si>
  <si>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</si>
  <si>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</si>
  <si>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</si>
  <si>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</si>
  <si>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</si>
  <si>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</si>
  <si>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</si>
  <si>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</si>
  <si>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</si>
  <si>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</si>
  <si>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</si>
  <si>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</si>
  <si>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</si>
  <si>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</si>
  <si>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</si>
  <si>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</si>
  <si>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</si>
  <si>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</si>
  <si>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</si>
  <si>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</si>
  <si>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</si>
  <si>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</si>
  <si>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</si>
  <si>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</si>
  <si>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</si>
  <si>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</si>
  <si>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</si>
  <si>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</si>
  <si>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</si>
  <si>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</si>
  <si>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</si>
  <si>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</si>
  <si>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</si>
  <si>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</si>
  <si>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</si>
  <si>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</si>
  <si>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</si>
  <si>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</si>
  <si>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</si>
  <si>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</si>
  <si>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</si>
  <si>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</si>
  <si>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</si>
  <si>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</si>
  <si>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</si>
  <si>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</si>
  <si>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</si>
  <si>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</si>
  <si>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</si>
  <si>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</si>
  <si>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</si>
  <si>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</si>
  <si>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</si>
  <si>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</si>
  <si>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</si>
  <si>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</si>
  <si>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</si>
  <si>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</si>
  <si>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</si>
  <si>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</si>
  <si>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</si>
  <si>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</si>
  <si>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</si>
  <si>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</si>
  <si>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</si>
  <si>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</si>
  <si>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</si>
  <si>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</si>
  <si>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</si>
  <si>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</si>
  <si>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</si>
  <si>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</si>
  <si>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</si>
  <si>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</si>
  <si>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</si>
  <si>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April Actual v. Expected</t>
  </si>
  <si>
    <t>April Actual v. Forecasted</t>
  </si>
  <si>
    <t>1. The weather station has been reporting erroneous values during evening hours, showing readings around 500–600 W/m², while nearby sites are reporting approximately 300 W/m². Currently working with AlsoEnergy.</t>
  </si>
  <si>
    <t>1. SR101016</t>
  </si>
  <si>
    <t>N/A</t>
  </si>
  <si>
    <t>1.Meter 1 did not produce on 04/21 and Phase A and B voltages dropping by ~50%. On 04/23, a technician found a blown fuse in the disconnect and noted that Meter 1 will remain offline until the fuse is replaced.</t>
  </si>
  <si>
    <t>1.SR100109</t>
  </si>
  <si>
    <r>
      <rPr>
        <sz val="10"/>
        <color rgb="FF000000"/>
        <rFont val="Arial"/>
        <family val="2"/>
      </rPr>
      <t>1.</t>
    </r>
    <r>
      <rPr>
        <sz val="11"/>
        <color rgb="FF000000"/>
        <rFont val="Calibri"/>
        <family val="2"/>
        <scheme val="minor"/>
      </rPr>
      <t>Inverter 1 showed gradual underperformance during high irradiance. On 04/25, a technician cleaned dusty filters, removed debris, power-cycled the inverter, and confirmed it is producing as expected.</t>
    </r>
  </si>
  <si>
    <t>1.SR099958</t>
  </si>
  <si>
    <t>1.Inverter 2 is underperforming by 10 kW (2 strings). On 04/16, a technician replaced blown fuses, but the issue persisted. On 04/29, further troubleshooting was required as mentioned by the technician.Production was confirmed onsite despite communication delays in AlsoEnergy. Further action will be taken if the issue persists.</t>
  </si>
  <si>
    <t>1.SR099825</t>
  </si>
  <si>
    <t>1. Meter production dropped by approximately 50% at 13:25 MST on 04/10 and fell to zero at 13:50 MST on 04/11. The issue self-resolved on 04/14. Production again dropped to zero at 15:00 MST on 04/16 and self-resolved on 04/17. Additionally, production dropped to 50% on 04/24 at 12:45 MST and on 04/25 at 14:45 MST. The issue did not recur for the rest of the month.</t>
  </si>
  <si>
    <t>1.SR099666</t>
  </si>
  <si>
    <t>1.Inverters 1 and 2 are operational but not communicating (known issue). On 04/28, a technician identified underperformance in Inverter 2 and noted that further troubleshooting is needed to resolve both the underperformance and communication issues of Inverter 1&amp;2.
2. Inverter 3 offline from 03/28. On 04/01, a technician visited the site, re-energized Inverter 3, and noted that if the issue reoccurs, the manufacturer recommends replacing the IGBT.Inverter 3 is back online and producing at 10:00 MST on 04/01.</t>
  </si>
  <si>
    <t>1.SR098310
2.SR099126,SR099310</t>
  </si>
  <si>
    <t>SR099310</t>
  </si>
  <si>
    <t>1.Site expired in Also Energy on 03/01/2025</t>
  </si>
  <si>
    <t>1. 8 inverters are offline according to the SMA Sunny Portal and need to be replaced. Gen Cap will work directly with Rural Solar.</t>
  </si>
  <si>
    <t>1.Meter intermittently dropped 24 kW on 04/06, 04/07, and 04/08, self-resolving next day. On 04/17, a technician found an intermittent issue with one of four SMA Sunny Tripower inverters, reset it, and confirmed normal operation under load. However, the issue reoccurred the next day and will be combined with the PM for further investigation</t>
  </si>
  <si>
    <t>1.SR098780,SR100160</t>
  </si>
  <si>
    <t>SR100160</t>
  </si>
  <si>
    <t>1. Site expired in Alsoenergy on 04/19</t>
  </si>
  <si>
    <t>1.Inverters 4&amp;11 are experiencing heavy shading due to surrounding trees throughout the day from 11/07/2024.</t>
  </si>
  <si>
    <t>1.SR093047</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</si>
  <si>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</si>
  <si>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</si>
  <si>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</si>
  <si>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</si>
  <si>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</si>
  <si>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</si>
  <si>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</si>
  <si>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</si>
  <si>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</si>
  <si>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</si>
  <si>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</si>
  <si>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</si>
  <si>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</si>
  <si>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</si>
  <si>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</si>
  <si>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</si>
  <si>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</si>
  <si>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</si>
  <si>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</si>
  <si>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</si>
  <si>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</si>
  <si>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</si>
  <si>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</si>
  <si>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</si>
  <si>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</si>
  <si>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</si>
  <si>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</si>
  <si>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</si>
  <si>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</si>
  <si>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</si>
  <si>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</si>
  <si>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</si>
  <si>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</si>
  <si>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</si>
  <si>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</si>
  <si>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</si>
  <si>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</si>
  <si>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</si>
  <si>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</si>
  <si>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</si>
  <si>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</si>
  <si>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</si>
  <si>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</si>
  <si>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</si>
  <si>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</si>
  <si>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</si>
  <si>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</si>
  <si>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</si>
  <si>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</si>
  <si>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</si>
  <si>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</si>
  <si>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</si>
  <si>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</si>
  <si>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</si>
  <si>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</si>
  <si>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</si>
  <si>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</si>
  <si>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</si>
  <si>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</si>
  <si>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</si>
  <si>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</si>
  <si>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</si>
  <si>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</si>
  <si>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</si>
  <si>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</si>
  <si>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</si>
  <si>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</si>
  <si>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</si>
  <si>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</si>
  <si>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</si>
  <si>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</si>
  <si>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</si>
  <si>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</si>
  <si>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</si>
  <si>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</si>
  <si>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</si>
  <si>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</si>
  <si>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</si>
  <si>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</si>
  <si>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</si>
  <si>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</si>
  <si>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</si>
  <si>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</si>
  <si>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</si>
  <si>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</si>
  <si>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</si>
  <si>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</si>
  <si>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</si>
  <si>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</si>
  <si>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</si>
  <si>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</si>
  <si>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</si>
  <si>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</si>
  <si>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</si>
  <si>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</si>
  <si>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</si>
  <si>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</si>
  <si>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</si>
  <si>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</si>
  <si>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</si>
  <si>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</si>
  <si>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</si>
  <si>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</si>
  <si>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</si>
  <si>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</si>
  <si>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</si>
  <si>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</si>
  <si>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</si>
  <si>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</si>
  <si>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</si>
  <si>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</si>
  <si>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</si>
  <si>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</si>
  <si>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</si>
  <si>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</si>
  <si>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</si>
  <si>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</si>
  <si>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</si>
  <si>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</si>
  <si>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</si>
  <si>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</si>
  <si>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</si>
  <si>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</si>
  <si>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</si>
  <si>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</si>
  <si>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</si>
  <si>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</si>
  <si>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</si>
  <si>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</si>
  <si>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</si>
  <si>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</si>
  <si>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</si>
  <si>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Site stopped communicating from 03/27. On 04/04 technician powercycled DAS and communications are restored.</t>
  </si>
  <si>
    <t>1. SR099072</t>
  </si>
  <si>
    <t>1. Site production was low on 04/07, 04/11 and 04/12 due to rain.</t>
  </si>
  <si>
    <t>1. Inverter stopped communicating at 14:30 on 03/31. Technician reconnected an rs485 connector and regained DAS communications at 14:00 on 04/14.</t>
  </si>
  <si>
    <t>1. SR099343</t>
  </si>
  <si>
    <t>1.Inveter-2 tripped oflline at 15:15 on 03/28 due to fault current 
2.Site was tripped offline at 20:30 on 04/04 and back online at 10:15 on 04/05,again tripped offline at 22:00 on 04/17 and back online at 09:15 on 04/18,again tripped offline at 07:30 on 04/19 and back online at 10:00 on 04/19,again tripped offline at 21:00 on 04/19 and back online at 09:00 on 04/20,again tripped offline at 20:15 on 04/20 and back online at 08:45 on 04/21
3.Meter value was dropped to zero at 10:00 AM HST on 04/30 but production can be confirmed at inverter level and was back online at 12:00 HST on 04/30</t>
  </si>
  <si>
    <t>1.SR095581, SR100622
2.SR099162
3.SR100771</t>
  </si>
  <si>
    <t>SR100622</t>
  </si>
  <si>
    <t>SR100771</t>
  </si>
  <si>
    <t>1.Inverter-3 tripped offline since 14:15 from 16/11/24 reporting "interference device"
2.Inverter-2 was offline since 04/01 reporting fault current 
3.site tripped offline at 10:00 on 04/11 and was back online at 18:45 on 04/11,again tripped offline at 12:00 on 04/15 and was back online at 13:30 on 04/15,again was offline at 12:30 on 04/16 and was back online at 20:45 on 04/17,again was tripped offline at 09:15 on 04/22 and was back online at 14:30 on 04/22
4.Inverter 1 derated by about 5kW starting at 10:40am on 04/21 and lasting through peak hours.</t>
  </si>
  <si>
    <t>1.SR093354
2.SR099268
3.SR099697,SR100139
4.SR100110</t>
  </si>
  <si>
    <t>SR099268</t>
  </si>
  <si>
    <t>SR099697</t>
  </si>
  <si>
    <t>SR100139</t>
  </si>
  <si>
    <t>SR100110</t>
  </si>
  <si>
    <t>1.The site was offline from 10:30am to 1:15 pm on 04/02 due to utility outage
2. Inverter 25 was offline since 10/19/24 due to a fault current. Followed up with Aireko; Ameresco will dispatch a team during the PM and work with the manufacturer as needed. The inverter is now under possible RMA needed.
3. Inverter 26 was offline since 03/03 due to fault current. The inverter is now under possible RMA needed.
4. Inverter 16 tripped offline at 16:15 on 03/21 due to an electrical arc detection, and the issue continued throughout the month.
5.Inverters 17 and 19 intermittent derating by 5kW each
6.Site lost communication possibly offline at 12:15 on 04/16 and later back online at 20:30 on 04/16 and again likely offline on 16:15 on 04/17 and back online at 22:15
7. Inverter 15 is offline from 04/27 due to fault current.
8.Inverter 8 has delayed starts due to isolation faults on every day since 4/26</t>
  </si>
  <si>
    <t>1.SR099312
2.SR092332
3.SR095649
4.SR098883
5.SR098311
6.SR099895
7.SR100464
8.SR100627</t>
  </si>
  <si>
    <t>SR092332</t>
  </si>
  <si>
    <t>SR099895</t>
  </si>
  <si>
    <t>SR100464</t>
  </si>
  <si>
    <t>SR100627</t>
  </si>
  <si>
    <t>1. Inverter 4 went offline on 04/06, 03/05, 04/16.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6.Inverter 1 tripped offline at 14:00 on 04/04 and selfresolved on 04/05
7.Site offline at 11:45 on 04/16 due to utility outage and back online at 00:30 on 04/17
8.Inverter 8 offline from 06:00 to 12:15 on 04/17
9. Inverter 6 tripped offline multiple days with no fault code, self-resolving on alternate days. Inverter 6 has been reporting fine since 04/17.</t>
  </si>
  <si>
    <t>1.	SR088869
2.SR092209
3.	SR092095
4.SR092255
5.	SR092751
6.	SR099423
7.SR099894
8. SR100458
9.	SR095850</t>
  </si>
  <si>
    <t>SR099423</t>
  </si>
  <si>
    <t>SR099894</t>
  </si>
  <si>
    <t>SR100458</t>
  </si>
  <si>
    <t xml:space="preserve">1. Inverter 3 is underperforming approximately 6 kW from 04/01 compared to its peers (Inv 1, 2 &amp; 4), possibly a string down. On 04/15 technicians found and replaced blown fuses inverter producing with it peer inverters.
2.Inverter 4 is derating by approximately 30 kW compared to peers and reporting "W07 - De-rating" from 09:30 AM on 04/09/25. </t>
  </si>
  <si>
    <t>1.SR099476
2.SR099583</t>
  </si>
  <si>
    <t>SR099583</t>
  </si>
  <si>
    <t>1. Inverter 5 is down a string, underperforming by about 6kW and  1 string down - will address next time onsite.</t>
  </si>
  <si>
    <t>1.SR098776</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</si>
  <si>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</si>
  <si>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</si>
  <si>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</si>
  <si>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</si>
  <si>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</si>
  <si>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</si>
  <si>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</si>
  <si>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</si>
  <si>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</si>
  <si>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</si>
  <si>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</si>
  <si>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</si>
  <si>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</si>
  <si>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</si>
  <si>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</si>
  <si>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</si>
  <si>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</si>
  <si>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</si>
  <si>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</si>
  <si>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</si>
  <si>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</si>
  <si>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</si>
  <si>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</si>
  <si>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</si>
  <si>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</si>
  <si>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</si>
  <si>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</si>
  <si>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</si>
  <si>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</si>
  <si>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</si>
  <si>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</si>
  <si>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</si>
  <si>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</si>
  <si>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</si>
  <si>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</si>
  <si>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</si>
  <si>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</si>
  <si>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</si>
  <si>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</si>
  <si>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</si>
  <si>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</si>
  <si>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</si>
  <si>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</si>
  <si>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</si>
  <si>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</si>
  <si>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</si>
  <si>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</si>
  <si>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</si>
  <si>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</si>
  <si>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</si>
  <si>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</si>
  <si>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</si>
  <si>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</si>
  <si>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</si>
  <si>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</si>
  <si>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</si>
  <si>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</si>
  <si>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</si>
  <si>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</si>
  <si>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</si>
  <si>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</si>
  <si>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</si>
  <si>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</si>
  <si>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</si>
  <si>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</si>
  <si>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</si>
  <si>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</si>
  <si>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</si>
  <si>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</si>
  <si>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</si>
  <si>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</si>
  <si>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</si>
  <si>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</si>
  <si>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</si>
  <si>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</si>
  <si>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</si>
  <si>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</si>
  <si>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</si>
  <si>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</si>
  <si>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</si>
  <si>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</si>
  <si>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</si>
  <si>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</si>
  <si>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</si>
  <si>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</si>
  <si>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</si>
  <si>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</si>
  <si>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</si>
  <si>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</si>
  <si>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</si>
  <si>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</si>
  <si>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</si>
  <si>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</si>
  <si>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</si>
  <si>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</si>
  <si>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</si>
  <si>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</si>
  <si>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</si>
  <si>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</si>
  <si>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</si>
  <si>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</si>
  <si>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</si>
  <si>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</si>
  <si>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</si>
  <si>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</si>
  <si>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</si>
  <si>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</si>
  <si>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</si>
  <si>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</si>
  <si>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</si>
  <si>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</si>
  <si>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</si>
  <si>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</si>
  <si>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</si>
  <si>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</si>
  <si>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</si>
  <si>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</si>
  <si>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</si>
  <si>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</si>
  <si>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</si>
  <si>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</si>
  <si>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</si>
  <si>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</si>
  <si>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</si>
  <si>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</si>
  <si>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</si>
  <si>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</si>
  <si>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The weather station has been reporting erroneous values during evening hours, showing readings around 600–800 W/m², while nearby sites are reporting approximately 300 W/m² from 05/05. Currently working with Also Energy.</t>
  </si>
  <si>
    <t>NA</t>
  </si>
  <si>
    <t xml:space="preserve">1. Meter 1 regained its communication on 05/20 after technician removed faulty fuse, and replaced with new one. </t>
  </si>
  <si>
    <t>1. SR100109</t>
  </si>
  <si>
    <t>1. Low production/generation due to  low irradence on 05/06 &amp; 05/07.</t>
  </si>
  <si>
    <t>1. Meter production dropped by approximately 50% at 10:15 MST on 05/11 and dropped to zero at 10:30 MST on 05/11. Production again dropped 5.84 kW at 12:15 MST on 05/12 and self-resolved on 05/13. Additionally, production dropped to 50% on 05/12 at 12:45 MST and on 05/19 at 13:00 MST. Production again dropped to zero at 11:00 MST on 05/21 and on 05/22 at 11:00 MST.</t>
  </si>
  <si>
    <t>1. SR099666</t>
  </si>
  <si>
    <t>1. Inverters 1 &amp; 2 are operational but not communicating (known issue). On 04/28, a technician identified underperformance in Inverter 2 and noted that further troubleshooting is needed to resolve both the underperformance and communication issues of Inverter 1&amp;2.</t>
  </si>
  <si>
    <t>1. SR101037</t>
  </si>
  <si>
    <t>1. Inverter 2 was offline throughout the month and reporting fault "Watchdog". Gen Cap will work directly with Rural Solar.</t>
  </si>
  <si>
    <t>1. SR092555</t>
  </si>
  <si>
    <t>1. The meter intermittently dropped by 20 kW throughout the month. On 05/21, a technician remedied the shading issue by cutting down shade trees, resulting in an observed increase in production.</t>
  </si>
  <si>
    <t>1. SR100160</t>
  </si>
  <si>
    <t>1. Inverter 1 is producing 40kW less compared to its peers throughout the month.</t>
  </si>
  <si>
    <t>1. SR101453</t>
  </si>
  <si>
    <t>1.The meter at Buildings 8 &amp; 9 is reporting minimal production data. Buildings 1 &amp; 2 and 5 &amp; 6 were underperforming. On 05/09, a technician found Inverter 2 of Building 1 &amp; 2 and Inverter 1 of Building 5 &amp; 6 offline. All faults were cleared, and the inverters were re-energized. Buildings 8 &amp; 9 have a faulty stack causing intermittent inverter trips, requiring further troubleshooting</t>
  </si>
  <si>
    <t>1.SR101130</t>
  </si>
  <si>
    <t>1. Inverters 4&amp;11 are experiencing heavy shading due to surrounding trees throughout the day from 11/07/2024.
2. Inverter 4 tripped offline at 12:45 on 05/19 due to a "Shutdown: Abnormal" fault. The technician later re-energized the inverter, and it came back online at 13:45 on 05/21.</t>
  </si>
  <si>
    <t>1. SR093047
2. SR101688</t>
  </si>
  <si>
    <t>SR101688</t>
  </si>
  <si>
    <t>1. Inverter 3 was offline on 05/09 due to "ground fault". The technician later replaced a blown fuse, and the inverter resumed production at 11:30 on 05/12.</t>
  </si>
  <si>
    <t>1. SR101222</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</si>
  <si>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</si>
  <si>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</si>
  <si>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</si>
  <si>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</si>
  <si>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</si>
  <si>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</si>
  <si>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</si>
  <si>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</si>
  <si>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</si>
  <si>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</si>
  <si>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</si>
  <si>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</si>
  <si>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</si>
  <si>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</si>
  <si>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</si>
  <si>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</si>
  <si>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</si>
  <si>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</si>
  <si>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</si>
  <si>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</si>
  <si>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</si>
  <si>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</si>
  <si>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</si>
  <si>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</si>
  <si>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</si>
  <si>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</si>
  <si>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</si>
  <si>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</si>
  <si>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</si>
  <si>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</si>
  <si>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</si>
  <si>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</si>
  <si>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</si>
  <si>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</si>
  <si>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</si>
  <si>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</si>
  <si>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</si>
  <si>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</si>
  <si>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</si>
  <si>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</si>
  <si>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</si>
  <si>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</si>
  <si>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</si>
  <si>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</si>
  <si>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</si>
  <si>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</si>
  <si>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</si>
  <si>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</si>
  <si>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</si>
  <si>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</si>
  <si>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</si>
  <si>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</si>
  <si>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</si>
  <si>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</si>
  <si>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</si>
  <si>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</si>
  <si>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</si>
  <si>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</si>
  <si>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</si>
  <si>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</si>
  <si>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</si>
  <si>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</si>
  <si>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</si>
  <si>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</si>
  <si>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</si>
  <si>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</si>
  <si>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</si>
  <si>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</si>
  <si>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</si>
  <si>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</si>
  <si>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</si>
  <si>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</si>
  <si>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</si>
  <si>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</si>
  <si>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</si>
  <si>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</si>
  <si>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</si>
  <si>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</si>
  <si>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</si>
  <si>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</si>
  <si>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</si>
  <si>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</si>
  <si>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</si>
  <si>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</si>
  <si>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</si>
  <si>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</si>
  <si>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</si>
  <si>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</si>
  <si>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</si>
  <si>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</si>
  <si>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</si>
  <si>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</si>
  <si>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</si>
  <si>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</si>
  <si>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</si>
  <si>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</si>
  <si>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</si>
  <si>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</si>
  <si>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</si>
  <si>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</si>
  <si>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</si>
  <si>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</si>
  <si>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</si>
  <si>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</si>
  <si>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</si>
  <si>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</si>
  <si>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</si>
  <si>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</si>
  <si>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</si>
  <si>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</si>
  <si>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</si>
  <si>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</si>
  <si>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</si>
  <si>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</si>
  <si>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</si>
  <si>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</si>
  <si>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</si>
  <si>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</si>
  <si>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</si>
  <si>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</si>
  <si>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</si>
  <si>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</si>
  <si>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</si>
  <si>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</si>
  <si>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</si>
  <si>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</si>
  <si>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</si>
  <si>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</si>
  <si>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</si>
  <si>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Site production was low on 05/04, 05/09, 05/13, 05/14, 05/21, 05/22,  05/27, 05/28 due to rain.</t>
  </si>
  <si>
    <t>1. Site production was low on 05/04, 05/13, 05/21, 05/27, 05/28 due to rain.</t>
  </si>
  <si>
    <t>1. Site prroduction was low on 05/05,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</si>
  <si>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</si>
  <si>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</si>
  <si>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1. Multiple inverters experienced tripping events on 05/06 and 05/16 due to technician was onsite for preventive maintenance work.</t>
  </si>
  <si>
    <t>1.PM7818</t>
  </si>
  <si>
    <t>1.Site tripped offline at 12:15 on 05/02 and was back online at 13:45 on 05/02.
2.Inverter 2 had been offline since 04/01 reporting fault current.</t>
  </si>
  <si>
    <t>1.SR100924
2.SR099268</t>
  </si>
  <si>
    <t>1.Inverter 14 tripped offline at 13:15  on 05/20 reporting"Electric arc detected"and remained the same throughout the month.
2. Inverter 11 was offline on 05/07 reporting "Interference Device"and was back online at 13:15 on 05/10 ,it was again offline on 05/13  reporting "Fault current" and was offline through out the month.
3.Inverter 15 was offline since 04/27 and reporting "Fault current".
4.Inverter 16 was tripped offline since 03/21  and reporting Electr. arc detected.
5. inverters 1 and 13 are underperforming by about 18 kW each from 2/24/25.Inv 19 derating by 5 kW intermittently since 03/14.Inv 17 derating intermittently since 04/03.
6. Inverter 26 was offline since 03/03 due to fault current. The inverter is now under possible RMA needed.</t>
  </si>
  <si>
    <t>1.SR101744
2.SR101102
3.SR100464
4.SR098883
5.SR098311
6.SR095649</t>
  </si>
  <si>
    <t>SR101102</t>
  </si>
  <si>
    <t>1.Inverter 1 tripped offline at 09:00 on 05/11 and back online at 06:00 on 05/12.This isssue got self resolved.Inverter 1 remained offline from 05/26 for rest of the month.
2.Inverter 4 experienced multiple instances of being offline throughout the month. This issue still did not resolve.
3.Inverters 2, 3, and 4 started late for production at 11:15 on 05/15.Issue got self resolved
4.Inverter 6 tripped offline at 12:00 on 05/26 and back online at 13:00 on 05/27.Inverter 6 again tripped offline at 13:00 on 05/31
5.Inverter 2 remained offline on 05/27 and resumed production on 05/28. It tripped offline again at 12:00 on 05/31, and the issue was not resolved
6.Inverter 7 tripped offline at 09:00 on 03/13 due to an electric arc fault, and there is a need to consolidate with wire management site-wide.
7.Inverter 10 remained offline from 05/27 for rest of the month.Reaching out to rural solar.Issue is still under troubleshooting
8.Inverter 17 tripped offline at 13:00 on 03/01 due to Electric arc detected. Followed up with Aireko on new dispatching.
9.Inverter 16 offline since 02/24 due to Electric arc detected. Followed up with Aireko on new dispatching.
10.Inverter 15 is intermittently on and off throughout the month.Issue did not resolve</t>
  </si>
  <si>
    <t>1.SR099423,SR101942, SR102198
2.SR088869,SR101035, SR101942
3.SR101469
4.SR101942
5.SR101997
6.SR092209
7.SR101998
8.SR092751
9.SR092255
10.SR092095</t>
  </si>
  <si>
    <t>SR101942</t>
  </si>
  <si>
    <t>SR102198</t>
  </si>
  <si>
    <t>SR088869</t>
  </si>
  <si>
    <t>SR101035</t>
  </si>
  <si>
    <t>SR101469</t>
  </si>
  <si>
    <t>SR101997</t>
  </si>
  <si>
    <t>SR101998</t>
  </si>
  <si>
    <t>1.Weather station is barely reporting from 12/06 at 08:30. This issue will be troubleshooting next time onsite 
2. The site was offline from 11:15 on 05/09 to 09:15 on 05/12. In response to the customer’s request, technicians were dispatched on 05/09 to inspect all rooftop-mounted Sungrow inverters at the Seaport location as a precautionary measure following the incident at Summer St. The site tripped offline again at 14:30 on 05/12 and remained offline for the rest of the month. The issue is currently under investigation.</t>
  </si>
  <si>
    <t>1.SR095305
2.SR101219</t>
  </si>
  <si>
    <t>SR101219</t>
  </si>
  <si>
    <t>1. Inverter 4 is derating by approximately 30 kW compared to peers from 09:30 on 04/09/25. On 05/02 technician visited the site and mentioned issue was not active and it might have been occured due to overheating.
2. The weather station stopped communicating on 05/04. The communication issue will persist until further repairs are completed.</t>
  </si>
  <si>
    <t>1.SR099583
2. SR101010</t>
  </si>
  <si>
    <t>SR101010</t>
  </si>
  <si>
    <t>1.Inverter 9 tripped offline at 11:45 on 05/03 due to low Insulation resistance and remains offline for rest of the month due to a fire accident occured on 05/04.
2.The site tripped offline at 11:00 on 05/04 due to a fire accident. The fire spread to the solar modules associated with Inverters 5-22, with visible damage observed in that array section. DC strings for Inverters 2.9, 2.10, and 2.11, along with the wire tray next to Inverter 2.9, also appear to have been damaged. Troubleshooting is still in progress</t>
  </si>
  <si>
    <t>1.SR100958
2.SR100985,SR101223</t>
  </si>
  <si>
    <t>SR100985</t>
  </si>
  <si>
    <t>SR101223</t>
  </si>
  <si>
    <t>1. Site production was low on 05/03, 05/06, 05/07, 05/21 to 05/24, 05/28 due to rain.</t>
  </si>
  <si>
    <t>1. SR095531</t>
  </si>
  <si>
    <t>1. Inverter 2 was offline from 14:00 to 14:17 on 05/12 due to technician was onsite for preventive maintenance work.</t>
  </si>
  <si>
    <t>1. PM8038</t>
  </si>
  <si>
    <t>1.Inverter 1 has been underperforming by approximately 20 kW since May 05/07 at 14:00. This issue was occured due to technician during PM event left the fuses open due to heavy rain .On 05/12 technician closed the fuses, bringing back inverter to the normal operation</t>
  </si>
  <si>
    <t>1.SR101158</t>
  </si>
  <si>
    <t xml:space="preserve"> 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</si>
  <si>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</si>
  <si>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</si>
  <si>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</si>
  <si>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</si>
  <si>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</si>
  <si>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</si>
  <si>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</si>
  <si>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</si>
  <si>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</si>
  <si>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</si>
  <si>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</si>
  <si>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</si>
  <si>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 xml:space="preserve">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
</t>
  </si>
  <si>
    <t>1. SR100509
2. SR100448, SR101460, SR101476,SR101572,
SR101848
3. SR101225,SR102056
4. SR101237</t>
  </si>
  <si>
    <t>SR101460</t>
  </si>
  <si>
    <t>SR101476</t>
  </si>
  <si>
    <t>SR101572</t>
  </si>
  <si>
    <t>SR101848</t>
  </si>
  <si>
    <t>SR101225</t>
  </si>
  <si>
    <t>SR102056</t>
  </si>
  <si>
    <t>SR101237</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</si>
  <si>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</si>
  <si>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</si>
  <si>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</si>
  <si>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</si>
  <si>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</si>
  <si>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</si>
  <si>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</si>
  <si>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</si>
  <si>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</si>
  <si>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</si>
  <si>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</si>
  <si>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</si>
  <si>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</si>
  <si>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</si>
  <si>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</si>
  <si>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</si>
  <si>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</si>
  <si>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</si>
  <si>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</si>
  <si>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</si>
  <si>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</si>
  <si>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</si>
  <si>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</si>
  <si>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</si>
  <si>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</si>
  <si>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</si>
  <si>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</si>
  <si>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</si>
  <si>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</si>
  <si>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</si>
  <si>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</si>
  <si>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</si>
  <si>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</si>
  <si>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</si>
  <si>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</si>
  <si>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</si>
  <si>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</si>
  <si>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</si>
  <si>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</si>
  <si>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</si>
  <si>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</si>
  <si>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</si>
  <si>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</si>
  <si>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1.	SR095946</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</si>
  <si>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</si>
  <si>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SR099930</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</si>
  <si>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</si>
  <si>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</si>
  <si>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</si>
  <si>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</si>
  <si>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</si>
  <si>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</si>
  <si>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</si>
  <si>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</si>
  <si>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</si>
  <si>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</si>
  <si>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</si>
  <si>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</si>
  <si>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</si>
  <si>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</si>
  <si>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</si>
  <si>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</si>
  <si>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</si>
  <si>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</si>
  <si>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</si>
  <si>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</si>
  <si>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</si>
  <si>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</si>
  <si>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 xml:space="preserve">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
</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</si>
  <si>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</si>
  <si>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</si>
  <si>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</si>
  <si>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</si>
  <si>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</si>
  <si>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</si>
  <si>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</si>
  <si>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</si>
  <si>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</si>
  <si>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</si>
  <si>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</si>
  <si>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</si>
  <si>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</si>
  <si>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</si>
  <si>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</si>
  <si>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</si>
  <si>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</si>
  <si>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</si>
  <si>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</si>
  <si>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 xml:space="preserve">1.SR099014,SR100026
</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</si>
  <si>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</si>
  <si>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</si>
  <si>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</si>
  <si>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</si>
  <si>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</si>
  <si>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</si>
  <si>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</si>
  <si>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June Actual v. Expected</t>
  </si>
  <si>
    <t>June Actual v. Forecasted</t>
  </si>
  <si>
    <t>1. The weather station has been reporting erroneous values during evening hours, showing readings around 600–800 W/m², while nearby sites are reporting approximately 300 W/m².</t>
  </si>
  <si>
    <t>1.SR101016</t>
  </si>
  <si>
    <t>1.Meter 3 experienced a production drop starting on 06/18, issue got resolved  and producing as expected from 06/25.</t>
  </si>
  <si>
    <t>1.SR103162</t>
  </si>
  <si>
    <t>1. Low production/generation due to  low irradiance on 06/01</t>
  </si>
  <si>
    <t>1.Meter production dropped to zero on Multiple days throughout the month, but not consistently.Replacement is still inprogress for meter and 12 broken modules replacement.</t>
  </si>
  <si>
    <t>1.Inverters 1 &amp; 2 are operational but not communicating. Further troubleshooting is needed to resolve both the underperformance and communication issues of Inverter 1&amp;2.</t>
  </si>
  <si>
    <t>1.SR101037</t>
  </si>
  <si>
    <t>1. Inverter 2 was offline throughout the month and reporting fault "Watchdog". Gen Cap will work directly with Rural Solar.
2.Site production was dropped on 06/10 as technicians were onsite for PM inspection.
3. Inverter D has been tripping on and offline from 06/09, no fault codes.
4. Site tripped offline at 16:00 on 06/28 and  inverters are reporting at constant value through out the month</t>
  </si>
  <si>
    <t>1.SR092555
2.PM9232, SR102842
3.SR103545
4.SR103721</t>
  </si>
  <si>
    <t>SR102842</t>
  </si>
  <si>
    <t>SR103545</t>
  </si>
  <si>
    <t>SR103721</t>
  </si>
  <si>
    <t xml:space="preserve">1. 8 inverters are offline from 09/05/24 according to the SMA Sunny Portal and need to be replaced. Gen Cap will work directly with Rural Solar.
</t>
  </si>
  <si>
    <t xml:space="preserve">1.SR092556
</t>
  </si>
  <si>
    <t>1.Inverter 1 is producing 40kW less compared to its peers throughout the month.
2.Inverter 2 has been sporadically derating during high irradiance days.</t>
  </si>
  <si>
    <t>1.SR100106
2.SR091894</t>
  </si>
  <si>
    <t>SR091894</t>
  </si>
  <si>
    <t>1. The Meter Buildings 1 and 2 production dropped to 8kW on 06/16 and  later self resolved on 06/17.</t>
  </si>
  <si>
    <t>1. SR103051</t>
  </si>
  <si>
    <t>1. Inverters 4&amp;11 are experiencing heavy shading due to surrounding trees throughout the day from 11/07/2024.</t>
  </si>
  <si>
    <t>1. The site was taken offline from 06/05 at 10:00 due to a technician being on-site to work on the inverters. Thermal damage was found, and the inverter requires further troubleshooting and remained offline through out the month.</t>
  </si>
  <si>
    <t>1. SR102472</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</si>
  <si>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</si>
  <si>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</si>
  <si>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</si>
  <si>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</si>
  <si>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</si>
  <si>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</si>
  <si>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</si>
  <si>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</si>
  <si>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</si>
  <si>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</si>
  <si>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</si>
  <si>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</si>
  <si>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</si>
  <si>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</si>
  <si>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</si>
  <si>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</si>
  <si>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</si>
  <si>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</si>
  <si>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</si>
  <si>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</si>
  <si>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</si>
  <si>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</si>
  <si>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</si>
  <si>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</si>
  <si>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</si>
  <si>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</si>
  <si>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</si>
  <si>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</si>
  <si>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</si>
  <si>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</si>
  <si>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</si>
  <si>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</si>
  <si>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</si>
  <si>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</si>
  <si>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</si>
  <si>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</si>
  <si>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</si>
  <si>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</si>
  <si>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</si>
  <si>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</si>
  <si>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</si>
  <si>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</si>
  <si>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</si>
  <si>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</si>
  <si>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</si>
  <si>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</si>
  <si>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</si>
  <si>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</si>
  <si>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</si>
  <si>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</si>
  <si>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</si>
  <si>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</si>
  <si>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</si>
  <si>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</si>
  <si>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</si>
  <si>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</si>
  <si>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</si>
  <si>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</si>
  <si>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</si>
  <si>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</si>
  <si>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</si>
  <si>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</si>
  <si>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</si>
  <si>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</si>
  <si>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</si>
  <si>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</si>
  <si>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</si>
  <si>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</si>
  <si>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</si>
  <si>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</si>
  <si>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</si>
  <si>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</si>
  <si>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</si>
  <si>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</si>
  <si>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</si>
  <si>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</si>
  <si>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</si>
  <si>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</si>
  <si>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</si>
  <si>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</si>
  <si>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</si>
  <si>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</si>
  <si>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</si>
  <si>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</si>
  <si>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</si>
  <si>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</si>
  <si>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</si>
  <si>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</si>
  <si>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</si>
  <si>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</si>
  <si>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</si>
  <si>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</si>
  <si>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</si>
  <si>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</si>
  <si>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</si>
  <si>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</si>
  <si>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</si>
  <si>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</si>
  <si>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</si>
  <si>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</si>
  <si>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</si>
  <si>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</si>
  <si>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</si>
  <si>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</si>
  <si>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</si>
  <si>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</si>
  <si>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</si>
  <si>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</si>
  <si>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</si>
  <si>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</si>
  <si>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</si>
  <si>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</si>
  <si>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</si>
  <si>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</si>
  <si>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</si>
  <si>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</si>
  <si>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</si>
  <si>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</si>
  <si>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</si>
  <si>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</si>
  <si>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</si>
  <si>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</si>
  <si>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</si>
  <si>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</si>
  <si>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</si>
  <si>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</si>
  <si>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</si>
  <si>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</si>
  <si>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</si>
  <si>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</si>
  <si>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</si>
  <si>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</si>
  <si>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</si>
  <si>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</si>
  <si>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</si>
  <si>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</si>
  <si>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</si>
  <si>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  Site was offline from 07:00 to 12:45 on 06/19 due to technician was onsite for preventive maintenance.</t>
  </si>
  <si>
    <t>1. PM7748</t>
  </si>
  <si>
    <t>1. SR091181</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</si>
  <si>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</si>
  <si>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1.SR103078</t>
  </si>
  <si>
    <t>1.Inverter 2 has been offline since 03/28, reporting a fault current.
2. Meter power  dropped to zero at 09:30 on 06/14 due to wiring issues but production was confirmed at meter level and were back to normal at 11:00 ,again tripped off at 10:00  on 06/17 and were back online at 19:30  on 06/19,tripped off at 09:45  on 06/20 and back online at 12:00 on 06/22,again tripped off at 11:30 and were back online at 19:00  on 06/26.</t>
  </si>
  <si>
    <t>1.SR100622,SR095581
2.SR100771</t>
  </si>
  <si>
    <t>1.Inverter 4 was derating at 20kW since 06/23 and reporting "Fans are defective Sensor defect"
2.Inverter 4 was tripped offline at 13:30 on 06/04 .Inverter was back online at 09:45 on 06/06 after technician re-energized the inverter. 
3.Inverter 17 was derating at 1.9kW on 06/03 and reporting "Sensor defect Module over temperature" and was back to normal from 06/04,issue was self resolved.</t>
  </si>
  <si>
    <t>1.SR103354
2.SR102474
3.SR102386</t>
  </si>
  <si>
    <t>SR102474</t>
  </si>
  <si>
    <t>SR102386</t>
  </si>
  <si>
    <t>1. Inverter 2 was offline for whole month due to fault current.
2. Inverter 3 was offline for whole month due to Interference device fault</t>
  </si>
  <si>
    <t>1. SR099268
2. SR093354</t>
  </si>
  <si>
    <t>SR093354</t>
  </si>
  <si>
    <t>1. Inverter 11 was offline for whole month.
2. Inverter 14 was offline for whole month.
3. Inverter 15 was offline for whole month.
4. Inverter 16 was offline for whole month.
5. Inverter 25 was offline for whole month.
6. Inverter 26 was offline for whole month.</t>
  </si>
  <si>
    <t>1. SR101102
2. SR101744
3. SR100464
4. SR098883
5. SR092332
6. SR095649</t>
  </si>
  <si>
    <t>SR101744</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</si>
  <si>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t>
  </si>
  <si>
    <t>1. SR102198
2. SR101942, SR088869
3. SR092209
4. SR101998
5. SR092255
6. SR092751
7. SR092095
8. SR101997
9. SR103021</t>
  </si>
  <si>
    <t>SR103021</t>
  </si>
  <si>
    <t xml:space="preserve">1.Site tripped offline  at 14:30 from 05/12. Site came back online at 08:45 on 06/20
2.Weather station is barely reporting from 12/06 at 08:30. This issue will be troubleshooting next time onsite </t>
  </si>
  <si>
    <t>1.	SR101219
2.	SR095305</t>
  </si>
  <si>
    <t>SR095305</t>
  </si>
  <si>
    <t>1.Inverters 1,7,8,10,11 &amp;12 tripped offline at 12:45 on 06/24 and reporting "E09 - No Grid". Additionally meter power dropped to zero and came back online at 13:30 on 06/25
2.The weather station stopped communicating on 05/04. The communication issue will persist until further repairs are completed.</t>
  </si>
  <si>
    <t>1.	SR103423
2.SR101010</t>
  </si>
  <si>
    <t>1.The site tripped offline at 11:00 on 05/04 due to a fire accident. The fire spread to the solar modules associated with Inverters 5-22, with visible damage observed in that array section. DC strings for Inverters 2.9, 2.10, and 2.11, along with the wire tray next to Inverter 2.9, also appear to have been damaged. Troubleshooting is still in progress</t>
  </si>
  <si>
    <t>1.	SR100985,SR101223</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</si>
  <si>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</si>
  <si>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</si>
  <si>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</si>
  <si>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</si>
  <si>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</si>
  <si>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</si>
  <si>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</si>
  <si>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</si>
  <si>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</si>
  <si>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</si>
  <si>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</si>
  <si>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</si>
  <si>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</si>
  <si>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</si>
  <si>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</si>
  <si>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</si>
  <si>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</si>
  <si>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</si>
  <si>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</si>
  <si>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</si>
  <si>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</si>
  <si>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</si>
  <si>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</si>
  <si>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</si>
  <si>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</si>
  <si>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</si>
  <si>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</si>
  <si>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</si>
  <si>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</si>
  <si>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</si>
  <si>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</si>
  <si>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</si>
  <si>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</si>
  <si>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</si>
  <si>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</si>
  <si>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</si>
  <si>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</si>
  <si>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</si>
  <si>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</si>
  <si>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SR098860</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</si>
  <si>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</si>
  <si>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</si>
  <si>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</si>
  <si>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</si>
  <si>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</si>
  <si>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</si>
  <si>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</si>
  <si>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</si>
  <si>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</si>
  <si>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</si>
  <si>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</si>
  <si>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</si>
  <si>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</si>
  <si>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</si>
  <si>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</si>
  <si>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</si>
  <si>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</si>
  <si>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</si>
  <si>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</si>
  <si>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</si>
  <si>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</si>
  <si>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</si>
  <si>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</si>
  <si>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</si>
  <si>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</si>
  <si>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</si>
  <si>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</si>
  <si>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</si>
  <si>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</si>
  <si>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</si>
  <si>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</si>
  <si>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</si>
  <si>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</si>
  <si>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</si>
  <si>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</si>
  <si>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</si>
  <si>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</si>
  <si>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</si>
  <si>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</si>
  <si>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</si>
  <si>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</si>
  <si>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</si>
  <si>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</si>
  <si>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</si>
  <si>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</si>
  <si>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</si>
  <si>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</si>
  <si>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</si>
  <si>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</si>
  <si>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</si>
  <si>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</si>
  <si>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</si>
  <si>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</si>
  <si>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</si>
  <si>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</si>
  <si>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</si>
  <si>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</si>
  <si>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</si>
  <si>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</si>
  <si>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</si>
  <si>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</si>
  <si>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</si>
  <si>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</si>
  <si>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</si>
  <si>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</si>
  <si>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</si>
  <si>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</si>
  <si>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</si>
  <si>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</si>
  <si>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</si>
  <si>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</si>
  <si>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</si>
  <si>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</si>
  <si>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</si>
  <si>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</si>
  <si>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</si>
  <si>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July Actual v. Expected</t>
  </si>
  <si>
    <t>July Actual v. Forecasted</t>
  </si>
  <si>
    <t>1. Meter 1 did not communicate from 07/02 and production of inverter 1 cannot be confirmed. Upon arrival technician found dead squirrels on meter enclosure and also a blown fuse on phase B at utility disconnect later it came back online at 11:00AM on 07/31</t>
  </si>
  <si>
    <t>1.	SR103955</t>
  </si>
  <si>
    <t>1. Low production/generation due to  low irradiance on 07/20</t>
  </si>
  <si>
    <t>1. Inverter 2 underperforming by 10 kW (2 strings) for whole month</t>
  </si>
  <si>
    <t>1. SR104268</t>
  </si>
  <si>
    <t>1.Site has been repeatedly tripping offline since it was reenergized on 7/22, and was online with occasional spikes in production</t>
  </si>
  <si>
    <t>1.	SR105035 ,SR104591</t>
  </si>
  <si>
    <t>SR104591</t>
  </si>
  <si>
    <t>1.Meter production dropping to zero on Multiple days throughout the month, but not consistently.Replacement is still inprogress for meter and 12 broken modules replacement.
2. Site trips offline in the afternoon. Some inverter(s) trip offline mid morning as well. (site does not have inverter communications in PowerTrack).</t>
  </si>
  <si>
    <t>1.SR099666
2.	SR105159</t>
  </si>
  <si>
    <t>SR105159</t>
  </si>
  <si>
    <t>1.	SR101037</t>
  </si>
  <si>
    <t xml:space="preserve"> 1.Site tripped offline at 16:00 on 06/28 and  inverters are reporting at constant value through out the month and site came back online on 07/22
2. Inverter 2 failed to start for production from 07/22 after site re-energization.</t>
  </si>
  <si>
    <t>1.SR103721
2.	SR104748</t>
  </si>
  <si>
    <t>SR104748</t>
  </si>
  <si>
    <t>1. 8 inverters are offline from 09/05/24 according to the SMA Sunny Portal and need to be replaced. Gen Cap will work directly with Rural Solar.</t>
  </si>
  <si>
    <t>1.	SR092556</t>
  </si>
  <si>
    <t>1.Inverter 2 has been sporadically derating during high irradiance days.</t>
  </si>
  <si>
    <t>1.SR091894</t>
  </si>
  <si>
    <t xml:space="preserve"> 1.Meter build 5 &amp; 6 is dropping by 20 kW on most days, possibly two inverters tripping offline
2.Meter Build 8 &amp; 9 contiously tripping and self-resolving through out the month</t>
  </si>
  <si>
    <t>1.SR103804
2.SR105439</t>
  </si>
  <si>
    <t>SR105439</t>
  </si>
  <si>
    <t>1.	SR093047</t>
  </si>
  <si>
    <t>1. Inverter 1 is missing communications and offline as per the meter production and came back online on 07/11</t>
  </si>
  <si>
    <t>1.SR103460</t>
  </si>
  <si>
    <t>1.Low production/generation due to low irradiance on  07/14 ,07/14</t>
  </si>
  <si>
    <t>1. Inverter 1 middle unit dropped production 13 kW down at 12:00 on 06/04. Inverter fan is under replacement. 
2.Inverter 3 middle unit(unit 3.2) is derating by 14kW since 06/11 and reporting "External fan fault" since 6/4
3.Estimated values are low in AE we have also verified the file which was given by GC</t>
  </si>
  <si>
    <t>1.	SR102473
2.SR103360</t>
  </si>
  <si>
    <t>SR103360</t>
  </si>
  <si>
    <t>1.	SR097569 ,SR102535</t>
  </si>
  <si>
    <t>SR102535</t>
  </si>
  <si>
    <t>1. 96 optimizers are down for site construction.
2.Inverter 1 tripped offline on 07/22 from 07:23 to 13:00 and producing "irradiance check " fault and again offline from 09:07 to 10:00 on 07/23</t>
  </si>
  <si>
    <t>1.SR093291
2.SR104754</t>
  </si>
  <si>
    <t>SR104754</t>
  </si>
  <si>
    <t>1.Inverter 1 tripped offline at 13:00 on 06/12 and came back online on 07/10
2. Inverter module 1.0.153 12D31EC2-C5 is offline, reporting no comms with power optimizer.
3.Weather station stopped communicating on 11/22 at 07:00.</t>
  </si>
  <si>
    <t>1.SR102970
2.	SR093292
3.SR093633</t>
  </si>
  <si>
    <t>1. 26 optimizers are down for roof repair.
2. Weather station stopped communicating since 06/14/24.
3. Inverter 2 middle unit (unit 2.1) was offline on multiple days and reporting low voltage</t>
  </si>
  <si>
    <t>1.	SR093294
2.SR104856</t>
  </si>
  <si>
    <t>SR104856</t>
  </si>
  <si>
    <t xml:space="preserve">1.Inverter 2 tripped offline at 12:00 and back online at 17:30 on 07/22, reporting a low irradiance check </t>
  </si>
  <si>
    <t>1.Both inverters tripped offline on 07/05 at 08:00 and reporting "Grid Voltage" and came back online on 07/06
2. The estimated values in AlsoEnergy appeared lower, and there was a discrepancy between the values shown in the Configuration and Analysis sections.</t>
  </si>
  <si>
    <t>1.SR104039</t>
  </si>
  <si>
    <t>1.SR103259</t>
  </si>
  <si>
    <t>1.	SR102672</t>
  </si>
  <si>
    <t>1. Low production/generation due to  low irradiance on 07/14 &amp; 07/31</t>
  </si>
  <si>
    <t>1.Low production/generation due to low irradiance on  07/31</t>
  </si>
  <si>
    <t xml:space="preserve">1.Site stopped communicating from 03/25. On 03/27 Technician stated that main breaker tripped and malfunctioning. Site was remained offline till date. As per GenC, EPC has been responsive on the warranty claim. </t>
  </si>
  <si>
    <t>1.SR102532 ,	SR102533</t>
  </si>
  <si>
    <t>SR102533</t>
  </si>
  <si>
    <t>1.Some optimizers with production issues 1264FFBB-30 - Half production  ,12639DA9-BB - Half production</t>
  </si>
  <si>
    <t>1.	SR088282</t>
  </si>
  <si>
    <t>1.Inverter 2 is underperforming 8kW compared to its peers since 07/06. Failed negative string connector repaired, inv 2 is producing normally on 07/16</t>
  </si>
  <si>
    <t>1.SR104430</t>
  </si>
  <si>
    <t>1. Inverter 1, unit 1.1 tripped offline on 06/24 at 15:00 reporting "Residual Current Device" . Replaced DC relay board and re-energized the inverter. Issue resolved on 07/24</t>
  </si>
  <si>
    <t>1.	SR103569</t>
  </si>
  <si>
    <t>1. Inverter 1, Unit 1.1 tripped offline at 12:30 on 07/11.   Replaced defective optimizer from stock, inverter is producing normally on 07/14</t>
  </si>
  <si>
    <t>1.	SR104342</t>
  </si>
  <si>
    <t>1.4 Inverter modules are offline. Will investigate next time on site. Module 1.0.64 Module 4.0.39 , 3.0.20 ,1.0.64</t>
  </si>
  <si>
    <t>1.Low production/generation due to low irradiance 07/31</t>
  </si>
  <si>
    <t>1. Inverter 3 right unit tripped offline at 12:00 on 07/01 and reporting "Fault" in AE. Inverter faulted RSD, inspected array and inverter. Power cycled unit, inverter 3 producing as expected from 07/11</t>
  </si>
  <si>
    <t>1.	SR103857</t>
  </si>
  <si>
    <t>1.Inverter modules 3.0.144 and 5.0.100 are offline</t>
  </si>
  <si>
    <t>1.	SR093327</t>
  </si>
  <si>
    <t>1.Inverter 2 offline from 12:20 to 12:41 on 07/24 due to technician was on site</t>
  </si>
  <si>
    <t>1.Inverter 1 right unit is back online on 07/02 at 13:15
2. Inverter 1 right unit tripped offline at 07:00 on 07/18 and reporting "AC Freq Too High (Line 3)"</t>
  </si>
  <si>
    <t>1.SR103568
2.SR105209</t>
  </si>
  <si>
    <t>SR105209</t>
  </si>
  <si>
    <t>1. Inverter 1 unit 1.2 is derating by 30kW since 07/15.</t>
  </si>
  <si>
    <t>1.SR104744</t>
  </si>
  <si>
    <t>1. Inverter 4 tripped offline at 12:45 on 07/01 and back online at 08:45 on 07/07, while tech on site inverter 5 is offline from 09:00 to 12:30.
2. Inverter 1 tripped offline at 10:45 on 07/08 and back online at 15:00 on 07/09 but inverter 1 is producing at its half production through out the month
3. Inverter 3 was offline from 08:00 to 10:30 on 07/11 while technician on site
4.Inverter 5 tripped offline at 10:30 and later PE was able to reset at 17:30 on 07/16
5. Inverter 2 tripped offline at 12:15 on 07/23 and back online at 08:00 on 07/24</t>
  </si>
  <si>
    <t>1.SR101910
2.SR101354
3.PM7993
4.SR104543
5.SR104886</t>
  </si>
  <si>
    <t>SR104543</t>
  </si>
  <si>
    <t>SR104886</t>
  </si>
  <si>
    <t>1.Inverter 5 tripped offline at 11:00 on 07/14 and back online at 09:15 on 07/17</t>
  </si>
  <si>
    <t>1.SR104398</t>
  </si>
  <si>
    <t>1. Meter stopped communicating from 14:05 on 03/16 till date.
2. Inverter 1 is back online at 07:15 on 07/11
3. Site lost communication on 07/07 at 23:40 and later back online at 07:10 on 07/11 but inverter 2 is offline and back online at 09:55 on 07/17</t>
  </si>
  <si>
    <t>1.SR098641
2.SR103150
3.SR104128</t>
  </si>
  <si>
    <t>SR104128</t>
  </si>
  <si>
    <t>1. Inverters 26 are derating by 20kW down each compared to its peers since 06/04.
2. Inverters 28 to 33 are tripped offline at 13:25 on 06/23 due to damaged breaker. After install the new breaker inverters are back online at 09:40 on 07/09.
3. inverters 18 to 22 tripped offline from  08:55 to 11:35 on 07/07. due tech onsite and replceing the CB's.
4. Site was taken offline from 07:25 to 09:40 on 07/09 due to technision was on site and  install the new breaker.
5. Inverter 10 went offline at 06:30 on 07/27, reporting 'standby mode'. It later self-resolved and came back online at 06:30 on 07/28.</t>
  </si>
  <si>
    <t>1. SR102506
2. SR103185
3. SR102919
4. SR103185
5. SR105115</t>
  </si>
  <si>
    <t>SR102919</t>
  </si>
  <si>
    <t>SR105115</t>
  </si>
  <si>
    <t>1. Inverter 8 tripped offline at 13:05 on 07/20  due to B-phase has blown fuse.
2. Inverters 1 to 16 and 20 to 33 tripped offline at 16:05 on 07/24 and came back online at 06:00 on 07/25. They tripped offline again at 18:00 on 07/28.</t>
  </si>
  <si>
    <t>1. SR104724
2. SR105002</t>
  </si>
  <si>
    <t>SR105002</t>
  </si>
  <si>
    <t>1. Inverter 1 tripped offline at 16:45 on 07/03 reporting "Isolation resistance values out of limits". later seif resolved and back online at 06:00 on 07/04</t>
  </si>
  <si>
    <t>1. SR104001</t>
  </si>
  <si>
    <t>1. Inverter 2 tripped offline at 06:00 on 07/22, reporting a 'PH. R blower' fault, and came back online at 09:55 on 07/23.</t>
  </si>
  <si>
    <t>1. Inverter 1 experienced multiple trip events starting from 07/17. A technician later cleared a ground fault, and the inverter returned to normal operation on 07/23.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</si>
  <si>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SR104609
2. SR093024</t>
  </si>
  <si>
    <t>1. Combiner box 7,string 1 is underperforming since 03/21.Needs further investigation.</t>
  </si>
  <si>
    <t>1. SR098866</t>
  </si>
  <si>
    <t>1.The site went offline at 09:55 on 03/27 due to utility work at the substation. On 07/16, a technician re-energized the inverters, and the site came back online at 09:35 on 07/16.
2. Site was offline at 04:30 on 07/21 and later tecnician Power cycled the DAS and site is back online at 02:05 on 07/22.</t>
  </si>
  <si>
    <t>1. SR098998
2. SR104684</t>
  </si>
  <si>
    <t>SR104684</t>
  </si>
  <si>
    <t>1. Inverter 4 tripped offline at 13:15 on 06/27. The inductor fan was sent for RMA  on 06/27. Later, a technician replaced the inductor fan, and the inverter was back online at 14:10 on 07/07.
2. The site tripped offline at 18:55 on 07/13 and back online at 03:25 on 07/14. It tripped offline again at 11:50 on 07/20 due to technician working on site, and was  back online at 13:40 on 07/21</t>
  </si>
  <si>
    <t>1. SR103651
2. SR104374</t>
  </si>
  <si>
    <t>SR104374</t>
  </si>
  <si>
    <t>1. The site was taken offline from 08:15 to 11:30 and again from 14:55 to 16:05 on 07/29, as the utility performed emergent work at the site.</t>
  </si>
  <si>
    <t>1. SR105211</t>
  </si>
  <si>
    <t>1. Inverters 14 , 5, 29 and 32 have also tripped offline at 13:40 from 06/30 producing fault "" Grid voltage out of range".and except inveretr 14 is RMA'd remaining inverters back online at 14:30 on 07/07.
2.Inverter 9 was offline on multiple days of the month.
3.Inverters 28 was frequently trippping on and off.Inverter 28 was completly offline from 06/20 and later  back online at 14:45 on 07/07. and again tripped offline at 12:30 on 07/10 and inveretr is under  RMA'd 
4. Inverter 20 tripped offline at 12:15 on 06/21 and remained offline throughout the month due to  "Grid voltage out of range" and "Power Module Protection - Protect0120" respectively.
5. Inverter 30 was offline on multiple days of the month.
6. Inverter 23 tripped offline at 15:00 on 07/13 and reporting "Grid Phase Voltage Out of Range - GridV.OutLim". and later back online at 08:30 on 07/16.
7. Inverter 1 is derating by 25kW at 12:30 on 07/13 compared to peers and reporting "External Fan Err - ExtFanerr". after replacening the fan inverters is back to normal operation on 07/16.
8. Pad 1(1-20) inverters tripped offline at 19:20 on 07/17 and back online at 10:45 on 07/18.
9. Inverter 5 tripped offline at 14:00 on 07/21 and reporting Grid Line Voltage Out of Range - GridV.OutLim.
10 . Inverter 32 tripped offline at 12:00 on 07/23 and reporting "Grid Phase Voltage Out of Range - GridV.OutLim" and later closeing bracker inverter is back online at 09:00 on 07/28.
11.  Inverter 33 tripped offline and reporting "Grid Phase Voltage Out of Range - GridV.OutLim" and later closeing bracker inverter is back online at 09:00 on 07/28.
12. Inverters 3,9,28 &amp; 30 have tripped offline at 11:45 on 07/28 and reporting Grid Line Voltage Out of Range - GridV.OutLim and offline throughout the month.</t>
  </si>
  <si>
    <t>1. SR103260, SR103257
2. SR102335, SR102682, SR104557
3. SR102682,SR103181 SR104208
4. SR103257
5. SR103260, SR104208
6. SR104370
7. SR104371
8. SR104594
9. SR104741
10. SR104887
11. SR104998
12. SR105204</t>
  </si>
  <si>
    <t>SR104557</t>
  </si>
  <si>
    <t>SR104208</t>
  </si>
  <si>
    <t>SR104370</t>
  </si>
  <si>
    <t>SR104371</t>
  </si>
  <si>
    <t>SR104594</t>
  </si>
  <si>
    <t>SR104741</t>
  </si>
  <si>
    <t>SR104887</t>
  </si>
  <si>
    <t>SR104998</t>
  </si>
  <si>
    <t>SR105204</t>
  </si>
  <si>
    <t>1. Inverters 1 tripped offline at 14:25 on 06/30 after replaceing the DC motor, Inverter is back online at 14:15 on 07/03.
2. Site was taken offline from 09:20 to 10:20 on 07/15 due to technician was on site  and Cleaned transformer.</t>
  </si>
  <si>
    <t>1. SR103671
2. SR103452, PM7683</t>
  </si>
  <si>
    <t>SR103452</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</si>
  <si>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</si>
  <si>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1. SR101820, SR099347, 	SR103655</t>
  </si>
  <si>
    <t>SR103655</t>
  </si>
  <si>
    <t>1.Site offline at 14:35 on 07/03 and site came back online at 07:50 on 07/07 due to utility outage</t>
  </si>
  <si>
    <t>1.	SR103990</t>
  </si>
  <si>
    <t>1. Combiner box 33 is being isolated from 07/18 due to hotspot found during the PM to prevent any further thermal damage. On 07/29  technician has re-energized the combiner box 33. Additional Troubleshooting is required to re-energize the combiner 11 and filter replacement
2.Inverters tripping on and offline from 10:55 to 14:10 due to technician was on site to perform preventive maintanance</t>
  </si>
  <si>
    <t>1.SR104624
2.PM1903</t>
  </si>
  <si>
    <t>1.Site tripped offline from 07:30 to 20:15 on 07/25 due to utility outage
2.Site tripped offline at 15:35 on 07/26 and came back online at 12:45 on 07/27</t>
  </si>
  <si>
    <t>1.	SR105048
2.SR105120</t>
  </si>
  <si>
    <t>SR105120</t>
  </si>
  <si>
    <t xml:space="preserve">1.Site tripped offline due to utility outage at 07:35 on 07/25 and came back online at 06:15 on 07/26
2.Weather station dropped down to zero at 10:55 AM on 07/04 and reported zero value till 07/20 after which the issue self-resolved. </t>
  </si>
  <si>
    <t>1.	SR105049
2. SR105649</t>
  </si>
  <si>
    <t>1.Site tripped offline from 08:15 to 10:30 and 14:55 to 16:05 on 07/209 due to utility outage</t>
  </si>
  <si>
    <t>1.SR105225</t>
  </si>
  <si>
    <t>1.Site tripped offline from 08:!5 to 09:25 and 14:55 to 16:05 on 07/29 due to utility outage</t>
  </si>
  <si>
    <t>1.SR105226</t>
  </si>
  <si>
    <t xml:space="preserve">1.Site tripped offline from 16:15 to 17:10 on 07/20 </t>
  </si>
  <si>
    <t>1.SR104664</t>
  </si>
  <si>
    <t>1.	SR095109</t>
  </si>
  <si>
    <t>1.Site tripped offline from 14:55 to 16:05 on 07/29</t>
  </si>
  <si>
    <t>1.SR105216</t>
  </si>
  <si>
    <t xml:space="preserve">1.Site tripped offline from 08:20 to 11:35 and 15:00 to 16:05 on 07/29 </t>
  </si>
  <si>
    <t>1.	SR105218</t>
  </si>
  <si>
    <t>1.Site was offline from 07/14. On 07/25 Technician has replaced the CTs on the inverter 2 but inverter remained offline. Upon further troubleshooting technician found LVRT board and communication board need replaced on the inverters. Technician has followed up with Sungrow for the replacement. Currently, both inverters will remain offline until parts being replace</t>
  </si>
  <si>
    <t>1.SR104383</t>
  </si>
  <si>
    <t>1.The inverter is exceeding its curtailment at 2338KW since 8am on 05/10 .
2.Site tripped offline at 08:50 to 14:45 on 07/26
3. Trackers 1 through 49 are currently stuck.</t>
  </si>
  <si>
    <t>1.SR101282
2.SR105110
3.	SR105180</t>
  </si>
  <si>
    <t>SR105110</t>
  </si>
  <si>
    <t>SR105180</t>
  </si>
  <si>
    <t xml:space="preserve">1.Site was offline from 11:00 - 15:15 on 07/08
2. Inverter 2 tripped offline from 7:55 to 08:35 on 07/20 due to Overall Work state as "STOP". </t>
  </si>
  <si>
    <t>1.SR104142
2.SR104657</t>
  </si>
  <si>
    <t>SR104657</t>
  </si>
  <si>
    <t xml:space="preserve">1.Inverter 1 tripped offline again soon after the previous site visit on 7/11, reporting "Error error". On 07/16  Inverter 1 has been re-energized came back online at 10:00
2.Weather station lost communication from 03/29. </t>
  </si>
  <si>
    <t>1.	SR104455</t>
  </si>
  <si>
    <t xml:space="preserve">1.Tracker control 33 - 90, 129 - 136, 148  , 20-32, 123-128, 172-183 are not communicating  &amp; tracker 156 , 121 is stuck and production dropped (approxmately ) 25 kW down. On 07/24 after re-energized the tracker motor, all trackers are currently tracking
</t>
  </si>
  <si>
    <t>1.Low production/generation due to low irradiance 07/10 , 07/31</t>
  </si>
  <si>
    <t>1.Inverter 9 offline from 07/09</t>
  </si>
  <si>
    <t>1.	SR104194</t>
  </si>
  <si>
    <t>1.Low production/generation due to low irradiance on 07/10</t>
  </si>
  <si>
    <t>1.SR091181</t>
  </si>
  <si>
    <t>1.	SR103078</t>
  </si>
  <si>
    <t xml:space="preserve">1.Inverter 2 has been offline since 03/28, reporting a fault current.
2.The meter power dropped to zero and also lost communication multiple times throughout the month.
</t>
  </si>
  <si>
    <t>1.	SR100622
2.SR100771</t>
  </si>
  <si>
    <t>1. Inverter 4 is derating at 20kW from 06/23and reporting "Fans are defective Sensor defect". On 07/18 technician was Installed the new fan and producing as expected with peer inverters.
2.The site was de-energized on 07/09 at 06:49 for a transformer replacement. After the replacement, the site came back online at 08:15 on 07/16
3. Inverter 1 derated to 20 kW starting at 14:00 on 07/18. A technician found one failed fan, which is currently under RMA. The inverter will continue to derate until the fan is replaced</t>
  </si>
  <si>
    <t>1.SR103354
2.	SR104105
3.	SR104590</t>
  </si>
  <si>
    <t>SR104105</t>
  </si>
  <si>
    <t>SR104590</t>
  </si>
  <si>
    <t>1.Inverter 3 dropped a string from 4/28
2. Inverter A13 is derating from 07/28 at 20.10kW and reporting "fan fault".</t>
  </si>
  <si>
    <t>1.	SR103711
2.	SR105203</t>
  </si>
  <si>
    <t>SR105203</t>
  </si>
  <si>
    <t>1.SR099268
2.SR093354</t>
  </si>
  <si>
    <t>1. Inverter 11 was offline for whole month.
2. Inverter 14 was offline for whole month.
3. Inverter 15 was offline for whole month.
4. Inverter 16 was offline for whole month.
5. Inverter 25 was offline for whole month.
6. Inverter 26 was offline for whole month.
7.Inverter 17 offline from 07/10</t>
  </si>
  <si>
    <t>1. SR101102
2. SR101744
3. SR100464
4. SR098883
5. SR092332
6. SR095649
7.	SR101102</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</si>
  <si>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
10.Site tripped offline at 10:30 from 07/09 and it came back online on 07/11
11.Inverter 6 offline from 07/10</t>
  </si>
  <si>
    <t>1. SR102198
2. SR101942, SR088869
3. SR092209
4. SR101998
5. SR092255
6. SR092751
7. SR092095
8. SR101997
9. SR103021
10.	SR104199
11.	SR104453</t>
  </si>
  <si>
    <t>SR104199</t>
  </si>
  <si>
    <t>SR104453</t>
  </si>
  <si>
    <t xml:space="preserve">1.Weather station is barely reporting from 12/06 at 08:30. This issue will be troubleshooting next time onsite </t>
  </si>
  <si>
    <t>1.The weather station stopped communicating on 05/04. The communication issue will persist until further repairs are completed.</t>
  </si>
  <si>
    <t>1.	SR101010</t>
  </si>
  <si>
    <t>1. Inverter 6 is down a string since 07/07</t>
  </si>
  <si>
    <t>1.SR104785</t>
  </si>
  <si>
    <t>1.Site stopped communicating from 01/14 at 2:15AM,  After further troubleshooting technician found a failed Modem portion. We have reached out to AlsoEnergy for assistance.
2.Site is not communicating. After troubleshooting with AlsoEnergy, they recommended replacing the modem. They were not able to gather the requested data from the data logger without a working internet connection, otherwise the data is coded and illegible. For ease of troubleshooting, AE recommended their modem be paired with the site.</t>
  </si>
  <si>
    <t>1.	SR102704
2.SR104999</t>
  </si>
  <si>
    <t>SR104999</t>
  </si>
  <si>
    <t>1.Tracker 169 is stuck from 07/17</t>
  </si>
  <si>
    <t>1.	SR101152</t>
  </si>
  <si>
    <t>1.Site tripped offline at 09:45 from 06/30 and it came back online at 09:30 on 07/01</t>
  </si>
  <si>
    <t>1.Inverter 1 went offline on 07/01 and came back online at 15:47 on 07/02. It tripped offline again on 07/07 and returned online on 07/10. Once more, Inverter 1 went offline on 07/15 and came back online at 10:48 on 07/25.
2.Site was offline from 07/09 and it came back online on 07/10</t>
  </si>
  <si>
    <t>1.SR103538
2.SR103538
3.SR104184</t>
  </si>
  <si>
    <t>SR104184</t>
  </si>
  <si>
    <t>1.Inverter started for production at 13:45 on 07/04
2.Inverter tripped offline from 10:00 to 15:15 on 07/07 and again inverter tripped offline from 10:15 to 12:45 on 07/09
3.Inverter tripped offline 10:10 to 12:00 and 13:36 to 14:40 on 07/18 due to SMA technician was on site.
4.Inverter tripped offline from 06:00 to 09:25 on 07/21 and again inverter tripped offline from 10:09 to 10:36 and 14:00 to 14:42 on 07/29</t>
  </si>
  <si>
    <t>1.SR104018
2.SR104092
3.SR104283
4.SR104691
5.	SR104691</t>
  </si>
  <si>
    <t>SR104092</t>
  </si>
  <si>
    <t>SR104283</t>
  </si>
  <si>
    <t>SR104691</t>
  </si>
  <si>
    <t>1.Trackers 23, 24, 33, 37, and 72 through 151 have been stuck since 06/02</t>
  </si>
  <si>
    <t>1.	SR102328</t>
  </si>
  <si>
    <t>1. Inverter 2 tripped offline at 14:45 on 05/31 due to the AC breaker switch being open.After replacing AC breaker inverter 2 came back online at 17:55 on 07/07 
2.Inverter 2 tripped offline at 11:45 on 07/08. It came back online at 12:45 on 07/12 and again inverter 2 tripped offline at 08:05 it came back online on 07/14 again inverter tripped offline 2 from 12:00 to 15:50 
3.Site tripped offline from 09:40 to 12:55 on 07/15
4.Inverter 2 tripped offline from 08:50 to 13:35 on 07/20
5.Site tripped offline at 11:!5 on 07/21 and came back online at 15:05 on 07/22 and also inverter 2 offline on 07/23  and again site tripped offline at 17:00 on 07/24 it came back online at 09:45 on 07/25
6.Inverter 2 tripped offline from 08:55 to 14:15 on 07/26 and again inverter 2tripped offline at 11:55 07/27 and came back online on 07/28 at 08:45 and again offline from 12:!5 to 15:25 on same day
7.Inverter 2 tripped offline from 10:05 to 14:10 on 07/29</t>
  </si>
  <si>
    <t>1.SR104727
2.SR104138
3.SR104422
4.SR104601
5.	SR104708
6.SR105105
7.SR105276</t>
  </si>
  <si>
    <t>SR104138</t>
  </si>
  <si>
    <t>SR104422</t>
  </si>
  <si>
    <t>SR104601</t>
  </si>
  <si>
    <t>SR104708</t>
  </si>
  <si>
    <t>SR105105</t>
  </si>
  <si>
    <t>SR105276</t>
  </si>
  <si>
    <t>1.Site tripped offline from 08:30 to 11:15 on 07/26</t>
  </si>
  <si>
    <t>1.SR105107</t>
  </si>
  <si>
    <t>1.NCU 1 tracker 10 which is RMAd. Tracker 9,38 and 35 are tracking at site but not communicating properly in AE as per technician.</t>
  </si>
  <si>
    <t>1.	SR104075</t>
  </si>
  <si>
    <t>1. Inverter 1 has tripped offline at 18:20 and AC Breaker is in Open State and reporting "STOP: PARAMETER INVOPMOD". After remote reset inverter came back online at 07:40. Inverterr again tripped offline from 06:00 to 12:50 on 07/04 and again inverter tripped offline at 06:00 to 09:35 on 07/08 and again inverter tripped offline from 06:00 to 09:10 on 07/11 and again inverter trippped offline 10:45 to 14:20 on 07/14
2.Inverter tripped offline from 11:25 to 11:50 on 07/28</t>
  </si>
  <si>
    <t>1.SR103943
2.	SR105161</t>
  </si>
  <si>
    <t>SR105161</t>
  </si>
  <si>
    <t>1.Inverter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2.The weather station (POA2, GHI, rPOA) has stopped communicating since 18:10 on 05/27.
3.Site tripped offline from 07:20 to 11:45 on 07/26</t>
  </si>
  <si>
    <t>1.	SR101947
2.SR102015
3.	SR105108</t>
  </si>
  <si>
    <t>SR105108</t>
  </si>
  <si>
    <t>1.	SR103685</t>
  </si>
  <si>
    <t>1. Inverter tripped offline at 18:20 on 07/07 and reporting "F6:LOW VAC" and it came back online at 15:05 on 07/08</t>
  </si>
  <si>
    <t>1.SR104120</t>
  </si>
  <si>
    <t>1.Site tripped offline at 17:45 on 07/04 and site ccame back online at 19:30 on 07/05
2.Site offline at 19:00 on 07/09 and came back online at 09:30 on 07/10
3.Inverters tripped offline from 20:50 on 07/10 and it came back online at 08:30 on 07/11 
4. Inverter tripped offline at 18:10 on 07/11 and it came back online at 07:20 on 07/12
5.Inverter offline from 12:50 to 14:05 on 07/17 due to technician was on site.
6. Site tripped offline from 19:00 to 20:00  on 07/25</t>
  </si>
  <si>
    <t>1.SR104019
2.SR104175
3.	SR104235
4.SR104341
5.	SR104445
6.SR104920</t>
  </si>
  <si>
    <t>SR104175</t>
  </si>
  <si>
    <t>SR104235</t>
  </si>
  <si>
    <t>SR104341</t>
  </si>
  <si>
    <t>SR104445</t>
  </si>
  <si>
    <t>SR104920</t>
  </si>
  <si>
    <t>1.Inverter 1 tripped offline at 14:45 and came back online at 09:30 on 07/14
2.Site tripped offline from 13:30 to 14:20 on 07/16</t>
  </si>
  <si>
    <t>1.	SR104335
2.	SR104540</t>
  </si>
  <si>
    <t>SR104540</t>
  </si>
  <si>
    <t>1. 15 trackers are currently stuck from 03/21 NCU 1 SPC 101, 206, 218, &amp; 314 NCU 2 SPC 118, 128, 230, 234, 321, 323, 333, 334, 336, 337, &amp; 343
2.Site tripped offline from 13:30 to 14:25 on 07/16 due to fluctuations in utility voltages</t>
  </si>
  <si>
    <t>1.SR098860
2.	SR104541</t>
  </si>
  <si>
    <t>SR104541</t>
  </si>
  <si>
    <t>1.Inverter 1 offline from 07/01  is reporting the AC breaker state as OPEN. Inverter 1 to be RMA'ed and remain offline through out the month.</t>
  </si>
  <si>
    <t>1.	SR103824</t>
  </si>
  <si>
    <t>1. Site tripped offline at 7:10  at 07:10 since 06/24 and  Site re-energized on 07/04 at 11:30
2. Site tripped offline at 17:35 from 07/18</t>
  </si>
  <si>
    <t>1.	SR103367
2.	SR104633</t>
  </si>
  <si>
    <t>SR104633</t>
  </si>
  <si>
    <t>1.Inverter 1 tripped offline at 14:25 on 07/01 and reporting "AC breaker Switch Open".After  Closed in SEL.  Site came back online on 07/02 at 08:15
2.Inverter tripped offline at 06:00 on 07/08 and came back online on 07/09  at 14:13
3. Inverter tripped offline at 07:00 on 07/13 and reporting "AC Breaker State Open and came back online on 07/14 at 08:25
4.Inverter offline from 06:00 to 11:24 on 07/18
5.Inverter offline from 06:00 to 11:!0 on 07/23</t>
  </si>
  <si>
    <t>1.SR103852
2.SR104141
3.	SR104367
4.	SR104600
5.	SR104850</t>
  </si>
  <si>
    <t>SR104141</t>
  </si>
  <si>
    <t>SR104367</t>
  </si>
  <si>
    <t>SR104600</t>
  </si>
  <si>
    <t>SR104850</t>
  </si>
  <si>
    <t>1. Inverter 1 has been offline since 12:00 on 06/24.Inverter came back online on 07/21</t>
  </si>
  <si>
    <t>1.SR103457</t>
  </si>
  <si>
    <t>1. The inverters have been offline since 12:00 on 06/24. On 07/02 inverters cam eback online at 11:45</t>
  </si>
  <si>
    <t>1.	SR103482</t>
  </si>
  <si>
    <t>1. Inverter 2 unit 2.3 offline from 07/26</t>
  </si>
  <si>
    <t>1.	SR105122</t>
  </si>
  <si>
    <t>1. Inverter 2 (as per SE Inverter 1) — Units 1.1 and 1.2 tripped offline at 12:00, and Unit 1.3 tripped offline at 16:15 on 06/18. The inverter has remained offline  and SolarEdge has rmad the center unit.</t>
  </si>
  <si>
    <t>1.	SR103141</t>
  </si>
  <si>
    <t>1.Inverter 2 left unit tripped offline at 15:30 on 06/29 due to '3 Phase Possible Arc Detection'. On 7/10 technician Inspected array, no issues found. Reset inverter, online and producing.
2. Inverter 1 tripped offline at 14:15 from 06/30. parts being RMAD
3.Inverter 3 left unit tripped offline at 15:00 on 06/30. On 07/11  technician investigated inverters 1, 2 and 3. Inverter 1 has been RMA'd. Inverters 2 and 3 were restored to full capacity after performing system checks.
4. Inverter center unit many intermittent tripping events</t>
  </si>
  <si>
    <t>1.	SR103096
2.	SR103710
3.SR103871
4.	SR104959</t>
  </si>
  <si>
    <t>SR103871</t>
  </si>
  <si>
    <t>SR104959</t>
  </si>
  <si>
    <t>1.	SR103361</t>
  </si>
  <si>
    <t xml:space="preserve">1. Inverter 3 and   unit 3.1 tripped offline  at 13:45 on 06/29 and has been offline since then.
2.Inverter 2, Unit 2.1 offline from 06/30. 07/15 technician 2 optimizers replaced, inverter is operating normally. 
</t>
  </si>
  <si>
    <t>1. 	SR103641
2.	SR103805</t>
  </si>
  <si>
    <t>1.SR103246</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</si>
  <si>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 The site tripped offline at 07:00 on 07/19 and later came back online at 16:00 on 07/21.</t>
  </si>
  <si>
    <t>1. SR100220
2. SR104636</t>
  </si>
  <si>
    <t>SR104636</t>
  </si>
  <si>
    <t>1. Inverter 1 was offline from 05:45 on 07/14 due to an 'Isolation fault' and came back online at 15:15 on 07/14. The inverter started production late on 07/15 and 07/16. It went offline again at 14:45 on 07/17 and later came back online at 11:15 on 07/18.
2. The site tripped offline at 06:00 on 07/19 and came back online at 07:30 on the same day.</t>
  </si>
  <si>
    <t>1. SR104413
2. SR104637</t>
  </si>
  <si>
    <t>SR104637</t>
  </si>
  <si>
    <t>1. The site was offline from 05:15 to 12:00 on 07/10 due to a planned outage by the utility.
2. The site tripped offline at 12:15 on 07/16 and later came back online at 15:15 on the same day. The site tripped offline again at 10:30 on 07/19 and came back online at 14:00 on the same day.</t>
  </si>
  <si>
    <t>1. SR104168
2. SR104538</t>
  </si>
  <si>
    <t>SR104538</t>
  </si>
  <si>
    <t>1. Inverter 1 has been underperforming by 13 kW due to a 'Fault' since 07/11.</t>
  </si>
  <si>
    <t>1. SR104292</t>
  </si>
  <si>
    <t>1. The site went offline at 17:15 on 07/03 due to a utility outage and later came back online at 07:30 on 07/05.</t>
  </si>
  <si>
    <t>1. SR104007</t>
  </si>
  <si>
    <t>1. Trackers 76 and 142 have been stuck since 04/25. Additionally, 13 trackers (3, 13, 16, 54, 67, 76, 82, 83, 99, 109, 142, 148, and 183) have been stuck since 05/05, and tracker 190 has been stuck since 07/10.</t>
  </si>
  <si>
    <t>1. SR97816</t>
  </si>
  <si>
    <t>1. The inverter tripped offline at 05:55 on 07/02 and later came back online at 10:15 on 07/02.
2. The site tripped offline at 15:10 on 07/03 due to a utility outage and later came back online at 12:15 on 07/05.
2. The site tripped offline at 11:40 on 07/26 due to a utility outage and later came back online at 10:25 on 07/27.</t>
  </si>
  <si>
    <t>1. SR103880
2. SR104002
3. SR105114</t>
  </si>
  <si>
    <t>SR104002</t>
  </si>
  <si>
    <t>SR105114</t>
  </si>
  <si>
    <t>1. Tracker T02.E.37 has been stuck since 06/30 and T01.A.03 has been stuck since 07/14. Both trackers later resumed regular operation on 07/28.
2. The site tripped offline at 14:20 on 07/04 due to a utility outage and later came back online at 10:40 on 07/07.</t>
  </si>
  <si>
    <t>1. SR102684
2. SR104020</t>
  </si>
  <si>
    <t>SR104020</t>
  </si>
  <si>
    <t>1.Inverter 2 has been derating by approximately 5 kW to 20 kW in the afternoons since 03/28. The issue is currently under EPC.
2.Site tripped offline from 05:15 to 09:55 on 07/30</t>
  </si>
  <si>
    <t>1.SR099545
2.SR105330</t>
  </si>
  <si>
    <t>SR105330</t>
  </si>
  <si>
    <t>1. The site tripped offline at 15:05 on 07/03 due to a utility outage and later came back online at 13:30 on 07/07.
2. The site tripped offline at 15:45 on 07/10 and later came back online at 09:25 on 07/11. It tripped offline again at 16:50 on 07/12 and came back online on 07/14.</t>
  </si>
  <si>
    <t>1. SR103988
2. SR104286</t>
  </si>
  <si>
    <t>SR104286</t>
  </si>
  <si>
    <t>1. All the trackers have been stuck mode since 05/14.
2. The site tripped offline at 17:40 on 07/03 due to the recloser being opened and later came back online at 08:20 on 07/05 after the recloser was closed.</t>
  </si>
  <si>
    <t>1. SR098693
2. SR104015</t>
  </si>
  <si>
    <t>SR104015</t>
  </si>
  <si>
    <t>1. Tracker 27 has been stuck since 07/17, tracker 45 was deviating from 07/17 and was resolved on 07/23, and tracker 41 has been stuck since 07/23.</t>
  </si>
  <si>
    <t>1. SR104558</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</si>
  <si>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</si>
  <si>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</si>
  <si>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</si>
  <si>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</si>
  <si>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</si>
  <si>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</si>
  <si>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</si>
  <si>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</si>
  <si>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</si>
  <si>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</si>
  <si>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</si>
  <si>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</si>
  <si>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</si>
  <si>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</si>
  <si>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</si>
  <si>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</si>
  <si>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</si>
  <si>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</si>
  <si>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PowerTrack</t>
  </si>
  <si>
    <t>SOL-10748</t>
  </si>
  <si>
    <t>ASU - Fulton</t>
  </si>
  <si>
    <t>Fulton</t>
  </si>
  <si>
    <t>SOL-10749</t>
  </si>
  <si>
    <t>JFK Elementary</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</si>
  <si>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</si>
  <si>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</si>
  <si>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</si>
  <si>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</si>
  <si>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</si>
  <si>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</si>
  <si>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</si>
  <si>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</si>
  <si>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</si>
  <si>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</si>
  <si>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</si>
  <si>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</si>
  <si>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</si>
  <si>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</si>
  <si>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</si>
  <si>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</si>
  <si>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</si>
  <si>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</si>
  <si>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</si>
  <si>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</si>
  <si>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</si>
  <si>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</si>
  <si>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</si>
  <si>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</si>
  <si>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</si>
  <si>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</si>
  <si>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</si>
  <si>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</si>
  <si>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</si>
  <si>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</si>
  <si>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</si>
  <si>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</si>
  <si>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</si>
  <si>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</si>
  <si>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</si>
  <si>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</si>
  <si>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</si>
  <si>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</si>
  <si>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</si>
  <si>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</si>
  <si>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</si>
  <si>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</si>
  <si>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</si>
  <si>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</si>
  <si>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</si>
  <si>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</si>
  <si>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</si>
  <si>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</si>
  <si>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</si>
  <si>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</si>
  <si>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</si>
  <si>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</si>
  <si>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</si>
  <si>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</si>
  <si>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</si>
  <si>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</si>
  <si>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</si>
  <si>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</si>
  <si>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</si>
  <si>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</si>
  <si>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</si>
  <si>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</si>
  <si>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</si>
  <si>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</si>
  <si>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</si>
  <si>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</si>
  <si>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</si>
  <si>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</si>
  <si>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</si>
  <si>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</si>
  <si>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</si>
  <si>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</si>
  <si>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</si>
  <si>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</si>
  <si>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</si>
  <si>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</si>
  <si>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</si>
  <si>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</si>
  <si>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</si>
  <si>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</si>
  <si>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</si>
  <si>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</si>
  <si>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</si>
  <si>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</si>
  <si>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</si>
  <si>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</si>
  <si>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</si>
  <si>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</si>
  <si>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</si>
  <si>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</si>
  <si>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</si>
  <si>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</si>
  <si>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</si>
  <si>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</si>
  <si>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</si>
  <si>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</si>
  <si>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</si>
  <si>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</si>
  <si>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</si>
  <si>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</si>
  <si>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</si>
  <si>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</si>
  <si>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</si>
  <si>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</si>
  <si>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</si>
  <si>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</si>
  <si>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</si>
  <si>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</si>
  <si>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</si>
  <si>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</si>
  <si>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</si>
  <si>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</si>
  <si>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</si>
  <si>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</si>
  <si>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</si>
  <si>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</si>
  <si>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</si>
  <si>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</si>
  <si>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</si>
  <si>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</si>
  <si>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</si>
  <si>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</si>
  <si>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</si>
  <si>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</si>
  <si>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</si>
  <si>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</si>
  <si>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</si>
  <si>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</si>
  <si>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</si>
  <si>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</si>
  <si>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</si>
  <si>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</si>
  <si>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</si>
  <si>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</si>
  <si>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</si>
  <si>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</si>
  <si>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</si>
  <si>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</si>
  <si>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</si>
  <si>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</si>
  <si>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</si>
  <si>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</si>
  <si>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</si>
  <si>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</si>
  <si>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</si>
  <si>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</si>
  <si>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</si>
  <si>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</si>
  <si>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</si>
  <si>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</si>
  <si>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</si>
  <si>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</si>
  <si>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</si>
  <si>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</si>
  <si>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</si>
  <si>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</si>
  <si>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</si>
  <si>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</si>
  <si>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</si>
  <si>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FEA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</si>
  <si>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</si>
  <si>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</si>
  <si>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</si>
  <si>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</si>
  <si>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</si>
  <si>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</si>
  <si>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</si>
  <si>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</si>
  <si>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</si>
  <si>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</si>
  <si>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</si>
  <si>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</si>
  <si>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</si>
  <si>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</si>
  <si>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</si>
  <si>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</si>
  <si>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</si>
  <si>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</si>
  <si>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</si>
  <si>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</si>
  <si>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</si>
  <si>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</si>
  <si>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</si>
  <si>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FA</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</si>
  <si>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</si>
  <si>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</si>
  <si>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</si>
  <si>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</si>
  <si>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</si>
  <si>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</si>
  <si>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</si>
  <si>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</si>
  <si>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</si>
  <si>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</si>
  <si>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</si>
  <si>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</si>
  <si>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</si>
  <si>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</si>
  <si>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</si>
  <si>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</si>
  <si>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</si>
  <si>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</si>
  <si>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</si>
  <si>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</si>
  <si>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</si>
  <si>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</si>
  <si>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</si>
  <si>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</si>
  <si>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</si>
  <si>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</si>
  <si>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</si>
  <si>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</si>
  <si>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</si>
  <si>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</si>
  <si>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</si>
  <si>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</si>
  <si>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</si>
  <si>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</si>
  <si>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</si>
  <si>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</si>
  <si>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</si>
  <si>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</si>
  <si>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</si>
  <si>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</si>
  <si>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</si>
  <si>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</si>
  <si>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</si>
  <si>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</si>
  <si>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</si>
  <si>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</si>
  <si>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</si>
  <si>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</si>
  <si>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</si>
  <si>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</si>
  <si>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</si>
  <si>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</si>
  <si>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</si>
  <si>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</si>
  <si>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</si>
  <si>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</si>
  <si>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</si>
  <si>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</si>
  <si>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</si>
  <si>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</si>
  <si>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</si>
  <si>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</si>
  <si>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</si>
  <si>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</si>
  <si>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</si>
  <si>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</si>
  <si>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Weinberg Commons #1</t>
  </si>
  <si>
    <t>SOL-10039</t>
  </si>
  <si>
    <t>Weinberg 2</t>
  </si>
  <si>
    <t>Weinberg Commons #2</t>
  </si>
  <si>
    <t>SOL-10045</t>
  </si>
  <si>
    <t>Weinberg 3</t>
  </si>
  <si>
    <t>Weinberg Commons #3</t>
  </si>
  <si>
    <t>SOL-10042</t>
  </si>
  <si>
    <t>Clayton Hall</t>
  </si>
  <si>
    <t>DE</t>
  </si>
  <si>
    <t>SOL-10820</t>
  </si>
  <si>
    <t>Field House</t>
  </si>
  <si>
    <t>SOL-10821</t>
  </si>
  <si>
    <t>Wyoming Road</t>
  </si>
  <si>
    <t>SOL-10819</t>
  </si>
  <si>
    <t>Leoku</t>
  </si>
  <si>
    <t>94-246 Leoku St. - PV Bldg E, F, G</t>
  </si>
  <si>
    <t>HI</t>
  </si>
  <si>
    <t>SOL-10071</t>
  </si>
  <si>
    <t>Waipahu</t>
  </si>
  <si>
    <t>94-099 Waipahu St - PV</t>
  </si>
  <si>
    <t>SOL-10068</t>
  </si>
  <si>
    <t>Bird in Hand</t>
  </si>
  <si>
    <t>TES Bird in Hand</t>
  </si>
  <si>
    <t>MD</t>
  </si>
  <si>
    <t>SOL-10092</t>
  </si>
  <si>
    <t>Shortal</t>
  </si>
  <si>
    <t>TES Shortal Solar LLC</t>
  </si>
  <si>
    <t>SOL-10091</t>
  </si>
  <si>
    <t>Aguadilla</t>
  </si>
  <si>
    <t>Coca Cola Aguadilla</t>
  </si>
  <si>
    <t>PR</t>
  </si>
  <si>
    <t>SOL-10072</t>
  </si>
  <si>
    <t>Bayamon</t>
  </si>
  <si>
    <t>Coca Cola Bayamon</t>
  </si>
  <si>
    <t>SOL-10073</t>
  </si>
  <si>
    <t>St Francis</t>
  </si>
  <si>
    <t>St Francis School</t>
  </si>
  <si>
    <t>SOL-10034</t>
  </si>
  <si>
    <t>Seaport</t>
  </si>
  <si>
    <t>645 Summer Street - (Seaport Solar)</t>
  </si>
  <si>
    <t>SOL-10772</t>
  </si>
  <si>
    <t>Sprague St</t>
  </si>
  <si>
    <t>480 Sprague St</t>
  </si>
  <si>
    <t>SOL-10773</t>
  </si>
  <si>
    <t>Summer St</t>
  </si>
  <si>
    <t>647 Summer Street - (Summer Street Solar)</t>
  </si>
  <si>
    <t>SOL-10764</t>
  </si>
  <si>
    <t>Brock St Vocational</t>
  </si>
  <si>
    <t>Rochester Technical School (Wakefield Street)</t>
  </si>
  <si>
    <t>NH</t>
  </si>
  <si>
    <t>SOL-10768</t>
  </si>
  <si>
    <t>McClelland ES</t>
  </si>
  <si>
    <t>SOL-10766</t>
  </si>
  <si>
    <t>Portland St</t>
  </si>
  <si>
    <t>SOL-10771</t>
  </si>
  <si>
    <t>Portsmouth HS</t>
  </si>
  <si>
    <t>Freshet Road -PHS</t>
  </si>
  <si>
    <t>SOL-10769</t>
  </si>
  <si>
    <t>Portsmouth WTP</t>
  </si>
  <si>
    <t>Freshet Road - PWTP</t>
  </si>
  <si>
    <t>SOL-10770</t>
  </si>
  <si>
    <t>Rochester St</t>
  </si>
  <si>
    <t>Rochester Middle School (Brock Street)</t>
  </si>
  <si>
    <t>SOL-10765</t>
  </si>
  <si>
    <t>Spaulding HS</t>
  </si>
  <si>
    <t>Spaulding High School (Wakefield Street)</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</si>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</sst>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FF0000"/>
      <name val="Arial"/>
      <family val="2"/>
    </font>
    <font>
      <sz val="10"/>
      <color rgb="FF000000"/>
      <name val="Arial"/>
      <family val="2"/>
    </font>
    <font>
      <sz val="10"/>
      <color rgb="FF000000"/>
      <name val="Calibri"/>
      <family val="2"/>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68">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0" fontId="0" fillId="46" borderId="0" xfId="0" applyFill="1"/>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24" fillId="46" borderId="0" xfId="0" applyNumberFormat="1" applyFont="1" applyFill="1" applyAlignment="1">
      <alignment horizontal="left" vertical="top" wrapText="1"/>
    </xf>
    <xf numFmtId="49" fontId="31" fillId="38" borderId="0" xfId="2" applyNumberFormat="1" applyFont="1" applyFill="1" applyAlignment="1">
      <alignment vertical="top" wrapText="1"/>
    </xf>
    <xf numFmtId="49" fontId="31" fillId="46"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top" wrapText="1"/>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3" fontId="31" fillId="0" borderId="0" xfId="0" applyNumberFormat="1" applyFont="1" applyAlignment="1">
      <alignment horizontal="right" vertical="center" wrapText="1"/>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49" fontId="46" fillId="46" borderId="0" xfId="46" applyNumberFormat="1" applyFill="1" applyAlignment="1">
      <alignment vertical="top" wrapText="1"/>
    </xf>
    <xf numFmtId="0" fontId="46" fillId="0" borderId="0" xfId="46" applyAlignment="1">
      <alignment vertical="top" wrapText="1"/>
    </xf>
    <xf numFmtId="0" fontId="47" fillId="46" borderId="0" xfId="0" applyFont="1" applyFill="1" applyAlignment="1">
      <alignment horizontal="left" vertical="top"/>
    </xf>
    <xf numFmtId="3" fontId="31" fillId="0" borderId="0" xfId="1" applyNumberFormat="1" applyFont="1" applyFill="1" applyBorder="1" applyAlignment="1">
      <alignment vertical="top"/>
    </xf>
    <xf numFmtId="0" fontId="48" fillId="0" borderId="0" xfId="0" applyFont="1" applyAlignment="1">
      <alignment vertical="top" wrapText="1"/>
    </xf>
    <xf numFmtId="0" fontId="49" fillId="0" borderId="0" xfId="0" applyFont="1" applyAlignment="1">
      <alignment wrapText="1"/>
    </xf>
    <xf numFmtId="9" fontId="5" fillId="0" borderId="0" xfId="2" applyFont="1" applyAlignment="1">
      <alignment horizontal="center" vertical="center"/>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3" fontId="31" fillId="4" borderId="0" xfId="1" applyNumberFormat="1" applyFont="1" applyFill="1" applyAlignment="1">
      <alignment horizontal="right" vertical="center"/>
    </xf>
    <xf numFmtId="0" fontId="24" fillId="0" borderId="0" xfId="0" applyFont="1" applyAlignment="1">
      <alignment horizontal="left" vertical="top"/>
    </xf>
    <xf numFmtId="0" fontId="38" fillId="0" borderId="0" xfId="0" applyFont="1" applyAlignment="1">
      <alignment vertical="top" wrapText="1"/>
    </xf>
    <xf numFmtId="0" fontId="38" fillId="0" borderId="0" xfId="0" applyFont="1" applyAlignment="1">
      <alignment wrapText="1"/>
    </xf>
    <xf numFmtId="49" fontId="1" fillId="0" borderId="0" xfId="0" applyNumberFormat="1" applyFont="1" applyAlignment="1">
      <alignment horizontal="left" vertical="top" wrapText="1"/>
    </xf>
    <xf numFmtId="0" fontId="24" fillId="50" borderId="0" xfId="0" applyFont="1" applyFill="1" applyAlignment="1">
      <alignmen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1" fillId="46" borderId="0" xfId="0" applyNumberFormat="1" applyFont="1" applyFill="1" applyAlignment="1">
      <alignment horizontal="left" vertical="top" wrapText="1"/>
    </xf>
    <xf numFmtId="49" fontId="1" fillId="46" borderId="0" xfId="0" applyNumberFormat="1" applyFont="1" applyFill="1" applyAlignment="1">
      <alignment vertical="center"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7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200" totalsRowShown="0">
  <autoFilter ref="A3:F200"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04T07:49:53.64" personId="{AF97A668-C846-42C6-9CD9-D5A754369886}" id="{FEC78F6E-B6A8-46E5-AE38-8A2E85B6C96B}">
    <text>Since meter has no communication from 11/07 we have consider total inverter production as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3-04T05:03:42.53" personId="{AF97A668-C846-42C6-9CD9-D5A754369886}" id="{47C2B8D1-FF8F-4B22-B4D7-B7CE2920B0C7}">
    <text>Since meter has no communication from 11/07 we have consider total inverter production as site production.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094262" TargetMode="External"/><Relationship Id="rId21" Type="http://schemas.openxmlformats.org/officeDocument/2006/relationships/hyperlink" Target="https://us3.assetplanner.com/service_request?ID=096202" TargetMode="External"/><Relationship Id="rId42" Type="http://schemas.openxmlformats.org/officeDocument/2006/relationships/hyperlink" Target="https://us3.assetplanner.com/service_request?ID=095645" TargetMode="External"/><Relationship Id="rId63" Type="http://schemas.openxmlformats.org/officeDocument/2006/relationships/hyperlink" Target="https://us3.assetplanner.com/service_request?ID=096056" TargetMode="External"/><Relationship Id="rId84" Type="http://schemas.openxmlformats.org/officeDocument/2006/relationships/hyperlink" Target="https://us3.assetplanner.com/service_request?ID=095865" TargetMode="External"/><Relationship Id="rId138" Type="http://schemas.openxmlformats.org/officeDocument/2006/relationships/hyperlink" Target="https://us3.assetplanner.com/service_request?ID=095955" TargetMode="External"/><Relationship Id="rId159" Type="http://schemas.openxmlformats.org/officeDocument/2006/relationships/comments" Target="../comments1.xml"/><Relationship Id="rId107" Type="http://schemas.openxmlformats.org/officeDocument/2006/relationships/hyperlink" Target="https://us3.assetplanner.com/service_request?ID=095531" TargetMode="External"/><Relationship Id="rId11" Type="http://schemas.openxmlformats.org/officeDocument/2006/relationships/hyperlink" Target="https://us3.assetplanner.com/service_request?ID=093550" TargetMode="External"/><Relationship Id="rId32" Type="http://schemas.openxmlformats.org/officeDocument/2006/relationships/hyperlink" Target="https://us3.assetplanner.com/service_request?ID=093470" TargetMode="External"/><Relationship Id="rId53" Type="http://schemas.openxmlformats.org/officeDocument/2006/relationships/hyperlink" Target="https://us3.assetplanner.com/service_request?ID=092964" TargetMode="External"/><Relationship Id="rId74" Type="http://schemas.openxmlformats.org/officeDocument/2006/relationships/hyperlink" Target="https://us3.assetplanner.com/service_request?ID=095109" TargetMode="External"/><Relationship Id="rId128" Type="http://schemas.openxmlformats.org/officeDocument/2006/relationships/hyperlink" Target="https://us3.assetplanner.com/service_request?ID=095886" TargetMode="External"/><Relationship Id="rId149" Type="http://schemas.openxmlformats.org/officeDocument/2006/relationships/hyperlink" Target="https://us3.assetplanner.com/service_request?ID=095099" TargetMode="External"/><Relationship Id="rId5" Type="http://schemas.openxmlformats.org/officeDocument/2006/relationships/hyperlink" Target="https://us3.assetplanner.com/service_request?ID=091903" TargetMode="External"/><Relationship Id="rId95" Type="http://schemas.openxmlformats.org/officeDocument/2006/relationships/hyperlink" Target="https://us3.assetplanner.com/service_request?ID=095649" TargetMode="External"/><Relationship Id="rId160" Type="http://schemas.microsoft.com/office/2017/10/relationships/threadedComment" Target="../threadedComments/threadedComment1.xml"/><Relationship Id="rId22" Type="http://schemas.openxmlformats.org/officeDocument/2006/relationships/hyperlink" Target="https://us3.assetplanner.com/service_request?ID=096130" TargetMode="External"/><Relationship Id="rId43" Type="http://schemas.openxmlformats.org/officeDocument/2006/relationships/hyperlink" Target="https://us3.assetplanner.com/service_request?ID=095176" TargetMode="External"/><Relationship Id="rId64" Type="http://schemas.openxmlformats.org/officeDocument/2006/relationships/hyperlink" Target="https://us3.assetplanner.com/service_request?ID=095635" TargetMode="External"/><Relationship Id="rId118" Type="http://schemas.openxmlformats.org/officeDocument/2006/relationships/hyperlink" Target="https://us3.assetplanner.com/service_request?ID=095624" TargetMode="External"/><Relationship Id="rId139" Type="http://schemas.openxmlformats.org/officeDocument/2006/relationships/hyperlink" Target="https://us3.assetplanner.com/service_request?ID=095937" TargetMode="External"/><Relationship Id="rId80" Type="http://schemas.openxmlformats.org/officeDocument/2006/relationships/hyperlink" Target="https://us3.assetplanner.com/service_request?ID=095506" TargetMode="External"/><Relationship Id="rId85" Type="http://schemas.openxmlformats.org/officeDocument/2006/relationships/hyperlink" Target="https://us3.assetplanner.com/service_request?ID=096147" TargetMode="External"/><Relationship Id="rId150" Type="http://schemas.openxmlformats.org/officeDocument/2006/relationships/hyperlink" Target="https://us3.assetplanner.com/service_request?ID=095797" TargetMode="External"/><Relationship Id="rId155" Type="http://schemas.openxmlformats.org/officeDocument/2006/relationships/hyperlink" Target="https://us3.assetplanner.com/service_request?ID=095328" TargetMode="External"/><Relationship Id="rId12" Type="http://schemas.openxmlformats.org/officeDocument/2006/relationships/hyperlink" Target="https://us3.assetplanner.com/service_request?ID=093047" TargetMode="External"/><Relationship Id="rId17"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095395" TargetMode="External"/><Relationship Id="rId38" Type="http://schemas.openxmlformats.org/officeDocument/2006/relationships/hyperlink" Target="https://us3.assetplanner.com/service_request?ID=095885" TargetMode="External"/><Relationship Id="rId59" Type="http://schemas.openxmlformats.org/officeDocument/2006/relationships/hyperlink" Target="https://us3.assetplanner.com/service_request?ID=093375" TargetMode="External"/><Relationship Id="rId103" Type="http://schemas.openxmlformats.org/officeDocument/2006/relationships/hyperlink" Target="https://us3.assetplanner.com/service_request?ID=092777" TargetMode="External"/><Relationship Id="rId108" Type="http://schemas.openxmlformats.org/officeDocument/2006/relationships/hyperlink" Target="https://us3.assetplanner.com/service_request?ID=095678" TargetMode="External"/><Relationship Id="rId124" Type="http://schemas.openxmlformats.org/officeDocument/2006/relationships/hyperlink" Target="https://us3.assetplanner.com/service_request?ID=094820" TargetMode="External"/><Relationship Id="rId129" Type="http://schemas.openxmlformats.org/officeDocument/2006/relationships/hyperlink" Target="https://us3.assetplanner.com/service_request?ID=095986" TargetMode="External"/><Relationship Id="rId54" Type="http://schemas.openxmlformats.org/officeDocument/2006/relationships/hyperlink" Target="https://us3.assetplanner.com/service_request?ID=095253" TargetMode="External"/><Relationship Id="rId70" Type="http://schemas.openxmlformats.org/officeDocument/2006/relationships/hyperlink" Target="https://us3.assetplanner.com/service_request?ID=096113" TargetMode="External"/><Relationship Id="rId75" Type="http://schemas.openxmlformats.org/officeDocument/2006/relationships/hyperlink" Target="https://us3.assetplanner.com/service_request?ID=095371" TargetMode="External"/><Relationship Id="rId91" Type="http://schemas.openxmlformats.org/officeDocument/2006/relationships/hyperlink" Target="https://us3.assetplanner.com/service_request?ID=092332" TargetMode="External"/><Relationship Id="rId96" Type="http://schemas.openxmlformats.org/officeDocument/2006/relationships/hyperlink" Target="https://us3.assetplanner.com/service_request?ID=088869" TargetMode="External"/><Relationship Id="rId140" Type="http://schemas.openxmlformats.org/officeDocument/2006/relationships/hyperlink" Target="https://us3.assetplanner.com/service_request?ID=095938" TargetMode="External"/><Relationship Id="rId145" Type="http://schemas.openxmlformats.org/officeDocument/2006/relationships/hyperlink" Target="https://us3.assetplanner.com/service_request?ID=095940"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093326" TargetMode="External"/><Relationship Id="rId28" Type="http://schemas.openxmlformats.org/officeDocument/2006/relationships/hyperlink" Target="https://us3.assetplanner.com/service_request?ID=095899" TargetMode="External"/><Relationship Id="rId49" Type="http://schemas.openxmlformats.org/officeDocument/2006/relationships/hyperlink" Target="https://us3.assetplanner.com/service_request?ID=095991" TargetMode="External"/><Relationship Id="rId114" Type="http://schemas.openxmlformats.org/officeDocument/2006/relationships/hyperlink" Target="https://us3.assetplanner.com/service_request?ID=094986" TargetMode="External"/><Relationship Id="rId119" Type="http://schemas.openxmlformats.org/officeDocument/2006/relationships/hyperlink" Target="https://us3.assetplanner.com/service_request?ID=093637" TargetMode="External"/><Relationship Id="rId44" Type="http://schemas.openxmlformats.org/officeDocument/2006/relationships/hyperlink" Target="https://us3.assetplanner.com/service_request?ID=095483" TargetMode="External"/><Relationship Id="rId60" Type="http://schemas.openxmlformats.org/officeDocument/2006/relationships/hyperlink" Target="https://us3.assetplanner.com/service_request?ID=095549" TargetMode="External"/><Relationship Id="rId65" Type="http://schemas.openxmlformats.org/officeDocument/2006/relationships/hyperlink" Target="https://us3.assetplanner.com/service_request?ID=095374" TargetMode="External"/><Relationship Id="rId81" Type="http://schemas.openxmlformats.org/officeDocument/2006/relationships/hyperlink" Target="https://us3.assetplanner.com/service_request?ID=095508" TargetMode="External"/><Relationship Id="rId86" Type="http://schemas.openxmlformats.org/officeDocument/2006/relationships/hyperlink" Target="https://us3.assetplanner.com/service_request?ID=095073" TargetMode="External"/><Relationship Id="rId130" Type="http://schemas.openxmlformats.org/officeDocument/2006/relationships/hyperlink" Target="https://us3.assetplanner.com/service_request?ID=096141" TargetMode="External"/><Relationship Id="rId135" Type="http://schemas.openxmlformats.org/officeDocument/2006/relationships/hyperlink" Target="https://us3.assetplanner.com/service_request?ID=095962" TargetMode="External"/><Relationship Id="rId151" Type="http://schemas.openxmlformats.org/officeDocument/2006/relationships/hyperlink" Target="https://us3.assetplanner.com/service_request?ID=095644" TargetMode="External"/><Relationship Id="rId156" Type="http://schemas.openxmlformats.org/officeDocument/2006/relationships/hyperlink" Target="https://us3.assetplanner.com/service_request?ID=096127" TargetMode="External"/><Relationship Id="rId13" Type="http://schemas.openxmlformats.org/officeDocument/2006/relationships/hyperlink" Target="https://us3.assetplanner.com/service_request?ID=095619" TargetMode="External"/><Relationship Id="rId18" Type="http://schemas.openxmlformats.org/officeDocument/2006/relationships/hyperlink" Target="https://us3.assetplanner.com/service_request?ID=093196" TargetMode="External"/><Relationship Id="rId39" Type="http://schemas.openxmlformats.org/officeDocument/2006/relationships/hyperlink" Target="https://us3.assetplanner.com/service_request?ID=095919" TargetMode="External"/><Relationship Id="rId109" Type="http://schemas.openxmlformats.org/officeDocument/2006/relationships/hyperlink" Target="https://us3.assetplanner.com/service_request?ID=096054" TargetMode="External"/><Relationship Id="rId34" Type="http://schemas.openxmlformats.org/officeDocument/2006/relationships/hyperlink" Target="https://us3.assetplanner.com/service_request?ID=095473" TargetMode="External"/><Relationship Id="rId50" Type="http://schemas.openxmlformats.org/officeDocument/2006/relationships/hyperlink" Target="https://us3.assetplanner.com/service_request?ID=096045" TargetMode="External"/><Relationship Id="rId55" Type="http://schemas.openxmlformats.org/officeDocument/2006/relationships/hyperlink" Target="https://us3.assetplanner.com/service_request?ID=095252" TargetMode="External"/><Relationship Id="rId76" Type="http://schemas.openxmlformats.org/officeDocument/2006/relationships/hyperlink" Target="https://us3.assetplanner.com/service_request?ID=095373" TargetMode="External"/><Relationship Id="rId97" Type="http://schemas.openxmlformats.org/officeDocument/2006/relationships/hyperlink" Target="https://us3.assetplanner.com/service_request?ID=092095" TargetMode="External"/><Relationship Id="rId104" Type="http://schemas.openxmlformats.org/officeDocument/2006/relationships/hyperlink" Target="https://us3.assetplanner.com/service_request?ID=094998" TargetMode="External"/><Relationship Id="rId120" Type="http://schemas.openxmlformats.org/officeDocument/2006/relationships/hyperlink" Target="https://us3.assetplanner.com/service_request?ID=096042" TargetMode="External"/><Relationship Id="rId125" Type="http://schemas.openxmlformats.org/officeDocument/2006/relationships/hyperlink" Target="https://us3.assetplanner.com/service_request?ID=095759" TargetMode="External"/><Relationship Id="rId141" Type="http://schemas.openxmlformats.org/officeDocument/2006/relationships/hyperlink" Target="https://us3.assetplanner.com/service_request?ID=095939" TargetMode="External"/><Relationship Id="rId146" Type="http://schemas.openxmlformats.org/officeDocument/2006/relationships/hyperlink" Target="https://us3.assetplanner.com/service_request?ID=095242" TargetMode="External"/><Relationship Id="rId7" Type="http://schemas.openxmlformats.org/officeDocument/2006/relationships/hyperlink" Target="https://us3.assetplanner.com/service_request?ID=095708" TargetMode="External"/><Relationship Id="rId71" Type="http://schemas.openxmlformats.org/officeDocument/2006/relationships/hyperlink" Target="https://us3.assetplanner.com/service_request?ID=095917" TargetMode="External"/><Relationship Id="rId92" Type="http://schemas.openxmlformats.org/officeDocument/2006/relationships/hyperlink" Target="https://us3.assetplanner.com/service_request?ID=094825" TargetMode="External"/><Relationship Id="rId2" Type="http://schemas.openxmlformats.org/officeDocument/2006/relationships/hyperlink" Target="https://us3.assetplanner.com/service_request?ID=091355" TargetMode="External"/><Relationship Id="rId29" Type="http://schemas.openxmlformats.org/officeDocument/2006/relationships/hyperlink" Target="https://us3.assetplanner.com/service_request?ID=095707" TargetMode="External"/><Relationship Id="rId24" Type="http://schemas.openxmlformats.org/officeDocument/2006/relationships/hyperlink" Target="https://us3.assetplanner.com/service_request?ID=095758" TargetMode="External"/><Relationship Id="rId40" Type="http://schemas.openxmlformats.org/officeDocument/2006/relationships/hyperlink" Target="https://us3.assetplanner.com/service_request?ID=095976" TargetMode="External"/><Relationship Id="rId45" Type="http://schemas.openxmlformats.org/officeDocument/2006/relationships/hyperlink" Target="https://us3.assetplanner.com/service_request?ID=093024" TargetMode="External"/><Relationship Id="rId66" Type="http://schemas.openxmlformats.org/officeDocument/2006/relationships/hyperlink" Target="https://us3.assetplanner.com/service_request?ID=095374" TargetMode="External"/><Relationship Id="rId87" Type="http://schemas.openxmlformats.org/officeDocument/2006/relationships/hyperlink" Target="https://us3.assetplanner.com/service_request?ID=08764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30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0" TargetMode="External"/><Relationship Id="rId157" Type="http://schemas.openxmlformats.org/officeDocument/2006/relationships/printerSettings" Target="../printerSettings/printerSettings3.bin"/><Relationship Id="rId61" Type="http://schemas.openxmlformats.org/officeDocument/2006/relationships/hyperlink" Target="https://us3.assetplanner.com/service_request?ID=095496" TargetMode="External"/><Relationship Id="rId82" Type="http://schemas.openxmlformats.org/officeDocument/2006/relationships/hyperlink" Target="https://us3.assetplanner.com/service_request?ID=095507" TargetMode="External"/><Relationship Id="rId152" Type="http://schemas.openxmlformats.org/officeDocument/2006/relationships/hyperlink" Target="https://us3.assetplanner.com/service_request?ID=096127" TargetMode="External"/><Relationship Id="rId19" Type="http://schemas.openxmlformats.org/officeDocument/2006/relationships/hyperlink" Target="https://us3.assetplanner.com/service_request?ID=095201" TargetMode="External"/><Relationship Id="rId14" Type="http://schemas.openxmlformats.org/officeDocument/2006/relationships/hyperlink" Target="https://us3.assetplanner.com/service_request?ID=093291" TargetMode="External"/><Relationship Id="rId30" Type="http://schemas.openxmlformats.org/officeDocument/2006/relationships/hyperlink" Target="https://us3.assetplanner.com/service_request?ID=095899" TargetMode="External"/><Relationship Id="rId35" Type="http://schemas.openxmlformats.org/officeDocument/2006/relationships/hyperlink" Target="https://us3.assetplanner.com/service_request?ID=096164" TargetMode="External"/><Relationship Id="rId56" Type="http://schemas.openxmlformats.org/officeDocument/2006/relationships/hyperlink" Target="https://us3.assetplanner.com/service_request?ID=093436" TargetMode="External"/><Relationship Id="rId77" Type="http://schemas.openxmlformats.org/officeDocument/2006/relationships/hyperlink" Target="https://us3.assetplanner.com/service_request?ID=096177" TargetMode="External"/><Relationship Id="rId100" Type="http://schemas.openxmlformats.org/officeDocument/2006/relationships/hyperlink" Target="https://us3.assetplanner.com/service_request?ID=092255" TargetMode="External"/><Relationship Id="rId105" Type="http://schemas.openxmlformats.org/officeDocument/2006/relationships/hyperlink" Target="https://us3.assetplanner.com/service_request?ID=095305" TargetMode="External"/><Relationship Id="rId126" Type="http://schemas.openxmlformats.org/officeDocument/2006/relationships/hyperlink" Target="https://us3.assetplanner.com/service_request?ID=093842" TargetMode="External"/><Relationship Id="rId147" Type="http://schemas.openxmlformats.org/officeDocument/2006/relationships/hyperlink" Target="https://us3.assetplanner.com/service_request?ID=095500" TargetMode="External"/><Relationship Id="rId8" Type="http://schemas.openxmlformats.org/officeDocument/2006/relationships/hyperlink" Target="https://us3.assetplanner.com/service_request?ID=093028" TargetMode="External"/><Relationship Id="rId51" Type="http://schemas.openxmlformats.org/officeDocument/2006/relationships/hyperlink" Target="https://us3.assetplanner.com/service_request?ID=095991" TargetMode="External"/><Relationship Id="rId72" Type="http://schemas.openxmlformats.org/officeDocument/2006/relationships/hyperlink" Target="https://us3.assetplanner.com/service_request?ID=094891" TargetMode="External"/><Relationship Id="rId93" Type="http://schemas.openxmlformats.org/officeDocument/2006/relationships/hyperlink" Target="https://us3.assetplanner.com/service_request?ID=095136" TargetMode="External"/><Relationship Id="rId98" Type="http://schemas.openxmlformats.org/officeDocument/2006/relationships/hyperlink" Target="https://us3.assetplanner.com/service_request?ID=092115" TargetMode="External"/><Relationship Id="rId121" Type="http://schemas.openxmlformats.org/officeDocument/2006/relationships/hyperlink" Target="https://us3.assetplanner.com/service_request?ID=096006" TargetMode="External"/><Relationship Id="rId142" Type="http://schemas.openxmlformats.org/officeDocument/2006/relationships/hyperlink" Target="https://us3.assetplanner.com/service_request?ID=095941" TargetMode="External"/><Relationship Id="rId3" Type="http://schemas.openxmlformats.org/officeDocument/2006/relationships/hyperlink" Target="https://us3.assetplanner.com/service_request?ID=082252" TargetMode="External"/><Relationship Id="rId25" Type="http://schemas.openxmlformats.org/officeDocument/2006/relationships/hyperlink" Target="https://us3.assetplanner.com/service_request?ID=095297" TargetMode="External"/><Relationship Id="rId46" Type="http://schemas.openxmlformats.org/officeDocument/2006/relationships/hyperlink" Target="https://us3.assetplanner.com/service_request?ID=095445" TargetMode="External"/><Relationship Id="rId67" Type="http://schemas.openxmlformats.org/officeDocument/2006/relationships/hyperlink" Target="https://us3.assetplanner.com/service_request?ID=096112" TargetMode="External"/><Relationship Id="rId116" Type="http://schemas.openxmlformats.org/officeDocument/2006/relationships/hyperlink" Target="https://us3.assetplanner.com/service_request?ID=095185" TargetMode="External"/><Relationship Id="rId137" Type="http://schemas.openxmlformats.org/officeDocument/2006/relationships/hyperlink" Target="https://us3.assetplanner.com/service_request?ID=095956" TargetMode="External"/><Relationship Id="rId158" Type="http://schemas.openxmlformats.org/officeDocument/2006/relationships/vmlDrawing" Target="../drawings/vmlDrawing1.vml"/><Relationship Id="rId20" Type="http://schemas.openxmlformats.org/officeDocument/2006/relationships/hyperlink" Target="https://us3.assetplanner.com/service_request?ID=094206" TargetMode="External"/><Relationship Id="rId41" Type="http://schemas.openxmlformats.org/officeDocument/2006/relationships/hyperlink" Target="https://us3.assetplanner.com/service_request?ID=096119" TargetMode="External"/><Relationship Id="rId62" Type="http://schemas.openxmlformats.org/officeDocument/2006/relationships/hyperlink" Target="https://us3.assetplanner.com/service_request?ID=095852" TargetMode="External"/><Relationship Id="rId83" Type="http://schemas.openxmlformats.org/officeDocument/2006/relationships/hyperlink" Target="https://us3.assetplanner.com/service_request?ID=095211" TargetMode="External"/><Relationship Id="rId88" Type="http://schemas.openxmlformats.org/officeDocument/2006/relationships/hyperlink" Target="https://us3.assetplanner.com/service_request?ID=095581" TargetMode="External"/><Relationship Id="rId111" Type="http://schemas.openxmlformats.org/officeDocument/2006/relationships/hyperlink" Target="https://us3.assetplanner.com/service_request?ID=095558" TargetMode="External"/><Relationship Id="rId132" Type="http://schemas.openxmlformats.org/officeDocument/2006/relationships/hyperlink" Target="https://us3.assetplanner.com/service_request?ID=095946" TargetMode="External"/><Relationship Id="rId153" Type="http://schemas.openxmlformats.org/officeDocument/2006/relationships/hyperlink" Target="https://us3.assetplanner.com/service_request?ID=095284" TargetMode="External"/><Relationship Id="rId15" Type="http://schemas.openxmlformats.org/officeDocument/2006/relationships/hyperlink" Target="https://us3.assetplanner.com/service_request?ID=093633" TargetMode="External"/><Relationship Id="rId36" Type="http://schemas.openxmlformats.org/officeDocument/2006/relationships/hyperlink" Target="https://us3.assetplanner.com/service_request?ID=095433" TargetMode="External"/><Relationship Id="rId57" Type="http://schemas.openxmlformats.org/officeDocument/2006/relationships/hyperlink" Target="https://us3.assetplanner.com/service_request?ID=096100" TargetMode="External"/><Relationship Id="rId106" Type="http://schemas.openxmlformats.org/officeDocument/2006/relationships/hyperlink" Target="https://us3.assetplanner.com/service_request?ID=095643" TargetMode="External"/><Relationship Id="rId127" Type="http://schemas.openxmlformats.org/officeDocument/2006/relationships/hyperlink" Target="https://us3.assetplanner.com/service_request?ID=095582"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3285" TargetMode="External"/><Relationship Id="rId52" Type="http://schemas.openxmlformats.org/officeDocument/2006/relationships/hyperlink" Target="https://us3.assetplanner.com/service_request?ID=096126" TargetMode="External"/><Relationship Id="rId73" Type="http://schemas.openxmlformats.org/officeDocument/2006/relationships/hyperlink" Target="https://us3.assetplanner.com/service_request?ID=095812" TargetMode="External"/><Relationship Id="rId78" Type="http://schemas.openxmlformats.org/officeDocument/2006/relationships/hyperlink" Target="https://us3.assetplanner.com/service_request?ID=096106" TargetMode="External"/><Relationship Id="rId94" Type="http://schemas.openxmlformats.org/officeDocument/2006/relationships/hyperlink" Target="https://us3.assetplanner.com/service_request?ID=095183" TargetMode="External"/><Relationship Id="rId99" Type="http://schemas.openxmlformats.org/officeDocument/2006/relationships/hyperlink" Target="https://us3.assetplanner.com/service_request?ID=092209" TargetMode="External"/><Relationship Id="rId101" Type="http://schemas.openxmlformats.org/officeDocument/2006/relationships/hyperlink" Target="https://us3.assetplanner.com/service_request?ID=092751" TargetMode="External"/><Relationship Id="rId122" Type="http://schemas.openxmlformats.org/officeDocument/2006/relationships/hyperlink" Target="https://us3.assetplanner.com/service_request?ID=096107" TargetMode="External"/><Relationship Id="rId143" Type="http://schemas.openxmlformats.org/officeDocument/2006/relationships/hyperlink" Target="https://us3.assetplanner.com/service_request?ID=095942" TargetMode="External"/><Relationship Id="rId148" Type="http://schemas.openxmlformats.org/officeDocument/2006/relationships/hyperlink" Target="https://us3.assetplanner.com/service_request?ID=096195" TargetMode="External"/><Relationship Id="rId4" Type="http://schemas.openxmlformats.org/officeDocument/2006/relationships/hyperlink" Target="https://us3.assetplanner.com/service_request?ID=092555" TargetMode="External"/><Relationship Id="rId9" Type="http://schemas.openxmlformats.org/officeDocument/2006/relationships/hyperlink" Target="https://us3.assetplanner.com/service_request?ID=091894" TargetMode="External"/><Relationship Id="rId26" Type="http://schemas.openxmlformats.org/officeDocument/2006/relationships/hyperlink" Target="https://us3.assetplanner.com/service_request?ID=092042" TargetMode="External"/><Relationship Id="rId47" Type="http://schemas.openxmlformats.org/officeDocument/2006/relationships/hyperlink" Target="https://us3.assetplanner.com/service_request?ID=094278" TargetMode="External"/><Relationship Id="rId68" Type="http://schemas.openxmlformats.org/officeDocument/2006/relationships/hyperlink" Target="https://us3.assetplanner.com/service_request?ID=095375" TargetMode="External"/><Relationship Id="rId89" Type="http://schemas.openxmlformats.org/officeDocument/2006/relationships/hyperlink" Target="https://us3.assetplanner.com/service_request?ID=093354" TargetMode="External"/><Relationship Id="rId112" Type="http://schemas.openxmlformats.org/officeDocument/2006/relationships/hyperlink" Target="https://us3.assetplanner.com/service_request?ID=095213" TargetMode="External"/><Relationship Id="rId133" Type="http://schemas.openxmlformats.org/officeDocument/2006/relationships/hyperlink" Target="https://us3.assetplanner.com/service_request?ID=095948" TargetMode="External"/><Relationship Id="rId154" Type="http://schemas.openxmlformats.org/officeDocument/2006/relationships/hyperlink" Target="https://us3.assetplanner.com/service_request?ID=095992" TargetMode="External"/><Relationship Id="rId16" Type="http://schemas.openxmlformats.org/officeDocument/2006/relationships/hyperlink" Target="https://us3.assetplanner.com/service_request?ID=086842" TargetMode="External"/><Relationship Id="rId37" Type="http://schemas.openxmlformats.org/officeDocument/2006/relationships/hyperlink" Target="https://us3.assetplanner.com/service_request?ID=093972" TargetMode="External"/><Relationship Id="rId58" Type="http://schemas.openxmlformats.org/officeDocument/2006/relationships/hyperlink" Target="https://us3.assetplanner.com/service_request?ID=095376" TargetMode="External"/><Relationship Id="rId79" Type="http://schemas.openxmlformats.org/officeDocument/2006/relationships/hyperlink" Target="https://us3.assetplanner.com/service_request?ID=095599" TargetMode="External"/><Relationship Id="rId102" Type="http://schemas.openxmlformats.org/officeDocument/2006/relationships/hyperlink" Target="https://us3.assetplanner.com/service_request?ID=095850" TargetMode="External"/><Relationship Id="rId123" Type="http://schemas.openxmlformats.org/officeDocument/2006/relationships/hyperlink" Target="https://us3.assetplanner.com/service_request?ID=095269" TargetMode="External"/><Relationship Id="rId144" Type="http://schemas.openxmlformats.org/officeDocument/2006/relationships/hyperlink" Target="https://us3.assetplanner.com/service_request?ID=095961" TargetMode="External"/><Relationship Id="rId90" Type="http://schemas.openxmlformats.org/officeDocument/2006/relationships/hyperlink" Target="https://us3.assetplanner.com/service_request?ID=094955" TargetMode="External"/><Relationship Id="rId27" Type="http://schemas.openxmlformats.org/officeDocument/2006/relationships/hyperlink" Target="https://us3.assetplanner.com/service_request?ID=095706" TargetMode="External"/><Relationship Id="rId48" Type="http://schemas.openxmlformats.org/officeDocument/2006/relationships/hyperlink" Target="https://us3.assetplanner.com/service_request?ID=095604" TargetMode="External"/><Relationship Id="rId69" Type="http://schemas.openxmlformats.org/officeDocument/2006/relationships/hyperlink" Target="https://us3.assetplanner.com/service_request?ID=095375" TargetMode="External"/><Relationship Id="rId113" Type="http://schemas.openxmlformats.org/officeDocument/2006/relationships/hyperlink" Target="https://us3.assetplanner.com/service_request?ID=095794" TargetMode="External"/><Relationship Id="rId134" Type="http://schemas.openxmlformats.org/officeDocument/2006/relationships/hyperlink" Target="https://us3.assetplanner.com/service_request?ID=095950"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5758" TargetMode="External"/><Relationship Id="rId42" Type="http://schemas.openxmlformats.org/officeDocument/2006/relationships/hyperlink" Target="https://us3.assetplanner.com/service_request?ID=097011" TargetMode="External"/><Relationship Id="rId63" Type="http://schemas.openxmlformats.org/officeDocument/2006/relationships/hyperlink" Target="https://us3.assetplanner.com/service_request?ID=096675" TargetMode="External"/><Relationship Id="rId84" Type="http://schemas.openxmlformats.org/officeDocument/2006/relationships/hyperlink" Target="https://us3.assetplanner.com/service_request?ID=093354" TargetMode="External"/><Relationship Id="rId138" Type="http://schemas.openxmlformats.org/officeDocument/2006/relationships/hyperlink" Target="https://us3.assetplanner.com/service_request?ID=095960" TargetMode="External"/><Relationship Id="rId159" Type="http://schemas.openxmlformats.org/officeDocument/2006/relationships/hyperlink" Target="https://us3.assetplanner.com/service_request?ID=097168" TargetMode="External"/><Relationship Id="rId107" Type="http://schemas.openxmlformats.org/officeDocument/2006/relationships/hyperlink" Target="https://us3.assetplanner.com/service_request?ID=097015" TargetMode="External"/><Relationship Id="rId11" Type="http://schemas.openxmlformats.org/officeDocument/2006/relationships/hyperlink" Target="https://us3.assetplanner.com/service_request?ID=093291" TargetMode="External"/><Relationship Id="rId32" Type="http://schemas.openxmlformats.org/officeDocument/2006/relationships/hyperlink" Target="https://us3.assetplanner.com/service_request?ID=097643" TargetMode="External"/><Relationship Id="rId53" Type="http://schemas.openxmlformats.org/officeDocument/2006/relationships/hyperlink" Target="https://us3.assetplanner.com/service_request?ID=097162" TargetMode="External"/><Relationship Id="rId74" Type="http://schemas.openxmlformats.org/officeDocument/2006/relationships/hyperlink" Target="https://us3.assetplanner.com/service_request?ID=096106" TargetMode="External"/><Relationship Id="rId128" Type="http://schemas.openxmlformats.org/officeDocument/2006/relationships/hyperlink" Target="https://us3.assetplanner.com/service_request?ID=097913" TargetMode="External"/><Relationship Id="rId149" Type="http://schemas.openxmlformats.org/officeDocument/2006/relationships/hyperlink" Target="https://us3.assetplanner.com/service_request?ID=095961" TargetMode="External"/><Relationship Id="rId5" Type="http://schemas.openxmlformats.org/officeDocument/2006/relationships/hyperlink" Target="https://us3.assetplanner.com/service_request?ID=093028" TargetMode="External"/><Relationship Id="rId95" Type="http://schemas.openxmlformats.org/officeDocument/2006/relationships/hyperlink" Target="https://us3.assetplanner.com/service_request?ID=092115" TargetMode="External"/><Relationship Id="rId160" Type="http://schemas.openxmlformats.org/officeDocument/2006/relationships/hyperlink" Target="https://us3.assetplanner.com/service_request?ID=095797" TargetMode="External"/><Relationship Id="rId22" Type="http://schemas.openxmlformats.org/officeDocument/2006/relationships/hyperlink" Target="https://us3.assetplanner.com/service_request?ID=096330" TargetMode="External"/><Relationship Id="rId43" Type="http://schemas.openxmlformats.org/officeDocument/2006/relationships/hyperlink" Target="https://us3.assetplanner.com/service_request?ID=097121" TargetMode="External"/><Relationship Id="rId64" Type="http://schemas.openxmlformats.org/officeDocument/2006/relationships/hyperlink" Target="https://us3.assetplanner.com/service_request?ID=096552"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6" TargetMode="External"/><Relationship Id="rId85" Type="http://schemas.openxmlformats.org/officeDocument/2006/relationships/hyperlink" Target="https://us3.assetplanner.com/service_request?ID=096413" TargetMode="External"/><Relationship Id="rId150" Type="http://schemas.openxmlformats.org/officeDocument/2006/relationships/hyperlink" Target="https://us3.assetplanner.com/service_request?ID=097620" TargetMode="External"/><Relationship Id="rId12" Type="http://schemas.openxmlformats.org/officeDocument/2006/relationships/hyperlink" Target="https://us3.assetplanner.com/service_request?ID=093633" TargetMode="External"/><Relationship Id="rId17" Type="http://schemas.openxmlformats.org/officeDocument/2006/relationships/hyperlink" Target="https://us3.assetplanner.com/service_request?ID=097636" TargetMode="External"/><Relationship Id="rId33" Type="http://schemas.openxmlformats.org/officeDocument/2006/relationships/hyperlink" Target="https://us3.assetplanner.com/service_request?ID=095483" TargetMode="External"/><Relationship Id="rId38" Type="http://schemas.openxmlformats.org/officeDocument/2006/relationships/hyperlink" Target="https://us3.assetplanner.com/service_request?ID=096121" TargetMode="External"/><Relationship Id="rId59" Type="http://schemas.openxmlformats.org/officeDocument/2006/relationships/hyperlink" Target="https://us3.assetplanner.com/service_request?ID=096416" TargetMode="External"/><Relationship Id="rId103" Type="http://schemas.openxmlformats.org/officeDocument/2006/relationships/hyperlink" Target="https://us3.assetplanner.com/service_request?ID=095643" TargetMode="External"/><Relationship Id="rId108" Type="http://schemas.openxmlformats.org/officeDocument/2006/relationships/hyperlink" Target="https://us3.assetplanner.com/service_request?ID=097436" TargetMode="External"/><Relationship Id="rId124" Type="http://schemas.openxmlformats.org/officeDocument/2006/relationships/hyperlink" Target="https://us3.assetplanner.com/service_request?ID=097454" TargetMode="External"/><Relationship Id="rId129" Type="http://schemas.openxmlformats.org/officeDocument/2006/relationships/hyperlink" Target="https://us3.assetplanner.com/service_request?ID=097024" TargetMode="External"/><Relationship Id="rId54" Type="http://schemas.openxmlformats.org/officeDocument/2006/relationships/hyperlink" Target="https://us3.assetplanner.com/service_request?ID=097599" TargetMode="External"/><Relationship Id="rId70" Type="http://schemas.openxmlformats.org/officeDocument/2006/relationships/hyperlink" Target="https://us3.assetplanner.com/service_request?ID=095109" TargetMode="External"/><Relationship Id="rId75" Type="http://schemas.openxmlformats.org/officeDocument/2006/relationships/hyperlink" Target="https://us3.assetplanner.com/service_request?ID=095599" TargetMode="External"/><Relationship Id="rId91" Type="http://schemas.openxmlformats.org/officeDocument/2006/relationships/hyperlink" Target="https://us3.assetplanner.com/service_request?ID=096223" TargetMode="External"/><Relationship Id="rId96" Type="http://schemas.openxmlformats.org/officeDocument/2006/relationships/hyperlink" Target="https://us3.assetplanner.com/service_request?ID=092209" TargetMode="External"/><Relationship Id="rId140" Type="http://schemas.openxmlformats.org/officeDocument/2006/relationships/hyperlink" Target="https://us3.assetplanner.com/service_request?ID=096424" TargetMode="External"/><Relationship Id="rId145" Type="http://schemas.openxmlformats.org/officeDocument/2006/relationships/hyperlink" Target="https://us3.assetplanner.com/service_request?ID=095941" TargetMode="External"/><Relationship Id="rId161" Type="http://schemas.openxmlformats.org/officeDocument/2006/relationships/hyperlink" Target="https://us3.assetplanner.com/service_request?ID=095284"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3029" TargetMode="External"/><Relationship Id="rId23" Type="http://schemas.openxmlformats.org/officeDocument/2006/relationships/hyperlink" Target="https://us3.assetplanner.com/service_request?ID=095473" TargetMode="External"/><Relationship Id="rId28" Type="http://schemas.openxmlformats.org/officeDocument/2006/relationships/hyperlink" Target="https://us3.assetplanner.com/service_request?ID=095919" TargetMode="External"/><Relationship Id="rId49" Type="http://schemas.openxmlformats.org/officeDocument/2006/relationships/hyperlink" Target="https://us3.assetplanner.com/service_request?ID=097169" TargetMode="External"/><Relationship Id="rId114" Type="http://schemas.openxmlformats.org/officeDocument/2006/relationships/hyperlink" Target="https://us3.assetplanner.com/service_request?ID=097725" TargetMode="External"/><Relationship Id="rId119" Type="http://schemas.openxmlformats.org/officeDocument/2006/relationships/hyperlink" Target="https://us3.assetplanner.com/service_request?ID=096934" TargetMode="External"/><Relationship Id="rId44" Type="http://schemas.openxmlformats.org/officeDocument/2006/relationships/hyperlink" Target="https://us3.assetplanner.com/service_request?ID=094278" TargetMode="External"/><Relationship Id="rId60" Type="http://schemas.openxmlformats.org/officeDocument/2006/relationships/hyperlink" Target="https://us3.assetplanner.com/service_request?ID=097158" TargetMode="External"/><Relationship Id="rId65" Type="http://schemas.openxmlformats.org/officeDocument/2006/relationships/hyperlink" Target="https://us3.assetplanner.com/service_request?ID=095852" TargetMode="External"/><Relationship Id="rId81" Type="http://schemas.openxmlformats.org/officeDocument/2006/relationships/hyperlink" Target="https://us3.assetplanner.com/service_request?ID=096397" TargetMode="External"/><Relationship Id="rId86" Type="http://schemas.openxmlformats.org/officeDocument/2006/relationships/hyperlink" Target="https://us3.assetplanner.com/service_request?ID=096870" TargetMode="External"/><Relationship Id="rId130" Type="http://schemas.openxmlformats.org/officeDocument/2006/relationships/hyperlink" Target="https://us3.assetplanner.com/service_request?ID=097188" TargetMode="External"/><Relationship Id="rId135" Type="http://schemas.openxmlformats.org/officeDocument/2006/relationships/hyperlink" Target="https://us3.assetplanner.com/service_request?ID=095950" TargetMode="External"/><Relationship Id="rId151" Type="http://schemas.openxmlformats.org/officeDocument/2006/relationships/hyperlink" Target="https://us3.assetplanner.com/service_request?ID=096931" TargetMode="External"/><Relationship Id="rId156" Type="http://schemas.openxmlformats.org/officeDocument/2006/relationships/hyperlink" Target="https://us3.assetplanner.com/service_request?ID=093029" TargetMode="External"/><Relationship Id="rId13" Type="http://schemas.openxmlformats.org/officeDocument/2006/relationships/hyperlink" Target="https://us3.assetplanner.com/service_request?ID=086842" TargetMode="External"/><Relationship Id="rId18" Type="http://schemas.openxmlformats.org/officeDocument/2006/relationships/hyperlink" Target="https://us3.assetplanner.com/service_request?ID=096249" TargetMode="External"/><Relationship Id="rId39" Type="http://schemas.openxmlformats.org/officeDocument/2006/relationships/hyperlink" Target="https://us3.assetplanner.com/service_request?ID=096150" TargetMode="External"/><Relationship Id="rId109" Type="http://schemas.openxmlformats.org/officeDocument/2006/relationships/hyperlink" Target="https://us3.assetplanner.com/service_request?ID=097751" TargetMode="External"/><Relationship Id="rId34" Type="http://schemas.openxmlformats.org/officeDocument/2006/relationships/hyperlink" Target="https://us3.assetplanner.com/service_request?ID=097935"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684" TargetMode="External"/><Relationship Id="rId76" Type="http://schemas.openxmlformats.org/officeDocument/2006/relationships/hyperlink" Target="https://us3.assetplanner.com/service_request?ID=097829" TargetMode="External"/><Relationship Id="rId97" Type="http://schemas.openxmlformats.org/officeDocument/2006/relationships/hyperlink" Target="https://us3.assetplanner.com/service_request?ID=092255" TargetMode="External"/><Relationship Id="rId104" Type="http://schemas.openxmlformats.org/officeDocument/2006/relationships/hyperlink" Target="https://us3.assetplanner.com/service_request?ID=095531" TargetMode="External"/><Relationship Id="rId120" Type="http://schemas.openxmlformats.org/officeDocument/2006/relationships/hyperlink" Target="https://us3.assetplanner.com/service_request?ID=097471" TargetMode="External"/><Relationship Id="rId125" Type="http://schemas.openxmlformats.org/officeDocument/2006/relationships/hyperlink" Target="https://us3.assetplanner.com/service_request?ID=096303" TargetMode="External"/><Relationship Id="rId141" Type="http://schemas.openxmlformats.org/officeDocument/2006/relationships/hyperlink" Target="https://us3.assetplanner.com/service_request?ID=095955" TargetMode="External"/><Relationship Id="rId146" Type="http://schemas.openxmlformats.org/officeDocument/2006/relationships/hyperlink" Target="https://us3.assetplanner.com/service_request?ID=095940" TargetMode="External"/><Relationship Id="rId7" Type="http://schemas.openxmlformats.org/officeDocument/2006/relationships/hyperlink" Target="https://us3.assetplanner.com/service_request?ID=093550" TargetMode="External"/><Relationship Id="rId71" Type="http://schemas.openxmlformats.org/officeDocument/2006/relationships/hyperlink" Target="https://us3.assetplanner.com/service_request?ID=097685" TargetMode="External"/><Relationship Id="rId92" Type="http://schemas.openxmlformats.org/officeDocument/2006/relationships/hyperlink" Target="https://us3.assetplanner.com/service_request?ID=097176" TargetMode="External"/><Relationship Id="rId162" Type="http://schemas.openxmlformats.org/officeDocument/2006/relationships/vmlDrawing" Target="../drawings/vmlDrawing2.vml"/><Relationship Id="rId2" Type="http://schemas.openxmlformats.org/officeDocument/2006/relationships/hyperlink" Target="https://us3.assetplanner.com/service_request?ID=092555" TargetMode="External"/><Relationship Id="rId29" Type="http://schemas.openxmlformats.org/officeDocument/2006/relationships/hyperlink" Target="https://us3.assetplanner.com/service_request?ID=096726" TargetMode="External"/><Relationship Id="rId24" Type="http://schemas.openxmlformats.org/officeDocument/2006/relationships/hyperlink" Target="https://us3.assetplanner.com/service_request?ID=096164" TargetMode="External"/><Relationship Id="rId40" Type="http://schemas.openxmlformats.org/officeDocument/2006/relationships/hyperlink" Target="https://us3.assetplanner.com/service_request?ID=096230" TargetMode="External"/><Relationship Id="rId45" Type="http://schemas.openxmlformats.org/officeDocument/2006/relationships/hyperlink" Target="https://us3.assetplanner.com/service_request?ID=095991" TargetMode="External"/><Relationship Id="rId66" Type="http://schemas.openxmlformats.org/officeDocument/2006/relationships/hyperlink" Target="https://us3.assetplanner.com/service_request?ID=097526" TargetMode="External"/><Relationship Id="rId87" Type="http://schemas.openxmlformats.org/officeDocument/2006/relationships/hyperlink" Target="https://us3.assetplanner.com/service_request?ID=09230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2" TargetMode="External"/><Relationship Id="rId157" Type="http://schemas.openxmlformats.org/officeDocument/2006/relationships/hyperlink" Target="https://us3.assetplanner.com/service_request?ID=095492" TargetMode="External"/><Relationship Id="rId61" Type="http://schemas.openxmlformats.org/officeDocument/2006/relationships/hyperlink" Target="https://us3.assetplanner.com/service_request?ID=097883" TargetMode="External"/><Relationship Id="rId82" Type="http://schemas.openxmlformats.org/officeDocument/2006/relationships/hyperlink" Target="https://us3.assetplanner.com/service_request?ID=087641" TargetMode="External"/><Relationship Id="rId152" Type="http://schemas.openxmlformats.org/officeDocument/2006/relationships/hyperlink" Target="https://us3.assetplanner.com/service_request?ID=097882" TargetMode="External"/><Relationship Id="rId19" Type="http://schemas.openxmlformats.org/officeDocument/2006/relationships/hyperlink" Target="https://us3.assetplanner.com/service_request?ID=093326" TargetMode="External"/><Relationship Id="rId14" Type="http://schemas.openxmlformats.org/officeDocument/2006/relationships/hyperlink" Target="https://us3.assetplanner.com/service_request?ID=093294" TargetMode="External"/><Relationship Id="rId30" Type="http://schemas.openxmlformats.org/officeDocument/2006/relationships/hyperlink" Target="https://us3.assetplanner.com/service_request?ID=096907" TargetMode="External"/><Relationship Id="rId35" Type="http://schemas.openxmlformats.org/officeDocument/2006/relationships/hyperlink" Target="https://us3.assetplanner.com/service_request?ID=093024" TargetMode="External"/><Relationship Id="rId56" Type="http://schemas.openxmlformats.org/officeDocument/2006/relationships/hyperlink" Target="https://us3.assetplanner.com/service_request?ID=097701" TargetMode="External"/><Relationship Id="rId77" Type="http://schemas.openxmlformats.org/officeDocument/2006/relationships/hyperlink" Target="https://us3.assetplanner.com/service_request?ID=094307" TargetMode="External"/><Relationship Id="rId100" Type="http://schemas.openxmlformats.org/officeDocument/2006/relationships/hyperlink" Target="https://us3.assetplanner.com/service_request?ID=094998" TargetMode="External"/><Relationship Id="rId105" Type="http://schemas.openxmlformats.org/officeDocument/2006/relationships/hyperlink" Target="https://us3.assetplanner.com/service_request?ID=097968" TargetMode="External"/><Relationship Id="rId126" Type="http://schemas.openxmlformats.org/officeDocument/2006/relationships/hyperlink" Target="https://us3.assetplanner.com/service_request?ID=096906" TargetMode="External"/><Relationship Id="rId147" Type="http://schemas.openxmlformats.org/officeDocument/2006/relationships/hyperlink" Target="https://us3.assetplanner.com/service_request?ID=095940" TargetMode="External"/><Relationship Id="rId8" Type="http://schemas.openxmlformats.org/officeDocument/2006/relationships/hyperlink" Target="https://us3.assetplanner.com/service_request?ID=093047" TargetMode="External"/><Relationship Id="rId51" Type="http://schemas.openxmlformats.org/officeDocument/2006/relationships/hyperlink" Target="https://us3.assetplanner.com/service_request?ID=097524" TargetMode="External"/><Relationship Id="rId72" Type="http://schemas.openxmlformats.org/officeDocument/2006/relationships/hyperlink" Target="https://us3.assetplanner.com/service_request?ID=097686" TargetMode="External"/><Relationship Id="rId93" Type="http://schemas.openxmlformats.org/officeDocument/2006/relationships/hyperlink" Target="https://us3.assetplanner.com/service_request?ID=088869" TargetMode="External"/><Relationship Id="rId98" Type="http://schemas.openxmlformats.org/officeDocument/2006/relationships/hyperlink" Target="https://us3.assetplanner.com/service_request?ID=092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5937" TargetMode="External"/><Relationship Id="rId163" Type="http://schemas.openxmlformats.org/officeDocument/2006/relationships/comments" Target="../comments2.xml"/><Relationship Id="rId3" Type="http://schemas.openxmlformats.org/officeDocument/2006/relationships/hyperlink" Target="https://us3.assetplanner.com/service_request?ID=091903" TargetMode="External"/><Relationship Id="rId25" Type="http://schemas.openxmlformats.org/officeDocument/2006/relationships/hyperlink" Target="https://us3.assetplanner.com/service_request?ID=096701" TargetMode="External"/><Relationship Id="rId46" Type="http://schemas.openxmlformats.org/officeDocument/2006/relationships/hyperlink" Target="https://us3.assetplanner.com/service_request?ID=096215" TargetMode="External"/><Relationship Id="rId67" Type="http://schemas.openxmlformats.org/officeDocument/2006/relationships/hyperlink" Target="https://us3.assetplanner.com/service_request?ID=095635" TargetMode="External"/><Relationship Id="rId116" Type="http://schemas.openxmlformats.org/officeDocument/2006/relationships/hyperlink" Target="https://us3.assetplanner.com/service_request?ID=096042" TargetMode="External"/><Relationship Id="rId137" Type="http://schemas.openxmlformats.org/officeDocument/2006/relationships/hyperlink" Target="https://us3.assetplanner.com/service_request?ID=095954" TargetMode="External"/><Relationship Id="rId158" Type="http://schemas.openxmlformats.org/officeDocument/2006/relationships/hyperlink" Target="https://us3.assetplanner.com/service_request?ID=096195" TargetMode="External"/><Relationship Id="rId20" Type="http://schemas.openxmlformats.org/officeDocument/2006/relationships/hyperlink" Target="https://us3.assetplanner.com/service_request?ID=096294" TargetMode="External"/><Relationship Id="rId41" Type="http://schemas.openxmlformats.org/officeDocument/2006/relationships/hyperlink" Target="https://us3.assetplanner.com/service_request?ID=096525" TargetMode="External"/><Relationship Id="rId62" Type="http://schemas.openxmlformats.org/officeDocument/2006/relationships/hyperlink" Target="https://us3.assetplanner.com/service_request?ID=093375" TargetMode="External"/><Relationship Id="rId83" Type="http://schemas.openxmlformats.org/officeDocument/2006/relationships/hyperlink" Target="https://us3.assetplanner.com/service_request?ID=097740" TargetMode="External"/><Relationship Id="rId88" Type="http://schemas.openxmlformats.org/officeDocument/2006/relationships/hyperlink" Target="https://us3.assetplanner.com/service_request?ID=092332" TargetMode="External"/><Relationship Id="rId111" Type="http://schemas.openxmlformats.org/officeDocument/2006/relationships/hyperlink" Target="https://us3.assetplanner.com/service_request?ID=097157"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7602" TargetMode="External"/><Relationship Id="rId15" Type="http://schemas.openxmlformats.org/officeDocument/2006/relationships/hyperlink" Target="https://us3.assetplanner.com/service_request?ID=093196" TargetMode="External"/><Relationship Id="rId36" Type="http://schemas.openxmlformats.org/officeDocument/2006/relationships/hyperlink" Target="https://us3.assetplanner.com/service_request?ID=095445"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7969" TargetMode="External"/><Relationship Id="rId127" Type="http://schemas.openxmlformats.org/officeDocument/2006/relationships/hyperlink" Target="https://us3.assetplanner.com/service_request?ID=097179" TargetMode="External"/><Relationship Id="rId10" Type="http://schemas.openxmlformats.org/officeDocument/2006/relationships/hyperlink" Target="https://us3.assetplanner.com/service_request?ID=097569" TargetMode="External"/><Relationship Id="rId31" Type="http://schemas.openxmlformats.org/officeDocument/2006/relationships/hyperlink" Target="https://us3.assetplanner.com/service_request?ID=097233" TargetMode="External"/><Relationship Id="rId52" Type="http://schemas.openxmlformats.org/officeDocument/2006/relationships/hyperlink" Target="https://us3.assetplanner.com/service_request?ID=097010" TargetMode="External"/><Relationship Id="rId73" Type="http://schemas.openxmlformats.org/officeDocument/2006/relationships/hyperlink" Target="https://us3.assetplanner.com/service_request?ID=096177" TargetMode="External"/><Relationship Id="rId78" Type="http://schemas.openxmlformats.org/officeDocument/2006/relationships/hyperlink" Target="https://us3.assetplanner.com/service_request?ID=096751" TargetMode="External"/><Relationship Id="rId94" Type="http://schemas.openxmlformats.org/officeDocument/2006/relationships/hyperlink" Target="https://us3.assetplanner.com/service_request?ID=092095" TargetMode="External"/><Relationship Id="rId99" Type="http://schemas.openxmlformats.org/officeDocument/2006/relationships/hyperlink" Target="https://us3.assetplanner.com/service_request?ID=095850" TargetMode="External"/><Relationship Id="rId101" Type="http://schemas.openxmlformats.org/officeDocument/2006/relationships/hyperlink" Target="https://us3.assetplanner.com/service_request?ID=095305" TargetMode="External"/><Relationship Id="rId122" Type="http://schemas.openxmlformats.org/officeDocument/2006/relationships/hyperlink" Target="https://us3.assetplanner.com/service_request?ID=095759" TargetMode="External"/><Relationship Id="rId143" Type="http://schemas.openxmlformats.org/officeDocument/2006/relationships/hyperlink" Target="https://us3.assetplanner.com/service_request?ID=095938" TargetMode="External"/><Relationship Id="rId148" Type="http://schemas.openxmlformats.org/officeDocument/2006/relationships/hyperlink" Target="https://us3.assetplanner.com/service_request?ID=095942" TargetMode="External"/><Relationship Id="rId164" Type="http://schemas.microsoft.com/office/2017/10/relationships/threadedComment" Target="../threadedComments/threadedComment2.xml"/><Relationship Id="rId4" Type="http://schemas.openxmlformats.org/officeDocument/2006/relationships/hyperlink" Target="https://us3.assetplanner.com/service_request?ID=092556" TargetMode="External"/><Relationship Id="rId9" Type="http://schemas.openxmlformats.org/officeDocument/2006/relationships/hyperlink" Target="https://us3.assetplanner.com/service_request?ID=097910" TargetMode="External"/><Relationship Id="rId26" Type="http://schemas.openxmlformats.org/officeDocument/2006/relationships/hyperlink" Target="https://us3.assetplanner.com/service_request?ID=096750" TargetMode="External"/><Relationship Id="rId47" Type="http://schemas.openxmlformats.org/officeDocument/2006/relationships/hyperlink" Target="https://us3.assetplanner.com/service_request?ID=097025" TargetMode="External"/><Relationship Id="rId68" Type="http://schemas.openxmlformats.org/officeDocument/2006/relationships/hyperlink" Target="https://us3.assetplanner.com/service_request?ID=097667" TargetMode="External"/><Relationship Id="rId89" Type="http://schemas.openxmlformats.org/officeDocument/2006/relationships/hyperlink" Target="https://us3.assetplanner.com/service_request?ID=094825" TargetMode="External"/><Relationship Id="rId112" Type="http://schemas.openxmlformats.org/officeDocument/2006/relationships/hyperlink" Target="https://us3.assetplanner.com/service_request?ID=097647" TargetMode="External"/><Relationship Id="rId133" Type="http://schemas.openxmlformats.org/officeDocument/2006/relationships/hyperlink" Target="https://us3.assetplanner.com/service_request?ID=095946" TargetMode="External"/><Relationship Id="rId154" Type="http://schemas.openxmlformats.org/officeDocument/2006/relationships/hyperlink" Target="https://us3.assetplanner.com/service_request?ID=096257" TargetMode="External"/><Relationship Id="rId16" Type="http://schemas.openxmlformats.org/officeDocument/2006/relationships/hyperlink" Target="https://us3.assetplanner.com/service_request?ID=097083" TargetMode="External"/><Relationship Id="rId37" Type="http://schemas.openxmlformats.org/officeDocument/2006/relationships/hyperlink" Target="https://us3.assetplanner.com/service_request?ID=097568" TargetMode="External"/><Relationship Id="rId58" Type="http://schemas.openxmlformats.org/officeDocument/2006/relationships/hyperlink" Target="https://us3.assetplanner.com/service_request?ID=093436" TargetMode="External"/><Relationship Id="rId79" Type="http://schemas.openxmlformats.org/officeDocument/2006/relationships/hyperlink" Target="https://us3.assetplanner.com/service_request?ID=097457" TargetMode="External"/><Relationship Id="rId102" Type="http://schemas.openxmlformats.org/officeDocument/2006/relationships/hyperlink" Target="https://us3.assetplanner.com/service_request?ID=097968" TargetMode="External"/><Relationship Id="rId123" Type="http://schemas.openxmlformats.org/officeDocument/2006/relationships/hyperlink" Target="https://us3.assetplanner.com/service_request?ID=096669" TargetMode="External"/><Relationship Id="rId144" Type="http://schemas.openxmlformats.org/officeDocument/2006/relationships/hyperlink" Target="https://us3.assetplanner.com/service_request?ID=095939" TargetMode="External"/><Relationship Id="rId90" Type="http://schemas.openxmlformats.org/officeDocument/2006/relationships/hyperlink" Target="https://us3.assetplanner.com/service_request?ID=095649" TargetMode="External"/><Relationship Id="rId27" Type="http://schemas.openxmlformats.org/officeDocument/2006/relationships/hyperlink" Target="https://us3.assetplanner.com/service_request?ID=093972"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7668" TargetMode="External"/><Relationship Id="rId113" Type="http://schemas.openxmlformats.org/officeDocument/2006/relationships/hyperlink" Target="https://us3.assetplanner.com/service_request?ID=097565" TargetMode="External"/><Relationship Id="rId134" Type="http://schemas.openxmlformats.org/officeDocument/2006/relationships/hyperlink" Target="https://us3.assetplanner.com/service_request?ID=095948" TargetMode="External"/><Relationship Id="rId80" Type="http://schemas.openxmlformats.org/officeDocument/2006/relationships/hyperlink" Target="https://us3.assetplanner.com/service_request?ID=095073" TargetMode="External"/><Relationship Id="rId155" Type="http://schemas.openxmlformats.org/officeDocument/2006/relationships/hyperlink" Target="https://us3.assetplanner.com/service_request?ID=09189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8436" TargetMode="External"/><Relationship Id="rId21" Type="http://schemas.openxmlformats.org/officeDocument/2006/relationships/hyperlink" Target="https://us3.assetplanner.com/service_request?ID=099228" TargetMode="External"/><Relationship Id="rId42" Type="http://schemas.openxmlformats.org/officeDocument/2006/relationships/hyperlink" Target="https://us3.assetplanner.com/service_request?ID=098279" TargetMode="External"/><Relationship Id="rId63" Type="http://schemas.openxmlformats.org/officeDocument/2006/relationships/hyperlink" Target="https://us3.assetplanner.com/service_request?ID=098558" TargetMode="External"/><Relationship Id="rId84" Type="http://schemas.openxmlformats.org/officeDocument/2006/relationships/hyperlink" Target="https://us3.assetplanner.com/service_request?ID=098570" TargetMode="External"/><Relationship Id="rId138" Type="http://schemas.openxmlformats.org/officeDocument/2006/relationships/hyperlink" Target="https://us3.assetplanner.com/service_request?ID=098259" TargetMode="External"/><Relationship Id="rId159" Type="http://schemas.openxmlformats.org/officeDocument/2006/relationships/hyperlink" Target="https://us3.assetplanner.com/service_request?ID=098628" TargetMode="External"/><Relationship Id="rId170" Type="http://schemas.openxmlformats.org/officeDocument/2006/relationships/hyperlink" Target="https://us3.assetplanner.com/service_request?ID=098724" TargetMode="External"/><Relationship Id="rId191" Type="http://schemas.openxmlformats.org/officeDocument/2006/relationships/hyperlink" Target="https://us3.assetplanner.com/service_request?ID=098490" TargetMode="External"/><Relationship Id="rId205" Type="http://schemas.openxmlformats.org/officeDocument/2006/relationships/hyperlink" Target="https://us3.assetplanner.com/service_request?ID=098898" TargetMode="External"/><Relationship Id="rId107" Type="http://schemas.openxmlformats.org/officeDocument/2006/relationships/hyperlink" Target="https://us3.assetplanner.com/service_request?ID=098930" TargetMode="External"/><Relationship Id="rId11" Type="http://schemas.openxmlformats.org/officeDocument/2006/relationships/hyperlink" Target="https://us3.assetplanner.com/service_request?ID=097910" TargetMode="External"/><Relationship Id="rId32" Type="http://schemas.openxmlformats.org/officeDocument/2006/relationships/hyperlink" Target="https://us3.assetplanner.com/service_request?ID=098312" TargetMode="External"/><Relationship Id="rId53" Type="http://schemas.openxmlformats.org/officeDocument/2006/relationships/hyperlink" Target="https://us3.assetplanner.com/service_request?ID=096004" TargetMode="External"/><Relationship Id="rId74" Type="http://schemas.openxmlformats.org/officeDocument/2006/relationships/hyperlink" Target="https://us3.assetplanner.com/service_request?ID=098414" TargetMode="External"/><Relationship Id="rId128" Type="http://schemas.openxmlformats.org/officeDocument/2006/relationships/hyperlink" Target="https://us3.assetplanner.com/service_request?ID=097968" TargetMode="External"/><Relationship Id="rId149" Type="http://schemas.openxmlformats.org/officeDocument/2006/relationships/hyperlink" Target="https://us3.assetplanner.com/service_request?ID=095624" TargetMode="External"/><Relationship Id="rId5" Type="http://schemas.openxmlformats.org/officeDocument/2006/relationships/hyperlink" Target="https://us3.assetplanner.com/service_request?ID=092556" TargetMode="External"/><Relationship Id="rId95" Type="http://schemas.openxmlformats.org/officeDocument/2006/relationships/hyperlink" Target="https://us3.assetplanner.com/service_request?ID=098629" TargetMode="External"/><Relationship Id="rId160" Type="http://schemas.openxmlformats.org/officeDocument/2006/relationships/hyperlink" Target="https://us3.assetplanner.com/service_request?ID=098888" TargetMode="External"/><Relationship Id="rId181" Type="http://schemas.openxmlformats.org/officeDocument/2006/relationships/hyperlink" Target="https://us3.assetplanner.com/service_request?ID=095956" TargetMode="External"/><Relationship Id="rId216" Type="http://schemas.openxmlformats.org/officeDocument/2006/relationships/hyperlink" Target="https://us3.assetplanner.com/service_request?ID=098646" TargetMode="External"/><Relationship Id="rId22" Type="http://schemas.openxmlformats.org/officeDocument/2006/relationships/hyperlink" Target="https://us3.assetplanner.com/service_request?ID=093196" TargetMode="External"/><Relationship Id="rId43" Type="http://schemas.openxmlformats.org/officeDocument/2006/relationships/hyperlink" Target="https://us3.assetplanner.com/service_request?ID=098699" TargetMode="External"/><Relationship Id="rId64" Type="http://schemas.openxmlformats.org/officeDocument/2006/relationships/hyperlink" Target="https://us3.assetplanner.com/service_request?ID=099047" TargetMode="External"/><Relationship Id="rId118" Type="http://schemas.openxmlformats.org/officeDocument/2006/relationships/hyperlink" Target="https://us3.assetplanner.com/service_request?ID=092332" TargetMode="External"/><Relationship Id="rId139" Type="http://schemas.openxmlformats.org/officeDocument/2006/relationships/hyperlink" Target="https://us3.assetplanner.com/service_request?ID=098259" TargetMode="External"/><Relationship Id="rId85" Type="http://schemas.openxmlformats.org/officeDocument/2006/relationships/hyperlink" Target="https://us3.assetplanner.com/service_request?ID=097526" TargetMode="External"/><Relationship Id="rId150" Type="http://schemas.openxmlformats.org/officeDocument/2006/relationships/hyperlink" Target="https://us3.assetplanner.com/service_request?ID=097725" TargetMode="External"/><Relationship Id="rId171" Type="http://schemas.openxmlformats.org/officeDocument/2006/relationships/hyperlink" Target="https://us3.assetplanner.com/service_request?ID=095946" TargetMode="External"/><Relationship Id="rId192" Type="http://schemas.openxmlformats.org/officeDocument/2006/relationships/hyperlink" Target="https://us3.assetplanner.com/service_request?ID=099138" TargetMode="External"/><Relationship Id="rId206" Type="http://schemas.openxmlformats.org/officeDocument/2006/relationships/hyperlink" Target="https://us3.assetplanner.com/service_request?ID=097816" TargetMode="External"/><Relationship Id="rId12" Type="http://schemas.openxmlformats.org/officeDocument/2006/relationships/hyperlink" Target="https://us3.assetplanner.com/service_request?ID=093047" TargetMode="External"/><Relationship Id="rId33" Type="http://schemas.openxmlformats.org/officeDocument/2006/relationships/hyperlink" Target="https://us3.assetplanner.com/service_request?ID=099139" TargetMode="External"/><Relationship Id="rId108" Type="http://schemas.openxmlformats.org/officeDocument/2006/relationships/hyperlink" Target="https://us3.assetplanner.com/service_request?ID=095073" TargetMode="External"/><Relationship Id="rId129" Type="http://schemas.openxmlformats.org/officeDocument/2006/relationships/hyperlink" Target="https://us3.assetplanner.com/service_request?ID=098550" TargetMode="External"/><Relationship Id="rId54" Type="http://schemas.openxmlformats.org/officeDocument/2006/relationships/hyperlink" Target="https://us3.assetplanner.com/service_request?ID=098071" TargetMode="External"/><Relationship Id="rId75" Type="http://schemas.openxmlformats.org/officeDocument/2006/relationships/hyperlink" Target="https://us3.assetplanner.com/service_request?ID=098415" TargetMode="External"/><Relationship Id="rId96" Type="http://schemas.openxmlformats.org/officeDocument/2006/relationships/hyperlink" Target="https://us3.assetplanner.com/service_request?ID=098996" TargetMode="External"/><Relationship Id="rId140" Type="http://schemas.openxmlformats.org/officeDocument/2006/relationships/hyperlink" Target="https://us3.assetplanner.com/service_request?ID=098612" TargetMode="External"/><Relationship Id="rId161" Type="http://schemas.openxmlformats.org/officeDocument/2006/relationships/hyperlink" Target="https://us3.assetplanner.com/service_request?ID=098955" TargetMode="External"/><Relationship Id="rId182" Type="http://schemas.openxmlformats.org/officeDocument/2006/relationships/hyperlink" Target="https://us3.assetplanner.com/service_request?ID=095955" TargetMode="External"/><Relationship Id="rId217" Type="http://schemas.openxmlformats.org/officeDocument/2006/relationships/hyperlink" Target="https://us3.assetplanner.com/service_request?ID=098634" TargetMode="External"/><Relationship Id="rId6" Type="http://schemas.openxmlformats.org/officeDocument/2006/relationships/hyperlink" Target="https://us3.assetplanner.com/service_request?ID=098780" TargetMode="External"/><Relationship Id="rId23" Type="http://schemas.openxmlformats.org/officeDocument/2006/relationships/hyperlink" Target="https://us3.assetplanner.com/service_request?ID=099136" TargetMode="External"/><Relationship Id="rId119" Type="http://schemas.openxmlformats.org/officeDocument/2006/relationships/hyperlink" Target="https://us3.assetplanner.com/service_request?ID=095649" TargetMode="External"/><Relationship Id="rId44" Type="http://schemas.openxmlformats.org/officeDocument/2006/relationships/hyperlink" Target="https://us3.assetplanner.com/service_request?ID=098853" TargetMode="External"/><Relationship Id="rId65" Type="http://schemas.openxmlformats.org/officeDocument/2006/relationships/hyperlink" Target="https://us3.assetplanner.com/service_request?ID=099053" TargetMode="External"/><Relationship Id="rId86" Type="http://schemas.openxmlformats.org/officeDocument/2006/relationships/hyperlink" Target="https://us3.assetplanner.com/service_request?ID=098462" TargetMode="External"/><Relationship Id="rId130" Type="http://schemas.openxmlformats.org/officeDocument/2006/relationships/hyperlink" Target="https://us3.assetplanner.com/service_request?ID=095531" TargetMode="External"/><Relationship Id="rId151" Type="http://schemas.openxmlformats.org/officeDocument/2006/relationships/hyperlink" Target="https://us3.assetplanner.com/service_request?ID=096042" TargetMode="External"/><Relationship Id="rId172" Type="http://schemas.openxmlformats.org/officeDocument/2006/relationships/hyperlink" Target="https://us3.assetplanner.com/service_request?ID=098988" TargetMode="External"/><Relationship Id="rId193" Type="http://schemas.openxmlformats.org/officeDocument/2006/relationships/hyperlink" Target="https://us3.assetplanner.com/service_request?ID=095942" TargetMode="External"/><Relationship Id="rId207" Type="http://schemas.openxmlformats.org/officeDocument/2006/relationships/hyperlink" Target="https://us3.assetplanner.com/service_request?ID=097951" TargetMode="External"/><Relationship Id="rId13" Type="http://schemas.openxmlformats.org/officeDocument/2006/relationships/hyperlink" Target="https://us3.assetplanner.com/service_request?ID=098810" TargetMode="External"/><Relationship Id="rId109" Type="http://schemas.openxmlformats.org/officeDocument/2006/relationships/hyperlink" Target="https://us3.assetplanner.com/service_request?ID=099072" TargetMode="External"/><Relationship Id="rId34" Type="http://schemas.openxmlformats.org/officeDocument/2006/relationships/hyperlink" Target="https://us3.assetplanner.com/service_request?ID=093326" TargetMode="External"/><Relationship Id="rId55" Type="http://schemas.openxmlformats.org/officeDocument/2006/relationships/hyperlink" Target="https://us3.assetplanner.com/service_request?ID=094278" TargetMode="External"/><Relationship Id="rId76" Type="http://schemas.openxmlformats.org/officeDocument/2006/relationships/hyperlink" Target="https://us3.assetplanner.com/service_request?ID=098594" TargetMode="External"/><Relationship Id="rId97" Type="http://schemas.openxmlformats.org/officeDocument/2006/relationships/hyperlink" Target="https://us3.assetplanner.com/service_request?ID=098631" TargetMode="External"/><Relationship Id="rId120" Type="http://schemas.openxmlformats.org/officeDocument/2006/relationships/hyperlink" Target="https://us3.assetplanner.com/service_request?ID=098883" TargetMode="External"/><Relationship Id="rId141" Type="http://schemas.openxmlformats.org/officeDocument/2006/relationships/hyperlink" Target="https://us3.assetplanner.com/service_request?ID=097565" TargetMode="External"/><Relationship Id="rId7" Type="http://schemas.openxmlformats.org/officeDocument/2006/relationships/hyperlink" Target="https://us3.assetplanner.com/service_request?ID=093028" TargetMode="External"/><Relationship Id="rId162" Type="http://schemas.openxmlformats.org/officeDocument/2006/relationships/hyperlink" Target="https://us3.assetplanner.com/service_request?ID=099024" TargetMode="External"/><Relationship Id="rId183" Type="http://schemas.openxmlformats.org/officeDocument/2006/relationships/hyperlink" Target="https://us3.assetplanner.com/service_request?ID=095937" TargetMode="External"/><Relationship Id="rId218" Type="http://schemas.openxmlformats.org/officeDocument/2006/relationships/hyperlink" Target="https://us3.assetplanner.com/service_request?ID=099014" TargetMode="External"/><Relationship Id="rId24" Type="http://schemas.openxmlformats.org/officeDocument/2006/relationships/hyperlink" Target="https://us3.assetplanner.com/service_request?ID=099136" TargetMode="External"/><Relationship Id="rId45" Type="http://schemas.openxmlformats.org/officeDocument/2006/relationships/hyperlink" Target="https://us3.assetplanner.com/service_request?ID=098892" TargetMode="External"/><Relationship Id="rId66" Type="http://schemas.openxmlformats.org/officeDocument/2006/relationships/hyperlink" Target="https://us3.assetplanner.com/service_request?ID=096238" TargetMode="External"/><Relationship Id="rId87" Type="http://schemas.openxmlformats.org/officeDocument/2006/relationships/hyperlink" Target="https://us3.assetplanner.com/service_request?ID=09899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7967" TargetMode="External"/><Relationship Id="rId152" Type="http://schemas.openxmlformats.org/officeDocument/2006/relationships/hyperlink" Target="https://us3.assetplanner.com/service_request?ID=098021" TargetMode="External"/><Relationship Id="rId173" Type="http://schemas.openxmlformats.org/officeDocument/2006/relationships/hyperlink" Target="https://us3.assetplanner.com/service_request?ID=095948" TargetMode="External"/><Relationship Id="rId194" Type="http://schemas.openxmlformats.org/officeDocument/2006/relationships/hyperlink" Target="https://us3.assetplanner.com/service_request?ID=095961" TargetMode="External"/><Relationship Id="rId208" Type="http://schemas.openxmlformats.org/officeDocument/2006/relationships/hyperlink" Target="https://us3.assetplanner.com/service_request?ID=098899" TargetMode="External"/><Relationship Id="rId14" Type="http://schemas.openxmlformats.org/officeDocument/2006/relationships/hyperlink" Target="https://us3.assetplanner.com/service_request?ID=097569" TargetMode="External"/><Relationship Id="rId35" Type="http://schemas.openxmlformats.org/officeDocument/2006/relationships/hyperlink" Target="https://us3.assetplanner.com/service_request?ID=099036" TargetMode="External"/><Relationship Id="rId56" Type="http://schemas.openxmlformats.org/officeDocument/2006/relationships/hyperlink" Target="https://us3.assetplanner.com/service_request?ID=098510" TargetMode="External"/><Relationship Id="rId77" Type="http://schemas.openxmlformats.org/officeDocument/2006/relationships/hyperlink" Target="https://us3.assetplanner.com/service_request?ID=098779" TargetMode="External"/><Relationship Id="rId100" Type="http://schemas.openxmlformats.org/officeDocument/2006/relationships/hyperlink" Target="https://us3.assetplanner.com/service_request?ID=098349" TargetMode="External"/><Relationship Id="rId8" Type="http://schemas.openxmlformats.org/officeDocument/2006/relationships/hyperlink" Target="https://us3.assetplanner.com/service_request?ID=091894" TargetMode="External"/><Relationship Id="rId51" Type="http://schemas.openxmlformats.org/officeDocument/2006/relationships/hyperlink" Target="https://us3.assetplanner.com/service_request?ID=093024" TargetMode="External"/><Relationship Id="rId72" Type="http://schemas.openxmlformats.org/officeDocument/2006/relationships/hyperlink" Target="https://us3.assetplanner.com/service_request?ID=098295" TargetMode="External"/><Relationship Id="rId93" Type="http://schemas.openxmlformats.org/officeDocument/2006/relationships/hyperlink" Target="https://us3.assetplanner.com/service_request?ID=095109" TargetMode="External"/><Relationship Id="rId98" Type="http://schemas.openxmlformats.org/officeDocument/2006/relationships/hyperlink" Target="https://us3.assetplanner.com/service_request?ID=098997" TargetMode="External"/><Relationship Id="rId121" Type="http://schemas.openxmlformats.org/officeDocument/2006/relationships/hyperlink" Target="https://us3.assetplanner.com/service_request?ID=098311" TargetMode="External"/><Relationship Id="rId142" Type="http://schemas.openxmlformats.org/officeDocument/2006/relationships/hyperlink" Target="https://us3.assetplanner.com/service_request?ID=098893" TargetMode="External"/><Relationship Id="rId163" Type="http://schemas.openxmlformats.org/officeDocument/2006/relationships/hyperlink" Target="https://us3.assetplanner.com/service_request?ID=095759" TargetMode="External"/><Relationship Id="rId184" Type="http://schemas.openxmlformats.org/officeDocument/2006/relationships/hyperlink" Target="https://us3.assetplanner.com/service_request?ID=095938" TargetMode="External"/><Relationship Id="rId189" Type="http://schemas.openxmlformats.org/officeDocument/2006/relationships/hyperlink" Target="https://us3.assetplanner.com/service_request?ID=095940" TargetMode="External"/><Relationship Id="rId219" Type="http://schemas.openxmlformats.org/officeDocument/2006/relationships/hyperlink" Target="https://us3.assetplanner.com/service_request?ID=098433" TargetMode="External"/><Relationship Id="rId3" Type="http://schemas.openxmlformats.org/officeDocument/2006/relationships/hyperlink" Target="https://us3.assetplanner.com/service_request?ID=098310" TargetMode="External"/><Relationship Id="rId214" Type="http://schemas.openxmlformats.org/officeDocument/2006/relationships/hyperlink" Target="https://us3.assetplanner.com/service_request?ID=098066" TargetMode="External"/><Relationship Id="rId25" Type="http://schemas.openxmlformats.org/officeDocument/2006/relationships/hyperlink" Target="https://us3.assetplanner.com/service_request?ID=098734" TargetMode="External"/><Relationship Id="rId46" Type="http://schemas.openxmlformats.org/officeDocument/2006/relationships/hyperlink" Target="https://us3.assetplanner.com/service_request?ID=099149" TargetMode="External"/><Relationship Id="rId67" Type="http://schemas.openxmlformats.org/officeDocument/2006/relationships/hyperlink" Target="https://us3.assetplanner.com/service_request?ID=097926" TargetMode="External"/><Relationship Id="rId116" Type="http://schemas.openxmlformats.org/officeDocument/2006/relationships/hyperlink" Target="https://us3.assetplanner.com/service_request?ID=093354" TargetMode="External"/><Relationship Id="rId137" Type="http://schemas.openxmlformats.org/officeDocument/2006/relationships/hyperlink" Target="https://us3.assetplanner.com/service_request?ID=098459" TargetMode="External"/><Relationship Id="rId158" Type="http://schemas.openxmlformats.org/officeDocument/2006/relationships/hyperlink" Target="https://us3.assetplanner.com/service_request?ID=094820" TargetMode="External"/><Relationship Id="rId20" Type="http://schemas.openxmlformats.org/officeDocument/2006/relationships/hyperlink" Target="https://us3.assetplanner.com/service_request?ID=098114"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129" TargetMode="External"/><Relationship Id="rId88" Type="http://schemas.openxmlformats.org/officeDocument/2006/relationships/hyperlink" Target="https://us3.assetplanner.com/service_request?ID=098630" TargetMode="External"/><Relationship Id="rId111" Type="http://schemas.openxmlformats.org/officeDocument/2006/relationships/hyperlink" Target="https://us3.assetplanner.com/service_request?ID=097740" TargetMode="External"/><Relationship Id="rId132" Type="http://schemas.openxmlformats.org/officeDocument/2006/relationships/hyperlink" Target="https://us3.assetplanner.com/service_request?ID=098776" TargetMode="External"/><Relationship Id="rId153" Type="http://schemas.openxmlformats.org/officeDocument/2006/relationships/hyperlink" Target="https://us3.assetplanner.com/service_request?ID=098809" TargetMode="External"/><Relationship Id="rId174" Type="http://schemas.openxmlformats.org/officeDocument/2006/relationships/hyperlink" Target="https://us3.assetplanner.com/service_request?ID=095950" TargetMode="External"/><Relationship Id="rId179" Type="http://schemas.openxmlformats.org/officeDocument/2006/relationships/hyperlink" Target="https://us3.assetplanner.com/service_request?ID=098235" TargetMode="External"/><Relationship Id="rId195" Type="http://schemas.openxmlformats.org/officeDocument/2006/relationships/hyperlink" Target="https://us3.assetplanner.com/service_request?ID=097620" TargetMode="External"/><Relationship Id="rId209" Type="http://schemas.openxmlformats.org/officeDocument/2006/relationships/hyperlink" Target="https://us3.assetplanner.com/service_request?ID=097600" TargetMode="External"/><Relationship Id="rId190" Type="http://schemas.openxmlformats.org/officeDocument/2006/relationships/hyperlink" Target="https://us3.assetplanner.com/service_request?ID=098413" TargetMode="External"/><Relationship Id="rId204" Type="http://schemas.openxmlformats.org/officeDocument/2006/relationships/hyperlink" Target="https://us3.assetplanner.com/service_request?ID=098319" TargetMode="External"/><Relationship Id="rId220" Type="http://schemas.openxmlformats.org/officeDocument/2006/relationships/hyperlink" Target="https://us3.assetplanner.com/service_request?ID=098638" TargetMode="External"/><Relationship Id="rId15" Type="http://schemas.openxmlformats.org/officeDocument/2006/relationships/hyperlink" Target="https://us3.assetplanner.com/service_request?ID=093291" TargetMode="External"/><Relationship Id="rId36" Type="http://schemas.openxmlformats.org/officeDocument/2006/relationships/hyperlink" Target="https://us3.assetplanner.com/service_request?ID=098313" TargetMode="External"/><Relationship Id="rId57" Type="http://schemas.openxmlformats.org/officeDocument/2006/relationships/hyperlink" Target="https://us3.assetplanner.com/service_request?ID=098510" TargetMode="External"/><Relationship Id="rId106" Type="http://schemas.openxmlformats.org/officeDocument/2006/relationships/hyperlink" Target="https://us3.assetplanner.com/service_request?ID=098841" TargetMode="External"/><Relationship Id="rId127" Type="http://schemas.openxmlformats.org/officeDocument/2006/relationships/hyperlink" Target="https://us3.assetplanner.com/service_request?ID=095305"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8905" TargetMode="External"/><Relationship Id="rId52" Type="http://schemas.openxmlformats.org/officeDocument/2006/relationships/hyperlink" Target="https://us3.assetplanner.com/service_request?ID=098551" TargetMode="External"/><Relationship Id="rId73" Type="http://schemas.openxmlformats.org/officeDocument/2006/relationships/hyperlink" Target="https://us3.assetplanner.com/service_request?ID=098354" TargetMode="External"/><Relationship Id="rId78" Type="http://schemas.openxmlformats.org/officeDocument/2006/relationships/hyperlink" Target="https://us3.assetplanner.com/service_request?ID=098902" TargetMode="External"/><Relationship Id="rId94" Type="http://schemas.openxmlformats.org/officeDocument/2006/relationships/hyperlink" Target="https://us3.assetplanner.com/service_request?ID=098366" TargetMode="External"/><Relationship Id="rId99" Type="http://schemas.openxmlformats.org/officeDocument/2006/relationships/hyperlink" Target="https://us3.assetplanner.com/service_request?ID=097854" TargetMode="External"/><Relationship Id="rId101" Type="http://schemas.openxmlformats.org/officeDocument/2006/relationships/hyperlink" Target="https://us3.assetplanner.com/service_request?ID=098635" TargetMode="External"/><Relationship Id="rId122" Type="http://schemas.openxmlformats.org/officeDocument/2006/relationships/hyperlink" Target="https://us3.assetplanner.com/service_request?ID=088869" TargetMode="External"/><Relationship Id="rId143" Type="http://schemas.openxmlformats.org/officeDocument/2006/relationships/hyperlink" Target="https://us3.assetplanner.com/service_request?ID=098901" TargetMode="External"/><Relationship Id="rId148" Type="http://schemas.openxmlformats.org/officeDocument/2006/relationships/hyperlink" Target="https://us3.assetplanner.com/service_request?ID=098626" TargetMode="External"/><Relationship Id="rId164" Type="http://schemas.openxmlformats.org/officeDocument/2006/relationships/hyperlink" Target="https://us3.assetplanner.com/service_request?ID=097454" TargetMode="External"/><Relationship Id="rId169" Type="http://schemas.openxmlformats.org/officeDocument/2006/relationships/hyperlink" Target="https://us3.assetplanner.com/service_request?ID=097637" TargetMode="External"/><Relationship Id="rId185" Type="http://schemas.openxmlformats.org/officeDocument/2006/relationships/hyperlink" Target="https://us3.assetplanner.com/service_request?ID=095939" TargetMode="External"/><Relationship Id="rId4" Type="http://schemas.openxmlformats.org/officeDocument/2006/relationships/hyperlink" Target="https://us3.assetplanner.com/service_request?ID=099126" TargetMode="External"/><Relationship Id="rId9" Type="http://schemas.openxmlformats.org/officeDocument/2006/relationships/hyperlink" Target="https://us3.assetplanner.com/service_request?ID=093029" TargetMode="External"/><Relationship Id="rId180" Type="http://schemas.openxmlformats.org/officeDocument/2006/relationships/hyperlink" Target="https://us3.assetplanner.com/service_request?ID=098264" TargetMode="External"/><Relationship Id="rId210" Type="http://schemas.openxmlformats.org/officeDocument/2006/relationships/hyperlink" Target="https://us3.assetplanner.com/service_request?ID=098029" TargetMode="External"/><Relationship Id="rId215" Type="http://schemas.openxmlformats.org/officeDocument/2006/relationships/hyperlink" Target="https://us3.assetplanner.com/service_request?ID=098233" TargetMode="External"/><Relationship Id="rId26" Type="http://schemas.openxmlformats.org/officeDocument/2006/relationships/hyperlink" Target="https://us3.assetplanner.com/service_request?ID=098981" TargetMode="External"/><Relationship Id="rId47" Type="http://schemas.openxmlformats.org/officeDocument/2006/relationships/hyperlink" Target="https://us3.assetplanner.com/service_request?ID=093972" TargetMode="External"/><Relationship Id="rId68" Type="http://schemas.openxmlformats.org/officeDocument/2006/relationships/hyperlink" Target="https://us3.assetplanner.com/service_request?ID=098992" TargetMode="External"/><Relationship Id="rId89" Type="http://schemas.openxmlformats.org/officeDocument/2006/relationships/hyperlink" Target="https://us3.assetplanner.com/service_request?ID=098222" TargetMode="External"/><Relationship Id="rId112" Type="http://schemas.openxmlformats.org/officeDocument/2006/relationships/hyperlink" Target="https://us3.assetplanner.com/service_request?ID=087641" TargetMode="External"/><Relationship Id="rId133" Type="http://schemas.openxmlformats.org/officeDocument/2006/relationships/hyperlink" Target="https://us3.assetplanner.com/service_request?ID=097969" TargetMode="External"/><Relationship Id="rId154" Type="http://schemas.openxmlformats.org/officeDocument/2006/relationships/hyperlink" Target="https://us3.assetplanner.com/service_request?ID=096682" TargetMode="External"/><Relationship Id="rId175" Type="http://schemas.openxmlformats.org/officeDocument/2006/relationships/hyperlink" Target="https://us3.assetplanner.com/service_request?ID=095962" TargetMode="External"/><Relationship Id="rId196" Type="http://schemas.openxmlformats.org/officeDocument/2006/relationships/hyperlink" Target="https://us3.assetplanner.com/service_request?ID=098003" TargetMode="External"/><Relationship Id="rId200" Type="http://schemas.openxmlformats.org/officeDocument/2006/relationships/hyperlink" Target="https://us3.assetplanner.com/service_request?ID=098315" TargetMode="External"/><Relationship Id="rId16" Type="http://schemas.openxmlformats.org/officeDocument/2006/relationships/hyperlink" Target="https://us3.assetplanner.com/service_request?ID=093633" TargetMode="External"/><Relationship Id="rId221" Type="http://schemas.openxmlformats.org/officeDocument/2006/relationships/hyperlink" Target="https://us3.assetplanner.com/service_request?ID=099403" TargetMode="External"/><Relationship Id="rId37" Type="http://schemas.openxmlformats.org/officeDocument/2006/relationships/hyperlink" Target="https://us3.assetplanner.com/service_request?ID=099002"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097883" TargetMode="External"/><Relationship Id="rId102" Type="http://schemas.openxmlformats.org/officeDocument/2006/relationships/hyperlink" Target="https://us3.assetplanner.com/service_request?ID=098636" TargetMode="External"/><Relationship Id="rId123" Type="http://schemas.openxmlformats.org/officeDocument/2006/relationships/hyperlink" Target="https://us3.assetplanner.com/service_request?ID=092209" TargetMode="External"/><Relationship Id="rId144" Type="http://schemas.openxmlformats.org/officeDocument/2006/relationships/hyperlink" Target="https://us3.assetplanner.com/service_request?ID=098959" TargetMode="External"/><Relationship Id="rId90" Type="http://schemas.openxmlformats.org/officeDocument/2006/relationships/hyperlink" Target="https://us3.assetplanner.com/service_request?ID=098632" TargetMode="External"/><Relationship Id="rId165" Type="http://schemas.openxmlformats.org/officeDocument/2006/relationships/hyperlink" Target="https://us3.assetplanner.com/service_request?ID=099118" TargetMode="External"/><Relationship Id="rId186" Type="http://schemas.openxmlformats.org/officeDocument/2006/relationships/hyperlink" Target="https://us3.assetplanner.com/service_request?ID=098903" TargetMode="External"/><Relationship Id="rId211" Type="http://schemas.openxmlformats.org/officeDocument/2006/relationships/hyperlink" Target="https://us3.assetplanner.com/service_request?ID=098028" TargetMode="External"/><Relationship Id="rId27" Type="http://schemas.openxmlformats.org/officeDocument/2006/relationships/hyperlink" Target="https://us3.assetplanner.com/service_request?ID=096202" TargetMode="External"/><Relationship Id="rId48" Type="http://schemas.openxmlformats.org/officeDocument/2006/relationships/hyperlink" Target="https://us3.assetplanner.com/service_request?ID=098708" TargetMode="External"/><Relationship Id="rId69" Type="http://schemas.openxmlformats.org/officeDocument/2006/relationships/hyperlink" Target="https://us3.assetplanner.com/service_request?ID=097930" TargetMode="External"/><Relationship Id="rId113" Type="http://schemas.openxmlformats.org/officeDocument/2006/relationships/hyperlink" Target="https://us3.assetplanner.com/service_request?ID=098317" TargetMode="External"/><Relationship Id="rId134" Type="http://schemas.openxmlformats.org/officeDocument/2006/relationships/hyperlink" Target="https://us3.assetplanner.com/service_request?ID=097436" TargetMode="External"/><Relationship Id="rId80" Type="http://schemas.openxmlformats.org/officeDocument/2006/relationships/hyperlink" Target="https://us3.assetplanner.com/service_request?ID=098644" TargetMode="External"/><Relationship Id="rId155" Type="http://schemas.openxmlformats.org/officeDocument/2006/relationships/hyperlink" Target="https://us3.assetplanner.com/service_request?ID=096006" TargetMode="External"/><Relationship Id="rId176" Type="http://schemas.openxmlformats.org/officeDocument/2006/relationships/hyperlink" Target="https://us3.assetplanner.com/service_request?ID=095954" TargetMode="External"/><Relationship Id="rId197" Type="http://schemas.openxmlformats.org/officeDocument/2006/relationships/hyperlink" Target="https://us3.assetplanner.com/service_request?ID=098172" TargetMode="External"/><Relationship Id="rId201" Type="http://schemas.openxmlformats.org/officeDocument/2006/relationships/hyperlink" Target="https://us3.assetplanner.com/service_request?ID=098593" TargetMode="External"/><Relationship Id="rId17" Type="http://schemas.openxmlformats.org/officeDocument/2006/relationships/hyperlink" Target="https://us3.assetplanner.com/service_request?ID=086842" TargetMode="External"/><Relationship Id="rId38" Type="http://schemas.openxmlformats.org/officeDocument/2006/relationships/hyperlink" Target="https://us3.assetplanner.com/service_request?ID=098155" TargetMode="External"/><Relationship Id="rId59" Type="http://schemas.openxmlformats.org/officeDocument/2006/relationships/hyperlink" Target="https://us3.assetplanner.com/service_request?ID=098500" TargetMode="External"/><Relationship Id="rId103" Type="http://schemas.openxmlformats.org/officeDocument/2006/relationships/hyperlink" Target="https://us3.assetplanner.com/service_request?ID=097829" TargetMode="External"/><Relationship Id="rId124" Type="http://schemas.openxmlformats.org/officeDocument/2006/relationships/hyperlink" Target="https://us3.assetplanner.com/service_request?ID=092095" TargetMode="External"/><Relationship Id="rId70" Type="http://schemas.openxmlformats.org/officeDocument/2006/relationships/hyperlink" Target="https://us3.assetplanner.com/service_request?ID=098005" TargetMode="External"/><Relationship Id="rId91" Type="http://schemas.openxmlformats.org/officeDocument/2006/relationships/hyperlink" Target="https://us3.assetplanner.com/service_request?ID=098995" TargetMode="External"/><Relationship Id="rId145" Type="http://schemas.openxmlformats.org/officeDocument/2006/relationships/hyperlink" Target="https://us3.assetplanner.com/service_request?ID=098196" TargetMode="External"/><Relationship Id="rId166" Type="http://schemas.openxmlformats.org/officeDocument/2006/relationships/hyperlink" Target="https://us3.assetplanner.com/service_request?ID=098624" TargetMode="External"/><Relationship Id="rId187" Type="http://schemas.openxmlformats.org/officeDocument/2006/relationships/hyperlink" Target="https://us3.assetplanner.com/service_request?ID=095941" TargetMode="External"/><Relationship Id="rId1" Type="http://schemas.openxmlformats.org/officeDocument/2006/relationships/hyperlink" Target="https://us3.assetplanner.com/service_request?ID=094057" TargetMode="External"/><Relationship Id="rId212" Type="http://schemas.openxmlformats.org/officeDocument/2006/relationships/hyperlink" Target="https://us3.assetplanner.com/service_request?ID=098278" TargetMode="External"/><Relationship Id="rId28" Type="http://schemas.openxmlformats.org/officeDocument/2006/relationships/hyperlink" Target="https://us3.assetplanner.com/service_request?ID=098365" TargetMode="External"/><Relationship Id="rId49" Type="http://schemas.openxmlformats.org/officeDocument/2006/relationships/hyperlink" Target="https://us3.assetplanner.com/service_request?ID=098708" TargetMode="External"/><Relationship Id="rId114" Type="http://schemas.openxmlformats.org/officeDocument/2006/relationships/hyperlink" Target="https://us3.assetplanner.com/service_request?ID=09558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098891" TargetMode="External"/><Relationship Id="rId135" Type="http://schemas.openxmlformats.org/officeDocument/2006/relationships/hyperlink" Target="https://us3.assetplanner.com/service_request?ID=097751" TargetMode="External"/><Relationship Id="rId156" Type="http://schemas.openxmlformats.org/officeDocument/2006/relationships/hyperlink" Target="https://us3.assetplanner.com/service_request?ID=098692" TargetMode="External"/><Relationship Id="rId177" Type="http://schemas.openxmlformats.org/officeDocument/2006/relationships/hyperlink" Target="https://us3.assetplanner.com/service_request?ID=095951" TargetMode="External"/><Relationship Id="rId198" Type="http://schemas.openxmlformats.org/officeDocument/2006/relationships/hyperlink" Target="https://us3.assetplanner.com/service_request?ID=098251" TargetMode="External"/><Relationship Id="rId202" Type="http://schemas.openxmlformats.org/officeDocument/2006/relationships/hyperlink" Target="https://us3.assetplanner.com/service_request?ID=096257"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098987" TargetMode="External"/><Relationship Id="rId50" Type="http://schemas.openxmlformats.org/officeDocument/2006/relationships/hyperlink" Target="https://us3.assetplanner.com/service_request?ID=098869" TargetMode="External"/><Relationship Id="rId104" Type="http://schemas.openxmlformats.org/officeDocument/2006/relationships/hyperlink" Target="https://us3.assetplanner.com/service_request?ID=098637" TargetMode="External"/><Relationship Id="rId125" Type="http://schemas.openxmlformats.org/officeDocument/2006/relationships/hyperlink" Target="https://us3.assetplanner.com/service_request?ID=092255" TargetMode="External"/><Relationship Id="rId146" Type="http://schemas.openxmlformats.org/officeDocument/2006/relationships/hyperlink" Target="https://us3.assetplanner.com/service_request?ID=098275" TargetMode="External"/><Relationship Id="rId167" Type="http://schemas.openxmlformats.org/officeDocument/2006/relationships/hyperlink" Target="https://us3.assetplanner.com/service_request?ID=098733" TargetMode="External"/><Relationship Id="rId188" Type="http://schemas.openxmlformats.org/officeDocument/2006/relationships/hyperlink" Target="https://us3.assetplanner.com/service_request?ID=095940" TargetMode="External"/><Relationship Id="rId71" Type="http://schemas.openxmlformats.org/officeDocument/2006/relationships/hyperlink" Target="https://us3.assetplanner.com/service_request?ID=093436" TargetMode="External"/><Relationship Id="rId92" Type="http://schemas.openxmlformats.org/officeDocument/2006/relationships/hyperlink" Target="https://us3.assetplanner.com/service_request?ID=098731" TargetMode="External"/><Relationship Id="rId213" Type="http://schemas.openxmlformats.org/officeDocument/2006/relationships/hyperlink" Target="https://us3.assetplanner.com/service_request?ID=098029" TargetMode="External"/><Relationship Id="rId2" Type="http://schemas.openxmlformats.org/officeDocument/2006/relationships/hyperlink" Target="https://us3.assetplanner.com/service_request?ID=098069" TargetMode="External"/><Relationship Id="rId29" Type="http://schemas.openxmlformats.org/officeDocument/2006/relationships/hyperlink" Target="https://us3.assetplanner.com/service_request?ID=098781" TargetMode="External"/><Relationship Id="rId40" Type="http://schemas.openxmlformats.org/officeDocument/2006/relationships/hyperlink" Target="https://us3.assetplanner.com/service_request?ID=099130" TargetMode="External"/><Relationship Id="rId115" Type="http://schemas.openxmlformats.org/officeDocument/2006/relationships/hyperlink" Target="https://us3.assetplanner.com/service_request?ID=099162" TargetMode="External"/><Relationship Id="rId136" Type="http://schemas.openxmlformats.org/officeDocument/2006/relationships/hyperlink" Target="https://us3.assetplanner.com/service_request?ID=095821" TargetMode="External"/><Relationship Id="rId157" Type="http://schemas.openxmlformats.org/officeDocument/2006/relationships/hyperlink" Target="https://us3.assetplanner.com/service_request?ID=098627" TargetMode="External"/><Relationship Id="rId178" Type="http://schemas.openxmlformats.org/officeDocument/2006/relationships/hyperlink" Target="https://us3.assetplanner.com/service_request?ID=095960" TargetMode="External"/><Relationship Id="rId61" Type="http://schemas.openxmlformats.org/officeDocument/2006/relationships/hyperlink" Target="https://us3.assetplanner.com/service_request?ID=097603" TargetMode="External"/><Relationship Id="rId82" Type="http://schemas.openxmlformats.org/officeDocument/2006/relationships/hyperlink" Target="https://us3.assetplanner.com/service_request?ID=099054" TargetMode="External"/><Relationship Id="rId199" Type="http://schemas.openxmlformats.org/officeDocument/2006/relationships/hyperlink" Target="https://us3.assetplanner.com/service_request?ID=098665" TargetMode="External"/><Relationship Id="rId203" Type="http://schemas.openxmlformats.org/officeDocument/2006/relationships/hyperlink" Target="https://us3.assetplanner.com/service_request?ID=099018" TargetMode="External"/><Relationship Id="rId19" Type="http://schemas.openxmlformats.org/officeDocument/2006/relationships/hyperlink" Target="https://us3.assetplanner.com/service_request?ID=098958" TargetMode="External"/><Relationship Id="rId30" Type="http://schemas.openxmlformats.org/officeDocument/2006/relationships/hyperlink" Target="https://us3.assetplanner.com/service_request?ID=098781" TargetMode="External"/><Relationship Id="rId105" Type="http://schemas.openxmlformats.org/officeDocument/2006/relationships/hyperlink" Target="https://us3.assetplanner.com/service_request?ID=098643" TargetMode="External"/><Relationship Id="rId126" Type="http://schemas.openxmlformats.org/officeDocument/2006/relationships/hyperlink" Target="https://us3.assetplanner.com/service_request?ID=092751" TargetMode="External"/><Relationship Id="rId147" Type="http://schemas.openxmlformats.org/officeDocument/2006/relationships/hyperlink" Target="https://us3.assetplanner.com/service_request?ID=098655" TargetMode="External"/><Relationship Id="rId168" Type="http://schemas.openxmlformats.org/officeDocument/2006/relationships/hyperlink" Target="https://us3.assetplanner.com/service_request?ID=095945"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697" TargetMode="External"/><Relationship Id="rId21" Type="http://schemas.openxmlformats.org/officeDocument/2006/relationships/hyperlink" Target="https://us3.assetplanner.com/service_request?ID=099824" TargetMode="External"/><Relationship Id="rId42" Type="http://schemas.openxmlformats.org/officeDocument/2006/relationships/hyperlink" Target="https://us3.assetplanner.com/service_request?ID=099856" TargetMode="External"/><Relationship Id="rId63" Type="http://schemas.openxmlformats.org/officeDocument/2006/relationships/hyperlink" Target="https://us3.assetplanner.com/service_request?ID=100629" TargetMode="External"/><Relationship Id="rId84" Type="http://schemas.openxmlformats.org/officeDocument/2006/relationships/hyperlink" Target="https://us3.assetplanner.com/service_request?ID=100198" TargetMode="External"/><Relationship Id="rId138" Type="http://schemas.openxmlformats.org/officeDocument/2006/relationships/hyperlink" Target="https://us3.assetplanner.com/service_request?ID=099583" TargetMode="External"/><Relationship Id="rId159" Type="http://schemas.openxmlformats.org/officeDocument/2006/relationships/hyperlink" Target="https://us3.assetplanner.com/service_request?ID=100448" TargetMode="External"/><Relationship Id="rId170" Type="http://schemas.openxmlformats.org/officeDocument/2006/relationships/hyperlink" Target="https://us3.assetplanner.com/service_request?ID=096006" TargetMode="External"/><Relationship Id="rId191" Type="http://schemas.openxmlformats.org/officeDocument/2006/relationships/hyperlink" Target="https://us3.assetplanner.com/service_request?ID=099791" TargetMode="External"/><Relationship Id="rId205" Type="http://schemas.openxmlformats.org/officeDocument/2006/relationships/hyperlink" Target="https://us3.assetplanner.com/service_request?ID=097620" TargetMode="External"/><Relationship Id="rId226" Type="http://schemas.openxmlformats.org/officeDocument/2006/relationships/hyperlink" Target="https://us3.assetplanner.com/service_request?ID=098066" TargetMode="External"/><Relationship Id="rId107" Type="http://schemas.openxmlformats.org/officeDocument/2006/relationships/hyperlink" Target="https://us3.assetplanner.com/service_request?ID=095073" TargetMode="External"/><Relationship Id="rId11" Type="http://schemas.openxmlformats.org/officeDocument/2006/relationships/hyperlink" Target="https://us3.assetplanner.com/service_request?ID=098780" TargetMode="External"/><Relationship Id="rId32" Type="http://schemas.openxmlformats.org/officeDocument/2006/relationships/hyperlink" Target="https://us3.assetplanner.com/service_request?ID=098981" TargetMode="External"/><Relationship Id="rId53" Type="http://schemas.openxmlformats.org/officeDocument/2006/relationships/hyperlink" Target="https://us3.assetplanner.com/service_request?ID=100447" TargetMode="External"/><Relationship Id="rId74" Type="http://schemas.openxmlformats.org/officeDocument/2006/relationships/hyperlink" Target="https://us3.assetplanner.com/service_request?ID=099864" TargetMode="External"/><Relationship Id="rId128" Type="http://schemas.openxmlformats.org/officeDocument/2006/relationships/hyperlink" Target="https://us3.assetplanner.com/service_request?ID=088869" TargetMode="External"/><Relationship Id="rId149" Type="http://schemas.openxmlformats.org/officeDocument/2006/relationships/hyperlink" Target="https://us3.assetplanner.com/service_request?ID=099313" TargetMode="External"/><Relationship Id="rId5" Type="http://schemas.openxmlformats.org/officeDocument/2006/relationships/hyperlink" Target="https://us3.assetplanner.com/service_request?ID=099825" TargetMode="External"/><Relationship Id="rId95" Type="http://schemas.openxmlformats.org/officeDocument/2006/relationships/hyperlink" Target="https://us3.assetplanner.com/service_request?ID=098995" TargetMode="External"/><Relationship Id="rId160" Type="http://schemas.openxmlformats.org/officeDocument/2006/relationships/hyperlink" Target="https://us3.assetplanner.com/service_request?ID=100460" TargetMode="External"/><Relationship Id="rId181" Type="http://schemas.openxmlformats.org/officeDocument/2006/relationships/hyperlink" Target="https://us3.assetplanner.com/service_request?ID=099345" TargetMode="External"/><Relationship Id="rId216" Type="http://schemas.openxmlformats.org/officeDocument/2006/relationships/hyperlink" Target="https://us3.assetplanner.com/service_request?ID=100403" TargetMode="External"/><Relationship Id="rId237" Type="http://schemas.openxmlformats.org/officeDocument/2006/relationships/hyperlink" Target="https://us3.assetplanner.com/service_request?ID=099770" TargetMode="External"/><Relationship Id="rId22" Type="http://schemas.openxmlformats.org/officeDocument/2006/relationships/hyperlink" Target="https://us3.assetplanner.com/service_request?ID=099648" TargetMode="External"/><Relationship Id="rId43" Type="http://schemas.openxmlformats.org/officeDocument/2006/relationships/hyperlink" Target="https://us3.assetplanner.com/service_request?ID=093326" TargetMode="External"/><Relationship Id="rId64" Type="http://schemas.openxmlformats.org/officeDocument/2006/relationships/hyperlink" Target="https://us3.assetplanner.com/service_request?ID=093024" TargetMode="External"/><Relationship Id="rId118" Type="http://schemas.openxmlformats.org/officeDocument/2006/relationships/hyperlink" Target="https://us3.assetplanner.com/service_request?ID=100139" TargetMode="External"/><Relationship Id="rId139" Type="http://schemas.openxmlformats.org/officeDocument/2006/relationships/hyperlink" Target="https://us3.assetplanner.com/service_request?ID=095531" TargetMode="External"/><Relationship Id="rId85" Type="http://schemas.openxmlformats.org/officeDocument/2006/relationships/hyperlink" Target="https://us3.assetplanner.com/service_request?ID=100038" TargetMode="External"/><Relationship Id="rId150" Type="http://schemas.openxmlformats.org/officeDocument/2006/relationships/hyperlink" Target="https://us3.assetplanner.com/service_request?ID=100032" TargetMode="External"/><Relationship Id="rId171" Type="http://schemas.openxmlformats.org/officeDocument/2006/relationships/hyperlink" Target="https://us3.assetplanner.com/service_request?ID=099916" TargetMode="External"/><Relationship Id="rId192" Type="http://schemas.openxmlformats.org/officeDocument/2006/relationships/hyperlink" Target="https://us3.assetplanner.com/service_request?ID=098264" TargetMode="External"/><Relationship Id="rId206" Type="http://schemas.openxmlformats.org/officeDocument/2006/relationships/hyperlink" Target="https://us3.assetplanner.com/service_request?ID=098602" TargetMode="External"/><Relationship Id="rId227"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0160" TargetMode="External"/><Relationship Id="rId33" Type="http://schemas.openxmlformats.org/officeDocument/2006/relationships/hyperlink" Target="https://us3.assetplanner.com/service_request?ID=098365" TargetMode="External"/><Relationship Id="rId108" Type="http://schemas.openxmlformats.org/officeDocument/2006/relationships/hyperlink" Target="https://us3.assetplanner.com/service_request?ID=099072" TargetMode="External"/><Relationship Id="rId129" Type="http://schemas.openxmlformats.org/officeDocument/2006/relationships/hyperlink" Target="https://us3.assetplanner.com/service_request?ID=092209" TargetMode="External"/><Relationship Id="rId54" Type="http://schemas.openxmlformats.org/officeDocument/2006/relationships/hyperlink" Target="https://us3.assetplanner.com/service_request?ID=100604" TargetMode="External"/><Relationship Id="rId75" Type="http://schemas.openxmlformats.org/officeDocument/2006/relationships/hyperlink" Target="https://us3.assetplanner.com/service_request?ID=100426" TargetMode="External"/><Relationship Id="rId96" Type="http://schemas.openxmlformats.org/officeDocument/2006/relationships/hyperlink" Target="https://us3.assetplanner.com/service_request?ID=100154" TargetMode="External"/><Relationship Id="rId140" Type="http://schemas.openxmlformats.org/officeDocument/2006/relationships/hyperlink" Target="https://us3.assetplanner.com/service_request?ID=098776" TargetMode="External"/><Relationship Id="rId161" Type="http://schemas.openxmlformats.org/officeDocument/2006/relationships/hyperlink" Target="https://us3.assetplanner.com/service_request?ID=095624" TargetMode="External"/><Relationship Id="rId182" Type="http://schemas.openxmlformats.org/officeDocument/2006/relationships/hyperlink" Target="https://us3.assetplanner.com/service_request?ID=100252" TargetMode="External"/><Relationship Id="rId217" Type="http://schemas.openxmlformats.org/officeDocument/2006/relationships/hyperlink" Target="https://us3.assetplanner.com/service_request?ID=097816" TargetMode="External"/><Relationship Id="rId6" Type="http://schemas.openxmlformats.org/officeDocument/2006/relationships/hyperlink" Target="https://us3.assetplanner.com/service_request?ID=099666" TargetMode="External"/><Relationship Id="rId238" Type="http://schemas.openxmlformats.org/officeDocument/2006/relationships/hyperlink" Target="https://us3.assetplanner.com/service_request?ID=099595" TargetMode="External"/><Relationship Id="rId23" Type="http://schemas.openxmlformats.org/officeDocument/2006/relationships/hyperlink" Target="https://us3.assetplanner.com/service_request?ID=093196" TargetMode="External"/><Relationship Id="rId119" Type="http://schemas.openxmlformats.org/officeDocument/2006/relationships/hyperlink" Target="https://us3.assetplanner.com/service_request?ID=100110" TargetMode="External"/><Relationship Id="rId44" Type="http://schemas.openxmlformats.org/officeDocument/2006/relationships/hyperlink" Target="https://us3.assetplanner.com/service_request?ID=095662" TargetMode="External"/><Relationship Id="rId65" Type="http://schemas.openxmlformats.org/officeDocument/2006/relationships/hyperlink" Target="https://us3.assetplanner.com/service_request?ID=098866" TargetMode="External"/><Relationship Id="rId86" Type="http://schemas.openxmlformats.org/officeDocument/2006/relationships/hyperlink" Target="https://us3.assetplanner.com/service_request?ID=100212" TargetMode="External"/><Relationship Id="rId130" Type="http://schemas.openxmlformats.org/officeDocument/2006/relationships/hyperlink" Target="https://us3.assetplanner.com/service_request?ID=092095" TargetMode="External"/><Relationship Id="rId151" Type="http://schemas.openxmlformats.org/officeDocument/2006/relationships/hyperlink" Target="https://us3.assetplanner.com/service_request?ID=098959" TargetMode="External"/><Relationship Id="rId172" Type="http://schemas.openxmlformats.org/officeDocument/2006/relationships/hyperlink" Target="https://us3.assetplanner.com/service_request?ID=098692" TargetMode="External"/><Relationship Id="rId193" Type="http://schemas.openxmlformats.org/officeDocument/2006/relationships/hyperlink" Target="https://us3.assetplanner.com/service_request?ID=095956" TargetMode="External"/><Relationship Id="rId207" Type="http://schemas.openxmlformats.org/officeDocument/2006/relationships/hyperlink" Target="https://us3.assetplanner.com/service_request?ID=100220" TargetMode="External"/><Relationship Id="rId228" Type="http://schemas.openxmlformats.org/officeDocument/2006/relationships/hyperlink" Target="https://us3.assetplanner.com/service_request?ID=099715" TargetMode="External"/><Relationship Id="rId13" Type="http://schemas.openxmlformats.org/officeDocument/2006/relationships/hyperlink" Target="https://us3.assetplanner.com/service_request?ID=093028" TargetMode="External"/><Relationship Id="rId109" Type="http://schemas.openxmlformats.org/officeDocument/2006/relationships/hyperlink" Target="https://us3.assetplanner.com/service_request?ID=099343" TargetMode="External"/><Relationship Id="rId34" Type="http://schemas.openxmlformats.org/officeDocument/2006/relationships/hyperlink" Target="https://us3.assetplanner.com/service_request?ID=100362" TargetMode="External"/><Relationship Id="rId55" Type="http://schemas.openxmlformats.org/officeDocument/2006/relationships/hyperlink" Target="https://us3.assetplanner.com/service_request?ID=099149" TargetMode="External"/><Relationship Id="rId76" Type="http://schemas.openxmlformats.org/officeDocument/2006/relationships/hyperlink" Target="https://us3.assetplanner.com/service_request?ID=099490" TargetMode="External"/><Relationship Id="rId97" Type="http://schemas.openxmlformats.org/officeDocument/2006/relationships/hyperlink" Target="https://us3.assetplanner.com/service_request?ID=095109" TargetMode="External"/><Relationship Id="rId120" Type="http://schemas.openxmlformats.org/officeDocument/2006/relationships/hyperlink" Target="https://us3.assetplanner.com/service_request?ID=099312" TargetMode="External"/><Relationship Id="rId141" Type="http://schemas.openxmlformats.org/officeDocument/2006/relationships/hyperlink" Target="https://us3.assetplanner.com/service_request?ID=099656" TargetMode="External"/><Relationship Id="rId7" Type="http://schemas.openxmlformats.org/officeDocument/2006/relationships/hyperlink" Target="https://us3.assetplanner.com/service_request?ID=098310" TargetMode="External"/><Relationship Id="rId162" Type="http://schemas.openxmlformats.org/officeDocument/2006/relationships/hyperlink" Target="https://us3.assetplanner.com/service_request?ID=097725" TargetMode="External"/><Relationship Id="rId183" Type="http://schemas.openxmlformats.org/officeDocument/2006/relationships/hyperlink" Target="https://us3.assetplanner.com/service_request?ID=099977" TargetMode="External"/><Relationship Id="rId218" Type="http://schemas.openxmlformats.org/officeDocument/2006/relationships/hyperlink" Target="https://us3.assetplanner.com/service_request?ID=099736" TargetMode="External"/><Relationship Id="rId239" Type="http://schemas.openxmlformats.org/officeDocument/2006/relationships/hyperlink" Target="https://us3.assetplanner.com/service_request?ID=099946" TargetMode="External"/><Relationship Id="rId24" Type="http://schemas.openxmlformats.org/officeDocument/2006/relationships/hyperlink" Target="https://us3.assetplanner.com/service_request?ID=100035" TargetMode="External"/><Relationship Id="rId45" Type="http://schemas.openxmlformats.org/officeDocument/2006/relationships/hyperlink" Target="https://us3.assetplanner.com/service_request?ID=100434" TargetMode="External"/><Relationship Id="rId66" Type="http://schemas.openxmlformats.org/officeDocument/2006/relationships/hyperlink" Target="https://us3.assetplanner.com/service_request?ID=098998" TargetMode="External"/><Relationship Id="rId87" Type="http://schemas.openxmlformats.org/officeDocument/2006/relationships/hyperlink" Target="https://us3.assetplanner.com/service_request?ID=10054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2255" TargetMode="External"/><Relationship Id="rId152" Type="http://schemas.openxmlformats.org/officeDocument/2006/relationships/hyperlink" Target="https://us3.assetplanner.com/service_request?ID=099387" TargetMode="External"/><Relationship Id="rId173" Type="http://schemas.openxmlformats.org/officeDocument/2006/relationships/hyperlink" Target="https://us3.assetplanner.com/service_request?ID=094820" TargetMode="External"/><Relationship Id="rId194" Type="http://schemas.openxmlformats.org/officeDocument/2006/relationships/hyperlink" Target="https://us3.assetplanner.com/service_request?ID=099791" TargetMode="External"/><Relationship Id="rId208" Type="http://schemas.openxmlformats.org/officeDocument/2006/relationships/hyperlink" Target="https://us3.assetplanner.com/service_request?ID=098665" TargetMode="External"/><Relationship Id="rId229" Type="http://schemas.openxmlformats.org/officeDocument/2006/relationships/hyperlink" Target="https://us3.assetplanner.com/service_request?ID=099788" TargetMode="External"/><Relationship Id="rId240" Type="http://schemas.openxmlformats.org/officeDocument/2006/relationships/hyperlink" Target="https://us3.assetplanner.com/service_request?ID=100462" TargetMode="External"/><Relationship Id="rId14" Type="http://schemas.openxmlformats.org/officeDocument/2006/relationships/hyperlink" Target="https://us3.assetplanner.com/service_request?ID=093047" TargetMode="External"/><Relationship Id="rId35" Type="http://schemas.openxmlformats.org/officeDocument/2006/relationships/hyperlink" Target="https://us3.assetplanner.com/service_request?ID=100496" TargetMode="External"/><Relationship Id="rId56" Type="http://schemas.openxmlformats.org/officeDocument/2006/relationships/hyperlink" Target="https://us3.assetplanner.com/service_request?ID=099576" TargetMode="External"/><Relationship Id="rId77" Type="http://schemas.openxmlformats.org/officeDocument/2006/relationships/hyperlink" Target="https://us3.assetplanner.com/service_request?ID=099828" TargetMode="External"/><Relationship Id="rId100" Type="http://schemas.openxmlformats.org/officeDocument/2006/relationships/hyperlink" Target="https://us3.assetplanner.com/service_request?ID=100162" TargetMode="External"/><Relationship Id="rId8" Type="http://schemas.openxmlformats.org/officeDocument/2006/relationships/hyperlink" Target="https://us3.assetplanner.com/service_request?ID=099126" TargetMode="External"/><Relationship Id="rId98" Type="http://schemas.openxmlformats.org/officeDocument/2006/relationships/hyperlink" Target="https://us3.assetplanner.com/service_request?ID=099284" TargetMode="External"/><Relationship Id="rId121" Type="http://schemas.openxmlformats.org/officeDocument/2006/relationships/hyperlink" Target="https://us3.assetplanner.com/service_request?ID=092332" TargetMode="External"/><Relationship Id="rId142" Type="http://schemas.openxmlformats.org/officeDocument/2006/relationships/hyperlink" Target="https://us3.assetplanner.com/service_request?ID=100042" TargetMode="External"/><Relationship Id="rId163" Type="http://schemas.openxmlformats.org/officeDocument/2006/relationships/hyperlink" Target="https://us3.assetplanner.com/service_request?ID=099393" TargetMode="External"/><Relationship Id="rId184" Type="http://schemas.openxmlformats.org/officeDocument/2006/relationships/hyperlink" Target="https://us3.assetplanner.com/service_request?ID=098724" TargetMode="External"/><Relationship Id="rId219" Type="http://schemas.openxmlformats.org/officeDocument/2006/relationships/hyperlink" Target="https://us3.assetplanner.com/service_request?ID=097600" TargetMode="External"/><Relationship Id="rId230" Type="http://schemas.openxmlformats.org/officeDocument/2006/relationships/hyperlink" Target="https://us3.assetplanner.com/service_request?ID=099974" TargetMode="External"/><Relationship Id="rId25" Type="http://schemas.openxmlformats.org/officeDocument/2006/relationships/hyperlink" Target="https://us3.assetplanner.com/service_request?ID=100481" TargetMode="External"/><Relationship Id="rId46" Type="http://schemas.openxmlformats.org/officeDocument/2006/relationships/hyperlink" Target="https://us3.assetplanner.com/service_request?ID=098313" TargetMode="External"/><Relationship Id="rId67" Type="http://schemas.openxmlformats.org/officeDocument/2006/relationships/hyperlink" Target="https://us3.assetplanner.com/service_request?ID=099911" TargetMode="External"/><Relationship Id="rId88" Type="http://schemas.openxmlformats.org/officeDocument/2006/relationships/hyperlink" Target="https://us3.assetplanner.com/service_request?ID=100674" TargetMode="External"/><Relationship Id="rId111" Type="http://schemas.openxmlformats.org/officeDocument/2006/relationships/hyperlink" Target="https://us3.assetplanner.com/service_request?ID=095581" TargetMode="External"/><Relationship Id="rId132" Type="http://schemas.openxmlformats.org/officeDocument/2006/relationships/hyperlink" Target="https://us3.assetplanner.com/service_request?ID=092751" TargetMode="External"/><Relationship Id="rId153" Type="http://schemas.openxmlformats.org/officeDocument/2006/relationships/hyperlink" Target="https://us3.assetplanner.com/service_request?ID=099967" TargetMode="External"/><Relationship Id="rId174" Type="http://schemas.openxmlformats.org/officeDocument/2006/relationships/hyperlink" Target="https://us3.assetplanner.com/service_request?ID=099686" TargetMode="External"/><Relationship Id="rId195" Type="http://schemas.openxmlformats.org/officeDocument/2006/relationships/hyperlink" Target="https://us3.assetplanner.com/service_request?ID=099792" TargetMode="External"/><Relationship Id="rId209" Type="http://schemas.openxmlformats.org/officeDocument/2006/relationships/hyperlink" Target="https://us3.assetplanner.com/service_request?ID=099161" TargetMode="External"/><Relationship Id="rId220" Type="http://schemas.openxmlformats.org/officeDocument/2006/relationships/hyperlink" Target="https://us3.assetplanner.com/service_request?ID=100609" TargetMode="External"/><Relationship Id="rId241" Type="http://schemas.openxmlformats.org/officeDocument/2006/relationships/hyperlink" Target="https://us3.assetplanner.com/service_request?ID=100662" TargetMode="External"/><Relationship Id="rId15" Type="http://schemas.openxmlformats.org/officeDocument/2006/relationships/hyperlink" Target="https://us3.assetplanner.com/service_request?ID=097569" TargetMode="External"/><Relationship Id="rId36" Type="http://schemas.openxmlformats.org/officeDocument/2006/relationships/hyperlink" Target="https://us3.assetplanner.com/service_request?ID=088813" TargetMode="External"/><Relationship Id="rId57" Type="http://schemas.openxmlformats.org/officeDocument/2006/relationships/hyperlink" Target="https://us3.assetplanner.com/service_request?ID=100361" TargetMode="External"/><Relationship Id="rId106" Type="http://schemas.openxmlformats.org/officeDocument/2006/relationships/hyperlink" Target="https://us3.assetplanner.com/service_request?ID=100241" TargetMode="External"/><Relationship Id="rId127" Type="http://schemas.openxmlformats.org/officeDocument/2006/relationships/hyperlink" Target="https://us3.assetplanner.com/service_request?ID=100627" TargetMode="External"/><Relationship Id="rId10" Type="http://schemas.openxmlformats.org/officeDocument/2006/relationships/hyperlink" Target="https://us3.assetplanner.com/service_request?ID=092556" TargetMode="External"/><Relationship Id="rId31" Type="http://schemas.openxmlformats.org/officeDocument/2006/relationships/hyperlink" Target="https://us3.assetplanner.com/service_request?ID=093236" TargetMode="External"/><Relationship Id="rId52" Type="http://schemas.openxmlformats.org/officeDocument/2006/relationships/hyperlink" Target="https://us3.assetplanner.com/service_request?ID=099427" TargetMode="External"/><Relationship Id="rId73" Type="http://schemas.openxmlformats.org/officeDocument/2006/relationships/hyperlink" Target="https://us3.assetplanner.com/service_request?ID=099864" TargetMode="External"/><Relationship Id="rId78" Type="http://schemas.openxmlformats.org/officeDocument/2006/relationships/hyperlink" Target="https://us3.assetplanner.com/service_request?ID=100395" TargetMode="External"/><Relationship Id="rId94" Type="http://schemas.openxmlformats.org/officeDocument/2006/relationships/hyperlink" Target="https://us3.assetplanner.com/service_request?ID=100152" TargetMode="External"/><Relationship Id="rId99" Type="http://schemas.openxmlformats.org/officeDocument/2006/relationships/hyperlink" Target="https://us3.assetplanner.com/service_request?ID=100161" TargetMode="External"/><Relationship Id="rId101" Type="http://schemas.openxmlformats.org/officeDocument/2006/relationships/hyperlink" Target="https://us3.assetplanner.com/service_request?ID=099690" TargetMode="External"/><Relationship Id="rId122" Type="http://schemas.openxmlformats.org/officeDocument/2006/relationships/hyperlink" Target="https://us3.assetplanner.com/service_request?ID=095649" TargetMode="External"/><Relationship Id="rId143" Type="http://schemas.openxmlformats.org/officeDocument/2006/relationships/hyperlink" Target="https://us3.assetplanner.com/service_request?ID=100303" TargetMode="External"/><Relationship Id="rId148" Type="http://schemas.openxmlformats.org/officeDocument/2006/relationships/hyperlink" Target="https://us3.assetplanner.com/service_request?ID=100400" TargetMode="External"/><Relationship Id="rId164" Type="http://schemas.openxmlformats.org/officeDocument/2006/relationships/hyperlink" Target="https://us3.assetplanner.com/service_request?ID=099740" TargetMode="External"/><Relationship Id="rId169" Type="http://schemas.openxmlformats.org/officeDocument/2006/relationships/hyperlink" Target="https://us3.assetplanner.com/service_request?ID=100652" TargetMode="External"/><Relationship Id="rId185" Type="http://schemas.openxmlformats.org/officeDocument/2006/relationships/hyperlink" Target="https://us3.assetplanner.com/service_request?ID=097637" TargetMode="External"/><Relationship Id="rId4" Type="http://schemas.openxmlformats.org/officeDocument/2006/relationships/hyperlink" Target="https://us3.assetplanner.com/service_request?ID=099958" TargetMode="External"/><Relationship Id="rId9" Type="http://schemas.openxmlformats.org/officeDocument/2006/relationships/hyperlink" Target="https://us3.assetplanner.com/service_request?ID=099310" TargetMode="External"/><Relationship Id="rId180" Type="http://schemas.openxmlformats.org/officeDocument/2006/relationships/hyperlink" Target="https://us3.assetplanner.com/service_request?ID=099466" TargetMode="External"/><Relationship Id="rId210" Type="http://schemas.openxmlformats.org/officeDocument/2006/relationships/hyperlink" Target="https://us3.assetplanner.com/service_request?ID=098315" TargetMode="External"/><Relationship Id="rId215" Type="http://schemas.openxmlformats.org/officeDocument/2006/relationships/hyperlink" Target="https://us3.assetplanner.com/service_request?ID=099543" TargetMode="External"/><Relationship Id="rId236" Type="http://schemas.openxmlformats.org/officeDocument/2006/relationships/hyperlink" Target="https://us3.assetplanner.com/service_request?ID=100729" TargetMode="External"/><Relationship Id="rId26" Type="http://schemas.openxmlformats.org/officeDocument/2006/relationships/hyperlink" Target="https://us3.assetplanner.com/service_request?ID=093306" TargetMode="External"/><Relationship Id="rId231" Type="http://schemas.openxmlformats.org/officeDocument/2006/relationships/hyperlink" Target="https://us3.assetplanner.com/service_request?ID=099473" TargetMode="External"/><Relationship Id="rId47" Type="http://schemas.openxmlformats.org/officeDocument/2006/relationships/hyperlink" Target="https://us3.assetplanner.com/service_request?ID=099293" TargetMode="External"/><Relationship Id="rId68" Type="http://schemas.openxmlformats.org/officeDocument/2006/relationships/hyperlink" Target="https://us3.assetplanner.com/service_request?ID=092964" TargetMode="External"/><Relationship Id="rId89" Type="http://schemas.openxmlformats.org/officeDocument/2006/relationships/hyperlink" Target="https://us3.assetplanner.com/service_request?ID=099129" TargetMode="External"/><Relationship Id="rId112" Type="http://schemas.openxmlformats.org/officeDocument/2006/relationships/hyperlink" Target="https://us3.assetplanner.com/service_request?ID=100622" TargetMode="External"/><Relationship Id="rId133" Type="http://schemas.openxmlformats.org/officeDocument/2006/relationships/hyperlink" Target="https://us3.assetplanner.com/service_request?ID=099423" TargetMode="External"/><Relationship Id="rId154" Type="http://schemas.openxmlformats.org/officeDocument/2006/relationships/hyperlink" Target="https://us3.assetplanner.com/service_request?ID=100101" TargetMode="External"/><Relationship Id="rId175" Type="http://schemas.openxmlformats.org/officeDocument/2006/relationships/hyperlink" Target="https://us3.assetplanner.com/service_request?ID=099386" TargetMode="External"/><Relationship Id="rId196" Type="http://schemas.openxmlformats.org/officeDocument/2006/relationships/hyperlink" Target="https://us3.assetplanner.com/service_request?ID=099793" TargetMode="External"/><Relationship Id="rId200" Type="http://schemas.openxmlformats.org/officeDocument/2006/relationships/hyperlink" Target="https://us3.assetplanner.com/service_request?ID=098413" TargetMode="External"/><Relationship Id="rId16" Type="http://schemas.openxmlformats.org/officeDocument/2006/relationships/hyperlink" Target="https://us3.assetplanner.com/service_request?ID=093291" TargetMode="External"/><Relationship Id="rId221" Type="http://schemas.openxmlformats.org/officeDocument/2006/relationships/hyperlink" Target="https://us3.assetplanner.com/service_request?ID=098278" TargetMode="External"/><Relationship Id="rId37" Type="http://schemas.openxmlformats.org/officeDocument/2006/relationships/hyperlink" Target="https://us3.assetplanner.com/service_request?ID=093324" TargetMode="External"/><Relationship Id="rId58" Type="http://schemas.openxmlformats.org/officeDocument/2006/relationships/hyperlink" Target="https://us3.assetplanner.com/service_request?ID=100623" TargetMode="External"/><Relationship Id="rId79" Type="http://schemas.openxmlformats.org/officeDocument/2006/relationships/hyperlink" Target="https://us3.assetplanner.com/service_request?ID=100721" TargetMode="External"/><Relationship Id="rId102" Type="http://schemas.openxmlformats.org/officeDocument/2006/relationships/hyperlink" Target="https://us3.assetplanner.com/service_request?ID=099687" TargetMode="External"/><Relationship Id="rId123" Type="http://schemas.openxmlformats.org/officeDocument/2006/relationships/hyperlink" Target="https://us3.assetplanner.com/service_request?ID=098883" TargetMode="External"/><Relationship Id="rId144" Type="http://schemas.openxmlformats.org/officeDocument/2006/relationships/hyperlink" Target="https://us3.assetplanner.com/service_request?ID=100429" TargetMode="External"/><Relationship Id="rId90" Type="http://schemas.openxmlformats.org/officeDocument/2006/relationships/hyperlink" Target="https://us3.assetplanner.com/service_request?ID=099351" TargetMode="External"/><Relationship Id="rId165" Type="http://schemas.openxmlformats.org/officeDocument/2006/relationships/hyperlink" Target="https://us3.assetplanner.com/service_request?ID=100471" TargetMode="External"/><Relationship Id="rId186" Type="http://schemas.openxmlformats.org/officeDocument/2006/relationships/hyperlink" Target="https://us3.assetplanner.com/service_request?ID=098293" TargetMode="External"/><Relationship Id="rId211" Type="http://schemas.openxmlformats.org/officeDocument/2006/relationships/hyperlink" Target="https://us3.assetplanner.com/service_request?ID=099018" TargetMode="External"/><Relationship Id="rId232" Type="http://schemas.openxmlformats.org/officeDocument/2006/relationships/hyperlink" Target="https://us3.assetplanner.com/service_request?ID=099014" TargetMode="External"/><Relationship Id="rId27" Type="http://schemas.openxmlformats.org/officeDocument/2006/relationships/hyperlink" Target="https://us3.assetplanner.com/service_request?ID=099539" TargetMode="External"/><Relationship Id="rId48" Type="http://schemas.openxmlformats.org/officeDocument/2006/relationships/hyperlink" Target="https://us3.assetplanner.com/service_request?ID=100141" TargetMode="External"/><Relationship Id="rId69" Type="http://schemas.openxmlformats.org/officeDocument/2006/relationships/hyperlink" Target="https://us3.assetplanner.com/service_request?ID=097603" TargetMode="External"/><Relationship Id="rId113" Type="http://schemas.openxmlformats.org/officeDocument/2006/relationships/hyperlink" Target="https://us3.assetplanner.com/service_request?ID=099162" TargetMode="External"/><Relationship Id="rId134" Type="http://schemas.openxmlformats.org/officeDocument/2006/relationships/hyperlink" Target="https://us3.assetplanner.com/service_request?ID=099894" TargetMode="External"/><Relationship Id="rId80" Type="http://schemas.openxmlformats.org/officeDocument/2006/relationships/hyperlink" Target="https://us3.assetplanner.com/service_request?ID=099418" TargetMode="External"/><Relationship Id="rId155" Type="http://schemas.openxmlformats.org/officeDocument/2006/relationships/hyperlink" Target="https://us3.assetplanner.com/service_request?ID=098626" TargetMode="External"/><Relationship Id="rId176" Type="http://schemas.openxmlformats.org/officeDocument/2006/relationships/hyperlink" Target="https://us3.assetplanner.com/service_request?ID=099385" TargetMode="External"/><Relationship Id="rId197" Type="http://schemas.openxmlformats.org/officeDocument/2006/relationships/hyperlink" Target="https://us3.assetplanner.com/service_request?ID=100524" TargetMode="External"/><Relationship Id="rId201" Type="http://schemas.openxmlformats.org/officeDocument/2006/relationships/hyperlink" Target="https://us3.assetplanner.com/service_request?ID=098490" TargetMode="External"/><Relationship Id="rId222"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093633" TargetMode="External"/><Relationship Id="rId38" Type="http://schemas.openxmlformats.org/officeDocument/2006/relationships/hyperlink" Target="https://us3.assetplanner.com/service_request?ID=099970" TargetMode="External"/><Relationship Id="rId59" Type="http://schemas.openxmlformats.org/officeDocument/2006/relationships/hyperlink" Target="https://us3.assetplanner.com/service_request?ID=093972" TargetMode="External"/><Relationship Id="rId103" Type="http://schemas.openxmlformats.org/officeDocument/2006/relationships/hyperlink" Target="https://us3.assetplanner.com/service_request?ID=100044" TargetMode="External"/><Relationship Id="rId124" Type="http://schemas.openxmlformats.org/officeDocument/2006/relationships/hyperlink" Target="https://us3.assetplanner.com/service_request?ID=098311" TargetMode="External"/><Relationship Id="rId70" Type="http://schemas.openxmlformats.org/officeDocument/2006/relationships/hyperlink" Target="https://us3.assetplanner.com/service_request?ID=098877" TargetMode="External"/><Relationship Id="rId91" Type="http://schemas.openxmlformats.org/officeDocument/2006/relationships/hyperlink" Target="https://us3.assetplanner.com/service_request?ID=100013" TargetMode="External"/><Relationship Id="rId145" Type="http://schemas.openxmlformats.org/officeDocument/2006/relationships/hyperlink" Target="https://us3.assetplanner.com/service_request?ID=095821" TargetMode="External"/><Relationship Id="rId166" Type="http://schemas.openxmlformats.org/officeDocument/2006/relationships/hyperlink" Target="https://us3.assetplanner.com/service_request?ID=096042" TargetMode="External"/><Relationship Id="rId187"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5305" TargetMode="External"/><Relationship Id="rId212" Type="http://schemas.openxmlformats.org/officeDocument/2006/relationships/hyperlink" Target="https://us3.assetplanner.com/service_request?ID=099951" TargetMode="External"/><Relationship Id="rId233" Type="http://schemas.openxmlformats.org/officeDocument/2006/relationships/hyperlink" Target="https://us3.assetplanner.com/service_request?ID=099881" TargetMode="External"/><Relationship Id="rId28" Type="http://schemas.openxmlformats.org/officeDocument/2006/relationships/hyperlink" Target="https://us3.assetplanner.com/service_request?ID=099754" TargetMode="External"/><Relationship Id="rId49" Type="http://schemas.openxmlformats.org/officeDocument/2006/relationships/hyperlink" Target="https://us3.assetplanner.com/service_request?ID=098987" TargetMode="External"/><Relationship Id="rId114" Type="http://schemas.openxmlformats.org/officeDocument/2006/relationships/hyperlink" Target="https://us3.assetplanner.com/service_request?ID=100771" TargetMode="External"/><Relationship Id="rId60" Type="http://schemas.openxmlformats.org/officeDocument/2006/relationships/hyperlink" Target="https://us3.assetplanner.com/service_request?ID=098708" TargetMode="External"/><Relationship Id="rId81" Type="http://schemas.openxmlformats.org/officeDocument/2006/relationships/hyperlink" Target="https://us3.assetplanner.com/service_request?ID=100197" TargetMode="External"/><Relationship Id="rId135" Type="http://schemas.openxmlformats.org/officeDocument/2006/relationships/hyperlink" Target="https://us3.assetplanner.com/service_request?ID=100458" TargetMode="External"/><Relationship Id="rId156" Type="http://schemas.openxmlformats.org/officeDocument/2006/relationships/hyperlink" Target="https://us3.assetplanner.com/service_request?ID=098559" TargetMode="External"/><Relationship Id="rId177" Type="http://schemas.openxmlformats.org/officeDocument/2006/relationships/hyperlink" Target="https://us3.assetplanner.com/service_request?ID=098860" TargetMode="External"/><Relationship Id="rId198" Type="http://schemas.openxmlformats.org/officeDocument/2006/relationships/hyperlink" Target="https://us3.assetplanner.com/service_request?ID=100036" TargetMode="External"/><Relationship Id="rId202" Type="http://schemas.openxmlformats.org/officeDocument/2006/relationships/hyperlink" Target="https://us3.assetplanner.com/service_request?ID=099138" TargetMode="External"/><Relationship Id="rId223" Type="http://schemas.openxmlformats.org/officeDocument/2006/relationships/hyperlink" Target="https://us3.assetplanner.com/service_request?ID=099416" TargetMode="External"/><Relationship Id="rId18" Type="http://schemas.openxmlformats.org/officeDocument/2006/relationships/hyperlink" Target="https://us3.assetplanner.com/service_request?ID=086842" TargetMode="External"/><Relationship Id="rId39" Type="http://schemas.openxmlformats.org/officeDocument/2006/relationships/hyperlink" Target="https://us3.assetplanner.com/service_request?ID=099971" TargetMode="External"/><Relationship Id="rId50" Type="http://schemas.openxmlformats.org/officeDocument/2006/relationships/hyperlink" Target="https://us3.assetplanner.com/service_request?ID=098641" TargetMode="External"/><Relationship Id="rId104" Type="http://schemas.openxmlformats.org/officeDocument/2006/relationships/hyperlink" Target="https://us3.assetplanner.com/service_request?ID=099146" TargetMode="External"/><Relationship Id="rId125" Type="http://schemas.openxmlformats.org/officeDocument/2006/relationships/hyperlink" Target="https://us3.assetplanner.com/service_request?ID=099895" TargetMode="External"/><Relationship Id="rId146" Type="http://schemas.openxmlformats.org/officeDocument/2006/relationships/hyperlink" Target="https://us3.assetplanner.com/service_request?ID=099986" TargetMode="External"/><Relationship Id="rId167" Type="http://schemas.openxmlformats.org/officeDocument/2006/relationships/hyperlink" Target="https://us3.assetplanner.com/service_request?ID=099324" TargetMode="External"/><Relationship Id="rId188" Type="http://schemas.openxmlformats.org/officeDocument/2006/relationships/hyperlink" Target="https://us3.assetplanner.com/service_request?ID=095954" TargetMode="External"/><Relationship Id="rId71" Type="http://schemas.openxmlformats.org/officeDocument/2006/relationships/hyperlink" Target="https://us3.assetplanner.com/service_request?ID=099353" TargetMode="External"/><Relationship Id="rId92" Type="http://schemas.openxmlformats.org/officeDocument/2006/relationships/hyperlink" Target="https://us3.assetplanner.com/service_request?ID=099347" TargetMode="External"/><Relationship Id="rId213" Type="http://schemas.openxmlformats.org/officeDocument/2006/relationships/hyperlink" Target="https://us3.assetplanner.com/service_request?ID=096257" TargetMode="External"/><Relationship Id="rId234" Type="http://schemas.openxmlformats.org/officeDocument/2006/relationships/hyperlink" Target="https://us3.assetplanner.com/service_request?ID=099943" TargetMode="External"/><Relationship Id="rId2" Type="http://schemas.openxmlformats.org/officeDocument/2006/relationships/hyperlink" Target="https://us3.assetplanner.com/service_request?ID=101016" TargetMode="External"/><Relationship Id="rId29" Type="http://schemas.openxmlformats.org/officeDocument/2006/relationships/hyperlink" Target="https://us3.assetplanner.com/service_request?ID=099858" TargetMode="External"/><Relationship Id="rId40" Type="http://schemas.openxmlformats.org/officeDocument/2006/relationships/hyperlink" Target="https://us3.assetplanner.com/service_request?ID=100732" TargetMode="External"/><Relationship Id="rId115" Type="http://schemas.openxmlformats.org/officeDocument/2006/relationships/hyperlink" Target="https://us3.assetplanner.com/service_request?ID=093354" TargetMode="External"/><Relationship Id="rId136" Type="http://schemas.openxmlformats.org/officeDocument/2006/relationships/hyperlink" Target="https://us3.assetplanner.com/service_request?ID=095850" TargetMode="External"/><Relationship Id="rId157" Type="http://schemas.openxmlformats.org/officeDocument/2006/relationships/hyperlink" Target="https://us3.assetplanner.com/service_request?ID=100034" TargetMode="External"/><Relationship Id="rId178" Type="http://schemas.openxmlformats.org/officeDocument/2006/relationships/hyperlink" Target="https://us3.assetplanner.com/service_request?ID=099118" TargetMode="External"/><Relationship Id="rId61" Type="http://schemas.openxmlformats.org/officeDocument/2006/relationships/hyperlink" Target="https://us3.assetplanner.com/service_request?ID=100079" TargetMode="External"/><Relationship Id="rId82" Type="http://schemas.openxmlformats.org/officeDocument/2006/relationships/hyperlink" Target="https://us3.assetplanner.com/service_request?ID=098354" TargetMode="External"/><Relationship Id="rId199" Type="http://schemas.openxmlformats.org/officeDocument/2006/relationships/hyperlink" Target="https://us3.assetplanner.com/service_request?ID=095941" TargetMode="External"/><Relationship Id="rId203" Type="http://schemas.openxmlformats.org/officeDocument/2006/relationships/hyperlink" Target="https://us3.assetplanner.com/service_request?ID=099857" TargetMode="External"/><Relationship Id="rId19" Type="http://schemas.openxmlformats.org/officeDocument/2006/relationships/hyperlink" Target="https://us3.assetplanner.com/service_request?ID=093294" TargetMode="External"/><Relationship Id="rId224" Type="http://schemas.openxmlformats.org/officeDocument/2006/relationships/hyperlink" Target="https://us3.assetplanner.com/service_request?ID=099684" TargetMode="External"/><Relationship Id="rId30" Type="http://schemas.openxmlformats.org/officeDocument/2006/relationships/hyperlink" Target="https://us3.assetplanner.com/service_request?ID=100476" TargetMode="External"/><Relationship Id="rId105" Type="http://schemas.openxmlformats.org/officeDocument/2006/relationships/hyperlink" Target="https://us3.assetplanner.com/service_request?ID=099726" TargetMode="External"/><Relationship Id="rId126" Type="http://schemas.openxmlformats.org/officeDocument/2006/relationships/hyperlink" Target="https://us3.assetplanner.com/service_request?ID=100464" TargetMode="External"/><Relationship Id="rId147" Type="http://schemas.openxmlformats.org/officeDocument/2006/relationships/hyperlink" Target="https://us3.assetplanner.com/service_request?ID=100055" TargetMode="External"/><Relationship Id="rId168" Type="http://schemas.openxmlformats.org/officeDocument/2006/relationships/hyperlink" Target="https://us3.assetplanner.com/service_request?ID=096042" TargetMode="External"/><Relationship Id="rId51" Type="http://schemas.openxmlformats.org/officeDocument/2006/relationships/hyperlink" Target="https://us3.assetplanner.com/service_request?ID=098640" TargetMode="External"/><Relationship Id="rId72" Type="http://schemas.openxmlformats.org/officeDocument/2006/relationships/hyperlink" Target="https://us3.assetplanner.com/service_request?ID=099272" TargetMode="External"/><Relationship Id="rId93" Type="http://schemas.openxmlformats.org/officeDocument/2006/relationships/hyperlink" Target="https://us3.assetplanner.com/service_request?ID=099823" TargetMode="External"/><Relationship Id="rId189" Type="http://schemas.openxmlformats.org/officeDocument/2006/relationships/hyperlink" Target="https://us3.assetplanner.com/service_request?ID=099930" TargetMode="External"/><Relationship Id="rId3" Type="http://schemas.openxmlformats.org/officeDocument/2006/relationships/hyperlink" Target="https://us3.assetplanner.com/service_request?ID=100109" TargetMode="External"/><Relationship Id="rId214" Type="http://schemas.openxmlformats.org/officeDocument/2006/relationships/hyperlink" Target="https://us3.assetplanner.com/service_request?ID=099547" TargetMode="External"/><Relationship Id="rId235" Type="http://schemas.openxmlformats.org/officeDocument/2006/relationships/hyperlink" Target="https://us3.assetplanner.com/service_request?ID=098693" TargetMode="External"/><Relationship Id="rId116" Type="http://schemas.openxmlformats.org/officeDocument/2006/relationships/hyperlink" Target="https://us3.assetplanner.com/service_request?ID=099268" TargetMode="External"/><Relationship Id="rId137" Type="http://schemas.openxmlformats.org/officeDocument/2006/relationships/hyperlink" Target="https://us3.assetplanner.com/service_request?ID=099476" TargetMode="External"/><Relationship Id="rId158" Type="http://schemas.openxmlformats.org/officeDocument/2006/relationships/hyperlink" Target="https://us3.assetplanner.com/service_request?ID=100067" TargetMode="External"/><Relationship Id="rId20" Type="http://schemas.openxmlformats.org/officeDocument/2006/relationships/hyperlink" Target="https://us3.assetplanner.com/service_request?ID=098958" TargetMode="External"/><Relationship Id="rId41" Type="http://schemas.openxmlformats.org/officeDocument/2006/relationships/hyperlink" Target="https://us3.assetplanner.com/service_request?ID=099139" TargetMode="External"/><Relationship Id="rId62" Type="http://schemas.openxmlformats.org/officeDocument/2006/relationships/hyperlink" Target="https://us3.assetplanner.com/service_request?ID=099403" TargetMode="External"/><Relationship Id="rId83" Type="http://schemas.openxmlformats.org/officeDocument/2006/relationships/hyperlink" Target="https://us3.assetplanner.com/service_request?ID=100037" TargetMode="External"/><Relationship Id="rId179" Type="http://schemas.openxmlformats.org/officeDocument/2006/relationships/hyperlink" Target="https://us3.assetplanner.com/service_request?ID=097454" TargetMode="External"/><Relationship Id="rId190" Type="http://schemas.openxmlformats.org/officeDocument/2006/relationships/hyperlink" Target="https://us3.assetplanner.com/service_request?ID=098235" TargetMode="External"/><Relationship Id="rId204" Type="http://schemas.openxmlformats.org/officeDocument/2006/relationships/hyperlink" Target="https://us3.assetplanner.com/service_request?ID=100587" TargetMode="External"/><Relationship Id="rId225" Type="http://schemas.openxmlformats.org/officeDocument/2006/relationships/hyperlink" Target="https://us3.assetplanner.com/service_request?ID=100485"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2" TargetMode="External"/><Relationship Id="rId21" Type="http://schemas.openxmlformats.org/officeDocument/2006/relationships/hyperlink" Target="https://us3.assetplanner.com/service_request?ID=101786" TargetMode="External"/><Relationship Id="rId42" Type="http://schemas.openxmlformats.org/officeDocument/2006/relationships/hyperlink" Target="https://us3.assetplanner.com/service_request?ID=100447" TargetMode="External"/><Relationship Id="rId63" Type="http://schemas.openxmlformats.org/officeDocument/2006/relationships/hyperlink" Target="https://us3.assetplanner.com/service_request?ID=100387" TargetMode="External"/><Relationship Id="rId84" Type="http://schemas.openxmlformats.org/officeDocument/2006/relationships/hyperlink" Target="https://us3.assetplanner.com/service_request?ID=101078" TargetMode="External"/><Relationship Id="rId138" Type="http://schemas.openxmlformats.org/officeDocument/2006/relationships/hyperlink" Target="https://us3.assetplanner.com/service_request?ID=101327" TargetMode="External"/><Relationship Id="rId159" Type="http://schemas.openxmlformats.org/officeDocument/2006/relationships/hyperlink" Target="https://us3.assetplanner.com/service_request?ID=101947" TargetMode="External"/><Relationship Id="rId170" Type="http://schemas.openxmlformats.org/officeDocument/2006/relationships/hyperlink" Target="https://us3.assetplanner.com/service_request?ID=094820" TargetMode="External"/><Relationship Id="rId191" Type="http://schemas.openxmlformats.org/officeDocument/2006/relationships/hyperlink" Target="https://us3.assetplanner.com/service_request?ID=099793" TargetMode="External"/><Relationship Id="rId205" Type="http://schemas.openxmlformats.org/officeDocument/2006/relationships/hyperlink" Target="https://us3.assetplanner.com/service_request?ID=101328" TargetMode="External"/><Relationship Id="rId226" Type="http://schemas.openxmlformats.org/officeDocument/2006/relationships/hyperlink" Target="https://us3.assetplanner.com/service_request?ID=099014" TargetMode="External"/><Relationship Id="rId107" Type="http://schemas.openxmlformats.org/officeDocument/2006/relationships/hyperlink" Target="https://us3.assetplanner.com/service_request?ID=101102" TargetMode="External"/><Relationship Id="rId11" Type="http://schemas.openxmlformats.org/officeDocument/2006/relationships/hyperlink" Target="https://us3.assetplanner.com/service_request?ID=093047" TargetMode="External"/><Relationship Id="rId32" Type="http://schemas.openxmlformats.org/officeDocument/2006/relationships/hyperlink" Target="https://us3.assetplanner.com/service_request?ID=101356" TargetMode="External"/><Relationship Id="rId53" Type="http://schemas.openxmlformats.org/officeDocument/2006/relationships/hyperlink" Target="https://us3.assetplanner.com/service_request?ID=098866" TargetMode="External"/><Relationship Id="rId74" Type="http://schemas.openxmlformats.org/officeDocument/2006/relationships/hyperlink" Target="https://us3.assetplanner.com/service_request?ID=101938" TargetMode="External"/><Relationship Id="rId128" Type="http://schemas.openxmlformats.org/officeDocument/2006/relationships/hyperlink" Target="https://us3.assetplanner.com/service_request?ID=099583" TargetMode="External"/><Relationship Id="rId149" Type="http://schemas.openxmlformats.org/officeDocument/2006/relationships/hyperlink" Target="https://us3.assetplanner.com/service_request?ID=101237" TargetMode="External"/><Relationship Id="rId5" Type="http://schemas.openxmlformats.org/officeDocument/2006/relationships/hyperlink" Target="https://us3.assetplanner.com/service_request?ID=092555" TargetMode="External"/><Relationship Id="rId95" Type="http://schemas.openxmlformats.org/officeDocument/2006/relationships/hyperlink" Target="https://us3.assetplanner.com/service_request?ID=100044" TargetMode="External"/><Relationship Id="rId160" Type="http://schemas.openxmlformats.org/officeDocument/2006/relationships/hyperlink" Target="https://us3.assetplanner.com/service_request?ID=102015" TargetMode="External"/><Relationship Id="rId181" Type="http://schemas.openxmlformats.org/officeDocument/2006/relationships/hyperlink" Target="https://us3.assetplanner.com/service_request?ID=098724" TargetMode="External"/><Relationship Id="rId216" Type="http://schemas.openxmlformats.org/officeDocument/2006/relationships/hyperlink" Target="https://us3.assetplanner.com/service_request?ID=101228" TargetMode="External"/><Relationship Id="rId22" Type="http://schemas.openxmlformats.org/officeDocument/2006/relationships/hyperlink" Target="https://us3.assetplanner.com/service_request?ID=101646" TargetMode="External"/><Relationship Id="rId43" Type="http://schemas.openxmlformats.org/officeDocument/2006/relationships/hyperlink" Target="https://us3.assetplanner.com/service_request?ID=098640" TargetMode="External"/><Relationship Id="rId64" Type="http://schemas.openxmlformats.org/officeDocument/2006/relationships/hyperlink" Target="https://us3.assetplanner.com/service_request?ID=100811" TargetMode="External"/><Relationship Id="rId118" Type="http://schemas.openxmlformats.org/officeDocument/2006/relationships/hyperlink" Target="https://us3.assetplanner.com/service_request?ID=101469" TargetMode="External"/><Relationship Id="rId139" Type="http://schemas.openxmlformats.org/officeDocument/2006/relationships/hyperlink" Target="https://us3.assetplanner.com/service_request?ID=101956" TargetMode="External"/><Relationship Id="rId85" Type="http://schemas.openxmlformats.org/officeDocument/2006/relationships/hyperlink" Target="https://us3.assetplanner.com/service_request?ID=101078" TargetMode="External"/><Relationship Id="rId150" Type="http://schemas.openxmlformats.org/officeDocument/2006/relationships/hyperlink" Target="https://us3.assetplanner.com/service_request?ID=101915" TargetMode="External"/><Relationship Id="rId171" Type="http://schemas.openxmlformats.org/officeDocument/2006/relationships/hyperlink" Target="https://us3.assetplanner.com/service_request?ID=101909" TargetMode="External"/><Relationship Id="rId192" Type="http://schemas.openxmlformats.org/officeDocument/2006/relationships/hyperlink" Target="https://us3.assetplanner.com/service_request?ID=100524" TargetMode="External"/><Relationship Id="rId206" Type="http://schemas.openxmlformats.org/officeDocument/2006/relationships/hyperlink" Target="https://us3.assetplanner.com/service_request?ID=096257" TargetMode="External"/><Relationship Id="rId227" Type="http://schemas.openxmlformats.org/officeDocument/2006/relationships/hyperlink" Target="https://us3.assetplanner.com/service_request?ID=100026" TargetMode="External"/><Relationship Id="rId12" Type="http://schemas.openxmlformats.org/officeDocument/2006/relationships/hyperlink" Target="https://us3.assetplanner.com/service_request?ID=101688" TargetMode="External"/><Relationship Id="rId33" Type="http://schemas.openxmlformats.org/officeDocument/2006/relationships/hyperlink" Target="https://us3.assetplanner.com/service_request?ID=093326" TargetMode="External"/><Relationship Id="rId108" Type="http://schemas.openxmlformats.org/officeDocument/2006/relationships/hyperlink" Target="https://us3.assetplanner.com/service_request?ID=100464" TargetMode="External"/><Relationship Id="rId129" Type="http://schemas.openxmlformats.org/officeDocument/2006/relationships/hyperlink" Target="https://us3.assetplanner.com/service_request?ID=101010" TargetMode="External"/><Relationship Id="rId54" Type="http://schemas.openxmlformats.org/officeDocument/2006/relationships/hyperlink" Target="https://us3.assetplanner.com/service_request?ID=098998" TargetMode="External"/><Relationship Id="rId75" Type="http://schemas.openxmlformats.org/officeDocument/2006/relationships/hyperlink" Target="https://us3.assetplanner.com/service_request?ID=101912" TargetMode="External"/><Relationship Id="rId96" Type="http://schemas.openxmlformats.org/officeDocument/2006/relationships/hyperlink" Target="https://us3.assetplanner.com/service_request?ID=099140" TargetMode="External"/><Relationship Id="rId140" Type="http://schemas.openxmlformats.org/officeDocument/2006/relationships/hyperlink" Target="https://us3.assetplanner.com/service_request?ID=100101" TargetMode="External"/><Relationship Id="rId161" Type="http://schemas.openxmlformats.org/officeDocument/2006/relationships/hyperlink" Target="https://us3.assetplanner.com/service_request?ID=096006" TargetMode="External"/><Relationship Id="rId182" Type="http://schemas.openxmlformats.org/officeDocument/2006/relationships/hyperlink" Target="https://us3.assetplanner.com/service_request?ID=095945" TargetMode="External"/><Relationship Id="rId217" Type="http://schemas.openxmlformats.org/officeDocument/2006/relationships/hyperlink" Target="https://us3.assetplanner.com/service_request?ID=098278"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101363" TargetMode="External"/><Relationship Id="rId119" Type="http://schemas.openxmlformats.org/officeDocument/2006/relationships/hyperlink" Target="https://us3.assetplanner.com/service_request?ID=1019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1403" TargetMode="External"/><Relationship Id="rId86" Type="http://schemas.openxmlformats.org/officeDocument/2006/relationships/hyperlink" Target="https://us3.assetplanner.com/service_request?ID=101652" TargetMode="External"/><Relationship Id="rId130" Type="http://schemas.openxmlformats.org/officeDocument/2006/relationships/hyperlink" Target="https://us3.assetplanner.com/service_request?ID=100958" TargetMode="External"/><Relationship Id="rId151" Type="http://schemas.openxmlformats.org/officeDocument/2006/relationships/hyperlink" Target="https://us3.assetplanner.com/service_request?ID=095624" TargetMode="External"/><Relationship Id="rId172" Type="http://schemas.openxmlformats.org/officeDocument/2006/relationships/hyperlink" Target="https://us3.assetplanner.com/service_request?ID=101931" TargetMode="External"/><Relationship Id="rId193" Type="http://schemas.openxmlformats.org/officeDocument/2006/relationships/hyperlink" Target="https://us3.assetplanner.com/service_request?ID=100036" TargetMode="External"/><Relationship Id="rId207" Type="http://schemas.openxmlformats.org/officeDocument/2006/relationships/hyperlink" Target="https://us3.assetplanner.com/service_request?ID=099018" TargetMode="External"/><Relationship Id="rId228" Type="http://schemas.openxmlformats.org/officeDocument/2006/relationships/hyperlink" Target="https://us3.assetplanner.com/service_request?ID=098693" TargetMode="External"/><Relationship Id="rId13" Type="http://schemas.openxmlformats.org/officeDocument/2006/relationships/hyperlink" Target="https://us3.assetplanner.com/service_request?ID=101222" TargetMode="External"/><Relationship Id="rId109" Type="http://schemas.openxmlformats.org/officeDocument/2006/relationships/hyperlink" Target="https://us3.assetplanner.com/service_request?ID=098883" TargetMode="External"/><Relationship Id="rId34" Type="http://schemas.openxmlformats.org/officeDocument/2006/relationships/hyperlink" Target="https://us3.assetplanner.com/service_request?ID=096294" TargetMode="External"/><Relationship Id="rId55" Type="http://schemas.openxmlformats.org/officeDocument/2006/relationships/hyperlink" Target="https://us3.assetplanner.com/service_request?ID=101929" TargetMode="External"/><Relationship Id="rId76" Type="http://schemas.openxmlformats.org/officeDocument/2006/relationships/hyperlink" Target="https://us3.assetplanner.com/service_request?ID=101938" TargetMode="External"/><Relationship Id="rId97" Type="http://schemas.openxmlformats.org/officeDocument/2006/relationships/hyperlink" Target="https://us3.assetplanner.com/service_request?ID=099726" TargetMode="External"/><Relationship Id="rId120" Type="http://schemas.openxmlformats.org/officeDocument/2006/relationships/hyperlink" Target="https://us3.assetplanner.com/service_request?ID=101997" TargetMode="External"/><Relationship Id="rId141" Type="http://schemas.openxmlformats.org/officeDocument/2006/relationships/hyperlink" Target="https://us3.assetplanner.com/service_request?ID=100509" TargetMode="External"/><Relationship Id="rId7" Type="http://schemas.openxmlformats.org/officeDocument/2006/relationships/hyperlink" Target="https://us3.assetplanner.com/service_request?ID=100160" TargetMode="External"/><Relationship Id="rId162" Type="http://schemas.openxmlformats.org/officeDocument/2006/relationships/hyperlink" Target="https://us3.assetplanner.com/service_request?ID=101022" TargetMode="External"/><Relationship Id="rId183" Type="http://schemas.openxmlformats.org/officeDocument/2006/relationships/hyperlink" Target="https://us3.assetplanner.com/service_request?ID=095946" TargetMode="External"/><Relationship Id="rId218" Type="http://schemas.openxmlformats.org/officeDocument/2006/relationships/hyperlink" Target="https://us3.assetplanner.com/service_request?ID=098670" TargetMode="External"/><Relationship Id="rId24" Type="http://schemas.openxmlformats.org/officeDocument/2006/relationships/hyperlink" Target="https://us3.assetplanner.com/service_request?ID=100476" TargetMode="External"/><Relationship Id="rId45" Type="http://schemas.openxmlformats.org/officeDocument/2006/relationships/hyperlink" Target="https://us3.assetplanner.com/service_request?ID=099149" TargetMode="External"/><Relationship Id="rId66" Type="http://schemas.openxmlformats.org/officeDocument/2006/relationships/hyperlink" Target="https://us3.assetplanner.com/service_request?ID=101938" TargetMode="External"/><Relationship Id="rId87" Type="http://schemas.openxmlformats.org/officeDocument/2006/relationships/hyperlink" Target="https://us3.assetplanner.com/service_request?ID=101079" TargetMode="External"/><Relationship Id="rId110" Type="http://schemas.openxmlformats.org/officeDocument/2006/relationships/hyperlink" Target="https://us3.assetplanner.com/service_request?ID=098311" TargetMode="External"/><Relationship Id="rId131" Type="http://schemas.openxmlformats.org/officeDocument/2006/relationships/hyperlink" Target="https://us3.assetplanner.com/service_request?ID=100985" TargetMode="External"/><Relationship Id="rId152" Type="http://schemas.openxmlformats.org/officeDocument/2006/relationships/hyperlink" Target="https://us3.assetplanner.com/service_request?ID=097725" TargetMode="External"/><Relationship Id="rId173" Type="http://schemas.openxmlformats.org/officeDocument/2006/relationships/hyperlink" Target="https://us3.assetplanner.com/service_request?ID=098860" TargetMode="External"/><Relationship Id="rId194" Type="http://schemas.openxmlformats.org/officeDocument/2006/relationships/hyperlink" Target="https://us3.assetplanner.com/service_request?ID=101922" TargetMode="External"/><Relationship Id="rId208" Type="http://schemas.openxmlformats.org/officeDocument/2006/relationships/hyperlink" Target="https://us3.assetplanner.com/service_request?ID=099951" TargetMode="External"/><Relationship Id="rId229" Type="http://schemas.openxmlformats.org/officeDocument/2006/relationships/hyperlink" Target="https://us3.assetplanner.com/service_request?ID=100729" TargetMode="External"/><Relationship Id="rId14" Type="http://schemas.openxmlformats.org/officeDocument/2006/relationships/hyperlink" Target="https://us3.assetplanner.com/service_request?ID=093289" TargetMode="External"/><Relationship Id="rId35" Type="http://schemas.openxmlformats.org/officeDocument/2006/relationships/hyperlink" Target="https://us3.assetplanner.com/service_request?ID=095662" TargetMode="External"/><Relationship Id="rId56" Type="http://schemas.openxmlformats.org/officeDocument/2006/relationships/hyperlink" Target="https://us3.assetplanner.com/service_request?ID=09296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0771" TargetMode="External"/><Relationship Id="rId8" Type="http://schemas.openxmlformats.org/officeDocument/2006/relationships/hyperlink" Target="https://us3.assetplanner.com/service_request?ID=093028" TargetMode="External"/><Relationship Id="rId98" Type="http://schemas.openxmlformats.org/officeDocument/2006/relationships/hyperlink" Target="https://us3.assetplanner.com/service_request?ID=095073" TargetMode="External"/><Relationship Id="rId121" Type="http://schemas.openxmlformats.org/officeDocument/2006/relationships/hyperlink" Target="https://us3.assetplanner.com/service_request?ID=092209" TargetMode="External"/><Relationship Id="rId142" Type="http://schemas.openxmlformats.org/officeDocument/2006/relationships/hyperlink" Target="https://us3.assetplanner.com/service_request?ID=100448" TargetMode="External"/><Relationship Id="rId163" Type="http://schemas.openxmlformats.org/officeDocument/2006/relationships/hyperlink" Target="https://us3.assetplanner.com/service_request?ID=101023" TargetMode="External"/><Relationship Id="rId184" Type="http://schemas.openxmlformats.org/officeDocument/2006/relationships/hyperlink" Target="https://us3.assetplanner.com/service_request?ID=099930" TargetMode="External"/><Relationship Id="rId219" Type="http://schemas.openxmlformats.org/officeDocument/2006/relationships/hyperlink" Target="https://us3.assetplanner.com/service_request?ID=101801" TargetMode="External"/><Relationship Id="rId230" Type="http://schemas.openxmlformats.org/officeDocument/2006/relationships/hyperlink" Target="https://us3.assetplanner.com/service_request?ID=100662" TargetMode="External"/><Relationship Id="rId25" Type="http://schemas.openxmlformats.org/officeDocument/2006/relationships/hyperlink" Target="https://us3.assetplanner.com/service_request?ID=101267" TargetMode="External"/><Relationship Id="rId46" Type="http://schemas.openxmlformats.org/officeDocument/2006/relationships/hyperlink" Target="https://us3.assetplanner.com/service_request?ID=101482" TargetMode="External"/><Relationship Id="rId67" Type="http://schemas.openxmlformats.org/officeDocument/2006/relationships/hyperlink" Target="https://us3.assetplanner.com/service_request?ID=101263" TargetMode="External"/><Relationship Id="rId116" Type="http://schemas.openxmlformats.org/officeDocument/2006/relationships/hyperlink" Target="https://us3.assetplanner.com/service_request?ID=101035" TargetMode="External"/><Relationship Id="rId137" Type="http://schemas.openxmlformats.org/officeDocument/2006/relationships/hyperlink" Target="https://us3.assetplanner.com/service_request?ID=100032" TargetMode="External"/><Relationship Id="rId158" Type="http://schemas.openxmlformats.org/officeDocument/2006/relationships/hyperlink" Target="https://us3.assetplanner.com/service_request?ID=101647" TargetMode="External"/><Relationship Id="rId20" Type="http://schemas.openxmlformats.org/officeDocument/2006/relationships/hyperlink" Target="https://us3.assetplanner.com/service_request?ID=086842" TargetMode="External"/><Relationship Id="rId41" Type="http://schemas.openxmlformats.org/officeDocument/2006/relationships/hyperlink" Target="https://us3.assetplanner.com/service_request?ID=101641" TargetMode="External"/><Relationship Id="rId62" Type="http://schemas.openxmlformats.org/officeDocument/2006/relationships/hyperlink" Target="https://us3.assetplanner.com/service_request?ID=100721" TargetMode="External"/><Relationship Id="rId83" Type="http://schemas.openxmlformats.org/officeDocument/2006/relationships/hyperlink" Target="https://us3.assetplanner.com/service_request?ID=101109" TargetMode="External"/><Relationship Id="rId88" Type="http://schemas.openxmlformats.org/officeDocument/2006/relationships/hyperlink" Target="https://us3.assetplanner.com/service_request?ID=101079" TargetMode="External"/><Relationship Id="rId111" Type="http://schemas.openxmlformats.org/officeDocument/2006/relationships/hyperlink" Target="https://us3.assetplanner.com/service_request?ID=095649" TargetMode="External"/><Relationship Id="rId132" Type="http://schemas.openxmlformats.org/officeDocument/2006/relationships/hyperlink" Target="https://us3.assetplanner.com/service_request?ID=101223" TargetMode="External"/><Relationship Id="rId153" Type="http://schemas.openxmlformats.org/officeDocument/2006/relationships/hyperlink" Target="https://us3.assetplanner.com/service_request?ID=101028" TargetMode="External"/><Relationship Id="rId174" Type="http://schemas.openxmlformats.org/officeDocument/2006/relationships/hyperlink" Target="https://us3.assetplanner.com/service_request?ID=09745" TargetMode="External"/><Relationship Id="rId179" Type="http://schemas.openxmlformats.org/officeDocument/2006/relationships/hyperlink" Target="https://us3.assetplanner.com/service_request?ID=102212" TargetMode="External"/><Relationship Id="rId195" Type="http://schemas.openxmlformats.org/officeDocument/2006/relationships/hyperlink" Target="https://us3.assetplanner.com/service_request?ID=101940" TargetMode="External"/><Relationship Id="rId209" Type="http://schemas.openxmlformats.org/officeDocument/2006/relationships/hyperlink" Target="https://us3.assetplanner.com/service_request?ID=101588" TargetMode="External"/><Relationship Id="rId190" Type="http://schemas.openxmlformats.org/officeDocument/2006/relationships/hyperlink" Target="https://us3.assetplanner.com/service_request?ID=099792" TargetMode="External"/><Relationship Id="rId204" Type="http://schemas.openxmlformats.org/officeDocument/2006/relationships/hyperlink" Target="https://us3.assetplanner.com/service_request?ID=101778" TargetMode="External"/><Relationship Id="rId220" Type="http://schemas.openxmlformats.org/officeDocument/2006/relationships/hyperlink" Target="https://us3.assetplanner.com/service_request?ID=101819" TargetMode="External"/><Relationship Id="rId225" Type="http://schemas.openxmlformats.org/officeDocument/2006/relationships/hyperlink" Target="https://us3.assetplanner.com/service_request?ID=099473" TargetMode="External"/><Relationship Id="rId15" Type="http://schemas.openxmlformats.org/officeDocument/2006/relationships/hyperlink" Target="https://us3.assetplanner.com/service_request?ID=097569" TargetMode="External"/><Relationship Id="rId36" Type="http://schemas.openxmlformats.org/officeDocument/2006/relationships/hyperlink" Target="https://us3.assetplanner.com/service_request?ID=101910" TargetMode="External"/><Relationship Id="rId57" Type="http://schemas.openxmlformats.org/officeDocument/2006/relationships/hyperlink" Target="https://us3.assetplanner.com/service_request?ID=098877" TargetMode="External"/><Relationship Id="rId106" Type="http://schemas.openxmlformats.org/officeDocument/2006/relationships/hyperlink" Target="https://us3.assetplanner.com/service_request?ID=101744" TargetMode="External"/><Relationship Id="rId127" Type="http://schemas.openxmlformats.org/officeDocument/2006/relationships/hyperlink" Target="https://us3.assetplanner.com/service_request?ID=101219" TargetMode="External"/><Relationship Id="rId10" Type="http://schemas.openxmlformats.org/officeDocument/2006/relationships/hyperlink" Target="https://us3.assetplanner.com/service_request?ID=101130" TargetMode="External"/><Relationship Id="rId31" Type="http://schemas.openxmlformats.org/officeDocument/2006/relationships/hyperlink" Target="https://us3.assetplanner.com/service_request?ID=100803" TargetMode="External"/><Relationship Id="rId52" Type="http://schemas.openxmlformats.org/officeDocument/2006/relationships/hyperlink" Target="https://us3.assetplanner.com/service_request?ID=098198" TargetMode="External"/><Relationship Id="rId73" Type="http://schemas.openxmlformats.org/officeDocument/2006/relationships/hyperlink" Target="https://us3.assetplanner.com/service_request?ID=101263"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1282" TargetMode="External"/><Relationship Id="rId99" Type="http://schemas.openxmlformats.org/officeDocument/2006/relationships/hyperlink" Target="https://us3.assetplanner.com/service_request?ID=091182" TargetMode="External"/><Relationship Id="rId101" Type="http://schemas.openxmlformats.org/officeDocument/2006/relationships/hyperlink" Target="https://us3.assetplanner.com/service_request?ID=100622" TargetMode="External"/><Relationship Id="rId122" Type="http://schemas.openxmlformats.org/officeDocument/2006/relationships/hyperlink" Target="https://us3.assetplanner.com/service_request?ID=101998" TargetMode="External"/><Relationship Id="rId143" Type="http://schemas.openxmlformats.org/officeDocument/2006/relationships/hyperlink" Target="https://us3.assetplanner.com/service_request?ID=101460" TargetMode="External"/><Relationship Id="rId148" Type="http://schemas.openxmlformats.org/officeDocument/2006/relationships/hyperlink" Target="https://us3.assetplanner.com/service_request?ID=102056" TargetMode="External"/><Relationship Id="rId164" Type="http://schemas.openxmlformats.org/officeDocument/2006/relationships/hyperlink" Target="https://us3.assetplanner.com/service_request?ID=101048" TargetMode="External"/><Relationship Id="rId169" Type="http://schemas.openxmlformats.org/officeDocument/2006/relationships/hyperlink" Target="https://us3.assetplanner.com/service_request?ID=099686" TargetMode="External"/><Relationship Id="rId185" Type="http://schemas.openxmlformats.org/officeDocument/2006/relationships/hyperlink" Target="https://us3.assetplanner.com/service_request?ID=101266" TargetMode="External"/><Relationship Id="rId4" Type="http://schemas.openxmlformats.org/officeDocument/2006/relationships/hyperlink" Target="https://us3.assetplanner.com/service_request?ID=101037" TargetMode="External"/><Relationship Id="rId9" Type="http://schemas.openxmlformats.org/officeDocument/2006/relationships/hyperlink" Target="https://us3.assetplanner.com/service_request?ID=101453" TargetMode="External"/><Relationship Id="rId180" Type="http://schemas.openxmlformats.org/officeDocument/2006/relationships/hyperlink" Target="https://us3.assetplanner.com/service_request?ID=102178" TargetMode="External"/><Relationship Id="rId210" Type="http://schemas.openxmlformats.org/officeDocument/2006/relationships/hyperlink" Target="https://us3.assetplanner.com/service_request?ID=101645" TargetMode="External"/><Relationship Id="rId215" Type="http://schemas.openxmlformats.org/officeDocument/2006/relationships/hyperlink" Target="https://us3.assetplanner.com/service_request?ID=101685" TargetMode="External"/><Relationship Id="rId26" Type="http://schemas.openxmlformats.org/officeDocument/2006/relationships/hyperlink" Target="https://us3.assetplanner.com/service_request?ID=098981" TargetMode="External"/><Relationship Id="rId231" Type="http://schemas.openxmlformats.org/officeDocument/2006/relationships/hyperlink" Target="https://us3.assetplanner.com/service_request?ID=101669" TargetMode="External"/><Relationship Id="rId47" Type="http://schemas.openxmlformats.org/officeDocument/2006/relationships/hyperlink" Target="https://us3.assetplanner.com/service_request?ID=099403" TargetMode="External"/><Relationship Id="rId68" Type="http://schemas.openxmlformats.org/officeDocument/2006/relationships/hyperlink" Target="https://us3.assetplanner.com/service_request?ID=101594" TargetMode="External"/><Relationship Id="rId89" Type="http://schemas.openxmlformats.org/officeDocument/2006/relationships/hyperlink" Target="https://us3.assetplanner.com/service_request?ID=095109" TargetMode="External"/><Relationship Id="rId112" Type="http://schemas.openxmlformats.org/officeDocument/2006/relationships/hyperlink" Target="https://us3.assetplanner.com/service_request?ID=099423" TargetMode="External"/><Relationship Id="rId133" Type="http://schemas.openxmlformats.org/officeDocument/2006/relationships/hyperlink" Target="https://us3.assetplanner.com/service_request?ID=095531" TargetMode="External"/><Relationship Id="rId154" Type="http://schemas.openxmlformats.org/officeDocument/2006/relationships/hyperlink" Target="https://us3.assetplanner.com/service_request?ID=101305" TargetMode="External"/><Relationship Id="rId175" Type="http://schemas.openxmlformats.org/officeDocument/2006/relationships/hyperlink" Target="https://us3.assetplanner.com/service_request?ID=099118" TargetMode="External"/><Relationship Id="rId196" Type="http://schemas.openxmlformats.org/officeDocument/2006/relationships/hyperlink" Target="https://us3.assetplanner.com/service_request?ID=095941" TargetMode="External"/><Relationship Id="rId200" Type="http://schemas.openxmlformats.org/officeDocument/2006/relationships/hyperlink" Target="https://us3.assetplanner.com/service_request?ID=100587" TargetMode="External"/><Relationship Id="rId16" Type="http://schemas.openxmlformats.org/officeDocument/2006/relationships/hyperlink" Target="https://us3.assetplanner.com/service_request?ID=093291" TargetMode="External"/><Relationship Id="rId221" Type="http://schemas.openxmlformats.org/officeDocument/2006/relationships/hyperlink" Target="https://us3.assetplanner.com/service_request?ID=098066" TargetMode="External"/><Relationship Id="rId37" Type="http://schemas.openxmlformats.org/officeDocument/2006/relationships/hyperlink" Target="https://us3.assetplanner.com/service_request?ID=101354" TargetMode="External"/><Relationship Id="rId58" Type="http://schemas.openxmlformats.org/officeDocument/2006/relationships/hyperlink" Target="https://us3.assetplanner.com/service_request?ID=095253" TargetMode="External"/><Relationship Id="rId79" Type="http://schemas.openxmlformats.org/officeDocument/2006/relationships/hyperlink" Target="https://us3.assetplanner.com/service_request?ID=101160" TargetMode="External"/><Relationship Id="rId102" Type="http://schemas.openxmlformats.org/officeDocument/2006/relationships/hyperlink" Target="https://us3.assetplanner.com/service_request?ID=095581" TargetMode="External"/><Relationship Id="rId123" Type="http://schemas.openxmlformats.org/officeDocument/2006/relationships/hyperlink" Target="https://us3.assetplanner.com/service_request?ID=092751" TargetMode="External"/><Relationship Id="rId144" Type="http://schemas.openxmlformats.org/officeDocument/2006/relationships/hyperlink" Target="https://us3.assetplanner.com/service_request?ID=101476" TargetMode="External"/><Relationship Id="rId90" Type="http://schemas.openxmlformats.org/officeDocument/2006/relationships/hyperlink" Target="https://us3.assetplanner.com/service_request?ID=101632" TargetMode="External"/><Relationship Id="rId165" Type="http://schemas.openxmlformats.org/officeDocument/2006/relationships/hyperlink" Target="https://us3.assetplanner.com/service_request?ID=101642" TargetMode="External"/><Relationship Id="rId186" Type="http://schemas.openxmlformats.org/officeDocument/2006/relationships/hyperlink" Target="https://us3.assetplanner.com/service_request?ID=102229" TargetMode="External"/><Relationship Id="rId211" Type="http://schemas.openxmlformats.org/officeDocument/2006/relationships/hyperlink" Target="https://us3.assetplanner.com/service_request?ID=097816" TargetMode="External"/><Relationship Id="rId232" Type="http://schemas.openxmlformats.org/officeDocument/2006/relationships/hyperlink" Target="https://us3.assetplanner.com/service_request?ID=101745" TargetMode="External"/><Relationship Id="rId27" Type="http://schemas.openxmlformats.org/officeDocument/2006/relationships/hyperlink" Target="https://us3.assetplanner.com/service_request?ID=088813" TargetMode="External"/><Relationship Id="rId48" Type="http://schemas.openxmlformats.org/officeDocument/2006/relationships/hyperlink" Target="https://us3.assetplanner.com/service_request?ID=100629" TargetMode="External"/><Relationship Id="rId69" Type="http://schemas.openxmlformats.org/officeDocument/2006/relationships/hyperlink" Target="https://us3.assetplanner.com/service_request?ID=101938" TargetMode="External"/><Relationship Id="rId113" Type="http://schemas.openxmlformats.org/officeDocument/2006/relationships/hyperlink" Target="https://us3.assetplanner.com/service_request?ID=101942" TargetMode="External"/><Relationship Id="rId134" Type="http://schemas.openxmlformats.org/officeDocument/2006/relationships/hyperlink" Target="https://us3.assetplanner.com/service_request?ID=101158" TargetMode="External"/><Relationship Id="rId80" Type="http://schemas.openxmlformats.org/officeDocument/2006/relationships/hyperlink" Target="https://us3.assetplanner.com/service_request?ID=101416" TargetMode="External"/><Relationship Id="rId155" Type="http://schemas.openxmlformats.org/officeDocument/2006/relationships/hyperlink" Target="https://us3.assetplanner.com/service_request?ID=101878" TargetMode="External"/><Relationship Id="rId176" Type="http://schemas.openxmlformats.org/officeDocument/2006/relationships/hyperlink" Target="https://us3.assetplanner.com/service_request?ID=101005" TargetMode="External"/><Relationship Id="rId197" Type="http://schemas.openxmlformats.org/officeDocument/2006/relationships/hyperlink" Target="https://us3.assetplanner.com/service_request?ID=098490" TargetMode="External"/><Relationship Id="rId201" Type="http://schemas.openxmlformats.org/officeDocument/2006/relationships/hyperlink" Target="https://us3.assetplanner.com/service_request?ID=100220" TargetMode="External"/><Relationship Id="rId222"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093633" TargetMode="External"/><Relationship Id="rId38" Type="http://schemas.openxmlformats.org/officeDocument/2006/relationships/hyperlink" Target="https://us3.assetplanner.com/service_request?ID=100141" TargetMode="External"/><Relationship Id="rId59" Type="http://schemas.openxmlformats.org/officeDocument/2006/relationships/hyperlink" Target="https://us3.assetplanner.com/service_request?ID=101625" TargetMode="External"/><Relationship Id="rId103" Type="http://schemas.openxmlformats.org/officeDocument/2006/relationships/hyperlink" Target="https://us3.assetplanner.com/service_request?ID=099162" TargetMode="External"/><Relationship Id="rId124" Type="http://schemas.openxmlformats.org/officeDocument/2006/relationships/hyperlink" Target="https://us3.assetplanner.com/service_request?ID=092255" TargetMode="External"/><Relationship Id="rId70" Type="http://schemas.openxmlformats.org/officeDocument/2006/relationships/hyperlink" Target="https://us3.assetplanner.com/service_request?ID=101263" TargetMode="External"/><Relationship Id="rId91" Type="http://schemas.openxmlformats.org/officeDocument/2006/relationships/hyperlink" Target="https://us3.assetplanner.com/service_request?ID=101091" TargetMode="External"/><Relationship Id="rId145" Type="http://schemas.openxmlformats.org/officeDocument/2006/relationships/hyperlink" Target="https://us3.assetplanner.com/service_request?ID=101572" TargetMode="External"/><Relationship Id="rId166" Type="http://schemas.openxmlformats.org/officeDocument/2006/relationships/hyperlink" Target="https://us3.assetplanner.com/service_request?ID=101845" TargetMode="External"/><Relationship Id="rId187" Type="http://schemas.openxmlformats.org/officeDocument/2006/relationships/hyperlink" Target="https://us3.assetplanner.com/service_request?ID=095956" TargetMode="External"/><Relationship Id="rId1" Type="http://schemas.openxmlformats.org/officeDocument/2006/relationships/hyperlink" Target="https://us3.assetplanner.com/service_request?ID=101016" TargetMode="External"/><Relationship Id="rId212" Type="http://schemas.openxmlformats.org/officeDocument/2006/relationships/hyperlink" Target="https://us3.assetplanner.com/service_request?ID=099947" TargetMode="External"/><Relationship Id="rId28" Type="http://schemas.openxmlformats.org/officeDocument/2006/relationships/hyperlink" Target="https://us3.assetplanner.com/service_request?ID=093324" TargetMode="External"/><Relationship Id="rId49" Type="http://schemas.openxmlformats.org/officeDocument/2006/relationships/hyperlink" Target="https://us3.assetplanner.com/service_request?ID=100190" TargetMode="External"/><Relationship Id="rId114" Type="http://schemas.openxmlformats.org/officeDocument/2006/relationships/hyperlink" Target="https://us3.assetplanner.com/service_request?ID=102198" TargetMode="External"/><Relationship Id="rId60" Type="http://schemas.openxmlformats.org/officeDocument/2006/relationships/hyperlink" Target="https://us3.assetplanner.com/service_request?ID=101020" TargetMode="External"/><Relationship Id="rId81" Type="http://schemas.openxmlformats.org/officeDocument/2006/relationships/hyperlink" Target="https://us3.assetplanner.com/service_request?ID=100997" TargetMode="External"/><Relationship Id="rId135" Type="http://schemas.openxmlformats.org/officeDocument/2006/relationships/hyperlink" Target="https://us3.assetplanner.com/service_request?ID=100042" TargetMode="External"/><Relationship Id="rId156" Type="http://schemas.openxmlformats.org/officeDocument/2006/relationships/hyperlink" Target="https://us3.assetplanner.com/service_request?ID=101011" TargetMode="External"/><Relationship Id="rId177" Type="http://schemas.openxmlformats.org/officeDocument/2006/relationships/hyperlink" Target="https://us3.assetplanner.com/service_request?ID=101164" TargetMode="External"/><Relationship Id="rId198" Type="http://schemas.openxmlformats.org/officeDocument/2006/relationships/hyperlink" Target="https://us3.assetplanner.com/service_request?ID=099138" TargetMode="External"/><Relationship Id="rId202" Type="http://schemas.openxmlformats.org/officeDocument/2006/relationships/hyperlink" Target="https://us3.assetplanner.com/service_request?ID=102012" TargetMode="External"/><Relationship Id="rId223" Type="http://schemas.openxmlformats.org/officeDocument/2006/relationships/hyperlink" Target="https://us3.assetplanner.com/service_request?ID=100701"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101620" TargetMode="External"/><Relationship Id="rId50" Type="http://schemas.openxmlformats.org/officeDocument/2006/relationships/hyperlink" Target="https://us3.assetplanner.com/service_request?ID=093024" TargetMode="External"/><Relationship Id="rId104" Type="http://schemas.openxmlformats.org/officeDocument/2006/relationships/hyperlink" Target="https://us3.assetplanner.com/service_request?ID=100924" TargetMode="External"/><Relationship Id="rId125" Type="http://schemas.openxmlformats.org/officeDocument/2006/relationships/hyperlink" Target="https://us3.assetplanner.com/service_request?ID=092095" TargetMode="External"/><Relationship Id="rId146" Type="http://schemas.openxmlformats.org/officeDocument/2006/relationships/hyperlink" Target="https://us3.assetplanner.com/service_request?ID=101848" TargetMode="External"/><Relationship Id="rId167" Type="http://schemas.openxmlformats.org/officeDocument/2006/relationships/hyperlink" Target="https://us3.assetplanner.com/service_request?ID=101845" TargetMode="External"/><Relationship Id="rId188" Type="http://schemas.openxmlformats.org/officeDocument/2006/relationships/hyperlink" Target="https://us3.assetplanner.com/service_request?ID=099791" TargetMode="External"/><Relationship Id="rId71" Type="http://schemas.openxmlformats.org/officeDocument/2006/relationships/hyperlink" Target="https://us3.assetplanner.com/service_request?ID=101594" TargetMode="External"/><Relationship Id="rId92" Type="http://schemas.openxmlformats.org/officeDocument/2006/relationships/hyperlink" Target="https://us3.assetplanner.com/service_request?ID=101633" TargetMode="External"/><Relationship Id="rId213" Type="http://schemas.openxmlformats.org/officeDocument/2006/relationships/hyperlink" Target="https://us3.assetplanner.com/service_request?ID=101206" TargetMode="External"/><Relationship Id="rId2" Type="http://schemas.openxmlformats.org/officeDocument/2006/relationships/hyperlink" Target="https://us3.assetplanner.com/service_request?ID=100109" TargetMode="External"/><Relationship Id="rId29"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098641" TargetMode="External"/><Relationship Id="rId115" Type="http://schemas.openxmlformats.org/officeDocument/2006/relationships/hyperlink" Target="https://us3.assetplanner.com/service_request?ID=088869" TargetMode="External"/><Relationship Id="rId136" Type="http://schemas.openxmlformats.org/officeDocument/2006/relationships/hyperlink" Target="https://us3.assetplanner.com/service_request?ID=101152" TargetMode="External"/><Relationship Id="rId157" Type="http://schemas.openxmlformats.org/officeDocument/2006/relationships/hyperlink" Target="https://us3.assetplanner.com/service_request?ID=101314" TargetMode="External"/><Relationship Id="rId178" Type="http://schemas.openxmlformats.org/officeDocument/2006/relationships/hyperlink" Target="https://us3.assetplanner.com/service_request?ID=101616" TargetMode="External"/><Relationship Id="rId61" Type="http://schemas.openxmlformats.org/officeDocument/2006/relationships/hyperlink" Target="https://us3.assetplanner.com/service_request?ID=100387" TargetMode="External"/><Relationship Id="rId82" Type="http://schemas.openxmlformats.org/officeDocument/2006/relationships/hyperlink" Target="https://us3.assetplanner.com/service_request?ID=100997" TargetMode="External"/><Relationship Id="rId199" Type="http://schemas.openxmlformats.org/officeDocument/2006/relationships/hyperlink" Target="https://us3.assetplanner.com/service_request?ID=099857" TargetMode="External"/><Relationship Id="rId203" Type="http://schemas.openxmlformats.org/officeDocument/2006/relationships/hyperlink" Target="https://us3.assetplanner.com/service_request?ID=098315" TargetMode="External"/><Relationship Id="rId19" Type="http://schemas.openxmlformats.org/officeDocument/2006/relationships/hyperlink" Target="https://us3.assetplanner.com/service_request?ID=098958" TargetMode="External"/><Relationship Id="rId224" Type="http://schemas.openxmlformats.org/officeDocument/2006/relationships/hyperlink" Target="https://us3.assetplanner.com/service_request?ID=102028" TargetMode="External"/><Relationship Id="rId30" Type="http://schemas.openxmlformats.org/officeDocument/2006/relationships/hyperlink" Target="https://us3.assetplanner.com/service_request?ID=101290" TargetMode="External"/><Relationship Id="rId105" Type="http://schemas.openxmlformats.org/officeDocument/2006/relationships/hyperlink" Target="https://us3.assetplanner.com/service_request?ID=099268" TargetMode="External"/><Relationship Id="rId126" Type="http://schemas.openxmlformats.org/officeDocument/2006/relationships/hyperlink" Target="https://us3.assetplanner.com/service_request?ID=095305" TargetMode="External"/><Relationship Id="rId147" Type="http://schemas.openxmlformats.org/officeDocument/2006/relationships/hyperlink" Target="https://us3.assetplanner.com/service_request?ID=101225" TargetMode="External"/><Relationship Id="rId168" Type="http://schemas.openxmlformats.org/officeDocument/2006/relationships/hyperlink" Target="https://us3.assetplanner.com/service_request?ID=098692" TargetMode="External"/><Relationship Id="rId51" Type="http://schemas.openxmlformats.org/officeDocument/2006/relationships/hyperlink" Target="https://us3.assetplanner.com/service_request?ID=100200" TargetMode="External"/><Relationship Id="rId72" Type="http://schemas.openxmlformats.org/officeDocument/2006/relationships/hyperlink" Target="https://us3.assetplanner.com/service_request?ID=101938" TargetMode="External"/><Relationship Id="rId93" Type="http://schemas.openxmlformats.org/officeDocument/2006/relationships/hyperlink" Target="https://us3.assetplanner.com/service_request?ID=099360" TargetMode="External"/><Relationship Id="rId189" Type="http://schemas.openxmlformats.org/officeDocument/2006/relationships/hyperlink" Target="https://us3.assetplanner.com/service_request?ID=099791" TargetMode="External"/><Relationship Id="rId3" Type="http://schemas.openxmlformats.org/officeDocument/2006/relationships/hyperlink" Target="https://us3.assetplanner.com/service_request?ID=099666" TargetMode="External"/><Relationship Id="rId214" Type="http://schemas.openxmlformats.org/officeDocument/2006/relationships/hyperlink" Target="https://us3.assetplanner.com/service_request?ID=100609"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0622" TargetMode="External"/><Relationship Id="rId21" Type="http://schemas.openxmlformats.org/officeDocument/2006/relationships/hyperlink" Target="https://us3.assetplanner.com/service_request?ID=097569" TargetMode="External"/><Relationship Id="rId42" Type="http://schemas.openxmlformats.org/officeDocument/2006/relationships/hyperlink" Target="https://us3.assetplanner.com/service_request?ID=095662" TargetMode="External"/><Relationship Id="rId63" Type="http://schemas.openxmlformats.org/officeDocument/2006/relationships/hyperlink" Target="https://us3.assetplanner.com/service_request?ID=101482" TargetMode="External"/><Relationship Id="rId84" Type="http://schemas.openxmlformats.org/officeDocument/2006/relationships/hyperlink" Target="https://us3.assetplanner.com/service_request?ID=103181" TargetMode="External"/><Relationship Id="rId138" Type="http://schemas.openxmlformats.org/officeDocument/2006/relationships/hyperlink" Target="https://us3.assetplanner.com/service_request?ID=092095" TargetMode="External"/><Relationship Id="rId159" Type="http://schemas.openxmlformats.org/officeDocument/2006/relationships/hyperlink" Target="https://us3.assetplanner.com/service_request?ID=101082" TargetMode="External"/><Relationship Id="rId170" Type="http://schemas.openxmlformats.org/officeDocument/2006/relationships/hyperlink" Target="https://us3.assetplanner.com/service_request?ID=102664" TargetMode="External"/><Relationship Id="rId191" Type="http://schemas.openxmlformats.org/officeDocument/2006/relationships/hyperlink" Target="https://us3.assetplanner.com/service_request?ID=095946" TargetMode="External"/><Relationship Id="rId205" Type="http://schemas.openxmlformats.org/officeDocument/2006/relationships/hyperlink" Target="https://us3.assetplanner.com/service_request?ID=103641" TargetMode="External"/><Relationship Id="rId226" Type="http://schemas.openxmlformats.org/officeDocument/2006/relationships/hyperlink" Target="https://us3.assetplanner.com/service_request?ID=099473" TargetMode="External"/><Relationship Id="rId107" Type="http://schemas.openxmlformats.org/officeDocument/2006/relationships/hyperlink" Target="https://us3.assetplanner.com/service_request?ID=102379" TargetMode="External"/><Relationship Id="rId11" Type="http://schemas.openxmlformats.org/officeDocument/2006/relationships/hyperlink" Target="https://us3.assetplanner.com/service_request?ID=100106" TargetMode="External"/><Relationship Id="rId32" Type="http://schemas.openxmlformats.org/officeDocument/2006/relationships/hyperlink" Target="https://us3.assetplanner.com/service_request?ID=102532" TargetMode="External"/><Relationship Id="rId53" Type="http://schemas.openxmlformats.org/officeDocument/2006/relationships/hyperlink" Target="https://us3.assetplanner.com/service_request?ID=101620" TargetMode="External"/><Relationship Id="rId74" Type="http://schemas.openxmlformats.org/officeDocument/2006/relationships/hyperlink" Target="https://us3.assetplanner.com/service_request?ID=100373" TargetMode="External"/><Relationship Id="rId128" Type="http://schemas.openxmlformats.org/officeDocument/2006/relationships/hyperlink" Target="https://us3.assetplanner.com/service_request?ID=098883" TargetMode="External"/><Relationship Id="rId149" Type="http://schemas.openxmlformats.org/officeDocument/2006/relationships/hyperlink" Target="https://us3.assetplanner.com/service_request?ID=103760" TargetMode="External"/><Relationship Id="rId5" Type="http://schemas.openxmlformats.org/officeDocument/2006/relationships/hyperlink" Target="https://us3.assetplanner.com/service_request?ID=092555" TargetMode="External"/><Relationship Id="rId95" Type="http://schemas.openxmlformats.org/officeDocument/2006/relationships/hyperlink" Target="https://us3.assetplanner.com/service_request?ID=103671" TargetMode="External"/><Relationship Id="rId160" Type="http://schemas.openxmlformats.org/officeDocument/2006/relationships/hyperlink" Target="https://us3.assetplanner.com/service_request?ID=101848" TargetMode="External"/><Relationship Id="rId181" Type="http://schemas.openxmlformats.org/officeDocument/2006/relationships/hyperlink" Target="https://us3.assetplanner.com/service_request?ID=097454" TargetMode="External"/><Relationship Id="rId216" Type="http://schemas.openxmlformats.org/officeDocument/2006/relationships/hyperlink" Target="https://us3.assetplanner.com/service_request?ID=103214" TargetMode="External"/><Relationship Id="rId237" Type="http://schemas.openxmlformats.org/officeDocument/2006/relationships/hyperlink" Target="https://us3.assetplanner.com/service_request?ID=103737" TargetMode="External"/><Relationship Id="rId22" Type="http://schemas.openxmlformats.org/officeDocument/2006/relationships/hyperlink" Target="https://us3.assetplanner.com/service_request?ID=093291" TargetMode="External"/><Relationship Id="rId43" Type="http://schemas.openxmlformats.org/officeDocument/2006/relationships/hyperlink" Target="https://us3.assetplanner.com/service_request?ID=103568" TargetMode="External"/><Relationship Id="rId64" Type="http://schemas.openxmlformats.org/officeDocument/2006/relationships/hyperlink" Target="https://us3.assetplanner.com/service_request?ID=102219" TargetMode="External"/><Relationship Id="rId118" Type="http://schemas.openxmlformats.org/officeDocument/2006/relationships/hyperlink" Target="https://us3.assetplanner.com/service_request?ID=095581" TargetMode="External"/><Relationship Id="rId139" Type="http://schemas.openxmlformats.org/officeDocument/2006/relationships/hyperlink" Target="https://us3.assetplanner.com/service_request?ID=101997" TargetMode="External"/><Relationship Id="rId85" Type="http://schemas.openxmlformats.org/officeDocument/2006/relationships/hyperlink" Target="https://us3.assetplanner.com/service_request?ID=102996" TargetMode="External"/><Relationship Id="rId150" Type="http://schemas.openxmlformats.org/officeDocument/2006/relationships/hyperlink" Target="https://us3.assetplanner.com/service_request?ID=103174" TargetMode="External"/><Relationship Id="rId171" Type="http://schemas.openxmlformats.org/officeDocument/2006/relationships/hyperlink" Target="https://us3.assetplanner.com/service_request?ID=103019" TargetMode="External"/><Relationship Id="rId192" Type="http://schemas.openxmlformats.org/officeDocument/2006/relationships/hyperlink" Target="https://us3.assetplanner.com/service_request?ID=103482" TargetMode="External"/><Relationship Id="rId206" Type="http://schemas.openxmlformats.org/officeDocument/2006/relationships/hyperlink" Target="https://us3.assetplanner.com/service_request?ID=103805" TargetMode="External"/><Relationship Id="rId227" Type="http://schemas.openxmlformats.org/officeDocument/2006/relationships/hyperlink" Target="https://us3.assetplanner.com/service_request?ID=102805" TargetMode="External"/><Relationship Id="rId12" Type="http://schemas.openxmlformats.org/officeDocument/2006/relationships/hyperlink" Target="https://us3.assetplanner.com/service_request?ID=091894" TargetMode="External"/><Relationship Id="rId33" Type="http://schemas.openxmlformats.org/officeDocument/2006/relationships/hyperlink" Target="https://us3.assetplanner.com/service_request?ID=103286" TargetMode="External"/><Relationship Id="rId108" Type="http://schemas.openxmlformats.org/officeDocument/2006/relationships/hyperlink" Target="https://us3.assetplanner.com/service_request?ID=102380" TargetMode="External"/><Relationship Id="rId129" Type="http://schemas.openxmlformats.org/officeDocument/2006/relationships/hyperlink" Target="https://us3.assetplanner.com/service_request?ID=092332" TargetMode="External"/><Relationship Id="rId54" Type="http://schemas.openxmlformats.org/officeDocument/2006/relationships/hyperlink" Target="https://us3.assetplanner.com/service_request?ID=102364" TargetMode="External"/><Relationship Id="rId75" Type="http://schemas.openxmlformats.org/officeDocument/2006/relationships/hyperlink" Target="https://us3.assetplanner.com/service_request?ID=103651" TargetMode="External"/><Relationship Id="rId96" Type="http://schemas.openxmlformats.org/officeDocument/2006/relationships/hyperlink" Target="https://us3.assetplanner.com/service_request?ID=103671" TargetMode="External"/><Relationship Id="rId140" Type="http://schemas.openxmlformats.org/officeDocument/2006/relationships/hyperlink" Target="https://us3.assetplanner.com/service_request?ID=103021" TargetMode="External"/><Relationship Id="rId161" Type="http://schemas.openxmlformats.org/officeDocument/2006/relationships/hyperlink" Target="https://us3.assetplanner.com/service_request?ID=103374" TargetMode="External"/><Relationship Id="rId182" Type="http://schemas.openxmlformats.org/officeDocument/2006/relationships/hyperlink" Target="https://us3.assetplanner.com/service_request?ID=099118" TargetMode="External"/><Relationship Id="rId217" Type="http://schemas.openxmlformats.org/officeDocument/2006/relationships/hyperlink" Target="https://us3.assetplanner.com/service_request?ID=101228" TargetMode="External"/><Relationship Id="rId6" Type="http://schemas.openxmlformats.org/officeDocument/2006/relationships/hyperlink" Target="https://us3.assetplanner.com/service_request?ID=102842" TargetMode="External"/><Relationship Id="rId23" Type="http://schemas.openxmlformats.org/officeDocument/2006/relationships/hyperlink" Target="https://us3.assetplanner.com/service_request?ID=095666" TargetMode="External"/><Relationship Id="rId119" Type="http://schemas.openxmlformats.org/officeDocument/2006/relationships/hyperlink" Target="https://us3.assetplanner.com/service_request?ID=100771" TargetMode="External"/><Relationship Id="rId44" Type="http://schemas.openxmlformats.org/officeDocument/2006/relationships/hyperlink" Target="https://us3.assetplanner.com/service_request?ID=102436" TargetMode="External"/><Relationship Id="rId65" Type="http://schemas.openxmlformats.org/officeDocument/2006/relationships/hyperlink" Target="https://us3.assetplanner.com/service_request?ID=099403" TargetMode="External"/><Relationship Id="rId86" Type="http://schemas.openxmlformats.org/officeDocument/2006/relationships/hyperlink" Target="https://us3.assetplanner.com/service_request?ID=103257" TargetMode="External"/><Relationship Id="rId130" Type="http://schemas.openxmlformats.org/officeDocument/2006/relationships/hyperlink" Target="https://us3.assetplanner.com/service_request?ID=095649" TargetMode="External"/><Relationship Id="rId151" Type="http://schemas.openxmlformats.org/officeDocument/2006/relationships/hyperlink" Target="https://us3.assetplanner.com/service_request?ID=103321" TargetMode="External"/><Relationship Id="rId172" Type="http://schemas.openxmlformats.org/officeDocument/2006/relationships/hyperlink" Target="https://us3.assetplanner.com/service_request?ID=103279" TargetMode="External"/><Relationship Id="rId193" Type="http://schemas.openxmlformats.org/officeDocument/2006/relationships/hyperlink" Target="https://us3.assetplanner.com/service_request?ID=099930" TargetMode="External"/><Relationship Id="rId207" Type="http://schemas.openxmlformats.org/officeDocument/2006/relationships/hyperlink" Target="https://us3.assetplanner.com/service_request?ID=103246" TargetMode="External"/><Relationship Id="rId228" Type="http://schemas.openxmlformats.org/officeDocument/2006/relationships/hyperlink" Target="https://us3.assetplanner.com/service_request?ID=103193" TargetMode="External"/><Relationship Id="rId13" Type="http://schemas.openxmlformats.org/officeDocument/2006/relationships/hyperlink" Target="https://us3.assetplanner.com/service_request?ID=103051" TargetMode="External"/><Relationship Id="rId109" Type="http://schemas.openxmlformats.org/officeDocument/2006/relationships/hyperlink" Target="https://us3.assetplanner.com/service_request?ID=102984" TargetMode="External"/><Relationship Id="rId34" Type="http://schemas.openxmlformats.org/officeDocument/2006/relationships/hyperlink" Target="https://us3.assetplanner.com/service_request?ID=103116" TargetMode="External"/><Relationship Id="rId55" Type="http://schemas.openxmlformats.org/officeDocument/2006/relationships/hyperlink" Target="https://us3.assetplanner.com/service_request?ID=102506" TargetMode="External"/><Relationship Id="rId76" Type="http://schemas.openxmlformats.org/officeDocument/2006/relationships/hyperlink" Target="https://us3.assetplanner.com/service_request?ID=092964" TargetMode="External"/><Relationship Id="rId97" Type="http://schemas.openxmlformats.org/officeDocument/2006/relationships/hyperlink" Target="https://us3.assetplanner.com/service_request?ID=101820" TargetMode="External"/><Relationship Id="rId120" Type="http://schemas.openxmlformats.org/officeDocument/2006/relationships/hyperlink" Target="https://us3.assetplanner.com/service_request?ID=103354" TargetMode="External"/><Relationship Id="rId141" Type="http://schemas.openxmlformats.org/officeDocument/2006/relationships/hyperlink" Target="https://us3.assetplanner.com/service_request?ID=101219" TargetMode="External"/><Relationship Id="rId7" Type="http://schemas.openxmlformats.org/officeDocument/2006/relationships/hyperlink" Target="https://us3.assetplanner.com/service_request?ID=103545" TargetMode="External"/><Relationship Id="rId162" Type="http://schemas.openxmlformats.org/officeDocument/2006/relationships/hyperlink" Target="https://us3.assetplanner.com/service_request?ID=101915" TargetMode="External"/><Relationship Id="rId183" Type="http://schemas.openxmlformats.org/officeDocument/2006/relationships/hyperlink" Target="https://us3.assetplanner.com/service_request?ID=103367" TargetMode="External"/><Relationship Id="rId218" Type="http://schemas.openxmlformats.org/officeDocument/2006/relationships/hyperlink" Target="https://us3.assetplanner.com/service_request?ID=098278" TargetMode="External"/><Relationship Id="rId24" Type="http://schemas.openxmlformats.org/officeDocument/2006/relationships/hyperlink" Target="https://us3.assetplanner.com/service_request?ID=102970" TargetMode="External"/><Relationship Id="rId45" Type="http://schemas.openxmlformats.org/officeDocument/2006/relationships/hyperlink" Target="https://us3.assetplanner.com/service_request?ID=102437" TargetMode="External"/><Relationship Id="rId66" Type="http://schemas.openxmlformats.org/officeDocument/2006/relationships/hyperlink" Target="https://us3.assetplanner.com/service_request?ID=102665" TargetMode="External"/><Relationship Id="rId87" Type="http://schemas.openxmlformats.org/officeDocument/2006/relationships/hyperlink" Target="https://us3.assetplanner.com/service_request?ID=103260" TargetMode="External"/><Relationship Id="rId110" Type="http://schemas.openxmlformats.org/officeDocument/2006/relationships/hyperlink" Target="https://us3.assetplanner.com/service_request?ID=101282" TargetMode="External"/><Relationship Id="rId131" Type="http://schemas.openxmlformats.org/officeDocument/2006/relationships/hyperlink" Target="https://us3.assetplanner.com/service_request?ID=102198" TargetMode="External"/><Relationship Id="rId152" Type="http://schemas.openxmlformats.org/officeDocument/2006/relationships/hyperlink" Target="https://us3.assetplanner.com/service_request?ID=103538" TargetMode="External"/><Relationship Id="rId173" Type="http://schemas.openxmlformats.org/officeDocument/2006/relationships/hyperlink" Target="https://us3.assetplanner.com/service_request?ID=103668" TargetMode="External"/><Relationship Id="rId194" Type="http://schemas.openxmlformats.org/officeDocument/2006/relationships/hyperlink" Target="https://us3.assetplanner.com/service_request?ID=103141" TargetMode="External"/><Relationship Id="rId208" Type="http://schemas.openxmlformats.org/officeDocument/2006/relationships/hyperlink" Target="https://us3.assetplanner.com/service_request?ID=103557" TargetMode="External"/><Relationship Id="rId229" Type="http://schemas.openxmlformats.org/officeDocument/2006/relationships/hyperlink" Target="https://us3.assetplanner.com/service_request?ID=103271" TargetMode="External"/><Relationship Id="rId14" Type="http://schemas.openxmlformats.org/officeDocument/2006/relationships/hyperlink" Target="https://us3.assetplanner.com/service_request?ID=093047" TargetMode="External"/><Relationship Id="rId35" Type="http://schemas.openxmlformats.org/officeDocument/2006/relationships/hyperlink" Target="https://us3.assetplanner.com/service_request?ID=103569" TargetMode="External"/><Relationship Id="rId56" Type="http://schemas.openxmlformats.org/officeDocument/2006/relationships/hyperlink" Target="https://us3.assetplanner.com/service_request?ID=102821" TargetMode="External"/><Relationship Id="rId77" Type="http://schemas.openxmlformats.org/officeDocument/2006/relationships/hyperlink" Target="https://us3.assetplanner.com/service_request?ID=095253" TargetMode="External"/><Relationship Id="rId100" Type="http://schemas.openxmlformats.org/officeDocument/2006/relationships/hyperlink" Target="https://us3.assetplanner.com/service_request?ID=102937" TargetMode="External"/><Relationship Id="rId8" Type="http://schemas.openxmlformats.org/officeDocument/2006/relationships/hyperlink" Target="https://us3.assetplanner.com/service_request?ID=103721" TargetMode="External"/><Relationship Id="rId98" Type="http://schemas.openxmlformats.org/officeDocument/2006/relationships/hyperlink" Target="https://us3.assetplanner.com/service_request?ID=099347" TargetMode="External"/><Relationship Id="rId121" Type="http://schemas.openxmlformats.org/officeDocument/2006/relationships/hyperlink" Target="https://us3.assetplanner.com/service_request?ID=102474" TargetMode="External"/><Relationship Id="rId142" Type="http://schemas.openxmlformats.org/officeDocument/2006/relationships/hyperlink" Target="https://us3.assetplanner.com/service_request?ID=095305" TargetMode="External"/><Relationship Id="rId163" Type="http://schemas.openxmlformats.org/officeDocument/2006/relationships/hyperlink" Target="https://us3.assetplanner.com/service_request?ID=095624" TargetMode="External"/><Relationship Id="rId184" Type="http://schemas.openxmlformats.org/officeDocument/2006/relationships/hyperlink" Target="https://us3.assetplanner.com/service_request?ID=102212" TargetMode="External"/><Relationship Id="rId219" Type="http://schemas.openxmlformats.org/officeDocument/2006/relationships/hyperlink" Target="https://us3.assetplanner.com/service_request?ID=098670" TargetMode="External"/><Relationship Id="rId230" Type="http://schemas.openxmlformats.org/officeDocument/2006/relationships/hyperlink" Target="https://us3.assetplanner.com/service_request?ID=103687" TargetMode="External"/><Relationship Id="rId25" Type="http://schemas.openxmlformats.org/officeDocument/2006/relationships/hyperlink" Target="https://us3.assetplanner.com/service_request?ID=093292" TargetMode="External"/><Relationship Id="rId46" Type="http://schemas.openxmlformats.org/officeDocument/2006/relationships/hyperlink" Target="https://us3.assetplanner.com/service_request?ID=101354" TargetMode="External"/><Relationship Id="rId67" Type="http://schemas.openxmlformats.org/officeDocument/2006/relationships/hyperlink" Target="https://us3.assetplanner.com/service_request?ID=102427" TargetMode="External"/><Relationship Id="rId88" Type="http://schemas.openxmlformats.org/officeDocument/2006/relationships/hyperlink" Target="https://us3.assetplanner.com/service_request?ID=103266" TargetMode="External"/><Relationship Id="rId111" Type="http://schemas.openxmlformats.org/officeDocument/2006/relationships/hyperlink" Target="https://us3.assetplanner.com/service_request?ID=099726" TargetMode="External"/><Relationship Id="rId132" Type="http://schemas.openxmlformats.org/officeDocument/2006/relationships/hyperlink" Target="https://us3.assetplanner.com/service_request?ID=101942" TargetMode="External"/><Relationship Id="rId153" Type="http://schemas.openxmlformats.org/officeDocument/2006/relationships/hyperlink" Target="https://us3.assetplanner.com/service_request?ID=103570" TargetMode="External"/><Relationship Id="rId174" Type="http://schemas.openxmlformats.org/officeDocument/2006/relationships/hyperlink" Target="https://us3.assetplanner.com/service_request?ID=098692" TargetMode="External"/><Relationship Id="rId195" Type="http://schemas.openxmlformats.org/officeDocument/2006/relationships/hyperlink" Target="https://us3.assetplanner.com/service_request?ID=099791" TargetMode="External"/><Relationship Id="rId209" Type="http://schemas.openxmlformats.org/officeDocument/2006/relationships/hyperlink" Target="https://us3.assetplanner.com/service_request?ID=100220" TargetMode="External"/><Relationship Id="rId190" Type="http://schemas.openxmlformats.org/officeDocument/2006/relationships/hyperlink" Target="https://us3.assetplanner.com/service_request?ID=103457" TargetMode="External"/><Relationship Id="rId204" Type="http://schemas.openxmlformats.org/officeDocument/2006/relationships/hyperlink" Target="https://us3.assetplanner.com/service_request?ID=102888" TargetMode="External"/><Relationship Id="rId220" Type="http://schemas.openxmlformats.org/officeDocument/2006/relationships/hyperlink" Target="https://us3.assetplanner.com/service_request?ID=102684" TargetMode="External"/><Relationship Id="rId225" Type="http://schemas.openxmlformats.org/officeDocument/2006/relationships/hyperlink" Target="https://us3.assetplanner.com/service_request?ID=103643" TargetMode="External"/><Relationship Id="rId15" Type="http://schemas.openxmlformats.org/officeDocument/2006/relationships/hyperlink" Target="https://us3.assetplanner.com/service_request?ID=102472" TargetMode="External"/><Relationship Id="rId36" Type="http://schemas.openxmlformats.org/officeDocument/2006/relationships/hyperlink" Target="https://us3.assetplanner.com/service_request?ID=088813" TargetMode="External"/><Relationship Id="rId57" Type="http://schemas.openxmlformats.org/officeDocument/2006/relationships/hyperlink" Target="https://us3.assetplanner.com/service_request?ID=102951" TargetMode="External"/><Relationship Id="rId106" Type="http://schemas.openxmlformats.org/officeDocument/2006/relationships/hyperlink" Target="https://us3.assetplanner.com/service_request?ID=103080" TargetMode="External"/><Relationship Id="rId127" Type="http://schemas.openxmlformats.org/officeDocument/2006/relationships/hyperlink" Target="https://us3.assetplanner.com/service_request?ID=100464" TargetMode="External"/><Relationship Id="rId10" Type="http://schemas.openxmlformats.org/officeDocument/2006/relationships/hyperlink" Target="https://us3.assetplanner.com/service_request?ID=093028" TargetMode="External"/><Relationship Id="rId31" Type="http://schemas.openxmlformats.org/officeDocument/2006/relationships/hyperlink" Target="https://us3.assetplanner.com/service_request?ID=102672" TargetMode="External"/><Relationship Id="rId52" Type="http://schemas.openxmlformats.org/officeDocument/2006/relationships/hyperlink" Target="https://us3.assetplanner.com/service_request?ID=103150" TargetMode="External"/><Relationship Id="rId73" Type="http://schemas.openxmlformats.org/officeDocument/2006/relationships/hyperlink" Target="https://us3.assetplanner.com/service_request?ID=098998" TargetMode="External"/><Relationship Id="rId78" Type="http://schemas.openxmlformats.org/officeDocument/2006/relationships/hyperlink" Target="https://us3.assetplanner.com/service_request?ID=098877" TargetMode="External"/><Relationship Id="rId94" Type="http://schemas.openxmlformats.org/officeDocument/2006/relationships/hyperlink" Target="https://us3.assetplanner.com/service_request?ID=103314" TargetMode="External"/><Relationship Id="rId99" Type="http://schemas.openxmlformats.org/officeDocument/2006/relationships/hyperlink" Target="https://us3.assetplanner.com/service_request?ID=102360" TargetMode="External"/><Relationship Id="rId101" Type="http://schemas.openxmlformats.org/officeDocument/2006/relationships/hyperlink" Target="https://us3.assetplanner.com/service_request?ID=102637" TargetMode="External"/><Relationship Id="rId122" Type="http://schemas.openxmlformats.org/officeDocument/2006/relationships/hyperlink" Target="https://us3.assetplanner.com/service_request?ID=102386" TargetMode="External"/><Relationship Id="rId143" Type="http://schemas.openxmlformats.org/officeDocument/2006/relationships/hyperlink" Target="https://us3.assetplanner.com/service_request?ID=103423" TargetMode="External"/><Relationship Id="rId148" Type="http://schemas.openxmlformats.org/officeDocument/2006/relationships/hyperlink" Target="https://us3.assetplanner.com/service_request?ID=101152" TargetMode="External"/><Relationship Id="rId164" Type="http://schemas.openxmlformats.org/officeDocument/2006/relationships/hyperlink" Target="https://us3.assetplanner.com/service_request?ID=097725" TargetMode="External"/><Relationship Id="rId169" Type="http://schemas.openxmlformats.org/officeDocument/2006/relationships/hyperlink" Target="https://us3.assetplanner.com/service_request?ID=103685" TargetMode="External"/><Relationship Id="rId185" Type="http://schemas.openxmlformats.org/officeDocument/2006/relationships/hyperlink" Target="https://us3.assetplanner.com/service_request?ID=102640" TargetMode="External"/><Relationship Id="rId4" Type="http://schemas.openxmlformats.org/officeDocument/2006/relationships/hyperlink" Target="https://us3.assetplanner.com/service_request?ID=101037" TargetMode="External"/><Relationship Id="rId9" Type="http://schemas.openxmlformats.org/officeDocument/2006/relationships/hyperlink" Target="https://us3.assetplanner.com/service_request?ID=092556" TargetMode="External"/><Relationship Id="rId180" Type="http://schemas.openxmlformats.org/officeDocument/2006/relationships/hyperlink" Target="https://us3.assetplanner.com/service_request?ID=098860" TargetMode="External"/><Relationship Id="rId210" Type="http://schemas.openxmlformats.org/officeDocument/2006/relationships/hyperlink" Target="https://us3.assetplanner.com/service_request?ID=102012" TargetMode="External"/><Relationship Id="rId215" Type="http://schemas.openxmlformats.org/officeDocument/2006/relationships/hyperlink" Target="https://us3.assetplanner.com/service_request?ID=102630" TargetMode="External"/><Relationship Id="rId236" Type="http://schemas.openxmlformats.org/officeDocument/2006/relationships/hyperlink" Target="https://us3.assetplanner.com/service_request?ID=102779" TargetMode="External"/><Relationship Id="rId26" Type="http://schemas.openxmlformats.org/officeDocument/2006/relationships/hyperlink" Target="https://us3.assetplanner.com/service_request?ID=093633" TargetMode="External"/><Relationship Id="rId231" Type="http://schemas.openxmlformats.org/officeDocument/2006/relationships/hyperlink" Target="https://us3.assetplanner.com/service_request?ID=103689" TargetMode="External"/><Relationship Id="rId47" Type="http://schemas.openxmlformats.org/officeDocument/2006/relationships/hyperlink" Target="https://us3.assetplanner.com/service_request?ID=102217" TargetMode="External"/><Relationship Id="rId68" Type="http://schemas.openxmlformats.org/officeDocument/2006/relationships/hyperlink" Target="https://us3.assetplanner.com/service_request?ID=093024" TargetMode="External"/><Relationship Id="rId89" Type="http://schemas.openxmlformats.org/officeDocument/2006/relationships/hyperlink" Target="https://us3.assetplanner.com/service_request?ID=103181" TargetMode="External"/><Relationship Id="rId112" Type="http://schemas.openxmlformats.org/officeDocument/2006/relationships/hyperlink" Target="https://us3.assetplanner.com/service_request?ID=095073" TargetMode="External"/><Relationship Id="rId133" Type="http://schemas.openxmlformats.org/officeDocument/2006/relationships/hyperlink" Target="https://us3.assetplanner.com/service_request?ID=088869" TargetMode="External"/><Relationship Id="rId154" Type="http://schemas.openxmlformats.org/officeDocument/2006/relationships/hyperlink" Target="https://us3.assetplanner.com/service_request?ID=102601" TargetMode="External"/><Relationship Id="rId175" Type="http://schemas.openxmlformats.org/officeDocument/2006/relationships/hyperlink" Target="https://us3.assetplanner.com/service_request?ID=102638" TargetMode="External"/><Relationship Id="rId196" Type="http://schemas.openxmlformats.org/officeDocument/2006/relationships/hyperlink" Target="https://us3.assetplanner.com/service_request?ID=099792" TargetMode="External"/><Relationship Id="rId200" Type="http://schemas.openxmlformats.org/officeDocument/2006/relationships/hyperlink" Target="https://us3.assetplanner.com/service_request?ID=103361" TargetMode="External"/><Relationship Id="rId16" Type="http://schemas.openxmlformats.org/officeDocument/2006/relationships/hyperlink" Target="https://us3.assetplanner.com/service_request?ID=103460" TargetMode="External"/><Relationship Id="rId221" Type="http://schemas.openxmlformats.org/officeDocument/2006/relationships/hyperlink" Target="https://us3.assetplanner.com/service_request?ID=103541" TargetMode="External"/><Relationship Id="rId37" Type="http://schemas.openxmlformats.org/officeDocument/2006/relationships/hyperlink" Target="https://us3.assetplanner.com/service_request?ID=093324" TargetMode="External"/><Relationship Id="rId58" Type="http://schemas.openxmlformats.org/officeDocument/2006/relationships/hyperlink" Target="https://us3.assetplanner.com/service_request?ID=103185" TargetMode="External"/><Relationship Id="rId79" Type="http://schemas.openxmlformats.org/officeDocument/2006/relationships/hyperlink" Target="https://us3.assetplanner.com/service_request?ID=102662" TargetMode="External"/><Relationship Id="rId102" Type="http://schemas.openxmlformats.org/officeDocument/2006/relationships/hyperlink" Target="https://us3.assetplanner.com/service_request?ID=103167" TargetMode="External"/><Relationship Id="rId123" Type="http://schemas.openxmlformats.org/officeDocument/2006/relationships/hyperlink" Target="https://us3.assetplanner.com/service_request?ID=099268" TargetMode="External"/><Relationship Id="rId144" Type="http://schemas.openxmlformats.org/officeDocument/2006/relationships/hyperlink" Target="https://us3.assetplanner.com/service_request?ID=101010" TargetMode="External"/><Relationship Id="rId90" Type="http://schemas.openxmlformats.org/officeDocument/2006/relationships/hyperlink" Target="https://us3.assetplanner.com/service_request?ID=103257" TargetMode="External"/><Relationship Id="rId165" Type="http://schemas.openxmlformats.org/officeDocument/2006/relationships/hyperlink" Target="https://us3.assetplanner.com/service_request?ID=102628" TargetMode="External"/><Relationship Id="rId186" Type="http://schemas.openxmlformats.org/officeDocument/2006/relationships/hyperlink" Target="https://us3.assetplanner.com/service_request?ID=103552" TargetMode="External"/><Relationship Id="rId211" Type="http://schemas.openxmlformats.org/officeDocument/2006/relationships/hyperlink" Target="https://us3.assetplanner.com/service_request?ID=103076" TargetMode="External"/><Relationship Id="rId232"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3294" TargetMode="External"/><Relationship Id="rId48" Type="http://schemas.openxmlformats.org/officeDocument/2006/relationships/hyperlink" Target="https://us3.assetplanner.com/service_request?ID=102507" TargetMode="External"/><Relationship Id="rId69" Type="http://schemas.openxmlformats.org/officeDocument/2006/relationships/hyperlink" Target="https://us3.assetplanner.com/service_request?ID=098198" TargetMode="External"/><Relationship Id="rId113" Type="http://schemas.openxmlformats.org/officeDocument/2006/relationships/hyperlink" Target="https://us3.assetplanner.com/service_request?ID=103366" TargetMode="External"/><Relationship Id="rId134" Type="http://schemas.openxmlformats.org/officeDocument/2006/relationships/hyperlink" Target="https://us3.assetplanner.com/service_request?ID=092209" TargetMode="External"/><Relationship Id="rId80" Type="http://schemas.openxmlformats.org/officeDocument/2006/relationships/hyperlink" Target="https://us3.assetplanner.com/service_request?ID=101912" TargetMode="External"/><Relationship Id="rId155" Type="http://schemas.openxmlformats.org/officeDocument/2006/relationships/hyperlink" Target="https://us3.assetplanner.com/service_request?ID=102895" TargetMode="External"/><Relationship Id="rId176" Type="http://schemas.openxmlformats.org/officeDocument/2006/relationships/hyperlink" Target="https://us3.assetplanner.com/service_request?ID=099686" TargetMode="External"/><Relationship Id="rId197" Type="http://schemas.openxmlformats.org/officeDocument/2006/relationships/hyperlink" Target="https://us3.assetplanner.com/service_request?ID=103096" TargetMode="External"/><Relationship Id="rId201" Type="http://schemas.openxmlformats.org/officeDocument/2006/relationships/hyperlink" Target="https://us3.assetplanner.com/service_request?ID=101940" TargetMode="External"/><Relationship Id="rId222" Type="http://schemas.openxmlformats.org/officeDocument/2006/relationships/hyperlink" Target="https://us3.assetplanner.com/service_request?ID=103547" TargetMode="External"/><Relationship Id="rId17" Type="http://schemas.openxmlformats.org/officeDocument/2006/relationships/hyperlink" Target="https://us3.assetplanner.com/service_request?ID=103558" TargetMode="External"/><Relationship Id="rId38" Type="http://schemas.openxmlformats.org/officeDocument/2006/relationships/hyperlink" Target="https://us3.assetplanner.com/service_request?ID=102499" TargetMode="External"/><Relationship Id="rId59" Type="http://schemas.openxmlformats.org/officeDocument/2006/relationships/hyperlink" Target="https://us3.assetplanner.com/service_request?ID=103185" TargetMode="External"/><Relationship Id="rId103" Type="http://schemas.openxmlformats.org/officeDocument/2006/relationships/hyperlink" Target="https://us3.assetplanner.com/service_request?ID=095109" TargetMode="External"/><Relationship Id="rId124" Type="http://schemas.openxmlformats.org/officeDocument/2006/relationships/hyperlink" Target="https://us3.assetplanner.com/service_request?ID=093354" TargetMode="External"/><Relationship Id="rId70" Type="http://schemas.openxmlformats.org/officeDocument/2006/relationships/hyperlink" Target="https://us3.assetplanner.com/service_request?ID=100200" TargetMode="External"/><Relationship Id="rId91" Type="http://schemas.openxmlformats.org/officeDocument/2006/relationships/hyperlink" Target="https://us3.assetplanner.com/service_request?ID=103260" TargetMode="External"/><Relationship Id="rId145" Type="http://schemas.openxmlformats.org/officeDocument/2006/relationships/hyperlink" Target="https://us3.assetplanner.com/service_request?ID=100985" TargetMode="External"/><Relationship Id="rId166" Type="http://schemas.openxmlformats.org/officeDocument/2006/relationships/hyperlink" Target="https://us3.assetplanner.com/service_request?ID=101314" TargetMode="External"/><Relationship Id="rId187" Type="http://schemas.openxmlformats.org/officeDocument/2006/relationships/hyperlink" Target="https://us3.assetplanner.com/service_request?ID=103476" TargetMode="External"/><Relationship Id="rId1" Type="http://schemas.openxmlformats.org/officeDocument/2006/relationships/hyperlink" Target="https://us3.assetplanner.com/service_request?ID=101016" TargetMode="External"/><Relationship Id="rId212" Type="http://schemas.openxmlformats.org/officeDocument/2006/relationships/hyperlink" Target="https://us3.assetplanner.com/service_request?ID=097816" TargetMode="External"/><Relationship Id="rId233" Type="http://schemas.openxmlformats.org/officeDocument/2006/relationships/hyperlink" Target="https://us3.assetplanner.com/service_request?ID=103313" TargetMode="External"/><Relationship Id="rId28" Type="http://schemas.openxmlformats.org/officeDocument/2006/relationships/hyperlink" Target="https://us3.assetplanner.com/service_request?ID=103533" TargetMode="External"/><Relationship Id="rId49" Type="http://schemas.openxmlformats.org/officeDocument/2006/relationships/hyperlink" Target="https://us3.assetplanner.com/service_request?ID=098641" TargetMode="External"/><Relationship Id="rId114" Type="http://schemas.openxmlformats.org/officeDocument/2006/relationships/hyperlink" Target="https://us3.assetplanner.com/service_request?ID=103366" TargetMode="External"/><Relationship Id="rId60" Type="http://schemas.openxmlformats.org/officeDocument/2006/relationships/hyperlink" Target="https://us3.assetplanner.com/service_request?ID=102460" TargetMode="External"/><Relationship Id="rId81" Type="http://schemas.openxmlformats.org/officeDocument/2006/relationships/hyperlink" Target="https://us3.assetplanner.com/service_request?ID=102335" TargetMode="External"/><Relationship Id="rId135" Type="http://schemas.openxmlformats.org/officeDocument/2006/relationships/hyperlink" Target="https://us3.assetplanner.com/service_request?ID=101998" TargetMode="External"/><Relationship Id="rId156" Type="http://schemas.openxmlformats.org/officeDocument/2006/relationships/hyperlink" Target="https://us3.assetplanner.com/service_request?ID=100101" TargetMode="External"/><Relationship Id="rId177" Type="http://schemas.openxmlformats.org/officeDocument/2006/relationships/hyperlink" Target="https://us3.assetplanner.com/service_request?ID=094820" TargetMode="External"/><Relationship Id="rId198" Type="http://schemas.openxmlformats.org/officeDocument/2006/relationships/hyperlink" Target="https://us3.assetplanner.com/service_request?ID=099793" TargetMode="External"/><Relationship Id="rId202" Type="http://schemas.openxmlformats.org/officeDocument/2006/relationships/hyperlink" Target="https://us3.assetplanner.com/service_request?ID=100587" TargetMode="External"/><Relationship Id="rId223" Type="http://schemas.openxmlformats.org/officeDocument/2006/relationships/hyperlink" Target="https://us3.assetplanner.com/service_request?ID=098066" TargetMode="External"/><Relationship Id="rId18" Type="http://schemas.openxmlformats.org/officeDocument/2006/relationships/hyperlink" Target="https://us3.assetplanner.com/service_request?ID=102435" TargetMode="External"/><Relationship Id="rId39" Type="http://schemas.openxmlformats.org/officeDocument/2006/relationships/hyperlink" Target="https://us3.assetplanner.com/service_request?ID=102920" TargetMode="External"/><Relationship Id="rId50" Type="http://schemas.openxmlformats.org/officeDocument/2006/relationships/hyperlink" Target="https://us3.assetplanner.com/service_request?ID=101620" TargetMode="External"/><Relationship Id="rId104" Type="http://schemas.openxmlformats.org/officeDocument/2006/relationships/hyperlink" Target="https://us3.assetplanner.com/service_request?ID=102378" TargetMode="External"/><Relationship Id="rId125" Type="http://schemas.openxmlformats.org/officeDocument/2006/relationships/hyperlink" Target="https://us3.assetplanner.com/service_request?ID=101102" TargetMode="External"/><Relationship Id="rId146" Type="http://schemas.openxmlformats.org/officeDocument/2006/relationships/hyperlink" Target="https://us3.assetplanner.com/service_request?ID=101223" TargetMode="External"/><Relationship Id="rId167" Type="http://schemas.openxmlformats.org/officeDocument/2006/relationships/hyperlink" Target="https://us3.assetplanner.com/service_request?ID=101947" TargetMode="External"/><Relationship Id="rId188" Type="http://schemas.openxmlformats.org/officeDocument/2006/relationships/hyperlink" Target="https://us3.assetplanner.com/service_request?ID=103477" TargetMode="External"/><Relationship Id="rId71" Type="http://schemas.openxmlformats.org/officeDocument/2006/relationships/hyperlink" Target="https://us3.assetplanner.com/service_request?ID=100625" TargetMode="External"/><Relationship Id="rId92" Type="http://schemas.openxmlformats.org/officeDocument/2006/relationships/hyperlink" Target="https://us3.assetplanner.com/service_request?ID=102298" TargetMode="External"/><Relationship Id="rId213" Type="http://schemas.openxmlformats.org/officeDocument/2006/relationships/hyperlink" Target="https://us3.assetplanner.com/service_request?ID=101645" TargetMode="External"/><Relationship Id="rId234" Type="http://schemas.openxmlformats.org/officeDocument/2006/relationships/hyperlink" Target="https://us3.assetplanner.com/service_request?ID=103353" TargetMode="External"/><Relationship Id="rId2" Type="http://schemas.openxmlformats.org/officeDocument/2006/relationships/hyperlink" Target="https://us3.assetplanner.com/service_request?ID=103162" TargetMode="External"/><Relationship Id="rId29" Type="http://schemas.openxmlformats.org/officeDocument/2006/relationships/hyperlink" Target="https://us3.assetplanner.com/service_request?ID=103259" TargetMode="External"/><Relationship Id="rId40" Type="http://schemas.openxmlformats.org/officeDocument/2006/relationships/hyperlink" Target="https://us3.assetplanner.com/service_request?ID=093326" TargetMode="External"/><Relationship Id="rId115" Type="http://schemas.openxmlformats.org/officeDocument/2006/relationships/hyperlink" Target="https://us3.assetplanner.com/service_request?ID=091181" TargetMode="External"/><Relationship Id="rId136" Type="http://schemas.openxmlformats.org/officeDocument/2006/relationships/hyperlink" Target="https://us3.assetplanner.com/service_request?ID=092255" TargetMode="External"/><Relationship Id="rId157" Type="http://schemas.openxmlformats.org/officeDocument/2006/relationships/hyperlink" Target="https://us3.assetplanner.com/service_request?ID=102328" TargetMode="External"/><Relationship Id="rId178" Type="http://schemas.openxmlformats.org/officeDocument/2006/relationships/hyperlink" Target="https://us3.assetplanner.com/service_request?ID=101931" TargetMode="External"/><Relationship Id="rId61" Type="http://schemas.openxmlformats.org/officeDocument/2006/relationships/hyperlink" Target="https://us3.assetplanner.com/service_request?ID=100623" TargetMode="External"/><Relationship Id="rId82" Type="http://schemas.openxmlformats.org/officeDocument/2006/relationships/hyperlink" Target="https://us3.assetplanner.com/service_request?ID=102682" TargetMode="External"/><Relationship Id="rId199" Type="http://schemas.openxmlformats.org/officeDocument/2006/relationships/hyperlink" Target="https://us3.assetplanner.com/service_request?ID=103710" TargetMode="External"/><Relationship Id="rId203" Type="http://schemas.openxmlformats.org/officeDocument/2006/relationships/hyperlink" Target="https://us3.assetplanner.com/service_request?ID=103188" TargetMode="External"/><Relationship Id="rId19" Type="http://schemas.openxmlformats.org/officeDocument/2006/relationships/hyperlink" Target="https://us3.assetplanner.com/service_request?ID=093289" TargetMode="External"/><Relationship Id="rId224" Type="http://schemas.openxmlformats.org/officeDocument/2006/relationships/hyperlink" Target="https://us3.assetplanner.com/service_request?ID=099545" TargetMode="External"/><Relationship Id="rId30" Type="http://schemas.openxmlformats.org/officeDocument/2006/relationships/hyperlink" Target="https://us3.assetplanner.com/service_request?ID=101786" TargetMode="External"/><Relationship Id="rId105" Type="http://schemas.openxmlformats.org/officeDocument/2006/relationships/hyperlink" Target="https://us3.assetplanner.com/service_request?ID=102995" TargetMode="External"/><Relationship Id="rId126" Type="http://schemas.openxmlformats.org/officeDocument/2006/relationships/hyperlink" Target="https://us3.assetplanner.com/service_request?ID=101744" TargetMode="External"/><Relationship Id="rId147" Type="http://schemas.openxmlformats.org/officeDocument/2006/relationships/hyperlink" Target="https://us3.assetplanner.com/service_request?ID=095531" TargetMode="External"/><Relationship Id="rId168" Type="http://schemas.openxmlformats.org/officeDocument/2006/relationships/hyperlink" Target="https://us3.assetplanner.com/service_request?ID=102015" TargetMode="External"/><Relationship Id="rId51" Type="http://schemas.openxmlformats.org/officeDocument/2006/relationships/hyperlink" Target="https://us3.assetplanner.com/service_request?ID=103015" TargetMode="External"/><Relationship Id="rId72" Type="http://schemas.openxmlformats.org/officeDocument/2006/relationships/hyperlink" Target="https://us3.assetplanner.com/service_request?ID=098866" TargetMode="External"/><Relationship Id="rId93" Type="http://schemas.openxmlformats.org/officeDocument/2006/relationships/hyperlink" Target="https://us3.assetplanner.com/service_request?ID=103256" TargetMode="External"/><Relationship Id="rId189" Type="http://schemas.openxmlformats.org/officeDocument/2006/relationships/hyperlink" Target="https://us3.assetplanner.com/service_request?ID=095945" TargetMode="External"/><Relationship Id="rId3" Type="http://schemas.openxmlformats.org/officeDocument/2006/relationships/hyperlink" Target="https://us3.assetplanner.com/service_request?ID=099666" TargetMode="External"/><Relationship Id="rId214" Type="http://schemas.openxmlformats.org/officeDocument/2006/relationships/hyperlink" Target="https://us3.assetplanner.com/service_request?ID=100609" TargetMode="External"/><Relationship Id="rId235" Type="http://schemas.openxmlformats.org/officeDocument/2006/relationships/hyperlink" Target="https://us3.assetplanner.com/service_request?ID=103559" TargetMode="External"/><Relationship Id="rId116" Type="http://schemas.openxmlformats.org/officeDocument/2006/relationships/hyperlink" Target="https://us3.assetplanner.com/service_request?ID=103078" TargetMode="External"/><Relationship Id="rId137" Type="http://schemas.openxmlformats.org/officeDocument/2006/relationships/hyperlink" Target="https://us3.assetplanner.com/service_request?ID=092751" TargetMode="External"/><Relationship Id="rId158" Type="http://schemas.openxmlformats.org/officeDocument/2006/relationships/hyperlink" Target="https://us3.assetplanner.com/service_request?ID=102889" TargetMode="External"/><Relationship Id="rId20" Type="http://schemas.openxmlformats.org/officeDocument/2006/relationships/hyperlink" Target="https://us3.assetplanner.com/service_request?ID=102473" TargetMode="External"/><Relationship Id="rId41" Type="http://schemas.openxmlformats.org/officeDocument/2006/relationships/hyperlink" Target="https://us3.assetplanner.com/service_request?ID=096294" TargetMode="External"/><Relationship Id="rId62" Type="http://schemas.openxmlformats.org/officeDocument/2006/relationships/hyperlink" Target="https://us3.assetplanner.com/service_request?ID=099149" TargetMode="External"/><Relationship Id="rId83" Type="http://schemas.openxmlformats.org/officeDocument/2006/relationships/hyperlink" Target="https://us3.assetplanner.com/service_request?ID=102682" TargetMode="External"/><Relationship Id="rId179" Type="http://schemas.openxmlformats.org/officeDocument/2006/relationships/hyperlink" Target="https://us3.assetplanner.com/service_request?ID=102747"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us3.assetplanner.com/service_request?ID=101282" TargetMode="External"/><Relationship Id="rId21" Type="http://schemas.openxmlformats.org/officeDocument/2006/relationships/hyperlink" Target="https://us3.assetplanner.com/service_request?ID=103360" TargetMode="External"/><Relationship Id="rId42" Type="http://schemas.openxmlformats.org/officeDocument/2006/relationships/hyperlink" Target="https://us3.assetplanner.com/service_request?ID=088813" TargetMode="External"/><Relationship Id="rId63" Type="http://schemas.openxmlformats.org/officeDocument/2006/relationships/hyperlink" Target="https://us3.assetplanner.com/service_request?ID=102919" TargetMode="External"/><Relationship Id="rId84" Type="http://schemas.openxmlformats.org/officeDocument/2006/relationships/hyperlink" Target="https://us3.assetplanner.com/service_request?ID=102335" TargetMode="External"/><Relationship Id="rId138" Type="http://schemas.openxmlformats.org/officeDocument/2006/relationships/hyperlink" Target="https://us3.assetplanner.com/service_request?ID=098883" TargetMode="External"/><Relationship Id="rId159" Type="http://schemas.openxmlformats.org/officeDocument/2006/relationships/hyperlink" Target="https://us3.assetplanner.com/service_request?ID=104999" TargetMode="External"/><Relationship Id="rId170" Type="http://schemas.openxmlformats.org/officeDocument/2006/relationships/hyperlink" Target="https://us3.assetplanner.com/service_request?ID=102328" TargetMode="External"/><Relationship Id="rId191" Type="http://schemas.openxmlformats.org/officeDocument/2006/relationships/hyperlink" Target="https://us3.assetplanner.com/service_request?ID=104445" TargetMode="External"/><Relationship Id="rId205" Type="http://schemas.openxmlformats.org/officeDocument/2006/relationships/hyperlink" Target="https://us3.assetplanner.com/service_request?ID=103457" TargetMode="External"/><Relationship Id="rId226" Type="http://schemas.openxmlformats.org/officeDocument/2006/relationships/hyperlink" Target="https://us3.assetplanner.com/service_request?ID=104002" TargetMode="External"/><Relationship Id="rId107" Type="http://schemas.openxmlformats.org/officeDocument/2006/relationships/hyperlink" Target="https://us3.assetplanner.com/service_request?ID=105048" TargetMode="External"/><Relationship Id="rId11" Type="http://schemas.openxmlformats.org/officeDocument/2006/relationships/hyperlink" Target="https://us3.assetplanner.com/service_request?ID=103721" TargetMode="External"/><Relationship Id="rId32" Type="http://schemas.openxmlformats.org/officeDocument/2006/relationships/hyperlink" Target="https://us3.assetplanner.com/service_request?ID=104039" TargetMode="External"/><Relationship Id="rId53" Type="http://schemas.openxmlformats.org/officeDocument/2006/relationships/hyperlink" Target="https://us3.assetplanner.com/service_request?ID=101910" TargetMode="External"/><Relationship Id="rId74" Type="http://schemas.openxmlformats.org/officeDocument/2006/relationships/hyperlink" Target="https://us3.assetplanner.com/service_request?ID=098998" TargetMode="External"/><Relationship Id="rId128" Type="http://schemas.openxmlformats.org/officeDocument/2006/relationships/hyperlink" Target="https://us3.assetplanner.com/service_request?ID=100771" TargetMode="External"/><Relationship Id="rId149" Type="http://schemas.openxmlformats.org/officeDocument/2006/relationships/hyperlink" Target="https://us3.assetplanner.com/service_request?ID=101997" TargetMode="External"/><Relationship Id="rId5" Type="http://schemas.openxmlformats.org/officeDocument/2006/relationships/hyperlink" Target="https://us3.assetplanner.com/service_request?ID=104268" TargetMode="External"/><Relationship Id="rId95" Type="http://schemas.openxmlformats.org/officeDocument/2006/relationships/hyperlink" Target="https://us3.assetplanner.com/service_request?ID=104594" TargetMode="External"/><Relationship Id="rId160" Type="http://schemas.openxmlformats.org/officeDocument/2006/relationships/hyperlink" Target="https://us3.assetplanner.com/service_request?ID=101152" TargetMode="External"/><Relationship Id="rId181" Type="http://schemas.openxmlformats.org/officeDocument/2006/relationships/hyperlink" Target="https://us3.assetplanner.com/service_request?ID=105161" TargetMode="External"/><Relationship Id="rId216" Type="http://schemas.openxmlformats.org/officeDocument/2006/relationships/hyperlink" Target="https://us3.assetplanner.com/service_request?ID=103246" TargetMode="External"/><Relationship Id="rId237" Type="http://schemas.openxmlformats.org/officeDocument/2006/relationships/hyperlink" Target="https://us3.assetplanner.com/service_request?ID=098693" TargetMode="External"/><Relationship Id="rId22" Type="http://schemas.openxmlformats.org/officeDocument/2006/relationships/hyperlink" Target="https://us3.assetplanner.com/service_request?ID=097569" TargetMode="External"/><Relationship Id="rId43" Type="http://schemas.openxmlformats.org/officeDocument/2006/relationships/hyperlink" Target="https://us3.assetplanner.com/service_request?ID=104342" TargetMode="External"/><Relationship Id="rId64" Type="http://schemas.openxmlformats.org/officeDocument/2006/relationships/hyperlink" Target="https://us3.assetplanner.com/service_request?ID=103185" TargetMode="External"/><Relationship Id="rId118" Type="http://schemas.openxmlformats.org/officeDocument/2006/relationships/hyperlink" Target="https://us3.assetplanner.com/service_request?ID=105110" TargetMode="External"/><Relationship Id="rId139" Type="http://schemas.openxmlformats.org/officeDocument/2006/relationships/hyperlink" Target="https://us3.assetplanner.com/service_request?ID=092332" TargetMode="External"/><Relationship Id="rId85" Type="http://schemas.openxmlformats.org/officeDocument/2006/relationships/hyperlink" Target="https://us3.assetplanner.com/service_request?ID=102682" TargetMode="External"/><Relationship Id="rId150" Type="http://schemas.openxmlformats.org/officeDocument/2006/relationships/hyperlink" Target="https://us3.assetplanner.com/service_request?ID=103021" TargetMode="External"/><Relationship Id="rId171" Type="http://schemas.openxmlformats.org/officeDocument/2006/relationships/hyperlink" Target="https://us3.assetplanner.com/service_request?ID=104727" TargetMode="External"/><Relationship Id="rId192" Type="http://schemas.openxmlformats.org/officeDocument/2006/relationships/hyperlink" Target="https://us3.assetplanner.com/service_request?ID=104920" TargetMode="External"/><Relationship Id="rId206" Type="http://schemas.openxmlformats.org/officeDocument/2006/relationships/hyperlink" Target="https://us3.assetplanner.com/service_request?ID=103482" TargetMode="External"/><Relationship Id="rId227" Type="http://schemas.openxmlformats.org/officeDocument/2006/relationships/hyperlink" Target="https://us3.assetplanner.com/service_request?ID=105114" TargetMode="External"/><Relationship Id="rId12" Type="http://schemas.openxmlformats.org/officeDocument/2006/relationships/hyperlink" Target="https://us3.assetplanner.com/service_request?ID=104748" TargetMode="External"/><Relationship Id="rId33" Type="http://schemas.openxmlformats.org/officeDocument/2006/relationships/hyperlink" Target="https://us3.assetplanner.com/service_request?ID=103259" TargetMode="External"/><Relationship Id="rId108" Type="http://schemas.openxmlformats.org/officeDocument/2006/relationships/hyperlink" Target="https://us3.assetplanner.com/service_request?ID=105120" TargetMode="External"/><Relationship Id="rId129" Type="http://schemas.openxmlformats.org/officeDocument/2006/relationships/hyperlink" Target="https://us3.assetplanner.com/service_request?ID=103354" TargetMode="External"/><Relationship Id="rId54" Type="http://schemas.openxmlformats.org/officeDocument/2006/relationships/hyperlink" Target="https://us3.assetplanner.com/service_request?ID=101354" TargetMode="External"/><Relationship Id="rId75" Type="http://schemas.openxmlformats.org/officeDocument/2006/relationships/hyperlink" Target="https://us3.assetplanner.com/service_request?ID=104684" TargetMode="External"/><Relationship Id="rId96" Type="http://schemas.openxmlformats.org/officeDocument/2006/relationships/hyperlink" Target="https://us3.assetplanner.com/service_request?ID=104741" TargetMode="External"/><Relationship Id="rId140" Type="http://schemas.openxmlformats.org/officeDocument/2006/relationships/hyperlink" Target="https://us3.assetplanner.com/service_request?ID=095649" TargetMode="External"/><Relationship Id="rId161" Type="http://schemas.openxmlformats.org/officeDocument/2006/relationships/hyperlink" Target="https://us3.assetplanner.com/service_request?ID=103760" TargetMode="External"/><Relationship Id="rId182" Type="http://schemas.openxmlformats.org/officeDocument/2006/relationships/hyperlink" Target="https://us3.assetplanner.com/service_request?ID=101947" TargetMode="External"/><Relationship Id="rId217" Type="http://schemas.openxmlformats.org/officeDocument/2006/relationships/hyperlink" Target="https://us3.assetplanner.com/service_request?ID=100220" TargetMode="External"/><Relationship Id="rId6" Type="http://schemas.openxmlformats.org/officeDocument/2006/relationships/hyperlink" Target="https://us3.assetplanner.com/service_request?ID=105035" TargetMode="External"/><Relationship Id="rId238" Type="http://schemas.openxmlformats.org/officeDocument/2006/relationships/hyperlink" Target="https://us3.assetplanner.com/service_request?ID=104015" TargetMode="External"/><Relationship Id="rId23" Type="http://schemas.openxmlformats.org/officeDocument/2006/relationships/hyperlink" Target="https://us3.assetplanner.com/service_request?ID=102535" TargetMode="External"/><Relationship Id="rId119" Type="http://schemas.openxmlformats.org/officeDocument/2006/relationships/hyperlink" Target="https://us3.assetplanner.com/service_request?ID=105180" TargetMode="External"/><Relationship Id="rId44" Type="http://schemas.openxmlformats.org/officeDocument/2006/relationships/hyperlink" Target="https://us3.assetplanner.com/service_request?ID=093324" TargetMode="External"/><Relationship Id="rId65" Type="http://schemas.openxmlformats.org/officeDocument/2006/relationships/hyperlink" Target="https://us3.assetplanner.com/service_request?ID=105115" TargetMode="External"/><Relationship Id="rId86" Type="http://schemas.openxmlformats.org/officeDocument/2006/relationships/hyperlink" Target="https://us3.assetplanner.com/service_request?ID=104557" TargetMode="External"/><Relationship Id="rId130" Type="http://schemas.openxmlformats.org/officeDocument/2006/relationships/hyperlink" Target="https://us3.assetplanner.com/service_request?ID=104105" TargetMode="External"/><Relationship Id="rId151" Type="http://schemas.openxmlformats.org/officeDocument/2006/relationships/hyperlink" Target="https://us3.assetplanner.com/service_request?ID=104199" TargetMode="External"/><Relationship Id="rId172" Type="http://schemas.openxmlformats.org/officeDocument/2006/relationships/hyperlink" Target="https://us3.assetplanner.com/service_request?ID=104138" TargetMode="External"/><Relationship Id="rId193" Type="http://schemas.openxmlformats.org/officeDocument/2006/relationships/hyperlink" Target="https://us3.assetplanner.com/service_request?ID=104335" TargetMode="External"/><Relationship Id="rId207" Type="http://schemas.openxmlformats.org/officeDocument/2006/relationships/hyperlink" Target="https://us3.assetplanner.com/service_request?ID=105122" TargetMode="External"/><Relationship Id="rId228" Type="http://schemas.openxmlformats.org/officeDocument/2006/relationships/hyperlink" Target="https://us3.assetplanner.com/service_request?ID=101228" TargetMode="External"/><Relationship Id="rId13" Type="http://schemas.openxmlformats.org/officeDocument/2006/relationships/hyperlink" Target="https://us3.assetplanner.com/service_request?ID=092556" TargetMode="External"/><Relationship Id="rId109" Type="http://schemas.openxmlformats.org/officeDocument/2006/relationships/hyperlink" Target="https://us3.assetplanner.com/service_request?ID=105049" TargetMode="External"/><Relationship Id="rId34" Type="http://schemas.openxmlformats.org/officeDocument/2006/relationships/hyperlink" Target="https://us3.assetplanner.com/service_request?ID=101786" TargetMode="External"/><Relationship Id="rId55" Type="http://schemas.openxmlformats.org/officeDocument/2006/relationships/hyperlink" Target="https://us3.assetplanner.com/service_request?ID=104543" TargetMode="External"/><Relationship Id="rId76" Type="http://schemas.openxmlformats.org/officeDocument/2006/relationships/hyperlink" Target="https://us3.assetplanner.com/service_request?ID=103651" TargetMode="External"/><Relationship Id="rId97" Type="http://schemas.openxmlformats.org/officeDocument/2006/relationships/hyperlink" Target="https://us3.assetplanner.com/service_request?ID=104887" TargetMode="External"/><Relationship Id="rId120" Type="http://schemas.openxmlformats.org/officeDocument/2006/relationships/hyperlink" Target="https://us3.assetplanner.com/service_request?ID=104142" TargetMode="External"/><Relationship Id="rId141" Type="http://schemas.openxmlformats.org/officeDocument/2006/relationships/hyperlink" Target="https://us3.assetplanner.com/service_request?ID=101102" TargetMode="External"/><Relationship Id="rId7" Type="http://schemas.openxmlformats.org/officeDocument/2006/relationships/hyperlink" Target="https://us3.assetplanner.com/service_request?ID=104591" TargetMode="External"/><Relationship Id="rId162" Type="http://schemas.openxmlformats.org/officeDocument/2006/relationships/hyperlink" Target="https://us3.assetplanner.com/service_request?ID=103538" TargetMode="External"/><Relationship Id="rId183" Type="http://schemas.openxmlformats.org/officeDocument/2006/relationships/hyperlink" Target="https://us3.assetplanner.com/service_request?ID=102015" TargetMode="External"/><Relationship Id="rId218" Type="http://schemas.openxmlformats.org/officeDocument/2006/relationships/hyperlink" Target="https://us3.assetplanner.com/service_request?ID=104636" TargetMode="External"/><Relationship Id="rId239" Type="http://schemas.openxmlformats.org/officeDocument/2006/relationships/hyperlink" Target="https://us3.assetplanner.com/service_request?ID=104558" TargetMode="External"/><Relationship Id="rId24" Type="http://schemas.openxmlformats.org/officeDocument/2006/relationships/hyperlink" Target="https://us3.assetplanner.com/service_request?ID=093291" TargetMode="External"/><Relationship Id="rId45" Type="http://schemas.openxmlformats.org/officeDocument/2006/relationships/hyperlink" Target="https://us3.assetplanner.com/service_request?ID=103857" TargetMode="External"/><Relationship Id="rId66" Type="http://schemas.openxmlformats.org/officeDocument/2006/relationships/hyperlink" Target="https://us3.assetplanner.com/service_request?ID=104724" TargetMode="External"/><Relationship Id="rId87" Type="http://schemas.openxmlformats.org/officeDocument/2006/relationships/hyperlink" Target="https://us3.assetplanner.com/service_request?ID=102682" TargetMode="External"/><Relationship Id="rId110" Type="http://schemas.openxmlformats.org/officeDocument/2006/relationships/hyperlink" Target="https://us3.assetplanner.com/service_request?ID=105225" TargetMode="External"/><Relationship Id="rId131" Type="http://schemas.openxmlformats.org/officeDocument/2006/relationships/hyperlink" Target="https://us3.assetplanner.com/service_request?ID=104590" TargetMode="External"/><Relationship Id="rId152" Type="http://schemas.openxmlformats.org/officeDocument/2006/relationships/hyperlink" Target="https://us3.assetplanner.com/service_request?ID=104453" TargetMode="External"/><Relationship Id="rId173" Type="http://schemas.openxmlformats.org/officeDocument/2006/relationships/hyperlink" Target="https://us3.assetplanner.com/service_request?ID=104422" TargetMode="External"/><Relationship Id="rId194" Type="http://schemas.openxmlformats.org/officeDocument/2006/relationships/hyperlink" Target="https://us3.assetplanner.com/service_request?ID=104540" TargetMode="External"/><Relationship Id="rId208" Type="http://schemas.openxmlformats.org/officeDocument/2006/relationships/hyperlink" Target="https://us3.assetplanner.com/service_request?ID=103141" TargetMode="External"/><Relationship Id="rId229" Type="http://schemas.openxmlformats.org/officeDocument/2006/relationships/hyperlink" Target="https://us3.assetplanner.com/service_request?ID=098278" TargetMode="External"/><Relationship Id="rId240" Type="http://schemas.openxmlformats.org/officeDocument/2006/relationships/printerSettings" Target="../printerSettings/printerSettings4.bin"/><Relationship Id="rId14" Type="http://schemas.openxmlformats.org/officeDocument/2006/relationships/hyperlink" Target="https://us3.assetplanner.com/service_request?ID=093028" TargetMode="External"/><Relationship Id="rId35" Type="http://schemas.openxmlformats.org/officeDocument/2006/relationships/hyperlink" Target="https://us3.assetplanner.com/service_request?ID=102672" TargetMode="External"/><Relationship Id="rId56" Type="http://schemas.openxmlformats.org/officeDocument/2006/relationships/hyperlink" Target="https://us3.assetplanner.com/service_request?ID=104886" TargetMode="External"/><Relationship Id="rId77" Type="http://schemas.openxmlformats.org/officeDocument/2006/relationships/hyperlink" Target="https://us3.assetplanner.com/service_request?ID=104374" TargetMode="External"/><Relationship Id="rId100" Type="http://schemas.openxmlformats.org/officeDocument/2006/relationships/hyperlink" Target="https://us3.assetplanner.com/service_request?ID=103671" TargetMode="External"/><Relationship Id="rId8" Type="http://schemas.openxmlformats.org/officeDocument/2006/relationships/hyperlink" Target="https://us3.assetplanner.com/service_request?ID=099666" TargetMode="External"/><Relationship Id="rId98" Type="http://schemas.openxmlformats.org/officeDocument/2006/relationships/hyperlink" Target="https://us3.assetplanner.com/service_request?ID=104998" TargetMode="External"/><Relationship Id="rId121" Type="http://schemas.openxmlformats.org/officeDocument/2006/relationships/hyperlink" Target="https://us3.assetplanner.com/service_request?ID=104657" TargetMode="External"/><Relationship Id="rId142" Type="http://schemas.openxmlformats.org/officeDocument/2006/relationships/hyperlink" Target="https://us3.assetplanner.com/service_request?ID=101942" TargetMode="External"/><Relationship Id="rId163" Type="http://schemas.openxmlformats.org/officeDocument/2006/relationships/hyperlink" Target="https://us3.assetplanner.com/service_request?ID=103538" TargetMode="External"/><Relationship Id="rId184" Type="http://schemas.openxmlformats.org/officeDocument/2006/relationships/hyperlink" Target="https://us3.assetplanner.com/service_request?ID=105108" TargetMode="External"/><Relationship Id="rId219" Type="http://schemas.openxmlformats.org/officeDocument/2006/relationships/hyperlink" Target="https://us3.assetplanner.com/service_request?ID=104413" TargetMode="External"/><Relationship Id="rId230" Type="http://schemas.openxmlformats.org/officeDocument/2006/relationships/hyperlink" Target="https://us3.assetplanner.com/service_request?ID=098670" TargetMode="External"/><Relationship Id="rId25" Type="http://schemas.openxmlformats.org/officeDocument/2006/relationships/hyperlink" Target="https://us3.assetplanner.com/service_request?ID=104754" TargetMode="External"/><Relationship Id="rId46" Type="http://schemas.openxmlformats.org/officeDocument/2006/relationships/hyperlink" Target="https://us3.assetplanner.com/service_request?ID=093326" TargetMode="External"/><Relationship Id="rId67" Type="http://schemas.openxmlformats.org/officeDocument/2006/relationships/hyperlink" Target="https://us3.assetplanner.com/service_request?ID=105002" TargetMode="External"/><Relationship Id="rId88" Type="http://schemas.openxmlformats.org/officeDocument/2006/relationships/hyperlink" Target="https://us3.assetplanner.com/service_request?ID=103181" TargetMode="External"/><Relationship Id="rId111" Type="http://schemas.openxmlformats.org/officeDocument/2006/relationships/hyperlink" Target="https://us3.assetplanner.com/service_request?ID=105226" TargetMode="External"/><Relationship Id="rId132" Type="http://schemas.openxmlformats.org/officeDocument/2006/relationships/hyperlink" Target="https://us3.assetplanner.com/service_request?ID=103711" TargetMode="External"/><Relationship Id="rId153" Type="http://schemas.openxmlformats.org/officeDocument/2006/relationships/hyperlink" Target="https://us3.assetplanner.com/service_request?ID=095305" TargetMode="External"/><Relationship Id="rId174" Type="http://schemas.openxmlformats.org/officeDocument/2006/relationships/hyperlink" Target="https://us3.assetplanner.com/service_request?ID=104601" TargetMode="External"/><Relationship Id="rId195" Type="http://schemas.openxmlformats.org/officeDocument/2006/relationships/hyperlink" Target="https://us3.assetplanner.com/service_request?ID=098860" TargetMode="External"/><Relationship Id="rId209" Type="http://schemas.openxmlformats.org/officeDocument/2006/relationships/hyperlink" Target="https://us3.assetplanner.com/service_request?ID=103096" TargetMode="External"/><Relationship Id="rId190" Type="http://schemas.openxmlformats.org/officeDocument/2006/relationships/hyperlink" Target="https://us3.assetplanner.com/service_request?ID=104341" TargetMode="External"/><Relationship Id="rId204" Type="http://schemas.openxmlformats.org/officeDocument/2006/relationships/hyperlink" Target="https://us3.assetplanner.com/service_request?ID=104850" TargetMode="External"/><Relationship Id="rId220" Type="http://schemas.openxmlformats.org/officeDocument/2006/relationships/hyperlink" Target="https://us3.assetplanner.com/service_request?ID=104637" TargetMode="External"/><Relationship Id="rId225" Type="http://schemas.openxmlformats.org/officeDocument/2006/relationships/hyperlink" Target="https://us3.assetplanner.com/service_request?ID=103880" TargetMode="External"/><Relationship Id="rId15" Type="http://schemas.openxmlformats.org/officeDocument/2006/relationships/hyperlink" Target="https://us3.assetplanner.com/service_request?ID=091894" TargetMode="External"/><Relationship Id="rId36" Type="http://schemas.openxmlformats.org/officeDocument/2006/relationships/hyperlink" Target="https://us3.assetplanner.com/service_request?ID=093236" TargetMode="External"/><Relationship Id="rId57" Type="http://schemas.openxmlformats.org/officeDocument/2006/relationships/hyperlink" Target="https://us3.assetplanner.com/service_request?ID=104398" TargetMode="External"/><Relationship Id="rId106" Type="http://schemas.openxmlformats.org/officeDocument/2006/relationships/hyperlink" Target="https://us3.assetplanner.com/service_request?ID=104624" TargetMode="External"/><Relationship Id="rId127" Type="http://schemas.openxmlformats.org/officeDocument/2006/relationships/hyperlink" Target="https://us3.assetplanner.com/service_request?ID=100622" TargetMode="External"/><Relationship Id="rId10" Type="http://schemas.openxmlformats.org/officeDocument/2006/relationships/hyperlink" Target="https://us3.assetplanner.com/service_request?ID=101037" TargetMode="External"/><Relationship Id="rId31" Type="http://schemas.openxmlformats.org/officeDocument/2006/relationships/hyperlink" Target="https://us3.assetplanner.com/service_request?ID=099824" TargetMode="External"/><Relationship Id="rId52" Type="http://schemas.openxmlformats.org/officeDocument/2006/relationships/hyperlink" Target="https://us3.assetplanner.com/service_request?ID=104744" TargetMode="External"/><Relationship Id="rId73" Type="http://schemas.openxmlformats.org/officeDocument/2006/relationships/hyperlink" Target="https://us3.assetplanner.com/service_request?ID=098866" TargetMode="External"/><Relationship Id="rId78" Type="http://schemas.openxmlformats.org/officeDocument/2006/relationships/hyperlink" Target="https://us3.assetplanner.com/service_request?ID=092964" TargetMode="External"/><Relationship Id="rId94" Type="http://schemas.openxmlformats.org/officeDocument/2006/relationships/hyperlink" Target="https://us3.assetplanner.com/service_request?ID=104371" TargetMode="External"/><Relationship Id="rId99" Type="http://schemas.openxmlformats.org/officeDocument/2006/relationships/hyperlink" Target="https://us3.assetplanner.com/service_request?ID=105204" TargetMode="External"/><Relationship Id="rId101" Type="http://schemas.openxmlformats.org/officeDocument/2006/relationships/hyperlink" Target="https://us3.assetplanner.com/service_request?ID=103452" TargetMode="External"/><Relationship Id="rId122" Type="http://schemas.openxmlformats.org/officeDocument/2006/relationships/hyperlink" Target="https://us3.assetplanner.com/service_request?ID=104455" TargetMode="External"/><Relationship Id="rId143" Type="http://schemas.openxmlformats.org/officeDocument/2006/relationships/hyperlink" Target="https://us3.assetplanner.com/service_request?ID=088869" TargetMode="External"/><Relationship Id="rId148" Type="http://schemas.openxmlformats.org/officeDocument/2006/relationships/hyperlink" Target="https://us3.assetplanner.com/service_request?ID=092095" TargetMode="External"/><Relationship Id="rId164" Type="http://schemas.openxmlformats.org/officeDocument/2006/relationships/hyperlink" Target="https://us3.assetplanner.com/service_request?ID=104184" TargetMode="External"/><Relationship Id="rId169" Type="http://schemas.openxmlformats.org/officeDocument/2006/relationships/hyperlink" Target="https://us3.assetplanner.com/service_request?ID=104691" TargetMode="External"/><Relationship Id="rId185" Type="http://schemas.openxmlformats.org/officeDocument/2006/relationships/hyperlink" Target="https://us3.assetplanner.com/service_request?ID=103685" TargetMode="External"/><Relationship Id="rId4" Type="http://schemas.openxmlformats.org/officeDocument/2006/relationships/hyperlink" Target="https://us3.assetplanner.com/service_request?ID=103955" TargetMode="External"/><Relationship Id="rId9" Type="http://schemas.openxmlformats.org/officeDocument/2006/relationships/hyperlink" Target="https://us3.assetplanner.com/service_request?ID=105159" TargetMode="External"/><Relationship Id="rId180" Type="http://schemas.openxmlformats.org/officeDocument/2006/relationships/hyperlink" Target="https://us3.assetplanner.com/service_request?ID=103943" TargetMode="External"/><Relationship Id="rId210" Type="http://schemas.openxmlformats.org/officeDocument/2006/relationships/hyperlink" Target="https://us3.assetplanner.com/service_request?ID=103710" TargetMode="External"/><Relationship Id="rId215" Type="http://schemas.openxmlformats.org/officeDocument/2006/relationships/hyperlink" Target="https://us3.assetplanner.com/service_request?ID=103805" TargetMode="External"/><Relationship Id="rId236" Type="http://schemas.openxmlformats.org/officeDocument/2006/relationships/hyperlink" Target="https://us3.assetplanner.com/service_request?ID=104286" TargetMode="External"/><Relationship Id="rId26" Type="http://schemas.openxmlformats.org/officeDocument/2006/relationships/hyperlink" Target="https://us3.assetplanner.com/service_request?ID=102970" TargetMode="External"/><Relationship Id="rId231" Type="http://schemas.openxmlformats.org/officeDocument/2006/relationships/hyperlink" Target="https://us3.assetplanner.com/service_request?ID=102684" TargetMode="External"/><Relationship Id="rId47" Type="http://schemas.openxmlformats.org/officeDocument/2006/relationships/hyperlink" Target="https://us3.assetplanner.com/service_request?ID=093327" TargetMode="External"/><Relationship Id="rId68" Type="http://schemas.openxmlformats.org/officeDocument/2006/relationships/hyperlink" Target="https://us3.assetplanner.com/service_request?ID=104001" TargetMode="External"/><Relationship Id="rId89" Type="http://schemas.openxmlformats.org/officeDocument/2006/relationships/hyperlink" Target="https://us3.assetplanner.com/service_request?ID=104208" TargetMode="External"/><Relationship Id="rId112" Type="http://schemas.openxmlformats.org/officeDocument/2006/relationships/hyperlink" Target="https://us3.assetplanner.com/service_request?ID=104664" TargetMode="External"/><Relationship Id="rId133" Type="http://schemas.openxmlformats.org/officeDocument/2006/relationships/hyperlink" Target="https://us3.assetplanner.com/service_request?ID=105203" TargetMode="External"/><Relationship Id="rId154" Type="http://schemas.openxmlformats.org/officeDocument/2006/relationships/hyperlink" Target="https://us3.assetplanner.com/service_request?ID=101010" TargetMode="External"/><Relationship Id="rId175" Type="http://schemas.openxmlformats.org/officeDocument/2006/relationships/hyperlink" Target="https://us3.assetplanner.com/service_request?ID=104708" TargetMode="External"/><Relationship Id="rId196" Type="http://schemas.openxmlformats.org/officeDocument/2006/relationships/hyperlink" Target="https://us3.assetplanner.com/service_request?ID=104541" TargetMode="External"/><Relationship Id="rId200" Type="http://schemas.openxmlformats.org/officeDocument/2006/relationships/hyperlink" Target="https://us3.assetplanner.com/service_request?ID=103852" TargetMode="External"/><Relationship Id="rId16" Type="http://schemas.openxmlformats.org/officeDocument/2006/relationships/hyperlink" Target="https://us3.assetplanner.com/service_request?ID=103804" TargetMode="External"/><Relationship Id="rId221" Type="http://schemas.openxmlformats.org/officeDocument/2006/relationships/hyperlink" Target="https://us3.assetplanner.com/service_request?ID=104168" TargetMode="External"/><Relationship Id="rId37" Type="http://schemas.openxmlformats.org/officeDocument/2006/relationships/hyperlink" Target="https://us3.assetplanner.com/service_request?ID=102532" TargetMode="External"/><Relationship Id="rId58" Type="http://schemas.openxmlformats.org/officeDocument/2006/relationships/hyperlink" Target="https://us3.assetplanner.com/service_request?ID=098641" TargetMode="External"/><Relationship Id="rId79" Type="http://schemas.openxmlformats.org/officeDocument/2006/relationships/hyperlink" Target="https://us3.assetplanner.com/service_request?ID=095253" TargetMode="External"/><Relationship Id="rId102" Type="http://schemas.openxmlformats.org/officeDocument/2006/relationships/hyperlink" Target="https://us3.assetplanner.com/service_request?ID=101820" TargetMode="External"/><Relationship Id="rId123" Type="http://schemas.openxmlformats.org/officeDocument/2006/relationships/hyperlink" Target="https://us3.assetplanner.com/service_request?ID=095073" TargetMode="External"/><Relationship Id="rId144" Type="http://schemas.openxmlformats.org/officeDocument/2006/relationships/hyperlink" Target="https://us3.assetplanner.com/service_request?ID=092209" TargetMode="External"/><Relationship Id="rId90" Type="http://schemas.openxmlformats.org/officeDocument/2006/relationships/hyperlink" Target="https://us3.assetplanner.com/service_request?ID=103257" TargetMode="External"/><Relationship Id="rId165" Type="http://schemas.openxmlformats.org/officeDocument/2006/relationships/hyperlink" Target="https://us3.assetplanner.com/service_request?ID=104018" TargetMode="External"/><Relationship Id="rId186" Type="http://schemas.openxmlformats.org/officeDocument/2006/relationships/hyperlink" Target="https://us3.assetplanner.com/service_request?ID=104120" TargetMode="External"/><Relationship Id="rId211" Type="http://schemas.openxmlformats.org/officeDocument/2006/relationships/hyperlink" Target="https://us3.assetplanner.com/service_request?ID=103871" TargetMode="External"/><Relationship Id="rId232" Type="http://schemas.openxmlformats.org/officeDocument/2006/relationships/hyperlink" Target="https://us3.assetplanner.com/service_request?ID=104020" TargetMode="External"/><Relationship Id="rId27" Type="http://schemas.openxmlformats.org/officeDocument/2006/relationships/hyperlink" Target="https://us3.assetplanner.com/service_request?ID=093292" TargetMode="External"/><Relationship Id="rId48" Type="http://schemas.openxmlformats.org/officeDocument/2006/relationships/hyperlink" Target="https://us3.assetplanner.com/service_request?ID=096294" TargetMode="External"/><Relationship Id="rId69" Type="http://schemas.openxmlformats.org/officeDocument/2006/relationships/hyperlink" Target="https://us3.assetplanner.com/service_request?ID=099403" TargetMode="External"/><Relationship Id="rId113" Type="http://schemas.openxmlformats.org/officeDocument/2006/relationships/hyperlink" Target="https://us3.assetplanner.com/service_request?ID=095109" TargetMode="External"/><Relationship Id="rId134" Type="http://schemas.openxmlformats.org/officeDocument/2006/relationships/hyperlink" Target="https://us3.assetplanner.com/service_request?ID=099268" TargetMode="External"/><Relationship Id="rId80" Type="http://schemas.openxmlformats.org/officeDocument/2006/relationships/hyperlink" Target="https://us3.assetplanner.com/service_request?ID=098877" TargetMode="External"/><Relationship Id="rId155" Type="http://schemas.openxmlformats.org/officeDocument/2006/relationships/hyperlink" Target="https://us3.assetplanner.com/service_request?ID=100985" TargetMode="External"/><Relationship Id="rId176" Type="http://schemas.openxmlformats.org/officeDocument/2006/relationships/hyperlink" Target="https://us3.assetplanner.com/service_request?ID=105105" TargetMode="External"/><Relationship Id="rId197" Type="http://schemas.openxmlformats.org/officeDocument/2006/relationships/hyperlink" Target="https://us3.assetplanner.com/service_request?ID=103824" TargetMode="External"/><Relationship Id="rId201" Type="http://schemas.openxmlformats.org/officeDocument/2006/relationships/hyperlink" Target="https://us3.assetplanner.com/service_request?ID=104141" TargetMode="External"/><Relationship Id="rId222" Type="http://schemas.openxmlformats.org/officeDocument/2006/relationships/hyperlink" Target="https://us3.assetplanner.com/service_request?ID=104538" TargetMode="External"/><Relationship Id="rId17" Type="http://schemas.openxmlformats.org/officeDocument/2006/relationships/hyperlink" Target="https://us3.assetplanner.com/service_request?ID=105439" TargetMode="External"/><Relationship Id="rId38" Type="http://schemas.openxmlformats.org/officeDocument/2006/relationships/hyperlink" Target="https://us3.assetplanner.com/service_request?ID=102533" TargetMode="External"/><Relationship Id="rId59" Type="http://schemas.openxmlformats.org/officeDocument/2006/relationships/hyperlink" Target="https://us3.assetplanner.com/service_request?ID=103150" TargetMode="External"/><Relationship Id="rId103" Type="http://schemas.openxmlformats.org/officeDocument/2006/relationships/hyperlink" Target="https://us3.assetplanner.com/service_request?ID=099347" TargetMode="External"/><Relationship Id="rId124" Type="http://schemas.openxmlformats.org/officeDocument/2006/relationships/hyperlink" Target="https://us3.assetplanner.com/service_request?ID=104194" TargetMode="External"/><Relationship Id="rId70" Type="http://schemas.openxmlformats.org/officeDocument/2006/relationships/hyperlink" Target="https://us3.assetplanner.com/service_request?ID=102665" TargetMode="External"/><Relationship Id="rId91" Type="http://schemas.openxmlformats.org/officeDocument/2006/relationships/hyperlink" Target="https://us3.assetplanner.com/service_request?ID=103260" TargetMode="External"/><Relationship Id="rId145" Type="http://schemas.openxmlformats.org/officeDocument/2006/relationships/hyperlink" Target="https://us3.assetplanner.com/service_request?ID=101998" TargetMode="External"/><Relationship Id="rId166" Type="http://schemas.openxmlformats.org/officeDocument/2006/relationships/hyperlink" Target="https://us3.assetplanner.com/service_request?ID=104092" TargetMode="External"/><Relationship Id="rId187" Type="http://schemas.openxmlformats.org/officeDocument/2006/relationships/hyperlink" Target="https://us3.assetplanner.com/service_request?ID=104019" TargetMode="External"/><Relationship Id="rId1" Type="http://schemas.openxmlformats.org/officeDocument/2006/relationships/hyperlink" Target="https://us3.assetplanner.com/service_request?ID=102198" TargetMode="External"/><Relationship Id="rId212" Type="http://schemas.openxmlformats.org/officeDocument/2006/relationships/hyperlink" Target="https://us3.assetplanner.com/service_request?ID=104959" TargetMode="External"/><Relationship Id="rId233" Type="http://schemas.openxmlformats.org/officeDocument/2006/relationships/hyperlink" Target="https://us3.assetplanner.com/service_request?ID=099545" TargetMode="External"/><Relationship Id="rId28" Type="http://schemas.openxmlformats.org/officeDocument/2006/relationships/hyperlink" Target="https://us3.assetplanner.com/service_request?ID=093633" TargetMode="External"/><Relationship Id="rId49" Type="http://schemas.openxmlformats.org/officeDocument/2006/relationships/hyperlink" Target="https://us3.assetplanner.com/service_request?ID=095662" TargetMode="External"/><Relationship Id="rId114" Type="http://schemas.openxmlformats.org/officeDocument/2006/relationships/hyperlink" Target="https://us3.assetplanner.com/service_request?ID=105216" TargetMode="External"/><Relationship Id="rId60" Type="http://schemas.openxmlformats.org/officeDocument/2006/relationships/hyperlink" Target="https://us3.assetplanner.com/service_request?ID=104128" TargetMode="External"/><Relationship Id="rId81" Type="http://schemas.openxmlformats.org/officeDocument/2006/relationships/hyperlink" Target="https://us3.assetplanner.com/service_request?ID=105211" TargetMode="External"/><Relationship Id="rId135" Type="http://schemas.openxmlformats.org/officeDocument/2006/relationships/hyperlink" Target="https://us3.assetplanner.com/service_request?ID=093354" TargetMode="External"/><Relationship Id="rId156" Type="http://schemas.openxmlformats.org/officeDocument/2006/relationships/hyperlink" Target="https://us3.assetplanner.com/service_request?ID=101223" TargetMode="External"/><Relationship Id="rId177" Type="http://schemas.openxmlformats.org/officeDocument/2006/relationships/hyperlink" Target="https://us3.assetplanner.com/service_request?ID=105276" TargetMode="External"/><Relationship Id="rId198" Type="http://schemas.openxmlformats.org/officeDocument/2006/relationships/hyperlink" Target="https://us3.assetplanner.com/service_request?ID=103367" TargetMode="External"/><Relationship Id="rId202" Type="http://schemas.openxmlformats.org/officeDocument/2006/relationships/hyperlink" Target="https://us3.assetplanner.com/service_request?ID=104367" TargetMode="External"/><Relationship Id="rId223" Type="http://schemas.openxmlformats.org/officeDocument/2006/relationships/hyperlink" Target="https://us3.assetplanner.com/service_request?ID=104292" TargetMode="External"/><Relationship Id="rId18" Type="http://schemas.openxmlformats.org/officeDocument/2006/relationships/hyperlink" Target="https://us3.assetplanner.com/service_request?ID=093047" TargetMode="External"/><Relationship Id="rId39" Type="http://schemas.openxmlformats.org/officeDocument/2006/relationships/hyperlink" Target="https://us3.assetplanner.com/service_request?ID=088282" TargetMode="External"/><Relationship Id="rId50" Type="http://schemas.openxmlformats.org/officeDocument/2006/relationships/hyperlink" Target="https://us3.assetplanner.com/service_request?ID=103568" TargetMode="External"/><Relationship Id="rId104" Type="http://schemas.openxmlformats.org/officeDocument/2006/relationships/hyperlink" Target="https://us3.assetplanner.com/service_request?ID=103655" TargetMode="External"/><Relationship Id="rId125" Type="http://schemas.openxmlformats.org/officeDocument/2006/relationships/hyperlink" Target="https://us3.assetplanner.com/service_request?ID=091181" TargetMode="External"/><Relationship Id="rId146" Type="http://schemas.openxmlformats.org/officeDocument/2006/relationships/hyperlink" Target="https://us3.assetplanner.com/service_request?ID=092255" TargetMode="External"/><Relationship Id="rId167" Type="http://schemas.openxmlformats.org/officeDocument/2006/relationships/hyperlink" Target="https://us3.assetplanner.com/service_request?ID=104283" TargetMode="External"/><Relationship Id="rId188" Type="http://schemas.openxmlformats.org/officeDocument/2006/relationships/hyperlink" Target="https://us3.assetplanner.com/service_request?ID=104175" TargetMode="External"/><Relationship Id="rId71" Type="http://schemas.openxmlformats.org/officeDocument/2006/relationships/hyperlink" Target="https://us3.assetplanner.com/service_request?ID=104609" TargetMode="External"/><Relationship Id="rId92" Type="http://schemas.openxmlformats.org/officeDocument/2006/relationships/hyperlink" Target="https://us3.assetplanner.com/service_request?ID=104208" TargetMode="External"/><Relationship Id="rId213" Type="http://schemas.openxmlformats.org/officeDocument/2006/relationships/hyperlink" Target="https://us3.assetplanner.com/service_request?ID=103361" TargetMode="External"/><Relationship Id="rId234" Type="http://schemas.openxmlformats.org/officeDocument/2006/relationships/hyperlink" Target="https://us3.assetplanner.com/service_request?ID=105330" TargetMode="External"/><Relationship Id="rId2" Type="http://schemas.openxmlformats.org/officeDocument/2006/relationships/hyperlink" Target="https://us3.assetplanner.com/service_request?ID=101102" TargetMode="External"/><Relationship Id="rId29" Type="http://schemas.openxmlformats.org/officeDocument/2006/relationships/hyperlink" Target="https://us3.assetplanner.com/service_request?ID=093294" TargetMode="External"/><Relationship Id="rId40" Type="http://schemas.openxmlformats.org/officeDocument/2006/relationships/hyperlink" Target="https://us3.assetplanner.com/service_request?ID=104430" TargetMode="External"/><Relationship Id="rId115" Type="http://schemas.openxmlformats.org/officeDocument/2006/relationships/hyperlink" Target="https://us3.assetplanner.com/service_request?ID=105218" TargetMode="External"/><Relationship Id="rId136" Type="http://schemas.openxmlformats.org/officeDocument/2006/relationships/hyperlink" Target="https://us3.assetplanner.com/service_request?ID=101744" TargetMode="External"/><Relationship Id="rId157" Type="http://schemas.openxmlformats.org/officeDocument/2006/relationships/hyperlink" Target="https://us3.assetplanner.com/service_request?ID=104785" TargetMode="External"/><Relationship Id="rId178" Type="http://schemas.openxmlformats.org/officeDocument/2006/relationships/hyperlink" Target="https://us3.assetplanner.com/service_request?ID=105107" TargetMode="External"/><Relationship Id="rId61" Type="http://schemas.openxmlformats.org/officeDocument/2006/relationships/hyperlink" Target="https://us3.assetplanner.com/service_request?ID=102506" TargetMode="External"/><Relationship Id="rId82" Type="http://schemas.openxmlformats.org/officeDocument/2006/relationships/hyperlink" Target="https://us3.assetplanner.com/service_request?ID=103260" TargetMode="External"/><Relationship Id="rId199" Type="http://schemas.openxmlformats.org/officeDocument/2006/relationships/hyperlink" Target="https://us3.assetplanner.com/service_request?ID=104633" TargetMode="External"/><Relationship Id="rId203" Type="http://schemas.openxmlformats.org/officeDocument/2006/relationships/hyperlink" Target="https://us3.assetplanner.com/service_request?ID=104600" TargetMode="External"/><Relationship Id="rId19" Type="http://schemas.openxmlformats.org/officeDocument/2006/relationships/hyperlink" Target="https://us3.assetplanner.com/service_request?ID=103460" TargetMode="External"/><Relationship Id="rId224" Type="http://schemas.openxmlformats.org/officeDocument/2006/relationships/hyperlink" Target="https://us3.assetplanner.com/service_request?ID=104007" TargetMode="External"/><Relationship Id="rId30" Type="http://schemas.openxmlformats.org/officeDocument/2006/relationships/hyperlink" Target="https://us3.assetplanner.com/service_request?ID=104856" TargetMode="External"/><Relationship Id="rId105" Type="http://schemas.openxmlformats.org/officeDocument/2006/relationships/hyperlink" Target="https://us3.assetplanner.com/service_request?ID=103990" TargetMode="External"/><Relationship Id="rId126" Type="http://schemas.openxmlformats.org/officeDocument/2006/relationships/hyperlink" Target="https://us3.assetplanner.com/service_request?ID=103078" TargetMode="External"/><Relationship Id="rId147" Type="http://schemas.openxmlformats.org/officeDocument/2006/relationships/hyperlink" Target="https://us3.assetplanner.com/service_request?ID=092751" TargetMode="External"/><Relationship Id="rId168" Type="http://schemas.openxmlformats.org/officeDocument/2006/relationships/hyperlink" Target="https://us3.assetplanner.com/service_request?ID=104691" TargetMode="External"/><Relationship Id="rId51" Type="http://schemas.openxmlformats.org/officeDocument/2006/relationships/hyperlink" Target="https://us3.assetplanner.com/service_request?ID=105209" TargetMode="External"/><Relationship Id="rId72" Type="http://schemas.openxmlformats.org/officeDocument/2006/relationships/hyperlink" Target="https://us3.assetplanner.com/service_request?ID=093024" TargetMode="External"/><Relationship Id="rId93" Type="http://schemas.openxmlformats.org/officeDocument/2006/relationships/hyperlink" Target="https://us3.assetplanner.com/service_request?ID=104370" TargetMode="External"/><Relationship Id="rId189" Type="http://schemas.openxmlformats.org/officeDocument/2006/relationships/hyperlink" Target="https://us3.assetplanner.com/service_request?ID=104235" TargetMode="External"/><Relationship Id="rId3" Type="http://schemas.openxmlformats.org/officeDocument/2006/relationships/hyperlink" Target="https://us3.assetplanner.com/service_request?ID=101016" TargetMode="External"/><Relationship Id="rId214" Type="http://schemas.openxmlformats.org/officeDocument/2006/relationships/hyperlink" Target="https://us3.assetplanner.com/service_request?ID=103641" TargetMode="External"/><Relationship Id="rId235" Type="http://schemas.openxmlformats.org/officeDocument/2006/relationships/hyperlink" Target="https://us3.assetplanner.com/service_request?ID=103988" TargetMode="External"/><Relationship Id="rId116" Type="http://schemas.openxmlformats.org/officeDocument/2006/relationships/hyperlink" Target="https://us3.assetplanner.com/service_request?ID=104383" TargetMode="External"/><Relationship Id="rId137" Type="http://schemas.openxmlformats.org/officeDocument/2006/relationships/hyperlink" Target="https://us3.assetplanner.com/service_request?ID=100464" TargetMode="External"/><Relationship Id="rId158" Type="http://schemas.openxmlformats.org/officeDocument/2006/relationships/hyperlink" Target="https://us3.assetplanner.com/service_request?ID=102704" TargetMode="External"/><Relationship Id="rId20" Type="http://schemas.openxmlformats.org/officeDocument/2006/relationships/hyperlink" Target="https://us3.assetplanner.com/service_request?ID=102473" TargetMode="External"/><Relationship Id="rId41" Type="http://schemas.openxmlformats.org/officeDocument/2006/relationships/hyperlink" Target="https://us3.assetplanner.com/service_request?ID=103569" TargetMode="External"/><Relationship Id="rId62" Type="http://schemas.openxmlformats.org/officeDocument/2006/relationships/hyperlink" Target="https://us3.assetplanner.com/service_request?ID=103185" TargetMode="External"/><Relationship Id="rId83" Type="http://schemas.openxmlformats.org/officeDocument/2006/relationships/hyperlink" Target="https://us3.assetplanner.com/service_request?ID=103257" TargetMode="External"/><Relationship Id="rId179" Type="http://schemas.openxmlformats.org/officeDocument/2006/relationships/hyperlink" Target="https://us3.assetplanner.com/service_request?ID=104075"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200"/>
  <sheetViews>
    <sheetView tabSelected="1" zoomScale="90" zoomScaleNormal="90" workbookViewId="0">
      <pane xSplit="2" ySplit="3" topLeftCell="C203" activePane="bottomRight" state="frozen"/>
      <selection pane="bottomRight" activeCell="H214" sqref="H214"/>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5" t="str" cm="1">
        <f t="array" ref="A1">portfolio</f>
        <v>Generate Capital</v>
      </c>
      <c r="B1" s="165"/>
      <c r="C1" s="165"/>
      <c r="D1" s="165"/>
      <c r="E1" s="166" t="s">
        <v>0</v>
      </c>
      <c r="F1" s="166"/>
      <c r="G1" s="166"/>
      <c r="H1" s="164" t="s">
        <v>1</v>
      </c>
      <c r="I1" s="164"/>
      <c r="J1" s="164"/>
    </row>
    <row r="2" spans="1:10" ht="19.5" customHeight="1">
      <c r="A2" s="167" t="s">
        <v>2</v>
      </c>
      <c r="B2" s="167"/>
      <c r="C2" s="65"/>
      <c r="D2" s="5">
        <f>SUM(D4:D200)</f>
        <v>258143507.41511169</v>
      </c>
      <c r="E2" s="5">
        <f>SUM(E4:E200)</f>
        <v>139973009.76919997</v>
      </c>
      <c r="F2" s="5">
        <f>D2-E2</f>
        <v>118170497.64591172</v>
      </c>
      <c r="G2" s="6">
        <f>IFERROR(F2/E2, 0)</f>
        <v>0.84423774155290243</v>
      </c>
      <c r="H2" s="5">
        <f>SUM(H4:H200)</f>
        <v>284838292.48320007</v>
      </c>
      <c r="I2" s="7">
        <f>D2-H2</f>
        <v>-26694785.068088382</v>
      </c>
      <c r="J2" s="6">
        <f>IFERROR(I2/H2, 0)</f>
        <v>-9.3719088242543283E-2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SUM('1st Qtr'!D4, '2nd Qtr'!D4, '3rd Qtr'!D4, '4th Qtr'!D4)</f>
        <v>90649.475693289307</v>
      </c>
      <c r="E4" s="10">
        <f>SUM('1st Qtr'!E4, '2nd Qtr'!E4, '3rd Qtr'!E4, '4th Qtr'!E4)</f>
        <v>63097.189999999995</v>
      </c>
      <c r="F4" s="10">
        <f>IF(AND(ISNUMBER(D4),ISNUMBER(E4)), D4-E4, "")</f>
        <v>27552.285693289312</v>
      </c>
      <c r="G4" s="11">
        <f>IFERROR(F4/E4, "")</f>
        <v>0.43666422693767049</v>
      </c>
      <c r="H4" s="12">
        <f>SUM('1st Qtr'!H4+'2nd Qtr'!H4+'3rd Qtr'!H4+'4th Qtr'!H4)</f>
        <v>85063.028000000006</v>
      </c>
      <c r="I4" s="12">
        <f>SUM('1st Qtr'!I4, '2nd Qtr'!I4, '3rd Qtr'!I4, '4th Qtr'!I4)</f>
        <v>5586.4476932892994</v>
      </c>
      <c r="J4" s="13">
        <f>IFERROR(I4/H4, "")</f>
        <v>6.567421622105081E-2</v>
      </c>
    </row>
    <row r="5" spans="1:10" ht="15.6">
      <c r="A5" s="26" t="str">
        <v>Fulton</v>
      </c>
      <c r="B5" s="27" t="str">
        <v>AZ</v>
      </c>
      <c r="C5" s="27" t="str">
        <f>Sites[[#This Row],[SOL'#]]</f>
        <v>SOL-10749</v>
      </c>
      <c r="D5" s="9">
        <f>SUM('1st Qtr'!D5, '2nd Qtr'!D5, '3rd Qtr'!D5, '4th Qtr'!D5)</f>
        <v>308284.75</v>
      </c>
      <c r="E5" s="14">
        <f>SUM('1st Qtr'!E5, '2nd Qtr'!E5, '3rd Qtr'!E5, '4th Qtr'!E5)</f>
        <v>389461.18</v>
      </c>
      <c r="F5" s="14">
        <f t="shared" ref="F5:F15" si="0">IF(AND(ISNUMBER(D5),ISNUMBER(E5)), D5-E5, "")</f>
        <v>-81176.429999999993</v>
      </c>
      <c r="G5" s="15">
        <f>IFERROR(F5/E5, "")</f>
        <v>-0.2084326607339915</v>
      </c>
      <c r="H5" s="16">
        <f>SUM('1st Qtr'!H5+'2nd Qtr'!H5+'3rd Qtr'!H5+'4th Qtr'!H5)</f>
        <v>418484.08999999997</v>
      </c>
      <c r="I5" s="16">
        <f>SUM('1st Qtr'!I5, '2nd Qtr'!I5, '3rd Qtr'!I5, '4th Qtr'!I5)</f>
        <v>-110199.34</v>
      </c>
      <c r="J5" s="15">
        <f>IFERROR(I5/H5, "")</f>
        <v>-0.2633298197788117</v>
      </c>
    </row>
    <row r="6" spans="1:10" ht="15.6">
      <c r="A6" s="24" t="str">
        <v>JFK Elementary</v>
      </c>
      <c r="B6" s="25" t="str">
        <v>AZ</v>
      </c>
      <c r="C6" s="25" t="str">
        <f>Sites[[#This Row],[SOL'#]]</f>
        <v>SOL-10758</v>
      </c>
      <c r="D6" s="20">
        <f>SUM('1st Qtr'!D6, '2nd Qtr'!D6, '3rd Qtr'!D6, '4th Qtr'!D6)</f>
        <v>121243.08680868341</v>
      </c>
      <c r="E6" s="10">
        <f>SUM('1st Qtr'!E6, '2nd Qtr'!E6, '3rd Qtr'!E6, '4th Qtr'!E6)</f>
        <v>0</v>
      </c>
      <c r="F6" s="10">
        <f t="shared" si="0"/>
        <v>121243.08680868341</v>
      </c>
      <c r="G6" s="11" t="str">
        <f t="shared" ref="G6:G15" si="1">IFERROR(F6/E6, "")</f>
        <v/>
      </c>
      <c r="H6" s="12">
        <f>SUM('1st Qtr'!H6+'2nd Qtr'!H6+'3rd Qtr'!H6+'4th Qtr'!H6)</f>
        <v>125563</v>
      </c>
      <c r="I6" s="12">
        <f>SUM('1st Qtr'!I6, '2nd Qtr'!I6, '3rd Qtr'!I6, '4th Qtr'!I6)</f>
        <v>-4319.9131913165984</v>
      </c>
      <c r="J6" s="13">
        <f t="shared" ref="J6:J15" si="2">IFERROR(I6/H6, "")</f>
        <v>-3.4404348345584278E-2</v>
      </c>
    </row>
    <row r="7" spans="1:10" ht="15.6">
      <c r="A7" s="26" t="str">
        <v>Noble</v>
      </c>
      <c r="B7" s="27" t="str">
        <v>AZ</v>
      </c>
      <c r="C7" s="27" t="str">
        <f>Sites[[#This Row],[SOL'#]]</f>
        <v>SOL-10750</v>
      </c>
      <c r="D7" s="9">
        <f>SUM('1st Qtr'!D7, '2nd Qtr'!D7, '3rd Qtr'!D7, '4th Qtr'!D7)</f>
        <v>85427.538295106482</v>
      </c>
      <c r="E7" s="14">
        <f>SUM('1st Qtr'!E7, '2nd Qtr'!E7, '3rd Qtr'!E7, '4th Qtr'!E7)</f>
        <v>107458.84</v>
      </c>
      <c r="F7" s="14">
        <f t="shared" si="0"/>
        <v>-22031.301704893514</v>
      </c>
      <c r="G7" s="15">
        <f t="shared" si="1"/>
        <v>-0.20502084058318065</v>
      </c>
      <c r="H7" s="16">
        <f>SUM('1st Qtr'!H7+'2nd Qtr'!H7+'3rd Qtr'!H7+'4th Qtr'!H7)</f>
        <v>94865.667999999991</v>
      </c>
      <c r="I7" s="16">
        <f>SUM('1st Qtr'!I7, '2nd Qtr'!I7, '3rd Qtr'!I7, '4th Qtr'!I7)</f>
        <v>-9438.1297048935121</v>
      </c>
      <c r="J7" s="15">
        <f t="shared" si="2"/>
        <v>-9.9489413861435241E-2</v>
      </c>
    </row>
    <row r="8" spans="1:10" ht="15.6">
      <c r="A8" s="24" t="str">
        <v>Parking 3</v>
      </c>
      <c r="B8" s="25" t="str">
        <v>AZ</v>
      </c>
      <c r="C8" s="25" t="str">
        <f>Sites[[#This Row],[SOL'#]]</f>
        <v>SOL-10751</v>
      </c>
      <c r="D8" s="20">
        <f>SUM('1st Qtr'!D8, '2nd Qtr'!D8, '3rd Qtr'!D8, '4th Qtr'!D8)</f>
        <v>227015.44999999987</v>
      </c>
      <c r="E8" s="10">
        <f>SUM('1st Qtr'!E8, '2nd Qtr'!E8, '3rd Qtr'!E8, '4th Qtr'!E8)</f>
        <v>207735.49999999997</v>
      </c>
      <c r="F8" s="10">
        <f t="shared" si="0"/>
        <v>19279.949999999895</v>
      </c>
      <c r="G8" s="11">
        <f t="shared" si="1"/>
        <v>9.2810087828030824E-2</v>
      </c>
      <c r="H8" s="12">
        <f>SUM('1st Qtr'!H8+'2nd Qtr'!H8+'3rd Qtr'!H8+'4th Qtr'!H8)</f>
        <v>205274.71000000002</v>
      </c>
      <c r="I8" s="12">
        <f>SUM('1st Qtr'!I8, '2nd Qtr'!I8, '3rd Qtr'!I8, '4th Qtr'!I8)</f>
        <v>21740.7399999999</v>
      </c>
      <c r="J8" s="13">
        <f t="shared" si="2"/>
        <v>0.10591046505436494</v>
      </c>
    </row>
    <row r="9" spans="1:10" ht="15.6">
      <c r="A9" s="26" t="str">
        <v>PE East</v>
      </c>
      <c r="B9" s="27" t="str">
        <v>AZ</v>
      </c>
      <c r="C9" s="27" t="str">
        <f>Sites[[#This Row],[SOL'#]]</f>
        <v>SOL-10752</v>
      </c>
      <c r="D9" s="9">
        <f>SUM('1st Qtr'!D9, '2nd Qtr'!D9, '3rd Qtr'!D9, '4th Qtr'!D9)</f>
        <v>200115.63949997438</v>
      </c>
      <c r="E9" s="14">
        <f>SUM('1st Qtr'!E9, '2nd Qtr'!E9, '3rd Qtr'!E9, '4th Qtr'!E9)</f>
        <v>157849.01999999999</v>
      </c>
      <c r="F9" s="14">
        <f t="shared" si="0"/>
        <v>42266.619499974389</v>
      </c>
      <c r="G9" s="15">
        <f t="shared" si="1"/>
        <v>0.26776611916864856</v>
      </c>
      <c r="H9" s="16">
        <f>SUM('1st Qtr'!H9+'2nd Qtr'!H9+'3rd Qtr'!H9+'4th Qtr'!H9)</f>
        <v>204912.00999999998</v>
      </c>
      <c r="I9" s="16">
        <f>SUM('1st Qtr'!I9, '2nd Qtr'!I9, '3rd Qtr'!I9, '4th Qtr'!I9)</f>
        <v>-4796.3705000255977</v>
      </c>
      <c r="J9" s="15">
        <f t="shared" si="2"/>
        <v>-2.3406975999237908E-2</v>
      </c>
    </row>
    <row r="10" spans="1:10" ht="15.6">
      <c r="A10" s="24" t="str">
        <v>Schwada</v>
      </c>
      <c r="B10" s="25" t="str">
        <v>AZ</v>
      </c>
      <c r="C10" s="25" t="str">
        <f>Sites[[#This Row],[SOL'#]]</f>
        <v>SOL-10753</v>
      </c>
      <c r="D10" s="20">
        <f>SUM('1st Qtr'!D10, '2nd Qtr'!D10, '3rd Qtr'!D10, '4th Qtr'!D10)</f>
        <v>86403.430246199699</v>
      </c>
      <c r="E10" s="10">
        <f>SUM('1st Qtr'!E10, '2nd Qtr'!E10, '3rd Qtr'!E10, '4th Qtr'!E10)</f>
        <v>64987.663999999997</v>
      </c>
      <c r="F10" s="10">
        <f t="shared" si="0"/>
        <v>21415.766246199702</v>
      </c>
      <c r="G10" s="11">
        <f t="shared" si="1"/>
        <v>0.32953586770251819</v>
      </c>
      <c r="H10" s="12">
        <f>SUM('1st Qtr'!H10+'2nd Qtr'!H10+'3rd Qtr'!H10+'4th Qtr'!H10)</f>
        <v>88352</v>
      </c>
      <c r="I10" s="12">
        <f>SUM('1st Qtr'!I10, '2nd Qtr'!I10, '3rd Qtr'!I10, '4th Qtr'!I10)</f>
        <v>-1948.5697538003005</v>
      </c>
      <c r="J10" s="13">
        <f t="shared" si="2"/>
        <v>-2.2054619632835708E-2</v>
      </c>
    </row>
    <row r="11" spans="1:10" ht="15.6">
      <c r="A11" s="26" t="str">
        <v>Starshine</v>
      </c>
      <c r="B11" s="27" t="str">
        <v>AZ</v>
      </c>
      <c r="C11" s="27" t="str">
        <f>Sites[[#This Row],[SOL'#]]</f>
        <v>SOL-10757</v>
      </c>
      <c r="D11" s="9">
        <f>SUM('1st Qtr'!D11, '2nd Qtr'!D11, '3rd Qtr'!D11, '4th Qtr'!D11)</f>
        <v>48405.673807671927</v>
      </c>
      <c r="E11" s="14">
        <f>SUM('1st Qtr'!E11, '2nd Qtr'!E11, '3rd Qtr'!E11, '4th Qtr'!E11)</f>
        <v>0</v>
      </c>
      <c r="F11" s="14">
        <f t="shared" si="0"/>
        <v>48405.673807671927</v>
      </c>
      <c r="G11" s="15" t="str">
        <f t="shared" si="1"/>
        <v/>
      </c>
      <c r="H11" s="16">
        <f>SUM('1st Qtr'!H11+'2nd Qtr'!H11+'3rd Qtr'!H11+'4th Qtr'!H11)</f>
        <v>66204</v>
      </c>
      <c r="I11" s="16">
        <f>SUM('1st Qtr'!I11, '2nd Qtr'!I11, '3rd Qtr'!I11, '4th Qtr'!I11)</f>
        <v>-17798.326192328066</v>
      </c>
      <c r="J11" s="15">
        <f t="shared" si="2"/>
        <v>-0.26884064697492699</v>
      </c>
    </row>
    <row r="12" spans="1:10" ht="15.6">
      <c r="A12" s="24" t="str">
        <v>Yuma Airport</v>
      </c>
      <c r="B12" s="25" t="str">
        <v>AZ</v>
      </c>
      <c r="C12" s="25" t="str">
        <f>Sites[[#This Row],[SOL'#]]</f>
        <v>SOL-10754</v>
      </c>
      <c r="D12" s="20">
        <f>SUM('1st Qtr'!D12, '2nd Qtr'!D12, '3rd Qtr'!D12, '4th Qtr'!D12)</f>
        <v>504687</v>
      </c>
      <c r="E12" s="10">
        <f>SUM('1st Qtr'!E12, '2nd Qtr'!E12, '3rd Qtr'!E12, '4th Qtr'!E12)</f>
        <v>629844.80000000005</v>
      </c>
      <c r="F12" s="10">
        <f t="shared" si="0"/>
        <v>-125157.80000000005</v>
      </c>
      <c r="G12" s="11">
        <f t="shared" si="1"/>
        <v>-0.19871212717799691</v>
      </c>
      <c r="H12" s="12">
        <f>SUM('1st Qtr'!H12+'2nd Qtr'!H12+'3rd Qtr'!H12+'4th Qtr'!H12)</f>
        <v>541048</v>
      </c>
      <c r="I12" s="12">
        <f>SUM('1st Qtr'!I12, '2nd Qtr'!I12, '3rd Qtr'!I12, '4th Qtr'!I12)</f>
        <v>-36361</v>
      </c>
      <c r="J12" s="13">
        <f t="shared" si="2"/>
        <v>-6.7204758173027165E-2</v>
      </c>
    </row>
    <row r="13" spans="1:10" ht="15.6">
      <c r="A13" s="26" t="str">
        <v>Kinsman</v>
      </c>
      <c r="B13" s="27" t="str">
        <v>OH</v>
      </c>
      <c r="C13" s="27" t="str">
        <f>Sites[[#This Row],[SOL'#]]</f>
        <v>SOL-10762</v>
      </c>
      <c r="D13" s="9">
        <f>SUM('1st Qtr'!D13, '2nd Qtr'!D13, '3rd Qtr'!D13, '4th Qtr'!D13)</f>
        <v>390373.8984375</v>
      </c>
      <c r="E13" s="14">
        <f>SUM('1st Qtr'!E13, '2nd Qtr'!E13, '3rd Qtr'!E13, '4th Qtr'!E13)</f>
        <v>718804.34</v>
      </c>
      <c r="F13" s="14">
        <f t="shared" si="0"/>
        <v>-328430.44156249997</v>
      </c>
      <c r="G13" s="15">
        <f t="shared" si="1"/>
        <v>-0.45691215715600714</v>
      </c>
      <c r="H13" s="16">
        <f>SUM('1st Qtr'!H13+'2nd Qtr'!H13+'3rd Qtr'!H13+'4th Qtr'!H13)</f>
        <v>711658</v>
      </c>
      <c r="I13" s="16">
        <f>SUM('1st Qtr'!I13, '2nd Qtr'!I13, '3rd Qtr'!I13, '4th Qtr'!I13)</f>
        <v>-321284.1015625</v>
      </c>
      <c r="J13" s="15">
        <f t="shared" si="2"/>
        <v>-0.45145856796733824</v>
      </c>
    </row>
    <row r="14" spans="1:10" ht="15.6">
      <c r="A14" s="24" t="str">
        <v>Wooster</v>
      </c>
      <c r="B14" s="25" t="str">
        <v>OH</v>
      </c>
      <c r="C14" s="25" t="str">
        <f>Sites[[#This Row],[SOL'#]]</f>
        <v>SOL-10763</v>
      </c>
      <c r="D14" s="20">
        <f>SUM('1st Qtr'!D14, '2nd Qtr'!D14, '3rd Qtr'!D14, '4th Qtr'!D14)</f>
        <v>111572.25</v>
      </c>
      <c r="E14" s="10">
        <f>SUM('1st Qtr'!E14, '2nd Qtr'!E14, '3rd Qtr'!E14, '4th Qtr'!E14)</f>
        <v>0</v>
      </c>
      <c r="F14" s="10">
        <f t="shared" si="0"/>
        <v>111572.25</v>
      </c>
      <c r="G14" s="11" t="str">
        <f t="shared" si="1"/>
        <v/>
      </c>
      <c r="H14" s="12">
        <f>SUM('1st Qtr'!H14+'2nd Qtr'!H14+'3rd Qtr'!H14+'4th Qtr'!H14)</f>
        <v>167465</v>
      </c>
      <c r="I14" s="12">
        <f>SUM('1st Qtr'!I14, '2nd Qtr'!I14, '3rd Qtr'!I14, '4th Qtr'!I14)</f>
        <v>-55892.75</v>
      </c>
      <c r="J14" s="13">
        <f t="shared" si="2"/>
        <v>-0.33375780013734213</v>
      </c>
    </row>
    <row r="15" spans="1:10" ht="15.6">
      <c r="A15" s="26" t="str">
        <v>Globe Gila CC</v>
      </c>
      <c r="B15" s="27" t="str">
        <v>AZ</v>
      </c>
      <c r="C15" s="27" t="str">
        <f>Sites[[#This Row],[SOL'#]]</f>
        <v>SOL-10755</v>
      </c>
      <c r="D15" s="9">
        <f>SUM('1st Qtr'!D15, '2nd Qtr'!D15, '3rd Qtr'!D15, '4th Qtr'!D15)</f>
        <v>126123.789161106</v>
      </c>
      <c r="E15" s="14">
        <f>SUM('1st Qtr'!E15, '2nd Qtr'!E15, '3rd Qtr'!E15, '4th Qtr'!E15)</f>
        <v>0</v>
      </c>
      <c r="F15" s="14">
        <f t="shared" si="0"/>
        <v>126123.789161106</v>
      </c>
      <c r="G15" s="15" t="str">
        <f t="shared" si="1"/>
        <v/>
      </c>
      <c r="H15" s="16">
        <f>SUM('1st Qtr'!H15+'2nd Qtr'!H15+'3rd Qtr'!H15+'4th Qtr'!H15)</f>
        <v>116769</v>
      </c>
      <c r="I15" s="16">
        <f>SUM('1st Qtr'!I15, '2nd Qtr'!I15, '3rd Qtr'!I15, '4th Qtr'!I15)</f>
        <v>9354.7891611060004</v>
      </c>
      <c r="J15" s="15">
        <f t="shared" si="2"/>
        <v>8.0113635991624493E-2</v>
      </c>
    </row>
    <row r="16" spans="1:10" ht="15.6">
      <c r="A16" s="24" t="str">
        <v>Payson Gila CC</v>
      </c>
      <c r="B16" s="25" t="str">
        <v>AZ</v>
      </c>
      <c r="C16" s="25" t="str">
        <f>Sites[[#This Row],[SOL'#]]</f>
        <v>SOL-10756</v>
      </c>
      <c r="D16" s="20">
        <f>SUM('1st Qtr'!D16, '2nd Qtr'!D16, '3rd Qtr'!D16, '4th Qtr'!D16)</f>
        <v>89465.824127117521</v>
      </c>
      <c r="E16" s="10">
        <f>SUM('1st Qtr'!E16, '2nd Qtr'!E16, '3rd Qtr'!E16, '4th Qtr'!E16)</f>
        <v>42578.759999999995</v>
      </c>
      <c r="F16" s="10">
        <f t="shared" ref="F16:F17" si="3">IF(AND(ISNUMBER(D16),ISNUMBER(E16)), D16-E16, "")</f>
        <v>46887.064127117526</v>
      </c>
      <c r="G16" s="11">
        <f t="shared" ref="G16:G17" si="4">IFERROR(F16/E16, "")</f>
        <v>1.101184349359106</v>
      </c>
      <c r="H16" s="12">
        <f>SUM('1st Qtr'!H16+'2nd Qtr'!H16+'3rd Qtr'!H16+'4th Qtr'!H16)</f>
        <v>91195</v>
      </c>
      <c r="I16" s="12">
        <f>SUM('1st Qtr'!I16, '2nd Qtr'!I16, '3rd Qtr'!I16, '4th Qtr'!I16)</f>
        <v>-1729.1758728824807</v>
      </c>
      <c r="J16" s="13">
        <f t="shared" ref="J16:J17" si="5">IFERROR(I16/H16, "")</f>
        <v>-1.8961301309090198E-2</v>
      </c>
    </row>
    <row r="17" spans="1:10" ht="15.6">
      <c r="A17" s="26" t="str">
        <v>SCNM</v>
      </c>
      <c r="B17" s="27" t="str">
        <v>AZ</v>
      </c>
      <c r="C17" s="27" t="str">
        <f>Sites[[#This Row],[SOL'#]]</f>
        <v>SOL-10760</v>
      </c>
      <c r="D17" s="9">
        <f>SUM('1st Qtr'!D17, '2nd Qtr'!D17, '3rd Qtr'!D17, '4th Qtr'!D17)</f>
        <v>505790.62944567576</v>
      </c>
      <c r="E17" s="14">
        <f>SUM('1st Qtr'!E17, '2nd Qtr'!E17, '3rd Qtr'!E17, '4th Qtr'!E17)</f>
        <v>310575.95</v>
      </c>
      <c r="F17" s="14">
        <f t="shared" si="3"/>
        <v>195214.67944567575</v>
      </c>
      <c r="G17" s="15">
        <f t="shared" si="4"/>
        <v>0.62855697437511093</v>
      </c>
      <c r="H17" s="16">
        <f>SUM('1st Qtr'!H17+'2nd Qtr'!H17+'3rd Qtr'!H17+'4th Qtr'!H17)</f>
        <v>561858</v>
      </c>
      <c r="I17" s="16">
        <f>SUM('1st Qtr'!I17, '2nd Qtr'!I17, '3rd Qtr'!I17, '4th Qtr'!I17)</f>
        <v>-56067.370554324196</v>
      </c>
      <c r="J17" s="15">
        <f t="shared" si="5"/>
        <v>-9.9789218190938278E-2</v>
      </c>
    </row>
    <row r="18" spans="1:10" ht="12.75" customHeight="1">
      <c r="A18" s="24" t="str">
        <v>Sequoia Charter School</v>
      </c>
      <c r="B18" s="25" t="str">
        <v>AZ</v>
      </c>
      <c r="C18" s="25" t="str">
        <f>Sites[[#This Row],[SOL'#]]</f>
        <v>SOL-10759</v>
      </c>
      <c r="D18" s="20">
        <f>SUM('1st Qtr'!D18, '2nd Qtr'!D18, '3rd Qtr'!D18, '4th Qtr'!D18)</f>
        <v>203750.34000000052</v>
      </c>
      <c r="E18" s="10">
        <f>SUM('1st Qtr'!E18, '2nd Qtr'!E18, '3rd Qtr'!E18, '4th Qtr'!E18)</f>
        <v>0</v>
      </c>
      <c r="F18" s="10">
        <f t="shared" ref="F18:F81" si="6">IF(AND(ISNUMBER(D18),ISNUMBER(E18)), D18-E18, "")</f>
        <v>203750.34000000052</v>
      </c>
      <c r="G18" s="11" t="str">
        <f t="shared" ref="G18:G81" si="7">IFERROR(F18/E18, "")</f>
        <v/>
      </c>
      <c r="H18" s="12">
        <f>SUM('1st Qtr'!H18+'2nd Qtr'!H18+'3rd Qtr'!H18+'4th Qtr'!H18)</f>
        <v>329016</v>
      </c>
      <c r="I18" s="12">
        <f>SUM('1st Qtr'!I18, '2nd Qtr'!I18, '3rd Qtr'!I18, '4th Qtr'!I18)</f>
        <v>-125265.65999999951</v>
      </c>
      <c r="J18" s="13">
        <f t="shared" ref="J18:J81" si="8">IFERROR(I18/H18, "")</f>
        <v>-0.38072817127434383</v>
      </c>
    </row>
    <row r="19" spans="1:10" ht="15.6">
      <c r="A19" s="26" t="str">
        <v>RCAB</v>
      </c>
      <c r="B19" s="27" t="str">
        <v>MA</v>
      </c>
      <c r="C19" s="27" t="str">
        <f>Sites[[#This Row],[SOL'#]]</f>
        <v>SOL-10838</v>
      </c>
      <c r="D19" s="9">
        <f>SUM('1st Qtr'!D19, '2nd Qtr'!D19, '3rd Qtr'!D19, '4th Qtr'!D19)</f>
        <v>691805</v>
      </c>
      <c r="E19" s="14">
        <f>SUM('1st Qtr'!E19, '2nd Qtr'!E19, '3rd Qtr'!E19, '4th Qtr'!E19)</f>
        <v>875078.91999999993</v>
      </c>
      <c r="F19" s="14">
        <f t="shared" si="6"/>
        <v>-183273.91999999993</v>
      </c>
      <c r="G19" s="15">
        <f t="shared" si="7"/>
        <v>-0.20943701854913835</v>
      </c>
      <c r="H19" s="16">
        <f>SUM('1st Qtr'!H19+'2nd Qtr'!H19+'3rd Qtr'!H19+'4th Qtr'!H19)</f>
        <v>755515.57000000007</v>
      </c>
      <c r="I19" s="16">
        <f>SUM('1st Qtr'!I19, '2nd Qtr'!I19, '3rd Qtr'!I19, '4th Qtr'!I19)</f>
        <v>-63710.569999999992</v>
      </c>
      <c r="J19" s="15">
        <f t="shared" si="8"/>
        <v>-8.4327276008355448E-2</v>
      </c>
    </row>
    <row r="20" spans="1:10" ht="15.6">
      <c r="A20" s="24" t="str">
        <v>Spectro Coatings</v>
      </c>
      <c r="B20" s="25" t="str">
        <v>MA</v>
      </c>
      <c r="C20" s="25" t="str">
        <f>Sites[[#This Row],[SOL'#]]</f>
        <v>SOL-10074</v>
      </c>
      <c r="D20" s="20">
        <f>SUM('1st Qtr'!D20, '2nd Qtr'!D20, '3rd Qtr'!D20, '4th Qtr'!D20)</f>
        <v>149826.625</v>
      </c>
      <c r="E20" s="10">
        <f>SUM('1st Qtr'!E20, '2nd Qtr'!E20, '3rd Qtr'!E20, '4th Qtr'!E20)</f>
        <v>213509.05499999999</v>
      </c>
      <c r="F20" s="10">
        <f t="shared" si="6"/>
        <v>-63682.429999999993</v>
      </c>
      <c r="G20" s="11">
        <f t="shared" si="7"/>
        <v>-0.29826571055733442</v>
      </c>
      <c r="H20" s="12">
        <f>SUM('1st Qtr'!H20+'2nd Qtr'!H20+'3rd Qtr'!H20+'4th Qtr'!H20)</f>
        <v>198120.78699999998</v>
      </c>
      <c r="I20" s="12">
        <f>SUM('1st Qtr'!I20, '2nd Qtr'!I20, '3rd Qtr'!I20, '4th Qtr'!I20)</f>
        <v>-48294.162000000004</v>
      </c>
      <c r="J20" s="13">
        <f t="shared" si="8"/>
        <v>-0.24376120613734492</v>
      </c>
    </row>
    <row r="21" spans="1:10" ht="15.6">
      <c r="A21" s="26" t="str">
        <v>K026</v>
      </c>
      <c r="B21" s="27" t="str">
        <v>NY</v>
      </c>
      <c r="C21" s="27" t="str">
        <f>Sites[[#This Row],[SOL'#]]</f>
        <v>SOL-10356</v>
      </c>
      <c r="D21" s="9">
        <f>SUM('1st Qtr'!D21, '2nd Qtr'!D21, '3rd Qtr'!D21, '4th Qtr'!D21)</f>
        <v>149928.75</v>
      </c>
      <c r="E21" s="14">
        <f>SUM('1st Qtr'!E21, '2nd Qtr'!E21, '3rd Qtr'!E21, '4th Qtr'!E21)</f>
        <v>221211.40999999997</v>
      </c>
      <c r="F21" s="14">
        <f t="shared" si="6"/>
        <v>-71282.659999999974</v>
      </c>
      <c r="G21" s="15">
        <f t="shared" si="7"/>
        <v>-0.32223771820811586</v>
      </c>
      <c r="H21" s="16">
        <f>SUM('1st Qtr'!H21+'2nd Qtr'!H21+'3rd Qtr'!H21+'4th Qtr'!H21)</f>
        <v>200186.5</v>
      </c>
      <c r="I21" s="16">
        <f>SUM('1st Qtr'!I21, '2nd Qtr'!I21, '3rd Qtr'!I21, '4th Qtr'!I21)</f>
        <v>-50257.75</v>
      </c>
      <c r="J21" s="15">
        <f t="shared" si="8"/>
        <v>-0.25105464154675766</v>
      </c>
    </row>
    <row r="22" spans="1:10" ht="15.6">
      <c r="A22" s="24" t="str">
        <v>K041</v>
      </c>
      <c r="B22" s="25" t="str">
        <v>NY</v>
      </c>
      <c r="C22" s="25" t="str">
        <f>Sites[[#This Row],[SOL'#]]</f>
        <v>SOL-10357</v>
      </c>
      <c r="D22" s="20">
        <f>SUM('1st Qtr'!D22, '2nd Qtr'!D22, '3rd Qtr'!D22, '4th Qtr'!D22)</f>
        <v>151796.15625</v>
      </c>
      <c r="E22" s="10">
        <f>SUM('1st Qtr'!E22, '2nd Qtr'!E22, '3rd Qtr'!E22, '4th Qtr'!E22)</f>
        <v>178168.56</v>
      </c>
      <c r="F22" s="10">
        <f t="shared" si="6"/>
        <v>-26372.403749999998</v>
      </c>
      <c r="G22" s="11">
        <f t="shared" si="7"/>
        <v>-0.14801940224470578</v>
      </c>
      <c r="H22" s="12">
        <f>SUM('1st Qtr'!H22+'2nd Qtr'!H22+'3rd Qtr'!H22+'4th Qtr'!H22)</f>
        <v>167391</v>
      </c>
      <c r="I22" s="12">
        <f>SUM('1st Qtr'!I22, '2nd Qtr'!I22, '3rd Qtr'!I22, '4th Qtr'!I22)</f>
        <v>-15594.84375</v>
      </c>
      <c r="J22" s="13">
        <f t="shared" si="8"/>
        <v>-9.3164171012778463E-2</v>
      </c>
    </row>
    <row r="23" spans="1:10" ht="15.6">
      <c r="A23" s="26" t="str">
        <v>K043</v>
      </c>
      <c r="B23" s="27" t="str">
        <v>NY</v>
      </c>
      <c r="C23" s="27" t="str">
        <f>Sites[[#This Row],[SOL'#]]</f>
        <v>SOL-10358</v>
      </c>
      <c r="D23" s="9">
        <f>SUM('1st Qtr'!D23, '2nd Qtr'!D23, '3rd Qtr'!D23, '4th Qtr'!D23)</f>
        <v>180969.84424999999</v>
      </c>
      <c r="E23" s="14">
        <f>SUM('1st Qtr'!E23, '2nd Qtr'!E23, '3rd Qtr'!E23, '4th Qtr'!E23)</f>
        <v>197536.26900000003</v>
      </c>
      <c r="F23" s="14">
        <f t="shared" si="6"/>
        <v>-16566.424750000035</v>
      </c>
      <c r="G23" s="15">
        <f t="shared" si="7"/>
        <v>-8.3865230592160431E-2</v>
      </c>
      <c r="H23" s="16">
        <f>SUM('1st Qtr'!H23+'2nd Qtr'!H23+'3rd Qtr'!H23+'4th Qtr'!H23)</f>
        <v>36825.423000000003</v>
      </c>
      <c r="I23" s="16">
        <f>SUM('1st Qtr'!I23, '2nd Qtr'!I23, '3rd Qtr'!I23, '4th Qtr'!I23)</f>
        <v>144144.42124999998</v>
      </c>
      <c r="J23" s="15">
        <f t="shared" si="8"/>
        <v>3.914263829365924</v>
      </c>
    </row>
    <row r="24" spans="1:10" ht="15.6">
      <c r="A24" s="24" t="str">
        <v>K058</v>
      </c>
      <c r="B24" s="25" t="str">
        <v>NY</v>
      </c>
      <c r="C24" s="25" t="str">
        <f>Sites[[#This Row],[SOL'#]]</f>
        <v>SOL-10360</v>
      </c>
      <c r="D24" s="20">
        <f>SUM('1st Qtr'!D24, '2nd Qtr'!D24, '3rd Qtr'!D24, '4th Qtr'!D24)</f>
        <v>12634.75</v>
      </c>
      <c r="E24" s="10">
        <f>SUM('1st Qtr'!E24, '2nd Qtr'!E24, '3rd Qtr'!E24, '4th Qtr'!E24)</f>
        <v>22177.692999999999</v>
      </c>
      <c r="F24" s="10">
        <f t="shared" si="6"/>
        <v>-9542.9429999999993</v>
      </c>
      <c r="G24" s="11">
        <f t="shared" si="7"/>
        <v>-0.43029466590596233</v>
      </c>
      <c r="H24" s="12">
        <f>SUM('1st Qtr'!H24+'2nd Qtr'!H24+'3rd Qtr'!H24+'4th Qtr'!H24)</f>
        <v>128228.249</v>
      </c>
      <c r="I24" s="12">
        <f>SUM('1st Qtr'!I24, '2nd Qtr'!I24, '3rd Qtr'!I24, '4th Qtr'!I24)</f>
        <v>-115593.499</v>
      </c>
      <c r="J24" s="13">
        <f t="shared" si="8"/>
        <v>-0.90146671970854098</v>
      </c>
    </row>
    <row r="25" spans="1:10" ht="15.6">
      <c r="A25" s="26" t="str">
        <v>K115</v>
      </c>
      <c r="B25" s="27" t="str">
        <v>NY</v>
      </c>
      <c r="C25" s="27" t="str">
        <f>Sites[[#This Row],[SOL'#]]</f>
        <v>SOL-10361</v>
      </c>
      <c r="D25" s="9">
        <f>SUM('1st Qtr'!D25, '2nd Qtr'!D25, '3rd Qtr'!D25, '4th Qtr'!D25)</f>
        <v>35343.2890625</v>
      </c>
      <c r="E25" s="14">
        <f>SUM('1st Qtr'!E25, '2nd Qtr'!E25, '3rd Qtr'!E25, '4th Qtr'!E25)</f>
        <v>75921.395999999993</v>
      </c>
      <c r="F25" s="14">
        <f t="shared" si="6"/>
        <v>-40578.106937499993</v>
      </c>
      <c r="G25" s="15">
        <f t="shared" si="7"/>
        <v>-0.53447524776151367</v>
      </c>
      <c r="H25" s="16">
        <f>SUM('1st Qtr'!H25+'2nd Qtr'!H25+'3rd Qtr'!H25+'4th Qtr'!H25)</f>
        <v>94992.733999999997</v>
      </c>
      <c r="I25" s="16">
        <f>SUM('1st Qtr'!I25, '2nd Qtr'!I25, '3rd Qtr'!I25, '4th Qtr'!I25)</f>
        <v>-59649.444937499997</v>
      </c>
      <c r="J25" s="15">
        <f t="shared" si="8"/>
        <v>-0.62793692133863621</v>
      </c>
    </row>
    <row r="26" spans="1:10" ht="15.6">
      <c r="A26" s="24" t="str">
        <v>K152</v>
      </c>
      <c r="B26" s="25" t="str">
        <v>NY</v>
      </c>
      <c r="C26" s="25" t="str">
        <f>Sites[[#This Row],[SOL'#]]</f>
        <v>SOL-10362</v>
      </c>
      <c r="D26" s="20">
        <f>SUM('1st Qtr'!D26, '2nd Qtr'!D26, '3rd Qtr'!D26, '4th Qtr'!D26)</f>
        <v>55565.9375</v>
      </c>
      <c r="E26" s="10">
        <f>SUM('1st Qtr'!E26, '2nd Qtr'!E26, '3rd Qtr'!E26, '4th Qtr'!E26)</f>
        <v>59673.300999999999</v>
      </c>
      <c r="F26" s="10">
        <f t="shared" si="6"/>
        <v>-4107.3634999999995</v>
      </c>
      <c r="G26" s="11">
        <f t="shared" si="7"/>
        <v>-6.8830841116029426E-2</v>
      </c>
      <c r="H26" s="12">
        <f>SUM('1st Qtr'!H26+'2nd Qtr'!H26+'3rd Qtr'!H26+'4th Qtr'!H26)</f>
        <v>58322</v>
      </c>
      <c r="I26" s="12">
        <f>SUM('1st Qtr'!I26, '2nd Qtr'!I26, '3rd Qtr'!I26, '4th Qtr'!I26)</f>
        <v>-2756.0625</v>
      </c>
      <c r="J26" s="13">
        <f t="shared" si="8"/>
        <v>-4.7255966873564009E-2</v>
      </c>
    </row>
    <row r="27" spans="1:10" ht="15.6">
      <c r="A27" s="26" t="str">
        <v>K166</v>
      </c>
      <c r="B27" s="27" t="str">
        <v>NY</v>
      </c>
      <c r="C27" s="27" t="str">
        <f>Sites[[#This Row],[SOL'#]]</f>
        <v>SOL-10363</v>
      </c>
      <c r="D27" s="9">
        <f>SUM('1st Qtr'!D27, '2nd Qtr'!D27, '3rd Qtr'!D27, '4th Qtr'!D27)</f>
        <v>203766.625</v>
      </c>
      <c r="E27" s="14">
        <f>SUM('1st Qtr'!E27, '2nd Qtr'!E27, '3rd Qtr'!E27, '4th Qtr'!E27)</f>
        <v>227379.3</v>
      </c>
      <c r="F27" s="14">
        <f t="shared" si="6"/>
        <v>-23612.674999999988</v>
      </c>
      <c r="G27" s="15">
        <f t="shared" si="7"/>
        <v>-0.10384707403004578</v>
      </c>
      <c r="H27" s="16">
        <f>SUM('1st Qtr'!H27+'2nd Qtr'!H27+'3rd Qtr'!H27+'4th Qtr'!H27)</f>
        <v>211999.74</v>
      </c>
      <c r="I27" s="16">
        <f>SUM('1st Qtr'!I27, '2nd Qtr'!I27, '3rd Qtr'!I27, '4th Qtr'!I27)</f>
        <v>-8233.114999999998</v>
      </c>
      <c r="J27" s="15">
        <f t="shared" si="8"/>
        <v>-3.8835495741645715E-2</v>
      </c>
    </row>
    <row r="28" spans="1:10" ht="15.6">
      <c r="A28" s="24" t="str">
        <v>K206</v>
      </c>
      <c r="B28" s="25" t="str">
        <v>NY</v>
      </c>
      <c r="C28" s="25" t="str">
        <f>Sites[[#This Row],[SOL'#]]</f>
        <v>SOL-10927</v>
      </c>
      <c r="D28" s="20">
        <f>SUM('1st Qtr'!D28, '2nd Qtr'!D28, '3rd Qtr'!D28, '4th Qtr'!D28)</f>
        <v>121718.82398437499</v>
      </c>
      <c r="E28" s="10">
        <f>SUM('1st Qtr'!E28, '2nd Qtr'!E28, '3rd Qtr'!E28, '4th Qtr'!E28)</f>
        <v>125569.42</v>
      </c>
      <c r="F28" s="10">
        <f t="shared" si="6"/>
        <v>-3850.5960156250076</v>
      </c>
      <c r="G28" s="11">
        <f t="shared" si="7"/>
        <v>-3.0665077656845174E-2</v>
      </c>
      <c r="H28" s="12">
        <f>SUM('1st Qtr'!H28+'2nd Qtr'!H28+'3rd Qtr'!H28+'4th Qtr'!H28)</f>
        <v>122542</v>
      </c>
      <c r="I28" s="12">
        <f>SUM('1st Qtr'!I28, '2nd Qtr'!I28, '3rd Qtr'!I28, '4th Qtr'!I28)</f>
        <v>-823.17601562500113</v>
      </c>
      <c r="J28" s="13">
        <f t="shared" si="8"/>
        <v>-6.7175010659610672E-3</v>
      </c>
    </row>
    <row r="29" spans="1:10" ht="15.6">
      <c r="A29" s="26" t="str">
        <v>K251</v>
      </c>
      <c r="B29" s="27" t="str">
        <v>NY</v>
      </c>
      <c r="C29" s="27" t="str">
        <f>Sites[[#This Row],[SOL'#]]</f>
        <v>SOL-10365</v>
      </c>
      <c r="D29" s="9">
        <f>SUM('1st Qtr'!D29, '2nd Qtr'!D29, '3rd Qtr'!D29, '4th Qtr'!D29)</f>
        <v>115075.75</v>
      </c>
      <c r="E29" s="14">
        <f>SUM('1st Qtr'!E29, '2nd Qtr'!E29, '3rd Qtr'!E29, '4th Qtr'!E29)</f>
        <v>0</v>
      </c>
      <c r="F29" s="14">
        <f t="shared" si="6"/>
        <v>115075.75</v>
      </c>
      <c r="G29" s="15" t="str">
        <f t="shared" si="7"/>
        <v/>
      </c>
      <c r="H29" s="16">
        <f>SUM('1st Qtr'!H29+'2nd Qtr'!H29+'3rd Qtr'!H29+'4th Qtr'!H29)</f>
        <v>135807.20199999999</v>
      </c>
      <c r="I29" s="16">
        <f>SUM('1st Qtr'!I29, '2nd Qtr'!I29, '3rd Qtr'!I29, '4th Qtr'!I29)</f>
        <v>-20731.451999999997</v>
      </c>
      <c r="J29" s="15">
        <f t="shared" si="8"/>
        <v>-0.15265355367530509</v>
      </c>
    </row>
    <row r="30" spans="1:10" ht="15.6">
      <c r="A30" s="24" t="str">
        <v>K269</v>
      </c>
      <c r="B30" s="25" t="str">
        <v>NY</v>
      </c>
      <c r="C30" s="25" t="str">
        <f>Sites[[#This Row],[SOL'#]]</f>
        <v>SOL-10366</v>
      </c>
      <c r="D30" s="20">
        <f>SUM('1st Qtr'!D30, '2nd Qtr'!D30, '3rd Qtr'!D30, '4th Qtr'!D30)</f>
        <v>120744.4375</v>
      </c>
      <c r="E30" s="10">
        <f>SUM('1st Qtr'!E30, '2nd Qtr'!E30, '3rd Qtr'!E30, '4th Qtr'!E30)</f>
        <v>146697.03</v>
      </c>
      <c r="F30" s="10">
        <f t="shared" si="6"/>
        <v>-25952.592499999999</v>
      </c>
      <c r="G30" s="11">
        <f t="shared" si="7"/>
        <v>-0.17691286933348274</v>
      </c>
      <c r="H30" s="12">
        <f>SUM('1st Qtr'!H30+'2nd Qtr'!H30+'3rd Qtr'!H30+'4th Qtr'!H30)</f>
        <v>131529.772</v>
      </c>
      <c r="I30" s="12">
        <f>SUM('1st Qtr'!I30, '2nd Qtr'!I30, '3rd Qtr'!I30, '4th Qtr'!I30)</f>
        <v>-10785.334499999997</v>
      </c>
      <c r="J30" s="13">
        <f t="shared" si="8"/>
        <v>-8.1999187986123767E-2</v>
      </c>
    </row>
    <row r="31" spans="1:10" ht="15.6">
      <c r="A31" s="26" t="str">
        <v>K273</v>
      </c>
      <c r="B31" s="27" t="str">
        <v>NY</v>
      </c>
      <c r="C31" s="27" t="str">
        <f>Sites[[#This Row],[SOL'#]]</f>
        <v>SOL-10367</v>
      </c>
      <c r="D31" s="9">
        <f>SUM('1st Qtr'!D31, '2nd Qtr'!D31, '3rd Qtr'!D31, '4th Qtr'!D31)</f>
        <v>120161.0625</v>
      </c>
      <c r="E31" s="14">
        <f>SUM('1st Qtr'!E31, '2nd Qtr'!E31, '3rd Qtr'!E31, '4th Qtr'!E31)</f>
        <v>0</v>
      </c>
      <c r="F31" s="14">
        <f t="shared" si="6"/>
        <v>120161.0625</v>
      </c>
      <c r="G31" s="15" t="str">
        <f t="shared" si="7"/>
        <v/>
      </c>
      <c r="H31" s="16">
        <f>SUM('1st Qtr'!H31+'2nd Qtr'!H31+'3rd Qtr'!H31+'4th Qtr'!H31)</f>
        <v>162684</v>
      </c>
      <c r="I31" s="16">
        <f>SUM('1st Qtr'!I31, '2nd Qtr'!I31, '3rd Qtr'!I31, '4th Qtr'!I31)</f>
        <v>-42522.9375</v>
      </c>
      <c r="J31" s="15">
        <f t="shared" si="8"/>
        <v>-0.26138364866858449</v>
      </c>
    </row>
    <row r="32" spans="1:10" ht="15.6">
      <c r="A32" s="24" t="str">
        <v>K287</v>
      </c>
      <c r="B32" s="25" t="str">
        <v>NY</v>
      </c>
      <c r="C32" s="25" t="str">
        <f>Sites[[#This Row],[SOL'#]]</f>
        <v>SOL-10919</v>
      </c>
      <c r="D32" s="20">
        <f>SUM('1st Qtr'!D32, '2nd Qtr'!D32, '3rd Qtr'!D32, '4th Qtr'!D32)</f>
        <v>106034.625</v>
      </c>
      <c r="E32" s="10">
        <f>SUM('1st Qtr'!E32, '2nd Qtr'!E32, '3rd Qtr'!E32, '4th Qtr'!E32)</f>
        <v>96143.305000000008</v>
      </c>
      <c r="F32" s="10">
        <f t="shared" si="6"/>
        <v>9891.3199999999924</v>
      </c>
      <c r="G32" s="11">
        <f t="shared" si="7"/>
        <v>0.10288100663899573</v>
      </c>
      <c r="H32" s="12">
        <f>SUM('1st Qtr'!H32+'2nd Qtr'!H32+'3rd Qtr'!H32+'4th Qtr'!H32)</f>
        <v>115436</v>
      </c>
      <c r="I32" s="12">
        <f>SUM('1st Qtr'!I32, '2nd Qtr'!I32, '3rd Qtr'!I32, '4th Qtr'!I32)</f>
        <v>-9401.375</v>
      </c>
      <c r="J32" s="13">
        <f t="shared" si="8"/>
        <v>-8.1442314356006795E-2</v>
      </c>
    </row>
    <row r="33" spans="1:10" ht="15.6">
      <c r="A33" s="26" t="str">
        <v>K298</v>
      </c>
      <c r="B33" s="27" t="str">
        <v>NY</v>
      </c>
      <c r="C33" s="27" t="str">
        <f>Sites[[#This Row],[SOL'#]]</f>
        <v>SOL-10368</v>
      </c>
      <c r="D33" s="9">
        <f>SUM('1st Qtr'!D33, '2nd Qtr'!D33, '3rd Qtr'!D33, '4th Qtr'!D33)</f>
        <v>112198.84375</v>
      </c>
      <c r="E33" s="14">
        <f>SUM('1st Qtr'!E33, '2nd Qtr'!E33, '3rd Qtr'!E33, '4th Qtr'!E33)</f>
        <v>126595.69</v>
      </c>
      <c r="F33" s="14">
        <f t="shared" si="6"/>
        <v>-14396.846250000002</v>
      </c>
      <c r="G33" s="15">
        <f t="shared" si="7"/>
        <v>-0.11372303630558041</v>
      </c>
      <c r="H33" s="16">
        <f>SUM('1st Qtr'!H33+'2nd Qtr'!H33+'3rd Qtr'!H33+'4th Qtr'!H33)</f>
        <v>128708</v>
      </c>
      <c r="I33" s="16">
        <f>SUM('1st Qtr'!I33, '2nd Qtr'!I33, '3rd Qtr'!I33, '4th Qtr'!I33)</f>
        <v>-16509.15625</v>
      </c>
      <c r="J33" s="15">
        <f t="shared" si="8"/>
        <v>-0.12826829917332255</v>
      </c>
    </row>
    <row r="34" spans="1:10" ht="15.6">
      <c r="A34" s="24" t="str">
        <v>K335</v>
      </c>
      <c r="B34" s="25" t="str">
        <v>NY</v>
      </c>
      <c r="C34" s="25" t="str">
        <f>Sites[[#This Row],[SOL'#]]</f>
        <v>SOL-10370</v>
      </c>
      <c r="D34" s="20">
        <f>SUM('1st Qtr'!D34, '2nd Qtr'!D34, '3rd Qtr'!D34, '4th Qtr'!D34)</f>
        <v>118457.75</v>
      </c>
      <c r="E34" s="10">
        <f>SUM('1st Qtr'!E34, '2nd Qtr'!E34, '3rd Qtr'!E34, '4th Qtr'!E34)</f>
        <v>139254.65000000002</v>
      </c>
      <c r="F34" s="10">
        <f t="shared" si="6"/>
        <v>-20796.900000000023</v>
      </c>
      <c r="G34" s="11">
        <f t="shared" si="7"/>
        <v>-0.14934438455017496</v>
      </c>
      <c r="H34" s="12">
        <f>SUM('1st Qtr'!H34+'2nd Qtr'!H34+'3rd Qtr'!H34+'4th Qtr'!H34)</f>
        <v>116969.59699999999</v>
      </c>
      <c r="I34" s="12">
        <f>SUM('1st Qtr'!I34, '2nd Qtr'!I34, '3rd Qtr'!I34, '4th Qtr'!I34)</f>
        <v>1488.1529999999984</v>
      </c>
      <c r="J34" s="13">
        <f t="shared" si="8"/>
        <v>1.2722562427910207E-2</v>
      </c>
    </row>
    <row r="35" spans="1:10" ht="15.6">
      <c r="A35" s="26" t="str">
        <v>K345</v>
      </c>
      <c r="B35" s="27" t="str">
        <v>NY</v>
      </c>
      <c r="C35" s="27" t="str">
        <f>Sites[[#This Row],[SOL'#]]</f>
        <v>SOL-10920</v>
      </c>
      <c r="D35" s="9">
        <f>SUM('1st Qtr'!D35, '2nd Qtr'!D35, '3rd Qtr'!D35, '4th Qtr'!D35)</f>
        <v>139602.84375</v>
      </c>
      <c r="E35" s="14">
        <f>SUM('1st Qtr'!E35, '2nd Qtr'!E35, '3rd Qtr'!E35, '4th Qtr'!E35)</f>
        <v>88326.186000000002</v>
      </c>
      <c r="F35" s="14">
        <f t="shared" si="6"/>
        <v>51276.657749999998</v>
      </c>
      <c r="G35" s="15">
        <f t="shared" si="7"/>
        <v>0.5805374382405688</v>
      </c>
      <c r="H35" s="16">
        <f>SUM('1st Qtr'!H35+'2nd Qtr'!H35+'3rd Qtr'!H35+'4th Qtr'!H35)</f>
        <v>149687</v>
      </c>
      <c r="I35" s="16">
        <f>SUM('1st Qtr'!I35, '2nd Qtr'!I35, '3rd Qtr'!I35, '4th Qtr'!I35)</f>
        <v>-10084.156249999989</v>
      </c>
      <c r="J35" s="15">
        <f t="shared" si="8"/>
        <v>-6.7368283484871699E-2</v>
      </c>
    </row>
    <row r="36" spans="1:10" ht="15.6">
      <c r="A36" s="24" t="str">
        <v>K445</v>
      </c>
      <c r="B36" s="25" t="str">
        <v>NY</v>
      </c>
      <c r="C36" s="25" t="str">
        <f>Sites[[#This Row],[SOL'#]]</f>
        <v>SOL-10373</v>
      </c>
      <c r="D36" s="20">
        <f>SUM('1st Qtr'!D36, '2nd Qtr'!D36, '3rd Qtr'!D36, '4th Qtr'!D36)</f>
        <v>116263.859375</v>
      </c>
      <c r="E36" s="10">
        <f>SUM('1st Qtr'!E36, '2nd Qtr'!E36, '3rd Qtr'!E36, '4th Qtr'!E36)</f>
        <v>133016.13999999998</v>
      </c>
      <c r="F36" s="10">
        <f t="shared" si="6"/>
        <v>-16752.280624999985</v>
      </c>
      <c r="G36" s="11">
        <f t="shared" si="7"/>
        <v>-0.12594171372737162</v>
      </c>
      <c r="H36" s="12">
        <f>SUM('1st Qtr'!H36+'2nd Qtr'!H36+'3rd Qtr'!H36+'4th Qtr'!H36)</f>
        <v>122057.01699999999</v>
      </c>
      <c r="I36" s="12">
        <f>SUM('1st Qtr'!I36, '2nd Qtr'!I36, '3rd Qtr'!I36, '4th Qtr'!I36)</f>
        <v>-5793.1576250000007</v>
      </c>
      <c r="J36" s="13">
        <f t="shared" si="8"/>
        <v>-4.7462716748189915E-2</v>
      </c>
    </row>
    <row r="37" spans="1:10" ht="15.6">
      <c r="A37" s="26" t="str">
        <v>K495</v>
      </c>
      <c r="B37" s="27" t="str">
        <v>NY</v>
      </c>
      <c r="C37" s="27" t="str">
        <f>Sites[[#This Row],[SOL'#]]</f>
        <v>SOL-10374</v>
      </c>
      <c r="D37" s="9">
        <f>SUM('1st Qtr'!D37, '2nd Qtr'!D37, '3rd Qtr'!D37, '4th Qtr'!D37)</f>
        <v>302070.84547738702</v>
      </c>
      <c r="E37" s="14">
        <f>SUM('1st Qtr'!E37, '2nd Qtr'!E37, '3rd Qtr'!E37, '4th Qtr'!E37)</f>
        <v>476004.14999999997</v>
      </c>
      <c r="F37" s="14">
        <f t="shared" si="6"/>
        <v>-173933.30452261295</v>
      </c>
      <c r="G37" s="15">
        <f t="shared" si="7"/>
        <v>-0.36540291617754372</v>
      </c>
      <c r="H37" s="16">
        <f>SUM('1st Qtr'!H37+'2nd Qtr'!H37+'3rd Qtr'!H37+'4th Qtr'!H37)</f>
        <v>530406.13</v>
      </c>
      <c r="I37" s="16">
        <f>SUM('1st Qtr'!I37, '2nd Qtr'!I37, '3rd Qtr'!I37, '4th Qtr'!I37)</f>
        <v>-228335.28452261299</v>
      </c>
      <c r="J37" s="15">
        <f t="shared" si="8"/>
        <v>-0.4304914132923256</v>
      </c>
    </row>
    <row r="38" spans="1:10" ht="15.6">
      <c r="A38" s="24" t="str">
        <v>M020</v>
      </c>
      <c r="B38" s="25" t="str">
        <v>NY</v>
      </c>
      <c r="C38" s="25" t="str">
        <f>Sites[[#This Row],[SOL'#]]</f>
        <v>SOL-10380</v>
      </c>
      <c r="D38" s="20">
        <f>SUM('1st Qtr'!D38, '2nd Qtr'!D38, '3rd Qtr'!D38, '4th Qtr'!D38)</f>
        <v>122173.46875</v>
      </c>
      <c r="E38" s="10">
        <f>SUM('1st Qtr'!E38, '2nd Qtr'!E38, '3rd Qtr'!E38, '4th Qtr'!E38)</f>
        <v>136482.25</v>
      </c>
      <c r="F38" s="10">
        <f t="shared" si="6"/>
        <v>-14308.78125</v>
      </c>
      <c r="G38" s="11">
        <f t="shared" si="7"/>
        <v>-0.10483986928703183</v>
      </c>
      <c r="H38" s="12">
        <f>SUM('1st Qtr'!H38+'2nd Qtr'!H38+'3rd Qtr'!H38+'4th Qtr'!H38)</f>
        <v>143667</v>
      </c>
      <c r="I38" s="12">
        <f>SUM('1st Qtr'!I38, '2nd Qtr'!I38, '3rd Qtr'!I38, '4th Qtr'!I38)</f>
        <v>-21493.53125</v>
      </c>
      <c r="J38" s="13">
        <f t="shared" si="8"/>
        <v>-0.14960659894060571</v>
      </c>
    </row>
    <row r="39" spans="1:10" ht="15.6">
      <c r="A39" s="26" t="str">
        <v>M092</v>
      </c>
      <c r="B39" s="27" t="str">
        <v>NY</v>
      </c>
      <c r="C39" s="27" t="str">
        <f>Sites[[#This Row],[SOL'#]]</f>
        <v>SOL-10383</v>
      </c>
      <c r="D39" s="9">
        <f>SUM('1st Qtr'!D39, '2nd Qtr'!D39, '3rd Qtr'!D39, '4th Qtr'!D39)</f>
        <v>123223.56250000003</v>
      </c>
      <c r="E39" s="14">
        <f>SUM('1st Qtr'!E39, '2nd Qtr'!E39, '3rd Qtr'!E39, '4th Qtr'!E39)</f>
        <v>136917.96</v>
      </c>
      <c r="F39" s="14">
        <f t="shared" si="6"/>
        <v>-13694.397499999963</v>
      </c>
      <c r="G39" s="15">
        <f t="shared" si="7"/>
        <v>-0.10001900042916184</v>
      </c>
      <c r="H39" s="16">
        <f>SUM('1st Qtr'!H39+'2nd Qtr'!H39+'3rd Qtr'!H39+'4th Qtr'!H39)</f>
        <v>136852.03999999998</v>
      </c>
      <c r="I39" s="16">
        <f>SUM('1st Qtr'!I39, '2nd Qtr'!I39, '3rd Qtr'!I39, '4th Qtr'!I39)</f>
        <v>-13628.477499999979</v>
      </c>
      <c r="J39" s="15">
        <f t="shared" si="8"/>
        <v>-9.9585490285712813E-2</v>
      </c>
    </row>
    <row r="40" spans="1:10" ht="15.6">
      <c r="A40" s="24" t="str">
        <v>M143</v>
      </c>
      <c r="B40" s="25" t="str">
        <v>NY</v>
      </c>
      <c r="C40" s="25" t="str">
        <f>Sites[[#This Row],[SOL'#]]</f>
        <v>SOL-10384</v>
      </c>
      <c r="D40" s="20">
        <f>SUM('1st Qtr'!D40, '2nd Qtr'!D40, '3rd Qtr'!D40, '4th Qtr'!D40)</f>
        <v>137240.96875</v>
      </c>
      <c r="E40" s="10">
        <f>SUM('1st Qtr'!E40, '2nd Qtr'!E40, '3rd Qtr'!E40, '4th Qtr'!E40)</f>
        <v>165101.34</v>
      </c>
      <c r="F40" s="10">
        <f t="shared" si="6"/>
        <v>-27860.371249999997</v>
      </c>
      <c r="G40" s="11">
        <f t="shared" si="7"/>
        <v>-0.16874709345181571</v>
      </c>
      <c r="H40" s="12">
        <f>SUM('1st Qtr'!H40+'2nd Qtr'!H40+'3rd Qtr'!H40+'4th Qtr'!H40)</f>
        <v>150693.85399999999</v>
      </c>
      <c r="I40" s="12">
        <f>SUM('1st Qtr'!I40, '2nd Qtr'!I40, '3rd Qtr'!I40, '4th Qtr'!I40)</f>
        <v>-13452.885250000003</v>
      </c>
      <c r="J40" s="13">
        <f t="shared" si="8"/>
        <v>-8.9272952366060018E-2</v>
      </c>
    </row>
    <row r="41" spans="1:10" ht="15.6">
      <c r="A41" s="26" t="str">
        <v>M144</v>
      </c>
      <c r="B41" s="27" t="str">
        <v>NY</v>
      </c>
      <c r="C41" s="27" t="str">
        <f>Sites[[#This Row],[SOL'#]]</f>
        <v>SOL-10385</v>
      </c>
      <c r="D41" s="9">
        <f>SUM('1st Qtr'!D41, '2nd Qtr'!D41, '3rd Qtr'!D41, '4th Qtr'!D41)</f>
        <v>205157.875</v>
      </c>
      <c r="E41" s="14">
        <f>SUM('1st Qtr'!E41, '2nd Qtr'!E41, '3rd Qtr'!E41, '4th Qtr'!E41)</f>
        <v>121327.56999999999</v>
      </c>
      <c r="F41" s="14">
        <f t="shared" si="6"/>
        <v>83830.305000000008</v>
      </c>
      <c r="G41" s="15">
        <f t="shared" si="7"/>
        <v>0.69094192688438427</v>
      </c>
      <c r="H41" s="16">
        <f>SUM('1st Qtr'!H41+'2nd Qtr'!H41+'3rd Qtr'!H41+'4th Qtr'!H41)</f>
        <v>240666.65</v>
      </c>
      <c r="I41" s="16">
        <f>SUM('1st Qtr'!I41, '2nd Qtr'!I41, '3rd Qtr'!I41, '4th Qtr'!I41)</f>
        <v>-35508.775000000001</v>
      </c>
      <c r="J41" s="15">
        <f t="shared" si="8"/>
        <v>-0.14754339664427957</v>
      </c>
    </row>
    <row r="42" spans="1:10" ht="15.6">
      <c r="A42" s="24" t="str">
        <v>M167</v>
      </c>
      <c r="B42" s="25" t="str">
        <v>NY</v>
      </c>
      <c r="C42" s="25" t="str">
        <f>Sites[[#This Row],[SOL'#]]</f>
        <v>SOL-10386</v>
      </c>
      <c r="D42" s="20">
        <f>SUM('1st Qtr'!D42, '2nd Qtr'!D42, '3rd Qtr'!D42, '4th Qtr'!D42)</f>
        <v>152853.421875</v>
      </c>
      <c r="E42" s="10">
        <f>SUM('1st Qtr'!E42, '2nd Qtr'!E42, '3rd Qtr'!E42, '4th Qtr'!E42)</f>
        <v>119763.306</v>
      </c>
      <c r="F42" s="10">
        <f t="shared" si="6"/>
        <v>33090.115875000003</v>
      </c>
      <c r="G42" s="11">
        <f t="shared" si="7"/>
        <v>0.27629594556282544</v>
      </c>
      <c r="H42" s="12">
        <f>SUM('1st Qtr'!H42+'2nd Qtr'!H42+'3rd Qtr'!H42+'4th Qtr'!H42)</f>
        <v>179853.27100000001</v>
      </c>
      <c r="I42" s="12">
        <f>SUM('1st Qtr'!I42, '2nd Qtr'!I42, '3rd Qtr'!I42, '4th Qtr'!I42)</f>
        <v>-26999.849125000001</v>
      </c>
      <c r="J42" s="13">
        <f t="shared" si="8"/>
        <v>-0.1501215350428628</v>
      </c>
    </row>
    <row r="43" spans="1:10" ht="15.6">
      <c r="A43" s="26" t="str">
        <v>M188</v>
      </c>
      <c r="B43" s="27" t="str">
        <v>NY</v>
      </c>
      <c r="C43" s="27" t="str">
        <f>Sites[[#This Row],[SOL'#]]</f>
        <v>SOL-10387</v>
      </c>
      <c r="D43" s="9">
        <f>SUM('1st Qtr'!D43, '2nd Qtr'!D43, '3rd Qtr'!D43, '4th Qtr'!D43)</f>
        <v>104451.34375</v>
      </c>
      <c r="E43" s="14">
        <f>SUM('1st Qtr'!E43, '2nd Qtr'!E43, '3rd Qtr'!E43, '4th Qtr'!E43)</f>
        <v>60852.81</v>
      </c>
      <c r="F43" s="14">
        <f t="shared" si="6"/>
        <v>43598.533750000002</v>
      </c>
      <c r="G43" s="15">
        <f t="shared" si="7"/>
        <v>0.71645884142408545</v>
      </c>
      <c r="H43" s="16">
        <f>SUM('1st Qtr'!H43+'2nd Qtr'!H43+'3rd Qtr'!H43+'4th Qtr'!H43)</f>
        <v>123446.38</v>
      </c>
      <c r="I43" s="16">
        <f>SUM('1st Qtr'!I43, '2nd Qtr'!I43, '3rd Qtr'!I43, '4th Qtr'!I43)</f>
        <v>-18995.036250000001</v>
      </c>
      <c r="J43" s="15">
        <f t="shared" si="8"/>
        <v>-0.15387276848458417</v>
      </c>
    </row>
    <row r="44" spans="1:10" ht="15.6">
      <c r="A44" s="24" t="str">
        <v>EMHC</v>
      </c>
      <c r="B44" s="25" t="str">
        <v>NY</v>
      </c>
      <c r="C44" s="25" t="str">
        <f>Sites[[#This Row],[SOL'#]]</f>
        <v>SOL-10351</v>
      </c>
      <c r="D44" s="20">
        <f>SUM('1st Qtr'!D44, '2nd Qtr'!D44, '3rd Qtr'!D44, '4th Qtr'!D44)</f>
        <v>42276.3828125</v>
      </c>
      <c r="E44" s="10">
        <f>SUM('1st Qtr'!E44, '2nd Qtr'!E44, '3rd Qtr'!E44, '4th Qtr'!E44)</f>
        <v>36066.626000000004</v>
      </c>
      <c r="F44" s="10">
        <f t="shared" si="6"/>
        <v>6209.7568124999962</v>
      </c>
      <c r="G44" s="11">
        <f t="shared" si="7"/>
        <v>0.17217459743808572</v>
      </c>
      <c r="H44" s="12">
        <f>SUM('1st Qtr'!H44+'2nd Qtr'!H44+'3rd Qtr'!H44+'4th Qtr'!H44)</f>
        <v>56933.922000000006</v>
      </c>
      <c r="I44" s="12">
        <f>SUM('1st Qtr'!I44, '2nd Qtr'!I44, '3rd Qtr'!I44, '4th Qtr'!I44)</f>
        <v>-14657.539187499999</v>
      </c>
      <c r="J44" s="13">
        <f t="shared" si="8"/>
        <v>-0.25744826059058423</v>
      </c>
    </row>
    <row r="45" spans="1:10" ht="15.6">
      <c r="A45" s="26" t="str">
        <v>Q008</v>
      </c>
      <c r="B45" s="27" t="str">
        <v>NY</v>
      </c>
      <c r="C45" s="27" t="str">
        <f>Sites[[#This Row],[SOL'#]]</f>
        <v>SOL-10397</v>
      </c>
      <c r="D45" s="9">
        <f>SUM('1st Qtr'!D45, '2nd Qtr'!D45, '3rd Qtr'!D45, '4th Qtr'!D45)</f>
        <v>39978.6875</v>
      </c>
      <c r="E45" s="14">
        <f>SUM('1st Qtr'!E45, '2nd Qtr'!E45, '3rd Qtr'!E45, '4th Qtr'!E45)</f>
        <v>49531.6</v>
      </c>
      <c r="F45" s="14">
        <f t="shared" si="6"/>
        <v>-9552.9124999999985</v>
      </c>
      <c r="G45" s="15">
        <f t="shared" si="7"/>
        <v>-0.19286500940813539</v>
      </c>
      <c r="H45" s="16">
        <f>SUM('1st Qtr'!H45+'2nd Qtr'!H45+'3rd Qtr'!H45+'4th Qtr'!H45)</f>
        <v>155981</v>
      </c>
      <c r="I45" s="16">
        <f>SUM('1st Qtr'!I45, '2nd Qtr'!I45, '3rd Qtr'!I45, '4th Qtr'!I45)</f>
        <v>-116002.3125</v>
      </c>
      <c r="J45" s="15">
        <f t="shared" si="8"/>
        <v>-0.74369514556260052</v>
      </c>
    </row>
    <row r="46" spans="1:10" ht="15.6">
      <c r="A46" s="24" t="str">
        <v>Q018</v>
      </c>
      <c r="B46" s="25" t="str">
        <v>NY</v>
      </c>
      <c r="C46" s="25" t="str">
        <f>Sites[[#This Row],[SOL'#]]</f>
        <v>SOL-10398</v>
      </c>
      <c r="D46" s="20">
        <f>SUM('1st Qtr'!D46, '2nd Qtr'!D46, '3rd Qtr'!D46, '4th Qtr'!D46)</f>
        <v>113273</v>
      </c>
      <c r="E46" s="10">
        <f>SUM('1st Qtr'!E46, '2nd Qtr'!E46, '3rd Qtr'!E46, '4th Qtr'!E46)</f>
        <v>119027.942</v>
      </c>
      <c r="F46" s="10">
        <f t="shared" si="6"/>
        <v>-5754.9419999999955</v>
      </c>
      <c r="G46" s="11">
        <f t="shared" si="7"/>
        <v>-4.8349504354196056E-2</v>
      </c>
      <c r="H46" s="12">
        <f>SUM('1st Qtr'!H46+'2nd Qtr'!H46+'3rd Qtr'!H46+'4th Qtr'!H46)</f>
        <v>106591.606</v>
      </c>
      <c r="I46" s="12">
        <f>SUM('1st Qtr'!I46, '2nd Qtr'!I46, '3rd Qtr'!I46, '4th Qtr'!I46)</f>
        <v>6681.3940000000002</v>
      </c>
      <c r="J46" s="13">
        <f t="shared" si="8"/>
        <v>6.2682177806759012E-2</v>
      </c>
    </row>
    <row r="47" spans="1:10" ht="15.6">
      <c r="A47" s="26" t="str">
        <v>Q021</v>
      </c>
      <c r="B47" s="27" t="str">
        <v>NY</v>
      </c>
      <c r="C47" s="27" t="str">
        <f>Sites[[#This Row],[SOL'#]]</f>
        <v>SOL-10399</v>
      </c>
      <c r="D47" s="9">
        <f>SUM('1st Qtr'!D47, '2nd Qtr'!D47, '3rd Qtr'!D47, '4th Qtr'!D47)</f>
        <v>90489.124999999956</v>
      </c>
      <c r="E47" s="14">
        <f>SUM('1st Qtr'!E47, '2nd Qtr'!E47, '3rd Qtr'!E47, '4th Qtr'!E47)</f>
        <v>94500.344000000012</v>
      </c>
      <c r="F47" s="14">
        <f t="shared" si="6"/>
        <v>-4011.2190000000555</v>
      </c>
      <c r="G47" s="15">
        <f t="shared" si="7"/>
        <v>-4.2446607390128177E-2</v>
      </c>
      <c r="H47" s="16">
        <f>SUM('1st Qtr'!H47+'2nd Qtr'!H47+'3rd Qtr'!H47+'4th Qtr'!H47)</f>
        <v>88675.777000000002</v>
      </c>
      <c r="I47" s="16">
        <f>SUM('1st Qtr'!I47, '2nd Qtr'!I47, '3rd Qtr'!I47, '4th Qtr'!I47)</f>
        <v>1813.3479999999572</v>
      </c>
      <c r="J47" s="15">
        <f t="shared" si="8"/>
        <v>2.0449192117030529E-2</v>
      </c>
    </row>
    <row r="48" spans="1:10" ht="15.6">
      <c r="A48" s="24" t="str">
        <v>Q025</v>
      </c>
      <c r="B48" s="25" t="str">
        <v>NY</v>
      </c>
      <c r="C48" s="25" t="str">
        <f>Sites[[#This Row],[SOL'#]]</f>
        <v>SOL-10400</v>
      </c>
      <c r="D48" s="20">
        <f>SUM('1st Qtr'!D48, '2nd Qtr'!D48, '3rd Qtr'!D48, '4th Qtr'!D48)</f>
        <v>154611.25</v>
      </c>
      <c r="E48" s="10">
        <f>SUM('1st Qtr'!E48, '2nd Qtr'!E48, '3rd Qtr'!E48, '4th Qtr'!E48)</f>
        <v>159083.41</v>
      </c>
      <c r="F48" s="10">
        <f t="shared" si="6"/>
        <v>-4472.1600000000035</v>
      </c>
      <c r="G48" s="11">
        <f t="shared" si="7"/>
        <v>-2.811204512148692E-2</v>
      </c>
      <c r="H48" s="12">
        <f>SUM('1st Qtr'!H48+'2nd Qtr'!H48+'3rd Qtr'!H48+'4th Qtr'!H48)</f>
        <v>88932</v>
      </c>
      <c r="I48" s="12">
        <f>SUM('1st Qtr'!I48, '2nd Qtr'!I48, '3rd Qtr'!I48, '4th Qtr'!I48)</f>
        <v>65679.25</v>
      </c>
      <c r="J48" s="13">
        <f t="shared" si="8"/>
        <v>0.73853337381370032</v>
      </c>
    </row>
    <row r="49" spans="1:10" ht="15.6">
      <c r="A49" s="26" t="str">
        <v>Q074</v>
      </c>
      <c r="B49" s="27" t="str">
        <v>NY</v>
      </c>
      <c r="C49" s="27" t="str">
        <f>Sites[[#This Row],[SOL'#]]</f>
        <v>SOL-10402</v>
      </c>
      <c r="D49" s="9">
        <f>SUM('1st Qtr'!D49, '2nd Qtr'!D49, '3rd Qtr'!D49, '4th Qtr'!D49)</f>
        <v>100529.5625</v>
      </c>
      <c r="E49" s="14">
        <f>SUM('1st Qtr'!E49, '2nd Qtr'!E49, '3rd Qtr'!E49, '4th Qtr'!E49)</f>
        <v>102509.92099999999</v>
      </c>
      <c r="F49" s="14">
        <f t="shared" si="6"/>
        <v>-1980.3584999999875</v>
      </c>
      <c r="G49" s="15">
        <f t="shared" si="7"/>
        <v>-1.9318700869938119E-2</v>
      </c>
      <c r="H49" s="16">
        <f>SUM('1st Qtr'!H49+'2nd Qtr'!H49+'3rd Qtr'!H49+'4th Qtr'!H49)</f>
        <v>100788.25599999999</v>
      </c>
      <c r="I49" s="16">
        <f>SUM('1st Qtr'!I49, '2nd Qtr'!I49, '3rd Qtr'!I49, '4th Qtr'!I49)</f>
        <v>-258.69350000000031</v>
      </c>
      <c r="J49" s="15">
        <f t="shared" si="8"/>
        <v>-2.5667028110894223E-3</v>
      </c>
    </row>
    <row r="50" spans="1:10" ht="15.6">
      <c r="A50" s="24" t="str">
        <v>Q115</v>
      </c>
      <c r="B50" s="25" t="str">
        <v>NY</v>
      </c>
      <c r="C50" s="25" t="str">
        <f>Sites[[#This Row],[SOL'#]]</f>
        <v>SOL-10872</v>
      </c>
      <c r="D50" s="20">
        <f>SUM('1st Qtr'!D50, '2nd Qtr'!D50, '3rd Qtr'!D50, '4th Qtr'!D50)</f>
        <v>129386.6250000001</v>
      </c>
      <c r="E50" s="10">
        <f>SUM('1st Qtr'!E50, '2nd Qtr'!E50, '3rd Qtr'!E50, '4th Qtr'!E50)</f>
        <v>143254.46</v>
      </c>
      <c r="F50" s="10">
        <f t="shared" si="6"/>
        <v>-13867.83499999989</v>
      </c>
      <c r="G50" s="11">
        <f t="shared" si="7"/>
        <v>-9.6805607308839747E-2</v>
      </c>
      <c r="H50" s="12">
        <f>SUM('1st Qtr'!H50+'2nd Qtr'!H50+'3rd Qtr'!H50+'4th Qtr'!H50)</f>
        <v>133001.40700000001</v>
      </c>
      <c r="I50" s="12">
        <f>SUM('1st Qtr'!I50, '2nd Qtr'!I50, '3rd Qtr'!I50, '4th Qtr'!I50)</f>
        <v>-3614.7819999999028</v>
      </c>
      <c r="J50" s="13">
        <f t="shared" si="8"/>
        <v>-2.7178524509894116E-2</v>
      </c>
    </row>
    <row r="51" spans="1:10" ht="15.6">
      <c r="A51" s="26" t="str">
        <v>Q139</v>
      </c>
      <c r="B51" s="27" t="str">
        <v>NY</v>
      </c>
      <c r="C51" s="27" t="str">
        <f>Sites[[#This Row],[SOL'#]]</f>
        <v>SOL-10403</v>
      </c>
      <c r="D51" s="9">
        <f>SUM('1st Qtr'!D51, '2nd Qtr'!D51, '3rd Qtr'!D51, '4th Qtr'!D51)</f>
        <v>78431.40625</v>
      </c>
      <c r="E51" s="14">
        <f>SUM('1st Qtr'!E51, '2nd Qtr'!E51, '3rd Qtr'!E51, '4th Qtr'!E51)</f>
        <v>86979.079999999987</v>
      </c>
      <c r="F51" s="14">
        <f t="shared" si="6"/>
        <v>-8547.6737499999872</v>
      </c>
      <c r="G51" s="15">
        <f t="shared" si="7"/>
        <v>-9.8272754207103463E-2</v>
      </c>
      <c r="H51" s="16">
        <f>SUM('1st Qtr'!H51+'2nd Qtr'!H51+'3rd Qtr'!H51+'4th Qtr'!H51)</f>
        <v>85011</v>
      </c>
      <c r="I51" s="16">
        <f>SUM('1st Qtr'!I51, '2nd Qtr'!I51, '3rd Qtr'!I51, '4th Qtr'!I51)</f>
        <v>-6579.59375</v>
      </c>
      <c r="J51" s="15">
        <f t="shared" si="8"/>
        <v>-7.7396969215748554E-2</v>
      </c>
    </row>
    <row r="52" spans="1:10" ht="15.6">
      <c r="A52" s="24" t="str">
        <v>Q157</v>
      </c>
      <c r="B52" s="25" t="str">
        <v>NY</v>
      </c>
      <c r="C52" s="25" t="str">
        <f>Sites[[#This Row],[SOL'#]]</f>
        <v>SOL-10404</v>
      </c>
      <c r="D52" s="20">
        <f>SUM('1st Qtr'!D52, '2nd Qtr'!D52, '3rd Qtr'!D52, '4th Qtr'!D52)</f>
        <v>136480.625</v>
      </c>
      <c r="E52" s="10">
        <f>SUM('1st Qtr'!E52, '2nd Qtr'!E52, '3rd Qtr'!E52, '4th Qtr'!E52)</f>
        <v>156318.57</v>
      </c>
      <c r="F52" s="10">
        <f t="shared" si="6"/>
        <v>-19837.945000000007</v>
      </c>
      <c r="G52" s="11">
        <f t="shared" si="7"/>
        <v>-0.12690715504882116</v>
      </c>
      <c r="H52" s="12">
        <f>SUM('1st Qtr'!H52+'2nd Qtr'!H52+'3rd Qtr'!H52+'4th Qtr'!H52)</f>
        <v>149770.071</v>
      </c>
      <c r="I52" s="12">
        <f>SUM('1st Qtr'!I52, '2nd Qtr'!I52, '3rd Qtr'!I52, '4th Qtr'!I52)</f>
        <v>-13289.445999999998</v>
      </c>
      <c r="J52" s="13">
        <f t="shared" si="8"/>
        <v>-8.8732320892069269E-2</v>
      </c>
    </row>
    <row r="53" spans="1:10" ht="15.6">
      <c r="A53" s="26" t="str">
        <v>Q192</v>
      </c>
      <c r="B53" s="27" t="str">
        <v>NY</v>
      </c>
      <c r="C53" s="27" t="str">
        <f>Sites[[#This Row],[SOL'#]]</f>
        <v>SOL-10406</v>
      </c>
      <c r="D53" s="9">
        <f>SUM('1st Qtr'!D53, '2nd Qtr'!D53, '3rd Qtr'!D53, '4th Qtr'!D53)</f>
        <v>214721.0000000002</v>
      </c>
      <c r="E53" s="14">
        <f>SUM('1st Qtr'!E53, '2nd Qtr'!E53, '3rd Qtr'!E53, '4th Qtr'!E53)</f>
        <v>241501.53</v>
      </c>
      <c r="F53" s="14">
        <f t="shared" si="6"/>
        <v>-26780.529999999795</v>
      </c>
      <c r="G53" s="15">
        <f t="shared" si="7"/>
        <v>-0.11089176122403778</v>
      </c>
      <c r="H53" s="16">
        <f>SUM('1st Qtr'!H53+'2nd Qtr'!H53+'3rd Qtr'!H53+'4th Qtr'!H53)</f>
        <v>142831.09179999999</v>
      </c>
      <c r="I53" s="16">
        <f>SUM('1st Qtr'!I53, '2nd Qtr'!I53, '3rd Qtr'!I53, '4th Qtr'!I53)</f>
        <v>71889.908200000194</v>
      </c>
      <c r="J53" s="15">
        <f t="shared" si="8"/>
        <v>0.50332114173477316</v>
      </c>
    </row>
    <row r="54" spans="1:10" ht="15.6">
      <c r="A54" s="24" t="str">
        <v>Q210</v>
      </c>
      <c r="B54" s="25" t="str">
        <v>NY</v>
      </c>
      <c r="C54" s="25" t="str">
        <f>Sites[[#This Row],[SOL'#]]</f>
        <v>SOL-10407</v>
      </c>
      <c r="D54" s="20">
        <f>SUM('1st Qtr'!D54, '2nd Qtr'!D54, '3rd Qtr'!D54, '4th Qtr'!D54)</f>
        <v>170747.25</v>
      </c>
      <c r="E54" s="10">
        <f>SUM('1st Qtr'!E54, '2nd Qtr'!E54, '3rd Qtr'!E54, '4th Qtr'!E54)</f>
        <v>181498.66000000003</v>
      </c>
      <c r="F54" s="10">
        <f t="shared" si="6"/>
        <v>-10751.410000000033</v>
      </c>
      <c r="G54" s="11">
        <f t="shared" si="7"/>
        <v>-5.9236856073758511E-2</v>
      </c>
      <c r="H54" s="12">
        <f>SUM('1st Qtr'!H54+'2nd Qtr'!H54+'3rd Qtr'!H54+'4th Qtr'!H54)</f>
        <v>183408</v>
      </c>
      <c r="I54" s="12">
        <f>SUM('1st Qtr'!I54, '2nd Qtr'!I54, '3rd Qtr'!I54, '4th Qtr'!I54)</f>
        <v>-12660.75</v>
      </c>
      <c r="J54" s="13">
        <f t="shared" si="8"/>
        <v>-6.9030522114629678E-2</v>
      </c>
    </row>
    <row r="55" spans="1:10" ht="15.6">
      <c r="A55" s="26" t="str">
        <v>Q229</v>
      </c>
      <c r="B55" s="27" t="str">
        <v>NY</v>
      </c>
      <c r="C55" s="27" t="str">
        <f>Sites[[#This Row],[SOL'#]]</f>
        <v>SOL-10408</v>
      </c>
      <c r="D55" s="9">
        <f>SUM('1st Qtr'!D55, '2nd Qtr'!D55, '3rd Qtr'!D55, '4th Qtr'!D55)</f>
        <v>75452.110436893199</v>
      </c>
      <c r="E55" s="14">
        <f>SUM('1st Qtr'!E55, '2nd Qtr'!E55, '3rd Qtr'!E55, '4th Qtr'!E55)</f>
        <v>89340.309000000008</v>
      </c>
      <c r="F55" s="14">
        <f t="shared" si="6"/>
        <v>-13888.198563106809</v>
      </c>
      <c r="G55" s="15">
        <f t="shared" si="7"/>
        <v>-0.1554527706313038</v>
      </c>
      <c r="H55" s="16">
        <f>SUM('1st Qtr'!H55+'2nd Qtr'!H55+'3rd Qtr'!H55+'4th Qtr'!H55)</f>
        <v>67662.438999999998</v>
      </c>
      <c r="I55" s="16">
        <f>SUM('1st Qtr'!I55, '2nd Qtr'!I55, '3rd Qtr'!I55, '4th Qtr'!I55)</f>
        <v>7789.6714368931989</v>
      </c>
      <c r="J55" s="15">
        <f t="shared" si="8"/>
        <v>0.11512548988801895</v>
      </c>
    </row>
    <row r="56" spans="1:10" ht="15.6">
      <c r="A56" s="24" t="str">
        <v>Q231</v>
      </c>
      <c r="B56" s="25" t="str">
        <v>NY</v>
      </c>
      <c r="C56" s="25" t="str">
        <f>Sites[[#This Row],[SOL'#]]</f>
        <v>SOL-10870</v>
      </c>
      <c r="D56" s="20">
        <f>SUM('1st Qtr'!D56, '2nd Qtr'!D56, '3rd Qtr'!D56, '4th Qtr'!D56)</f>
        <v>285194.375</v>
      </c>
      <c r="E56" s="10">
        <f>SUM('1st Qtr'!E56, '2nd Qtr'!E56, '3rd Qtr'!E56, '4th Qtr'!E56)</f>
        <v>318853.52</v>
      </c>
      <c r="F56" s="10">
        <f t="shared" si="6"/>
        <v>-33659.145000000019</v>
      </c>
      <c r="G56" s="11">
        <f t="shared" si="7"/>
        <v>-0.10556303408536941</v>
      </c>
      <c r="H56" s="12">
        <f>SUM('1st Qtr'!H56+'2nd Qtr'!H56+'3rd Qtr'!H56+'4th Qtr'!H56)</f>
        <v>306552</v>
      </c>
      <c r="I56" s="12">
        <f>SUM('1st Qtr'!I56, '2nd Qtr'!I56, '3rd Qtr'!I56, '4th Qtr'!I56)</f>
        <v>-21357.625</v>
      </c>
      <c r="J56" s="13">
        <f t="shared" si="8"/>
        <v>-6.9670480049061817E-2</v>
      </c>
    </row>
    <row r="57" spans="1:10" ht="15.6">
      <c r="A57" s="26" t="str">
        <v>Q405</v>
      </c>
      <c r="B57" s="27" t="str">
        <v>NY</v>
      </c>
      <c r="C57" s="27" t="str">
        <f>Sites[[#This Row],[SOL'#]]</f>
        <v>SOL-10409</v>
      </c>
      <c r="D57" s="9">
        <f>SUM('1st Qtr'!D57, '2nd Qtr'!D57, '3rd Qtr'!D57, '4th Qtr'!D57)</f>
        <v>321978.5</v>
      </c>
      <c r="E57" s="14">
        <f>SUM('1st Qtr'!E57, '2nd Qtr'!E57, '3rd Qtr'!E57, '4th Qtr'!E57)</f>
        <v>366478.85</v>
      </c>
      <c r="F57" s="14">
        <f t="shared" si="6"/>
        <v>-44500.349999999977</v>
      </c>
      <c r="G57" s="15">
        <f t="shared" si="7"/>
        <v>-0.12142678902206766</v>
      </c>
      <c r="H57" s="16">
        <f>SUM('1st Qtr'!H57+'2nd Qtr'!H57+'3rd Qtr'!H57+'4th Qtr'!H57)</f>
        <v>327538.26</v>
      </c>
      <c r="I57" s="16">
        <f>SUM('1st Qtr'!I57, '2nd Qtr'!I57, '3rd Qtr'!I57, '4th Qtr'!I57)</f>
        <v>-5559.7600000000057</v>
      </c>
      <c r="J57" s="15">
        <f t="shared" si="8"/>
        <v>-1.6974383389592427E-2</v>
      </c>
    </row>
    <row r="58" spans="1:10" ht="15.6">
      <c r="A58" s="24" t="str">
        <v>Q435</v>
      </c>
      <c r="B58" s="25" t="str">
        <v>NY</v>
      </c>
      <c r="C58" s="25" t="str">
        <f>Sites[[#This Row],[SOL'#]]</f>
        <v>SOL-10923</v>
      </c>
      <c r="D58" s="20">
        <f>SUM('1st Qtr'!D58, '2nd Qtr'!D58, '3rd Qtr'!D58, '4th Qtr'!D58)</f>
        <v>386214.5</v>
      </c>
      <c r="E58" s="10">
        <f>SUM('1st Qtr'!E58, '2nd Qtr'!E58, '3rd Qtr'!E58, '4th Qtr'!E58)</f>
        <v>346984.81</v>
      </c>
      <c r="F58" s="10">
        <f t="shared" si="6"/>
        <v>39229.69</v>
      </c>
      <c r="G58" s="11">
        <f t="shared" si="7"/>
        <v>0.11305881084535084</v>
      </c>
      <c r="H58" s="12">
        <f>SUM('1st Qtr'!H58+'2nd Qtr'!H58+'3rd Qtr'!H58+'4th Qtr'!H58)</f>
        <v>436599</v>
      </c>
      <c r="I58" s="12">
        <f>SUM('1st Qtr'!I58, '2nd Qtr'!I58, '3rd Qtr'!I58, '4th Qtr'!I58)</f>
        <v>-50384.5</v>
      </c>
      <c r="J58" s="13">
        <f t="shared" si="8"/>
        <v>-0.11540223408665617</v>
      </c>
    </row>
    <row r="59" spans="1:10" ht="15.6">
      <c r="A59" s="26" t="str">
        <v>Q485</v>
      </c>
      <c r="B59" s="27" t="str">
        <v>NY</v>
      </c>
      <c r="C59" s="27" t="str">
        <f>Sites[[#This Row],[SOL'#]]</f>
        <v>SOL-10869</v>
      </c>
      <c r="D59" s="9">
        <f>SUM('1st Qtr'!D59, '2nd Qtr'!D59, '3rd Qtr'!D59, '4th Qtr'!D59)</f>
        <v>378261.49999999988</v>
      </c>
      <c r="E59" s="14">
        <f>SUM('1st Qtr'!E59, '2nd Qtr'!E59, '3rd Qtr'!E59, '4th Qtr'!E59)</f>
        <v>318345.78000000003</v>
      </c>
      <c r="F59" s="14">
        <f t="shared" si="6"/>
        <v>59915.719999999856</v>
      </c>
      <c r="G59" s="15">
        <f t="shared" si="7"/>
        <v>0.18820956257061064</v>
      </c>
      <c r="H59" s="16">
        <f>SUM('1st Qtr'!H59+'2nd Qtr'!H59+'3rd Qtr'!H59+'4th Qtr'!H59)</f>
        <v>412126.86</v>
      </c>
      <c r="I59" s="16">
        <f>SUM('1st Qtr'!I59, '2nd Qtr'!I59, '3rd Qtr'!I59, '4th Qtr'!I59)</f>
        <v>-33865.360000000117</v>
      </c>
      <c r="J59" s="15">
        <f t="shared" si="8"/>
        <v>-8.2172173878693855E-2</v>
      </c>
    </row>
    <row r="60" spans="1:10" ht="15.6">
      <c r="A60" s="24" t="str">
        <v>Q490</v>
      </c>
      <c r="B60" s="25" t="str">
        <v>NY</v>
      </c>
      <c r="C60" s="25" t="str">
        <f>Sites[[#This Row],[SOL'#]]</f>
        <v>SOL-10411</v>
      </c>
      <c r="D60" s="20">
        <f>SUM('1st Qtr'!D60, '2nd Qtr'!D60, '3rd Qtr'!D60, '4th Qtr'!D60)</f>
        <v>276129.9327889448</v>
      </c>
      <c r="E60" s="10">
        <f>SUM('1st Qtr'!E60, '2nd Qtr'!E60, '3rd Qtr'!E60, '4th Qtr'!E60)</f>
        <v>0</v>
      </c>
      <c r="F60" s="10">
        <f t="shared" si="6"/>
        <v>276129.9327889448</v>
      </c>
      <c r="G60" s="11" t="str">
        <f t="shared" si="7"/>
        <v/>
      </c>
      <c r="H60" s="12">
        <f>SUM('1st Qtr'!H60+'2nd Qtr'!H60+'3rd Qtr'!H60+'4th Qtr'!H60)</f>
        <v>282496.27</v>
      </c>
      <c r="I60" s="12">
        <f>SUM('1st Qtr'!I60, '2nd Qtr'!I60, '3rd Qtr'!I60, '4th Qtr'!I60)</f>
        <v>-6366.3372110552045</v>
      </c>
      <c r="J60" s="13">
        <f t="shared" si="8"/>
        <v>-2.2536004496821159E-2</v>
      </c>
    </row>
    <row r="61" spans="1:10" ht="15.6">
      <c r="A61" s="26" t="str">
        <v>Q620</v>
      </c>
      <c r="B61" s="27" t="str">
        <v>NY</v>
      </c>
      <c r="C61" s="27" t="str">
        <f>Sites[[#This Row],[SOL'#]]</f>
        <v>SOL-10867</v>
      </c>
      <c r="D61" s="9">
        <f>SUM('1st Qtr'!D61, '2nd Qtr'!D61, '3rd Qtr'!D61, '4th Qtr'!D61)</f>
        <v>418387.875</v>
      </c>
      <c r="E61" s="14">
        <f>SUM('1st Qtr'!E61, '2nd Qtr'!E61, '3rd Qtr'!E61, '4th Qtr'!E61)</f>
        <v>434586.6</v>
      </c>
      <c r="F61" s="14">
        <f t="shared" si="6"/>
        <v>-16198.724999999977</v>
      </c>
      <c r="G61" s="15">
        <f t="shared" si="7"/>
        <v>-3.7273871306662418E-2</v>
      </c>
      <c r="H61" s="16">
        <f>SUM('1st Qtr'!H61+'2nd Qtr'!H61+'3rd Qtr'!H61+'4th Qtr'!H61)</f>
        <v>437373.12</v>
      </c>
      <c r="I61" s="16">
        <f>SUM('1st Qtr'!I61, '2nd Qtr'!I61, '3rd Qtr'!I61, '4th Qtr'!I61)</f>
        <v>-18985.244999999995</v>
      </c>
      <c r="J61" s="15">
        <f t="shared" si="8"/>
        <v>-4.3407434366336907E-2</v>
      </c>
    </row>
    <row r="62" spans="1:10" ht="15.6">
      <c r="A62" s="24" t="str">
        <v>QMOA</v>
      </c>
      <c r="B62" s="25" t="str">
        <v>NY</v>
      </c>
      <c r="C62" s="25" t="str">
        <f>Sites[[#This Row],[SOL'#]]</f>
        <v>SOL-10415</v>
      </c>
      <c r="D62" s="20">
        <f>SUM('1st Qtr'!D62, '2nd Qtr'!D62, '3rd Qtr'!D62, '4th Qtr'!D62)</f>
        <v>36106.80000000001</v>
      </c>
      <c r="E62" s="10">
        <f>SUM('1st Qtr'!E62, '2nd Qtr'!E62, '3rd Qtr'!E62, '4th Qtr'!E62)</f>
        <v>0</v>
      </c>
      <c r="F62" s="10">
        <f t="shared" si="6"/>
        <v>36106.80000000001</v>
      </c>
      <c r="G62" s="11" t="str">
        <f t="shared" si="7"/>
        <v/>
      </c>
      <c r="H62" s="12">
        <f>SUM('1st Qtr'!H62+'2nd Qtr'!H62+'3rd Qtr'!H62+'4th Qtr'!H62)</f>
        <v>40068.39</v>
      </c>
      <c r="I62" s="12">
        <f>SUM('1st Qtr'!I62, '2nd Qtr'!I62, '3rd Qtr'!I62, '4th Qtr'!I62)</f>
        <v>-3961.5899999999892</v>
      </c>
      <c r="J62" s="13">
        <f t="shared" si="8"/>
        <v>-9.8870705810739826E-2</v>
      </c>
    </row>
    <row r="63" spans="1:10" ht="15.6">
      <c r="A63" s="26" t="str">
        <v>X024</v>
      </c>
      <c r="B63" s="27" t="str">
        <v>NY</v>
      </c>
      <c r="C63" s="27" t="str">
        <f>Sites[[#This Row],[SOL'#]]</f>
        <v>SOL-10419</v>
      </c>
      <c r="D63" s="9">
        <f>SUM('1st Qtr'!D63, '2nd Qtr'!D63, '3rd Qtr'!D63, '4th Qtr'!D63)</f>
        <v>154893.875</v>
      </c>
      <c r="E63" s="14">
        <f>SUM('1st Qtr'!E63, '2nd Qtr'!E63, '3rd Qtr'!E63, '4th Qtr'!E63)</f>
        <v>170959.72</v>
      </c>
      <c r="F63" s="14">
        <f t="shared" si="6"/>
        <v>-16065.845000000001</v>
      </c>
      <c r="G63" s="15">
        <f t="shared" si="7"/>
        <v>-9.3974446144390045E-2</v>
      </c>
      <c r="H63" s="16">
        <f>SUM('1st Qtr'!H63+'2nd Qtr'!H63+'3rd Qtr'!H63+'4th Qtr'!H63)</f>
        <v>150651</v>
      </c>
      <c r="I63" s="16">
        <f>SUM('1st Qtr'!I63, '2nd Qtr'!I63, '3rd Qtr'!I63, '4th Qtr'!I63)</f>
        <v>4242.875</v>
      </c>
      <c r="J63" s="15">
        <f t="shared" si="8"/>
        <v>2.8163603295032889E-2</v>
      </c>
    </row>
    <row r="64" spans="1:10" ht="15.6">
      <c r="A64" s="24" t="str">
        <v>X026</v>
      </c>
      <c r="B64" s="25" t="str">
        <v>NY</v>
      </c>
      <c r="C64" s="25" t="str">
        <f>Sites[[#This Row],[SOL'#]]</f>
        <v>SOL-10420</v>
      </c>
      <c r="D64" s="20">
        <f>SUM('1st Qtr'!D64, '2nd Qtr'!D64, '3rd Qtr'!D64, '4th Qtr'!D64)</f>
        <v>138162.49374999999</v>
      </c>
      <c r="E64" s="10">
        <f>SUM('1st Qtr'!E64, '2nd Qtr'!E64, '3rd Qtr'!E64, '4th Qtr'!E64)</f>
        <v>136456.14000000001</v>
      </c>
      <c r="F64" s="10">
        <f t="shared" si="6"/>
        <v>1706.3537499999802</v>
      </c>
      <c r="G64" s="11">
        <f t="shared" si="7"/>
        <v>1.2504778092066652E-2</v>
      </c>
      <c r="H64" s="12">
        <f>SUM('1st Qtr'!H64+'2nd Qtr'!H64+'3rd Qtr'!H64+'4th Qtr'!H64)</f>
        <v>199429.33699999997</v>
      </c>
      <c r="I64" s="12">
        <f>SUM('1st Qtr'!I64, '2nd Qtr'!I64, '3rd Qtr'!I64, '4th Qtr'!I64)</f>
        <v>-62353.636999999995</v>
      </c>
      <c r="J64" s="13">
        <f t="shared" si="8"/>
        <v>-0.31266030333340578</v>
      </c>
    </row>
    <row r="65" spans="1:10" ht="15.6">
      <c r="A65" s="26" t="str">
        <v>X090</v>
      </c>
      <c r="B65" s="27" t="str">
        <v>NY</v>
      </c>
      <c r="C65" s="27" t="str">
        <f>Sites[[#This Row],[SOL'#]]</f>
        <v>SOL-10925</v>
      </c>
      <c r="D65" s="9">
        <f>SUM('1st Qtr'!D65, '2nd Qtr'!D65, '3rd Qtr'!D65, '4th Qtr'!D65)</f>
        <v>115551.34375</v>
      </c>
      <c r="E65" s="14">
        <f>SUM('1st Qtr'!E65, '2nd Qtr'!E65, '3rd Qtr'!E65, '4th Qtr'!E65)</f>
        <v>104533.11899999999</v>
      </c>
      <c r="F65" s="14">
        <f t="shared" si="6"/>
        <v>11018.224750000008</v>
      </c>
      <c r="G65" s="15">
        <f t="shared" si="7"/>
        <v>0.1054041518650181</v>
      </c>
      <c r="H65" s="16">
        <f>SUM('1st Qtr'!H65+'2nd Qtr'!H65+'3rd Qtr'!H65+'4th Qtr'!H65)</f>
        <v>126875.742</v>
      </c>
      <c r="I65" s="16">
        <f>SUM('1st Qtr'!I65, '2nd Qtr'!I65, '3rd Qtr'!I65, '4th Qtr'!I65)</f>
        <v>-11324.398249999998</v>
      </c>
      <c r="J65" s="15">
        <f t="shared" si="8"/>
        <v>-8.9255818894048308E-2</v>
      </c>
    </row>
    <row r="66" spans="1:10" ht="15.6">
      <c r="A66" s="24" t="str">
        <v>X117</v>
      </c>
      <c r="B66" s="25" t="str">
        <v>NY</v>
      </c>
      <c r="C66" s="25" t="str">
        <f>Sites[[#This Row],[SOL'#]]</f>
        <v>SOL-10422</v>
      </c>
      <c r="D66" s="20">
        <f>SUM('1st Qtr'!D66, '2nd Qtr'!D66, '3rd Qtr'!D66, '4th Qtr'!D66)</f>
        <v>98999.8</v>
      </c>
      <c r="E66" s="10">
        <f>SUM('1st Qtr'!E66, '2nd Qtr'!E66, '3rd Qtr'!E66, '4th Qtr'!E66)</f>
        <v>115915.05000000002</v>
      </c>
      <c r="F66" s="10">
        <f t="shared" si="6"/>
        <v>-16915.250000000015</v>
      </c>
      <c r="G66" s="11">
        <f t="shared" si="7"/>
        <v>-0.14592798778070676</v>
      </c>
      <c r="H66" s="12">
        <f>SUM('1st Qtr'!H66+'2nd Qtr'!H66+'3rd Qtr'!H66+'4th Qtr'!H66)</f>
        <v>108327.06200000001</v>
      </c>
      <c r="I66" s="12">
        <f>SUM('1st Qtr'!I66, '2nd Qtr'!I66, '3rd Qtr'!I66, '4th Qtr'!I66)</f>
        <v>-9327.2620000000024</v>
      </c>
      <c r="J66" s="13">
        <f t="shared" si="8"/>
        <v>-8.6102787501058611E-2</v>
      </c>
    </row>
    <row r="67" spans="1:10" ht="15.6">
      <c r="A67" s="26" t="str">
        <v>X125</v>
      </c>
      <c r="B67" s="27" t="str">
        <v>NY</v>
      </c>
      <c r="C67" s="27" t="str">
        <f>Sites[[#This Row],[SOL'#]]</f>
        <v>SOL-10423</v>
      </c>
      <c r="D67" s="9">
        <f>SUM('1st Qtr'!D67, '2nd Qtr'!D67, '3rd Qtr'!D67, '4th Qtr'!D67)</f>
        <v>186809.5</v>
      </c>
      <c r="E67" s="14">
        <f>SUM('1st Qtr'!E67, '2nd Qtr'!E67, '3rd Qtr'!E67, '4th Qtr'!E67)</f>
        <v>199924.74400000001</v>
      </c>
      <c r="F67" s="14">
        <f t="shared" si="6"/>
        <v>-13115.244000000006</v>
      </c>
      <c r="G67" s="15">
        <f t="shared" si="7"/>
        <v>-6.5600904308273145E-2</v>
      </c>
      <c r="H67" s="16">
        <f>SUM('1st Qtr'!H67+'2nd Qtr'!H67+'3rd Qtr'!H67+'4th Qtr'!H67)</f>
        <v>194640.71400000001</v>
      </c>
      <c r="I67" s="16">
        <f>SUM('1st Qtr'!I67, '2nd Qtr'!I67, '3rd Qtr'!I67, '4th Qtr'!I67)</f>
        <v>-7831.2140000000018</v>
      </c>
      <c r="J67" s="15">
        <f t="shared" si="8"/>
        <v>-4.0234203004413563E-2</v>
      </c>
    </row>
    <row r="68" spans="1:10" ht="15.6">
      <c r="A68" s="24" t="str">
        <v>X134</v>
      </c>
      <c r="B68" s="25" t="str">
        <v>NY</v>
      </c>
      <c r="C68" s="25" t="str">
        <f>Sites[[#This Row],[SOL'#]]</f>
        <v>SOL-10424</v>
      </c>
      <c r="D68" s="20">
        <f>SUM('1st Qtr'!D68, '2nd Qtr'!D68, '3rd Qtr'!D68, '4th Qtr'!D68)</f>
        <v>178772.46899999998</v>
      </c>
      <c r="E68" s="10">
        <f>SUM('1st Qtr'!E68, '2nd Qtr'!E68, '3rd Qtr'!E68, '4th Qtr'!E68)</f>
        <v>89817.096000000005</v>
      </c>
      <c r="F68" s="10">
        <f t="shared" si="6"/>
        <v>88955.372999999978</v>
      </c>
      <c r="G68" s="11">
        <f t="shared" si="7"/>
        <v>0.99040580203127448</v>
      </c>
      <c r="H68" s="12">
        <f>SUM('1st Qtr'!H68+'2nd Qtr'!H68+'3rd Qtr'!H68+'4th Qtr'!H68)</f>
        <v>194057.35399999999</v>
      </c>
      <c r="I68" s="12">
        <f>SUM('1st Qtr'!I68, '2nd Qtr'!I68, '3rd Qtr'!I68, '4th Qtr'!I68)</f>
        <v>-15284.884999999998</v>
      </c>
      <c r="J68" s="13">
        <f t="shared" si="8"/>
        <v>-7.8764781055398705E-2</v>
      </c>
    </row>
    <row r="69" spans="1:10" ht="15.6">
      <c r="A69" s="26" t="str">
        <v>X135</v>
      </c>
      <c r="B69" s="27" t="str">
        <v>NY</v>
      </c>
      <c r="C69" s="27" t="str">
        <f>Sites[[#This Row],[SOL'#]]</f>
        <v>SOL-10425</v>
      </c>
      <c r="D69" s="9">
        <f>SUM('1st Qtr'!D69, '2nd Qtr'!D69, '3rd Qtr'!D69, '4th Qtr'!D69)</f>
        <v>142454.18725000002</v>
      </c>
      <c r="E69" s="14">
        <f>SUM('1st Qtr'!E69, '2nd Qtr'!E69, '3rd Qtr'!E69, '4th Qtr'!E69)</f>
        <v>163855.386</v>
      </c>
      <c r="F69" s="14">
        <f t="shared" si="6"/>
        <v>-21401.198749999981</v>
      </c>
      <c r="G69" s="15">
        <f t="shared" si="7"/>
        <v>-0.13061028552335766</v>
      </c>
      <c r="H69" s="16">
        <f>SUM('1st Qtr'!H69+'2nd Qtr'!H69+'3rd Qtr'!H69+'4th Qtr'!H69)</f>
        <v>157429.51699999999</v>
      </c>
      <c r="I69" s="16">
        <f>SUM('1st Qtr'!I69, '2nd Qtr'!I69, '3rd Qtr'!I69, '4th Qtr'!I69)</f>
        <v>-14975.329750000001</v>
      </c>
      <c r="J69" s="15">
        <f t="shared" si="8"/>
        <v>-9.5124027789528193E-2</v>
      </c>
    </row>
    <row r="70" spans="1:10" ht="15.6">
      <c r="A70" s="24" t="str">
        <v>X139 JHS 222</v>
      </c>
      <c r="B70" s="25" t="str">
        <v>NY</v>
      </c>
      <c r="C70" s="25" t="str">
        <f>Sites[[#This Row],[SOL'#]]</f>
        <v>SOL-10426</v>
      </c>
      <c r="D70" s="20">
        <f>SUM('1st Qtr'!D70, '2nd Qtr'!D70, '3rd Qtr'!D70, '4th Qtr'!D70)</f>
        <v>223159.99569363499</v>
      </c>
      <c r="E70" s="10">
        <f>SUM('1st Qtr'!E70, '2nd Qtr'!E70, '3rd Qtr'!E70, '4th Qtr'!E70)</f>
        <v>243523.91599999997</v>
      </c>
      <c r="F70" s="10">
        <f t="shared" si="6"/>
        <v>-20363.920306364977</v>
      </c>
      <c r="G70" s="11">
        <f t="shared" si="7"/>
        <v>-8.3621849717483099E-2</v>
      </c>
      <c r="H70" s="12">
        <f>SUM('1st Qtr'!H70+'2nd Qtr'!H70+'3rd Qtr'!H70+'4th Qtr'!H70)</f>
        <v>239087.114</v>
      </c>
      <c r="I70" s="12">
        <f>SUM('1st Qtr'!I70, '2nd Qtr'!I70, '3rd Qtr'!I70, '4th Qtr'!I70)</f>
        <v>-15927.118306365001</v>
      </c>
      <c r="J70" s="13">
        <f t="shared" si="8"/>
        <v>-6.6616381116905363E-2</v>
      </c>
    </row>
    <row r="71" spans="1:10" ht="15.6">
      <c r="A71" s="26" t="str">
        <v>X140</v>
      </c>
      <c r="B71" s="27" t="str">
        <v>NY</v>
      </c>
      <c r="C71" s="27" t="str">
        <f>Sites[[#This Row],[SOL'#]]</f>
        <v>SOL-10926</v>
      </c>
      <c r="D71" s="9">
        <f>SUM('1st Qtr'!D71, '2nd Qtr'!D71, '3rd Qtr'!D71, '4th Qtr'!D71)</f>
        <v>127094.78125</v>
      </c>
      <c r="E71" s="14">
        <f>SUM('1st Qtr'!E71, '2nd Qtr'!E71, '3rd Qtr'!E71, '4th Qtr'!E71)</f>
        <v>110013.164</v>
      </c>
      <c r="F71" s="14">
        <f t="shared" si="6"/>
        <v>17081.617249999996</v>
      </c>
      <c r="G71" s="15">
        <f t="shared" si="7"/>
        <v>0.15526884809894201</v>
      </c>
      <c r="H71" s="16">
        <f>SUM('1st Qtr'!H71+'2nd Qtr'!H71+'3rd Qtr'!H71+'4th Qtr'!H71)</f>
        <v>132586</v>
      </c>
      <c r="I71" s="16">
        <f>SUM('1st Qtr'!I71, '2nd Qtr'!I71, '3rd Qtr'!I71, '4th Qtr'!I71)</f>
        <v>-5491.21875</v>
      </c>
      <c r="J71" s="15">
        <f t="shared" si="8"/>
        <v>-4.1416278868055448E-2</v>
      </c>
    </row>
    <row r="72" spans="1:10" ht="15.6">
      <c r="A72" s="24" t="str">
        <v>X166</v>
      </c>
      <c r="B72" s="25" t="str">
        <v>NY</v>
      </c>
      <c r="C72" s="25" t="str">
        <f>Sites[[#This Row],[SOL'#]]</f>
        <v>SOL-10427</v>
      </c>
      <c r="D72" s="20">
        <f>SUM('1st Qtr'!D72, '2nd Qtr'!D72, '3rd Qtr'!D72, '4th Qtr'!D72)</f>
        <v>132404.29999999999</v>
      </c>
      <c r="E72" s="10">
        <f>SUM('1st Qtr'!E72, '2nd Qtr'!E72, '3rd Qtr'!E72, '4th Qtr'!E72)</f>
        <v>138643.58600000001</v>
      </c>
      <c r="F72" s="10">
        <f t="shared" si="6"/>
        <v>-6239.2860000000219</v>
      </c>
      <c r="G72" s="11">
        <f t="shared" si="7"/>
        <v>-4.5002341471462093E-2</v>
      </c>
      <c r="H72" s="12">
        <f>SUM('1st Qtr'!H72+'2nd Qtr'!H72+'3rd Qtr'!H72+'4th Qtr'!H72)</f>
        <v>143719.807</v>
      </c>
      <c r="I72" s="12">
        <f>SUM('1st Qtr'!I72, '2nd Qtr'!I72, '3rd Qtr'!I72, '4th Qtr'!I72)</f>
        <v>-11315.506999999998</v>
      </c>
      <c r="J72" s="13">
        <f t="shared" si="8"/>
        <v>-7.8733107399733687E-2</v>
      </c>
    </row>
    <row r="73" spans="1:10" ht="15.6">
      <c r="A73" s="26" t="str">
        <v>Murphy</v>
      </c>
      <c r="B73" s="27" t="str">
        <v>MN</v>
      </c>
      <c r="C73" s="27" t="str">
        <f>Sites[[#This Row],[SOL'#]]</f>
        <v>SOL-10094</v>
      </c>
      <c r="D73" s="9">
        <f>SUM('1st Qtr'!D73, '2nd Qtr'!D73, '3rd Qtr'!D73, '4th Qtr'!D73)</f>
        <v>5456990</v>
      </c>
      <c r="E73" s="14">
        <f>SUM('1st Qtr'!E73, '2nd Qtr'!E73, '3rd Qtr'!E73, '4th Qtr'!E73)</f>
        <v>6249342.0999999996</v>
      </c>
      <c r="F73" s="14">
        <f t="shared" si="6"/>
        <v>-792352.09999999963</v>
      </c>
      <c r="G73" s="15">
        <f t="shared" si="7"/>
        <v>-0.12678968238912697</v>
      </c>
      <c r="H73" s="16">
        <f>SUM('1st Qtr'!H73+'2nd Qtr'!H73+'3rd Qtr'!H73+'4th Qtr'!H73)</f>
        <v>5838830.4000000004</v>
      </c>
      <c r="I73" s="16">
        <f>SUM('1st Qtr'!I73, '2nd Qtr'!I73, '3rd Qtr'!I73, '4th Qtr'!I73)</f>
        <v>-381840.40000000014</v>
      </c>
      <c r="J73" s="15">
        <f t="shared" si="8"/>
        <v>-6.539672739937781E-2</v>
      </c>
    </row>
    <row r="74" spans="1:10" ht="15.6">
      <c r="A74" s="24" t="str">
        <v>Terning</v>
      </c>
      <c r="B74" s="25" t="str">
        <v>MN</v>
      </c>
      <c r="C74" s="25" t="str">
        <f>Sites[[#This Row],[SOL'#]]</f>
        <v>SOL-10093</v>
      </c>
      <c r="D74" s="20">
        <f>SUM('1st Qtr'!D74, '2nd Qtr'!D74, '3rd Qtr'!D74, '4th Qtr'!D74)</f>
        <v>5621765.1266582878</v>
      </c>
      <c r="E74" s="10">
        <f>SUM('1st Qtr'!E74, '2nd Qtr'!E74, '3rd Qtr'!E74, '4th Qtr'!E74)</f>
        <v>6407492.7999999998</v>
      </c>
      <c r="F74" s="10">
        <f t="shared" si="6"/>
        <v>-785727.67334171198</v>
      </c>
      <c r="G74" s="11">
        <f t="shared" si="7"/>
        <v>-0.1226263841204335</v>
      </c>
      <c r="H74" s="12">
        <f>SUM('1st Qtr'!H74+'2nd Qtr'!H74+'3rd Qtr'!H74+'4th Qtr'!H74)</f>
        <v>5756579.8999999994</v>
      </c>
      <c r="I74" s="12">
        <f>SUM('1st Qtr'!I74, '2nd Qtr'!I74, '3rd Qtr'!I74, '4th Qtr'!I74)</f>
        <v>-134814.77334171173</v>
      </c>
      <c r="J74" s="13">
        <f t="shared" si="8"/>
        <v>-2.3419248179237771E-2</v>
      </c>
    </row>
    <row r="75" spans="1:10" ht="15.6">
      <c r="A75" s="26" t="str">
        <v>Boas Road 04</v>
      </c>
      <c r="B75" s="27" t="str">
        <v>NY</v>
      </c>
      <c r="C75" s="27" t="str">
        <f>Sites[[#This Row],[SOL'#]]</f>
        <v>SOL-10908</v>
      </c>
      <c r="D75" s="9">
        <f>SUM('1st Qtr'!D75, '2nd Qtr'!D75, '3rd Qtr'!D75, '4th Qtr'!D75)</f>
        <v>409196</v>
      </c>
      <c r="E75" s="14">
        <f>SUM('1st Qtr'!E75, '2nd Qtr'!E75, '3rd Qtr'!E75, '4th Qtr'!E75)</f>
        <v>2185002.6430000002</v>
      </c>
      <c r="F75" s="14">
        <f t="shared" si="6"/>
        <v>-1775806.6430000002</v>
      </c>
      <c r="G75" s="15">
        <f t="shared" si="7"/>
        <v>-0.81272516932145422</v>
      </c>
      <c r="H75" s="16">
        <f>SUM('1st Qtr'!H75+'2nd Qtr'!H75+'3rd Qtr'!H75+'4th Qtr'!H75)</f>
        <v>2192358.81</v>
      </c>
      <c r="I75" s="16">
        <f>SUM('1st Qtr'!I75, '2nd Qtr'!I75, '3rd Qtr'!I75, '4th Qtr'!I75)</f>
        <v>-1401840.81</v>
      </c>
      <c r="J75" s="15">
        <f t="shared" si="8"/>
        <v>-0.63942124966305125</v>
      </c>
    </row>
    <row r="76" spans="1:10" ht="15.6">
      <c r="A76" s="24" t="str">
        <v>Kelly Bridge Farm</v>
      </c>
      <c r="B76" s="25" t="str">
        <v>NY</v>
      </c>
      <c r="C76" s="25" t="str">
        <f>Sites[[#This Row],[SOL'#]]</f>
        <v>SOL-10911</v>
      </c>
      <c r="D76" s="20">
        <f>SUM('1st Qtr'!D76, '2nd Qtr'!D76, '3rd Qtr'!D76, '4th Qtr'!D76)</f>
        <v>816438</v>
      </c>
      <c r="E76" s="10">
        <f>SUM('1st Qtr'!E76, '2nd Qtr'!E76, '3rd Qtr'!E76, '4th Qtr'!E76)</f>
        <v>2115550.128</v>
      </c>
      <c r="F76" s="10">
        <f t="shared" si="6"/>
        <v>-1299112.128</v>
      </c>
      <c r="G76" s="11">
        <f t="shared" si="7"/>
        <v>-0.61407768636905591</v>
      </c>
      <c r="H76" s="12">
        <f>SUM('1st Qtr'!H76+'2nd Qtr'!H76+'3rd Qtr'!H76+'4th Qtr'!H76)</f>
        <v>2164076.61</v>
      </c>
      <c r="I76" s="12">
        <f>SUM('1st Qtr'!I76, '2nd Qtr'!I76, '3rd Qtr'!I76, '4th Qtr'!I76)</f>
        <v>-1347638.6099999999</v>
      </c>
      <c r="J76" s="13">
        <f t="shared" si="8"/>
        <v>-0.6227314706756153</v>
      </c>
    </row>
    <row r="77" spans="1:10" ht="15.6">
      <c r="A77" s="26" t="str">
        <v>Pool Brook Road</v>
      </c>
      <c r="B77" s="27" t="str">
        <v>NY</v>
      </c>
      <c r="C77" s="27" t="str">
        <f>Sites[[#This Row],[SOL'#]]</f>
        <v>SOL-10909</v>
      </c>
      <c r="D77" s="9">
        <f>SUM('1st Qtr'!D77, '2nd Qtr'!D77, '3rd Qtr'!D77, '4th Qtr'!D77)</f>
        <v>1516075</v>
      </c>
      <c r="E77" s="14">
        <f>SUM('1st Qtr'!E77, '2nd Qtr'!E77, '3rd Qtr'!E77, '4th Qtr'!E77)</f>
        <v>1833053.8739999998</v>
      </c>
      <c r="F77" s="14">
        <f t="shared" si="6"/>
        <v>-316978.87399999984</v>
      </c>
      <c r="G77" s="15">
        <f t="shared" si="7"/>
        <v>-0.17292392683926094</v>
      </c>
      <c r="H77" s="16">
        <f>SUM('1st Qtr'!H77+'2nd Qtr'!H77+'3rd Qtr'!H77+'4th Qtr'!H77)</f>
        <v>2041127.01</v>
      </c>
      <c r="I77" s="16">
        <f>SUM('1st Qtr'!I77, '2nd Qtr'!I77, '3rd Qtr'!I77, '4th Qtr'!I77)</f>
        <v>-525052.01</v>
      </c>
      <c r="J77" s="15">
        <f t="shared" si="8"/>
        <v>-0.2572363245538552</v>
      </c>
    </row>
    <row r="78" spans="1:10" ht="15.6">
      <c r="A78" s="24" t="str">
        <v>Sackett Lake</v>
      </c>
      <c r="B78" s="25" t="str">
        <v>NY</v>
      </c>
      <c r="C78" s="25" t="str">
        <f>Sites[[#This Row],[SOL'#]]</f>
        <v>SOL-10910</v>
      </c>
      <c r="D78" s="20">
        <f>SUM('1st Qtr'!D78, '2nd Qtr'!D78, '3rd Qtr'!D78, '4th Qtr'!D78)</f>
        <v>1537326</v>
      </c>
      <c r="E78" s="10">
        <f>SUM('1st Qtr'!E78, '2nd Qtr'!E78, '3rd Qtr'!E78, '4th Qtr'!E78)</f>
        <v>1906520.4060000002</v>
      </c>
      <c r="F78" s="10">
        <f t="shared" si="6"/>
        <v>-369194.40600000019</v>
      </c>
      <c r="G78" s="11">
        <f t="shared" si="7"/>
        <v>-0.19364828450726804</v>
      </c>
      <c r="H78" s="12">
        <f>SUM('1st Qtr'!H78+'2nd Qtr'!H78+'3rd Qtr'!H78+'4th Qtr'!H78)</f>
        <v>2177060.65</v>
      </c>
      <c r="I78" s="12">
        <f>SUM('1st Qtr'!I78, '2nd Qtr'!I78, '3rd Qtr'!I78, '4th Qtr'!I78)</f>
        <v>-639734.64999999991</v>
      </c>
      <c r="J78" s="13">
        <f t="shared" si="8"/>
        <v>-0.29385247030210204</v>
      </c>
    </row>
    <row r="79" spans="1:10" ht="15.6">
      <c r="A79" s="26" t="str">
        <v>Burritt Road</v>
      </c>
      <c r="B79" s="27" t="str">
        <v>NY</v>
      </c>
      <c r="C79" s="27" t="str">
        <f>Sites[[#This Row],[SOL'#]]</f>
        <v>SOL-10913</v>
      </c>
      <c r="D79" s="9">
        <f>SUM('1st Qtr'!D79, '2nd Qtr'!D79, '3rd Qtr'!D79, '4th Qtr'!D79)</f>
        <v>1825870</v>
      </c>
      <c r="E79" s="14">
        <f>SUM('1st Qtr'!E79, '2nd Qtr'!E79, '3rd Qtr'!E79, '4th Qtr'!E79)</f>
        <v>1349922.01</v>
      </c>
      <c r="F79" s="14">
        <f t="shared" si="6"/>
        <v>475947.99</v>
      </c>
      <c r="G79" s="15">
        <f t="shared" si="7"/>
        <v>0.35257443502236102</v>
      </c>
      <c r="H79" s="16">
        <f>SUM('1st Qtr'!H79+'2nd Qtr'!H79+'3rd Qtr'!H79+'4th Qtr'!H79)</f>
        <v>2092428.87</v>
      </c>
      <c r="I79" s="16">
        <f>SUM('1st Qtr'!I79, '2nd Qtr'!I79, '3rd Qtr'!I79, '4th Qtr'!I79)</f>
        <v>-266558.87</v>
      </c>
      <c r="J79" s="15">
        <f t="shared" si="8"/>
        <v>-0.12739208191100898</v>
      </c>
    </row>
    <row r="80" spans="1:10" ht="15.6">
      <c r="A80" s="24" t="str">
        <v>Villa Roma 1</v>
      </c>
      <c r="B80" s="25" t="str">
        <v>NY</v>
      </c>
      <c r="C80" s="25" t="str">
        <f>Sites[[#This Row],[SOL'#]]</f>
        <v>SOL-10914</v>
      </c>
      <c r="D80" s="20">
        <f>SUM('1st Qtr'!D80, '2nd Qtr'!D80, '3rd Qtr'!D80, '4th Qtr'!D80)</f>
        <v>1674914</v>
      </c>
      <c r="E80" s="10">
        <f>SUM('1st Qtr'!E80, '2nd Qtr'!E80, '3rd Qtr'!E80, '4th Qtr'!E80)</f>
        <v>385053.20400000003</v>
      </c>
      <c r="F80" s="10">
        <f t="shared" si="6"/>
        <v>1289860.7960000001</v>
      </c>
      <c r="G80" s="11">
        <f t="shared" si="7"/>
        <v>3.3498248621247675</v>
      </c>
      <c r="H80" s="12">
        <f>SUM('1st Qtr'!H80+'2nd Qtr'!H80+'3rd Qtr'!H80+'4th Qtr'!H80)</f>
        <v>1872674.28</v>
      </c>
      <c r="I80" s="12">
        <f>SUM('1st Qtr'!I80, '2nd Qtr'!I80, '3rd Qtr'!I80, '4th Qtr'!I80)</f>
        <v>-197760.27999999997</v>
      </c>
      <c r="J80" s="13">
        <f t="shared" si="8"/>
        <v>-0.10560313777578019</v>
      </c>
    </row>
    <row r="81" spans="1:10" ht="15.6">
      <c r="A81" s="26" t="str">
        <v>Villa Roma 2</v>
      </c>
      <c r="B81" s="27" t="str">
        <v>NY</v>
      </c>
      <c r="C81" s="27" t="str">
        <f>Sites[[#This Row],[SOL'#]]</f>
        <v>SOL-10915</v>
      </c>
      <c r="D81" s="9">
        <f>SUM('1st Qtr'!D81, '2nd Qtr'!D81, '3rd Qtr'!D81, '4th Qtr'!D81)</f>
        <v>1668808</v>
      </c>
      <c r="E81" s="14">
        <f>SUM('1st Qtr'!E81, '2nd Qtr'!E81, '3rd Qtr'!E81, '4th Qtr'!E81)</f>
        <v>1885457.6780000001</v>
      </c>
      <c r="F81" s="14">
        <f t="shared" si="6"/>
        <v>-216649.67800000007</v>
      </c>
      <c r="G81" s="15">
        <f t="shared" si="7"/>
        <v>-0.11490561709654035</v>
      </c>
      <c r="H81" s="16">
        <f>SUM('1st Qtr'!H81+'2nd Qtr'!H81+'3rd Qtr'!H81+'4th Qtr'!H81)</f>
        <v>1817508.7499999998</v>
      </c>
      <c r="I81" s="16">
        <f>SUM('1st Qtr'!I81, '2nd Qtr'!I81, '3rd Qtr'!I81, '4th Qtr'!I81)</f>
        <v>-148700.75</v>
      </c>
      <c r="J81" s="15">
        <f t="shared" si="8"/>
        <v>-8.1815699649313942E-2</v>
      </c>
    </row>
    <row r="82" spans="1:10" ht="15.6">
      <c r="A82" s="24" t="str">
        <v>Washington 1</v>
      </c>
      <c r="B82" s="25" t="str">
        <v>NY</v>
      </c>
      <c r="C82" s="25" t="str">
        <f>Sites[[#This Row],[SOL'#]]</f>
        <v>SOL-10912</v>
      </c>
      <c r="D82" s="20">
        <f>SUM('1st Qtr'!D82, '2nd Qtr'!D82, '3rd Qtr'!D82, '4th Qtr'!D82)</f>
        <v>1952400</v>
      </c>
      <c r="E82" s="10">
        <f>SUM('1st Qtr'!E82, '2nd Qtr'!E82, '3rd Qtr'!E82, '4th Qtr'!E82)</f>
        <v>2192393.2890000003</v>
      </c>
      <c r="F82" s="10">
        <f t="shared" ref="F82:F145" si="9">IF(AND(ISNUMBER(D82),ISNUMBER(E82)), D82-E82, "")</f>
        <v>-239993.28900000034</v>
      </c>
      <c r="G82" s="11">
        <f t="shared" ref="G82:G145" si="10">IFERROR(F82/E82, "")</f>
        <v>-0.10946634903697715</v>
      </c>
      <c r="H82" s="12">
        <f>SUM('1st Qtr'!H82+'2nd Qtr'!H82+'3rd Qtr'!H82+'4th Qtr'!H82)</f>
        <v>2064768.6</v>
      </c>
      <c r="I82" s="12">
        <f>SUM('1st Qtr'!I82, '2nd Qtr'!I82, '3rd Qtr'!I82, '4th Qtr'!I82)</f>
        <v>-112368.60000000002</v>
      </c>
      <c r="J82" s="13">
        <f t="shared" ref="J82:J145" si="11">IFERROR(I82/H82, "")</f>
        <v>-5.4421885338628267E-2</v>
      </c>
    </row>
    <row r="83" spans="1:10" ht="15.6">
      <c r="A83" s="26" t="str">
        <v>Washington 3</v>
      </c>
      <c r="B83" s="27" t="str">
        <v>NY</v>
      </c>
      <c r="C83" s="27" t="str">
        <f>Sites[[#This Row],[SOL'#]]</f>
        <v>SOL-10828</v>
      </c>
      <c r="D83" s="9">
        <f>SUM('1st Qtr'!D83, '2nd Qtr'!D83, '3rd Qtr'!D83, '4th Qtr'!D83)</f>
        <v>2241670</v>
      </c>
      <c r="E83" s="14">
        <f>SUM('1st Qtr'!E83, '2nd Qtr'!E83, '3rd Qtr'!E83, '4th Qtr'!E83)</f>
        <v>2004226.483</v>
      </c>
      <c r="F83" s="14">
        <f t="shared" si="9"/>
        <v>237443.51699999999</v>
      </c>
      <c r="G83" s="15">
        <f t="shared" si="10"/>
        <v>0.11847139982133446</v>
      </c>
      <c r="H83" s="16">
        <f>SUM('1st Qtr'!H83+'2nd Qtr'!H83+'3rd Qtr'!H83+'4th Qtr'!H83)</f>
        <v>2528107.23</v>
      </c>
      <c r="I83" s="16">
        <f>SUM('1st Qtr'!I83, '2nd Qtr'!I83, '3rd Qtr'!I83, '4th Qtr'!I83)</f>
        <v>-286437.23</v>
      </c>
      <c r="J83" s="15">
        <f t="shared" si="11"/>
        <v>-0.1133010604142768</v>
      </c>
    </row>
    <row r="84" spans="1:10" ht="15.6">
      <c r="A84" s="24" t="str">
        <v>Washington 4</v>
      </c>
      <c r="B84" s="25" t="str">
        <v>NY</v>
      </c>
      <c r="C84" s="25" t="str">
        <f>Sites[[#This Row],[SOL'#]]</f>
        <v>SOL-10829</v>
      </c>
      <c r="D84" s="20">
        <f>SUM('1st Qtr'!D84, '2nd Qtr'!D84, '3rd Qtr'!D84, '4th Qtr'!D84)</f>
        <v>2141121.5</v>
      </c>
      <c r="E84" s="10">
        <f>SUM('1st Qtr'!E84, '2nd Qtr'!E84, '3rd Qtr'!E84, '4th Qtr'!E84)</f>
        <v>2424378.8679999998</v>
      </c>
      <c r="F84" s="10">
        <f t="shared" si="9"/>
        <v>-283257.36799999978</v>
      </c>
      <c r="G84" s="11">
        <f t="shared" si="10"/>
        <v>-0.11683708835231434</v>
      </c>
      <c r="H84" s="12">
        <f>SUM('1st Qtr'!H84+'2nd Qtr'!H84+'3rd Qtr'!H84+'4th Qtr'!H84)</f>
        <v>2530976.87</v>
      </c>
      <c r="I84" s="12">
        <f>SUM('1st Qtr'!I84, '2nd Qtr'!I84, '3rd Qtr'!I84, '4th Qtr'!I84)</f>
        <v>-389855.37</v>
      </c>
      <c r="J84" s="13">
        <f t="shared" si="11"/>
        <v>-0.15403355701152655</v>
      </c>
    </row>
    <row r="85" spans="1:10" ht="15.6">
      <c r="A85" s="26" t="str">
        <v>Big Tree</v>
      </c>
      <c r="B85" s="27" t="str">
        <v>NY</v>
      </c>
      <c r="C85" s="27" t="str">
        <f>Sites[[#This Row],[SOL'#]]</f>
        <v>SOL-10966</v>
      </c>
      <c r="D85" s="9">
        <f>SUM('1st Qtr'!D85, '2nd Qtr'!D85, '3rd Qtr'!D85, '4th Qtr'!D85)</f>
        <v>1867204</v>
      </c>
      <c r="E85" s="14">
        <f>SUM('1st Qtr'!E85, '2nd Qtr'!E85, '3rd Qtr'!E85, '4th Qtr'!E85)</f>
        <v>435290</v>
      </c>
      <c r="F85" s="14">
        <f t="shared" si="9"/>
        <v>1431914</v>
      </c>
      <c r="G85" s="15">
        <f t="shared" si="10"/>
        <v>3.2895632796526453</v>
      </c>
      <c r="H85" s="16">
        <f>SUM('1st Qtr'!H85+'2nd Qtr'!H85+'3rd Qtr'!H85+'4th Qtr'!H85)</f>
        <v>2145438.6</v>
      </c>
      <c r="I85" s="16">
        <f>SUM('1st Qtr'!I85, '2nd Qtr'!I85, '3rd Qtr'!I85, '4th Qtr'!I85)</f>
        <v>-278234.59999999992</v>
      </c>
      <c r="J85" s="15">
        <f t="shared" si="11"/>
        <v>-0.12968658250112583</v>
      </c>
    </row>
    <row r="86" spans="1:10" ht="15.6">
      <c r="A86" s="24" t="str">
        <v>Canoga</v>
      </c>
      <c r="B86" s="25" t="str">
        <v>NY</v>
      </c>
      <c r="C86" s="25" t="str">
        <f>Sites[[#This Row],[SOL'#]]</f>
        <v>SOL-10965</v>
      </c>
      <c r="D86" s="20">
        <f>SUM('1st Qtr'!D86, '2nd Qtr'!D86, '3rd Qtr'!D86, '4th Qtr'!D86)</f>
        <v>1847040</v>
      </c>
      <c r="E86" s="10">
        <f>SUM('1st Qtr'!E86, '2nd Qtr'!E86, '3rd Qtr'!E86, '4th Qtr'!E86)</f>
        <v>0</v>
      </c>
      <c r="F86" s="10">
        <f t="shared" si="9"/>
        <v>1847040</v>
      </c>
      <c r="G86" s="11" t="str">
        <f t="shared" si="10"/>
        <v/>
      </c>
      <c r="H86" s="12">
        <f>SUM('1st Qtr'!H86+'2nd Qtr'!H86+'3rd Qtr'!H86+'4th Qtr'!H86)</f>
        <v>1264221.1200000001</v>
      </c>
      <c r="I86" s="12">
        <f>SUM('1st Qtr'!I86, '2nd Qtr'!I86, '3rd Qtr'!I86, '4th Qtr'!I86)</f>
        <v>-296881.12</v>
      </c>
      <c r="J86" s="13">
        <f t="shared" si="11"/>
        <v>-0.23483322284633243</v>
      </c>
    </row>
    <row r="87" spans="1:10" ht="15.6">
      <c r="A87" s="26" t="str">
        <v>County Route 84</v>
      </c>
      <c r="B87" s="27" t="str">
        <v>NY</v>
      </c>
      <c r="C87" s="27" t="str">
        <f>Sites[[#This Row],[SOL'#]]</f>
        <v>SOL-10967</v>
      </c>
      <c r="D87" s="9">
        <f>SUM('1st Qtr'!D87, '2nd Qtr'!D87, '3rd Qtr'!D87, '4th Qtr'!D87)</f>
        <v>5123960</v>
      </c>
      <c r="E87" s="14">
        <f>SUM('1st Qtr'!E87, '2nd Qtr'!E87, '3rd Qtr'!E87, '4th Qtr'!E87)</f>
        <v>914380</v>
      </c>
      <c r="F87" s="14">
        <f t="shared" si="9"/>
        <v>4209580</v>
      </c>
      <c r="G87" s="15">
        <f t="shared" si="10"/>
        <v>4.6037533629344471</v>
      </c>
      <c r="H87" s="16">
        <f>SUM('1st Qtr'!H87+'2nd Qtr'!H87+'3rd Qtr'!H87+'4th Qtr'!H87)</f>
        <v>5674914.2299999995</v>
      </c>
      <c r="I87" s="16">
        <f>SUM('1st Qtr'!I87, '2nd Qtr'!I87, '3rd Qtr'!I87, '4th Qtr'!I87)</f>
        <v>-550954.23</v>
      </c>
      <c r="J87" s="15">
        <f t="shared" si="11"/>
        <v>-9.7085913138109228E-2</v>
      </c>
    </row>
    <row r="88" spans="1:10" ht="15.6">
      <c r="A88" s="24" t="str">
        <v>Donati</v>
      </c>
      <c r="B88" s="25" t="str">
        <v>NY</v>
      </c>
      <c r="C88" s="25" t="str">
        <f>Sites[[#This Row],[SOL'#]]</f>
        <v>SOL-10968</v>
      </c>
      <c r="D88" s="20">
        <f>SUM('1st Qtr'!D88, '2nd Qtr'!D88, '3rd Qtr'!D88, '4th Qtr'!D88)</f>
        <v>2117864</v>
      </c>
      <c r="E88" s="10">
        <f>SUM('1st Qtr'!E88, '2nd Qtr'!E88, '3rd Qtr'!E88, '4th Qtr'!E88)</f>
        <v>0</v>
      </c>
      <c r="F88" s="10">
        <f t="shared" si="9"/>
        <v>2117864</v>
      </c>
      <c r="G88" s="11" t="str">
        <f t="shared" si="10"/>
        <v/>
      </c>
      <c r="H88" s="12">
        <f>SUM('1st Qtr'!H88+'2nd Qtr'!H88+'3rd Qtr'!H88+'4th Qtr'!H88)</f>
        <v>2741478.28</v>
      </c>
      <c r="I88" s="12">
        <f>SUM('1st Qtr'!I88, '2nd Qtr'!I88, '3rd Qtr'!I88, '4th Qtr'!I88)</f>
        <v>-623614.28</v>
      </c>
      <c r="J88" s="13">
        <f t="shared" si="11"/>
        <v>-0.22747372632840998</v>
      </c>
    </row>
    <row r="89" spans="1:10" ht="15.6">
      <c r="A89" s="26" t="str">
        <v>Henrietta</v>
      </c>
      <c r="B89" s="27" t="str">
        <v>NY</v>
      </c>
      <c r="C89" s="27" t="str">
        <f>Sites[[#This Row],[SOL'#]]</f>
        <v>SOL-10972</v>
      </c>
      <c r="D89" s="9">
        <f>SUM('1st Qtr'!D89, '2nd Qtr'!D89, '3rd Qtr'!D89, '4th Qtr'!D89)</f>
        <v>4426890</v>
      </c>
      <c r="E89" s="14">
        <f>SUM('1st Qtr'!E89, '2nd Qtr'!E89, '3rd Qtr'!E89, '4th Qtr'!E89)</f>
        <v>1113180</v>
      </c>
      <c r="F89" s="14">
        <f t="shared" si="9"/>
        <v>3313710</v>
      </c>
      <c r="G89" s="15">
        <f t="shared" si="10"/>
        <v>2.9767962054654236</v>
      </c>
      <c r="H89" s="16">
        <f>SUM('1st Qtr'!H89+'2nd Qtr'!H89+'3rd Qtr'!H89+'4th Qtr'!H89)</f>
        <v>5612956.3900000006</v>
      </c>
      <c r="I89" s="16">
        <f>SUM('1st Qtr'!I89, '2nd Qtr'!I89, '3rd Qtr'!I89, '4th Qtr'!I89)</f>
        <v>-1186066.3900000001</v>
      </c>
      <c r="J89" s="15">
        <f t="shared" si="11"/>
        <v>-0.21130867720851829</v>
      </c>
    </row>
    <row r="90" spans="1:10" ht="15.6">
      <c r="A90" s="24" t="str">
        <v>NY 70</v>
      </c>
      <c r="B90" s="25" t="str">
        <v>NY</v>
      </c>
      <c r="C90" s="25" t="str">
        <f>Sites[[#This Row],[SOL'#]]</f>
        <v>SOL-10970</v>
      </c>
      <c r="D90" s="20">
        <f>SUM('1st Qtr'!D90, '2nd Qtr'!D90, '3rd Qtr'!D90, '4th Qtr'!D90)</f>
        <v>5363210</v>
      </c>
      <c r="E90" s="10">
        <f>SUM('1st Qtr'!E90, '2nd Qtr'!E90, '3rd Qtr'!E90, '4th Qtr'!E90)</f>
        <v>1215880</v>
      </c>
      <c r="F90" s="10">
        <f t="shared" si="9"/>
        <v>4147330</v>
      </c>
      <c r="G90" s="11">
        <f t="shared" si="10"/>
        <v>3.4109698325492648</v>
      </c>
      <c r="H90" s="12">
        <f>SUM('1st Qtr'!H90+'2nd Qtr'!H90+'3rd Qtr'!H90+'4th Qtr'!H90)</f>
        <v>6470348.8799999999</v>
      </c>
      <c r="I90" s="12">
        <f>SUM('1st Qtr'!I90, '2nd Qtr'!I90, '3rd Qtr'!I90, '4th Qtr'!I90)</f>
        <v>-1107138.8800000001</v>
      </c>
      <c r="J90" s="13">
        <f t="shared" si="11"/>
        <v>-0.17110961101683286</v>
      </c>
    </row>
    <row r="91" spans="1:10" ht="15.6">
      <c r="A91" s="26" t="str">
        <v>Reid</v>
      </c>
      <c r="B91" s="27" t="str">
        <v>NY</v>
      </c>
      <c r="C91" s="27" t="str">
        <f>Sites[[#This Row],[SOL'#]]</f>
        <v>SOL-10991</v>
      </c>
      <c r="D91" s="9">
        <f>SUM('1st Qtr'!D91, '2nd Qtr'!D91, '3rd Qtr'!D91, '4th Qtr'!D91)</f>
        <v>3571276.9762779837</v>
      </c>
      <c r="E91" s="14">
        <f>SUM('1st Qtr'!E91, '2nd Qtr'!E91, '3rd Qtr'!E91, '4th Qtr'!E91)</f>
        <v>4073166.2</v>
      </c>
      <c r="F91" s="14">
        <f t="shared" si="9"/>
        <v>-501889.22372201644</v>
      </c>
      <c r="G91" s="15">
        <f t="shared" si="10"/>
        <v>-0.12321844950054246</v>
      </c>
      <c r="H91" s="16">
        <f>SUM('1st Qtr'!H91+'2nd Qtr'!H91+'3rd Qtr'!H91+'4th Qtr'!H91)</f>
        <v>4103144</v>
      </c>
      <c r="I91" s="16">
        <f>SUM('1st Qtr'!I91, '2nd Qtr'!I91, '3rd Qtr'!I91, '4th Qtr'!I91)</f>
        <v>-531867.02372201602</v>
      </c>
      <c r="J91" s="15">
        <f t="shared" si="11"/>
        <v>-0.12962426464243421</v>
      </c>
    </row>
    <row r="92" spans="1:10" ht="15.6">
      <c r="A92" s="24" t="str">
        <v>Sangolqui</v>
      </c>
      <c r="B92" s="25" t="str">
        <v>NY</v>
      </c>
      <c r="C92" s="25" t="str">
        <f>Sites[[#This Row],[SOL'#]]</f>
        <v>SOL-10975</v>
      </c>
      <c r="D92" s="20">
        <f>SUM('1st Qtr'!D92, '2nd Qtr'!D92, '3rd Qtr'!D92, '4th Qtr'!D92)</f>
        <v>2282662</v>
      </c>
      <c r="E92" s="10">
        <f>SUM('1st Qtr'!E92, '2nd Qtr'!E92, '3rd Qtr'!E92, '4th Qtr'!E92)</f>
        <v>555700</v>
      </c>
      <c r="F92" s="10">
        <f t="shared" si="9"/>
        <v>1726962</v>
      </c>
      <c r="G92" s="11">
        <f t="shared" si="10"/>
        <v>3.1077235918661148</v>
      </c>
      <c r="H92" s="12">
        <f>SUM('1st Qtr'!H92+'2nd Qtr'!H92+'3rd Qtr'!H92+'4th Qtr'!H92)</f>
        <v>2678724.1800000002</v>
      </c>
      <c r="I92" s="12">
        <f>SUM('1st Qtr'!I92, '2nd Qtr'!I92, '3rd Qtr'!I92, '4th Qtr'!I92)</f>
        <v>-396062.18000000005</v>
      </c>
      <c r="J92" s="13">
        <f t="shared" si="11"/>
        <v>-0.14785478212243564</v>
      </c>
    </row>
    <row r="93" spans="1:10" ht="15.6">
      <c r="A93" s="26" t="str">
        <v>State Highway 17B</v>
      </c>
      <c r="B93" s="27" t="str">
        <v>NY</v>
      </c>
      <c r="C93" s="27" t="str">
        <f>Sites[[#This Row],[SOL'#]]</f>
        <v>SOL-10988</v>
      </c>
      <c r="D93" s="9">
        <f>SUM('1st Qtr'!D93, '2nd Qtr'!D93, '3rd Qtr'!D93, '4th Qtr'!D93)</f>
        <v>4260820</v>
      </c>
      <c r="E93" s="14">
        <f>SUM('1st Qtr'!E93, '2nd Qtr'!E93, '3rd Qtr'!E93, '4th Qtr'!E93)</f>
        <v>841370</v>
      </c>
      <c r="F93" s="14">
        <f t="shared" si="9"/>
        <v>3419450</v>
      </c>
      <c r="G93" s="15">
        <f t="shared" si="10"/>
        <v>4.0641453819366031</v>
      </c>
      <c r="H93" s="16">
        <f>SUM('1st Qtr'!H93+'2nd Qtr'!H93+'3rd Qtr'!H93+'4th Qtr'!H93)</f>
        <v>3001705.6799999997</v>
      </c>
      <c r="I93" s="16">
        <f>SUM('1st Qtr'!I93, '2nd Qtr'!I93, '3rd Qtr'!I93, '4th Qtr'!I93)</f>
        <v>-304635.68</v>
      </c>
      <c r="J93" s="15">
        <f t="shared" si="11"/>
        <v>-0.10148752491949845</v>
      </c>
    </row>
    <row r="94" spans="1:10" ht="15.6">
      <c r="A94" s="24" t="str">
        <v>State Route 14A</v>
      </c>
      <c r="B94" s="25" t="str">
        <v>NY</v>
      </c>
      <c r="C94" s="25" t="str">
        <f>Sites[[#This Row],[SOL'#]]</f>
        <v>SOL-10997</v>
      </c>
      <c r="D94" s="20">
        <f>SUM('1st Qtr'!D94, '2nd Qtr'!D94, '3rd Qtr'!D94, '4th Qtr'!D94)</f>
        <v>1706902</v>
      </c>
      <c r="E94" s="10">
        <f>SUM('1st Qtr'!E94, '2nd Qtr'!E94, '3rd Qtr'!E94, '4th Qtr'!E94)</f>
        <v>0</v>
      </c>
      <c r="F94" s="10">
        <f t="shared" si="9"/>
        <v>1706902</v>
      </c>
      <c r="G94" s="11" t="str">
        <f t="shared" si="10"/>
        <v/>
      </c>
      <c r="H94" s="12">
        <f>SUM('1st Qtr'!H94+'2nd Qtr'!H94+'3rd Qtr'!H94+'4th Qtr'!H94)</f>
        <v>5497409.4499999993</v>
      </c>
      <c r="I94" s="12">
        <f>SUM('1st Qtr'!I94, '2nd Qtr'!I94, '3rd Qtr'!I94, '4th Qtr'!I94)</f>
        <v>-2822859.45</v>
      </c>
      <c r="J94" s="13">
        <f t="shared" si="11"/>
        <v>-0.51348903072882823</v>
      </c>
    </row>
    <row r="95" spans="1:10" ht="15.6">
      <c r="A95" s="26" t="str">
        <v>West Creek</v>
      </c>
      <c r="B95" s="27" t="str">
        <v>NY</v>
      </c>
      <c r="C95" s="27" t="str">
        <f>Sites[[#This Row],[SOL'#]]</f>
        <v>SOL-10995</v>
      </c>
      <c r="D95" s="9">
        <f>SUM('1st Qtr'!D95, '2nd Qtr'!D95, '3rd Qtr'!D95, '4th Qtr'!D95)</f>
        <v>4739680</v>
      </c>
      <c r="E95" s="14">
        <f>SUM('1st Qtr'!E95, '2nd Qtr'!E95, '3rd Qtr'!E95, '4th Qtr'!E95)</f>
        <v>905450</v>
      </c>
      <c r="F95" s="14">
        <f t="shared" si="9"/>
        <v>3834230</v>
      </c>
      <c r="G95" s="15">
        <f t="shared" si="10"/>
        <v>4.2346126235573474</v>
      </c>
      <c r="H95" s="16">
        <f>SUM('1st Qtr'!H95+'2nd Qtr'!H95+'3rd Qtr'!H95+'4th Qtr'!H95)</f>
        <v>5478390.3300000001</v>
      </c>
      <c r="I95" s="16">
        <f>SUM('1st Qtr'!I95, '2nd Qtr'!I95, '3rd Qtr'!I95, '4th Qtr'!I95)</f>
        <v>-738710.33000000007</v>
      </c>
      <c r="J95" s="15">
        <f t="shared" si="11"/>
        <v>-0.13484076261502895</v>
      </c>
    </row>
    <row r="96" spans="1:10" ht="15.6">
      <c r="A96" s="24" t="str">
        <v>Wildflower</v>
      </c>
      <c r="B96" s="25" t="str">
        <v>NY</v>
      </c>
      <c r="C96" s="25" t="str">
        <f>Sites[[#This Row],[SOL'#]]</f>
        <v>SOL-10982</v>
      </c>
      <c r="D96" s="20">
        <f>SUM('1st Qtr'!D96, '2nd Qtr'!D96, '3rd Qtr'!D96, '4th Qtr'!D96)</f>
        <v>4378444.9000000004</v>
      </c>
      <c r="E96" s="10">
        <f>SUM('1st Qtr'!E96, '2nd Qtr'!E96, '3rd Qtr'!E96, '4th Qtr'!E96)</f>
        <v>890492</v>
      </c>
      <c r="F96" s="10">
        <f t="shared" si="9"/>
        <v>3487952.9000000004</v>
      </c>
      <c r="G96" s="11">
        <f t="shared" si="10"/>
        <v>3.9168829141643049</v>
      </c>
      <c r="H96" s="12">
        <f>SUM('1st Qtr'!H96+'2nd Qtr'!H96+'3rd Qtr'!H96+'4th Qtr'!H96)</f>
        <v>5584253.6000000006</v>
      </c>
      <c r="I96" s="12">
        <f>SUM('1st Qtr'!I96, '2nd Qtr'!I96, '3rd Qtr'!I96, '4th Qtr'!I96)</f>
        <v>-1205808.7000000002</v>
      </c>
      <c r="J96" s="13">
        <f t="shared" si="11"/>
        <v>-0.21593014686868806</v>
      </c>
    </row>
    <row r="97" spans="1:10" ht="15.6">
      <c r="A97" s="26" t="str">
        <v>Glen Mary 1</v>
      </c>
      <c r="B97" s="27" t="str">
        <v>NY</v>
      </c>
      <c r="C97" s="27" t="str">
        <f>Sites[[#This Row],[SOL'#]]</f>
        <v>SOL-10993</v>
      </c>
      <c r="D97" s="9">
        <f>SUM('1st Qtr'!D97, '2nd Qtr'!D97, '3rd Qtr'!D97, '4th Qtr'!D97)</f>
        <v>4947550</v>
      </c>
      <c r="E97" s="14">
        <f>SUM('1st Qtr'!E97, '2nd Qtr'!E97, '3rd Qtr'!E97, '4th Qtr'!E97)</f>
        <v>1030810</v>
      </c>
      <c r="F97" s="14">
        <f t="shared" si="9"/>
        <v>3916740</v>
      </c>
      <c r="G97" s="15">
        <f t="shared" si="10"/>
        <v>3.7996721025213183</v>
      </c>
      <c r="H97" s="16">
        <f>SUM('1st Qtr'!H97+'2nd Qtr'!H97+'3rd Qtr'!H97+'4th Qtr'!H97)</f>
        <v>5649343.8100000005</v>
      </c>
      <c r="I97" s="16">
        <f>SUM('1st Qtr'!I97, '2nd Qtr'!I97, '3rd Qtr'!I97, '4th Qtr'!I97)</f>
        <v>-701793.80999999982</v>
      </c>
      <c r="J97" s="15">
        <f t="shared" si="11"/>
        <v>-0.12422572135860142</v>
      </c>
    </row>
    <row r="98" spans="1:10" ht="15.6">
      <c r="A98" s="24" t="str">
        <v>Glen Mary 2</v>
      </c>
      <c r="B98" s="25" t="str">
        <v>NY</v>
      </c>
      <c r="C98" s="25" t="str">
        <f>Sites[[#This Row],[SOL'#]]</f>
        <v>SOL-10994</v>
      </c>
      <c r="D98" s="20">
        <f>SUM('1st Qtr'!D98, '2nd Qtr'!D98, '3rd Qtr'!D98, '4th Qtr'!D98)</f>
        <v>1885780</v>
      </c>
      <c r="E98" s="10">
        <f>SUM('1st Qtr'!E98, '2nd Qtr'!E98, '3rd Qtr'!E98, '4th Qtr'!E98)</f>
        <v>216810</v>
      </c>
      <c r="F98" s="10">
        <f t="shared" si="9"/>
        <v>1668970</v>
      </c>
      <c r="G98" s="11">
        <f t="shared" si="10"/>
        <v>7.6978460403117941</v>
      </c>
      <c r="H98" s="12">
        <f>SUM('1st Qtr'!H98+'2nd Qtr'!H98+'3rd Qtr'!H98+'4th Qtr'!H98)</f>
        <v>2392189.09</v>
      </c>
      <c r="I98" s="12">
        <f>SUM('1st Qtr'!I98, '2nd Qtr'!I98, '3rd Qtr'!I98, '4th Qtr'!I98)</f>
        <v>-506409.08999999997</v>
      </c>
      <c r="J98" s="13">
        <f t="shared" si="11"/>
        <v>-0.2116927512615652</v>
      </c>
    </row>
    <row r="99" spans="1:10" ht="15.6">
      <c r="A99" s="26" t="str">
        <v>Telegraph 1</v>
      </c>
      <c r="B99" s="27" t="str">
        <v>NY</v>
      </c>
      <c r="C99" s="27" t="str">
        <f>Sites[[#This Row],[SOL'#]]</f>
        <v>SOL-11003</v>
      </c>
      <c r="D99" s="9">
        <f>SUM('1st Qtr'!D99, '2nd Qtr'!D99, '3rd Qtr'!D99, '4th Qtr'!D99)</f>
        <v>3609837</v>
      </c>
      <c r="E99" s="14">
        <f>SUM('1st Qtr'!E99, '2nd Qtr'!E99, '3rd Qtr'!E99, '4th Qtr'!E99)</f>
        <v>0</v>
      </c>
      <c r="F99" s="14">
        <f t="shared" si="9"/>
        <v>3609837</v>
      </c>
      <c r="G99" s="15" t="str">
        <f t="shared" si="10"/>
        <v/>
      </c>
      <c r="H99" s="16">
        <f>SUM('1st Qtr'!H99+'2nd Qtr'!H99+'3rd Qtr'!H99+'4th Qtr'!H99)</f>
        <v>4029144.87</v>
      </c>
      <c r="I99" s="16">
        <f>SUM('1st Qtr'!I99, '2nd Qtr'!I99, '3rd Qtr'!I99, '4th Qtr'!I99)</f>
        <v>-419307.87</v>
      </c>
      <c r="J99" s="15">
        <f t="shared" si="11"/>
        <v>-0.10406870031456575</v>
      </c>
    </row>
    <row r="100" spans="1:10" ht="15.6">
      <c r="A100" s="24" t="str">
        <v>Telegraph 2</v>
      </c>
      <c r="B100" s="25" t="str">
        <v>NY</v>
      </c>
      <c r="C100" s="25" t="str">
        <f>Sites[[#This Row],[SOL'#]]</f>
        <v>SOL-11004</v>
      </c>
      <c r="D100" s="20">
        <f>SUM('1st Qtr'!D100, '2nd Qtr'!D100, '3rd Qtr'!D100, '4th Qtr'!D100)</f>
        <v>1932007</v>
      </c>
      <c r="E100" s="10">
        <f>SUM('1st Qtr'!E100, '2nd Qtr'!E100, '3rd Qtr'!E100, '4th Qtr'!E100)</f>
        <v>0</v>
      </c>
      <c r="F100" s="10">
        <f t="shared" si="9"/>
        <v>1932007</v>
      </c>
      <c r="G100" s="11" t="str">
        <f t="shared" si="10"/>
        <v/>
      </c>
      <c r="H100" s="12">
        <f>SUM('1st Qtr'!H100+'2nd Qtr'!H100+'3rd Qtr'!H100+'4th Qtr'!H100)</f>
        <v>2094656.29</v>
      </c>
      <c r="I100" s="12">
        <f>SUM('1st Qtr'!I100, '2nd Qtr'!I100, '3rd Qtr'!I100, '4th Qtr'!I100)</f>
        <v>-162649.28999999995</v>
      </c>
      <c r="J100" s="13">
        <f t="shared" si="11"/>
        <v>-7.7649631959427548E-2</v>
      </c>
    </row>
    <row r="101" spans="1:10" ht="15.6">
      <c r="A101" s="26" t="str">
        <v>Cafferty Hill</v>
      </c>
      <c r="B101" s="27" t="str">
        <v>NY</v>
      </c>
      <c r="C101" s="27" t="str">
        <f>Sites[[#This Row],[SOL'#]]</f>
        <v>SOL-10996</v>
      </c>
      <c r="D101" s="9">
        <f>SUM('1st Qtr'!D101, '2nd Qtr'!D101, '3rd Qtr'!D101, '4th Qtr'!D101)</f>
        <v>4970000</v>
      </c>
      <c r="E101" s="14">
        <f>SUM('1st Qtr'!E101, '2nd Qtr'!E101, '3rd Qtr'!E101, '4th Qtr'!E101)</f>
        <v>1096662.81</v>
      </c>
      <c r="F101" s="14">
        <f t="shared" si="9"/>
        <v>3873337.19</v>
      </c>
      <c r="G101" s="15">
        <f t="shared" si="10"/>
        <v>3.5319308311366915</v>
      </c>
      <c r="H101" s="16">
        <f>SUM('1st Qtr'!H101+'2nd Qtr'!H101+'3rd Qtr'!H101+'4th Qtr'!H101)</f>
        <v>5237553.09</v>
      </c>
      <c r="I101" s="16">
        <f>SUM('1st Qtr'!I101, '2nd Qtr'!I101, '3rd Qtr'!I101, '4th Qtr'!I101)</f>
        <v>-267553.09000000003</v>
      </c>
      <c r="J101" s="15">
        <f t="shared" si="11"/>
        <v>-5.1083604385955737E-2</v>
      </c>
    </row>
    <row r="102" spans="1:10" ht="15.6">
      <c r="A102" s="24" t="str">
        <v>Dunkleman</v>
      </c>
      <c r="B102" s="25" t="str">
        <v>NY</v>
      </c>
      <c r="C102" s="25" t="str">
        <f>Sites[[#This Row],[SOL'#]]</f>
        <v>SOL-11008</v>
      </c>
      <c r="D102" s="20">
        <f>SUM('1st Qtr'!D102, '2nd Qtr'!D102, '3rd Qtr'!D102, '4th Qtr'!D102)</f>
        <v>5556170</v>
      </c>
      <c r="E102" s="10">
        <f>SUM('1st Qtr'!E102, '2nd Qtr'!E102, '3rd Qtr'!E102, '4th Qtr'!E102)</f>
        <v>1325930</v>
      </c>
      <c r="F102" s="10">
        <f t="shared" si="9"/>
        <v>4230240</v>
      </c>
      <c r="G102" s="11">
        <f t="shared" si="10"/>
        <v>3.1903946663851035</v>
      </c>
      <c r="H102" s="12">
        <f>SUM('1st Qtr'!H102+'2nd Qtr'!H102+'3rd Qtr'!H102+'4th Qtr'!H102)</f>
        <v>6664984.2400000002</v>
      </c>
      <c r="I102" s="12">
        <f>SUM('1st Qtr'!I102, '2nd Qtr'!I102, '3rd Qtr'!I102, '4th Qtr'!I102)</f>
        <v>-1108814.24</v>
      </c>
      <c r="J102" s="13">
        <f t="shared" si="11"/>
        <v>-0.16636412031485914</v>
      </c>
    </row>
    <row r="103" spans="1:10" ht="15.6">
      <c r="A103" s="26" t="str">
        <v>Route 19 1</v>
      </c>
      <c r="B103" s="27" t="str">
        <v>NY</v>
      </c>
      <c r="C103" s="27" t="str">
        <f>Sites[[#This Row],[SOL'#]]</f>
        <v>SOL-11001</v>
      </c>
      <c r="D103" s="9">
        <f>SUM('1st Qtr'!D103, '2nd Qtr'!D103, '3rd Qtr'!D103, '4th Qtr'!D103)</f>
        <v>2372980</v>
      </c>
      <c r="E103" s="14">
        <f>SUM('1st Qtr'!E103, '2nd Qtr'!E103, '3rd Qtr'!E103, '4th Qtr'!E103)</f>
        <v>524990</v>
      </c>
      <c r="F103" s="14">
        <f t="shared" si="9"/>
        <v>1847990</v>
      </c>
      <c r="G103" s="15">
        <f t="shared" si="10"/>
        <v>3.5200480009143029</v>
      </c>
      <c r="H103" s="16">
        <f>SUM('1st Qtr'!H103+'2nd Qtr'!H103+'3rd Qtr'!H103+'4th Qtr'!H103)</f>
        <v>2700906.5</v>
      </c>
      <c r="I103" s="16">
        <f>SUM('1st Qtr'!I103, '2nd Qtr'!I103, '3rd Qtr'!I103, '4th Qtr'!I103)</f>
        <v>-327926.5</v>
      </c>
      <c r="J103" s="15">
        <f t="shared" si="11"/>
        <v>-0.12141349580224269</v>
      </c>
    </row>
    <row r="104" spans="1:10" ht="15.6">
      <c r="A104" s="24" t="str">
        <v>Route 19 2</v>
      </c>
      <c r="B104" s="25" t="str">
        <v>NY</v>
      </c>
      <c r="C104" s="25" t="str">
        <f>Sites[[#This Row],[SOL'#]]</f>
        <v>SOL-11002</v>
      </c>
      <c r="D104" s="20">
        <f>SUM('1st Qtr'!D104, '2nd Qtr'!D104, '3rd Qtr'!D104, '4th Qtr'!D104)</f>
        <v>5806660</v>
      </c>
      <c r="E104" s="10">
        <f>SUM('1st Qtr'!E104, '2nd Qtr'!E104, '3rd Qtr'!E104, '4th Qtr'!E104)</f>
        <v>1272140</v>
      </c>
      <c r="F104" s="10">
        <f t="shared" si="9"/>
        <v>4534520</v>
      </c>
      <c r="G104" s="11">
        <f t="shared" si="10"/>
        <v>3.5644818966465954</v>
      </c>
      <c r="H104" s="12">
        <f>SUM('1st Qtr'!H104+'2nd Qtr'!H104+'3rd Qtr'!H104+'4th Qtr'!H104)</f>
        <v>6738540.2399999993</v>
      </c>
      <c r="I104" s="12">
        <f>SUM('1st Qtr'!I104, '2nd Qtr'!I104, '3rd Qtr'!I104, '4th Qtr'!I104)</f>
        <v>-931880.23999999976</v>
      </c>
      <c r="J104" s="13">
        <f t="shared" si="11"/>
        <v>-0.13829111451592369</v>
      </c>
    </row>
    <row r="105" spans="1:10" ht="15.6">
      <c r="A105" s="26" t="str">
        <v>Yellow Mills 1</v>
      </c>
      <c r="B105" s="27" t="str">
        <v>NY</v>
      </c>
      <c r="C105" s="27" t="str">
        <f>Sites[[#This Row],[SOL'#]]</f>
        <v>SOL-11006</v>
      </c>
      <c r="D105" s="9">
        <f>SUM('1st Qtr'!D105, '2nd Qtr'!D105, '3rd Qtr'!D105, '4th Qtr'!D105)</f>
        <v>1600110</v>
      </c>
      <c r="E105" s="14">
        <f>SUM('1st Qtr'!E105, '2nd Qtr'!E105, '3rd Qtr'!E105, '4th Qtr'!E105)</f>
        <v>455797</v>
      </c>
      <c r="F105" s="14">
        <f t="shared" si="9"/>
        <v>1144313</v>
      </c>
      <c r="G105" s="15">
        <f t="shared" si="10"/>
        <v>2.5105759800964025</v>
      </c>
      <c r="H105" s="16">
        <f>SUM('1st Qtr'!H105+'2nd Qtr'!H105+'3rd Qtr'!H105+'4th Qtr'!H105)</f>
        <v>2198755.0100000002</v>
      </c>
      <c r="I105" s="16">
        <f>SUM('1st Qtr'!I105, '2nd Qtr'!I105, '3rd Qtr'!I105, '4th Qtr'!I105)</f>
        <v>-598645.00999999989</v>
      </c>
      <c r="J105" s="15">
        <f t="shared" si="11"/>
        <v>-0.27226544443439371</v>
      </c>
    </row>
    <row r="106" spans="1:10" ht="15.6">
      <c r="A106" s="24" t="str">
        <v>Yellow Mills 2</v>
      </c>
      <c r="B106" s="25" t="str">
        <v>NY</v>
      </c>
      <c r="C106" s="25" t="str">
        <f>Sites[[#This Row],[SOL'#]]</f>
        <v>SOL-11005</v>
      </c>
      <c r="D106" s="20">
        <f>SUM('1st Qtr'!D106, '2nd Qtr'!D106, '3rd Qtr'!D106, '4th Qtr'!D106)</f>
        <v>2022914</v>
      </c>
      <c r="E106" s="10">
        <f>SUM('1st Qtr'!E106, '2nd Qtr'!E106, '3rd Qtr'!E106, '4th Qtr'!E106)</f>
        <v>0</v>
      </c>
      <c r="F106" s="10">
        <f t="shared" si="9"/>
        <v>2022914</v>
      </c>
      <c r="G106" s="11" t="str">
        <f t="shared" si="10"/>
        <v/>
      </c>
      <c r="H106" s="12">
        <f>SUM('1st Qtr'!H106+'2nd Qtr'!H106+'3rd Qtr'!H106+'4th Qtr'!H106)</f>
        <v>2270513.5099999998</v>
      </c>
      <c r="I106" s="12">
        <f>SUM('1st Qtr'!I106, '2nd Qtr'!I106, '3rd Qtr'!I106, '4th Qtr'!I106)</f>
        <v>-247599.51000000004</v>
      </c>
      <c r="J106" s="13">
        <f t="shared" si="11"/>
        <v>-0.10905000516821416</v>
      </c>
    </row>
    <row r="107" spans="1:10" ht="15.6">
      <c r="A107" s="26" t="str">
        <v>Yellow Mills 3</v>
      </c>
      <c r="B107" s="27" t="str">
        <v>NY</v>
      </c>
      <c r="C107" s="27" t="str">
        <f>Sites[[#This Row],[SOL'#]]</f>
        <v>SOL-11007</v>
      </c>
      <c r="D107" s="9">
        <f>SUM('1st Qtr'!D107, '2nd Qtr'!D107, '3rd Qtr'!D107, '4th Qtr'!D107)</f>
        <v>1901759</v>
      </c>
      <c r="E107" s="14">
        <f>SUM('1st Qtr'!E107, '2nd Qtr'!E107, '3rd Qtr'!E107, '4th Qtr'!E107)</f>
        <v>429805</v>
      </c>
      <c r="F107" s="14">
        <f t="shared" si="9"/>
        <v>1471954</v>
      </c>
      <c r="G107" s="15">
        <f t="shared" si="10"/>
        <v>3.4247018996987006</v>
      </c>
      <c r="H107" s="16">
        <f>SUM('1st Qtr'!H107+'2nd Qtr'!H107+'3rd Qtr'!H107+'4th Qtr'!H107)</f>
        <v>2145792.09</v>
      </c>
      <c r="I107" s="16">
        <f>SUM('1st Qtr'!I107, '2nd Qtr'!I107, '3rd Qtr'!I107, '4th Qtr'!I107)</f>
        <v>-244033.09000000003</v>
      </c>
      <c r="J107" s="15">
        <f t="shared" si="11"/>
        <v>-0.11372634428902198</v>
      </c>
    </row>
    <row r="108" spans="1:10" ht="15.6">
      <c r="A108" s="24" t="str">
        <v>Catskill</v>
      </c>
      <c r="B108" s="25" t="str">
        <v>NY</v>
      </c>
      <c r="C108" s="25" t="str">
        <f>Sites[[#This Row],[SOL'#]]</f>
        <v>SOL-11021</v>
      </c>
      <c r="D108" s="20">
        <f>SUM('1st Qtr'!D108, '2nd Qtr'!D108, '3rd Qtr'!D108, '4th Qtr'!D108)</f>
        <v>3258467</v>
      </c>
      <c r="E108" s="10">
        <f>SUM('1st Qtr'!E108, '2nd Qtr'!E108, '3rd Qtr'!E108, '4th Qtr'!E108)</f>
        <v>358236</v>
      </c>
      <c r="F108" s="10">
        <f t="shared" si="9"/>
        <v>2900231</v>
      </c>
      <c r="G108" s="11">
        <f t="shared" si="10"/>
        <v>8.0958669703770703</v>
      </c>
      <c r="H108" s="12">
        <f>SUM('1st Qtr'!H108+'2nd Qtr'!H108+'3rd Qtr'!H108+'4th Qtr'!H108)</f>
        <v>4057980.04</v>
      </c>
      <c r="I108" s="12">
        <f>SUM('1st Qtr'!I108, '2nd Qtr'!I108, '3rd Qtr'!I108, '4th Qtr'!I108)</f>
        <v>-799513.04</v>
      </c>
      <c r="J108" s="13">
        <f t="shared" si="11"/>
        <v>-0.19702241807971044</v>
      </c>
    </row>
    <row r="109" spans="1:10" ht="15.6">
      <c r="A109" s="26" t="str">
        <v>Eddy Ridge</v>
      </c>
      <c r="B109" s="27" t="str">
        <v>NY</v>
      </c>
      <c r="C109" s="27" t="str">
        <f>Sites[[#This Row],[SOL'#]]</f>
        <v>SOL-11054</v>
      </c>
      <c r="D109" s="9">
        <f>SUM('1st Qtr'!D109, '2nd Qtr'!D109, '3rd Qtr'!D109, '4th Qtr'!D109)</f>
        <v>2845972.5</v>
      </c>
      <c r="E109" s="14">
        <f>SUM('1st Qtr'!E109, '2nd Qtr'!E109, '3rd Qtr'!E109, '4th Qtr'!E109)</f>
        <v>646353</v>
      </c>
      <c r="F109" s="14">
        <f t="shared" si="9"/>
        <v>2199619.5</v>
      </c>
      <c r="G109" s="15">
        <f t="shared" si="10"/>
        <v>3.4031241442369726</v>
      </c>
      <c r="H109" s="16">
        <f>SUM('1st Qtr'!H109+'2nd Qtr'!H109+'3rd Qtr'!H109+'4th Qtr'!H109)</f>
        <v>3187980</v>
      </c>
      <c r="I109" s="16">
        <f>SUM('1st Qtr'!I109, '2nd Qtr'!I109, '3rd Qtr'!I109, '4th Qtr'!I109)</f>
        <v>-342007.5</v>
      </c>
      <c r="J109" s="15">
        <f t="shared" si="11"/>
        <v>-0.10728031543485217</v>
      </c>
    </row>
    <row r="110" spans="1:10" ht="15.6">
      <c r="A110" s="24" t="str">
        <v>Ridgeway #1</v>
      </c>
      <c r="B110" s="25" t="str">
        <v>NY</v>
      </c>
      <c r="C110" s="25" t="str">
        <f>Sites[[#This Row],[SOL'#]]</f>
        <v>SOL-11018</v>
      </c>
      <c r="D110" s="20">
        <f>SUM('1st Qtr'!D110, '2nd Qtr'!D110, '3rd Qtr'!D110, '4th Qtr'!D110)</f>
        <v>6173728</v>
      </c>
      <c r="E110" s="10">
        <f>SUM('1st Qtr'!E110, '2nd Qtr'!E110, '3rd Qtr'!E110, '4th Qtr'!E110)</f>
        <v>1447271</v>
      </c>
      <c r="F110" s="10">
        <f t="shared" si="9"/>
        <v>4726457</v>
      </c>
      <c r="G110" s="11">
        <f t="shared" si="10"/>
        <v>3.2657719252303128</v>
      </c>
      <c r="H110" s="12">
        <f>SUM('1st Qtr'!H110+'2nd Qtr'!H110+'3rd Qtr'!H110+'4th Qtr'!H110)</f>
        <v>6779443.2999999989</v>
      </c>
      <c r="I110" s="12">
        <f>SUM('1st Qtr'!I110, '2nd Qtr'!I110, '3rd Qtr'!I110, '4th Qtr'!I110)</f>
        <v>-605715.2999999997</v>
      </c>
      <c r="J110" s="13">
        <f t="shared" si="11"/>
        <v>-8.9345875936450381E-2</v>
      </c>
    </row>
    <row r="111" spans="1:10" ht="15.6">
      <c r="A111" s="26" t="str">
        <v>Rivard 1</v>
      </c>
      <c r="B111" s="27" t="str">
        <v>NY</v>
      </c>
      <c r="C111" s="27" t="str">
        <f>Sites[[#This Row],[SOL'#]]</f>
        <v>SOL-11011</v>
      </c>
      <c r="D111" s="9">
        <f>SUM('1st Qtr'!D111, '2nd Qtr'!D111, '3rd Qtr'!D111, '4th Qtr'!D111)</f>
        <v>4702107.5874807788</v>
      </c>
      <c r="E111" s="14">
        <f>SUM('1st Qtr'!E111, '2nd Qtr'!E111, '3rd Qtr'!E111, '4th Qtr'!E111)</f>
        <v>2534623.4000000004</v>
      </c>
      <c r="F111" s="14">
        <f t="shared" si="9"/>
        <v>2167484.1874807784</v>
      </c>
      <c r="G111" s="15">
        <f t="shared" si="10"/>
        <v>0.85515038939543375</v>
      </c>
      <c r="H111" s="16">
        <f>SUM('1st Qtr'!H111+'2nd Qtr'!H111+'3rd Qtr'!H111+'4th Qtr'!H111)</f>
        <v>4297552.05</v>
      </c>
      <c r="I111" s="16">
        <f>SUM('1st Qtr'!I111, '2nd Qtr'!I111, '3rd Qtr'!I111, '4th Qtr'!I111)</f>
        <v>404555.53748077911</v>
      </c>
      <c r="J111" s="15">
        <f t="shared" si="11"/>
        <v>9.4136274040189719E-2</v>
      </c>
    </row>
    <row r="112" spans="1:10" ht="15.6">
      <c r="A112" s="24" t="str">
        <v>Rivard 2</v>
      </c>
      <c r="B112" s="25" t="str">
        <v>NY</v>
      </c>
      <c r="C112" s="25" t="str">
        <f>Sites[[#This Row],[SOL'#]]</f>
        <v>SOL-11012</v>
      </c>
      <c r="D112" s="20">
        <f>SUM('1st Qtr'!D112, '2nd Qtr'!D112, '3rd Qtr'!D112, '4th Qtr'!D112)</f>
        <v>4923408.2583814636</v>
      </c>
      <c r="E112" s="10">
        <f>SUM('1st Qtr'!E112, '2nd Qtr'!E112, '3rd Qtr'!E112, '4th Qtr'!E112)</f>
        <v>4874555.8</v>
      </c>
      <c r="F112" s="10">
        <f t="shared" si="9"/>
        <v>48852.458381463774</v>
      </c>
      <c r="G112" s="11">
        <f t="shared" si="10"/>
        <v>1.002193028161946E-2</v>
      </c>
      <c r="H112" s="12">
        <f>SUM('1st Qtr'!H112+'2nd Qtr'!H112+'3rd Qtr'!H112+'4th Qtr'!H112)</f>
        <v>5235072.3</v>
      </c>
      <c r="I112" s="12">
        <f>SUM('1st Qtr'!I112, '2nd Qtr'!I112, '3rd Qtr'!I112, '4th Qtr'!I112)</f>
        <v>-311664.04161853605</v>
      </c>
      <c r="J112" s="13">
        <f t="shared" si="11"/>
        <v>-5.9533856221725162E-2</v>
      </c>
    </row>
    <row r="113" spans="1:10" ht="15.6">
      <c r="A113" s="26" t="str">
        <v>Essex</v>
      </c>
      <c r="B113" s="27" t="str">
        <v>DC</v>
      </c>
      <c r="C113" s="27" t="str">
        <f>Sites[[#This Row],[SOL'#]]</f>
        <v>SOL-10036</v>
      </c>
      <c r="D113" s="9">
        <f>SUM('1st Qtr'!D113, '2nd Qtr'!D113, '3rd Qtr'!D113, '4th Qtr'!D113)</f>
        <v>22863</v>
      </c>
      <c r="E113" s="14">
        <f>SUM('1st Qtr'!E113, '2nd Qtr'!E113, '3rd Qtr'!E113, '4th Qtr'!E113)</f>
        <v>29247.573000000004</v>
      </c>
      <c r="F113" s="14">
        <f t="shared" si="9"/>
        <v>-6384.573000000004</v>
      </c>
      <c r="G113" s="15">
        <f t="shared" si="10"/>
        <v>-0.21829411281407873</v>
      </c>
      <c r="H113" s="16">
        <f>SUM('1st Qtr'!H113+'2nd Qtr'!H113+'3rd Qtr'!H113+'4th Qtr'!H113)</f>
        <v>29283.490999999998</v>
      </c>
      <c r="I113" s="16">
        <f>SUM('1st Qtr'!I113, '2nd Qtr'!I113, '3rd Qtr'!I113, '4th Qtr'!I113)</f>
        <v>-6420.4910000000009</v>
      </c>
      <c r="J113" s="15">
        <f t="shared" si="11"/>
        <v>-0.21925292308898559</v>
      </c>
    </row>
    <row r="114" spans="1:10" ht="15.6">
      <c r="A114" s="24" t="str">
        <v>Temple Sinai</v>
      </c>
      <c r="B114" s="25" t="str">
        <v>DC</v>
      </c>
      <c r="C114" s="25" t="str">
        <f>Sites[[#This Row],[SOL'#]]</f>
        <v>SOL-10028</v>
      </c>
      <c r="D114" s="20">
        <f>SUM('1st Qtr'!D114, '2nd Qtr'!D114, '3rd Qtr'!D114, '4th Qtr'!D114)</f>
        <v>56900.819999999912</v>
      </c>
      <c r="E114" s="10">
        <f>SUM('1st Qtr'!E114, '2nd Qtr'!E114, '3rd Qtr'!E114, '4th Qtr'!E114)</f>
        <v>82419.258000000002</v>
      </c>
      <c r="F114" s="10">
        <f t="shared" si="9"/>
        <v>-25518.438000000089</v>
      </c>
      <c r="G114" s="11">
        <f t="shared" si="10"/>
        <v>-0.30961741975401053</v>
      </c>
      <c r="H114" s="12">
        <f>SUM('1st Qtr'!H114+'2nd Qtr'!H114+'3rd Qtr'!H114+'4th Qtr'!H114)</f>
        <v>68240.236000000004</v>
      </c>
      <c r="I114" s="12">
        <f>SUM('1st Qtr'!I114, '2nd Qtr'!I114, '3rd Qtr'!I114, '4th Qtr'!I114)</f>
        <v>-11339.41600000009</v>
      </c>
      <c r="J114" s="13">
        <f t="shared" si="11"/>
        <v>-0.16616906190066649</v>
      </c>
    </row>
    <row r="115" spans="1:10" ht="15.6">
      <c r="A115" s="26" t="str">
        <v>Weinberg Commons #1</v>
      </c>
      <c r="B115" s="27" t="str">
        <v>DC</v>
      </c>
      <c r="C115" s="27" t="str">
        <f>Sites[[#This Row],[SOL'#]]</f>
        <v>SOL-10039</v>
      </c>
      <c r="D115" s="9">
        <f>SUM('1st Qtr'!D115, '2nd Qtr'!D115, '3rd Qtr'!D115, '4th Qtr'!D115)</f>
        <v>8684</v>
      </c>
      <c r="E115" s="14">
        <f>SUM('1st Qtr'!E115, '2nd Qtr'!E115, '3rd Qtr'!E115, '4th Qtr'!E115)</f>
        <v>9167.2030999999988</v>
      </c>
      <c r="F115" s="14">
        <f t="shared" si="9"/>
        <v>-483.20309999999881</v>
      </c>
      <c r="G115" s="15">
        <f t="shared" si="10"/>
        <v>-5.2709980866465028E-2</v>
      </c>
      <c r="H115" s="16">
        <f>SUM('1st Qtr'!H115+'2nd Qtr'!H115+'3rd Qtr'!H115+'4th Qtr'!H115)</f>
        <v>10260.9913</v>
      </c>
      <c r="I115" s="16">
        <f>SUM('1st Qtr'!I115, '2nd Qtr'!I115, '3rd Qtr'!I115, '4th Qtr'!I115)</f>
        <v>-1576.9913000000001</v>
      </c>
      <c r="J115" s="15">
        <f t="shared" si="11"/>
        <v>-0.15368800673283878</v>
      </c>
    </row>
    <row r="116" spans="1:10" ht="15.6">
      <c r="A116" s="24" t="str">
        <v>Weinberg Commons #2</v>
      </c>
      <c r="B116" s="25" t="str">
        <v>DC</v>
      </c>
      <c r="C116" s="25" t="str">
        <f>Sites[[#This Row],[SOL'#]]</f>
        <v>SOL-10045</v>
      </c>
      <c r="D116" s="20">
        <f>SUM('1st Qtr'!D116, '2nd Qtr'!D116, '3rd Qtr'!D116, '4th Qtr'!D116)</f>
        <v>8772</v>
      </c>
      <c r="E116" s="10">
        <f>SUM('1st Qtr'!E116, '2nd Qtr'!E116, '3rd Qtr'!E116, '4th Qtr'!E116)</f>
        <v>9099.8714</v>
      </c>
      <c r="F116" s="10">
        <f t="shared" si="9"/>
        <v>-327.87139999999999</v>
      </c>
      <c r="G116" s="11">
        <f t="shared" si="10"/>
        <v>-3.6030333351743847E-2</v>
      </c>
      <c r="H116" s="12">
        <f>SUM('1st Qtr'!H116+'2nd Qtr'!H116+'3rd Qtr'!H116+'4th Qtr'!H116)</f>
        <v>10464.4491</v>
      </c>
      <c r="I116" s="12">
        <f>SUM('1st Qtr'!I116, '2nd Qtr'!I116, '3rd Qtr'!I116, '4th Qtr'!I116)</f>
        <v>-1692.4491</v>
      </c>
      <c r="J116" s="13">
        <f t="shared" si="11"/>
        <v>-0.16173322492437753</v>
      </c>
    </row>
    <row r="117" spans="1:10" ht="15.6">
      <c r="A117" s="26" t="str">
        <v>Weinberg Commons #3</v>
      </c>
      <c r="B117" s="27" t="str">
        <v>DC</v>
      </c>
      <c r="C117" s="27" t="str">
        <f>Sites[[#This Row],[SOL'#]]</f>
        <v>SOL-10042</v>
      </c>
      <c r="D117" s="9">
        <f>SUM('1st Qtr'!D117, '2nd Qtr'!D117, '3rd Qtr'!D117, '4th Qtr'!D117)</f>
        <v>10653</v>
      </c>
      <c r="E117" s="14">
        <f>SUM('1st Qtr'!E117, '2nd Qtr'!E117, '3rd Qtr'!E117, '4th Qtr'!E117)</f>
        <v>10480.510200000001</v>
      </c>
      <c r="F117" s="14">
        <f t="shared" si="9"/>
        <v>172.48979999999938</v>
      </c>
      <c r="G117" s="15">
        <f t="shared" si="10"/>
        <v>1.6458149146212308E-2</v>
      </c>
      <c r="H117" s="16">
        <f>SUM('1st Qtr'!H117+'2nd Qtr'!H117+'3rd Qtr'!H117+'4th Qtr'!H117)</f>
        <v>10911.306</v>
      </c>
      <c r="I117" s="16">
        <f>SUM('1st Qtr'!I117, '2nd Qtr'!I117, '3rd Qtr'!I117, '4th Qtr'!I117)</f>
        <v>-258.30600000000004</v>
      </c>
      <c r="J117" s="15">
        <f t="shared" si="11"/>
        <v>-2.3673243147978806E-2</v>
      </c>
    </row>
    <row r="118" spans="1:10" ht="15.6">
      <c r="A118" s="24" t="str">
        <v>Clayton Hall</v>
      </c>
      <c r="B118" s="25" t="str">
        <v>DE</v>
      </c>
      <c r="C118" s="25" t="str">
        <f>Sites[[#This Row],[SOL'#]]</f>
        <v>SOL-10820</v>
      </c>
      <c r="D118" s="20">
        <f>SUM('1st Qtr'!D118, '2nd Qtr'!D118, '3rd Qtr'!D118, '4th Qtr'!D118)</f>
        <v>98167</v>
      </c>
      <c r="E118" s="10">
        <f>SUM('1st Qtr'!E118, '2nd Qtr'!E118, '3rd Qtr'!E118, '4th Qtr'!E118)</f>
        <v>117017.876</v>
      </c>
      <c r="F118" s="10">
        <f t="shared" si="9"/>
        <v>-18850.876000000004</v>
      </c>
      <c r="G118" s="11">
        <f t="shared" si="10"/>
        <v>-0.16109398533263417</v>
      </c>
      <c r="H118" s="12">
        <f>SUM('1st Qtr'!H118+'2nd Qtr'!H118+'3rd Qtr'!H118+'4th Qtr'!H118)</f>
        <v>107185.997</v>
      </c>
      <c r="I118" s="12">
        <f>SUM('1st Qtr'!I118, '2nd Qtr'!I118, '3rd Qtr'!I118, '4th Qtr'!I118)</f>
        <v>-9018.9970000000012</v>
      </c>
      <c r="J118" s="13">
        <f t="shared" si="11"/>
        <v>-8.4143425936505506E-2</v>
      </c>
    </row>
    <row r="119" spans="1:10" ht="15.6">
      <c r="A119" s="26" t="str">
        <v>Field House</v>
      </c>
      <c r="B119" s="27" t="str">
        <v>DE</v>
      </c>
      <c r="C119" s="27" t="str">
        <f>Sites[[#This Row],[SOL'#]]</f>
        <v>SOL-10821</v>
      </c>
      <c r="D119" s="9">
        <f>SUM('1st Qtr'!D119, '2nd Qtr'!D119, '3rd Qtr'!D119, '4th Qtr'!D119)</f>
        <v>315399</v>
      </c>
      <c r="E119" s="14">
        <f>SUM('1st Qtr'!E119, '2nd Qtr'!E119, '3rd Qtr'!E119, '4th Qtr'!E119)</f>
        <v>0</v>
      </c>
      <c r="F119" s="14">
        <f t="shared" si="9"/>
        <v>315399</v>
      </c>
      <c r="G119" s="15" t="str">
        <f t="shared" si="10"/>
        <v/>
      </c>
      <c r="H119" s="16">
        <f>SUM('1st Qtr'!H119+'2nd Qtr'!H119+'3rd Qtr'!H119+'4th Qtr'!H119)</f>
        <v>293226.96799999999</v>
      </c>
      <c r="I119" s="16">
        <f>SUM('1st Qtr'!I119, '2nd Qtr'!I119, '3rd Qtr'!I119, '4th Qtr'!I119)</f>
        <v>22172.031999999999</v>
      </c>
      <c r="J119" s="15">
        <f t="shared" si="11"/>
        <v>7.5613891011552525E-2</v>
      </c>
    </row>
    <row r="120" spans="1:10" ht="15.6">
      <c r="A120" s="24" t="str">
        <v>Wyoming Road</v>
      </c>
      <c r="B120" s="25" t="str">
        <v>DE</v>
      </c>
      <c r="C120" s="25" t="str">
        <f>Sites[[#This Row],[SOL'#]]</f>
        <v>SOL-10819</v>
      </c>
      <c r="D120" s="20">
        <f>SUM('1st Qtr'!D120, '2nd Qtr'!D120, '3rd Qtr'!D120, '4th Qtr'!D120)</f>
        <v>104412</v>
      </c>
      <c r="E120" s="10">
        <f>SUM('1st Qtr'!E120, '2nd Qtr'!E120, '3rd Qtr'!E120, '4th Qtr'!E120)</f>
        <v>190813.64799999999</v>
      </c>
      <c r="F120" s="10">
        <f t="shared" si="9"/>
        <v>-86401.647999999986</v>
      </c>
      <c r="G120" s="11">
        <f t="shared" si="10"/>
        <v>-0.45280643657103603</v>
      </c>
      <c r="H120" s="12">
        <f>SUM('1st Qtr'!H120+'2nd Qtr'!H120+'3rd Qtr'!H120+'4th Qtr'!H120)</f>
        <v>206499.054</v>
      </c>
      <c r="I120" s="12">
        <f>SUM('1st Qtr'!I120, '2nd Qtr'!I120, '3rd Qtr'!I120, '4th Qtr'!I120)</f>
        <v>-102087.054</v>
      </c>
      <c r="J120" s="13">
        <f t="shared" si="11"/>
        <v>-0.49437056500994914</v>
      </c>
    </row>
    <row r="121" spans="1:10" ht="15.6">
      <c r="A121" s="26" t="str">
        <v>94-246 Leoku St. - PV Bldg E, F, G</v>
      </c>
      <c r="B121" s="27" t="str">
        <v>HI</v>
      </c>
      <c r="C121" s="27" t="str">
        <f>Sites[[#This Row],[SOL'#]]</f>
        <v>SOL-10071</v>
      </c>
      <c r="D121" s="9">
        <f>SUM('1st Qtr'!D121, '2nd Qtr'!D121, '3rd Qtr'!D121, '4th Qtr'!D121)</f>
        <v>63327</v>
      </c>
      <c r="E121" s="14">
        <f>SUM('1st Qtr'!E121, '2nd Qtr'!E121, '3rd Qtr'!E121, '4th Qtr'!E121)</f>
        <v>78392.426000000007</v>
      </c>
      <c r="F121" s="14">
        <f t="shared" si="9"/>
        <v>-15065.426000000007</v>
      </c>
      <c r="G121" s="15">
        <f t="shared" si="10"/>
        <v>-0.19217961184158283</v>
      </c>
      <c r="H121" s="16">
        <f>SUM('1st Qtr'!H121+'2nd Qtr'!H121+'3rd Qtr'!H121+'4th Qtr'!H121)</f>
        <v>85039.735000000015</v>
      </c>
      <c r="I121" s="16">
        <f>SUM('1st Qtr'!I121, '2nd Qtr'!I121, '3rd Qtr'!I121, '4th Qtr'!I121)</f>
        <v>-21712.735000000001</v>
      </c>
      <c r="J121" s="15">
        <f t="shared" si="11"/>
        <v>-0.25532458444279016</v>
      </c>
    </row>
    <row r="122" spans="1:10" ht="15.6">
      <c r="A122" s="24" t="str">
        <v>94-099 Waipahu St - PV</v>
      </c>
      <c r="B122" s="25" t="str">
        <v>HI</v>
      </c>
      <c r="C122" s="25" t="str">
        <f>Sites[[#This Row],[SOL'#]]</f>
        <v>SOL-10068</v>
      </c>
      <c r="D122" s="20">
        <f>SUM('1st Qtr'!D122, '2nd Qtr'!D122, '3rd Qtr'!D122, '4th Qtr'!D122)</f>
        <v>90146</v>
      </c>
      <c r="E122" s="10">
        <f>SUM('1st Qtr'!E122, '2nd Qtr'!E122, '3rd Qtr'!E122, '4th Qtr'!E122)</f>
        <v>71686.786999999997</v>
      </c>
      <c r="F122" s="10">
        <f t="shared" si="9"/>
        <v>18459.213000000003</v>
      </c>
      <c r="G122" s="11">
        <f t="shared" si="10"/>
        <v>0.25749812165525016</v>
      </c>
      <c r="H122" s="12">
        <f>SUM('1st Qtr'!H122+'2nd Qtr'!H122+'3rd Qtr'!H122+'4th Qtr'!H122)</f>
        <v>84994.260999999999</v>
      </c>
      <c r="I122" s="12">
        <f>SUM('1st Qtr'!I122, '2nd Qtr'!I122, '3rd Qtr'!I122, '4th Qtr'!I122)</f>
        <v>5151.7389999999996</v>
      </c>
      <c r="J122" s="13">
        <f t="shared" si="11"/>
        <v>6.0612786550376614E-2</v>
      </c>
    </row>
    <row r="123" spans="1:10" ht="15.6">
      <c r="A123" s="26" t="str">
        <v>TES Bird in Hand</v>
      </c>
      <c r="B123" s="27" t="str">
        <v>MD</v>
      </c>
      <c r="C123" s="27" t="str">
        <f>Sites[[#This Row],[SOL'#]]</f>
        <v>SOL-10092</v>
      </c>
      <c r="D123" s="9">
        <f>SUM('1st Qtr'!D123, '2nd Qtr'!D123, '3rd Qtr'!D123, '4th Qtr'!D123)</f>
        <v>1056753</v>
      </c>
      <c r="E123" s="14">
        <f>SUM('1st Qtr'!E123, '2nd Qtr'!E123, '3rd Qtr'!E123, '4th Qtr'!E123)</f>
        <v>1078865.4909999999</v>
      </c>
      <c r="F123" s="14">
        <f t="shared" si="9"/>
        <v>-22112.490999999922</v>
      </c>
      <c r="G123" s="15">
        <f t="shared" si="10"/>
        <v>-2.0496059225607322E-2</v>
      </c>
      <c r="H123" s="16">
        <f>SUM('1st Qtr'!H123+'2nd Qtr'!H123+'3rd Qtr'!H123+'4th Qtr'!H123)</f>
        <v>1005076.277</v>
      </c>
      <c r="I123" s="16">
        <f>SUM('1st Qtr'!I123, '2nd Qtr'!I123, '3rd Qtr'!I123, '4th Qtr'!I123)</f>
        <v>51676.722999999998</v>
      </c>
      <c r="J123" s="15">
        <f t="shared" si="11"/>
        <v>5.1415722550180135E-2</v>
      </c>
    </row>
    <row r="124" spans="1:10" ht="15.6">
      <c r="A124" s="24" t="str">
        <v>TES Shortal Solar LLC</v>
      </c>
      <c r="B124" s="25" t="str">
        <v>MD</v>
      </c>
      <c r="C124" s="25" t="str">
        <f>Sites[[#This Row],[SOL'#]]</f>
        <v>SOL-10091</v>
      </c>
      <c r="D124" s="20">
        <f>SUM('1st Qtr'!D124, '2nd Qtr'!D124, '3rd Qtr'!D124, '4th Qtr'!D124)</f>
        <v>1006639</v>
      </c>
      <c r="E124" s="10">
        <f>SUM('1st Qtr'!E124, '2nd Qtr'!E124, '3rd Qtr'!E124, '4th Qtr'!E124)</f>
        <v>1032216.0060000001</v>
      </c>
      <c r="F124" s="10">
        <f t="shared" si="9"/>
        <v>-25577.006000000052</v>
      </c>
      <c r="G124" s="11">
        <f t="shared" si="10"/>
        <v>-2.4778734151890348E-2</v>
      </c>
      <c r="H124" s="12">
        <f>SUM('1st Qtr'!H124+'2nd Qtr'!H124+'3rd Qtr'!H124+'4th Qtr'!H124)</f>
        <v>1135138.673</v>
      </c>
      <c r="I124" s="12">
        <f>SUM('1st Qtr'!I124, '2nd Qtr'!I124, '3rd Qtr'!I124, '4th Qtr'!I124)</f>
        <v>-128499.67300000001</v>
      </c>
      <c r="J124" s="13">
        <f t="shared" si="11"/>
        <v>-0.11320174006616725</v>
      </c>
    </row>
    <row r="125" spans="1:10" ht="15.6">
      <c r="A125" s="26" t="str">
        <v>Coca Cola Aguadilla</v>
      </c>
      <c r="B125" s="27" t="str">
        <v>PR</v>
      </c>
      <c r="C125" s="27" t="str">
        <f>Sites[[#This Row],[SOL'#]]</f>
        <v>SOL-10072</v>
      </c>
      <c r="D125" s="9">
        <f>SUM('1st Qtr'!D125, '2nd Qtr'!D125, '3rd Qtr'!D125, '4th Qtr'!D125)</f>
        <v>106088</v>
      </c>
      <c r="E125" s="14">
        <f>SUM('1st Qtr'!E125, '2nd Qtr'!E125, '3rd Qtr'!E125, '4th Qtr'!E125)</f>
        <v>129726.523</v>
      </c>
      <c r="F125" s="14">
        <f t="shared" si="9"/>
        <v>-23638.523000000001</v>
      </c>
      <c r="G125" s="15">
        <f t="shared" si="10"/>
        <v>-0.18221811895783255</v>
      </c>
      <c r="H125" s="16">
        <f>SUM('1st Qtr'!H125+'2nd Qtr'!H125+'3rd Qtr'!H125+'4th Qtr'!H125)</f>
        <v>143877.984</v>
      </c>
      <c r="I125" s="16">
        <f>SUM('1st Qtr'!I125, '2nd Qtr'!I125, '3rd Qtr'!I125, '4th Qtr'!I125)</f>
        <v>-37789.983999999997</v>
      </c>
      <c r="J125" s="15">
        <f t="shared" si="11"/>
        <v>-0.26265299908566969</v>
      </c>
    </row>
    <row r="126" spans="1:10" ht="15.6">
      <c r="A126" s="24" t="str">
        <v>Coca Cola Bayamon</v>
      </c>
      <c r="B126" s="25" t="str">
        <v>PR</v>
      </c>
      <c r="C126" s="25" t="str">
        <f>Sites[[#This Row],[SOL'#]]</f>
        <v>SOL-10073</v>
      </c>
      <c r="D126" s="20">
        <f>SUM('1st Qtr'!D126, '2nd Qtr'!D126, '3rd Qtr'!D126, '4th Qtr'!D126)</f>
        <v>390016</v>
      </c>
      <c r="E126" s="10">
        <f>SUM('1st Qtr'!E126, '2nd Qtr'!E126, '3rd Qtr'!E126, '4th Qtr'!E126)</f>
        <v>508973.51</v>
      </c>
      <c r="F126" s="10">
        <f t="shared" si="9"/>
        <v>-118957.51000000001</v>
      </c>
      <c r="G126" s="11">
        <f t="shared" si="10"/>
        <v>-0.23372043468431197</v>
      </c>
      <c r="H126" s="12">
        <f>SUM('1st Qtr'!H126+'2nd Qtr'!H126+'3rd Qtr'!H126+'4th Qtr'!H126)</f>
        <v>582763.826</v>
      </c>
      <c r="I126" s="12">
        <f>SUM('1st Qtr'!I126, '2nd Qtr'!I126, '3rd Qtr'!I126, '4th Qtr'!I126)</f>
        <v>-192747.826</v>
      </c>
      <c r="J126" s="13">
        <f t="shared" si="11"/>
        <v>-0.33074775303572118</v>
      </c>
    </row>
    <row r="127" spans="1:10" ht="15.6">
      <c r="A127" s="26" t="str">
        <v>St Francis School</v>
      </c>
      <c r="B127" s="27" t="str">
        <v>PR</v>
      </c>
      <c r="C127" s="27" t="str">
        <f>Sites[[#This Row],[SOL'#]]</f>
        <v>SOL-10034</v>
      </c>
      <c r="D127" s="9">
        <f>SUM('1st Qtr'!D127, '2nd Qtr'!D127, '3rd Qtr'!D127, '4th Qtr'!D127)</f>
        <v>154588.75</v>
      </c>
      <c r="E127" s="14">
        <f>SUM('1st Qtr'!E127, '2nd Qtr'!E127, '3rd Qtr'!E127, '4th Qtr'!E127)</f>
        <v>355356.402</v>
      </c>
      <c r="F127" s="14">
        <f t="shared" si="9"/>
        <v>-200767.652</v>
      </c>
      <c r="G127" s="15">
        <f t="shared" si="10"/>
        <v>-0.56497547495992484</v>
      </c>
      <c r="H127" s="16">
        <f>SUM('1st Qtr'!H127+'2nd Qtr'!H127+'3rd Qtr'!H127+'4th Qtr'!H127)</f>
        <v>283091.96799999999</v>
      </c>
      <c r="I127" s="16">
        <f>SUM('1st Qtr'!I127, '2nd Qtr'!I127, '3rd Qtr'!I127, '4th Qtr'!I127)</f>
        <v>-128503.21799999999</v>
      </c>
      <c r="J127" s="15">
        <f t="shared" si="11"/>
        <v>-0.45392746006838314</v>
      </c>
    </row>
    <row r="128" spans="1:10" ht="15.6">
      <c r="A128" s="24" t="str">
        <v>645 Summer Street - (Seaport Solar)</v>
      </c>
      <c r="B128" s="25" t="str">
        <v>MA</v>
      </c>
      <c r="C128" s="25" t="str">
        <f>Sites[[#This Row],[SOL'#]]</f>
        <v>SOL-10772</v>
      </c>
      <c r="D128" s="20">
        <f>SUM('1st Qtr'!D128, '2nd Qtr'!D128, '3rd Qtr'!D128, '4th Qtr'!D128)</f>
        <v>313111</v>
      </c>
      <c r="E128" s="10">
        <f>SUM('1st Qtr'!E128, '2nd Qtr'!E128, '3rd Qtr'!E128, '4th Qtr'!E128)</f>
        <v>31351.824499999999</v>
      </c>
      <c r="F128" s="10">
        <f t="shared" si="9"/>
        <v>281759.17550000001</v>
      </c>
      <c r="G128" s="11">
        <f t="shared" si="10"/>
        <v>8.9870104848284029</v>
      </c>
      <c r="H128" s="12">
        <f>SUM('1st Qtr'!H128+'2nd Qtr'!H128+'3rd Qtr'!H128+'4th Qtr'!H128)</f>
        <v>425961.32799999998</v>
      </c>
      <c r="I128" s="12">
        <f>SUM('1st Qtr'!I128, '2nd Qtr'!I128, '3rd Qtr'!I128, '4th Qtr'!I128)</f>
        <v>-112850.32799999999</v>
      </c>
      <c r="J128" s="13">
        <f t="shared" si="11"/>
        <v>-0.26493092349453845</v>
      </c>
    </row>
    <row r="129" spans="1:10" ht="15.6">
      <c r="A129" s="26" t="str">
        <v>480 Sprague St</v>
      </c>
      <c r="B129" s="27" t="str">
        <v>MA</v>
      </c>
      <c r="C129" s="27" t="str">
        <f>Sites[[#This Row],[SOL'#]]</f>
        <v>SOL-10773</v>
      </c>
      <c r="D129" s="9">
        <f>SUM('1st Qtr'!D129, '2nd Qtr'!D129, '3rd Qtr'!D129, '4th Qtr'!D129)</f>
        <v>887564</v>
      </c>
      <c r="E129" s="14">
        <f>SUM('1st Qtr'!E129, '2nd Qtr'!E129, '3rd Qtr'!E129, '4th Qtr'!E129)</f>
        <v>451739.29399999999</v>
      </c>
      <c r="F129" s="14">
        <f t="shared" si="9"/>
        <v>435824.70600000001</v>
      </c>
      <c r="G129" s="15">
        <f t="shared" si="10"/>
        <v>0.96477041468081814</v>
      </c>
      <c r="H129" s="16">
        <f>SUM('1st Qtr'!H129+'2nd Qtr'!H129+'3rd Qtr'!H129+'4th Qtr'!H129)</f>
        <v>931018.8870000001</v>
      </c>
      <c r="I129" s="16">
        <f>SUM('1st Qtr'!I129, '2nd Qtr'!I129, '3rd Qtr'!I129, '4th Qtr'!I129)</f>
        <v>-43454.887000000017</v>
      </c>
      <c r="J129" s="15">
        <f t="shared" si="11"/>
        <v>-4.6674549363894924E-2</v>
      </c>
    </row>
    <row r="130" spans="1:10" ht="15.6">
      <c r="A130" s="24" t="str">
        <v>647 Summer Street - (Summer Street Solar)</v>
      </c>
      <c r="B130" s="25" t="str">
        <v>MA</v>
      </c>
      <c r="C130" s="25" t="str">
        <f>Sites[[#This Row],[SOL'#]]</f>
        <v>SOL-10764</v>
      </c>
      <c r="D130" s="20">
        <f>SUM('1st Qtr'!D130, '2nd Qtr'!D130, '3rd Qtr'!D130, '4th Qtr'!D130)</f>
        <v>877524</v>
      </c>
      <c r="E130" s="10">
        <f>SUM('1st Qtr'!E130, '2nd Qtr'!E130, '3rd Qtr'!E130, '4th Qtr'!E130)</f>
        <v>1064450.851</v>
      </c>
      <c r="F130" s="10">
        <f t="shared" si="9"/>
        <v>-186926.85100000002</v>
      </c>
      <c r="G130" s="11">
        <f t="shared" si="10"/>
        <v>-0.1756087195800457</v>
      </c>
      <c r="H130" s="12">
        <f>SUM('1st Qtr'!H130+'2nd Qtr'!H130+'3rd Qtr'!H130+'4th Qtr'!H130)</f>
        <v>2027661.81</v>
      </c>
      <c r="I130" s="12">
        <f>SUM('1st Qtr'!I130, '2nd Qtr'!I130, '3rd Qtr'!I130, '4th Qtr'!I130)</f>
        <v>-1150137.81</v>
      </c>
      <c r="J130" s="13">
        <f t="shared" si="11"/>
        <v>-0.56722368805673762</v>
      </c>
    </row>
    <row r="131" spans="1:10" ht="15.6">
      <c r="A131" s="26" t="str">
        <v>Rochester Technical School (Wakefield Street)</v>
      </c>
      <c r="B131" s="27" t="str">
        <v>NH</v>
      </c>
      <c r="C131" s="27" t="str">
        <f>Sites[[#This Row],[SOL'#]]</f>
        <v>SOL-10768</v>
      </c>
      <c r="D131" s="9">
        <f>SUM('1st Qtr'!D131, '2nd Qtr'!D131, '3rd Qtr'!D131, '4th Qtr'!D131)</f>
        <v>106858.125306</v>
      </c>
      <c r="E131" s="14">
        <f>SUM('1st Qtr'!E131, '2nd Qtr'!E131, '3rd Qtr'!E131, '4th Qtr'!E131)</f>
        <v>119076.856</v>
      </c>
      <c r="F131" s="14">
        <f t="shared" si="9"/>
        <v>-12218.730693999998</v>
      </c>
      <c r="G131" s="15">
        <f t="shared" si="10"/>
        <v>-0.10261213727376206</v>
      </c>
      <c r="H131" s="16">
        <f>SUM('1st Qtr'!H131+'2nd Qtr'!H131+'3rd Qtr'!H131+'4th Qtr'!H131)</f>
        <v>113701.319</v>
      </c>
      <c r="I131" s="16">
        <f>SUM('1st Qtr'!I131, '2nd Qtr'!I131, '3rd Qtr'!I131, '4th Qtr'!I131)</f>
        <v>-6843.1936940000032</v>
      </c>
      <c r="J131" s="15">
        <f t="shared" si="11"/>
        <v>-6.0185701926641702E-2</v>
      </c>
    </row>
    <row r="132" spans="1:10" ht="15.6">
      <c r="A132" s="24" t="str">
        <v>McClelland ES</v>
      </c>
      <c r="B132" s="25" t="str">
        <v>NH</v>
      </c>
      <c r="C132" s="25" t="str">
        <f>Sites[[#This Row],[SOL'#]]</f>
        <v>SOL-10766</v>
      </c>
      <c r="D132" s="20">
        <f>SUM('1st Qtr'!D132, '2nd Qtr'!D132, '3rd Qtr'!D132, '4th Qtr'!D132)</f>
        <v>58382.220834</v>
      </c>
      <c r="E132" s="10">
        <f>SUM('1st Qtr'!E132, '2nd Qtr'!E132, '3rd Qtr'!E132, '4th Qtr'!E132)</f>
        <v>72184.915999999997</v>
      </c>
      <c r="F132" s="10">
        <f t="shared" si="9"/>
        <v>-13802.695165999998</v>
      </c>
      <c r="G132" s="11">
        <f t="shared" si="10"/>
        <v>-0.19121301139977773</v>
      </c>
      <c r="H132" s="12">
        <f>SUM('1st Qtr'!H132+'2nd Qtr'!H132+'3rd Qtr'!H132+'4th Qtr'!H132)</f>
        <v>57801.011000000006</v>
      </c>
      <c r="I132" s="12">
        <f>SUM('1st Qtr'!I132, '2nd Qtr'!I132, '3rd Qtr'!I132, '4th Qtr'!I132)</f>
        <v>581.20983400000023</v>
      </c>
      <c r="J132" s="13">
        <f t="shared" si="11"/>
        <v>1.0055357578434055E-2</v>
      </c>
    </row>
    <row r="133" spans="1:10" ht="15.6">
      <c r="A133" s="26" t="str">
        <v>Portland St</v>
      </c>
      <c r="B133" s="27" t="str">
        <v>NH</v>
      </c>
      <c r="C133" s="27" t="str">
        <f>Sites[[#This Row],[SOL'#]]</f>
        <v>SOL-10771</v>
      </c>
      <c r="D133" s="9">
        <f>SUM('1st Qtr'!D133, '2nd Qtr'!D133, '3rd Qtr'!D133, '4th Qtr'!D133)</f>
        <v>48738.813999999998</v>
      </c>
      <c r="E133" s="14">
        <f>SUM('1st Qtr'!E133, '2nd Qtr'!E133, '3rd Qtr'!E133, '4th Qtr'!E133)</f>
        <v>41734.287000000004</v>
      </c>
      <c r="F133" s="14">
        <f t="shared" si="9"/>
        <v>7004.5269999999946</v>
      </c>
      <c r="G133" s="15">
        <f t="shared" si="10"/>
        <v>0.16783626853383152</v>
      </c>
      <c r="H133" s="16">
        <f>SUM('1st Qtr'!H133+'2nd Qtr'!H133+'3rd Qtr'!H133+'4th Qtr'!H133)</f>
        <v>52036.461999999992</v>
      </c>
      <c r="I133" s="16">
        <f>SUM('1st Qtr'!I133, '2nd Qtr'!I133, '3rd Qtr'!I133, '4th Qtr'!I133)</f>
        <v>-4438.1740000000009</v>
      </c>
      <c r="J133" s="15">
        <f t="shared" si="11"/>
        <v>-8.5289695521574879E-2</v>
      </c>
    </row>
    <row r="134" spans="1:10" ht="15.6">
      <c r="A134" s="24" t="str">
        <v>Freshet Road -PHS</v>
      </c>
      <c r="B134" s="25" t="str">
        <v>NH</v>
      </c>
      <c r="C134" s="25" t="str">
        <f>Sites[[#This Row],[SOL'#]]</f>
        <v>SOL-10769</v>
      </c>
      <c r="D134" s="20">
        <f>SUM('1st Qtr'!D134, '2nd Qtr'!D134, '3rd Qtr'!D134, '4th Qtr'!D134)</f>
        <v>198230.625</v>
      </c>
      <c r="E134" s="10">
        <f>SUM('1st Qtr'!E134, '2nd Qtr'!E134, '3rd Qtr'!E134, '4th Qtr'!E134)</f>
        <v>5673.085</v>
      </c>
      <c r="F134" s="10">
        <f t="shared" si="9"/>
        <v>192557.54</v>
      </c>
      <c r="G134" s="11">
        <f t="shared" si="10"/>
        <v>33.94229770927106</v>
      </c>
      <c r="H134" s="12">
        <f>SUM('1st Qtr'!H134+'2nd Qtr'!H134+'3rd Qtr'!H134+'4th Qtr'!H134)</f>
        <v>197589.981</v>
      </c>
      <c r="I134" s="12">
        <f>SUM('1st Qtr'!I134, '2nd Qtr'!I134, '3rd Qtr'!I134, '4th Qtr'!I134)</f>
        <v>640.64400000000023</v>
      </c>
      <c r="J134" s="13">
        <f t="shared" si="11"/>
        <v>3.2422899013285506E-3</v>
      </c>
    </row>
    <row r="135" spans="1:10" ht="15.6">
      <c r="A135" s="26" t="str">
        <v>Freshet Road - PWTP</v>
      </c>
      <c r="B135" s="27" t="str">
        <v>NH</v>
      </c>
      <c r="C135" s="27" t="str">
        <f>Sites[[#This Row],[SOL'#]]</f>
        <v>SOL-10770</v>
      </c>
      <c r="D135" s="9">
        <f>SUM('1st Qtr'!D135, '2nd Qtr'!D135, '3rd Qtr'!D135, '4th Qtr'!D135)</f>
        <v>4993.5</v>
      </c>
      <c r="E135" s="14">
        <f>SUM('1st Qtr'!E135, '2nd Qtr'!E135, '3rd Qtr'!E135, '4th Qtr'!E135)</f>
        <v>7501.5919999999996</v>
      </c>
      <c r="F135" s="14">
        <f t="shared" si="9"/>
        <v>-2508.0919999999996</v>
      </c>
      <c r="G135" s="15">
        <f t="shared" si="10"/>
        <v>-0.33434129715399075</v>
      </c>
      <c r="H135" s="16">
        <f>SUM('1st Qtr'!H135+'2nd Qtr'!H135+'3rd Qtr'!H135+'4th Qtr'!H135)</f>
        <v>101968.65</v>
      </c>
      <c r="I135" s="16">
        <f>SUM('1st Qtr'!I135, '2nd Qtr'!I135, '3rd Qtr'!I135, '4th Qtr'!I135)</f>
        <v>-96975.15</v>
      </c>
      <c r="J135" s="15">
        <f t="shared" si="11"/>
        <v>-0.95102906628654982</v>
      </c>
    </row>
    <row r="136" spans="1:10" ht="15.6">
      <c r="A136" s="24" t="str">
        <v>Rochester Middle School (Brock Street)</v>
      </c>
      <c r="B136" s="25" t="str">
        <v>NH</v>
      </c>
      <c r="C136" s="25" t="str">
        <f>Sites[[#This Row],[SOL'#]]</f>
        <v>SOL-10765</v>
      </c>
      <c r="D136" s="20">
        <f>SUM('1st Qtr'!D136, '2nd Qtr'!D136, '3rd Qtr'!D136, '4th Qtr'!D136)</f>
        <v>164308.23569100001</v>
      </c>
      <c r="E136" s="10">
        <f>SUM('1st Qtr'!E136, '2nd Qtr'!E136, '3rd Qtr'!E136, '4th Qtr'!E136)</f>
        <v>211970.82900000003</v>
      </c>
      <c r="F136" s="10">
        <f t="shared" si="9"/>
        <v>-47662.593309000018</v>
      </c>
      <c r="G136" s="11">
        <f t="shared" si="10"/>
        <v>-0.22485449311046479</v>
      </c>
      <c r="H136" s="12">
        <f>SUM('1st Qtr'!H136+'2nd Qtr'!H136+'3rd Qtr'!H136+'4th Qtr'!H136)</f>
        <v>179531.44199999998</v>
      </c>
      <c r="I136" s="12">
        <f>SUM('1st Qtr'!I136, '2nd Qtr'!I136, '3rd Qtr'!I136, '4th Qtr'!I136)</f>
        <v>-15223.206308999997</v>
      </c>
      <c r="J136" s="13">
        <f t="shared" si="11"/>
        <v>-8.4794095894355923E-2</v>
      </c>
    </row>
    <row r="137" spans="1:10" ht="15.6">
      <c r="A137" s="26" t="str">
        <v>Spaulding High School (Wakefield Street)</v>
      </c>
      <c r="B137" s="27" t="str">
        <v>NH</v>
      </c>
      <c r="C137" s="27" t="str">
        <f>Sites[[#This Row],[SOL'#]]</f>
        <v>SOL-10767</v>
      </c>
      <c r="D137" s="9">
        <f>SUM('1st Qtr'!D137, '2nd Qtr'!D137, '3rd Qtr'!D137, '4th Qtr'!D137)</f>
        <v>79596.830987039997</v>
      </c>
      <c r="E137" s="14">
        <f>SUM('1st Qtr'!E137, '2nd Qtr'!E137, '3rd Qtr'!E137, '4th Qtr'!E137)</f>
        <v>85718.474999999991</v>
      </c>
      <c r="F137" s="14">
        <f t="shared" si="9"/>
        <v>-6121.6440129599941</v>
      </c>
      <c r="G137" s="15">
        <f t="shared" si="10"/>
        <v>-7.141568970936539E-2</v>
      </c>
      <c r="H137" s="16">
        <f>SUM('1st Qtr'!H137+'2nd Qtr'!H137+'3rd Qtr'!H137+'4th Qtr'!H137)</f>
        <v>81358.796000000002</v>
      </c>
      <c r="I137" s="16">
        <f>SUM('1st Qtr'!I137, '2nd Qtr'!I137, '3rd Qtr'!I137, '4th Qtr'!I137)</f>
        <v>-1761.9650129599995</v>
      </c>
      <c r="J137" s="15">
        <f t="shared" si="11"/>
        <v>-2.1656724282891299E-2</v>
      </c>
    </row>
    <row r="138" spans="1:10" ht="15.6">
      <c r="A138" s="24" t="str">
        <v>Ridgeway #2</v>
      </c>
      <c r="B138" s="25" t="str">
        <v>NY</v>
      </c>
      <c r="C138" s="25" t="str">
        <f>Sites[[#This Row],[SOL'#]]</f>
        <v>SOL-11027</v>
      </c>
      <c r="D138" s="20">
        <f>SUM('1st Qtr'!D138, '2nd Qtr'!D138, '3rd Qtr'!D138, '4th Qtr'!D138)</f>
        <v>2957364</v>
      </c>
      <c r="E138" s="10">
        <f>SUM('1st Qtr'!E138, '2nd Qtr'!E138, '3rd Qtr'!E138, '4th Qtr'!E138)</f>
        <v>727161</v>
      </c>
      <c r="F138" s="10">
        <f t="shared" si="9"/>
        <v>2230203</v>
      </c>
      <c r="G138" s="11">
        <f t="shared" si="10"/>
        <v>3.06700029292</v>
      </c>
      <c r="H138" s="12">
        <f>SUM('1st Qtr'!H138+'2nd Qtr'!H138+'3rd Qtr'!H138+'4th Qtr'!H138)</f>
        <v>3456601.64</v>
      </c>
      <c r="I138" s="12">
        <f>SUM('1st Qtr'!I138, '2nd Qtr'!I138, '3rd Qtr'!I138, '4th Qtr'!I138)</f>
        <v>-499237.64</v>
      </c>
      <c r="J138" s="13">
        <f t="shared" si="11"/>
        <v>-0.14443019242448776</v>
      </c>
    </row>
    <row r="139" spans="1:10" ht="15.6">
      <c r="A139" s="26" t="str">
        <v>Spencer</v>
      </c>
      <c r="B139" s="27" t="str">
        <v>NY</v>
      </c>
      <c r="C139" s="27" t="str">
        <f>Sites[[#This Row],[SOL'#]]</f>
        <v>SOL-11017</v>
      </c>
      <c r="D139" s="9">
        <f>SUM('1st Qtr'!D139, '2nd Qtr'!D139, '3rd Qtr'!D139, '4th Qtr'!D139)</f>
        <v>5919456</v>
      </c>
      <c r="E139" s="14">
        <f>SUM('1st Qtr'!E139, '2nd Qtr'!E139, '3rd Qtr'!E139, '4th Qtr'!E139)</f>
        <v>1361782</v>
      </c>
      <c r="F139" s="14">
        <f t="shared" si="9"/>
        <v>4557674</v>
      </c>
      <c r="G139" s="15">
        <f t="shared" si="10"/>
        <v>3.3468455303418607</v>
      </c>
      <c r="H139" s="16">
        <f>SUM('1st Qtr'!H139+'2nd Qtr'!H139+'3rd Qtr'!H139+'4th Qtr'!H139)</f>
        <v>6523765.5999999996</v>
      </c>
      <c r="I139" s="16">
        <f>SUM('1st Qtr'!I139, '2nd Qtr'!I139, '3rd Qtr'!I139, '4th Qtr'!I139)</f>
        <v>-604309.6</v>
      </c>
      <c r="J139" s="15">
        <f t="shared" si="11"/>
        <v>-9.2632022217352505E-2</v>
      </c>
    </row>
    <row r="140" spans="1:10" ht="15.6">
      <c r="A140" s="24" t="str">
        <v>Reisender</v>
      </c>
      <c r="B140" s="25" t="str">
        <v>NY</v>
      </c>
      <c r="C140" s="25" t="str">
        <f>'1st Qtr'!C140</f>
        <v>SOL-10886</v>
      </c>
      <c r="D140" s="60">
        <f>SUM('1st Qtr'!D140, '2nd Qtr'!D140, '3rd Qtr'!D140, '4th Qtr'!D140)</f>
        <v>1904260</v>
      </c>
      <c r="E140" s="10">
        <f>SUM('1st Qtr'!E140, '2nd Qtr'!E140, '3rd Qtr'!E140, '4th Qtr'!E140)</f>
        <v>2064497.6609999998</v>
      </c>
      <c r="F140" s="10">
        <f t="shared" si="9"/>
        <v>-160237.66099999985</v>
      </c>
      <c r="G140" s="11">
        <f t="shared" si="10"/>
        <v>-7.7615811355477168E-2</v>
      </c>
      <c r="H140" s="12">
        <f>SUM('1st Qtr'!H140+'2nd Qtr'!H140+'3rd Qtr'!H140+'4th Qtr'!H140)</f>
        <v>2190559.9</v>
      </c>
      <c r="I140" s="12">
        <f>SUM('1st Qtr'!I140, '2nd Qtr'!I140, '3rd Qtr'!I140, '4th Qtr'!I140)</f>
        <v>-286299.89999999997</v>
      </c>
      <c r="J140" s="13">
        <f t="shared" si="11"/>
        <v>-0.13069713364149502</v>
      </c>
    </row>
    <row r="141" spans="1:10" ht="15.6">
      <c r="A141" s="26" t="str">
        <v>Finney</v>
      </c>
      <c r="B141" s="27" t="str">
        <v>NY</v>
      </c>
      <c r="C141" s="27" t="str">
        <f>Sites[[#This Row],[SOL'#]]</f>
        <v>SOL-10999</v>
      </c>
      <c r="D141" s="9">
        <f>SUM('1st Qtr'!D141, '2nd Qtr'!D141, '3rd Qtr'!D141, '4th Qtr'!D141)</f>
        <v>5540820</v>
      </c>
      <c r="E141" s="14">
        <f>SUM('1st Qtr'!E141, '2nd Qtr'!E141, '3rd Qtr'!E141, '4th Qtr'!E141)</f>
        <v>994390</v>
      </c>
      <c r="F141" s="14">
        <f t="shared" si="9"/>
        <v>4546430</v>
      </c>
      <c r="G141" s="15">
        <f t="shared" si="10"/>
        <v>4.5720793652389906</v>
      </c>
      <c r="H141" s="16">
        <f>SUM('1st Qtr'!H141+'2nd Qtr'!H141+'3rd Qtr'!H141+'4th Qtr'!H141)</f>
        <v>6687778</v>
      </c>
      <c r="I141" s="16">
        <f>SUM('1st Qtr'!I141, '2nd Qtr'!I141, '3rd Qtr'!I141, '4th Qtr'!I141)</f>
        <v>-1146958</v>
      </c>
      <c r="J141" s="15">
        <f t="shared" si="11"/>
        <v>-0.1715006090214119</v>
      </c>
    </row>
    <row r="142" spans="1:10" ht="15.6">
      <c r="A142" s="24" t="str">
        <v>Davis Solar</v>
      </c>
      <c r="B142" s="25" t="str">
        <v>NY</v>
      </c>
      <c r="C142" s="25" t="str">
        <f>Sites[[#This Row],[SOL'#]]</f>
        <v>SOL-10958</v>
      </c>
      <c r="D142" s="60">
        <f>SUM('1st Qtr'!D142, '2nd Qtr'!D142, '3rd Qtr'!D142, '4th Qtr'!D142)</f>
        <v>1895183</v>
      </c>
      <c r="E142" s="10">
        <f>SUM('1st Qtr'!E142, '2nd Qtr'!E142, '3rd Qtr'!E142, '4th Qtr'!E142)</f>
        <v>2323209.2000000002</v>
      </c>
      <c r="F142" s="10">
        <f t="shared" si="9"/>
        <v>-428026.20000000019</v>
      </c>
      <c r="G142" s="11">
        <f t="shared" si="10"/>
        <v>-0.18423919808857514</v>
      </c>
      <c r="H142" s="12">
        <f>SUM('1st Qtr'!H142+'2nd Qtr'!H142+'3rd Qtr'!H142+'4th Qtr'!H142)</f>
        <v>2585899</v>
      </c>
      <c r="I142" s="12">
        <f>SUM('1st Qtr'!I142, '2nd Qtr'!I142, '3rd Qtr'!I142, '4th Qtr'!I142)</f>
        <v>-690716</v>
      </c>
      <c r="J142" s="13">
        <f t="shared" si="11"/>
        <v>-0.26710865350889573</v>
      </c>
    </row>
    <row r="143" spans="1:10" ht="15.6">
      <c r="A143" s="26" t="str">
        <v>Genesee</v>
      </c>
      <c r="B143" s="27" t="str">
        <v>NY</v>
      </c>
      <c r="C143" s="27" t="str">
        <f>Sites[[#This Row],[SOL'#]]</f>
        <v>SOL-10951</v>
      </c>
      <c r="D143" s="9">
        <f>SUM('1st Qtr'!D143, '2nd Qtr'!D143, '3rd Qtr'!D143, '4th Qtr'!D143)</f>
        <v>2890390</v>
      </c>
      <c r="E143" s="14">
        <f>SUM('1st Qtr'!E143, '2nd Qtr'!E143, '3rd Qtr'!E143, '4th Qtr'!E143)</f>
        <v>1000080.71</v>
      </c>
      <c r="F143" s="14">
        <f t="shared" si="9"/>
        <v>1890309.29</v>
      </c>
      <c r="G143" s="15">
        <f t="shared" si="10"/>
        <v>1.8901567354498821</v>
      </c>
      <c r="H143" s="16">
        <f>SUM('1st Qtr'!H143+'2nd Qtr'!H143+'3rd Qtr'!H143+'4th Qtr'!H143)</f>
        <v>4905382.2600000007</v>
      </c>
      <c r="I143" s="16">
        <f>SUM('1st Qtr'!I143, '2nd Qtr'!I143, '3rd Qtr'!I143, '4th Qtr'!I143)</f>
        <v>-2014992.2599999998</v>
      </c>
      <c r="J143" s="15">
        <f t="shared" si="11"/>
        <v>-0.41077171017452968</v>
      </c>
    </row>
    <row r="144" spans="1:10" ht="15.6">
      <c r="A144" s="24" t="str">
        <v>Landau I</v>
      </c>
      <c r="B144" s="25" t="str">
        <v>NY</v>
      </c>
      <c r="C144" s="25" t="str">
        <f>Sites[[#This Row],[SOL'#]]</f>
        <v>SOL-10891</v>
      </c>
      <c r="D144" s="60">
        <f>SUM('1st Qtr'!D144, '2nd Qtr'!D144, '3rd Qtr'!D144, '4th Qtr'!D144)</f>
        <v>2132240</v>
      </c>
      <c r="E144" s="10">
        <f>SUM('1st Qtr'!E144, '2nd Qtr'!E144, '3rd Qtr'!E144, '4th Qtr'!E144)</f>
        <v>0</v>
      </c>
      <c r="F144" s="10">
        <f t="shared" si="9"/>
        <v>2132240</v>
      </c>
      <c r="G144" s="11" t="str">
        <f t="shared" si="10"/>
        <v/>
      </c>
      <c r="H144" s="12">
        <f>SUM('1st Qtr'!H144+'2nd Qtr'!H144+'3rd Qtr'!H144+'4th Qtr'!H144)</f>
        <v>2428676.9899999998</v>
      </c>
      <c r="I144" s="12">
        <f>SUM('1st Qtr'!I144, '2nd Qtr'!I144, '3rd Qtr'!I144, '4th Qtr'!I144)</f>
        <v>-296436.99000000005</v>
      </c>
      <c r="J144" s="13">
        <f t="shared" si="11"/>
        <v>-0.12205698461366823</v>
      </c>
    </row>
    <row r="145" spans="1:10" ht="15.6">
      <c r="A145" s="26" t="str">
        <v>Landau II</v>
      </c>
      <c r="B145" s="27" t="str">
        <v>NY</v>
      </c>
      <c r="C145" s="27" t="str">
        <f>Sites[[#This Row],[SOL'#]]</f>
        <v>SOL-10895</v>
      </c>
      <c r="D145" s="9">
        <f>SUM('1st Qtr'!D145, '2nd Qtr'!D145, '3rd Qtr'!D145, '4th Qtr'!D145)</f>
        <v>2236950</v>
      </c>
      <c r="E145" s="14">
        <f>SUM('1st Qtr'!E145, '2nd Qtr'!E145, '3rd Qtr'!E145, '4th Qtr'!E145)</f>
        <v>0</v>
      </c>
      <c r="F145" s="14">
        <f t="shared" si="9"/>
        <v>2236950</v>
      </c>
      <c r="G145" s="15" t="str">
        <f t="shared" si="10"/>
        <v/>
      </c>
      <c r="H145" s="16">
        <f>SUM('1st Qtr'!H145+'2nd Qtr'!H145+'3rd Qtr'!H145+'4th Qtr'!H145)</f>
        <v>3354739.7089999998</v>
      </c>
      <c r="I145" s="16">
        <f>SUM('1st Qtr'!I145, '2nd Qtr'!I145, '3rd Qtr'!I145, '4th Qtr'!I145)</f>
        <v>-1514349.709</v>
      </c>
      <c r="J145" s="15">
        <f t="shared" si="11"/>
        <v>-0.4514060226304133</v>
      </c>
    </row>
    <row r="146" spans="1:10" ht="15.6">
      <c r="A146" s="24" t="str">
        <v>New Beginnings</v>
      </c>
      <c r="B146" s="25" t="str">
        <v>NY</v>
      </c>
      <c r="C146" s="25" t="str">
        <f>Sites[[#This Row],[SOL'#]]</f>
        <v>SOL-10890</v>
      </c>
      <c r="D146" s="60">
        <f>SUM('1st Qtr'!D146, '2nd Qtr'!D146, '3rd Qtr'!D146, '4th Qtr'!D146)</f>
        <v>1726050</v>
      </c>
      <c r="E146" s="10">
        <f>SUM('1st Qtr'!E146, '2nd Qtr'!E146, '3rd Qtr'!E146, '4th Qtr'!E146)</f>
        <v>2329249.66</v>
      </c>
      <c r="F146" s="10">
        <f t="shared" ref="F146:F158" si="12">IF(AND(ISNUMBER(D146),ISNUMBER(E146)), D146-E146, "")</f>
        <v>-603199.66000000015</v>
      </c>
      <c r="G146" s="11">
        <f t="shared" ref="G146:G158" si="13">IFERROR(F146/E146, "")</f>
        <v>-0.25896737063385472</v>
      </c>
      <c r="H146" s="12">
        <f>SUM('1st Qtr'!H146+'2nd Qtr'!H146+'3rd Qtr'!H146+'4th Qtr'!H146)</f>
        <v>2358384.12</v>
      </c>
      <c r="I146" s="12">
        <f>SUM('1st Qtr'!I146, '2nd Qtr'!I146, '3rd Qtr'!I146, '4th Qtr'!I146)</f>
        <v>-632334.12</v>
      </c>
      <c r="J146" s="13">
        <f t="shared" ref="J146:J158" si="14">IFERROR(I146/H146, "")</f>
        <v>-0.26812176805193211</v>
      </c>
    </row>
    <row r="147" spans="1:10" ht="15.6">
      <c r="A147" s="26" t="str">
        <v>Bullitt Farm Solar, LLC</v>
      </c>
      <c r="B147" s="27" t="str">
        <v>NY</v>
      </c>
      <c r="C147" s="27" t="str">
        <f>Sites[[#This Row],[SOL'#]]</f>
        <v>SOL-10998</v>
      </c>
      <c r="D147" s="9">
        <f>SUM('1st Qtr'!D147, '2nd Qtr'!D147, '3rd Qtr'!D147, '4th Qtr'!D147)</f>
        <v>5145315</v>
      </c>
      <c r="E147" s="14">
        <f>SUM('1st Qtr'!E147, '2nd Qtr'!E147, '3rd Qtr'!E147, '4th Qtr'!E147)</f>
        <v>5594138.3109999998</v>
      </c>
      <c r="F147" s="14">
        <f t="shared" si="12"/>
        <v>-448823.31099999975</v>
      </c>
      <c r="G147" s="15">
        <f t="shared" si="13"/>
        <v>-8.0231000030417332E-2</v>
      </c>
      <c r="H147" s="16">
        <f>SUM('1st Qtr'!H147+'2nd Qtr'!H147+'3rd Qtr'!H147+'4th Qtr'!H147)</f>
        <v>6324978.7400000002</v>
      </c>
      <c r="I147" s="16">
        <f>SUM('1st Qtr'!I147, '2nd Qtr'!I147, '3rd Qtr'!I147, '4th Qtr'!I147)</f>
        <v>-1179663.7400000002</v>
      </c>
      <c r="J147" s="15">
        <f t="shared" si="14"/>
        <v>-0.18650872809099753</v>
      </c>
    </row>
    <row r="148" spans="1:10" ht="15.6">
      <c r="A148" s="24" t="str">
        <v>Brodhead Solar, LLC</v>
      </c>
      <c r="B148" s="25" t="str">
        <v>NY</v>
      </c>
      <c r="C148" s="25" t="str">
        <f>Sites[[#This Row],[SOL'#]]</f>
        <v>SOL-10899</v>
      </c>
      <c r="D148" s="60">
        <f>SUM('1st Qtr'!D148, '2nd Qtr'!D148, '3rd Qtr'!D148, '4th Qtr'!D148)</f>
        <v>2414398</v>
      </c>
      <c r="E148" s="10">
        <f>SUM('1st Qtr'!E148, '2nd Qtr'!E148, '3rd Qtr'!E148, '4th Qtr'!E148)</f>
        <v>2609040.8630000004</v>
      </c>
      <c r="F148" s="10">
        <f t="shared" si="12"/>
        <v>-194642.86300000036</v>
      </c>
      <c r="G148" s="11">
        <f t="shared" si="13"/>
        <v>-7.4603225177619734E-2</v>
      </c>
      <c r="H148" s="12">
        <f>SUM('1st Qtr'!H148+'2nd Qtr'!H148+'3rd Qtr'!H148+'4th Qtr'!H148)</f>
        <v>2913260.0600000005</v>
      </c>
      <c r="I148" s="12">
        <f>SUM('1st Qtr'!I148, '2nd Qtr'!I148, '3rd Qtr'!I148, '4th Qtr'!I148)</f>
        <v>-498862.06</v>
      </c>
      <c r="J148" s="13">
        <f t="shared" si="14"/>
        <v>-0.17123842352748964</v>
      </c>
    </row>
    <row r="149" spans="1:10" ht="15.6">
      <c r="A149" s="26" t="str">
        <v>Svenski</v>
      </c>
      <c r="B149" s="27" t="str">
        <v>NY</v>
      </c>
      <c r="C149" s="27" t="str">
        <f>Sites[[#This Row],[SOL'#]]</f>
        <v>SOL-10894</v>
      </c>
      <c r="D149" s="9">
        <f>SUM('1st Qtr'!D149, '2nd Qtr'!D149, '3rd Qtr'!D149, '4th Qtr'!D149)</f>
        <v>1991331</v>
      </c>
      <c r="E149" s="14">
        <f>SUM('1st Qtr'!E149, '2nd Qtr'!E149, '3rd Qtr'!E149, '4th Qtr'!E149)</f>
        <v>0</v>
      </c>
      <c r="F149" s="14">
        <f t="shared" si="12"/>
        <v>1991331</v>
      </c>
      <c r="G149" s="15" t="str">
        <f t="shared" si="13"/>
        <v/>
      </c>
      <c r="H149" s="16">
        <f>SUM('1st Qtr'!H149+'2nd Qtr'!H149+'3rd Qtr'!H149+'4th Qtr'!H149)</f>
        <v>2460786.8000000003</v>
      </c>
      <c r="I149" s="16">
        <f>SUM('1st Qtr'!I149, '2nd Qtr'!I149, '3rd Qtr'!I149, '4th Qtr'!I149)</f>
        <v>-469455.8</v>
      </c>
      <c r="J149" s="15">
        <f t="shared" si="14"/>
        <v>-0.1907746741814447</v>
      </c>
    </row>
    <row r="150" spans="1:10" ht="15.6">
      <c r="A150" s="24" t="str">
        <v>Bantam</v>
      </c>
      <c r="B150" s="25" t="str">
        <v>NY</v>
      </c>
      <c r="C150" s="25" t="str">
        <f>Sites[[#This Row],[SOL'#]]</f>
        <v>SOL-10986</v>
      </c>
      <c r="D150" s="60">
        <f>SUM('1st Qtr'!D150, '2nd Qtr'!D150, '3rd Qtr'!D150, '4th Qtr'!D150)</f>
        <v>1249010</v>
      </c>
      <c r="E150" s="10">
        <f>SUM('1st Qtr'!E150, '2nd Qtr'!E150, '3rd Qtr'!E150, '4th Qtr'!E150)</f>
        <v>418980</v>
      </c>
      <c r="F150" s="10">
        <f t="shared" si="12"/>
        <v>830030</v>
      </c>
      <c r="G150" s="11">
        <f t="shared" si="13"/>
        <v>1.9810730822473626</v>
      </c>
      <c r="H150" s="12">
        <f>SUM('1st Qtr'!H150+'2nd Qtr'!H150+'3rd Qtr'!H150+'4th Qtr'!H150)</f>
        <v>6072618.790000001</v>
      </c>
      <c r="I150" s="12">
        <f>SUM('1st Qtr'!I150, '2nd Qtr'!I150, '3rd Qtr'!I150, '4th Qtr'!I150)</f>
        <v>-4930198.790000001</v>
      </c>
      <c r="J150" s="13">
        <f t="shared" si="14"/>
        <v>-0.81187358543215915</v>
      </c>
    </row>
    <row r="151" spans="1:10" ht="15.6">
      <c r="A151" s="26" t="str">
        <v>Bogart</v>
      </c>
      <c r="B151" s="27" t="str">
        <v>NY</v>
      </c>
      <c r="C151" s="27" t="str">
        <f>Sites[[#This Row],[SOL'#]]</f>
        <v>SOL-10887</v>
      </c>
      <c r="D151" s="9">
        <f>SUM('1st Qtr'!D151, '2nd Qtr'!D151, '3rd Qtr'!D151, '4th Qtr'!D151)</f>
        <v>1675730</v>
      </c>
      <c r="E151" s="14">
        <f>SUM('1st Qtr'!E151, '2nd Qtr'!E151, '3rd Qtr'!E151, '4th Qtr'!E151)</f>
        <v>2208329.1980000003</v>
      </c>
      <c r="F151" s="14">
        <f t="shared" si="12"/>
        <v>-532599.19800000032</v>
      </c>
      <c r="G151" s="15">
        <f t="shared" si="13"/>
        <v>-0.2411774469505521</v>
      </c>
      <c r="H151" s="16">
        <f>SUM('1st Qtr'!H151+'2nd Qtr'!H151+'3rd Qtr'!H151+'4th Qtr'!H151)</f>
        <v>2294822.23</v>
      </c>
      <c r="I151" s="16">
        <f>SUM('1st Qtr'!I151, '2nd Qtr'!I151, '3rd Qtr'!I151, '4th Qtr'!I151)</f>
        <v>-619092.23</v>
      </c>
      <c r="J151" s="15">
        <f t="shared" si="14"/>
        <v>-0.26977785987370356</v>
      </c>
    </row>
    <row r="152" spans="1:10" ht="15.6">
      <c r="A152" s="24" t="str">
        <v>Dubois</v>
      </c>
      <c r="B152" s="25" t="str">
        <v>NY</v>
      </c>
      <c r="C152" s="25" t="str">
        <f>Sites[[#This Row],[SOL'#]]</f>
        <v>SOL-10892</v>
      </c>
      <c r="D152" s="60">
        <f>SUM('1st Qtr'!D152, '2nd Qtr'!D152, '3rd Qtr'!D152, '4th Qtr'!D152)</f>
        <v>1622601.7</v>
      </c>
      <c r="E152" s="10">
        <f>SUM('1st Qtr'!E152, '2nd Qtr'!E152, '3rd Qtr'!E152, '4th Qtr'!E152)</f>
        <v>386385.12</v>
      </c>
      <c r="F152" s="10">
        <f t="shared" si="12"/>
        <v>1236216.58</v>
      </c>
      <c r="G152" s="11">
        <f t="shared" si="13"/>
        <v>3.1994414795269552</v>
      </c>
      <c r="H152" s="12">
        <f>SUM('1st Qtr'!H152+'2nd Qtr'!H152+'3rd Qtr'!H152+'4th Qtr'!H152)</f>
        <v>0</v>
      </c>
      <c r="I152" s="12">
        <f>SUM('1st Qtr'!I152, '2nd Qtr'!I152, '3rd Qtr'!I152, '4th Qtr'!I152)</f>
        <v>0</v>
      </c>
      <c r="J152" s="13" t="str">
        <f t="shared" si="14"/>
        <v/>
      </c>
    </row>
    <row r="153" spans="1:10" ht="15.6">
      <c r="A153" s="26" t="str">
        <v>Salt Point</v>
      </c>
      <c r="B153" s="27" t="str">
        <v>NY</v>
      </c>
      <c r="C153" s="27" t="str">
        <f>Sites[[#This Row],[SOL'#]]</f>
        <v>SOL-10888</v>
      </c>
      <c r="D153" s="9">
        <f>SUM('1st Qtr'!D153, '2nd Qtr'!D153, '3rd Qtr'!D153, '4th Qtr'!D153)</f>
        <v>2176250</v>
      </c>
      <c r="E153" s="14">
        <f>SUM('1st Qtr'!E153, '2nd Qtr'!E153, '3rd Qtr'!E153, '4th Qtr'!E153)</f>
        <v>416220</v>
      </c>
      <c r="F153" s="14">
        <f t="shared" si="12"/>
        <v>1760030</v>
      </c>
      <c r="G153" s="15">
        <f t="shared" si="13"/>
        <v>4.2286050646292823</v>
      </c>
      <c r="H153" s="16">
        <f>SUM('1st Qtr'!H153+'2nd Qtr'!H153+'3rd Qtr'!H153+'4th Qtr'!H153)</f>
        <v>2595923.1799999997</v>
      </c>
      <c r="I153" s="16">
        <f>SUM('1st Qtr'!I153, '2nd Qtr'!I153, '3rd Qtr'!I153, '4th Qtr'!I153)</f>
        <v>-419673.17999999993</v>
      </c>
      <c r="J153" s="15">
        <f t="shared" si="14"/>
        <v>-0.16166625547062605</v>
      </c>
    </row>
    <row r="154" spans="1:10" ht="15.6">
      <c r="A154" s="24" t="str">
        <v>Wheatland 2A</v>
      </c>
      <c r="B154" s="25" t="str">
        <v>NY</v>
      </c>
      <c r="C154" s="25" t="str">
        <f>Sites[[#This Row],[SOL'#]]</f>
        <v>SOL-10971</v>
      </c>
      <c r="D154" s="60">
        <f>SUM('1st Qtr'!D154, '2nd Qtr'!D154, '3rd Qtr'!D154, '4th Qtr'!D154)</f>
        <v>4699020</v>
      </c>
      <c r="E154" s="10">
        <f>SUM('1st Qtr'!E154, '2nd Qtr'!E154, '3rd Qtr'!E154, '4th Qtr'!E154)</f>
        <v>1080840</v>
      </c>
      <c r="F154" s="10">
        <f t="shared" si="12"/>
        <v>3618180</v>
      </c>
      <c r="G154" s="11">
        <f t="shared" si="13"/>
        <v>3.3475630065504607</v>
      </c>
      <c r="H154" s="12">
        <f>SUM('1st Qtr'!H154+'2nd Qtr'!H154+'3rd Qtr'!H154+'4th Qtr'!H154)</f>
        <v>5574743.8100000005</v>
      </c>
      <c r="I154" s="12">
        <f>SUM('1st Qtr'!I154, '2nd Qtr'!I154, '3rd Qtr'!I154, '4th Qtr'!I154)</f>
        <v>-875723.81</v>
      </c>
      <c r="J154" s="13">
        <f t="shared" si="14"/>
        <v>-0.1570877227450565</v>
      </c>
    </row>
    <row r="155" spans="1:10" ht="15.6">
      <c r="A155" s="26" t="str">
        <v>Wheatland 2B</v>
      </c>
      <c r="B155" s="27" t="str">
        <v>NY</v>
      </c>
      <c r="C155" s="27" t="str">
        <f>Sites[[#This Row],[SOL'#]]</f>
        <v>SOL-10961</v>
      </c>
      <c r="D155" s="9">
        <f>SUM('1st Qtr'!D155, '2nd Qtr'!D155, '3rd Qtr'!D155, '4th Qtr'!D155)</f>
        <v>5008220</v>
      </c>
      <c r="E155" s="14">
        <f>SUM('1st Qtr'!E155, '2nd Qtr'!E155, '3rd Qtr'!E155, '4th Qtr'!E155)</f>
        <v>1131560</v>
      </c>
      <c r="F155" s="14">
        <f t="shared" si="12"/>
        <v>3876660</v>
      </c>
      <c r="G155" s="15">
        <f t="shared" si="13"/>
        <v>3.4259429460214217</v>
      </c>
      <c r="H155" s="16">
        <f>SUM('1st Qtr'!H155+'2nd Qtr'!H155+'3rd Qtr'!H155+'4th Qtr'!H155)</f>
        <v>5529396.21</v>
      </c>
      <c r="I155" s="16">
        <f>SUM('1st Qtr'!I155, '2nd Qtr'!I155, '3rd Qtr'!I155, '4th Qtr'!I155)</f>
        <v>-521176.20999999996</v>
      </c>
      <c r="J155" s="15">
        <f t="shared" si="14"/>
        <v>-9.4255537170124401E-2</v>
      </c>
    </row>
    <row r="156" spans="1:10" ht="15.6">
      <c r="A156" s="24" t="str">
        <v>Brickchurch</v>
      </c>
      <c r="B156" s="25" t="str">
        <v>NY</v>
      </c>
      <c r="C156" s="25" t="str">
        <f>Sites[[#This Row],[SOL'#]]</f>
        <v>SOL-10889</v>
      </c>
      <c r="D156" s="60">
        <f>SUM('1st Qtr'!D156, '2nd Qtr'!D156, '3rd Qtr'!D156, '4th Qtr'!D156)</f>
        <v>1533940</v>
      </c>
      <c r="E156" s="10">
        <f>SUM('1st Qtr'!E156, '2nd Qtr'!E156, '3rd Qtr'!E156, '4th Qtr'!E156)</f>
        <v>2120611.9299999997</v>
      </c>
      <c r="F156" s="10">
        <f t="shared" si="12"/>
        <v>-586671.9299999997</v>
      </c>
      <c r="G156" s="11">
        <f t="shared" si="13"/>
        <v>-0.27665218784277978</v>
      </c>
      <c r="H156" s="12">
        <f>SUM('1st Qtr'!H156+'2nd Qtr'!H156+'3rd Qtr'!H156+'4th Qtr'!H156)</f>
        <v>2429357.2999999998</v>
      </c>
      <c r="I156" s="12">
        <f>SUM('1st Qtr'!I156, '2nd Qtr'!I156, '3rd Qtr'!I156, '4th Qtr'!I156)</f>
        <v>-895417.3</v>
      </c>
      <c r="J156" s="13">
        <f t="shared" si="14"/>
        <v>-0.36858197021903699</v>
      </c>
    </row>
    <row r="157" spans="1:10" ht="15.6">
      <c r="A157" s="26" t="str">
        <v>McCarthy Solar</v>
      </c>
      <c r="B157" s="27" t="str">
        <v>NY</v>
      </c>
      <c r="C157" s="27" t="str">
        <f>Sites[[#This Row],[SOL'#]]</f>
        <v>SOL-10992</v>
      </c>
      <c r="D157" s="9">
        <f>SUM('1st Qtr'!D157, '2nd Qtr'!D157, '3rd Qtr'!D157, '4th Qtr'!D157)</f>
        <v>1870070</v>
      </c>
      <c r="E157" s="14">
        <f>SUM('1st Qtr'!E157, '2nd Qtr'!E157, '3rd Qtr'!E157, '4th Qtr'!E157)</f>
        <v>0</v>
      </c>
      <c r="F157" s="14">
        <f t="shared" si="12"/>
        <v>1870070</v>
      </c>
      <c r="G157" s="15" t="str">
        <f t="shared" si="13"/>
        <v/>
      </c>
      <c r="H157" s="16">
        <f>SUM('1st Qtr'!H157+'2nd Qtr'!H157+'3rd Qtr'!H157+'4th Qtr'!H157)</f>
        <v>2406171.94</v>
      </c>
      <c r="I157" s="16">
        <f>SUM('1st Qtr'!I157, '2nd Qtr'!I157, '3rd Qtr'!I157, '4th Qtr'!I157)</f>
        <v>-536101.93999999994</v>
      </c>
      <c r="J157" s="15">
        <f t="shared" si="14"/>
        <v>-0.22280283926841901</v>
      </c>
    </row>
    <row r="158" spans="1:10" ht="15.6">
      <c r="A158" s="24" t="str">
        <v>Costanza</v>
      </c>
      <c r="B158" s="25" t="str">
        <v>NY</v>
      </c>
      <c r="C158" s="25" t="str">
        <f>Sites[[#This Row],[SOL'#]]</f>
        <v>SOL-10907</v>
      </c>
      <c r="D158" s="60">
        <f>SUM('1st Qtr'!D158, '2nd Qtr'!D158, '3rd Qtr'!D158, '4th Qtr'!D158)</f>
        <v>2026980</v>
      </c>
      <c r="E158" s="10">
        <f>SUM('1st Qtr'!E158, '2nd Qtr'!E158, '3rd Qtr'!E158, '4th Qtr'!E158)</f>
        <v>404631.91</v>
      </c>
      <c r="F158" s="10">
        <f t="shared" si="12"/>
        <v>1622348.09</v>
      </c>
      <c r="G158" s="11">
        <f t="shared" si="13"/>
        <v>4.0094417911825104</v>
      </c>
      <c r="H158" s="12">
        <f>SUM('1st Qtr'!H158+'2nd Qtr'!H158+'3rd Qtr'!H158+'4th Qtr'!H158)</f>
        <v>2404197.35</v>
      </c>
      <c r="I158" s="12">
        <f>SUM('1st Qtr'!I158, '2nd Qtr'!I158, '3rd Qtr'!I158, '4th Qtr'!I158)</f>
        <v>-377217.35000000003</v>
      </c>
      <c r="J158" s="13">
        <f t="shared" si="14"/>
        <v>-0.15689949496034508</v>
      </c>
    </row>
    <row r="159" spans="1:10" ht="15.6">
      <c r="A159" s="26" t="str">
        <v>Lockenhurst Pond</v>
      </c>
      <c r="B159" s="27" t="str">
        <v>NY</v>
      </c>
      <c r="C159" s="27" t="str">
        <f>Sites[[#This Row],[SOL'#]]</f>
        <v>SOL-11000</v>
      </c>
      <c r="D159" s="9">
        <f>SUM('1st Qtr'!D159, '2nd Qtr'!D159, '3rd Qtr'!D159, '4th Qtr'!D159)</f>
        <v>2387558</v>
      </c>
      <c r="E159" s="14">
        <f>SUM('1st Qtr'!E159, '2nd Qtr'!E159, '3rd Qtr'!E159, '4th Qtr'!E159)</f>
        <v>2580364.4000000004</v>
      </c>
      <c r="F159" s="14">
        <f t="shared" ref="F159:F185" si="15">IF(AND(ISNUMBER(D159),ISNUMBER(E159)), D159-E159, "")</f>
        <v>-192806.40000000037</v>
      </c>
      <c r="G159" s="15">
        <f t="shared" ref="G159:G163" si="16">IFERROR(F159/E159, "")</f>
        <v>-7.4720609228681165E-2</v>
      </c>
      <c r="H159" s="16">
        <f>SUM('1st Qtr'!H159+'2nd Qtr'!H159+'3rd Qtr'!H159+'4th Qtr'!H159)</f>
        <v>2629272</v>
      </c>
      <c r="I159" s="16">
        <f>SUM('1st Qtr'!I159, '2nd Qtr'!I159, '3rd Qtr'!I159, '4th Qtr'!I159)</f>
        <v>-241714</v>
      </c>
      <c r="J159" s="15">
        <f t="shared" ref="J159:J163" si="17">IFERROR(I159/H159, "")</f>
        <v>-9.1931911190626145E-2</v>
      </c>
    </row>
    <row r="160" spans="1:10" ht="15.6">
      <c r="A160" s="24" t="str">
        <v>Drinkwater</v>
      </c>
      <c r="B160" s="25" t="str">
        <v>NY</v>
      </c>
      <c r="C160" s="25" t="str">
        <f>Sites[[#This Row],[SOL'#]]</f>
        <v>SOL-10896</v>
      </c>
      <c r="D160" s="60">
        <f>SUM('1st Qtr'!D160, '2nd Qtr'!D160, '3rd Qtr'!D160, '4th Qtr'!D160)</f>
        <v>2118370</v>
      </c>
      <c r="E160" s="10">
        <f>SUM('1st Qtr'!E160, '2nd Qtr'!E160, '3rd Qtr'!E160, '4th Qtr'!E160)</f>
        <v>454000</v>
      </c>
      <c r="F160" s="10">
        <f t="shared" si="15"/>
        <v>1664370</v>
      </c>
      <c r="G160" s="11">
        <f t="shared" si="16"/>
        <v>3.6660132158590306</v>
      </c>
      <c r="H160" s="12">
        <f>SUM('1st Qtr'!H160+'2nd Qtr'!H160+'3rd Qtr'!H160+'4th Qtr'!H160)</f>
        <v>2398739.81</v>
      </c>
      <c r="I160" s="12">
        <f>SUM('1st Qtr'!I160, '2nd Qtr'!I160, '3rd Qtr'!I160, '4th Qtr'!I160)</f>
        <v>-280369.80999999994</v>
      </c>
      <c r="J160" s="13">
        <f t="shared" si="17"/>
        <v>-0.11688212653626653</v>
      </c>
    </row>
    <row r="161" spans="1:10" ht="15.6">
      <c r="A161" s="26" t="str">
        <v>Altamont</v>
      </c>
      <c r="B161" s="27" t="str">
        <v>NY</v>
      </c>
      <c r="C161" s="27" t="str">
        <f>Sites[[#This Row],[SOL'#]]</f>
        <v>SOL-11085</v>
      </c>
      <c r="D161" s="9">
        <f>SUM('1st Qtr'!D161, '2nd Qtr'!D161, '3rd Qtr'!D161, '4th Qtr'!D161)</f>
        <v>4288075</v>
      </c>
      <c r="E161" s="14">
        <f>SUM('1st Qtr'!E161, '2nd Qtr'!E161, '3rd Qtr'!E161, '4th Qtr'!E161)</f>
        <v>4730347.2</v>
      </c>
      <c r="F161" s="14">
        <f t="shared" si="15"/>
        <v>-442272.20000000019</v>
      </c>
      <c r="G161" s="15">
        <f t="shared" si="16"/>
        <v>-9.3496773344671227E-2</v>
      </c>
      <c r="H161" s="16">
        <f>SUM('1st Qtr'!H161+'2nd Qtr'!H161+'3rd Qtr'!H161+'4th Qtr'!H161)</f>
        <v>4220689.3999999994</v>
      </c>
      <c r="I161" s="16">
        <f>SUM('1st Qtr'!I161, '2nd Qtr'!I161, '3rd Qtr'!I161, '4th Qtr'!I161)</f>
        <v>67385.600000000093</v>
      </c>
      <c r="J161" s="15">
        <f t="shared" si="17"/>
        <v>1.5965543448897258E-2</v>
      </c>
    </row>
    <row r="162" spans="1:10" ht="15.6">
      <c r="A162" s="24" t="str">
        <v>Krumkill North</v>
      </c>
      <c r="B162" s="25" t="str">
        <v>NY</v>
      </c>
      <c r="C162" s="25" t="str">
        <f>Sites[[#This Row],[SOL'#]]</f>
        <v>SOL-11086</v>
      </c>
      <c r="D162" s="60">
        <f>SUM('1st Qtr'!D162, '2nd Qtr'!D162, '3rd Qtr'!D162, '4th Qtr'!D162)</f>
        <v>3997883</v>
      </c>
      <c r="E162" s="10">
        <f>SUM('1st Qtr'!E162, '2nd Qtr'!E162, '3rd Qtr'!E162, '4th Qtr'!E162)</f>
        <v>4697908.0999999996</v>
      </c>
      <c r="F162" s="10">
        <f t="shared" si="15"/>
        <v>-700025.09999999963</v>
      </c>
      <c r="G162" s="11">
        <f t="shared" si="16"/>
        <v>-0.14900783180496863</v>
      </c>
      <c r="H162" s="12">
        <f>SUM('1st Qtr'!H162+'2nd Qtr'!H162+'3rd Qtr'!H162+'4th Qtr'!H162)</f>
        <v>4915022</v>
      </c>
      <c r="I162" s="12">
        <f>SUM('1st Qtr'!I162, '2nd Qtr'!I162, '3rd Qtr'!I162, '4th Qtr'!I162)</f>
        <v>-917138.99999999988</v>
      </c>
      <c r="J162" s="13">
        <f t="shared" si="17"/>
        <v>-0.18659916476467447</v>
      </c>
    </row>
    <row r="163" spans="1:10" ht="15.6">
      <c r="A163" s="26" t="str">
        <v>Krumkill South</v>
      </c>
      <c r="B163" s="27" t="str">
        <v>NY</v>
      </c>
      <c r="C163" s="27" t="str">
        <f>Sites[[#This Row],[SOL'#]]</f>
        <v>SOL-11087</v>
      </c>
      <c r="D163" s="9">
        <f>SUM('1st Qtr'!D163, '2nd Qtr'!D163, '3rd Qtr'!D163, '4th Qtr'!D163)</f>
        <v>3413954</v>
      </c>
      <c r="E163" s="14">
        <f>SUM('1st Qtr'!E163, '2nd Qtr'!E163, '3rd Qtr'!E163, '4th Qtr'!E163)</f>
        <v>3813710</v>
      </c>
      <c r="F163" s="14">
        <f t="shared" si="15"/>
        <v>-399756</v>
      </c>
      <c r="G163" s="15">
        <f t="shared" si="16"/>
        <v>-0.10482076508177077</v>
      </c>
      <c r="H163" s="16">
        <f>SUM('1st Qtr'!H163+'2nd Qtr'!H163+'3rd Qtr'!H163+'4th Qtr'!H163)</f>
        <v>3853229.8</v>
      </c>
      <c r="I163" s="16">
        <f>SUM('1st Qtr'!I163, '2nd Qtr'!I163, '3rd Qtr'!I163, '4th Qtr'!I163)</f>
        <v>-439275.79999999993</v>
      </c>
      <c r="J163" s="15">
        <f t="shared" si="17"/>
        <v>-0.11400197309799689</v>
      </c>
    </row>
    <row r="164" spans="1:10" ht="15.6">
      <c r="A164" s="24" t="str">
        <v>X092</v>
      </c>
      <c r="B164" s="25" t="str">
        <v>NY</v>
      </c>
      <c r="C164" s="25" t="str">
        <f>Sites[[#This Row],[SOL'#]]</f>
        <v>SOL-11189</v>
      </c>
      <c r="D164" s="60">
        <f>SUM('1st Qtr'!D164, '2nd Qtr'!D164, '3rd Qtr'!D164, '4th Qtr'!D164)</f>
        <v>92427.4</v>
      </c>
      <c r="E164" s="10">
        <f>SUM('1st Qtr'!E164, '2nd Qtr'!E164, '3rd Qtr'!E164, '4th Qtr'!E164)</f>
        <v>93264.159999999989</v>
      </c>
      <c r="F164" s="10">
        <f t="shared" si="15"/>
        <v>-836.75999999999476</v>
      </c>
      <c r="G164" s="11">
        <f t="shared" ref="G164:G200" si="18">IFERROR(F164/E164, "")</f>
        <v>-8.9719351999738677E-3</v>
      </c>
      <c r="H164" s="12">
        <f>SUM('1st Qtr'!H164+'2nd Qtr'!H164+'3rd Qtr'!H164+'4th Qtr'!H164)</f>
        <v>104116</v>
      </c>
      <c r="I164" s="12">
        <f>SUM('1st Qtr'!I164, '2nd Qtr'!I164, '3rd Qtr'!I164, '4th Qtr'!I164)</f>
        <v>-11688.599999999997</v>
      </c>
      <c r="J164" s="13">
        <f t="shared" ref="J164:J200" si="19">IFERROR(I164/H164, "")</f>
        <v>-0.11226516577663373</v>
      </c>
    </row>
    <row r="165" spans="1:10" ht="15.6">
      <c r="A165" s="26" t="str">
        <v>X093</v>
      </c>
      <c r="B165" s="27" t="str">
        <v>NY</v>
      </c>
      <c r="C165" s="27" t="str">
        <f>Sites[[#This Row],[SOL'#]]</f>
        <v>SOL-10932</v>
      </c>
      <c r="D165" s="9">
        <f>SUM('1st Qtr'!D165, '2nd Qtr'!D165, '3rd Qtr'!D165, '4th Qtr'!D165)</f>
        <v>40334.728046874981</v>
      </c>
      <c r="E165" s="14">
        <f>SUM('1st Qtr'!E165, '2nd Qtr'!E165, '3rd Qtr'!E165, '4th Qtr'!E165)</f>
        <v>41085.46</v>
      </c>
      <c r="F165" s="14">
        <f t="shared" si="15"/>
        <v>-750.73195312501775</v>
      </c>
      <c r="G165" s="15">
        <f t="shared" si="18"/>
        <v>-1.8272448528628322E-2</v>
      </c>
      <c r="H165" s="16">
        <f>SUM('1st Qtr'!H165+'2nd Qtr'!H165+'3rd Qtr'!H165+'4th Qtr'!H165)</f>
        <v>72682</v>
      </c>
      <c r="I165" s="16">
        <f>SUM('1st Qtr'!I165, '2nd Qtr'!I165, '3rd Qtr'!I165, '4th Qtr'!I165)</f>
        <v>-32347.271953125019</v>
      </c>
      <c r="J165" s="15">
        <f t="shared" si="19"/>
        <v>-0.44505203424678763</v>
      </c>
    </row>
    <row r="166" spans="1:10" ht="15.6">
      <c r="A166" s="24" t="str">
        <v>X095</v>
      </c>
      <c r="B166" s="25" t="str">
        <v>NY</v>
      </c>
      <c r="C166" s="25" t="str">
        <f>Sites[[#This Row],[SOL'#]]</f>
        <v>SOL-10929</v>
      </c>
      <c r="D166" s="60">
        <f>SUM('1st Qtr'!D166, '2nd Qtr'!D166, '3rd Qtr'!D166, '4th Qtr'!D166)</f>
        <v>102189.24241463575</v>
      </c>
      <c r="E166" s="10">
        <f>SUM('1st Qtr'!E166, '2nd Qtr'!E166, '3rd Qtr'!E166, '4th Qtr'!E166)</f>
        <v>19545.91</v>
      </c>
      <c r="F166" s="10">
        <f t="shared" si="15"/>
        <v>82643.332414635748</v>
      </c>
      <c r="G166" s="11">
        <f t="shared" si="18"/>
        <v>4.2281649928110667</v>
      </c>
      <c r="H166" s="12">
        <f>SUM('1st Qtr'!H166+'2nd Qtr'!H166+'3rd Qtr'!H166+'4th Qtr'!H166)</f>
        <v>98702</v>
      </c>
      <c r="I166" s="12">
        <f>SUM('1st Qtr'!I166, '2nd Qtr'!I166, '3rd Qtr'!I166, '4th Qtr'!I166)</f>
        <v>3487.2424146357589</v>
      </c>
      <c r="J166" s="13">
        <f t="shared" si="19"/>
        <v>3.533102079629348E-2</v>
      </c>
    </row>
    <row r="167" spans="1:10" ht="15.6">
      <c r="A167" s="26" t="str">
        <v>X181</v>
      </c>
      <c r="B167" s="27" t="str">
        <v>NY</v>
      </c>
      <c r="C167" s="27" t="str">
        <f>Sites[[#This Row],[SOL'#]]</f>
        <v>SOL-10428</v>
      </c>
      <c r="D167" s="9">
        <f>SUM('1st Qtr'!D167, '2nd Qtr'!D167, '3rd Qtr'!D167, '4th Qtr'!D167)</f>
        <v>183299.43349545309</v>
      </c>
      <c r="E167" s="14">
        <f>SUM('1st Qtr'!E167, '2nd Qtr'!E167, '3rd Qtr'!E167, '4th Qtr'!E167)</f>
        <v>34560.46</v>
      </c>
      <c r="F167" s="14">
        <f t="shared" si="15"/>
        <v>148738.9734954531</v>
      </c>
      <c r="G167" s="15">
        <f t="shared" si="18"/>
        <v>4.3037324588692716</v>
      </c>
      <c r="H167" s="16">
        <f>SUM('1st Qtr'!H167+'2nd Qtr'!H167+'3rd Qtr'!H167+'4th Qtr'!H167)</f>
        <v>182175</v>
      </c>
      <c r="I167" s="16">
        <f>SUM('1st Qtr'!I167, '2nd Qtr'!I167, '3rd Qtr'!I167, '4th Qtr'!I167)</f>
        <v>1124.4334954531005</v>
      </c>
      <c r="J167" s="15">
        <f t="shared" si="19"/>
        <v>6.1722711428741622E-3</v>
      </c>
    </row>
    <row r="168" spans="1:10" ht="15.6">
      <c r="A168" s="24" t="str">
        <v>X415</v>
      </c>
      <c r="B168" s="25" t="str">
        <v>NY</v>
      </c>
      <c r="C168" s="25" t="str">
        <f>Sites[[#This Row],[SOL'#]]</f>
        <v>SOL-10429</v>
      </c>
      <c r="D168" s="60">
        <f>SUM('1st Qtr'!D168, '2nd Qtr'!D168, '3rd Qtr'!D168, '4th Qtr'!D168)</f>
        <v>120743.11942978131</v>
      </c>
      <c r="E168" s="10">
        <f>SUM('1st Qtr'!E168, '2nd Qtr'!E168, '3rd Qtr'!E168, '4th Qtr'!E168)</f>
        <v>22259.89</v>
      </c>
      <c r="F168" s="10">
        <f t="shared" si="15"/>
        <v>98483.229429781306</v>
      </c>
      <c r="G168" s="11">
        <f t="shared" si="18"/>
        <v>4.4242460061474382</v>
      </c>
      <c r="H168" s="12">
        <f>SUM('1st Qtr'!H168+'2nd Qtr'!H168+'3rd Qtr'!H168+'4th Qtr'!H168)</f>
        <v>106025</v>
      </c>
      <c r="I168" s="12">
        <f>SUM('1st Qtr'!I168, '2nd Qtr'!I168, '3rd Qtr'!I168, '4th Qtr'!I168)</f>
        <v>14718.119429781298</v>
      </c>
      <c r="J168" s="13">
        <f t="shared" si="19"/>
        <v>0.13881744333677243</v>
      </c>
    </row>
    <row r="169" spans="1:10" ht="15.6">
      <c r="A169" s="26" t="str">
        <v>K198</v>
      </c>
      <c r="B169" s="27" t="str">
        <v>NY</v>
      </c>
      <c r="C169" s="27" t="str">
        <f>Sites[[#This Row],[SOL'#]]</f>
        <v>SOL-10930</v>
      </c>
      <c r="D169" s="9">
        <f>SUM('1st Qtr'!D169, '2nd Qtr'!D169, '3rd Qtr'!D169, '4th Qtr'!D169)</f>
        <v>93253.587919921876</v>
      </c>
      <c r="E169" s="14">
        <f>SUM('1st Qtr'!E169, '2nd Qtr'!E169, '3rd Qtr'!E169, '4th Qtr'!E169)</f>
        <v>49065.72</v>
      </c>
      <c r="F169" s="14">
        <f t="shared" si="15"/>
        <v>44187.867919921875</v>
      </c>
      <c r="G169" s="15">
        <f t="shared" si="18"/>
        <v>0.90058533574809208</v>
      </c>
      <c r="H169" s="16">
        <f>SUM('1st Qtr'!H169+'2nd Qtr'!H169+'3rd Qtr'!H169+'4th Qtr'!H169)</f>
        <v>82029</v>
      </c>
      <c r="I169" s="16">
        <f>SUM('1st Qtr'!I169, '2nd Qtr'!I169, '3rd Qtr'!I169, '4th Qtr'!I169)</f>
        <v>11224.58791992188</v>
      </c>
      <c r="J169" s="15">
        <f t="shared" si="19"/>
        <v>0.13683682502434358</v>
      </c>
    </row>
    <row r="170" spans="1:10" ht="15.6">
      <c r="A170" s="24" t="str">
        <v>K203</v>
      </c>
      <c r="B170" s="25" t="str">
        <v>NY</v>
      </c>
      <c r="C170" s="25" t="str">
        <f>Sites[[#This Row],[SOL'#]]</f>
        <v>SOL-11190</v>
      </c>
      <c r="D170" s="60">
        <f>SUM('1st Qtr'!D170, '2nd Qtr'!D170, '3rd Qtr'!D170, '4th Qtr'!D170)</f>
        <v>97043</v>
      </c>
      <c r="E170" s="10">
        <f>SUM('1st Qtr'!E170, '2nd Qtr'!E170, '3rd Qtr'!E170, '4th Qtr'!E170)</f>
        <v>75334.77</v>
      </c>
      <c r="F170" s="10">
        <f t="shared" si="15"/>
        <v>21708.229999999996</v>
      </c>
      <c r="G170" s="11">
        <f t="shared" si="18"/>
        <v>0.28815684975211309</v>
      </c>
      <c r="H170" s="12">
        <f>SUM('1st Qtr'!H170+'2nd Qtr'!H170+'3rd Qtr'!H170+'4th Qtr'!H170)</f>
        <v>94089</v>
      </c>
      <c r="I170" s="12">
        <f>SUM('1st Qtr'!I170, '2nd Qtr'!I170, '3rd Qtr'!I170, '4th Qtr'!I170)</f>
        <v>2953.9999999999964</v>
      </c>
      <c r="J170" s="13">
        <f t="shared" si="19"/>
        <v>3.1395806098481187E-2</v>
      </c>
    </row>
    <row r="171" spans="1:10" ht="15.6">
      <c r="A171" s="26" t="str">
        <v>K213</v>
      </c>
      <c r="B171" s="27" t="str">
        <v>NY</v>
      </c>
      <c r="C171" s="27" t="str">
        <f>Sites[[#This Row],[SOL'#]]</f>
        <v>SOL-11191</v>
      </c>
      <c r="D171" s="9">
        <f>SUM('1st Qtr'!D171, '2nd Qtr'!D171, '3rd Qtr'!D171, '4th Qtr'!D171)</f>
        <v>108835.79999999999</v>
      </c>
      <c r="E171" s="14">
        <f>SUM('1st Qtr'!E171, '2nd Qtr'!E171, '3rd Qtr'!E171, '4th Qtr'!E171)</f>
        <v>119222.36</v>
      </c>
      <c r="F171" s="14">
        <f t="shared" si="15"/>
        <v>-10386.560000000012</v>
      </c>
      <c r="G171" s="15">
        <f t="shared" si="18"/>
        <v>-8.7119228305831325E-2</v>
      </c>
      <c r="H171" s="16">
        <f>SUM('1st Qtr'!H171+'2nd Qtr'!H171+'3rd Qtr'!H171+'4th Qtr'!H171)</f>
        <v>117656</v>
      </c>
      <c r="I171" s="16">
        <f>SUM('1st Qtr'!I171, '2nd Qtr'!I171, '3rd Qtr'!I171, '4th Qtr'!I171)</f>
        <v>-8820.2000000000007</v>
      </c>
      <c r="J171" s="15">
        <f t="shared" si="19"/>
        <v>-7.4966002583803634E-2</v>
      </c>
    </row>
    <row r="172" spans="1:10" ht="15.6">
      <c r="A172" s="24" t="str">
        <v>K217</v>
      </c>
      <c r="B172" s="25" t="str">
        <v>NY</v>
      </c>
      <c r="C172" s="25" t="str">
        <f>Sites[[#This Row],[SOL'#]]</f>
        <v>SOL-10933</v>
      </c>
      <c r="D172" s="60">
        <f>SUM('1st Qtr'!D172, '2nd Qtr'!D172, '3rd Qtr'!D172, '4th Qtr'!D172)</f>
        <v>69739.554925800869</v>
      </c>
      <c r="E172" s="10">
        <f>SUM('1st Qtr'!E172, '2nd Qtr'!E172, '3rd Qtr'!E172, '4th Qtr'!E172)</f>
        <v>13647.47</v>
      </c>
      <c r="F172" s="10">
        <f t="shared" si="15"/>
        <v>56092.084925800867</v>
      </c>
      <c r="G172" s="11">
        <f t="shared" si="18"/>
        <v>4.1100720445475147</v>
      </c>
      <c r="H172" s="12">
        <f>SUM('1st Qtr'!H172+'2nd Qtr'!H172+'3rd Qtr'!H172+'4th Qtr'!H172)</f>
        <v>63769</v>
      </c>
      <c r="I172" s="12">
        <f>SUM('1st Qtr'!I172, '2nd Qtr'!I172, '3rd Qtr'!I172, '4th Qtr'!I172)</f>
        <v>5970.5549258008705</v>
      </c>
      <c r="J172" s="13">
        <f t="shared" si="19"/>
        <v>9.3627858768380728E-2</v>
      </c>
    </row>
    <row r="173" spans="1:10" ht="15.6">
      <c r="A173" s="26" t="str">
        <v>K307</v>
      </c>
      <c r="B173" s="27" t="str">
        <v>NY</v>
      </c>
      <c r="C173" s="27" t="str">
        <f>Sites[[#This Row],[SOL'#]]</f>
        <v>SOL-10876</v>
      </c>
      <c r="D173" s="9">
        <f>SUM('1st Qtr'!D173, '2nd Qtr'!D173, '3rd Qtr'!D173, '4th Qtr'!D173)</f>
        <v>146757.37812745851</v>
      </c>
      <c r="E173" s="14">
        <f>SUM('1st Qtr'!E173, '2nd Qtr'!E173, '3rd Qtr'!E173, '4th Qtr'!E173)</f>
        <v>28697.91</v>
      </c>
      <c r="F173" s="14">
        <f t="shared" si="15"/>
        <v>118059.4681274585</v>
      </c>
      <c r="G173" s="15">
        <f t="shared" si="18"/>
        <v>4.1138698994964615</v>
      </c>
      <c r="H173" s="16">
        <f>SUM('1st Qtr'!H173+'2nd Qtr'!H173+'3rd Qtr'!H173+'4th Qtr'!H173)</f>
        <v>133611</v>
      </c>
      <c r="I173" s="16">
        <f>SUM('1st Qtr'!I173, '2nd Qtr'!I173, '3rd Qtr'!I173, '4th Qtr'!I173)</f>
        <v>13146.378127458498</v>
      </c>
      <c r="J173" s="15">
        <f t="shared" si="19"/>
        <v>9.8392932673645864E-2</v>
      </c>
    </row>
    <row r="174" spans="1:10" ht="15.6">
      <c r="A174" s="24" t="str">
        <v>K610</v>
      </c>
      <c r="B174" s="25" t="str">
        <v>NY</v>
      </c>
      <c r="C174" s="25" t="str">
        <f>Sites[[#This Row],[SOL'#]]</f>
        <v>SOL-11158</v>
      </c>
      <c r="D174" s="60">
        <f>SUM('1st Qtr'!D174, '2nd Qtr'!D174, '3rd Qtr'!D174, '4th Qtr'!D174)</f>
        <v>135622</v>
      </c>
      <c r="E174" s="10">
        <f>SUM('1st Qtr'!E174, '2nd Qtr'!E174, '3rd Qtr'!E174, '4th Qtr'!E174)</f>
        <v>143705.39000000001</v>
      </c>
      <c r="F174" s="10">
        <f t="shared" si="15"/>
        <v>-8083.390000000014</v>
      </c>
      <c r="G174" s="11">
        <f t="shared" si="18"/>
        <v>-5.6249734265360632E-2</v>
      </c>
      <c r="H174" s="12">
        <f>SUM('1st Qtr'!H174+'2nd Qtr'!H174+'3rd Qtr'!H174+'4th Qtr'!H174)</f>
        <v>156935</v>
      </c>
      <c r="I174" s="12">
        <f>SUM('1st Qtr'!I174, '2nd Qtr'!I174, '3rd Qtr'!I174, '4th Qtr'!I174)</f>
        <v>-21313.000000000004</v>
      </c>
      <c r="J174" s="13">
        <f t="shared" si="19"/>
        <v>-0.13580781852359258</v>
      </c>
    </row>
    <row r="175" spans="1:10" ht="15.6">
      <c r="A175" s="26" t="str">
        <v>M025</v>
      </c>
      <c r="B175" s="27" t="str">
        <v>NY</v>
      </c>
      <c r="C175" s="27" t="str">
        <f>Sites[[#This Row],[SOL'#]]</f>
        <v>SOL-10392</v>
      </c>
      <c r="D175" s="9">
        <f>SUM('1st Qtr'!D175, '2nd Qtr'!D175, '3rd Qtr'!D175, '4th Qtr'!D175)</f>
        <v>80602.262328625002</v>
      </c>
      <c r="E175" s="14">
        <f>SUM('1st Qtr'!E175, '2nd Qtr'!E175, '3rd Qtr'!E175, '4th Qtr'!E175)</f>
        <v>84765.2</v>
      </c>
      <c r="F175" s="14">
        <f t="shared" si="15"/>
        <v>-4162.9376713749953</v>
      </c>
      <c r="G175" s="15">
        <f t="shared" si="18"/>
        <v>-4.9111400331444927E-2</v>
      </c>
      <c r="H175" s="16">
        <f>SUM('1st Qtr'!H175+'2nd Qtr'!H175+'3rd Qtr'!H175+'4th Qtr'!H175)</f>
        <v>136114</v>
      </c>
      <c r="I175" s="16">
        <f>SUM('1st Qtr'!I175, '2nd Qtr'!I175, '3rd Qtr'!I175, '4th Qtr'!I175)</f>
        <v>-55511.737671374998</v>
      </c>
      <c r="J175" s="15">
        <f t="shared" si="19"/>
        <v>-0.40783268195317895</v>
      </c>
    </row>
    <row r="176" spans="1:10" ht="15.6">
      <c r="A176" s="24" t="str">
        <v>M028</v>
      </c>
      <c r="B176" s="25" t="str">
        <v>NY</v>
      </c>
      <c r="C176" s="25" t="str">
        <f>Sites[[#This Row],[SOL'#]]</f>
        <v>SOL-10381</v>
      </c>
      <c r="D176" s="60">
        <f>SUM('1st Qtr'!D176, '2nd Qtr'!D176, '3rd Qtr'!D176, '4th Qtr'!D176)</f>
        <v>112124.54496326559</v>
      </c>
      <c r="E176" s="10">
        <f>SUM('1st Qtr'!E176, '2nd Qtr'!E176, '3rd Qtr'!E176, '4th Qtr'!E176)</f>
        <v>61633.79</v>
      </c>
      <c r="F176" s="10">
        <f t="shared" si="15"/>
        <v>50490.754963265594</v>
      </c>
      <c r="G176" s="11">
        <f t="shared" si="18"/>
        <v>0.81920574677081504</v>
      </c>
      <c r="H176" s="12">
        <f>SUM('1st Qtr'!H176+'2nd Qtr'!H176+'3rd Qtr'!H176+'4th Qtr'!H176)</f>
        <v>105486</v>
      </c>
      <c r="I176" s="12">
        <f>SUM('1st Qtr'!I176, '2nd Qtr'!I176, '3rd Qtr'!I176, '4th Qtr'!I176)</f>
        <v>6638.5449632655982</v>
      </c>
      <c r="J176" s="13">
        <f t="shared" si="19"/>
        <v>6.2932948099895705E-2</v>
      </c>
    </row>
    <row r="177" spans="1:10" ht="15.6">
      <c r="A177" s="26" t="str">
        <v>Q030</v>
      </c>
      <c r="B177" s="27" t="str">
        <v>NY</v>
      </c>
      <c r="C177" s="27" t="str">
        <f>Sites[[#This Row],[SOL'#]]</f>
        <v>SOL-10878</v>
      </c>
      <c r="D177" s="9">
        <f>SUM('1st Qtr'!D177, '2nd Qtr'!D177, '3rd Qtr'!D177, '4th Qtr'!D177)</f>
        <v>145060.70573375002</v>
      </c>
      <c r="E177" s="14">
        <f>SUM('1st Qtr'!E177, '2nd Qtr'!E177, '3rd Qtr'!E177, '4th Qtr'!E177)</f>
        <v>28301.79</v>
      </c>
      <c r="F177" s="14">
        <f t="shared" si="15"/>
        <v>116758.91573375001</v>
      </c>
      <c r="G177" s="15">
        <f t="shared" si="18"/>
        <v>4.1254957984547973</v>
      </c>
      <c r="H177" s="16">
        <f>SUM('1st Qtr'!H177+'2nd Qtr'!H177+'3rd Qtr'!H177+'4th Qtr'!H177)</f>
        <v>127376</v>
      </c>
      <c r="I177" s="16">
        <f>SUM('1st Qtr'!I177, '2nd Qtr'!I177, '3rd Qtr'!I177, '4th Qtr'!I177)</f>
        <v>17684.705733750001</v>
      </c>
      <c r="J177" s="15">
        <f t="shared" si="19"/>
        <v>0.13883860172834758</v>
      </c>
    </row>
    <row r="178" spans="1:10" ht="15.6">
      <c r="A178" s="24" t="str">
        <v>Q130</v>
      </c>
      <c r="B178" s="25" t="str">
        <v>NY</v>
      </c>
      <c r="C178" s="25" t="str">
        <f>Sites[[#This Row],[SOL'#]]</f>
        <v>SOL-10877</v>
      </c>
      <c r="D178" s="60">
        <f>SUM('1st Qtr'!D178, '2nd Qtr'!D178, '3rd Qtr'!D178, '4th Qtr'!D178)</f>
        <v>80684.376222929699</v>
      </c>
      <c r="E178" s="10">
        <f>SUM('1st Qtr'!E178, '2nd Qtr'!E178, '3rd Qtr'!E178, '4th Qtr'!E178)</f>
        <v>15232.4</v>
      </c>
      <c r="F178" s="10">
        <f t="shared" si="15"/>
        <v>65451.976222929698</v>
      </c>
      <c r="G178" s="11">
        <f t="shared" si="18"/>
        <v>4.2968919029784995</v>
      </c>
      <c r="H178" s="12">
        <f>SUM('1st Qtr'!H178+'2nd Qtr'!H178+'3rd Qtr'!H178+'4th Qtr'!H178)</f>
        <v>71996.56</v>
      </c>
      <c r="I178" s="12">
        <f>SUM('1st Qtr'!I178, '2nd Qtr'!I178, '3rd Qtr'!I178, '4th Qtr'!I178)</f>
        <v>8687.8162229297013</v>
      </c>
      <c r="J178" s="13">
        <f t="shared" si="19"/>
        <v>0.12066987954604638</v>
      </c>
    </row>
    <row r="179" spans="1:10" ht="15.6">
      <c r="A179" s="26" t="str">
        <v>Q196</v>
      </c>
      <c r="B179" s="27" t="str">
        <v>NY</v>
      </c>
      <c r="C179" s="27" t="str">
        <f>Sites[[#This Row],[SOL'#]]</f>
        <v>SOL-10879</v>
      </c>
      <c r="D179" s="9">
        <f>SUM('1st Qtr'!D179, '2nd Qtr'!D179, '3rd Qtr'!D179, '4th Qtr'!D179)</f>
        <v>103060.79915234369</v>
      </c>
      <c r="E179" s="14">
        <f>SUM('1st Qtr'!E179, '2nd Qtr'!E179, '3rd Qtr'!E179, '4th Qtr'!E179)</f>
        <v>21688.12</v>
      </c>
      <c r="F179" s="14">
        <f t="shared" si="15"/>
        <v>81372.679152343699</v>
      </c>
      <c r="G179" s="15">
        <f t="shared" si="18"/>
        <v>3.7519471098621597</v>
      </c>
      <c r="H179" s="16">
        <f>SUM('1st Qtr'!H179+'2nd Qtr'!H179+'3rd Qtr'!H179+'4th Qtr'!H179)</f>
        <v>93524</v>
      </c>
      <c r="I179" s="16">
        <f>SUM('1st Qtr'!I179, '2nd Qtr'!I179, '3rd Qtr'!I179, '4th Qtr'!I179)</f>
        <v>6300.8391523436985</v>
      </c>
      <c r="J179" s="15">
        <f t="shared" si="19"/>
        <v>6.7371360852227224E-2</v>
      </c>
    </row>
    <row r="180" spans="1:10" ht="15.6">
      <c r="A180" s="24" t="str">
        <v>Q220</v>
      </c>
      <c r="B180" s="25" t="str">
        <v>NY</v>
      </c>
      <c r="C180" s="25" t="str">
        <f>Sites[[#This Row],[SOL'#]]</f>
        <v>SOL-10873</v>
      </c>
      <c r="D180" s="60">
        <f>SUM('1st Qtr'!D180, '2nd Qtr'!D180, '3rd Qtr'!D180, '4th Qtr'!D180)</f>
        <v>124748.7420135156</v>
      </c>
      <c r="E180" s="10">
        <f>SUM('1st Qtr'!E180, '2nd Qtr'!E180, '3rd Qtr'!E180, '4th Qtr'!E180)</f>
        <v>28923</v>
      </c>
      <c r="F180" s="10">
        <f t="shared" si="15"/>
        <v>95825.742013515599</v>
      </c>
      <c r="G180" s="11">
        <f t="shared" si="18"/>
        <v>3.3131328705015246</v>
      </c>
      <c r="H180" s="12">
        <f>SUM('1st Qtr'!H180+'2nd Qtr'!H180+'3rd Qtr'!H180+'4th Qtr'!H180)</f>
        <v>107876</v>
      </c>
      <c r="I180" s="12">
        <f>SUM('1st Qtr'!I180, '2nd Qtr'!I180, '3rd Qtr'!I180, '4th Qtr'!I180)</f>
        <v>10403.541013515602</v>
      </c>
      <c r="J180" s="13">
        <f t="shared" si="19"/>
        <v>9.6439810648481603E-2</v>
      </c>
    </row>
    <row r="181" spans="1:10" ht="15.6">
      <c r="A181" s="26" t="str">
        <v>Q205</v>
      </c>
      <c r="B181" s="27" t="str">
        <v>NY</v>
      </c>
      <c r="C181" s="27" t="str">
        <f>Sites[[#This Row],[SOL'#]]</f>
        <v>SOL-10922</v>
      </c>
      <c r="D181" s="9">
        <f>SUM('1st Qtr'!D181, '2nd Qtr'!D181, '3rd Qtr'!D181, '4th Qtr'!D181)</f>
        <v>127928.24609375</v>
      </c>
      <c r="E181" s="14">
        <f>SUM('1st Qtr'!E181, '2nd Qtr'!E181, '3rd Qtr'!E181, '4th Qtr'!E181)</f>
        <v>146703.10999999999</v>
      </c>
      <c r="F181" s="14">
        <f t="shared" si="15"/>
        <v>-18774.863906249986</v>
      </c>
      <c r="G181" s="15">
        <f t="shared" si="18"/>
        <v>-0.12797863594200551</v>
      </c>
      <c r="H181" s="16">
        <f>SUM('1st Qtr'!H181+'2nd Qtr'!H181+'3rd Qtr'!H181+'4th Qtr'!H181)</f>
        <v>129398</v>
      </c>
      <c r="I181" s="16">
        <f>SUM('1st Qtr'!I181, '2nd Qtr'!I181, '3rd Qtr'!I181, '4th Qtr'!I181)</f>
        <v>-1469.75390625</v>
      </c>
      <c r="J181" s="15">
        <f t="shared" si="19"/>
        <v>-1.1358397396018486E-2</v>
      </c>
    </row>
    <row r="182" spans="1:10" ht="15.6">
      <c r="A182" s="24" t="str">
        <v>Q400</v>
      </c>
      <c r="B182" s="25" t="str">
        <v>NY</v>
      </c>
      <c r="C182" s="25" t="str">
        <f>Sites[[#This Row],[SOL'#]]</f>
        <v>SOL-10871</v>
      </c>
      <c r="D182" s="60">
        <f>SUM('1st Qtr'!D182, '2nd Qtr'!D182, '3rd Qtr'!D182, '4th Qtr'!D182)</f>
        <v>158191.78906325001</v>
      </c>
      <c r="E182" s="10">
        <f>SUM('1st Qtr'!E182, '2nd Qtr'!E182, '3rd Qtr'!E182, '4th Qtr'!E182)</f>
        <v>0</v>
      </c>
      <c r="F182" s="10">
        <f t="shared" si="15"/>
        <v>158191.78906325001</v>
      </c>
      <c r="G182" s="11" t="str">
        <f t="shared" si="18"/>
        <v/>
      </c>
      <c r="H182" s="12">
        <f>SUM('1st Qtr'!H182+'2nd Qtr'!H182+'3rd Qtr'!H182+'4th Qtr'!H182)</f>
        <v>209551</v>
      </c>
      <c r="I182" s="12">
        <f>SUM('1st Qtr'!I182, '2nd Qtr'!I182, '3rd Qtr'!I182, '4th Qtr'!I182)</f>
        <v>-51359.210936750002</v>
      </c>
      <c r="J182" s="13">
        <f t="shared" si="19"/>
        <v>-0.24509170052517049</v>
      </c>
    </row>
    <row r="183" spans="1:10" ht="15.6">
      <c r="A183" s="26" t="str">
        <v>R003</v>
      </c>
      <c r="B183" s="27" t="str">
        <v>NY</v>
      </c>
      <c r="C183" s="27" t="str">
        <f>Sites[[#This Row],[SOL'#]]</f>
        <v>SOL-10416</v>
      </c>
      <c r="D183" s="9">
        <f>SUM('1st Qtr'!D183, '2nd Qtr'!D183, '3rd Qtr'!D183, '4th Qtr'!D183)</f>
        <v>198418.26562249998</v>
      </c>
      <c r="E183" s="14">
        <f>SUM('1st Qtr'!E183, '2nd Qtr'!E183, '3rd Qtr'!E183, '4th Qtr'!E183)</f>
        <v>75666.38</v>
      </c>
      <c r="F183" s="14">
        <f t="shared" si="15"/>
        <v>122751.88562249998</v>
      </c>
      <c r="G183" s="15">
        <f t="shared" si="18"/>
        <v>1.6222777622307287</v>
      </c>
      <c r="H183" s="16">
        <f>SUM('1st Qtr'!H183+'2nd Qtr'!H183+'3rd Qtr'!H183+'4th Qtr'!H183)</f>
        <v>192043</v>
      </c>
      <c r="I183" s="16">
        <f>SUM('1st Qtr'!I183, '2nd Qtr'!I183, '3rd Qtr'!I183, '4th Qtr'!I183)</f>
        <v>-14281.3671875</v>
      </c>
      <c r="J183" s="15">
        <f t="shared" si="19"/>
        <v>-7.4365466002405706E-2</v>
      </c>
    </row>
    <row r="184" spans="1:10" ht="15.6">
      <c r="A184" s="24" t="str">
        <v>R007</v>
      </c>
      <c r="B184" s="25" t="str">
        <v>NY</v>
      </c>
      <c r="C184" s="25" t="str">
        <f>Sites[[#This Row],[SOL'#]]</f>
        <v>SOL-10417</v>
      </c>
      <c r="D184" s="60">
        <f>SUM('1st Qtr'!D184, '2nd Qtr'!D184, '3rd Qtr'!D184, '4th Qtr'!D184)</f>
        <v>231864.34140500001</v>
      </c>
      <c r="E184" s="10">
        <f>SUM('1st Qtr'!E184, '2nd Qtr'!E184, '3rd Qtr'!E184, '4th Qtr'!E184)</f>
        <v>124736.26000000001</v>
      </c>
      <c r="F184" s="10">
        <f t="shared" si="15"/>
        <v>107128.081405</v>
      </c>
      <c r="G184" s="11">
        <f t="shared" si="18"/>
        <v>0.8588367280292033</v>
      </c>
      <c r="H184" s="12">
        <f>SUM('1st Qtr'!H184+'2nd Qtr'!H184+'3rd Qtr'!H184+'4th Qtr'!H184)</f>
        <v>205008.41999999998</v>
      </c>
      <c r="I184" s="12">
        <f>SUM('1st Qtr'!I184, '2nd Qtr'!I184, '3rd Qtr'!I184, '4th Qtr'!I184)</f>
        <v>26855.921405000001</v>
      </c>
      <c r="J184" s="13">
        <f t="shared" si="19"/>
        <v>0.13099911410955709</v>
      </c>
    </row>
    <row r="185" spans="1:10" ht="15.6">
      <c r="A185" s="26" t="str">
        <v>BK16</v>
      </c>
      <c r="B185" s="27" t="str">
        <v>NY</v>
      </c>
      <c r="C185" s="27" t="str">
        <f>Sites[[#This Row],[SOL'#]]</f>
        <v>SOL-11093</v>
      </c>
      <c r="D185" s="9">
        <f>SUM('1st Qtr'!D185, '2nd Qtr'!D185, '3rd Qtr'!D185, '4th Qtr'!D185)</f>
        <v>233620.21767140861</v>
      </c>
      <c r="E185" s="14">
        <f>SUM('1st Qtr'!E185, '2nd Qtr'!E185, '3rd Qtr'!E185, '4th Qtr'!E185)</f>
        <v>47268.57</v>
      </c>
      <c r="F185" s="14">
        <f t="shared" si="15"/>
        <v>186351.6476714086</v>
      </c>
      <c r="G185" s="15">
        <f t="shared" si="18"/>
        <v>3.9424007891799691</v>
      </c>
      <c r="H185" s="16">
        <f>SUM('1st Qtr'!H185+'2nd Qtr'!H185+'3rd Qtr'!H185+'4th Qtr'!H185)</f>
        <v>204477</v>
      </c>
      <c r="I185" s="16">
        <f>SUM('1st Qtr'!I185, '2nd Qtr'!I185, '3rd Qtr'!I185, '4th Qtr'!I185)</f>
        <v>29143.217671408602</v>
      </c>
      <c r="J185" s="15">
        <f t="shared" si="19"/>
        <v>0.14252565164497036</v>
      </c>
    </row>
    <row r="186" spans="1:10" ht="15.6">
      <c r="A186" s="24" t="str">
        <v>Trenton - Trenton East</v>
      </c>
      <c r="B186" s="25" t="str">
        <v>IL</v>
      </c>
      <c r="C186" s="25" t="str">
        <f>Sites[[#This Row],[SOL'#]]</f>
        <v>SOL-11060</v>
      </c>
      <c r="D186" s="60">
        <f>SUM('1st Qtr'!D186, '2nd Qtr'!D186, '3rd Qtr'!D186, '4th Qtr'!D186)</f>
        <v>1804761.4997652881</v>
      </c>
      <c r="E186" s="10">
        <f>SUM('1st Qtr'!E186, '2nd Qtr'!E186, '3rd Qtr'!E186, '4th Qtr'!E186)</f>
        <v>1956987.6</v>
      </c>
      <c r="F186" s="10">
        <f>IF(AND(ISNUMBER(D186),ISNUMBER(E186)), D186-E186, "")</f>
        <v>-152226.10023471201</v>
      </c>
      <c r="G186" s="61">
        <f t="shared" si="18"/>
        <v>-7.778592988259711E-2</v>
      </c>
      <c r="H186" s="75">
        <f>SUM('1st Qtr'!H186+'2nd Qtr'!H186+'3rd Qtr'!H186+'4th Qtr'!H186)</f>
        <v>2627563</v>
      </c>
      <c r="I186" s="75">
        <f>SUM('1st Qtr'!I186, '2nd Qtr'!I186, '3rd Qtr'!I186, '4th Qtr'!I186)</f>
        <v>-822801.50023471203</v>
      </c>
      <c r="J186" s="72">
        <f t="shared" si="19"/>
        <v>-0.31314244424765914</v>
      </c>
    </row>
    <row r="187" spans="1:10" ht="15.6">
      <c r="A187" s="26" t="str">
        <v>Trenton - Trenton West</v>
      </c>
      <c r="B187" s="27" t="str">
        <v>IL</v>
      </c>
      <c r="C187" s="27" t="str">
        <f>Sites[[#This Row],[SOL'#]]</f>
        <v>SOL-11061</v>
      </c>
      <c r="D187" s="74">
        <f>SUM('1st Qtr'!D187, '2nd Qtr'!D187, '3rd Qtr'!D187, '4th Qtr'!D187)</f>
        <v>1151056.0524417299</v>
      </c>
      <c r="E187" s="14">
        <f>SUM('1st Qtr'!E187, '2nd Qtr'!E187, '3rd Qtr'!E187, '4th Qtr'!E187)</f>
        <v>1463203.28</v>
      </c>
      <c r="F187" s="14">
        <f>IF(AND(ISNUMBER(D187),ISNUMBER(E187)), D187-E187, "")</f>
        <v>-312147.2275582701</v>
      </c>
      <c r="G187" s="76">
        <f t="shared" si="18"/>
        <v>-0.21333141595901159</v>
      </c>
      <c r="H187" s="77">
        <f>SUM('1st Qtr'!H187+'2nd Qtr'!H187+'3rd Qtr'!H187+'4th Qtr'!H187)</f>
        <v>2629615.0039999997</v>
      </c>
      <c r="I187" s="77">
        <f>SUM('1st Qtr'!I187, '2nd Qtr'!I187, '3rd Qtr'!I187, '4th Qtr'!I187)</f>
        <v>-1478558.95155827</v>
      </c>
      <c r="J187" s="76">
        <f t="shared" si="19"/>
        <v>-0.56227202434926105</v>
      </c>
    </row>
    <row r="188" spans="1:10" ht="15.6">
      <c r="A188" s="24" t="str">
        <v>Dakota - Dakota Solar 1</v>
      </c>
      <c r="B188" s="25" t="str">
        <v>IL</v>
      </c>
      <c r="C188" s="25" t="str">
        <f>Sites[[#This Row],[SOL'#]]</f>
        <v>SOL-11113</v>
      </c>
      <c r="D188" s="60">
        <f>SUM('1st Qtr'!D188, '2nd Qtr'!D188, '3rd Qtr'!D188, '4th Qtr'!D188)</f>
        <v>2850274</v>
      </c>
      <c r="E188" s="10">
        <f>SUM('1st Qtr'!E188, '2nd Qtr'!E188, '3rd Qtr'!E188, '4th Qtr'!E188)</f>
        <v>3074651.9689999996</v>
      </c>
      <c r="F188" s="10">
        <f>IF(AND(ISNUMBER(D188),ISNUMBER(E188)), D188-E188, "")</f>
        <v>-224377.96899999958</v>
      </c>
      <c r="G188" s="61">
        <f t="shared" si="18"/>
        <v>-7.2976704766027981E-2</v>
      </c>
      <c r="H188" s="75">
        <f>SUM('1st Qtr'!H188+'2nd Qtr'!H188+'3rd Qtr'!H188+'4th Qtr'!H188)</f>
        <v>396944</v>
      </c>
      <c r="I188" s="75">
        <f>SUM('1st Qtr'!I188, '2nd Qtr'!I188, '3rd Qtr'!I188, '4th Qtr'!I188)</f>
        <v>2048871</v>
      </c>
      <c r="J188" s="72">
        <f t="shared" si="19"/>
        <v>5.1616122173404815</v>
      </c>
    </row>
    <row r="189" spans="1:10" ht="15.6">
      <c r="A189" s="26" t="str">
        <v>X018</v>
      </c>
      <c r="B189" s="27" t="str">
        <v>NY</v>
      </c>
      <c r="C189" s="27" t="str">
        <f>Sites[[#This Row],[SOL'#]]</f>
        <v>SOL-10418</v>
      </c>
      <c r="D189" s="74">
        <f>SUM('1st Qtr'!D189, '2nd Qtr'!D189, '3rd Qtr'!D189, '4th Qtr'!D189)</f>
        <v>87848.31</v>
      </c>
      <c r="E189" s="14">
        <f>SUM('1st Qtr'!E189, '2nd Qtr'!E189, '3rd Qtr'!E189, '4th Qtr'!E189)</f>
        <v>84942.763999999996</v>
      </c>
      <c r="F189" s="14">
        <f>IF(AND(ISNUMBER(D189),ISNUMBER(E189)), D189-E189, "")</f>
        <v>2905.5460000000021</v>
      </c>
      <c r="G189" s="76">
        <f t="shared" si="18"/>
        <v>3.4205927181743256E-2</v>
      </c>
      <c r="H189" s="77">
        <f>SUM('1st Qtr'!H189+'2nd Qtr'!H189+'3rd Qtr'!H189+'4th Qtr'!H189)</f>
        <v>103644</v>
      </c>
      <c r="I189" s="77">
        <f>SUM('1st Qtr'!I189, '2nd Qtr'!I189, '3rd Qtr'!I189, '4th Qtr'!I189)</f>
        <v>-15795.69</v>
      </c>
      <c r="J189" s="76">
        <f t="shared" si="19"/>
        <v>-0.15240332291304851</v>
      </c>
    </row>
    <row r="190" spans="1:10" ht="15.6">
      <c r="A190" s="24" t="str">
        <v>Janiak Solar</v>
      </c>
      <c r="B190" s="25" t="str">
        <v>NY</v>
      </c>
      <c r="C190" s="25" t="str">
        <f>Sites[[#This Row],[SOL'#]]</f>
        <v>SOL-10898</v>
      </c>
      <c r="D190" s="60">
        <f>SUM('1st Qtr'!D190, '2nd Qtr'!D190, '3rd Qtr'!D190, '4th Qtr'!D190)</f>
        <v>2122380.0001293542</v>
      </c>
      <c r="E190" s="10">
        <f>SUM('1st Qtr'!E190, '2nd Qtr'!E190, '3rd Qtr'!E190, '4th Qtr'!E190)</f>
        <v>2362224.3979999996</v>
      </c>
      <c r="F190" s="10">
        <f t="shared" ref="F190:F200" si="20">IF(AND(ISNUMBER(D190),ISNUMBER(E190)), D190-E190, "")</f>
        <v>-239844.39787064539</v>
      </c>
      <c r="G190" s="61">
        <f t="shared" si="18"/>
        <v>-0.10153328281331443</v>
      </c>
      <c r="H190" s="75">
        <f>SUM('1st Qtr'!H190+'2nd Qtr'!H190+'3rd Qtr'!H190+'4th Qtr'!H190)</f>
        <v>2472295.0690000001</v>
      </c>
      <c r="I190" s="75">
        <f>SUM('1st Qtr'!I190, '2nd Qtr'!I190, '3rd Qtr'!I190, '4th Qtr'!I190)</f>
        <v>-349915.06887064601</v>
      </c>
      <c r="J190" s="72">
        <f t="shared" si="19"/>
        <v>-0.14153450907143558</v>
      </c>
    </row>
    <row r="191" spans="1:10" ht="15.6">
      <c r="A191" s="26" t="str">
        <v>County Route 11B</v>
      </c>
      <c r="B191" s="27" t="str">
        <v>NY</v>
      </c>
      <c r="C191" s="27" t="str">
        <f>Sites[[#This Row],[SOL'#]]</f>
        <v>SOL-10983</v>
      </c>
      <c r="D191" s="74">
        <f>SUM('1st Qtr'!D191, '2nd Qtr'!D191, '3rd Qtr'!D191, '4th Qtr'!D191)</f>
        <v>4428765</v>
      </c>
      <c r="E191" s="14">
        <f>SUM('1st Qtr'!E191, '2nd Qtr'!E191, '3rd Qtr'!E191, '4th Qtr'!E191)</f>
        <v>1431678</v>
      </c>
      <c r="F191" s="14">
        <f t="shared" si="20"/>
        <v>2997087</v>
      </c>
      <c r="G191" s="76">
        <f t="shared" si="18"/>
        <v>2.0934085737155979</v>
      </c>
      <c r="H191" s="77">
        <f>SUM('1st Qtr'!H191+'2nd Qtr'!H191+'3rd Qtr'!H191+'4th Qtr'!H191)</f>
        <v>0</v>
      </c>
      <c r="I191" s="77">
        <f>SUM('1st Qtr'!I191, '2nd Qtr'!I191, '3rd Qtr'!I191, '4th Qtr'!I191)</f>
        <v>1581049</v>
      </c>
      <c r="J191" s="76" t="str">
        <f t="shared" si="19"/>
        <v/>
      </c>
    </row>
    <row r="192" spans="1:10" ht="15.6">
      <c r="A192" s="24" t="str">
        <v>Barone</v>
      </c>
      <c r="B192" s="25" t="str">
        <v>NY</v>
      </c>
      <c r="C192" s="25" t="str">
        <f>Sites[[#This Row],[SOL'#]]</f>
        <v>SOL-11034</v>
      </c>
      <c r="D192" s="60">
        <f>SUM('1st Qtr'!D192, '2nd Qtr'!D192, '3rd Qtr'!D192, '4th Qtr'!D192)</f>
        <v>2992500</v>
      </c>
      <c r="E192" s="10">
        <f>SUM('1st Qtr'!E192, '2nd Qtr'!E192, '3rd Qtr'!E192, '4th Qtr'!E192)</f>
        <v>667986</v>
      </c>
      <c r="F192" s="10">
        <f t="shared" si="20"/>
        <v>2324514</v>
      </c>
      <c r="G192" s="61">
        <f t="shared" si="18"/>
        <v>3.4798843089525828</v>
      </c>
      <c r="H192" s="75">
        <f>SUM('1st Qtr'!H192+'2nd Qtr'!H192+'3rd Qtr'!H192+'4th Qtr'!H192)</f>
        <v>3269703.2</v>
      </c>
      <c r="I192" s="75">
        <f>SUM('1st Qtr'!I192, '2nd Qtr'!I192, '3rd Qtr'!I192, '4th Qtr'!I192)</f>
        <v>-277203.19999999995</v>
      </c>
      <c r="J192" s="72">
        <f t="shared" si="19"/>
        <v>-8.4779315749515111E-2</v>
      </c>
    </row>
    <row r="193" spans="1:10" ht="15.6">
      <c r="A193" s="26" t="str">
        <v>Cedarville</v>
      </c>
      <c r="B193" s="27" t="str">
        <v>IL</v>
      </c>
      <c r="C193" s="27" t="str">
        <f>Sites[[#This Row],[SOL'#]]</f>
        <v>SOL-11069</v>
      </c>
      <c r="D193" s="74">
        <f>SUM('1st Qtr'!D193, '2nd Qtr'!D193, '3rd Qtr'!D193, '4th Qtr'!D193)</f>
        <v>2433776</v>
      </c>
      <c r="E193" s="14">
        <f>SUM('1st Qtr'!E193, '2nd Qtr'!E193, '3rd Qtr'!E193, '4th Qtr'!E193)</f>
        <v>2458731.9000000004</v>
      </c>
      <c r="F193" s="14">
        <f t="shared" si="20"/>
        <v>-24955.900000000373</v>
      </c>
      <c r="G193" s="76">
        <f t="shared" si="18"/>
        <v>-1.0149906950001491E-2</v>
      </c>
      <c r="H193" s="77">
        <f>SUM('1st Qtr'!H193+'2nd Qtr'!H193+'3rd Qtr'!H193+'4th Qtr'!H193)</f>
        <v>2854501</v>
      </c>
      <c r="I193" s="77">
        <f>SUM('1st Qtr'!I193, '2nd Qtr'!I193, '3rd Qtr'!I193, '4th Qtr'!I193)</f>
        <v>-420724.99999999988</v>
      </c>
      <c r="J193" s="76">
        <f t="shared" si="19"/>
        <v>-0.14739003419511848</v>
      </c>
    </row>
    <row r="194" spans="1:10" ht="15.6">
      <c r="A194" s="24" t="str">
        <v xml:space="preserve"> O'Brien Hill #1</v>
      </c>
      <c r="B194" s="25" t="str">
        <v>NY</v>
      </c>
      <c r="C194" s="25" t="str">
        <f>Sites[[#This Row],[SOL'#]]</f>
        <v>SOL-11098</v>
      </c>
      <c r="D194" s="60">
        <f>SUM('1st Qtr'!D194, '2nd Qtr'!D194, '3rd Qtr'!D194, '4th Qtr'!D194)</f>
        <v>838303</v>
      </c>
      <c r="E194" s="10">
        <f>SUM('1st Qtr'!E194, '2nd Qtr'!E194, '3rd Qtr'!E194, '4th Qtr'!E194)</f>
        <v>0</v>
      </c>
      <c r="F194" s="10">
        <f t="shared" si="20"/>
        <v>838303</v>
      </c>
      <c r="G194" s="61" t="str">
        <f t="shared" si="18"/>
        <v/>
      </c>
      <c r="H194" s="75">
        <f>SUM('1st Qtr'!H194+'2nd Qtr'!H194+'3rd Qtr'!H194+'4th Qtr'!H194)</f>
        <v>0</v>
      </c>
      <c r="I194" s="75">
        <f>SUM('1st Qtr'!I194, '2nd Qtr'!I194, '3rd Qtr'!I194, '4th Qtr'!I194)</f>
        <v>770286</v>
      </c>
      <c r="J194" s="72" t="str">
        <f t="shared" si="19"/>
        <v/>
      </c>
    </row>
    <row r="195" spans="1:10" ht="15.6">
      <c r="A195" s="26" t="str">
        <v xml:space="preserve"> O'Brien Hill #2</v>
      </c>
      <c r="B195" s="27" t="str">
        <v>NY</v>
      </c>
      <c r="C195" s="27" t="str">
        <f>Sites[[#This Row],[SOL'#]]</f>
        <v>SOL-11099</v>
      </c>
      <c r="D195" s="74">
        <f>SUM('1st Qtr'!D195, '2nd Qtr'!D195, '3rd Qtr'!D195, '4th Qtr'!D195)</f>
        <v>3376362.06</v>
      </c>
      <c r="E195" s="14">
        <f>SUM('1st Qtr'!E195, '2nd Qtr'!E195, '3rd Qtr'!E195, '4th Qtr'!E195)</f>
        <v>1037322</v>
      </c>
      <c r="F195" s="14">
        <f t="shared" si="20"/>
        <v>2339040.06</v>
      </c>
      <c r="G195" s="61">
        <f t="shared" si="18"/>
        <v>2.2548833052803277</v>
      </c>
      <c r="H195" s="77">
        <f>SUM('1st Qtr'!H195+'2nd Qtr'!H195+'3rd Qtr'!H195+'4th Qtr'!H195)</f>
        <v>288848</v>
      </c>
      <c r="I195" s="77">
        <f>SUM('1st Qtr'!I195, '2nd Qtr'!I195, '3rd Qtr'!I195, '4th Qtr'!I195)</f>
        <v>656879</v>
      </c>
      <c r="J195" s="76">
        <f t="shared" si="19"/>
        <v>2.2741338004763749</v>
      </c>
    </row>
    <row r="196" spans="1:10" ht="15.6">
      <c r="A196" s="24" t="str">
        <v>Trinity - Freeport</v>
      </c>
      <c r="B196" s="25" t="str">
        <v>IL</v>
      </c>
      <c r="C196" s="25" t="str">
        <f>Sites[[#This Row],[SOL'#]]</f>
        <v>SOL-11057</v>
      </c>
      <c r="D196" s="60">
        <f>SUM('1st Qtr'!D196, '2nd Qtr'!D196, '3rd Qtr'!D196, '4th Qtr'!D196)</f>
        <v>2176146</v>
      </c>
      <c r="E196" s="14">
        <f>SUM('1st Qtr'!E196, '2nd Qtr'!E196, '3rd Qtr'!E196, '4th Qtr'!E196)</f>
        <v>1926275.7999999998</v>
      </c>
      <c r="F196" s="10">
        <f t="shared" si="20"/>
        <v>249870.20000000019</v>
      </c>
      <c r="G196" s="76">
        <f t="shared" si="18"/>
        <v>0.1297167311139974</v>
      </c>
      <c r="H196" s="75">
        <f>SUM('1st Qtr'!H196+'2nd Qtr'!H196+'3rd Qtr'!H196+'4th Qtr'!H196)</f>
        <v>1635760</v>
      </c>
      <c r="I196" s="75">
        <f>SUM('1st Qtr'!I196, '2nd Qtr'!I196, '3rd Qtr'!I196, '4th Qtr'!I196)</f>
        <v>148444</v>
      </c>
      <c r="J196" s="72">
        <f t="shared" si="19"/>
        <v>9.0749254169315799E-2</v>
      </c>
    </row>
    <row r="197" spans="1:10" ht="15.6">
      <c r="A197" s="26" t="str">
        <v>Ransom</v>
      </c>
      <c r="B197" s="27" t="str">
        <v>NY</v>
      </c>
      <c r="C197" s="27" t="str">
        <f>Sites[[#This Row],[SOL'#]]</f>
        <v>SOL-11157</v>
      </c>
      <c r="D197" s="74">
        <f>SUM('1st Qtr'!D197, '2nd Qtr'!D197, '3rd Qtr'!D197, '4th Qtr'!D197)</f>
        <v>3100269.5</v>
      </c>
      <c r="E197" s="10">
        <f>SUM('1st Qtr'!E197, '2nd Qtr'!E197, '3rd Qtr'!E197, '4th Qtr'!E197)</f>
        <v>861300</v>
      </c>
      <c r="F197" s="14">
        <f t="shared" si="20"/>
        <v>2238969.5</v>
      </c>
      <c r="G197" s="61">
        <f t="shared" si="18"/>
        <v>2.5995233948682226</v>
      </c>
      <c r="H197" s="77">
        <f>SUM('1st Qtr'!H197+'2nd Qtr'!H197+'3rd Qtr'!H197+'4th Qtr'!H197)</f>
        <v>326042</v>
      </c>
      <c r="I197" s="77">
        <f>SUM('1st Qtr'!I197, '2nd Qtr'!I197, '3rd Qtr'!I197, '4th Qtr'!I197)</f>
        <v>404070.69999999995</v>
      </c>
      <c r="J197" s="76">
        <f t="shared" si="19"/>
        <v>1.2393210077229313</v>
      </c>
    </row>
    <row r="198" spans="1:10" ht="15.6">
      <c r="A198" s="24" t="str">
        <v>Horseheads - Wedge</v>
      </c>
      <c r="B198" s="25" t="str">
        <v>NY</v>
      </c>
      <c r="C198" s="25" t="str">
        <f>Sites[[#This Row],[SOL'#]]</f>
        <v>SOL-11160</v>
      </c>
      <c r="D198" s="60">
        <f>SUM('1st Qtr'!D198, '2nd Qtr'!D198, '3rd Qtr'!D198, '4th Qtr'!D198)</f>
        <v>2275182</v>
      </c>
      <c r="E198" s="14">
        <f>SUM('1st Qtr'!E198, '2nd Qtr'!E198, '3rd Qtr'!E198, '4th Qtr'!E198)</f>
        <v>728031</v>
      </c>
      <c r="F198" s="10">
        <f t="shared" si="20"/>
        <v>1547151</v>
      </c>
      <c r="G198" s="61">
        <f t="shared" si="18"/>
        <v>2.125116924966107</v>
      </c>
      <c r="H198" s="75">
        <f>SUM('1st Qtr'!H198+'2nd Qtr'!H198+'3rd Qtr'!H198+'4th Qtr'!H198)</f>
        <v>344639</v>
      </c>
      <c r="I198" s="75">
        <f>SUM('1st Qtr'!I198, '2nd Qtr'!I198, '3rd Qtr'!I198, '4th Qtr'!I198)</f>
        <v>171594</v>
      </c>
      <c r="J198" s="72">
        <f t="shared" si="19"/>
        <v>0.49789489872011</v>
      </c>
    </row>
    <row r="199" spans="1:10" ht="15.6">
      <c r="A199" s="26" t="str">
        <v>Otisville - Shoddy Hollow</v>
      </c>
      <c r="B199" s="27" t="str">
        <v>NY</v>
      </c>
      <c r="C199" s="27" t="str">
        <f>Sites[[#This Row],[SOL'#]]</f>
        <v>SOL-11185</v>
      </c>
      <c r="D199" s="74">
        <f>SUM('1st Qtr'!D199, '2nd Qtr'!D199, '3rd Qtr'!D199, '4th Qtr'!D199)</f>
        <v>3721228.8</v>
      </c>
      <c r="E199" s="14">
        <f>SUM('1st Qtr'!E199, '2nd Qtr'!E199, '3rd Qtr'!E199, '4th Qtr'!E199)</f>
        <v>1131387</v>
      </c>
      <c r="F199" s="14">
        <f t="shared" si="20"/>
        <v>2589841.7999999998</v>
      </c>
      <c r="G199" s="76">
        <f t="shared" si="18"/>
        <v>2.2890856974669145</v>
      </c>
      <c r="H199" s="77">
        <f>SUM('1st Qtr'!H199+'2nd Qtr'!H199+'3rd Qtr'!H199+'4th Qtr'!H199)</f>
        <v>363236</v>
      </c>
      <c r="I199" s="77">
        <f>SUM('1st Qtr'!I199, '2nd Qtr'!I199, '3rd Qtr'!I199, '4th Qtr'!I199)</f>
        <v>580678.69999999995</v>
      </c>
      <c r="J199" s="76">
        <f t="shared" si="19"/>
        <v>1.5986265127905823</v>
      </c>
    </row>
    <row r="200" spans="1:10" ht="15.6">
      <c r="A200" s="24" t="str">
        <v>Wellsville - Chenunda Creek</v>
      </c>
      <c r="B200" s="25" t="str">
        <v>NY</v>
      </c>
      <c r="C200" s="25" t="str">
        <f>Sites[[#This Row],[SOL'#]]</f>
        <v>SOL-11187</v>
      </c>
      <c r="D200" s="60">
        <f>SUM('1st Qtr'!D200, '2nd Qtr'!D200, '3rd Qtr'!D200, '4th Qtr'!D200)</f>
        <v>1990664.7</v>
      </c>
      <c r="E200" s="10">
        <f>SUM('1st Qtr'!E200, '2nd Qtr'!E200, '3rd Qtr'!E200, '4th Qtr'!E200)</f>
        <v>619787</v>
      </c>
      <c r="F200" s="10">
        <f t="shared" si="20"/>
        <v>1370877.7</v>
      </c>
      <c r="G200" s="61">
        <f t="shared" si="18"/>
        <v>2.2118529430272011</v>
      </c>
      <c r="H200" s="75">
        <f>SUM('1st Qtr'!H200+'2nd Qtr'!H200+'3rd Qtr'!H200+'4th Qtr'!H200)</f>
        <v>381833</v>
      </c>
      <c r="I200" s="75">
        <f>SUM('1st Qtr'!I200, '2nd Qtr'!I200, '3rd Qtr'!I200, '4th Qtr'!I200)</f>
        <v>167439.79999999999</v>
      </c>
      <c r="J200" s="72">
        <f t="shared" si="19"/>
        <v>0.43851579093478038</v>
      </c>
    </row>
  </sheetData>
  <mergeCells count="4">
    <mergeCell ref="H1:J1"/>
    <mergeCell ref="A1:D1"/>
    <mergeCell ref="E1:G1"/>
    <mergeCell ref="A2:B2"/>
  </mergeCells>
  <conditionalFormatting sqref="G2 J2">
    <cfRule type="cellIs" dxfId="78" priority="47" stopIfTrue="1" operator="lessThanOrEqual">
      <formula>-0.1</formula>
    </cfRule>
    <cfRule type="expression" dxfId="77" priority="48">
      <formula>AND(ISNUMBER(G2), G2&gt;=0.1)</formula>
    </cfRule>
  </conditionalFormatting>
  <conditionalFormatting sqref="G4:G200">
    <cfRule type="cellIs" dxfId="76" priority="3" stopIfTrue="1" operator="lessThanOrEqual">
      <formula>-0.1</formula>
    </cfRule>
    <cfRule type="expression" dxfId="75" priority="4">
      <formula>AND(ISNUMBER(G4), G4&gt;=0.1)</formula>
    </cfRule>
  </conditionalFormatting>
  <conditionalFormatting sqref="J4:J200">
    <cfRule type="cellIs" dxfId="74" priority="1" stopIfTrue="1" operator="lessThanOrEqual">
      <formula>-0.1</formula>
    </cfRule>
    <cfRule type="expression" dxfId="73"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200"/>
  <sheetViews>
    <sheetView zoomScale="90" zoomScaleNormal="90" workbookViewId="0">
      <pane xSplit="2" ySplit="3" topLeftCell="H209" activePane="bottomRight" state="frozen"/>
      <selection pane="bottomRight" activeCell="H209" sqref="H209"/>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5" t="str" cm="1">
        <f t="array" ref="A1">portfolio</f>
        <v>Generate Capital</v>
      </c>
      <c r="B1" s="165"/>
      <c r="C1" s="165"/>
      <c r="D1" s="165"/>
      <c r="E1" s="166" t="s">
        <v>11</v>
      </c>
      <c r="F1" s="166"/>
      <c r="G1" s="166"/>
      <c r="H1" s="164" t="s">
        <v>12</v>
      </c>
      <c r="I1" s="164"/>
      <c r="J1" s="164"/>
    </row>
    <row r="2" spans="1:10" ht="19.5" customHeight="1">
      <c r="A2" s="167" t="s">
        <v>2</v>
      </c>
      <c r="B2" s="167"/>
      <c r="C2" s="65"/>
      <c r="D2" s="5">
        <f>SUM(D4:D238)</f>
        <v>76648162.841316909</v>
      </c>
      <c r="E2" s="5">
        <f>SUM(E4:E138)</f>
        <v>19695696.338200003</v>
      </c>
      <c r="F2" s="5">
        <f>D2-E2</f>
        <v>56952466.503116906</v>
      </c>
      <c r="G2" s="6">
        <f>IFERROR(F2/E2, 0)</f>
        <v>2.8916198506095476</v>
      </c>
      <c r="H2" s="5">
        <f>SUM(H4:H238)</f>
        <v>83212385.991399989</v>
      </c>
      <c r="I2" s="7">
        <f>D2-H2</f>
        <v>-6564223.1500830799</v>
      </c>
      <c r="J2" s="6">
        <f>IFERROR(I2/H2, 0)</f>
        <v>-7.8885169219417572E-2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SUM(Jan!D4, Feb!D4, Mar!D4)</f>
        <v>33885.131756532202</v>
      </c>
      <c r="E4" s="10">
        <f>SUM(Jan!E4, Feb!E4, Mar!E4)</f>
        <v>24953.396999999997</v>
      </c>
      <c r="F4" s="10">
        <f>IF(AND(ISNUMBER(D4),ISNUMBER(E4)), D4-E4, "")</f>
        <v>8931.7347565322052</v>
      </c>
      <c r="G4" s="11">
        <f>IFERROR(F4/E4, "")</f>
        <v>0.35793662708657287</v>
      </c>
      <c r="H4" s="12">
        <f>SUM(Jan!H4, Feb!H4, Mar!H4)</f>
        <v>31044.718000000001</v>
      </c>
      <c r="I4" s="12">
        <f>SUM(Jan!I4, Feb!I4, Mar!I4)</f>
        <v>2840.4137565321998</v>
      </c>
      <c r="J4" s="13">
        <f>IFERROR(I4/H4, "")</f>
        <v>9.1494268253047101E-2</v>
      </c>
    </row>
    <row r="5" spans="1:10" ht="15.6">
      <c r="A5" s="26" t="str">
        <v>Fulton</v>
      </c>
      <c r="B5" s="27" t="str">
        <v>AZ</v>
      </c>
      <c r="C5" s="27" t="str">
        <f>Sites[[#This Row],[SOL'#]]</f>
        <v>SOL-10749</v>
      </c>
      <c r="D5" s="9">
        <f>SUM(Jan!D5, Feb!D5, Mar!D5)</f>
        <v>99350</v>
      </c>
      <c r="E5" s="14">
        <f>SUM(Jan!E5, Feb!E5, Mar!E5)</f>
        <v>131822.29</v>
      </c>
      <c r="F5" s="14">
        <f t="shared" ref="F5:F15" si="0">IF(AND(ISNUMBER(D5),ISNUMBER(E5)), D5-E5, "")</f>
        <v>-32472.290000000008</v>
      </c>
      <c r="G5" s="15">
        <f>IFERROR(F5/E5, "")</f>
        <v>-0.24633383322350116</v>
      </c>
      <c r="H5" s="16">
        <f>SUM(Jan!H5, Feb!H5, Mar!H5)</f>
        <v>129516.72</v>
      </c>
      <c r="I5" s="16">
        <f>SUM(Jan!I5, Feb!I5, Mar!I5)</f>
        <v>-30166.720000000001</v>
      </c>
      <c r="J5" s="15">
        <f>IFERROR(I5/H5, "")</f>
        <v>-0.23291757234123903</v>
      </c>
    </row>
    <row r="6" spans="1:10" ht="15.6">
      <c r="A6" s="24" t="str">
        <v>JFK Elementary</v>
      </c>
      <c r="B6" s="25" t="str">
        <v>AZ</v>
      </c>
      <c r="C6" s="25" t="str">
        <f>Sites[[#This Row],[SOL'#]]</f>
        <v>SOL-10758</v>
      </c>
      <c r="D6" s="20">
        <f>SUM(Jan!D6, Feb!D6, Mar!D6)</f>
        <v>54804.579548152105</v>
      </c>
      <c r="E6" s="10">
        <f>SUM(Jan!E6, Feb!E6, Mar!E6)</f>
        <v>0</v>
      </c>
      <c r="F6" s="10">
        <f t="shared" si="0"/>
        <v>54804.579548152105</v>
      </c>
      <c r="G6" s="11" t="str">
        <f t="shared" ref="G6:G15" si="1">IFERROR(F6/E6, "")</f>
        <v/>
      </c>
      <c r="H6" s="12">
        <f>SUM(Jan!H6, Feb!H6, Mar!H6)</f>
        <v>48788</v>
      </c>
      <c r="I6" s="12">
        <f>SUM(Jan!I6, Feb!I6, Mar!I6)</f>
        <v>6016.5795481521018</v>
      </c>
      <c r="J6" s="13">
        <f t="shared" ref="J6:J15" si="2">IFERROR(I6/H6, "")</f>
        <v>0.12332088932016279</v>
      </c>
    </row>
    <row r="7" spans="1:10" ht="15.6">
      <c r="A7" s="26" t="str">
        <v>Noble</v>
      </c>
      <c r="B7" s="27" t="str">
        <v>AZ</v>
      </c>
      <c r="C7" s="27" t="str">
        <f>Sites[[#This Row],[SOL'#]]</f>
        <v>SOL-10750</v>
      </c>
      <c r="D7" s="9">
        <f>SUM(Jan!D7, Feb!D7, Mar!D7)</f>
        <v>32555.440619181791</v>
      </c>
      <c r="E7" s="14">
        <f>SUM(Jan!E7, Feb!E7, Mar!E7)</f>
        <v>42247</v>
      </c>
      <c r="F7" s="14">
        <f t="shared" si="0"/>
        <v>-9691.5593808182093</v>
      </c>
      <c r="G7" s="15">
        <f t="shared" si="1"/>
        <v>-0.229402309769172</v>
      </c>
      <c r="H7" s="16">
        <f>SUM(Jan!H7, Feb!H7, Mar!H7)</f>
        <v>34190.648000000001</v>
      </c>
      <c r="I7" s="16">
        <f>SUM(Jan!I7, Feb!I7, Mar!I7)</f>
        <v>-1635.2073808182104</v>
      </c>
      <c r="J7" s="15">
        <f t="shared" si="2"/>
        <v>-4.7826159387742824E-2</v>
      </c>
    </row>
    <row r="8" spans="1:10" ht="15.6">
      <c r="A8" s="24" t="str">
        <v>Parking 3</v>
      </c>
      <c r="B8" s="25" t="str">
        <v>AZ</v>
      </c>
      <c r="C8" s="25" t="str">
        <f>Sites[[#This Row],[SOL'#]]</f>
        <v>SOL-10751</v>
      </c>
      <c r="D8" s="20">
        <f>SUM(Jan!D8, Feb!D8, Mar!D8)</f>
        <v>85667.924999999988</v>
      </c>
      <c r="E8" s="10">
        <f>SUM(Jan!E8, Feb!E8, Mar!E8)</f>
        <v>64423.240000000005</v>
      </c>
      <c r="F8" s="10">
        <f t="shared" si="0"/>
        <v>21244.684999999983</v>
      </c>
      <c r="G8" s="11">
        <f t="shared" si="1"/>
        <v>0.32976741002160059</v>
      </c>
      <c r="H8" s="12">
        <f>SUM(Jan!H8, Feb!H8, Mar!H8)</f>
        <v>75395.460000000006</v>
      </c>
      <c r="I8" s="12">
        <f>SUM(Jan!I8, Feb!I8, Mar!I8)</f>
        <v>10272.465</v>
      </c>
      <c r="J8" s="13">
        <f t="shared" si="2"/>
        <v>0.13624779263897321</v>
      </c>
    </row>
    <row r="9" spans="1:10" ht="15.6">
      <c r="A9" s="26" t="str">
        <v>PE East</v>
      </c>
      <c r="B9" s="27" t="str">
        <v>AZ</v>
      </c>
      <c r="C9" s="27" t="str">
        <f>Sites[[#This Row],[SOL'#]]</f>
        <v>SOL-10752</v>
      </c>
      <c r="D9" s="9">
        <f>SUM(Jan!D9, Feb!D9, Mar!D9)</f>
        <v>74490.872368562894</v>
      </c>
      <c r="E9" s="14">
        <f>SUM(Jan!E9, Feb!E9, Mar!E9)</f>
        <v>50582.91</v>
      </c>
      <c r="F9" s="14">
        <f t="shared" si="0"/>
        <v>23907.96236856289</v>
      </c>
      <c r="G9" s="15">
        <f t="shared" si="1"/>
        <v>0.47264901067500642</v>
      </c>
      <c r="H9" s="16">
        <f>SUM(Jan!H9, Feb!H9, Mar!H9)</f>
        <v>75307.839999999997</v>
      </c>
      <c r="I9" s="16">
        <f>SUM(Jan!I9, Feb!I9, Mar!I9)</f>
        <v>-816.96763143709904</v>
      </c>
      <c r="J9" s="15">
        <f t="shared" si="2"/>
        <v>-1.0848374238818948E-2</v>
      </c>
    </row>
    <row r="10" spans="1:10" ht="15.6">
      <c r="A10" s="24" t="str">
        <v>Schwada</v>
      </c>
      <c r="B10" s="25" t="str">
        <v>AZ</v>
      </c>
      <c r="C10" s="25" t="str">
        <f>Sites[[#This Row],[SOL'#]]</f>
        <v>SOL-10753</v>
      </c>
      <c r="D10" s="20">
        <f>SUM(Jan!D10, Feb!D10, Mar!D10)</f>
        <v>34065.97</v>
      </c>
      <c r="E10" s="10">
        <f>SUM(Jan!E10, Feb!E10, Mar!E10)</f>
        <v>20825.374</v>
      </c>
      <c r="F10" s="10">
        <f t="shared" si="0"/>
        <v>13240.596000000001</v>
      </c>
      <c r="G10" s="11">
        <f t="shared" si="1"/>
        <v>0.63579151087514685</v>
      </c>
      <c r="H10" s="12">
        <f>SUM(Jan!H10, Feb!H10, Mar!H10)</f>
        <v>32349</v>
      </c>
      <c r="I10" s="12">
        <f>SUM(Jan!I10, Feb!I10, Mar!I10)</f>
        <v>1716.9700000000012</v>
      </c>
      <c r="J10" s="13">
        <f t="shared" si="2"/>
        <v>5.3076447494513006E-2</v>
      </c>
    </row>
    <row r="11" spans="1:10" ht="15.6">
      <c r="A11" s="26" t="str">
        <v>Starshine</v>
      </c>
      <c r="B11" s="27" t="str">
        <v>AZ</v>
      </c>
      <c r="C11" s="27" t="str">
        <f>Sites[[#This Row],[SOL'#]]</f>
        <v>SOL-10757</v>
      </c>
      <c r="D11" s="9">
        <f>SUM(Jan!D11, Feb!D11, Mar!D11)</f>
        <v>18832.184154894137</v>
      </c>
      <c r="E11" s="14">
        <f>SUM(Jan!E11, Feb!E11, Mar!E11)</f>
        <v>0</v>
      </c>
      <c r="F11" s="14">
        <f t="shared" si="0"/>
        <v>18832.184154894137</v>
      </c>
      <c r="G11" s="15" t="str">
        <f t="shared" si="1"/>
        <v/>
      </c>
      <c r="H11" s="16">
        <f>SUM(Jan!H11, Feb!H11, Mar!H11)</f>
        <v>19968</v>
      </c>
      <c r="I11" s="16">
        <f>SUM(Jan!I11, Feb!I11, Mar!I11)</f>
        <v>-1135.8158451058598</v>
      </c>
      <c r="J11" s="15">
        <f t="shared" si="2"/>
        <v>-5.6881803140317495E-2</v>
      </c>
    </row>
    <row r="12" spans="1:10" ht="15.6">
      <c r="A12" s="24" t="str">
        <v>Yuma Airport</v>
      </c>
      <c r="B12" s="25" t="str">
        <v>AZ</v>
      </c>
      <c r="C12" s="25" t="str">
        <f>Sites[[#This Row],[SOL'#]]</f>
        <v>SOL-10754</v>
      </c>
      <c r="D12" s="20">
        <f>SUM(Jan!D12, Feb!D12, Mar!D12)</f>
        <v>193213</v>
      </c>
      <c r="E12" s="10">
        <f>SUM(Jan!E12, Feb!E12, Mar!E12)</f>
        <v>246535.06000000003</v>
      </c>
      <c r="F12" s="10">
        <f t="shared" si="0"/>
        <v>-53322.060000000027</v>
      </c>
      <c r="G12" s="11">
        <f t="shared" si="1"/>
        <v>-0.21628591081528128</v>
      </c>
      <c r="H12" s="12">
        <f>SUM(Jan!H12, Feb!H12, Mar!H12)</f>
        <v>206622</v>
      </c>
      <c r="I12" s="12">
        <f>SUM(Jan!I12, Feb!I12, Mar!I12)</f>
        <v>-13409</v>
      </c>
      <c r="J12" s="13">
        <f t="shared" si="2"/>
        <v>-6.4896284035581883E-2</v>
      </c>
    </row>
    <row r="13" spans="1:10" ht="15.6">
      <c r="A13" s="26" t="str">
        <v>Kinsman</v>
      </c>
      <c r="B13" s="27" t="str">
        <v>OH</v>
      </c>
      <c r="C13" s="27" t="str">
        <f>Sites[[#This Row],[SOL'#]]</f>
        <v>SOL-10762</v>
      </c>
      <c r="D13" s="9">
        <f>SUM(Jan!D13, Feb!D13, Mar!D13)</f>
        <v>128985.9375</v>
      </c>
      <c r="E13" s="14">
        <f>SUM(Jan!E13, Feb!E13, Mar!E13)</f>
        <v>221836.34000000003</v>
      </c>
      <c r="F13" s="14">
        <f t="shared" si="0"/>
        <v>-92850.402500000026</v>
      </c>
      <c r="G13" s="15">
        <f t="shared" si="1"/>
        <v>-0.41855361704939781</v>
      </c>
      <c r="H13" s="16">
        <f>SUM(Jan!H13, Feb!H13, Mar!H13)</f>
        <v>205726</v>
      </c>
      <c r="I13" s="16">
        <f>SUM(Jan!I13, Feb!I13, Mar!I13)</f>
        <v>-76740.0625</v>
      </c>
      <c r="J13" s="15">
        <f t="shared" si="2"/>
        <v>-0.37302072902793038</v>
      </c>
    </row>
    <row r="14" spans="1:10" ht="15.6">
      <c r="A14" s="24" t="str">
        <v>Wooster</v>
      </c>
      <c r="B14" s="25" t="str">
        <v>OH</v>
      </c>
      <c r="C14" s="25" t="str">
        <f>Sites[[#This Row],[SOL'#]]</f>
        <v>SOL-10763</v>
      </c>
      <c r="D14" s="20">
        <f>SUM(Jan!D14, Feb!D14, Mar!D14)</f>
        <v>31942</v>
      </c>
      <c r="E14" s="10">
        <f>SUM(Jan!E14, Feb!E14, Mar!E14)</f>
        <v>0</v>
      </c>
      <c r="F14" s="10">
        <f t="shared" si="0"/>
        <v>31942</v>
      </c>
      <c r="G14" s="11" t="str">
        <f t="shared" si="1"/>
        <v/>
      </c>
      <c r="H14" s="12">
        <f>SUM(Jan!H14, Feb!H14, Mar!H14)</f>
        <v>46251</v>
      </c>
      <c r="I14" s="12">
        <f>SUM(Jan!I14, Feb!I14, Mar!I14)</f>
        <v>-14309</v>
      </c>
      <c r="J14" s="13">
        <f t="shared" si="2"/>
        <v>-0.30937709454930706</v>
      </c>
    </row>
    <row r="15" spans="1:10" ht="15.6">
      <c r="A15" s="26" t="str">
        <v>Globe Gila CC</v>
      </c>
      <c r="B15" s="27" t="str">
        <v>AZ</v>
      </c>
      <c r="C15" s="27" t="str">
        <f>Sites[[#This Row],[SOL'#]]</f>
        <v>SOL-10755</v>
      </c>
      <c r="D15" s="9">
        <f>SUM(Jan!D15, Feb!D15, Mar!D15)</f>
        <v>43820.519835123705</v>
      </c>
      <c r="E15" s="14">
        <f>SUM(Jan!E15, Feb!E15, Mar!E15)</f>
        <v>0</v>
      </c>
      <c r="F15" s="14">
        <f t="shared" si="0"/>
        <v>43820.519835123705</v>
      </c>
      <c r="G15" s="15" t="str">
        <f t="shared" si="1"/>
        <v/>
      </c>
      <c r="H15" s="16">
        <f>SUM(Jan!H15, Feb!H15, Mar!H15)</f>
        <v>37905</v>
      </c>
      <c r="I15" s="16">
        <f>SUM(Jan!I15, Feb!I15, Mar!I15)</f>
        <v>5915.5198351237013</v>
      </c>
      <c r="J15" s="15">
        <f t="shared" si="2"/>
        <v>0.15606172893084558</v>
      </c>
    </row>
    <row r="16" spans="1:10" ht="15.6">
      <c r="A16" s="24" t="str">
        <v>Payson Gila CC</v>
      </c>
      <c r="B16" s="25" t="str">
        <v>AZ</v>
      </c>
      <c r="C16" s="25" t="str">
        <f>Sites[[#This Row],[SOL'#]]</f>
        <v>SOL-10756</v>
      </c>
      <c r="D16" s="20">
        <f>SUM(Jan!D16, Feb!D16, Mar!D16)</f>
        <v>29194.621407664421</v>
      </c>
      <c r="E16" s="10">
        <f>SUM(Jan!E16, Feb!E16, Mar!E16)</f>
        <v>14452.624</v>
      </c>
      <c r="F16" s="10">
        <f t="shared" ref="F16:F17" si="3">IF(AND(ISNUMBER(D16),ISNUMBER(E16)), D16-E16, "")</f>
        <v>14741.997407664421</v>
      </c>
      <c r="G16" s="11">
        <f t="shared" ref="G16:G17" si="4">IFERROR(F16/E16, "")</f>
        <v>1.0200222054946162</v>
      </c>
      <c r="H16" s="12">
        <f>SUM(Jan!H16, Feb!H16, Mar!H16)</f>
        <v>29085</v>
      </c>
      <c r="I16" s="12">
        <f>SUM(Jan!I16, Feb!I16, Mar!I16)</f>
        <v>109.62140766441917</v>
      </c>
      <c r="J16" s="13">
        <f t="shared" ref="J16:J17" si="5">IFERROR(I16/H16, "")</f>
        <v>3.7690014668873705E-3</v>
      </c>
    </row>
    <row r="17" spans="1:10" ht="15.6">
      <c r="A17" s="26" t="str">
        <v>SCNM</v>
      </c>
      <c r="B17" s="27" t="str">
        <v>AZ</v>
      </c>
      <c r="C17" s="27" t="str">
        <f>Sites[[#This Row],[SOL'#]]</f>
        <v>SOL-10760</v>
      </c>
      <c r="D17" s="9">
        <f>SUM(Jan!D17, Feb!D17, Mar!D17)</f>
        <v>198075.62999999989</v>
      </c>
      <c r="E17" s="14">
        <f>SUM(Jan!E17, Feb!E17, Mar!E17)</f>
        <v>101386.95000000001</v>
      </c>
      <c r="F17" s="14">
        <f t="shared" si="3"/>
        <v>96688.679999999877</v>
      </c>
      <c r="G17" s="15">
        <f t="shared" si="4"/>
        <v>0.95366001245722321</v>
      </c>
      <c r="H17" s="16">
        <f>SUM(Jan!H17, Feb!H17, Mar!H17)</f>
        <v>187565</v>
      </c>
      <c r="I17" s="16">
        <f>SUM(Jan!I17, Feb!I17, Mar!I17)</f>
        <v>10510.629999999903</v>
      </c>
      <c r="J17" s="15">
        <f t="shared" si="5"/>
        <v>5.6037267080744822E-2</v>
      </c>
    </row>
    <row r="18" spans="1:10" ht="12.75" customHeight="1">
      <c r="A18" s="24" t="str">
        <v>Sequoia Charter School</v>
      </c>
      <c r="B18" s="25" t="str">
        <v>AZ</v>
      </c>
      <c r="C18" s="25" t="str">
        <f>Sites[[#This Row],[SOL'#]]</f>
        <v>SOL-10759</v>
      </c>
      <c r="D18" s="20">
        <f>SUM(Jan!D18, Feb!D18, Mar!D18)</f>
        <v>67477.809999999896</v>
      </c>
      <c r="E18" s="10">
        <f>SUM(Jan!E18, Feb!E18, Mar!E18)</f>
        <v>0</v>
      </c>
      <c r="F18" s="10">
        <f t="shared" ref="F18:F81" si="6">IF(AND(ISNUMBER(D18),ISNUMBER(E18)), D18-E18, "")</f>
        <v>67477.809999999896</v>
      </c>
      <c r="G18" s="11" t="str">
        <f t="shared" ref="G18:G81" si="7">IFERROR(F18/E18, "")</f>
        <v/>
      </c>
      <c r="H18" s="12">
        <f>SUM(Jan!H18, Feb!H18, Mar!H18)</f>
        <v>110995</v>
      </c>
      <c r="I18" s="12">
        <f>SUM(Jan!I18, Feb!I18, Mar!I18)</f>
        <v>-43517.190000000104</v>
      </c>
      <c r="J18" s="13">
        <f t="shared" ref="J18:J81" si="8">IFERROR(I18/H18, "")</f>
        <v>-0.39206441731609626</v>
      </c>
    </row>
    <row r="19" spans="1:10" ht="15.6">
      <c r="A19" s="26" t="str">
        <v>RCAB</v>
      </c>
      <c r="B19" s="27" t="str">
        <v>MA</v>
      </c>
      <c r="C19" s="27" t="str">
        <f>Sites[[#This Row],[SOL'#]]</f>
        <v>SOL-10838</v>
      </c>
      <c r="D19" s="9">
        <f>SUM(Jan!D19, Feb!D19, Mar!D19)</f>
        <v>163272</v>
      </c>
      <c r="E19" s="14">
        <f>SUM(Jan!E19, Feb!E19, Mar!E19)</f>
        <v>242744.52</v>
      </c>
      <c r="F19" s="14">
        <f t="shared" si="6"/>
        <v>-79472.51999999999</v>
      </c>
      <c r="G19" s="15">
        <f t="shared" si="7"/>
        <v>-0.32739161320716936</v>
      </c>
      <c r="H19" s="16">
        <f>SUM(Jan!H19, Feb!H19, Mar!H19)</f>
        <v>203517.16999999998</v>
      </c>
      <c r="I19" s="16">
        <f>SUM(Jan!I19, Feb!I19, Mar!I19)</f>
        <v>-40245.17</v>
      </c>
      <c r="J19" s="15">
        <f t="shared" si="8"/>
        <v>-0.19774827843763748</v>
      </c>
    </row>
    <row r="20" spans="1:10" ht="15.6">
      <c r="A20" s="24" t="str">
        <v>Spectro Coatings</v>
      </c>
      <c r="B20" s="25" t="str">
        <v>MA</v>
      </c>
      <c r="C20" s="25" t="str">
        <f>Sites[[#This Row],[SOL'#]]</f>
        <v>SOL-10074</v>
      </c>
      <c r="D20" s="20">
        <f>SUM(Jan!D20, Feb!D20, Mar!D20)</f>
        <v>41290.875</v>
      </c>
      <c r="E20" s="10">
        <f>SUM(Jan!E20, Feb!E20, Mar!E20)</f>
        <v>72248.55</v>
      </c>
      <c r="F20" s="10">
        <f t="shared" si="6"/>
        <v>-30957.675000000003</v>
      </c>
      <c r="G20" s="11">
        <f t="shared" si="7"/>
        <v>-0.42848853021963768</v>
      </c>
      <c r="H20" s="12">
        <f>SUM(Jan!H20, Feb!H20, Mar!H20)</f>
        <v>53860.7</v>
      </c>
      <c r="I20" s="12">
        <f>SUM(Jan!I20, Feb!I20, Mar!I20)</f>
        <v>-12569.825000000001</v>
      </c>
      <c r="J20" s="13">
        <f t="shared" si="8"/>
        <v>-0.23337656213157276</v>
      </c>
    </row>
    <row r="21" spans="1:10" ht="15.6">
      <c r="A21" s="26" t="str">
        <v>K026</v>
      </c>
      <c r="B21" s="27" t="str">
        <v>NY</v>
      </c>
      <c r="C21" s="27" t="str">
        <f>Sites[[#This Row],[SOL'#]]</f>
        <v>SOL-10356</v>
      </c>
      <c r="D21" s="9">
        <f>SUM(Jan!D21, Feb!D21, Mar!D21)</f>
        <v>59541.499999999796</v>
      </c>
      <c r="E21" s="14">
        <f>SUM(Jan!E21, Feb!E21, Mar!E21)</f>
        <v>72002.03</v>
      </c>
      <c r="F21" s="14">
        <f t="shared" si="6"/>
        <v>-12460.530000000203</v>
      </c>
      <c r="G21" s="15">
        <f t="shared" si="7"/>
        <v>-0.17305803739144859</v>
      </c>
      <c r="H21" s="16">
        <f>SUM(Jan!H21, Feb!H21, Mar!H21)</f>
        <v>50886.229999999996</v>
      </c>
      <c r="I21" s="16">
        <f>SUM(Jan!I21, Feb!I21, Mar!I21)</f>
        <v>8655.2699999998003</v>
      </c>
      <c r="J21" s="15">
        <f t="shared" si="8"/>
        <v>0.1700906119396112</v>
      </c>
    </row>
    <row r="22" spans="1:10" ht="15.6">
      <c r="A22" s="24" t="str">
        <v>K041</v>
      </c>
      <c r="B22" s="25" t="str">
        <v>NY</v>
      </c>
      <c r="C22" s="25" t="str">
        <f>Sites[[#This Row],[SOL'#]]</f>
        <v>SOL-10357</v>
      </c>
      <c r="D22" s="20">
        <f>SUM(Jan!D22, Feb!D22, Mar!D22)</f>
        <v>45035.96875</v>
      </c>
      <c r="E22" s="10">
        <f>SUM(Jan!E22, Feb!E22, Mar!E22)</f>
        <v>56199.33</v>
      </c>
      <c r="F22" s="10">
        <f t="shared" si="6"/>
        <v>-11163.361250000002</v>
      </c>
      <c r="G22" s="11">
        <f t="shared" si="7"/>
        <v>-0.19863868928686518</v>
      </c>
      <c r="H22" s="12">
        <f>SUM(Jan!H22, Feb!H22, Mar!H22)</f>
        <v>46068</v>
      </c>
      <c r="I22" s="12">
        <f>SUM(Jan!I22, Feb!I22, Mar!I22)</f>
        <v>-1032.03125</v>
      </c>
      <c r="J22" s="13">
        <f t="shared" si="8"/>
        <v>-2.2402345445862639E-2</v>
      </c>
    </row>
    <row r="23" spans="1:10" ht="15.6">
      <c r="A23" s="26" t="str">
        <v>K043</v>
      </c>
      <c r="B23" s="27" t="str">
        <v>NY</v>
      </c>
      <c r="C23" s="27" t="str">
        <f>Sites[[#This Row],[SOL'#]]</f>
        <v>SOL-10358</v>
      </c>
      <c r="D23" s="9">
        <f>SUM(Jan!D23, Feb!D23, Mar!D23)</f>
        <v>53077.09375</v>
      </c>
      <c r="E23" s="14">
        <f>SUM(Jan!E23, Feb!E23, Mar!E23)</f>
        <v>62413.61</v>
      </c>
      <c r="F23" s="14">
        <f t="shared" si="6"/>
        <v>-9336.5162500000006</v>
      </c>
      <c r="G23" s="15">
        <f t="shared" si="7"/>
        <v>-0.14959103070628346</v>
      </c>
      <c r="H23" s="16">
        <f>SUM(Jan!H23, Feb!H23, Mar!H23)</f>
        <v>10325</v>
      </c>
      <c r="I23" s="16">
        <f>SUM(Jan!I23, Feb!I23, Mar!I23)</f>
        <v>42752.09375</v>
      </c>
      <c r="J23" s="15">
        <f t="shared" si="8"/>
        <v>4.1406386198547214</v>
      </c>
    </row>
    <row r="24" spans="1:10" ht="15.6">
      <c r="A24" s="24" t="str">
        <v>K058</v>
      </c>
      <c r="B24" s="25" t="str">
        <v>NY</v>
      </c>
      <c r="C24" s="25" t="str">
        <f>Sites[[#This Row],[SOL'#]]</f>
        <v>SOL-10360</v>
      </c>
      <c r="D24" s="20">
        <f>SUM(Jan!D24, Feb!D24, Mar!D24)</f>
        <v>12634.75</v>
      </c>
      <c r="E24" s="10">
        <f>SUM(Jan!E24, Feb!E24, Mar!E24)</f>
        <v>22177.692999999999</v>
      </c>
      <c r="F24" s="10">
        <f t="shared" si="6"/>
        <v>-9542.9429999999993</v>
      </c>
      <c r="G24" s="11">
        <f t="shared" si="7"/>
        <v>-0.43029466590596233</v>
      </c>
      <c r="H24" s="12">
        <f>SUM(Jan!H24, Feb!H24, Mar!H24)</f>
        <v>39956.248999999996</v>
      </c>
      <c r="I24" s="12">
        <f>SUM(Jan!I24, Feb!I24, Mar!I24)</f>
        <v>-27321.499</v>
      </c>
      <c r="J24" s="13">
        <f t="shared" si="8"/>
        <v>-0.68378538235658715</v>
      </c>
    </row>
    <row r="25" spans="1:10" ht="15.6">
      <c r="A25" s="26" t="str">
        <v>K115</v>
      </c>
      <c r="B25" s="27" t="str">
        <v>NY</v>
      </c>
      <c r="C25" s="27" t="str">
        <f>Sites[[#This Row],[SOL'#]]</f>
        <v>SOL-10361</v>
      </c>
      <c r="D25" s="9">
        <f>SUM(Jan!D25, Feb!D25, Mar!D25)</f>
        <v>11799.1171875</v>
      </c>
      <c r="E25" s="14">
        <f>SUM(Jan!E25, Feb!E25, Mar!E25)</f>
        <v>26169.975999999999</v>
      </c>
      <c r="F25" s="14">
        <f t="shared" si="6"/>
        <v>-14370.858812499999</v>
      </c>
      <c r="G25" s="15">
        <f t="shared" si="7"/>
        <v>-0.54913534550050791</v>
      </c>
      <c r="H25" s="16">
        <f>SUM(Jan!H25, Feb!H25, Mar!H25)</f>
        <v>25362.093999999997</v>
      </c>
      <c r="I25" s="16">
        <f>SUM(Jan!I25, Feb!I25, Mar!I25)</f>
        <v>-13562.976812500001</v>
      </c>
      <c r="J25" s="15">
        <f t="shared" si="8"/>
        <v>-0.53477354087955054</v>
      </c>
    </row>
    <row r="26" spans="1:10" ht="15.6">
      <c r="A26" s="24" t="str">
        <v>K152</v>
      </c>
      <c r="B26" s="25" t="str">
        <v>NY</v>
      </c>
      <c r="C26" s="25" t="str">
        <f>Sites[[#This Row],[SOL'#]]</f>
        <v>SOL-10362</v>
      </c>
      <c r="D26" s="20">
        <f>SUM(Jan!D26, Feb!D26, Mar!D26)</f>
        <v>16402.1875</v>
      </c>
      <c r="E26" s="10">
        <f>SUM(Jan!E26, Feb!E26, Mar!E26)</f>
        <v>18944.046999999999</v>
      </c>
      <c r="F26" s="10">
        <f t="shared" si="6"/>
        <v>-2541.8594999999987</v>
      </c>
      <c r="G26" s="11">
        <f t="shared" si="7"/>
        <v>-0.13417721672671098</v>
      </c>
      <c r="H26" s="12">
        <f>SUM(Jan!H26, Feb!H26, Mar!H26)</f>
        <v>15415</v>
      </c>
      <c r="I26" s="12">
        <f>SUM(Jan!I26, Feb!I26, Mar!I26)</f>
        <v>987.1875</v>
      </c>
      <c r="J26" s="13">
        <f t="shared" si="8"/>
        <v>6.4040707103470651E-2</v>
      </c>
    </row>
    <row r="27" spans="1:10" ht="15.6">
      <c r="A27" s="26" t="str">
        <v>K166</v>
      </c>
      <c r="B27" s="27" t="str">
        <v>NY</v>
      </c>
      <c r="C27" s="27" t="str">
        <f>Sites[[#This Row],[SOL'#]]</f>
        <v>SOL-10363</v>
      </c>
      <c r="D27" s="9">
        <f>SUM(Jan!D27, Feb!D27, Mar!D27)</f>
        <v>58816.625</v>
      </c>
      <c r="E27" s="14">
        <f>SUM(Jan!E27, Feb!E27, Mar!E27)</f>
        <v>71150.650000000009</v>
      </c>
      <c r="F27" s="14">
        <f t="shared" si="6"/>
        <v>-12334.025000000009</v>
      </c>
      <c r="G27" s="15">
        <f t="shared" si="7"/>
        <v>-0.17335084078641597</v>
      </c>
      <c r="H27" s="16">
        <f>SUM(Jan!H27, Feb!H27, Mar!H27)</f>
        <v>54476.13</v>
      </c>
      <c r="I27" s="16">
        <f>SUM(Jan!I27, Feb!I27, Mar!I27)</f>
        <v>4340.4950000000026</v>
      </c>
      <c r="J27" s="15">
        <f t="shared" si="8"/>
        <v>7.9677007158915347E-2</v>
      </c>
    </row>
    <row r="28" spans="1:10" ht="15.6">
      <c r="A28" s="24" t="str">
        <v>K206</v>
      </c>
      <c r="B28" s="25" t="str">
        <v>NY</v>
      </c>
      <c r="C28" s="25" t="str">
        <f>Sites[[#This Row],[SOL'#]]</f>
        <v>SOL-10927</v>
      </c>
      <c r="D28" s="20">
        <f>SUM(Jan!D28, Feb!D28, Mar!D28)</f>
        <v>35230.823984374998</v>
      </c>
      <c r="E28" s="10">
        <f>SUM(Jan!E28, Feb!E28, Mar!E28)</f>
        <v>42404.210000000006</v>
      </c>
      <c r="F28" s="10">
        <f t="shared" si="6"/>
        <v>-7173.3860156250084</v>
      </c>
      <c r="G28" s="11">
        <f t="shared" si="7"/>
        <v>-0.16916683545395628</v>
      </c>
      <c r="H28" s="12">
        <f>SUM(Jan!H28, Feb!H28, Mar!H28)</f>
        <v>32033</v>
      </c>
      <c r="I28" s="12">
        <f>SUM(Jan!I28, Feb!I28, Mar!I28)</f>
        <v>3197.8239843749989</v>
      </c>
      <c r="J28" s="13">
        <f t="shared" si="8"/>
        <v>9.9829050803078037E-2</v>
      </c>
    </row>
    <row r="29" spans="1:10" ht="15.6">
      <c r="A29" s="26" t="str">
        <v>K251</v>
      </c>
      <c r="B29" s="27" t="str">
        <v>NY</v>
      </c>
      <c r="C29" s="27" t="str">
        <f>Sites[[#This Row],[SOL'#]]</f>
        <v>SOL-10365</v>
      </c>
      <c r="D29" s="9">
        <f>SUM(Jan!D29, Feb!D29, Mar!D29)</f>
        <v>39545.375</v>
      </c>
      <c r="E29" s="14">
        <f>SUM(Jan!E29, Feb!E29, Mar!E29)</f>
        <v>0</v>
      </c>
      <c r="F29" s="14">
        <f t="shared" si="6"/>
        <v>39545.375</v>
      </c>
      <c r="G29" s="15" t="str">
        <f t="shared" si="7"/>
        <v/>
      </c>
      <c r="H29" s="16">
        <f>SUM(Jan!H29, Feb!H29, Mar!H29)</f>
        <v>36320.712</v>
      </c>
      <c r="I29" s="16">
        <f>SUM(Jan!I29, Feb!I29, Mar!I29)</f>
        <v>3224.6630000000023</v>
      </c>
      <c r="J29" s="15">
        <f t="shared" si="8"/>
        <v>8.8783033768721334E-2</v>
      </c>
    </row>
    <row r="30" spans="1:10" ht="15.6">
      <c r="A30" s="24" t="str">
        <v>K269</v>
      </c>
      <c r="B30" s="25" t="str">
        <v>NY</v>
      </c>
      <c r="C30" s="25" t="str">
        <f>Sites[[#This Row],[SOL'#]]</f>
        <v>SOL-10366</v>
      </c>
      <c r="D30" s="20">
        <f>SUM(Jan!D30, Feb!D30, Mar!D30)</f>
        <v>35207.875</v>
      </c>
      <c r="E30" s="10">
        <f>SUM(Jan!E30, Feb!E30, Mar!E30)</f>
        <v>46926.1</v>
      </c>
      <c r="F30" s="10">
        <f t="shared" si="6"/>
        <v>-11718.224999999999</v>
      </c>
      <c r="G30" s="11">
        <f t="shared" si="7"/>
        <v>-0.24971657563701222</v>
      </c>
      <c r="H30" s="12">
        <f>SUM(Jan!H30, Feb!H30, Mar!H30)</f>
        <v>35757.561999999998</v>
      </c>
      <c r="I30" s="12">
        <f>SUM(Jan!I30, Feb!I30, Mar!I30)</f>
        <v>-549.68699999999899</v>
      </c>
      <c r="J30" s="13">
        <f t="shared" si="8"/>
        <v>-1.537260845691882E-2</v>
      </c>
    </row>
    <row r="31" spans="1:10" ht="15.6">
      <c r="A31" s="26" t="str">
        <v>K273</v>
      </c>
      <c r="B31" s="27" t="str">
        <v>NY</v>
      </c>
      <c r="C31" s="27" t="str">
        <f>Sites[[#This Row],[SOL'#]]</f>
        <v>SOL-10367</v>
      </c>
      <c r="D31" s="9">
        <f>SUM(Jan!D31, Feb!D31, Mar!D31)</f>
        <v>37234.6875</v>
      </c>
      <c r="E31" s="14">
        <f>SUM(Jan!E31, Feb!E31, Mar!E31)</f>
        <v>0</v>
      </c>
      <c r="F31" s="14">
        <f t="shared" si="6"/>
        <v>37234.6875</v>
      </c>
      <c r="G31" s="15" t="str">
        <f t="shared" si="7"/>
        <v/>
      </c>
      <c r="H31" s="16">
        <f>SUM(Jan!H31, Feb!H31, Mar!H31)</f>
        <v>42215</v>
      </c>
      <c r="I31" s="16">
        <f>SUM(Jan!I31, Feb!I31, Mar!I31)</f>
        <v>-4980.3125</v>
      </c>
      <c r="J31" s="15">
        <f t="shared" si="8"/>
        <v>-0.11797494966244226</v>
      </c>
    </row>
    <row r="32" spans="1:10" ht="15.6">
      <c r="A32" s="24" t="str">
        <v>K287</v>
      </c>
      <c r="B32" s="25" t="str">
        <v>NY</v>
      </c>
      <c r="C32" s="25" t="str">
        <f>Sites[[#This Row],[SOL'#]]</f>
        <v>SOL-10919</v>
      </c>
      <c r="D32" s="20">
        <f>SUM(Jan!D32, Feb!D32, Mar!D32)</f>
        <v>31794.09375</v>
      </c>
      <c r="E32" s="10">
        <f>SUM(Jan!E32, Feb!E32, Mar!E32)</f>
        <v>31809.195</v>
      </c>
      <c r="F32" s="10">
        <f t="shared" si="6"/>
        <v>-15.101249999999709</v>
      </c>
      <c r="G32" s="11">
        <f t="shared" si="7"/>
        <v>-4.7474480256415509E-4</v>
      </c>
      <c r="H32" s="12">
        <f>SUM(Jan!H32, Feb!H32, Mar!H32)</f>
        <v>31948</v>
      </c>
      <c r="I32" s="12">
        <f>SUM(Jan!I32, Feb!I32, Mar!I32)</f>
        <v>-153.90625</v>
      </c>
      <c r="J32" s="13">
        <f t="shared" si="8"/>
        <v>-4.8173985852009516E-3</v>
      </c>
    </row>
    <row r="33" spans="1:10" ht="15.6">
      <c r="A33" s="26" t="str">
        <v>K298</v>
      </c>
      <c r="B33" s="27" t="str">
        <v>NY</v>
      </c>
      <c r="C33" s="27" t="str">
        <f>Sites[[#This Row],[SOL'#]]</f>
        <v>SOL-10368</v>
      </c>
      <c r="D33" s="9">
        <f>SUM(Jan!D33, Feb!D33, Mar!D33)</f>
        <v>30988.3125</v>
      </c>
      <c r="E33" s="14">
        <f>SUM(Jan!E33, Feb!E33, Mar!E33)</f>
        <v>41019.480000000003</v>
      </c>
      <c r="F33" s="14">
        <f t="shared" si="6"/>
        <v>-10031.167500000003</v>
      </c>
      <c r="G33" s="15">
        <f t="shared" si="7"/>
        <v>-0.2445464325730117</v>
      </c>
      <c r="H33" s="16">
        <f>SUM(Jan!H33, Feb!H33, Mar!H33)</f>
        <v>32201</v>
      </c>
      <c r="I33" s="16">
        <f>SUM(Jan!I33, Feb!I33, Mar!I33)</f>
        <v>-1212.6875</v>
      </c>
      <c r="J33" s="15">
        <f t="shared" si="8"/>
        <v>-3.7659932921337846E-2</v>
      </c>
    </row>
    <row r="34" spans="1:10" ht="15.6">
      <c r="A34" s="24" t="str">
        <v>K335</v>
      </c>
      <c r="B34" s="25" t="str">
        <v>NY</v>
      </c>
      <c r="C34" s="25" t="str">
        <f>Sites[[#This Row],[SOL'#]]</f>
        <v>SOL-10370</v>
      </c>
      <c r="D34" s="20">
        <f>SUM(Jan!D34, Feb!D34, Mar!D34)</f>
        <v>34573.9375</v>
      </c>
      <c r="E34" s="10">
        <f>SUM(Jan!E34, Feb!E34, Mar!E34)</f>
        <v>44090.73</v>
      </c>
      <c r="F34" s="10">
        <f t="shared" si="6"/>
        <v>-9516.7925000000032</v>
      </c>
      <c r="G34" s="11">
        <f t="shared" si="7"/>
        <v>-0.2158456550844135</v>
      </c>
      <c r="H34" s="12">
        <f>SUM(Jan!H34, Feb!H34, Mar!H34)</f>
        <v>35771</v>
      </c>
      <c r="I34" s="12">
        <f>SUM(Jan!I34, Feb!I34, Mar!I34)</f>
        <v>-1197.0625</v>
      </c>
      <c r="J34" s="13">
        <f t="shared" si="8"/>
        <v>-3.3464608202174943E-2</v>
      </c>
    </row>
    <row r="35" spans="1:10" ht="15.6">
      <c r="A35" s="26" t="str">
        <v>K345</v>
      </c>
      <c r="B35" s="27" t="str">
        <v>NY</v>
      </c>
      <c r="C35" s="27" t="str">
        <f>Sites[[#This Row],[SOL'#]]</f>
        <v>SOL-10920</v>
      </c>
      <c r="D35" s="9">
        <f>SUM(Jan!D35, Feb!D35, Mar!D35)</f>
        <v>40739.343750000015</v>
      </c>
      <c r="E35" s="14">
        <f>SUM(Jan!E35, Feb!E35, Mar!E35)</f>
        <v>30184.546000000002</v>
      </c>
      <c r="F35" s="14">
        <f t="shared" si="6"/>
        <v>10554.797750000012</v>
      </c>
      <c r="G35" s="15">
        <f t="shared" si="7"/>
        <v>0.34967555085970192</v>
      </c>
      <c r="H35" s="16">
        <f>SUM(Jan!H35, Feb!H35, Mar!H35)</f>
        <v>38421</v>
      </c>
      <c r="I35" s="16">
        <f>SUM(Jan!I35, Feb!I35, Mar!I35)</f>
        <v>2318.34375000001</v>
      </c>
      <c r="J35" s="15">
        <f t="shared" si="8"/>
        <v>6.0340536425392624E-2</v>
      </c>
    </row>
    <row r="36" spans="1:10" ht="15.6">
      <c r="A36" s="24" t="str">
        <v>K445</v>
      </c>
      <c r="B36" s="25" t="str">
        <v>NY</v>
      </c>
      <c r="C36" s="25" t="str">
        <f>Sites[[#This Row],[SOL'#]]</f>
        <v>SOL-10373</v>
      </c>
      <c r="D36" s="20">
        <f>SUM(Jan!D36, Feb!D36, Mar!D36)</f>
        <v>34367.859375</v>
      </c>
      <c r="E36" s="10">
        <f>SUM(Jan!E36, Feb!E36, Mar!E36)</f>
        <v>43977.83</v>
      </c>
      <c r="F36" s="10">
        <f t="shared" si="6"/>
        <v>-9609.9706250000017</v>
      </c>
      <c r="G36" s="11">
        <f t="shared" si="7"/>
        <v>-0.21851852683499848</v>
      </c>
      <c r="H36" s="12">
        <f>SUM(Jan!H36, Feb!H36, Mar!H36)</f>
        <v>32201.837</v>
      </c>
      <c r="I36" s="12">
        <f>SUM(Jan!I36, Feb!I36, Mar!I36)</f>
        <v>2166.0223749999996</v>
      </c>
      <c r="J36" s="13">
        <f t="shared" si="8"/>
        <v>6.7263938234331147E-2</v>
      </c>
    </row>
    <row r="37" spans="1:10" ht="15.6">
      <c r="A37" s="26" t="str">
        <v>K495</v>
      </c>
      <c r="B37" s="27" t="str">
        <v>NY</v>
      </c>
      <c r="C37" s="27" t="str">
        <f>Sites[[#This Row],[SOL'#]]</f>
        <v>SOL-10374</v>
      </c>
      <c r="D37" s="9">
        <f>SUM(Jan!D37, Feb!D37, Mar!D37)</f>
        <v>576</v>
      </c>
      <c r="E37" s="14">
        <f>SUM(Jan!E37, Feb!E37, Mar!E37)</f>
        <v>133849.47</v>
      </c>
      <c r="F37" s="14">
        <f t="shared" si="6"/>
        <v>-133273.47</v>
      </c>
      <c r="G37" s="15">
        <f t="shared" si="7"/>
        <v>-0.99569665834313725</v>
      </c>
      <c r="H37" s="16">
        <f>SUM(Jan!H37, Feb!H37, Mar!H37)</f>
        <v>145580</v>
      </c>
      <c r="I37" s="16">
        <f>SUM(Jan!I37, Feb!I37, Mar!I37)</f>
        <v>-145004</v>
      </c>
      <c r="J37" s="15">
        <f t="shared" si="8"/>
        <v>-0.99604341255666984</v>
      </c>
    </row>
    <row r="38" spans="1:10" ht="15.6">
      <c r="A38" s="24" t="str">
        <v>M020</v>
      </c>
      <c r="B38" s="25" t="str">
        <v>NY</v>
      </c>
      <c r="C38" s="25" t="str">
        <f>Sites[[#This Row],[SOL'#]]</f>
        <v>SOL-10380</v>
      </c>
      <c r="D38" s="20">
        <f>SUM(Jan!D38, Feb!D38, Mar!D38)</f>
        <v>36141.6875</v>
      </c>
      <c r="E38" s="10">
        <f>SUM(Jan!E38, Feb!E38, Mar!E38)</f>
        <v>43127.54</v>
      </c>
      <c r="F38" s="10">
        <f t="shared" si="6"/>
        <v>-6985.8525000000009</v>
      </c>
      <c r="G38" s="11">
        <f t="shared" si="7"/>
        <v>-0.16198124214828855</v>
      </c>
      <c r="H38" s="12">
        <f>SUM(Jan!H38, Feb!H38, Mar!H38)</f>
        <v>39795</v>
      </c>
      <c r="I38" s="12">
        <f>SUM(Jan!I38, Feb!I38, Mar!I38)</f>
        <v>-3653.3125</v>
      </c>
      <c r="J38" s="13">
        <f t="shared" si="8"/>
        <v>-9.1803304435230562E-2</v>
      </c>
    </row>
    <row r="39" spans="1:10" ht="15.6">
      <c r="A39" s="26" t="str">
        <v>M092</v>
      </c>
      <c r="B39" s="27" t="str">
        <v>NY</v>
      </c>
      <c r="C39" s="27" t="str">
        <f>Sites[[#This Row],[SOL'#]]</f>
        <v>SOL-10383</v>
      </c>
      <c r="D39" s="9">
        <f>SUM(Jan!D39, Feb!D39, Mar!D39)</f>
        <v>35420.750000000022</v>
      </c>
      <c r="E39" s="14">
        <f>SUM(Jan!E39, Feb!E39, Mar!E39)</f>
        <v>43593.08</v>
      </c>
      <c r="F39" s="14">
        <f t="shared" si="6"/>
        <v>-8172.3299999999799</v>
      </c>
      <c r="G39" s="15">
        <f t="shared" si="7"/>
        <v>-0.18746851564514322</v>
      </c>
      <c r="H39" s="16">
        <f>SUM(Jan!H39, Feb!H39, Mar!H39)</f>
        <v>36415.06</v>
      </c>
      <c r="I39" s="16">
        <f>SUM(Jan!I39, Feb!I39, Mar!I39)</f>
        <v>-994.30999999998221</v>
      </c>
      <c r="J39" s="15">
        <f t="shared" si="8"/>
        <v>-2.7304911759035471E-2</v>
      </c>
    </row>
    <row r="40" spans="1:10" ht="15.6">
      <c r="A40" s="24" t="str">
        <v>M143</v>
      </c>
      <c r="B40" s="25" t="str">
        <v>NY</v>
      </c>
      <c r="C40" s="25" t="str">
        <f>Sites[[#This Row],[SOL'#]]</f>
        <v>SOL-10384</v>
      </c>
      <c r="D40" s="20">
        <f>SUM(Jan!D40, Feb!D40, Mar!D40)</f>
        <v>40552.03125</v>
      </c>
      <c r="E40" s="10">
        <f>SUM(Jan!E40, Feb!E40, Mar!E40)</f>
        <v>48973.74</v>
      </c>
      <c r="F40" s="10">
        <f t="shared" si="6"/>
        <v>-8421.708749999998</v>
      </c>
      <c r="G40" s="11">
        <f t="shared" si="7"/>
        <v>-0.17196376568340499</v>
      </c>
      <c r="H40" s="12">
        <f>SUM(Jan!H40, Feb!H40, Mar!H40)</f>
        <v>40133.093999999997</v>
      </c>
      <c r="I40" s="12">
        <f>SUM(Jan!I40, Feb!I40, Mar!I40)</f>
        <v>418.93724999999904</v>
      </c>
      <c r="J40" s="13">
        <f t="shared" si="8"/>
        <v>1.0438698048049798E-2</v>
      </c>
    </row>
    <row r="41" spans="1:10" ht="15.6">
      <c r="A41" s="26" t="str">
        <v>M144</v>
      </c>
      <c r="B41" s="27" t="str">
        <v>NY</v>
      </c>
      <c r="C41" s="27" t="str">
        <f>Sites[[#This Row],[SOL'#]]</f>
        <v>SOL-10385</v>
      </c>
      <c r="D41" s="9">
        <f>SUM(Jan!D41, Feb!D41, Mar!D41)</f>
        <v>60786.125</v>
      </c>
      <c r="E41" s="14">
        <f>SUM(Jan!E41, Feb!E41, Mar!E41)</f>
        <v>0</v>
      </c>
      <c r="F41" s="14">
        <f t="shared" si="6"/>
        <v>60786.125</v>
      </c>
      <c r="G41" s="15" t="str">
        <f t="shared" si="7"/>
        <v/>
      </c>
      <c r="H41" s="16">
        <f>SUM(Jan!H41, Feb!H41, Mar!H41)</f>
        <v>61123</v>
      </c>
      <c r="I41" s="16">
        <f>SUM(Jan!I41, Feb!I41, Mar!I41)</f>
        <v>-336.875</v>
      </c>
      <c r="J41" s="15">
        <f t="shared" si="8"/>
        <v>-5.511427776777972E-3</v>
      </c>
    </row>
    <row r="42" spans="1:10" ht="15.6">
      <c r="A42" s="24" t="str">
        <v>M167</v>
      </c>
      <c r="B42" s="25" t="str">
        <v>NY</v>
      </c>
      <c r="C42" s="25" t="str">
        <f>Sites[[#This Row],[SOL'#]]</f>
        <v>SOL-10386</v>
      </c>
      <c r="D42" s="20">
        <f>SUM(Jan!D42, Feb!D42, Mar!D42)</f>
        <v>41523.265625</v>
      </c>
      <c r="E42" s="10">
        <f>SUM(Jan!E42, Feb!E42, Mar!E42)</f>
        <v>37503.085999999996</v>
      </c>
      <c r="F42" s="10">
        <f t="shared" si="6"/>
        <v>4020.1796250000043</v>
      </c>
      <c r="G42" s="11">
        <f t="shared" si="7"/>
        <v>0.10719596848643348</v>
      </c>
      <c r="H42" s="12">
        <f>SUM(Jan!H42, Feb!H42, Mar!H42)</f>
        <v>45030.830999999998</v>
      </c>
      <c r="I42" s="12">
        <f>SUM(Jan!I42, Feb!I42, Mar!I42)</f>
        <v>-3507.5653749999992</v>
      </c>
      <c r="J42" s="13">
        <f t="shared" si="8"/>
        <v>-7.7892530453191042E-2</v>
      </c>
    </row>
    <row r="43" spans="1:10" ht="15.6">
      <c r="A43" s="26" t="str">
        <v>M188</v>
      </c>
      <c r="B43" s="27" t="str">
        <v>NY</v>
      </c>
      <c r="C43" s="27" t="str">
        <f>Sites[[#This Row],[SOL'#]]</f>
        <v>SOL-10387</v>
      </c>
      <c r="D43" s="9">
        <f>SUM(Jan!D43, Feb!D43, Mar!D43)</f>
        <v>31767.34375</v>
      </c>
      <c r="E43" s="14">
        <f>SUM(Jan!E43, Feb!E43, Mar!E43)</f>
        <v>0</v>
      </c>
      <c r="F43" s="14">
        <f t="shared" si="6"/>
        <v>31767.34375</v>
      </c>
      <c r="G43" s="15" t="str">
        <f t="shared" si="7"/>
        <v/>
      </c>
      <c r="H43" s="16">
        <f>SUM(Jan!H43, Feb!H43, Mar!H43)</f>
        <v>31939</v>
      </c>
      <c r="I43" s="16">
        <f>SUM(Jan!I43, Feb!I43, Mar!I43)</f>
        <v>-171.65625</v>
      </c>
      <c r="J43" s="15">
        <f t="shared" si="8"/>
        <v>-5.374502958765146E-3</v>
      </c>
    </row>
    <row r="44" spans="1:10" ht="15.6">
      <c r="A44" s="24" t="str">
        <v>EMHC</v>
      </c>
      <c r="B44" s="25" t="str">
        <v>NY</v>
      </c>
      <c r="C44" s="25" t="str">
        <f>Sites[[#This Row],[SOL'#]]</f>
        <v>SOL-10351</v>
      </c>
      <c r="D44" s="20">
        <f>SUM(Jan!D44, Feb!D44, Mar!D44)</f>
        <v>11616.3203125</v>
      </c>
      <c r="E44" s="10">
        <f>SUM(Jan!E44, Feb!E44, Mar!E44)</f>
        <v>10045.342000000001</v>
      </c>
      <c r="F44" s="10">
        <f t="shared" si="6"/>
        <v>1570.9783124999994</v>
      </c>
      <c r="G44" s="11">
        <f t="shared" si="7"/>
        <v>0.15638873345476931</v>
      </c>
      <c r="H44" s="12">
        <f>SUM(Jan!H44, Feb!H44, Mar!H44)</f>
        <v>12208.593000000001</v>
      </c>
      <c r="I44" s="12">
        <f>SUM(Jan!I44, Feb!I44, Mar!I44)</f>
        <v>-592.27268749999985</v>
      </c>
      <c r="J44" s="13">
        <f t="shared" si="8"/>
        <v>-4.8512771905820748E-2</v>
      </c>
    </row>
    <row r="45" spans="1:10" ht="15.6">
      <c r="A45" s="26" t="str">
        <v>Q008</v>
      </c>
      <c r="B45" s="27" t="str">
        <v>NY</v>
      </c>
      <c r="C45" s="27" t="str">
        <f>Sites[[#This Row],[SOL'#]]</f>
        <v>SOL-10397</v>
      </c>
      <c r="D45" s="9">
        <f>SUM(Jan!D45, Feb!D45, Mar!D45)</f>
        <v>39978.6875</v>
      </c>
      <c r="E45" s="14">
        <f>SUM(Jan!E45, Feb!E45, Mar!E45)</f>
        <v>49531.6</v>
      </c>
      <c r="F45" s="14">
        <f t="shared" si="6"/>
        <v>-9552.9124999999985</v>
      </c>
      <c r="G45" s="15">
        <f t="shared" si="7"/>
        <v>-0.19286500940813539</v>
      </c>
      <c r="H45" s="16">
        <f>SUM(Jan!H45, Feb!H45, Mar!H45)</f>
        <v>50157</v>
      </c>
      <c r="I45" s="16">
        <f>SUM(Jan!I45, Feb!I45, Mar!I45)</f>
        <v>-10178.3125</v>
      </c>
      <c r="J45" s="15">
        <f t="shared" si="8"/>
        <v>-0.20292905277428874</v>
      </c>
    </row>
    <row r="46" spans="1:10" ht="15.6">
      <c r="A46" s="24" t="str">
        <v>Q018</v>
      </c>
      <c r="B46" s="25" t="str">
        <v>NY</v>
      </c>
      <c r="C46" s="25" t="str">
        <f>Sites[[#This Row],[SOL'#]]</f>
        <v>SOL-10398</v>
      </c>
      <c r="D46" s="20">
        <f>SUM(Jan!D46, Feb!D46, Mar!D46)</f>
        <v>34397.125</v>
      </c>
      <c r="E46" s="10">
        <f>SUM(Jan!E46, Feb!E46, Mar!E46)</f>
        <v>36028.131999999998</v>
      </c>
      <c r="F46" s="10">
        <f t="shared" si="6"/>
        <v>-1631.0069999999978</v>
      </c>
      <c r="G46" s="11">
        <f t="shared" si="7"/>
        <v>-4.5270373717960118E-2</v>
      </c>
      <c r="H46" s="12">
        <f>SUM(Jan!H46, Feb!H46, Mar!H46)</f>
        <v>28526.106</v>
      </c>
      <c r="I46" s="12">
        <f>SUM(Jan!I46, Feb!I46, Mar!I46)</f>
        <v>5871.0190000000002</v>
      </c>
      <c r="J46" s="13">
        <f t="shared" si="8"/>
        <v>0.20581214274391324</v>
      </c>
    </row>
    <row r="47" spans="1:10" ht="15.6">
      <c r="A47" s="26" t="str">
        <v>Q021</v>
      </c>
      <c r="B47" s="27" t="str">
        <v>NY</v>
      </c>
      <c r="C47" s="27" t="str">
        <f>Sites[[#This Row],[SOL'#]]</f>
        <v>SOL-10399</v>
      </c>
      <c r="D47" s="9">
        <f>SUM(Jan!D47, Feb!D47, Mar!D47)</f>
        <v>27566.90624999996</v>
      </c>
      <c r="E47" s="14">
        <f>SUM(Jan!E47, Feb!E47, Mar!E47)</f>
        <v>33378.944000000003</v>
      </c>
      <c r="F47" s="14">
        <f t="shared" si="6"/>
        <v>-5812.0377500000432</v>
      </c>
      <c r="G47" s="15">
        <f t="shared" si="7"/>
        <v>-0.17412287668537516</v>
      </c>
      <c r="H47" s="16">
        <f>SUM(Jan!H47, Feb!H47, Mar!H47)</f>
        <v>23127.077000000001</v>
      </c>
      <c r="I47" s="16">
        <f>SUM(Jan!I47, Feb!I47, Mar!I47)</f>
        <v>4439.8292499999598</v>
      </c>
      <c r="J47" s="15">
        <f t="shared" si="8"/>
        <v>0.19197537371454074</v>
      </c>
    </row>
    <row r="48" spans="1:10" ht="15.6">
      <c r="A48" s="24" t="str">
        <v>Q025</v>
      </c>
      <c r="B48" s="25" t="str">
        <v>NY</v>
      </c>
      <c r="C48" s="25" t="str">
        <f>Sites[[#This Row],[SOL'#]]</f>
        <v>SOL-10400</v>
      </c>
      <c r="D48" s="20">
        <f>SUM(Jan!D48, Feb!D48, Mar!D48)</f>
        <v>46126.375</v>
      </c>
      <c r="E48" s="10">
        <f>SUM(Jan!E48, Feb!E48, Mar!E48)</f>
        <v>52071.729999999996</v>
      </c>
      <c r="F48" s="10">
        <f t="shared" si="6"/>
        <v>-5945.3549999999959</v>
      </c>
      <c r="G48" s="11">
        <f t="shared" si="7"/>
        <v>-0.11417625264226859</v>
      </c>
      <c r="H48" s="12">
        <f>SUM(Jan!H48, Feb!H48, Mar!H48)</f>
        <v>30045</v>
      </c>
      <c r="I48" s="12">
        <f>SUM(Jan!I48, Feb!I48, Mar!I48)</f>
        <v>16081.375</v>
      </c>
      <c r="J48" s="13">
        <f t="shared" si="8"/>
        <v>0.53524296888001333</v>
      </c>
    </row>
    <row r="49" spans="1:10" ht="15.6">
      <c r="A49" s="26" t="str">
        <v>Q074</v>
      </c>
      <c r="B49" s="27" t="str">
        <v>NY</v>
      </c>
      <c r="C49" s="27" t="str">
        <f>Sites[[#This Row],[SOL'#]]</f>
        <v>SOL-10402</v>
      </c>
      <c r="D49" s="9">
        <f>SUM(Jan!D49, Feb!D49, Mar!D49)</f>
        <v>29699.875</v>
      </c>
      <c r="E49" s="14">
        <f>SUM(Jan!E49, Feb!E49, Mar!E49)</f>
        <v>31804.750999999997</v>
      </c>
      <c r="F49" s="14">
        <f t="shared" si="6"/>
        <v>-2104.8759999999966</v>
      </c>
      <c r="G49" s="15">
        <f t="shared" si="7"/>
        <v>-6.6181181547373125E-2</v>
      </c>
      <c r="H49" s="16">
        <f>SUM(Jan!H49, Feb!H49, Mar!H49)</f>
        <v>26494.826000000001</v>
      </c>
      <c r="I49" s="16">
        <f>SUM(Jan!I49, Feb!I49, Mar!I49)</f>
        <v>3205.049</v>
      </c>
      <c r="J49" s="15">
        <f t="shared" si="8"/>
        <v>0.12096886388308419</v>
      </c>
    </row>
    <row r="50" spans="1:10" ht="15.6">
      <c r="A50" s="24" t="str">
        <v>Q115</v>
      </c>
      <c r="B50" s="25" t="str">
        <v>NY</v>
      </c>
      <c r="C50" s="25" t="str">
        <f>Sites[[#This Row],[SOL'#]]</f>
        <v>SOL-10872</v>
      </c>
      <c r="D50" s="20">
        <f>SUM(Jan!D50, Feb!D50, Mar!D50)</f>
        <v>39141.875</v>
      </c>
      <c r="E50" s="10">
        <f>SUM(Jan!E50, Feb!E50, Mar!E50)</f>
        <v>47215.259999999995</v>
      </c>
      <c r="F50" s="10">
        <f t="shared" si="6"/>
        <v>-8073.3849999999948</v>
      </c>
      <c r="G50" s="11">
        <f t="shared" si="7"/>
        <v>-0.17099101010986692</v>
      </c>
      <c r="H50" s="12">
        <f>SUM(Jan!H50, Feb!H50, Mar!H50)</f>
        <v>35263.256999999998</v>
      </c>
      <c r="I50" s="12">
        <f>SUM(Jan!I50, Feb!I50, Mar!I50)</f>
        <v>3878.6180000000004</v>
      </c>
      <c r="J50" s="13">
        <f t="shared" si="8"/>
        <v>0.10999035057935802</v>
      </c>
    </row>
    <row r="51" spans="1:10" ht="15.6">
      <c r="A51" s="26" t="str">
        <v>Q139</v>
      </c>
      <c r="B51" s="27" t="str">
        <v>NY</v>
      </c>
      <c r="C51" s="27" t="str">
        <f>Sites[[#This Row],[SOL'#]]</f>
        <v>SOL-10403</v>
      </c>
      <c r="D51" s="9">
        <f>SUM(Jan!D51, Feb!D51, Mar!D51)</f>
        <v>23405.09375</v>
      </c>
      <c r="E51" s="14">
        <f>SUM(Jan!E51, Feb!E51, Mar!E51)</f>
        <v>26141.15</v>
      </c>
      <c r="F51" s="14">
        <f t="shared" si="6"/>
        <v>-2736.0562500000015</v>
      </c>
      <c r="G51" s="15">
        <f t="shared" si="7"/>
        <v>-0.1046647240079339</v>
      </c>
      <c r="H51" s="16">
        <f>SUM(Jan!H51, Feb!H51, Mar!H51)</f>
        <v>22305</v>
      </c>
      <c r="I51" s="16">
        <f>SUM(Jan!I51, Feb!I51, Mar!I51)</f>
        <v>1100.09375</v>
      </c>
      <c r="J51" s="15">
        <f t="shared" si="8"/>
        <v>4.9320499887917507E-2</v>
      </c>
    </row>
    <row r="52" spans="1:10" ht="15.6">
      <c r="A52" s="24" t="str">
        <v>Q157</v>
      </c>
      <c r="B52" s="25" t="str">
        <v>NY</v>
      </c>
      <c r="C52" s="25" t="str">
        <f>Sites[[#This Row],[SOL'#]]</f>
        <v>SOL-10404</v>
      </c>
      <c r="D52" s="20">
        <f>SUM(Jan!D52, Feb!D52, Mar!D52)</f>
        <v>39595.875</v>
      </c>
      <c r="E52" s="10">
        <f>SUM(Jan!E52, Feb!E52, Mar!E52)</f>
        <v>50882.78</v>
      </c>
      <c r="F52" s="10">
        <f t="shared" si="6"/>
        <v>-11286.904999999999</v>
      </c>
      <c r="G52" s="11">
        <f t="shared" si="7"/>
        <v>-0.22182170471031651</v>
      </c>
      <c r="H52" s="12">
        <f>SUM(Jan!H52, Feb!H52, Mar!H52)</f>
        <v>40055.240999999995</v>
      </c>
      <c r="I52" s="12">
        <f>SUM(Jan!I52, Feb!I52, Mar!I52)</f>
        <v>-459.36599999999999</v>
      </c>
      <c r="J52" s="13">
        <f t="shared" si="8"/>
        <v>-1.1468311974455478E-2</v>
      </c>
    </row>
    <row r="53" spans="1:10" ht="15.6">
      <c r="A53" s="26" t="str">
        <v>Q192</v>
      </c>
      <c r="B53" s="27" t="str">
        <v>NY</v>
      </c>
      <c r="C53" s="27" t="str">
        <f>Sites[[#This Row],[SOL'#]]</f>
        <v>SOL-10406</v>
      </c>
      <c r="D53" s="9">
        <f>SUM(Jan!D53, Feb!D53, Mar!D53)</f>
        <v>64536.5</v>
      </c>
      <c r="E53" s="14">
        <f>SUM(Jan!E53, Feb!E53, Mar!E53)</f>
        <v>77228.179999999993</v>
      </c>
      <c r="F53" s="14">
        <f t="shared" si="6"/>
        <v>-12691.679999999993</v>
      </c>
      <c r="G53" s="15">
        <f t="shared" si="7"/>
        <v>-0.16434001163823872</v>
      </c>
      <c r="H53" s="16">
        <f>SUM(Jan!H53, Feb!H53, Mar!H53)</f>
        <v>59130.01</v>
      </c>
      <c r="I53" s="16">
        <f>SUM(Jan!I53, Feb!I53, Mar!I53)</f>
        <v>5406.489999999998</v>
      </c>
      <c r="J53" s="15">
        <f t="shared" si="8"/>
        <v>9.1433943610021343E-2</v>
      </c>
    </row>
    <row r="54" spans="1:10" ht="15.6">
      <c r="A54" s="24" t="str">
        <v>Q210</v>
      </c>
      <c r="B54" s="25" t="str">
        <v>NY</v>
      </c>
      <c r="C54" s="25" t="str">
        <f>Sites[[#This Row],[SOL'#]]</f>
        <v>SOL-10407</v>
      </c>
      <c r="D54" s="20">
        <f>SUM(Jan!D54, Feb!D54, Mar!D54)</f>
        <v>53490.375</v>
      </c>
      <c r="E54" s="10">
        <f>SUM(Jan!E54, Feb!E54, Mar!E54)</f>
        <v>56846.85</v>
      </c>
      <c r="F54" s="10">
        <f t="shared" si="6"/>
        <v>-3356.4749999999985</v>
      </c>
      <c r="G54" s="11">
        <f t="shared" si="7"/>
        <v>-5.9044168674253696E-2</v>
      </c>
      <c r="H54" s="12">
        <f>SUM(Jan!H54, Feb!H54, Mar!H54)</f>
        <v>49341</v>
      </c>
      <c r="I54" s="12">
        <f>SUM(Jan!I54, Feb!I54, Mar!I54)</f>
        <v>4149.375</v>
      </c>
      <c r="J54" s="13">
        <f t="shared" si="8"/>
        <v>8.4095883747795946E-2</v>
      </c>
    </row>
    <row r="55" spans="1:10" ht="15.6">
      <c r="A55" s="26" t="str">
        <v>Q229</v>
      </c>
      <c r="B55" s="27" t="str">
        <v>NY</v>
      </c>
      <c r="C55" s="27" t="str">
        <f>Sites[[#This Row],[SOL'#]]</f>
        <v>SOL-10408</v>
      </c>
      <c r="D55" s="9">
        <f>SUM(Jan!D55, Feb!D55, Mar!D55)</f>
        <v>21814.71875</v>
      </c>
      <c r="E55" s="14">
        <f>SUM(Jan!E55, Feb!E55, Mar!E55)</f>
        <v>28808.938999999998</v>
      </c>
      <c r="F55" s="14">
        <f t="shared" si="6"/>
        <v>-6994.2202499999985</v>
      </c>
      <c r="G55" s="15">
        <f t="shared" si="7"/>
        <v>-0.24277951541360127</v>
      </c>
      <c r="H55" s="16">
        <f>SUM(Jan!H55, Feb!H55, Mar!H55)</f>
        <v>9902.8089999999993</v>
      </c>
      <c r="I55" s="16">
        <f>SUM(Jan!I55, Feb!I55, Mar!I55)</f>
        <v>11911.909750000001</v>
      </c>
      <c r="J55" s="15">
        <f t="shared" si="8"/>
        <v>1.2028819045182031</v>
      </c>
    </row>
    <row r="56" spans="1:10" ht="15.6">
      <c r="A56" s="24" t="str">
        <v>Q231</v>
      </c>
      <c r="B56" s="25" t="str">
        <v>NY</v>
      </c>
      <c r="C56" s="25" t="str">
        <f>Sites[[#This Row],[SOL'#]]</f>
        <v>SOL-10870</v>
      </c>
      <c r="D56" s="20">
        <f>SUM(Jan!D56, Feb!D56, Mar!D56)</f>
        <v>85514.375</v>
      </c>
      <c r="E56" s="10">
        <f>SUM(Jan!E56, Feb!E56, Mar!E56)</f>
        <v>108830.63</v>
      </c>
      <c r="F56" s="10">
        <f t="shared" si="6"/>
        <v>-23316.255000000005</v>
      </c>
      <c r="G56" s="11">
        <f t="shared" si="7"/>
        <v>-0.21424349927956865</v>
      </c>
      <c r="H56" s="12">
        <f>SUM(Jan!H56, Feb!H56, Mar!H56)</f>
        <v>80616</v>
      </c>
      <c r="I56" s="12">
        <f>SUM(Jan!I56, Feb!I56, Mar!I56)</f>
        <v>4898.375</v>
      </c>
      <c r="J56" s="13">
        <f t="shared" si="8"/>
        <v>6.0761821474645233E-2</v>
      </c>
    </row>
    <row r="57" spans="1:10" ht="15.6">
      <c r="A57" s="26" t="str">
        <v>Q405</v>
      </c>
      <c r="B57" s="27" t="str">
        <v>NY</v>
      </c>
      <c r="C57" s="27" t="str">
        <f>Sites[[#This Row],[SOL'#]]</f>
        <v>SOL-10409</v>
      </c>
      <c r="D57" s="9">
        <f>SUM(Jan!D57, Feb!D57, Mar!D57)</f>
        <v>99440.5</v>
      </c>
      <c r="E57" s="14">
        <f>SUM(Jan!E57, Feb!E57, Mar!E57)</f>
        <v>115189.98999999999</v>
      </c>
      <c r="F57" s="14">
        <f t="shared" si="6"/>
        <v>-15749.489999999991</v>
      </c>
      <c r="G57" s="15">
        <f t="shared" si="7"/>
        <v>-0.136726203379304</v>
      </c>
      <c r="H57" s="16">
        <f>SUM(Jan!H57, Feb!H57, Mar!H57)</f>
        <v>87640.71</v>
      </c>
      <c r="I57" s="16">
        <f>SUM(Jan!I57, Feb!I57, Mar!I57)</f>
        <v>11799.789999999997</v>
      </c>
      <c r="J57" s="15">
        <f t="shared" si="8"/>
        <v>0.13463822919736726</v>
      </c>
    </row>
    <row r="58" spans="1:10" ht="15.6">
      <c r="A58" s="24" t="str">
        <v>Q435</v>
      </c>
      <c r="B58" s="25" t="str">
        <v>NY</v>
      </c>
      <c r="C58" s="25" t="str">
        <f>Sites[[#This Row],[SOL'#]]</f>
        <v>SOL-10923</v>
      </c>
      <c r="D58" s="20">
        <f>SUM(Jan!D58, Feb!D58, Mar!D58)</f>
        <v>127573</v>
      </c>
      <c r="E58" s="10">
        <f>SUM(Jan!E58, Feb!E58, Mar!E58)</f>
        <v>110358.02</v>
      </c>
      <c r="F58" s="10">
        <f t="shared" si="6"/>
        <v>17214.979999999996</v>
      </c>
      <c r="G58" s="11">
        <f t="shared" si="7"/>
        <v>0.15599210641872693</v>
      </c>
      <c r="H58" s="12">
        <f>SUM(Jan!H58, Feb!H58, Mar!H58)</f>
        <v>117825</v>
      </c>
      <c r="I58" s="12">
        <f>SUM(Jan!I58, Feb!I58, Mar!I58)</f>
        <v>9748</v>
      </c>
      <c r="J58" s="13">
        <f t="shared" si="8"/>
        <v>8.2732866539359226E-2</v>
      </c>
    </row>
    <row r="59" spans="1:10" ht="15.6">
      <c r="A59" s="26" t="str">
        <v>Q485</v>
      </c>
      <c r="B59" s="27" t="str">
        <v>NY</v>
      </c>
      <c r="C59" s="27" t="str">
        <f>Sites[[#This Row],[SOL'#]]</f>
        <v>SOL-10869</v>
      </c>
      <c r="D59" s="9">
        <f>SUM(Jan!D59, Feb!D59, Mar!D59)</f>
        <v>110495.75</v>
      </c>
      <c r="E59" s="14">
        <f>SUM(Jan!E59, Feb!E59, Mar!E59)</f>
        <v>105103.41</v>
      </c>
      <c r="F59" s="14">
        <f t="shared" si="6"/>
        <v>5392.3399999999965</v>
      </c>
      <c r="G59" s="15">
        <f t="shared" si="7"/>
        <v>5.1305090862418225E-2</v>
      </c>
      <c r="H59" s="16">
        <f>SUM(Jan!H59, Feb!H59, Mar!H59)</f>
        <v>110570.03</v>
      </c>
      <c r="I59" s="16">
        <f>SUM(Jan!I59, Feb!I59, Mar!I59)</f>
        <v>-74.279999999998836</v>
      </c>
      <c r="J59" s="15">
        <f t="shared" si="8"/>
        <v>-6.7179144294343446E-4</v>
      </c>
    </row>
    <row r="60" spans="1:10" ht="15.6">
      <c r="A60" s="24" t="str">
        <v>Q490</v>
      </c>
      <c r="B60" s="25" t="str">
        <v>NY</v>
      </c>
      <c r="C60" s="25" t="str">
        <f>Sites[[#This Row],[SOL'#]]</f>
        <v>SOL-10411</v>
      </c>
      <c r="D60" s="20">
        <f>SUM(Jan!D60, Feb!D60, Mar!D60)</f>
        <v>83374.807788944803</v>
      </c>
      <c r="E60" s="10">
        <f>SUM(Jan!E60, Feb!E60, Mar!E60)</f>
        <v>0</v>
      </c>
      <c r="F60" s="10">
        <f t="shared" si="6"/>
        <v>83374.807788944803</v>
      </c>
      <c r="G60" s="11" t="str">
        <f t="shared" si="7"/>
        <v/>
      </c>
      <c r="H60" s="12">
        <f>SUM(Jan!H60, Feb!H60, Mar!H60)</f>
        <v>74562.649999999994</v>
      </c>
      <c r="I60" s="12">
        <f>SUM(Jan!I60, Feb!I60, Mar!I60)</f>
        <v>8812.1577889447981</v>
      </c>
      <c r="J60" s="13">
        <f t="shared" si="8"/>
        <v>0.11818461104782084</v>
      </c>
    </row>
    <row r="61" spans="1:10" ht="15.6">
      <c r="A61" s="26" t="str">
        <v>Q620</v>
      </c>
      <c r="B61" s="27" t="str">
        <v>NY</v>
      </c>
      <c r="C61" s="27" t="str">
        <f>Sites[[#This Row],[SOL'#]]</f>
        <v>SOL-10867</v>
      </c>
      <c r="D61" s="9">
        <f>SUM(Jan!D61, Feb!D61, Mar!D61)</f>
        <v>125105.625</v>
      </c>
      <c r="E61" s="14">
        <f>SUM(Jan!E61, Feb!E61, Mar!E61)</f>
        <v>137409.16</v>
      </c>
      <c r="F61" s="14">
        <f t="shared" si="6"/>
        <v>-12303.535000000003</v>
      </c>
      <c r="G61" s="15">
        <f t="shared" si="7"/>
        <v>-8.9539409163115494E-2</v>
      </c>
      <c r="H61" s="16">
        <f>SUM(Jan!H61, Feb!H61, Mar!H61)</f>
        <v>120760.39</v>
      </c>
      <c r="I61" s="16">
        <f>SUM(Jan!I61, Feb!I61, Mar!I61)</f>
        <v>4345.2350000000006</v>
      </c>
      <c r="J61" s="15">
        <f t="shared" si="8"/>
        <v>3.5982286907155568E-2</v>
      </c>
    </row>
    <row r="62" spans="1:10" ht="15.6">
      <c r="A62" s="24" t="str">
        <v>QMOA</v>
      </c>
      <c r="B62" s="25" t="str">
        <v>NY</v>
      </c>
      <c r="C62" s="25" t="str">
        <f>Sites[[#This Row],[SOL'#]]</f>
        <v>SOL-10415</v>
      </c>
      <c r="D62" s="20">
        <f>SUM(Jan!D62, Feb!D62, Mar!D62)</f>
        <v>11408.70000000001</v>
      </c>
      <c r="E62" s="10">
        <f>SUM(Jan!E62, Feb!E62, Mar!E62)</f>
        <v>0</v>
      </c>
      <c r="F62" s="10">
        <f t="shared" si="6"/>
        <v>11408.70000000001</v>
      </c>
      <c r="G62" s="11" t="str">
        <f t="shared" si="7"/>
        <v/>
      </c>
      <c r="H62" s="12">
        <f>SUM(Jan!H62, Feb!H62, Mar!H62)</f>
        <v>11777.986000000001</v>
      </c>
      <c r="I62" s="12">
        <f>SUM(Jan!I62, Feb!I62, Mar!I62)</f>
        <v>-369.28599999999005</v>
      </c>
      <c r="J62" s="13">
        <f t="shared" si="8"/>
        <v>-3.1353917384516337E-2</v>
      </c>
    </row>
    <row r="63" spans="1:10" ht="15.6">
      <c r="A63" s="26" t="str">
        <v>X024</v>
      </c>
      <c r="B63" s="27" t="str">
        <v>NY</v>
      </c>
      <c r="C63" s="27" t="str">
        <f>Sites[[#This Row],[SOL'#]]</f>
        <v>SOL-10419</v>
      </c>
      <c r="D63" s="9">
        <f>SUM(Jan!D63, Feb!D63, Mar!D63)</f>
        <v>45004.375</v>
      </c>
      <c r="E63" s="14">
        <f>SUM(Jan!E63, Feb!E63, Mar!E63)</f>
        <v>57750.19</v>
      </c>
      <c r="F63" s="14">
        <f t="shared" si="6"/>
        <v>-12745.815000000002</v>
      </c>
      <c r="G63" s="15">
        <f t="shared" si="7"/>
        <v>-0.22070602711436971</v>
      </c>
      <c r="H63" s="16">
        <f>SUM(Jan!H63, Feb!H63, Mar!H63)</f>
        <v>38352</v>
      </c>
      <c r="I63" s="16">
        <f>SUM(Jan!I63, Feb!I63, Mar!I63)</f>
        <v>6652.375</v>
      </c>
      <c r="J63" s="15">
        <f t="shared" si="8"/>
        <v>0.17345575198164373</v>
      </c>
    </row>
    <row r="64" spans="1:10" ht="15.6">
      <c r="A64" s="24" t="str">
        <v>X026</v>
      </c>
      <c r="B64" s="25" t="str">
        <v>NY</v>
      </c>
      <c r="C64" s="25" t="str">
        <f>Sites[[#This Row],[SOL'#]]</f>
        <v>SOL-10420</v>
      </c>
      <c r="D64" s="20">
        <f>SUM(Jan!D65, Feb!D64, Mar!D64)</f>
        <v>38736.793749999997</v>
      </c>
      <c r="E64" s="10">
        <f>SUM(Jan!E64, Feb!E64, Mar!E64)</f>
        <v>45220.32</v>
      </c>
      <c r="F64" s="10">
        <f t="shared" si="6"/>
        <v>-6483.5262500000026</v>
      </c>
      <c r="G64" s="11">
        <f t="shared" si="7"/>
        <v>-0.14337639030418189</v>
      </c>
      <c r="H64" s="12">
        <f>SUM(Jan!H64, Feb!H64, Mar!H64)</f>
        <v>50959.61</v>
      </c>
      <c r="I64" s="12">
        <f>SUM(Jan!I64, Feb!I64, Mar!I64)</f>
        <v>-13309.61</v>
      </c>
      <c r="J64" s="13">
        <f t="shared" si="8"/>
        <v>-0.2611795890902619</v>
      </c>
    </row>
    <row r="65" spans="1:10" ht="15.6">
      <c r="A65" s="26" t="str">
        <v>X090</v>
      </c>
      <c r="B65" s="27" t="str">
        <v>NY</v>
      </c>
      <c r="C65" s="27" t="str">
        <f>Sites[[#This Row],[SOL'#]]</f>
        <v>SOL-10925</v>
      </c>
      <c r="D65" s="9">
        <f>SUM(Jan!D65, Feb!D65, Mar!D65)</f>
        <v>36597.21875</v>
      </c>
      <c r="E65" s="14">
        <f>SUM(Jan!E65, Feb!E65, Mar!E65)</f>
        <v>29963.485000000001</v>
      </c>
      <c r="F65" s="14">
        <f t="shared" si="6"/>
        <v>6633.7337499999994</v>
      </c>
      <c r="G65" s="15">
        <f t="shared" si="7"/>
        <v>0.22139393164713647</v>
      </c>
      <c r="H65" s="16">
        <f>SUM(Jan!H65, Feb!H65, Mar!H65)</f>
        <v>34352</v>
      </c>
      <c r="I65" s="16">
        <f>SUM(Jan!I65, Feb!I65, Mar!I65)</f>
        <v>2245.21875</v>
      </c>
      <c r="J65" s="15">
        <f t="shared" si="8"/>
        <v>6.5359185782487186E-2</v>
      </c>
    </row>
    <row r="66" spans="1:10" ht="15.6">
      <c r="A66" s="24" t="str">
        <v>X117</v>
      </c>
      <c r="B66" s="25" t="str">
        <v>NY</v>
      </c>
      <c r="C66" s="25" t="str">
        <f>Sites[[#This Row],[SOL'#]]</f>
        <v>SOL-10422</v>
      </c>
      <c r="D66" s="20">
        <f>SUM(Jan!D66, Feb!D66, Mar!D66)</f>
        <v>28496.800000000003</v>
      </c>
      <c r="E66" s="10">
        <f>SUM(Jan!E66, Feb!E66, Mar!E66)</f>
        <v>38005.027000000002</v>
      </c>
      <c r="F66" s="10">
        <f t="shared" si="6"/>
        <v>-9508.226999999999</v>
      </c>
      <c r="G66" s="11">
        <f t="shared" si="7"/>
        <v>-0.25018340336924372</v>
      </c>
      <c r="H66" s="12">
        <f>SUM(Jan!H66, Feb!H66, Mar!H66)</f>
        <v>28558.339</v>
      </c>
      <c r="I66" s="12">
        <f>SUM(Jan!I66, Feb!I66, Mar!I66)</f>
        <v>-61.53899999999976</v>
      </c>
      <c r="J66" s="13">
        <f t="shared" si="8"/>
        <v>-2.1548522132186945E-3</v>
      </c>
    </row>
    <row r="67" spans="1:10" ht="15.6">
      <c r="A67" s="26" t="str">
        <v>X125</v>
      </c>
      <c r="B67" s="27" t="str">
        <v>NY</v>
      </c>
      <c r="C67" s="27" t="str">
        <f>Sites[[#This Row],[SOL'#]]</f>
        <v>SOL-10423</v>
      </c>
      <c r="D67" s="9">
        <f>SUM(Jan!D67, Feb!D67, Mar!D67)</f>
        <v>55729.0625</v>
      </c>
      <c r="E67" s="14">
        <f>SUM(Jan!E67, Feb!E67, Mar!E67)</f>
        <v>65241.369999999995</v>
      </c>
      <c r="F67" s="14">
        <f t="shared" si="6"/>
        <v>-9512.3074999999953</v>
      </c>
      <c r="G67" s="15">
        <f t="shared" si="7"/>
        <v>-0.14580177424232502</v>
      </c>
      <c r="H67" s="16">
        <f>SUM(Jan!H67, Feb!H67, Mar!H67)</f>
        <v>52855.430000000008</v>
      </c>
      <c r="I67" s="16">
        <f>SUM(Jan!I67, Feb!I67, Mar!I67)</f>
        <v>2873.6324999999979</v>
      </c>
      <c r="J67" s="15">
        <f t="shared" si="8"/>
        <v>5.4367782080289528E-2</v>
      </c>
    </row>
    <row r="68" spans="1:10" ht="15.6">
      <c r="A68" s="24" t="str">
        <v>X134</v>
      </c>
      <c r="B68" s="25" t="str">
        <v>NY</v>
      </c>
      <c r="C68" s="25" t="str">
        <f>Sites[[#This Row],[SOL'#]]</f>
        <v>SOL-10424</v>
      </c>
      <c r="D68" s="20">
        <f>SUM(Jan!D68, Feb!D68, Mar!D68)</f>
        <v>52172.71875</v>
      </c>
      <c r="E68" s="10">
        <f>SUM(Jan!E68, Feb!E68, Mar!E68)</f>
        <v>0</v>
      </c>
      <c r="F68" s="10">
        <f t="shared" si="6"/>
        <v>52172.71875</v>
      </c>
      <c r="G68" s="11" t="str">
        <f t="shared" si="7"/>
        <v/>
      </c>
      <c r="H68" s="12">
        <f>SUM(Jan!H68, Feb!H68, Mar!H68)</f>
        <v>51414</v>
      </c>
      <c r="I68" s="12">
        <f>SUM(Jan!I68, Feb!I68, Mar!I68)</f>
        <v>758.71875</v>
      </c>
      <c r="J68" s="13">
        <f t="shared" si="8"/>
        <v>1.4757045746294783E-2</v>
      </c>
    </row>
    <row r="69" spans="1:10" ht="15.6">
      <c r="A69" s="26" t="str">
        <v>X135</v>
      </c>
      <c r="B69" s="27" t="str">
        <v>NY</v>
      </c>
      <c r="C69" s="27" t="str">
        <f>Sites[[#This Row],[SOL'#]]</f>
        <v>SOL-10425</v>
      </c>
      <c r="D69" s="9">
        <f>SUM(Jan!D69, Feb!D69, Mar!D69)</f>
        <v>42983.09375</v>
      </c>
      <c r="E69" s="14">
        <f>SUM(Jan!E69, Feb!E69, Mar!E69)</f>
        <v>53320.36</v>
      </c>
      <c r="F69" s="14">
        <f t="shared" si="6"/>
        <v>-10337.266250000001</v>
      </c>
      <c r="G69" s="15">
        <f t="shared" si="7"/>
        <v>-0.1938709012842374</v>
      </c>
      <c r="H69" s="16">
        <f>SUM(Jan!H69, Feb!H69, Mar!H69)</f>
        <v>43904</v>
      </c>
      <c r="I69" s="16">
        <f>SUM(Jan!I69, Feb!I69, Mar!I69)</f>
        <v>-920.90625</v>
      </c>
      <c r="J69" s="15">
        <f t="shared" si="8"/>
        <v>-2.0975452122813411E-2</v>
      </c>
    </row>
    <row r="70" spans="1:10" ht="15.6">
      <c r="A70" s="24" t="str">
        <v>X139 JHS 222</v>
      </c>
      <c r="B70" s="25" t="str">
        <v>NY</v>
      </c>
      <c r="C70" s="25" t="str">
        <f>Sites[[#This Row],[SOL'#]]</f>
        <v>SOL-10426</v>
      </c>
      <c r="D70" s="20">
        <f>SUM(Jan!D70, Feb!D70, Mar!D70)</f>
        <v>65304.363623634999</v>
      </c>
      <c r="E70" s="10">
        <f>SUM(Jan!E70, Feb!E70, Mar!E70)</f>
        <v>74458.5</v>
      </c>
      <c r="F70" s="10">
        <f t="shared" si="6"/>
        <v>-9154.1363763650006</v>
      </c>
      <c r="G70" s="11">
        <f t="shared" si="7"/>
        <v>-0.12294279869141872</v>
      </c>
      <c r="H70" s="12">
        <f>SUM(Jan!H70, Feb!H70, Mar!H70)</f>
        <v>60317</v>
      </c>
      <c r="I70" s="12">
        <f>SUM(Jan!I70, Feb!I70, Mar!I70)</f>
        <v>4987.3636236350012</v>
      </c>
      <c r="J70" s="13">
        <f t="shared" si="8"/>
        <v>8.2685870047167487E-2</v>
      </c>
    </row>
    <row r="71" spans="1:10" ht="15.6">
      <c r="A71" s="26" t="str">
        <v>X140</v>
      </c>
      <c r="B71" s="27" t="str">
        <v>NY</v>
      </c>
      <c r="C71" s="27" t="str">
        <f>Sites[[#This Row],[SOL'#]]</f>
        <v>SOL-10926</v>
      </c>
      <c r="D71" s="9">
        <f>SUM(Jan!D71, Feb!D71, Mar!D71)</f>
        <v>36989.359375</v>
      </c>
      <c r="E71" s="14">
        <f>SUM(Jan!E71, Feb!E71, Mar!E71)</f>
        <v>35154.074000000001</v>
      </c>
      <c r="F71" s="14">
        <f t="shared" si="6"/>
        <v>1835.2853749999995</v>
      </c>
      <c r="G71" s="15">
        <f t="shared" si="7"/>
        <v>5.2206904241027641E-2</v>
      </c>
      <c r="H71" s="16">
        <f>SUM(Jan!H71, Feb!H71, Mar!H71)</f>
        <v>36763</v>
      </c>
      <c r="I71" s="16">
        <f>SUM(Jan!I71, Feb!I71, Mar!I71)</f>
        <v>226.359375</v>
      </c>
      <c r="J71" s="15">
        <f t="shared" si="8"/>
        <v>6.1572606968963361E-3</v>
      </c>
    </row>
    <row r="72" spans="1:10" ht="15.6">
      <c r="A72" s="24" t="str">
        <v>X166</v>
      </c>
      <c r="B72" s="25" t="str">
        <v>NY</v>
      </c>
      <c r="C72" s="25" t="str">
        <f>Sites[[#This Row],[SOL'#]]</f>
        <v>SOL-10427</v>
      </c>
      <c r="D72" s="20">
        <f>SUM(Jan!D72, Feb!D72, Mar!D72)</f>
        <v>39872.199999999997</v>
      </c>
      <c r="E72" s="10">
        <f>SUM(Jan!E72, Feb!E72, Mar!E72)</f>
        <v>48413.64</v>
      </c>
      <c r="F72" s="10">
        <f t="shared" si="6"/>
        <v>-8541.4400000000023</v>
      </c>
      <c r="G72" s="11">
        <f t="shared" si="7"/>
        <v>-0.17642631291512068</v>
      </c>
      <c r="H72" s="12">
        <f>SUM(Jan!H72, Feb!H72, Mar!H72)</f>
        <v>37390</v>
      </c>
      <c r="I72" s="12">
        <f>SUM(Jan!I72, Feb!I72, Mar!I72)</f>
        <v>2482.2000000000007</v>
      </c>
      <c r="J72" s="13">
        <f t="shared" si="8"/>
        <v>6.6386734420968194E-2</v>
      </c>
    </row>
    <row r="73" spans="1:10" ht="15.6">
      <c r="A73" s="26" t="str">
        <v>Murphy</v>
      </c>
      <c r="B73" s="27" t="str">
        <v>MN</v>
      </c>
      <c r="C73" s="27" t="str">
        <f>Sites[[#This Row],[SOL'#]]</f>
        <v>SOL-10094</v>
      </c>
      <c r="D73" s="9">
        <f>SUM(Jan!D73, Feb!D73, Mar!D73)</f>
        <v>1866950</v>
      </c>
      <c r="E73" s="14">
        <f>SUM(Jan!E73, Feb!E73, Mar!E73)</f>
        <v>2333706.1</v>
      </c>
      <c r="F73" s="14">
        <f t="shared" si="6"/>
        <v>-466756.10000000009</v>
      </c>
      <c r="G73" s="15">
        <f t="shared" si="7"/>
        <v>-0.20000637612422578</v>
      </c>
      <c r="H73" s="16">
        <f>SUM(Jan!H73, Feb!H73, Mar!H73)</f>
        <v>1991521.7000000002</v>
      </c>
      <c r="I73" s="16">
        <f>SUM(Jan!I73, Feb!I73, Mar!I73)</f>
        <v>-124571.70000000007</v>
      </c>
      <c r="J73" s="15">
        <f t="shared" si="8"/>
        <v>-6.2551013127298619E-2</v>
      </c>
    </row>
    <row r="74" spans="1:10" ht="15.6">
      <c r="A74" s="24" t="str">
        <v>Terning</v>
      </c>
      <c r="B74" s="25" t="str">
        <v>MN</v>
      </c>
      <c r="C74" s="25" t="str">
        <f>Sites[[#This Row],[SOL'#]]</f>
        <v>SOL-10093</v>
      </c>
      <c r="D74" s="20">
        <f>SUM(Jan!D74, Feb!D74, Mar!D74)</f>
        <v>1723767.7949999999</v>
      </c>
      <c r="E74" s="10">
        <f>SUM(Jan!E74, Feb!E74, Mar!E74)</f>
        <v>2329333.7999999998</v>
      </c>
      <c r="F74" s="10">
        <f t="shared" si="6"/>
        <v>-605566.00499999989</v>
      </c>
      <c r="G74" s="11">
        <f t="shared" si="7"/>
        <v>-0.25997390541450088</v>
      </c>
      <c r="H74" s="12">
        <f>SUM(Jan!H74, Feb!H74, Mar!H74)</f>
        <v>1889625.4999999998</v>
      </c>
      <c r="I74" s="12">
        <f>SUM(Jan!I74, Feb!I74, Mar!I74)</f>
        <v>-165857.70499999984</v>
      </c>
      <c r="J74" s="13">
        <f t="shared" si="8"/>
        <v>-8.777279148699034E-2</v>
      </c>
    </row>
    <row r="75" spans="1:10" ht="15.6">
      <c r="A75" s="26" t="str">
        <v>Boas Road 04</v>
      </c>
      <c r="B75" s="27" t="str">
        <v>NY</v>
      </c>
      <c r="C75" s="27" t="str">
        <f>Sites[[#This Row],[SOL'#]]</f>
        <v>SOL-10908</v>
      </c>
      <c r="D75" s="9">
        <f>SUM(Jan!D75, Feb!D75, Mar!D75)</f>
        <v>409196</v>
      </c>
      <c r="E75" s="14">
        <f>SUM(Jan!E75, Feb!E75, Mar!E75)</f>
        <v>732048.48300000001</v>
      </c>
      <c r="F75" s="14">
        <f t="shared" si="6"/>
        <v>-322852.48300000001</v>
      </c>
      <c r="G75" s="15">
        <f t="shared" si="7"/>
        <v>-0.4410260938960241</v>
      </c>
      <c r="H75" s="16">
        <f>SUM(Jan!H75, Feb!H75, Mar!H75)</f>
        <v>677797.76</v>
      </c>
      <c r="I75" s="16">
        <f>SUM(Jan!I75, Feb!I75, Mar!I75)</f>
        <v>-268601.76</v>
      </c>
      <c r="J75" s="15">
        <f t="shared" si="8"/>
        <v>-0.39628599539780124</v>
      </c>
    </row>
    <row r="76" spans="1:10" ht="15.6">
      <c r="A76" s="24" t="str">
        <v>Kelly Bridge Farm</v>
      </c>
      <c r="B76" s="25" t="str">
        <v>NY</v>
      </c>
      <c r="C76" s="25" t="str">
        <f>Sites[[#This Row],[SOL'#]]</f>
        <v>SOL-10911</v>
      </c>
      <c r="D76" s="20">
        <f>SUM(Jan!D76, Feb!D76, Mar!D76)</f>
        <v>393266</v>
      </c>
      <c r="E76" s="10">
        <f>SUM(Jan!E76, Feb!E76, Mar!E76)</f>
        <v>739185.21799999999</v>
      </c>
      <c r="F76" s="10">
        <f t="shared" si="6"/>
        <v>-345919.21799999999</v>
      </c>
      <c r="G76" s="11">
        <f t="shared" si="7"/>
        <v>-0.46797366827213799</v>
      </c>
      <c r="H76" s="12">
        <f>SUM(Jan!H76, Feb!H76, Mar!H76)</f>
        <v>660243.29999999993</v>
      </c>
      <c r="I76" s="12">
        <f>SUM(Jan!I76, Feb!I76, Mar!I76)</f>
        <v>-266977.29999999993</v>
      </c>
      <c r="J76" s="13">
        <f t="shared" si="8"/>
        <v>-0.40436199806949946</v>
      </c>
    </row>
    <row r="77" spans="1:10" ht="15.6">
      <c r="A77" s="26" t="str">
        <v>Pool Brook Road</v>
      </c>
      <c r="B77" s="27" t="str">
        <v>NY</v>
      </c>
      <c r="C77" s="27" t="str">
        <f>Sites[[#This Row],[SOL'#]]</f>
        <v>SOL-10909</v>
      </c>
      <c r="D77" s="9">
        <f>SUM(Jan!D77, Feb!D77, Mar!D77)</f>
        <v>443783</v>
      </c>
      <c r="E77" s="14">
        <f>SUM(Jan!E77, Feb!E77, Mar!E77)</f>
        <v>625318.02399999998</v>
      </c>
      <c r="F77" s="14">
        <f t="shared" si="6"/>
        <v>-181535.02399999998</v>
      </c>
      <c r="G77" s="15">
        <f t="shared" si="7"/>
        <v>-0.29030831837976889</v>
      </c>
      <c r="H77" s="16">
        <f>SUM(Jan!H77, Feb!H77, Mar!H77)</f>
        <v>599925.68000000005</v>
      </c>
      <c r="I77" s="16">
        <f>SUM(Jan!I77, Feb!I77, Mar!I77)</f>
        <v>-156142.68000000002</v>
      </c>
      <c r="J77" s="15">
        <f t="shared" si="8"/>
        <v>-0.26027003878213717</v>
      </c>
    </row>
    <row r="78" spans="1:10" ht="15.6">
      <c r="A78" s="24" t="str">
        <v>Sackett Lake</v>
      </c>
      <c r="B78" s="25" t="str">
        <v>NY</v>
      </c>
      <c r="C78" s="25" t="str">
        <f>Sites[[#This Row],[SOL'#]]</f>
        <v>SOL-10910</v>
      </c>
      <c r="D78" s="20">
        <f>SUM(Jan!D78, Feb!D78, Mar!D78)</f>
        <v>580372</v>
      </c>
      <c r="E78" s="10">
        <f>SUM(Jan!E78, Feb!E78, Mar!E78)</f>
        <v>766915.03599999996</v>
      </c>
      <c r="F78" s="10">
        <f t="shared" si="6"/>
        <v>-186543.03599999996</v>
      </c>
      <c r="G78" s="11">
        <f t="shared" si="7"/>
        <v>-0.24323820402968338</v>
      </c>
      <c r="H78" s="12">
        <f>SUM(Jan!H78, Feb!H78, Mar!H78)</f>
        <v>700396.02</v>
      </c>
      <c r="I78" s="12">
        <f>SUM(Jan!I78, Feb!I78, Mar!I78)</f>
        <v>-120024.01999999996</v>
      </c>
      <c r="J78" s="13">
        <f t="shared" si="8"/>
        <v>-0.17136593665966285</v>
      </c>
    </row>
    <row r="79" spans="1:10" ht="15.6">
      <c r="A79" s="26" t="str">
        <v>Burritt Road</v>
      </c>
      <c r="B79" s="27" t="str">
        <v>NY</v>
      </c>
      <c r="C79" s="27" t="str">
        <f>Sites[[#This Row],[SOL'#]]</f>
        <v>SOL-10913</v>
      </c>
      <c r="D79" s="9">
        <f>SUM(Jan!D79, Feb!D79, Mar!D79)</f>
        <v>386530</v>
      </c>
      <c r="E79" s="14">
        <f>SUM(Jan!E79, Feb!E79, Mar!E79)</f>
        <v>0</v>
      </c>
      <c r="F79" s="14">
        <f t="shared" si="6"/>
        <v>386530</v>
      </c>
      <c r="G79" s="15" t="str">
        <f t="shared" si="7"/>
        <v/>
      </c>
      <c r="H79" s="16">
        <f>SUM(Jan!H79, Feb!H79, Mar!H79)</f>
        <v>550528.54</v>
      </c>
      <c r="I79" s="16">
        <f>SUM(Jan!I79, Feb!I79, Mar!I79)</f>
        <v>-163998.54</v>
      </c>
      <c r="J79" s="15">
        <f t="shared" si="8"/>
        <v>-0.29789289398148189</v>
      </c>
    </row>
    <row r="80" spans="1:10" ht="15.6">
      <c r="A80" s="24" t="str">
        <v>Villa Roma 1</v>
      </c>
      <c r="B80" s="25" t="str">
        <v>NY</v>
      </c>
      <c r="C80" s="25" t="str">
        <f>Sites[[#This Row],[SOL'#]]</f>
        <v>SOL-10914</v>
      </c>
      <c r="D80" s="20">
        <f>SUM(Jan!D80, Feb!D80, Mar!D80)</f>
        <v>476023</v>
      </c>
      <c r="E80" s="10">
        <f>SUM(Jan!E80, Feb!E80, Mar!E80)</f>
        <v>378718.37400000001</v>
      </c>
      <c r="F80" s="10">
        <f t="shared" si="6"/>
        <v>97304.625999999989</v>
      </c>
      <c r="G80" s="11">
        <f t="shared" si="7"/>
        <v>0.25693135765311453</v>
      </c>
      <c r="H80" s="12">
        <f>SUM(Jan!H80, Feb!H80, Mar!H80)</f>
        <v>504370.93999999994</v>
      </c>
      <c r="I80" s="12">
        <f>SUM(Jan!I80, Feb!I80, Mar!I80)</f>
        <v>-28347.940000000002</v>
      </c>
      <c r="J80" s="13">
        <f t="shared" si="8"/>
        <v>-5.6204546598184274E-2</v>
      </c>
    </row>
    <row r="81" spans="1:10" ht="15.6">
      <c r="A81" s="26" t="str">
        <v>Villa Roma 2</v>
      </c>
      <c r="B81" s="27" t="str">
        <v>NY</v>
      </c>
      <c r="C81" s="27" t="str">
        <f>Sites[[#This Row],[SOL'#]]</f>
        <v>SOL-10915</v>
      </c>
      <c r="D81" s="9">
        <f>SUM(Jan!D81, Feb!D81, Mar!D81)</f>
        <v>493282</v>
      </c>
      <c r="E81" s="14">
        <f>SUM(Jan!E81, Feb!E81, Mar!E81)</f>
        <v>651162.87800000003</v>
      </c>
      <c r="F81" s="14">
        <f t="shared" si="6"/>
        <v>-157880.87800000003</v>
      </c>
      <c r="G81" s="15">
        <f t="shared" si="7"/>
        <v>-0.24245988727877085</v>
      </c>
      <c r="H81" s="16">
        <f>SUM(Jan!H81, Feb!H81, Mar!H81)</f>
        <v>489594.4</v>
      </c>
      <c r="I81" s="16">
        <f>SUM(Jan!I81, Feb!I81, Mar!I81)</f>
        <v>3687.5999999999913</v>
      </c>
      <c r="J81" s="15">
        <f t="shared" si="8"/>
        <v>7.5319488948402818E-3</v>
      </c>
    </row>
    <row r="82" spans="1:10" ht="15.6">
      <c r="A82" s="24" t="str">
        <v>Washington 1</v>
      </c>
      <c r="B82" s="25" t="str">
        <v>NY</v>
      </c>
      <c r="C82" s="25" t="str">
        <f>Sites[[#This Row],[SOL'#]]</f>
        <v>SOL-10912</v>
      </c>
      <c r="D82" s="20">
        <f>SUM(Jan!D82, Feb!D82, Mar!D82)</f>
        <v>482600</v>
      </c>
      <c r="E82" s="10">
        <f>SUM(Jan!E82, Feb!E82, Mar!E82)</f>
        <v>637922.49900000007</v>
      </c>
      <c r="F82" s="10">
        <f t="shared" ref="F82:F145" si="9">IF(AND(ISNUMBER(D82),ISNUMBER(E82)), D82-E82, "")</f>
        <v>-155322.49900000007</v>
      </c>
      <c r="G82" s="11">
        <f t="shared" ref="G82:G145" si="10">IFERROR(F82/E82, "")</f>
        <v>-0.24348176971886368</v>
      </c>
      <c r="H82" s="12">
        <f>SUM(Jan!H82, Feb!H82, Mar!H82)</f>
        <v>539834.58000000007</v>
      </c>
      <c r="I82" s="12">
        <f>SUM(Jan!I82, Feb!I82, Mar!I82)</f>
        <v>-57234.58</v>
      </c>
      <c r="J82" s="13">
        <f t="shared" ref="J82:J145" si="11">IFERROR(I82/H82, "")</f>
        <v>-0.10602244117077493</v>
      </c>
    </row>
    <row r="83" spans="1:10" ht="15.6">
      <c r="A83" s="26" t="str">
        <v>Washington 3</v>
      </c>
      <c r="B83" s="27" t="str">
        <v>NY</v>
      </c>
      <c r="C83" s="27" t="str">
        <f>Sites[[#This Row],[SOL'#]]</f>
        <v>SOL-10828</v>
      </c>
      <c r="D83" s="9">
        <f>SUM(Jan!D83, Feb!D83, Mar!D83)</f>
        <v>582985</v>
      </c>
      <c r="E83" s="14">
        <f>SUM(Jan!E83, Feb!E83, Mar!E83)</f>
        <v>96875.183000000005</v>
      </c>
      <c r="F83" s="14">
        <f t="shared" si="9"/>
        <v>486109.81699999998</v>
      </c>
      <c r="G83" s="15">
        <f t="shared" si="10"/>
        <v>5.0178983094153224</v>
      </c>
      <c r="H83" s="16">
        <f>SUM(Jan!H83, Feb!H83, Mar!H83)</f>
        <v>663362.07000000007</v>
      </c>
      <c r="I83" s="16">
        <f>SUM(Jan!I83, Feb!I83, Mar!I83)</f>
        <v>-80377.069999999978</v>
      </c>
      <c r="J83" s="15">
        <f t="shared" si="11"/>
        <v>-0.12116621319636194</v>
      </c>
    </row>
    <row r="84" spans="1:10" ht="15.6">
      <c r="A84" s="24" t="str">
        <v>Washington 4</v>
      </c>
      <c r="B84" s="25" t="str">
        <v>NY</v>
      </c>
      <c r="C84" s="25" t="str">
        <f>Sites[[#This Row],[SOL'#]]</f>
        <v>SOL-10829</v>
      </c>
      <c r="D84" s="20">
        <f>SUM(Jan!D84, Feb!D84, Mar!D84)</f>
        <v>507100</v>
      </c>
      <c r="E84" s="10">
        <f>SUM(Jan!E84, Feb!E84, Mar!E84)</f>
        <v>569391.53799999994</v>
      </c>
      <c r="F84" s="10">
        <f t="shared" si="9"/>
        <v>-62291.537999999942</v>
      </c>
      <c r="G84" s="11">
        <f t="shared" si="10"/>
        <v>-0.10940018219940591</v>
      </c>
      <c r="H84" s="12">
        <f>SUM(Jan!H84, Feb!H84, Mar!H84)</f>
        <v>662129.69999999995</v>
      </c>
      <c r="I84" s="12">
        <f>SUM(Jan!I84, Feb!I84, Mar!I84)</f>
        <v>-155029.70000000001</v>
      </c>
      <c r="J84" s="13">
        <f t="shared" si="11"/>
        <v>-0.23413796420852293</v>
      </c>
    </row>
    <row r="85" spans="1:10" ht="15.6">
      <c r="A85" s="26" t="str">
        <v>Big Tree</v>
      </c>
      <c r="B85" s="27" t="str">
        <v>NY</v>
      </c>
      <c r="C85" s="27" t="str">
        <f>Sites[[#This Row],[SOL'#]]</f>
        <v>SOL-10966</v>
      </c>
      <c r="D85" s="9">
        <f>SUM(Jan!D85, Feb!D85, Mar!D85)</f>
        <v>370242</v>
      </c>
      <c r="E85" s="14">
        <f>SUM(Jan!E85, Feb!E85, Mar!E85)</f>
        <v>0</v>
      </c>
      <c r="F85" s="14">
        <f t="shared" si="9"/>
        <v>370242</v>
      </c>
      <c r="G85" s="15" t="str">
        <f t="shared" si="10"/>
        <v/>
      </c>
      <c r="H85" s="16">
        <f>SUM(Jan!H85, Feb!H85, Mar!H85)</f>
        <v>579179.19999999995</v>
      </c>
      <c r="I85" s="16">
        <f>SUM(Jan!I85, Feb!I85, Mar!I85)</f>
        <v>-208937.19999999998</v>
      </c>
      <c r="J85" s="15">
        <f t="shared" si="11"/>
        <v>-0.3607470710274126</v>
      </c>
    </row>
    <row r="86" spans="1:10" ht="15.6">
      <c r="A86" s="24" t="str">
        <v>Canoga</v>
      </c>
      <c r="B86" s="25" t="str">
        <v>NY</v>
      </c>
      <c r="C86" s="25" t="str">
        <f>Sites[[#This Row],[SOL'#]]</f>
        <v>SOL-10965</v>
      </c>
      <c r="D86" s="20">
        <f>SUM(Jan!D86, Feb!D86, Mar!D86)</f>
        <v>1282330</v>
      </c>
      <c r="E86" s="10">
        <f>SUM(Jan!E86, Feb!E86, Mar!E86)</f>
        <v>0</v>
      </c>
      <c r="F86" s="10">
        <f t="shared" si="9"/>
        <v>1282330</v>
      </c>
      <c r="G86" s="11" t="str">
        <f t="shared" si="10"/>
        <v/>
      </c>
      <c r="H86" s="12">
        <f>SUM(Jan!H86, Feb!H86, Mar!H86)</f>
        <v>1264221.1200000001</v>
      </c>
      <c r="I86" s="12">
        <f>SUM(Jan!I86, Feb!I86, Mar!I86)</f>
        <v>-296881.12</v>
      </c>
      <c r="J86" s="13">
        <f t="shared" si="11"/>
        <v>-0.23483322284633243</v>
      </c>
    </row>
    <row r="87" spans="1:10" ht="15.6">
      <c r="A87" s="26" t="str">
        <v>County Route 84</v>
      </c>
      <c r="B87" s="27" t="str">
        <v>NY</v>
      </c>
      <c r="C87" s="27" t="str">
        <f>Sites[[#This Row],[SOL'#]]</f>
        <v>SOL-10967</v>
      </c>
      <c r="D87" s="9">
        <f>SUM(Jan!D87, Feb!D87, Mar!D87)</f>
        <v>1679480</v>
      </c>
      <c r="E87" s="14">
        <f>SUM(Jan!E87, Feb!E87, Mar!E87)</f>
        <v>0</v>
      </c>
      <c r="F87" s="14">
        <f t="shared" si="9"/>
        <v>1679480</v>
      </c>
      <c r="G87" s="15" t="str">
        <f t="shared" si="10"/>
        <v/>
      </c>
      <c r="H87" s="16">
        <f>SUM(Jan!H87, Feb!H87, Mar!H87)</f>
        <v>1839235.33</v>
      </c>
      <c r="I87" s="16">
        <f>SUM(Jan!I87, Feb!I87, Mar!I87)</f>
        <v>-159755.33000000002</v>
      </c>
      <c r="J87" s="15">
        <f t="shared" si="11"/>
        <v>-8.685964617697943E-2</v>
      </c>
    </row>
    <row r="88" spans="1:10" ht="15.6">
      <c r="A88" s="24" t="str">
        <v>Donati</v>
      </c>
      <c r="B88" s="25" t="str">
        <v>NY</v>
      </c>
      <c r="C88" s="25" t="str">
        <f>Sites[[#This Row],[SOL'#]]</f>
        <v>SOL-10968</v>
      </c>
      <c r="D88" s="20">
        <f>SUM(Jan!D88, Feb!D88, Mar!D88)</f>
        <v>399588</v>
      </c>
      <c r="E88" s="10">
        <f>SUM(Jan!E88, Feb!E88, Mar!E88)</f>
        <v>0</v>
      </c>
      <c r="F88" s="10">
        <f t="shared" si="9"/>
        <v>399588</v>
      </c>
      <c r="G88" s="11" t="str">
        <f t="shared" si="10"/>
        <v/>
      </c>
      <c r="H88" s="12">
        <f>SUM(Jan!H88, Feb!H88, Mar!H88)</f>
        <v>739969.58</v>
      </c>
      <c r="I88" s="12">
        <f>SUM(Jan!I88, Feb!I88, Mar!I88)</f>
        <v>-340381.57999999996</v>
      </c>
      <c r="J88" s="13">
        <f t="shared" si="11"/>
        <v>-0.45999401759191233</v>
      </c>
    </row>
    <row r="89" spans="1:10" ht="15.6">
      <c r="A89" s="26" t="str">
        <v>Henrietta</v>
      </c>
      <c r="B89" s="27" t="str">
        <v>NY</v>
      </c>
      <c r="C89" s="27" t="str">
        <f>Sites[[#This Row],[SOL'#]]</f>
        <v>SOL-10972</v>
      </c>
      <c r="D89" s="9">
        <f>SUM(Jan!D89, Feb!D89, Mar!D89)</f>
        <v>1142260</v>
      </c>
      <c r="E89" s="14">
        <f>SUM(Jan!E89, Feb!E89, Mar!E89)</f>
        <v>0</v>
      </c>
      <c r="F89" s="14">
        <f t="shared" si="9"/>
        <v>1142260</v>
      </c>
      <c r="G89" s="15" t="str">
        <f t="shared" si="10"/>
        <v/>
      </c>
      <c r="H89" s="16">
        <f>SUM(Jan!H89, Feb!H89, Mar!H89)</f>
        <v>1375164.38</v>
      </c>
      <c r="I89" s="16">
        <f>SUM(Jan!I89, Feb!I89, Mar!I89)</f>
        <v>-232904.38</v>
      </c>
      <c r="J89" s="15">
        <f t="shared" si="11"/>
        <v>-0.16936475623372388</v>
      </c>
    </row>
    <row r="90" spans="1:10" ht="15.6">
      <c r="A90" s="24" t="str">
        <v>NY 70</v>
      </c>
      <c r="B90" s="25" t="str">
        <v>NY</v>
      </c>
      <c r="C90" s="25" t="str">
        <f>Sites[[#This Row],[SOL'#]]</f>
        <v>SOL-10970</v>
      </c>
      <c r="D90" s="20">
        <f>SUM(Jan!D90, Feb!D90, Mar!D90)</f>
        <v>1358830</v>
      </c>
      <c r="E90" s="10">
        <f>SUM(Jan!E90, Feb!E90, Mar!E90)</f>
        <v>0</v>
      </c>
      <c r="F90" s="10">
        <f t="shared" si="9"/>
        <v>1358830</v>
      </c>
      <c r="G90" s="11" t="str">
        <f t="shared" si="10"/>
        <v/>
      </c>
      <c r="H90" s="12">
        <f>SUM(Jan!H90, Feb!H90, Mar!H90)</f>
        <v>1775637.56</v>
      </c>
      <c r="I90" s="12">
        <f>SUM(Jan!I90, Feb!I90, Mar!I90)</f>
        <v>-416807.56000000006</v>
      </c>
      <c r="J90" s="13">
        <f t="shared" si="11"/>
        <v>-0.2347368457333151</v>
      </c>
    </row>
    <row r="91" spans="1:10" ht="15.6">
      <c r="A91" s="26" t="str">
        <v>Reid</v>
      </c>
      <c r="B91" s="27" t="str">
        <v>NY</v>
      </c>
      <c r="C91" s="27" t="str">
        <f>Sites[[#This Row],[SOL'#]]</f>
        <v>SOL-10991</v>
      </c>
      <c r="D91" s="9">
        <f>SUM(Jan!D91, Feb!D91, Mar!D91)</f>
        <v>865560.97187320201</v>
      </c>
      <c r="E91" s="14">
        <f>SUM(Jan!E91, Feb!E91, Mar!E91)</f>
        <v>1332958.5</v>
      </c>
      <c r="F91" s="14">
        <f t="shared" si="9"/>
        <v>-467397.52812679799</v>
      </c>
      <c r="G91" s="15">
        <f t="shared" si="10"/>
        <v>-0.35064672165472366</v>
      </c>
      <c r="H91" s="16">
        <f>SUM(Jan!H91, Feb!H91, Mar!H91)</f>
        <v>1353538</v>
      </c>
      <c r="I91" s="16">
        <f>SUM(Jan!I91, Feb!I91, Mar!I91)</f>
        <v>-487977.02812679799</v>
      </c>
      <c r="J91" s="15">
        <f t="shared" si="11"/>
        <v>-0.36051963677916543</v>
      </c>
    </row>
    <row r="92" spans="1:10" ht="15.6">
      <c r="A92" s="24" t="str">
        <v>Sangolqui</v>
      </c>
      <c r="B92" s="25" t="str">
        <v>NY</v>
      </c>
      <c r="C92" s="25" t="str">
        <f>Sites[[#This Row],[SOL'#]]</f>
        <v>SOL-10975</v>
      </c>
      <c r="D92" s="20">
        <f>SUM(Jan!D92, Feb!D92, Mar!D92)</f>
        <v>582872</v>
      </c>
      <c r="E92" s="10">
        <f>SUM(Jan!E92, Feb!E92, Mar!E92)</f>
        <v>0</v>
      </c>
      <c r="F92" s="10">
        <f t="shared" si="9"/>
        <v>582872</v>
      </c>
      <c r="G92" s="11" t="str">
        <f t="shared" si="10"/>
        <v/>
      </c>
      <c r="H92" s="12">
        <f>SUM(Jan!H92, Feb!H92, Mar!H92)</f>
        <v>719241.46</v>
      </c>
      <c r="I92" s="12">
        <f>SUM(Jan!I92, Feb!I92, Mar!I92)</f>
        <v>-136369.46</v>
      </c>
      <c r="J92" s="13">
        <f t="shared" si="11"/>
        <v>-0.18960177851816273</v>
      </c>
    </row>
    <row r="93" spans="1:10" ht="15.6">
      <c r="A93" s="26" t="str">
        <v>State Highway 17B</v>
      </c>
      <c r="B93" s="27" t="str">
        <v>NY</v>
      </c>
      <c r="C93" s="27" t="str">
        <f>Sites[[#This Row],[SOL'#]]</f>
        <v>SOL-10988</v>
      </c>
      <c r="D93" s="9">
        <f>SUM(Jan!D93, Feb!D93, Mar!D93)</f>
        <v>1323280</v>
      </c>
      <c r="E93" s="14">
        <f>SUM(Jan!E93, Feb!E93, Mar!E93)</f>
        <v>0</v>
      </c>
      <c r="F93" s="14">
        <f t="shared" si="9"/>
        <v>1323280</v>
      </c>
      <c r="G93" s="15" t="str">
        <f t="shared" si="10"/>
        <v/>
      </c>
      <c r="H93" s="16">
        <f>SUM(Jan!H93, Feb!H93, Mar!H93)</f>
        <v>1495286.03</v>
      </c>
      <c r="I93" s="16">
        <f>SUM(Jan!I93, Feb!I93, Mar!I93)</f>
        <v>-172006.02999999997</v>
      </c>
      <c r="J93" s="15">
        <f t="shared" si="11"/>
        <v>-0.11503219220204977</v>
      </c>
    </row>
    <row r="94" spans="1:10" ht="15.6">
      <c r="A94" s="24" t="str">
        <v>State Route 14A</v>
      </c>
      <c r="B94" s="25" t="str">
        <v>NY</v>
      </c>
      <c r="C94" s="25" t="str">
        <f>Sites[[#This Row],[SOL'#]]</f>
        <v>SOL-10997</v>
      </c>
      <c r="D94" s="20">
        <f>SUM(Jan!D94, Feb!D94, Mar!D94)</f>
        <v>1472594</v>
      </c>
      <c r="E94" s="10">
        <f>SUM(Jan!E94, Feb!E94, Mar!E94)</f>
        <v>0</v>
      </c>
      <c r="F94" s="10">
        <f t="shared" si="9"/>
        <v>1472594</v>
      </c>
      <c r="G94" s="11" t="str">
        <f t="shared" si="10"/>
        <v/>
      </c>
      <c r="H94" s="12">
        <f>SUM(Jan!H94, Feb!H94, Mar!H94)</f>
        <v>1690430.9900000002</v>
      </c>
      <c r="I94" s="12">
        <f>SUM(Jan!I94, Feb!I94, Mar!I94)</f>
        <v>-217836.99000000011</v>
      </c>
      <c r="J94" s="13">
        <f t="shared" si="11"/>
        <v>-0.12886476365414956</v>
      </c>
    </row>
    <row r="95" spans="1:10" ht="15.6">
      <c r="A95" s="26" t="str">
        <v>West Creek</v>
      </c>
      <c r="B95" s="27" t="str">
        <v>NY</v>
      </c>
      <c r="C95" s="27" t="str">
        <f>Sites[[#This Row],[SOL'#]]</f>
        <v>SOL-10995</v>
      </c>
      <c r="D95" s="9">
        <f>SUM(Jan!D95, Feb!D95, Mar!D95)</f>
        <v>1608240</v>
      </c>
      <c r="E95" s="14">
        <f>SUM(Jan!E95, Feb!E95, Mar!E95)</f>
        <v>0</v>
      </c>
      <c r="F95" s="14">
        <f t="shared" si="9"/>
        <v>1608240</v>
      </c>
      <c r="G95" s="15" t="str">
        <f t="shared" si="10"/>
        <v/>
      </c>
      <c r="H95" s="16">
        <f>SUM(Jan!H95, Feb!H95, Mar!H95)</f>
        <v>1647805.14</v>
      </c>
      <c r="I95" s="16">
        <f>SUM(Jan!I95, Feb!I95, Mar!I95)</f>
        <v>-39565.139999999956</v>
      </c>
      <c r="J95" s="15">
        <f t="shared" si="11"/>
        <v>-2.4010812346416128E-2</v>
      </c>
    </row>
    <row r="96" spans="1:10" ht="15.6">
      <c r="A96" s="24" t="str">
        <v>Wildflower</v>
      </c>
      <c r="B96" s="25" t="str">
        <v>NY</v>
      </c>
      <c r="C96" s="25" t="str">
        <f>Sites[[#This Row],[SOL'#]]</f>
        <v>SOL-10982</v>
      </c>
      <c r="D96" s="20">
        <f>SUM(Jan!D96, Feb!D96, Mar!D96)</f>
        <v>1311316.8999999999</v>
      </c>
      <c r="E96" s="10">
        <f>SUM(Jan!E96, Feb!E96, Mar!E96)</f>
        <v>0</v>
      </c>
      <c r="F96" s="10">
        <f t="shared" si="9"/>
        <v>1311316.8999999999</v>
      </c>
      <c r="G96" s="11" t="str">
        <f t="shared" si="10"/>
        <v/>
      </c>
      <c r="H96" s="12">
        <f>SUM(Jan!H96, Feb!H96, Mar!H96)</f>
        <v>1786008.62</v>
      </c>
      <c r="I96" s="12">
        <f>SUM(Jan!I96, Feb!I96, Mar!I96)</f>
        <v>-474691.72000000003</v>
      </c>
      <c r="J96" s="13">
        <f t="shared" si="11"/>
        <v>-0.26578355484084953</v>
      </c>
    </row>
    <row r="97" spans="1:10" ht="15.6">
      <c r="A97" s="26" t="str">
        <v>Glen Mary 1</v>
      </c>
      <c r="B97" s="27" t="str">
        <v>NY</v>
      </c>
      <c r="C97" s="27" t="str">
        <f>Sites[[#This Row],[SOL'#]]</f>
        <v>SOL-10993</v>
      </c>
      <c r="D97" s="9">
        <f>SUM(Jan!D97, Feb!D97, Mar!D97)</f>
        <v>1658570</v>
      </c>
      <c r="E97" s="14">
        <f>SUM(Jan!E97, Feb!E97, Mar!E97)</f>
        <v>0</v>
      </c>
      <c r="F97" s="14">
        <f t="shared" si="9"/>
        <v>1658570</v>
      </c>
      <c r="G97" s="15" t="str">
        <f t="shared" si="10"/>
        <v/>
      </c>
      <c r="H97" s="16">
        <f>SUM(Jan!H97, Feb!H97, Mar!H97)</f>
        <v>1770554.53</v>
      </c>
      <c r="I97" s="16">
        <f>SUM(Jan!I97, Feb!I97, Mar!I97)</f>
        <v>-111984.52999999997</v>
      </c>
      <c r="J97" s="15">
        <f t="shared" si="11"/>
        <v>-6.3248280751906555E-2</v>
      </c>
    </row>
    <row r="98" spans="1:10" ht="15.6">
      <c r="A98" s="24" t="str">
        <v>Glen Mary 2</v>
      </c>
      <c r="B98" s="25" t="str">
        <v>NY</v>
      </c>
      <c r="C98" s="25" t="str">
        <f>Sites[[#This Row],[SOL'#]]</f>
        <v>SOL-10994</v>
      </c>
      <c r="D98" s="20">
        <f>SUM(Jan!D98, Feb!D98, Mar!D98)</f>
        <v>427230</v>
      </c>
      <c r="E98" s="10">
        <f>SUM(Jan!E98, Feb!E98, Mar!E98)</f>
        <v>0</v>
      </c>
      <c r="F98" s="10">
        <f t="shared" si="9"/>
        <v>427230</v>
      </c>
      <c r="G98" s="11" t="str">
        <f t="shared" si="10"/>
        <v/>
      </c>
      <c r="H98" s="12">
        <f>SUM(Jan!H98, Feb!H98, Mar!H98)</f>
        <v>738205.96</v>
      </c>
      <c r="I98" s="12">
        <f>SUM(Jan!I98, Feb!I98, Mar!I98)</f>
        <v>-310975.95999999996</v>
      </c>
      <c r="J98" s="13">
        <f t="shared" si="11"/>
        <v>-0.42125907517733935</v>
      </c>
    </row>
    <row r="99" spans="1:10" ht="15.6">
      <c r="A99" s="26" t="str">
        <v>Telegraph 1</v>
      </c>
      <c r="B99" s="27" t="str">
        <v>NY</v>
      </c>
      <c r="C99" s="27" t="str">
        <f>Sites[[#This Row],[SOL'#]]</f>
        <v>SOL-11003</v>
      </c>
      <c r="D99" s="9">
        <f>SUM(Jan!D99, Feb!D99, Mar!D99)</f>
        <v>908160</v>
      </c>
      <c r="E99" s="14">
        <f>SUM(Jan!E99, Feb!E99, Mar!E99)</f>
        <v>0</v>
      </c>
      <c r="F99" s="14">
        <f t="shared" si="9"/>
        <v>908160</v>
      </c>
      <c r="G99" s="15" t="str">
        <f t="shared" si="10"/>
        <v/>
      </c>
      <c r="H99" s="16">
        <f>SUM(Jan!H99, Feb!H99, Mar!H99)</f>
        <v>1200362.3700000001</v>
      </c>
      <c r="I99" s="16">
        <f>SUM(Jan!I99, Feb!I99, Mar!I99)</f>
        <v>-292202.37</v>
      </c>
      <c r="J99" s="15">
        <f t="shared" si="11"/>
        <v>-0.2434284656890735</v>
      </c>
    </row>
    <row r="100" spans="1:10" ht="15.6">
      <c r="A100" s="24" t="str">
        <v>Telegraph 2</v>
      </c>
      <c r="B100" s="25" t="str">
        <v>NY</v>
      </c>
      <c r="C100" s="25" t="str">
        <f>Sites[[#This Row],[SOL'#]]</f>
        <v>SOL-11004</v>
      </c>
      <c r="D100" s="20">
        <f>SUM(Jan!D100, Feb!D100, Mar!D100)</f>
        <v>503671</v>
      </c>
      <c r="E100" s="10">
        <f>SUM(Jan!E100, Feb!E100, Mar!E100)</f>
        <v>0</v>
      </c>
      <c r="F100" s="10">
        <f t="shared" si="9"/>
        <v>503671</v>
      </c>
      <c r="G100" s="11" t="str">
        <f t="shared" si="10"/>
        <v/>
      </c>
      <c r="H100" s="12">
        <f>SUM(Jan!H100, Feb!H100, Mar!H100)</f>
        <v>620509.76</v>
      </c>
      <c r="I100" s="12">
        <f>SUM(Jan!I100, Feb!I100, Mar!I100)</f>
        <v>-116838.75999999998</v>
      </c>
      <c r="J100" s="13">
        <f t="shared" si="11"/>
        <v>-0.18829479813500433</v>
      </c>
    </row>
    <row r="101" spans="1:10" ht="15.6">
      <c r="A101" s="26" t="str">
        <v>Cafferty Hill</v>
      </c>
      <c r="B101" s="27" t="str">
        <v>NY</v>
      </c>
      <c r="C101" s="27" t="str">
        <f>Sites[[#This Row],[SOL'#]]</f>
        <v>SOL-10996</v>
      </c>
      <c r="D101" s="9">
        <f>SUM(Jan!D101, Feb!D101, Mar!D101)</f>
        <v>1545620</v>
      </c>
      <c r="E101" s="14">
        <f>SUM(Jan!E101, Feb!E101, Mar!E101)</f>
        <v>0</v>
      </c>
      <c r="F101" s="14">
        <f t="shared" si="9"/>
        <v>1545620</v>
      </c>
      <c r="G101" s="15" t="str">
        <f t="shared" si="10"/>
        <v/>
      </c>
      <c r="H101" s="16">
        <f>SUM(Jan!H101, Feb!H101, Mar!H101)</f>
        <v>1548566</v>
      </c>
      <c r="I101" s="16">
        <f>SUM(Jan!I101, Feb!I101, Mar!I101)</f>
        <v>-2946.0000000000582</v>
      </c>
      <c r="J101" s="15">
        <f t="shared" si="11"/>
        <v>-1.9024051929333707E-3</v>
      </c>
    </row>
    <row r="102" spans="1:10" ht="15.6">
      <c r="A102" s="24" t="str">
        <v>Dunkleman</v>
      </c>
      <c r="B102" s="25" t="str">
        <v>NY</v>
      </c>
      <c r="C102" s="25" t="str">
        <f>Sites[[#This Row],[SOL'#]]</f>
        <v>SOL-11008</v>
      </c>
      <c r="D102" s="20">
        <f>SUM(Jan!D102, Feb!D102, Mar!D102)</f>
        <v>1239050</v>
      </c>
      <c r="E102" s="10">
        <f>SUM(Jan!E102, Feb!E102, Mar!E102)</f>
        <v>0</v>
      </c>
      <c r="F102" s="10">
        <f t="shared" si="9"/>
        <v>1239050</v>
      </c>
      <c r="G102" s="11" t="str">
        <f t="shared" si="10"/>
        <v/>
      </c>
      <c r="H102" s="12">
        <f>SUM(Jan!H102, Feb!H102, Mar!H102)</f>
        <v>1827365.4</v>
      </c>
      <c r="I102" s="12">
        <f>SUM(Jan!I102, Feb!I102, Mar!I102)</f>
        <v>-588315.39999999991</v>
      </c>
      <c r="J102" s="13">
        <f t="shared" si="11"/>
        <v>-0.32194732372627827</v>
      </c>
    </row>
    <row r="103" spans="1:10" ht="15.6">
      <c r="A103" s="26" t="str">
        <v>Route 19 1</v>
      </c>
      <c r="B103" s="27" t="str">
        <v>NY</v>
      </c>
      <c r="C103" s="27" t="str">
        <f>Sites[[#This Row],[SOL'#]]</f>
        <v>SOL-11001</v>
      </c>
      <c r="D103" s="9">
        <f>SUM(Jan!D103, Feb!D103, Mar!D103)</f>
        <v>599580</v>
      </c>
      <c r="E103" s="14">
        <f>SUM(Jan!E103, Feb!E103, Mar!E103)</f>
        <v>0</v>
      </c>
      <c r="F103" s="14">
        <f t="shared" si="9"/>
        <v>599580</v>
      </c>
      <c r="G103" s="15" t="str">
        <f t="shared" si="10"/>
        <v/>
      </c>
      <c r="H103" s="16">
        <f>SUM(Jan!H103, Feb!H103, Mar!H103)</f>
        <v>734699.06</v>
      </c>
      <c r="I103" s="16">
        <f>SUM(Jan!I103, Feb!I103, Mar!I103)</f>
        <v>-135119.05999999997</v>
      </c>
      <c r="J103" s="15">
        <f t="shared" si="11"/>
        <v>-0.18391075660284628</v>
      </c>
    </row>
    <row r="104" spans="1:10" ht="15.6">
      <c r="A104" s="24" t="str">
        <v>Route 19 2</v>
      </c>
      <c r="B104" s="25" t="str">
        <v>NY</v>
      </c>
      <c r="C104" s="25" t="str">
        <f>Sites[[#This Row],[SOL'#]]</f>
        <v>SOL-11002</v>
      </c>
      <c r="D104" s="20">
        <f>SUM(Jan!D104, Feb!D104, Mar!D104)</f>
        <v>1508780</v>
      </c>
      <c r="E104" s="10">
        <f>SUM(Jan!E104, Feb!E104, Mar!E104)</f>
        <v>0</v>
      </c>
      <c r="F104" s="10">
        <f t="shared" si="9"/>
        <v>1508780</v>
      </c>
      <c r="G104" s="11" t="str">
        <f t="shared" si="10"/>
        <v/>
      </c>
      <c r="H104" s="12">
        <f>SUM(Jan!H104, Feb!H104, Mar!H104)</f>
        <v>1875001.22</v>
      </c>
      <c r="I104" s="12">
        <f>SUM(Jan!I104, Feb!I104, Mar!I104)</f>
        <v>-366221.22</v>
      </c>
      <c r="J104" s="13">
        <f t="shared" si="11"/>
        <v>-0.1953178569131811</v>
      </c>
    </row>
    <row r="105" spans="1:10" ht="15.6">
      <c r="A105" s="26" t="str">
        <v>Yellow Mills 1</v>
      </c>
      <c r="B105" s="27" t="str">
        <v>NY</v>
      </c>
      <c r="C105" s="27" t="str">
        <f>Sites[[#This Row],[SOL'#]]</f>
        <v>SOL-11006</v>
      </c>
      <c r="D105" s="9">
        <f>SUM(Jan!D105, Feb!D105, Mar!D105)</f>
        <v>217178</v>
      </c>
      <c r="E105" s="14">
        <f>SUM(Jan!E105, Feb!E105, Mar!E105)</f>
        <v>0</v>
      </c>
      <c r="F105" s="14">
        <f t="shared" si="9"/>
        <v>217178</v>
      </c>
      <c r="G105" s="15" t="str">
        <f t="shared" si="10"/>
        <v/>
      </c>
      <c r="H105" s="16">
        <f>SUM(Jan!H105, Feb!H105, Mar!H105)</f>
        <v>590012.82000000007</v>
      </c>
      <c r="I105" s="16">
        <f>SUM(Jan!I105, Feb!I105, Mar!I105)</f>
        <v>-372834.81999999995</v>
      </c>
      <c r="J105" s="15">
        <f t="shared" si="11"/>
        <v>-0.63190969308090617</v>
      </c>
    </row>
    <row r="106" spans="1:10" ht="15.6">
      <c r="A106" s="24" t="str">
        <v>Yellow Mills 2</v>
      </c>
      <c r="B106" s="25" t="str">
        <v>NY</v>
      </c>
      <c r="C106" s="25" t="str">
        <f>Sites[[#This Row],[SOL'#]]</f>
        <v>SOL-11005</v>
      </c>
      <c r="D106" s="20">
        <f>SUM(Jan!D106, Feb!D106, Mar!D106)</f>
        <v>536407</v>
      </c>
      <c r="E106" s="10">
        <f>SUM(Jan!E106, Feb!E106, Mar!E106)</f>
        <v>0</v>
      </c>
      <c r="F106" s="10">
        <f t="shared" si="9"/>
        <v>536407</v>
      </c>
      <c r="G106" s="11" t="str">
        <f t="shared" si="10"/>
        <v/>
      </c>
      <c r="H106" s="12">
        <f>SUM(Jan!H106, Feb!H106, Mar!H106)</f>
        <v>608233.1</v>
      </c>
      <c r="I106" s="12">
        <f>SUM(Jan!I106, Feb!I106, Mar!I106)</f>
        <v>-71826.100000000006</v>
      </c>
      <c r="J106" s="13">
        <f t="shared" si="11"/>
        <v>-0.11808975867969042</v>
      </c>
    </row>
    <row r="107" spans="1:10" ht="15.6">
      <c r="A107" s="26" t="str">
        <v>Yellow Mills 3</v>
      </c>
      <c r="B107" s="27" t="str">
        <v>NY</v>
      </c>
      <c r="C107" s="27" t="str">
        <f>Sites[[#This Row],[SOL'#]]</f>
        <v>SOL-11007</v>
      </c>
      <c r="D107" s="9">
        <f>SUM(Jan!D107, Feb!D107, Mar!D107)</f>
        <v>463994</v>
      </c>
      <c r="E107" s="14">
        <f>SUM(Jan!E107, Feb!E107, Mar!E107)</f>
        <v>0</v>
      </c>
      <c r="F107" s="14">
        <f t="shared" si="9"/>
        <v>463994</v>
      </c>
      <c r="G107" s="15" t="str">
        <f t="shared" si="10"/>
        <v/>
      </c>
      <c r="H107" s="16">
        <f>SUM(Jan!H107, Feb!H107, Mar!H107)</f>
        <v>558855.09000000008</v>
      </c>
      <c r="I107" s="16">
        <f>SUM(Jan!I107, Feb!I107, Mar!I107)</f>
        <v>-94861.09000000004</v>
      </c>
      <c r="J107" s="15">
        <f t="shared" si="11"/>
        <v>-0.16974183772755835</v>
      </c>
    </row>
    <row r="108" spans="1:10" ht="15.6">
      <c r="A108" s="24" t="str">
        <v>Catskill</v>
      </c>
      <c r="B108" s="25" t="str">
        <v>NY</v>
      </c>
      <c r="C108" s="25" t="str">
        <f>Sites[[#This Row],[SOL'#]]</f>
        <v>SOL-11021</v>
      </c>
      <c r="D108" s="20">
        <f>SUM(Jan!D108, Feb!D108, Mar!D108)</f>
        <v>1047060</v>
      </c>
      <c r="E108" s="10">
        <f>SUM(Jan!E108, Feb!E108, Mar!E108)</f>
        <v>0</v>
      </c>
      <c r="F108" s="10">
        <f t="shared" si="9"/>
        <v>1047060</v>
      </c>
      <c r="G108" s="11" t="str">
        <f t="shared" si="10"/>
        <v/>
      </c>
      <c r="H108" s="12">
        <f>SUM(Jan!H108, Feb!H108, Mar!H108)</f>
        <v>1210172.4300000002</v>
      </c>
      <c r="I108" s="12">
        <f>SUM(Jan!I108, Feb!I108, Mar!I108)</f>
        <v>-163112.43</v>
      </c>
      <c r="J108" s="13">
        <f t="shared" si="11"/>
        <v>-0.13478445381539553</v>
      </c>
    </row>
    <row r="109" spans="1:10" ht="15.6">
      <c r="A109" s="26" t="str">
        <v>Eddy Ridge</v>
      </c>
      <c r="B109" s="27" t="str">
        <v>NY</v>
      </c>
      <c r="C109" s="27" t="str">
        <f>Sites[[#This Row],[SOL'#]]</f>
        <v>SOL-11054</v>
      </c>
      <c r="D109" s="9">
        <f>SUM(Jan!D109, Feb!D109, Mar!D109)</f>
        <v>681679.5</v>
      </c>
      <c r="E109" s="14">
        <f>SUM(Jan!E109, Feb!E109, Mar!E109)</f>
        <v>0</v>
      </c>
      <c r="F109" s="14">
        <f t="shared" si="9"/>
        <v>681679.5</v>
      </c>
      <c r="G109" s="15" t="str">
        <f t="shared" si="10"/>
        <v/>
      </c>
      <c r="H109" s="16">
        <f>SUM(Jan!H109, Feb!H109, Mar!H109)</f>
        <v>848735</v>
      </c>
      <c r="I109" s="16">
        <f>SUM(Jan!I109, Feb!I109, Mar!I109)</f>
        <v>-167055.50000000003</v>
      </c>
      <c r="J109" s="15">
        <f t="shared" si="11"/>
        <v>-0.19682880993478533</v>
      </c>
    </row>
    <row r="110" spans="1:10" ht="15.6">
      <c r="A110" s="24" t="str">
        <v>Ridgeway #1</v>
      </c>
      <c r="B110" s="25" t="str">
        <v>NY</v>
      </c>
      <c r="C110" s="25" t="str">
        <f>Sites[[#This Row],[SOL'#]]</f>
        <v>SOL-11018</v>
      </c>
      <c r="D110" s="20">
        <f>SUM(Jan!D110, Feb!D110, Mar!D110)</f>
        <v>1455922</v>
      </c>
      <c r="E110" s="10">
        <f>SUM(Jan!E110, Feb!E110, Mar!E110)</f>
        <v>0</v>
      </c>
      <c r="F110" s="10">
        <f t="shared" si="9"/>
        <v>1455922</v>
      </c>
      <c r="G110" s="11" t="str">
        <f t="shared" si="10"/>
        <v/>
      </c>
      <c r="H110" s="12">
        <f>SUM(Jan!H110, Feb!H110, Mar!H110)</f>
        <v>1887846.5</v>
      </c>
      <c r="I110" s="12">
        <f>SUM(Jan!I110, Feb!I110, Mar!I110)</f>
        <v>-431924.5</v>
      </c>
      <c r="J110" s="13">
        <f t="shared" si="11"/>
        <v>-0.2287921713974097</v>
      </c>
    </row>
    <row r="111" spans="1:10" ht="15.6">
      <c r="A111" s="26" t="str">
        <v>Rivard 1</v>
      </c>
      <c r="B111" s="27" t="str">
        <v>NY</v>
      </c>
      <c r="C111" s="27" t="str">
        <f>Sites[[#This Row],[SOL'#]]</f>
        <v>SOL-11011</v>
      </c>
      <c r="D111" s="9">
        <f>SUM(Jan!D111, Feb!D111, Mar!D111)</f>
        <v>1110890</v>
      </c>
      <c r="E111" s="14">
        <f>SUM(Jan!E111, Feb!E111, Mar!E111)</f>
        <v>1333490.2000000002</v>
      </c>
      <c r="F111" s="14">
        <f t="shared" si="9"/>
        <v>-222600.20000000019</v>
      </c>
      <c r="G111" s="15">
        <f t="shared" si="10"/>
        <v>-0.16693051062542502</v>
      </c>
      <c r="H111" s="16">
        <f>SUM(Jan!H111, Feb!H111, Mar!H111)</f>
        <v>1306920.6000000001</v>
      </c>
      <c r="I111" s="16">
        <f>SUM(Jan!I111, Feb!I111, Mar!I111)</f>
        <v>-196030.59999999998</v>
      </c>
      <c r="J111" s="15">
        <f t="shared" si="11"/>
        <v>-0.14999426897089232</v>
      </c>
    </row>
    <row r="112" spans="1:10" ht="15.6">
      <c r="A112" s="24" t="str">
        <v>Rivard 2</v>
      </c>
      <c r="B112" s="25" t="str">
        <v>NY</v>
      </c>
      <c r="C112" s="25" t="str">
        <f>Sites[[#This Row],[SOL'#]]</f>
        <v>SOL-11012</v>
      </c>
      <c r="D112" s="20">
        <f>SUM(Jan!D112, Feb!D112, Mar!D112)</f>
        <v>1124733.377784444</v>
      </c>
      <c r="E112" s="10">
        <f>SUM(Jan!E112, Feb!E112, Mar!E112)</f>
        <v>1139128</v>
      </c>
      <c r="F112" s="10">
        <f t="shared" si="9"/>
        <v>-14394.622215555981</v>
      </c>
      <c r="G112" s="11">
        <f t="shared" si="10"/>
        <v>-1.2636527427607767E-2</v>
      </c>
      <c r="H112" s="12">
        <f>SUM(Jan!H112, Feb!H112, Mar!H112)</f>
        <v>1253494.8999999999</v>
      </c>
      <c r="I112" s="12">
        <f>SUM(Jan!I112, Feb!I112, Mar!I112)</f>
        <v>-128761.52221555606</v>
      </c>
      <c r="J112" s="13">
        <f t="shared" si="11"/>
        <v>-0.10272201523560733</v>
      </c>
    </row>
    <row r="113" spans="1:10" ht="15.6">
      <c r="A113" s="26" t="str">
        <v>Essex</v>
      </c>
      <c r="B113" s="27" t="str">
        <v>DC</v>
      </c>
      <c r="C113" s="27" t="str">
        <f>Sites[[#This Row],[SOL'#]]</f>
        <v>SOL-10036</v>
      </c>
      <c r="D113" s="9">
        <f>SUM(Jan!D113, Feb!D113, Mar!D113)</f>
        <v>6253</v>
      </c>
      <c r="E113" s="14">
        <f>SUM(Jan!E113, Feb!E113, Mar!E113)</f>
        <v>7882.5240000000003</v>
      </c>
      <c r="F113" s="14">
        <f t="shared" si="9"/>
        <v>-1629.5240000000003</v>
      </c>
      <c r="G113" s="15">
        <f t="shared" si="10"/>
        <v>-0.20672617044997266</v>
      </c>
      <c r="H113" s="16">
        <f>SUM(Jan!H113, Feb!H113, Mar!H113)</f>
        <v>8796.3189999999995</v>
      </c>
      <c r="I113" s="16">
        <f>SUM(Jan!I113, Feb!I113, Mar!I113)</f>
        <v>-2543.319</v>
      </c>
      <c r="J113" s="15">
        <f t="shared" si="11"/>
        <v>-0.28913446636030365</v>
      </c>
    </row>
    <row r="114" spans="1:10" ht="15.6">
      <c r="A114" s="24" t="str">
        <v>Temple Sinai</v>
      </c>
      <c r="B114" s="25" t="str">
        <v>DC</v>
      </c>
      <c r="C114" s="25" t="str">
        <f>Sites[[#This Row],[SOL'#]]</f>
        <v>SOL-10028</v>
      </c>
      <c r="D114" s="20">
        <f>SUM(Jan!D114, Feb!D114, Mar!D114)</f>
        <v>17544.75</v>
      </c>
      <c r="E114" s="10">
        <f>SUM(Jan!E114, Feb!E114, Mar!E114)</f>
        <v>26275.137999999999</v>
      </c>
      <c r="F114" s="10">
        <f t="shared" si="9"/>
        <v>-8730.387999999999</v>
      </c>
      <c r="G114" s="11">
        <f t="shared" si="10"/>
        <v>-0.33226801701288872</v>
      </c>
      <c r="H114" s="12">
        <f>SUM(Jan!H114, Feb!H114, Mar!H114)</f>
        <v>20512.345999999998</v>
      </c>
      <c r="I114" s="12">
        <f>SUM(Jan!I114, Feb!I114, Mar!I114)</f>
        <v>-2967.5960000000009</v>
      </c>
      <c r="J114" s="13">
        <f t="shared" si="11"/>
        <v>-0.14467365166324717</v>
      </c>
    </row>
    <row r="115" spans="1:10" ht="15.6">
      <c r="A115" s="26" t="str">
        <v>Weinberg Commons #1</v>
      </c>
      <c r="B115" s="27" t="str">
        <v>DC</v>
      </c>
      <c r="C115" s="27" t="str">
        <f>Sites[[#This Row],[SOL'#]]</f>
        <v>SOL-10039</v>
      </c>
      <c r="D115" s="9">
        <f>SUM(Jan!D115, Feb!D115, Mar!D115)</f>
        <v>2043</v>
      </c>
      <c r="E115" s="14">
        <f>SUM(Jan!E115, Feb!E115, Mar!E115)</f>
        <v>2349.2451000000001</v>
      </c>
      <c r="F115" s="14">
        <f t="shared" si="9"/>
        <v>-306.24510000000009</v>
      </c>
      <c r="G115" s="15">
        <f t="shared" si="10"/>
        <v>-0.13035893955892472</v>
      </c>
      <c r="H115" s="16">
        <f>SUM(Jan!H115, Feb!H115, Mar!H115)</f>
        <v>3149.0412999999999</v>
      </c>
      <c r="I115" s="16">
        <f>SUM(Jan!I115, Feb!I115, Mar!I115)</f>
        <v>-1106.0413000000001</v>
      </c>
      <c r="J115" s="15">
        <f t="shared" si="11"/>
        <v>-0.351231119134576</v>
      </c>
    </row>
    <row r="116" spans="1:10" ht="15.6">
      <c r="A116" s="24" t="str">
        <v>Weinberg Commons #2</v>
      </c>
      <c r="B116" s="25" t="str">
        <v>DC</v>
      </c>
      <c r="C116" s="25" t="str">
        <f>Sites[[#This Row],[SOL'#]]</f>
        <v>SOL-10045</v>
      </c>
      <c r="D116" s="20">
        <f>SUM(Jan!D116, Feb!D116, Mar!D116)</f>
        <v>2820</v>
      </c>
      <c r="E116" s="10">
        <f>SUM(Jan!E116, Feb!E116, Mar!E116)</f>
        <v>3087.8523999999998</v>
      </c>
      <c r="F116" s="10">
        <f t="shared" si="9"/>
        <v>-267.85239999999976</v>
      </c>
      <c r="G116" s="11">
        <f t="shared" si="10"/>
        <v>-8.6743913018640331E-2</v>
      </c>
      <c r="H116" s="12">
        <f>SUM(Jan!H116, Feb!H116, Mar!H116)</f>
        <v>3278.6670999999997</v>
      </c>
      <c r="I116" s="12">
        <f>SUM(Jan!I116, Feb!I116, Mar!I116)</f>
        <v>-458.6671</v>
      </c>
      <c r="J116" s="13">
        <f t="shared" si="11"/>
        <v>-0.13989437963982376</v>
      </c>
    </row>
    <row r="117" spans="1:10" ht="15.6">
      <c r="A117" s="26" t="str">
        <v>Weinberg Commons #3</v>
      </c>
      <c r="B117" s="27" t="str">
        <v>DC</v>
      </c>
      <c r="C117" s="27" t="str">
        <f>Sites[[#This Row],[SOL'#]]</f>
        <v>SOL-10042</v>
      </c>
      <c r="D117" s="9">
        <f>SUM(Jan!D117, Feb!D117, Mar!D117)</f>
        <v>3285</v>
      </c>
      <c r="E117" s="14">
        <f>SUM(Jan!E117, Feb!E117, Mar!E117)</f>
        <v>3484.3462</v>
      </c>
      <c r="F117" s="14">
        <f t="shared" si="9"/>
        <v>-199.34619999999995</v>
      </c>
      <c r="G117" s="15">
        <f t="shared" si="10"/>
        <v>-5.721193835446086E-2</v>
      </c>
      <c r="H117" s="16">
        <f>SUM(Jan!H117, Feb!H117, Mar!H117)</f>
        <v>3415</v>
      </c>
      <c r="I117" s="16">
        <f>SUM(Jan!I117, Feb!I117, Mar!I117)</f>
        <v>-130</v>
      </c>
      <c r="J117" s="15">
        <f t="shared" si="11"/>
        <v>-3.8067349926793559E-2</v>
      </c>
    </row>
    <row r="118" spans="1:10" ht="15.6">
      <c r="A118" s="24" t="str">
        <v>Clayton Hall</v>
      </c>
      <c r="B118" s="25" t="str">
        <v>DE</v>
      </c>
      <c r="C118" s="25" t="str">
        <f>Sites[[#This Row],[SOL'#]]</f>
        <v>SOL-10820</v>
      </c>
      <c r="D118" s="20">
        <f>SUM(Jan!D118, Feb!D118, Mar!D118)</f>
        <v>26539</v>
      </c>
      <c r="E118" s="10">
        <f>SUM(Jan!E118, Feb!E118, Mar!E118)</f>
        <v>31264.761000000002</v>
      </c>
      <c r="F118" s="10">
        <f t="shared" si="9"/>
        <v>-4725.7610000000022</v>
      </c>
      <c r="G118" s="11">
        <f t="shared" si="10"/>
        <v>-0.15115295459958902</v>
      </c>
      <c r="H118" s="12">
        <f>SUM(Jan!H118, Feb!H118, Mar!H118)</f>
        <v>29910.03</v>
      </c>
      <c r="I118" s="12">
        <f>SUM(Jan!I118, Feb!I118, Mar!I118)</f>
        <v>-3371.0300000000007</v>
      </c>
      <c r="J118" s="13">
        <f t="shared" si="11"/>
        <v>-0.11270567097391747</v>
      </c>
    </row>
    <row r="119" spans="1:10" ht="15.6">
      <c r="A119" s="26" t="str">
        <v>Field House</v>
      </c>
      <c r="B119" s="27" t="str">
        <v>DE</v>
      </c>
      <c r="C119" s="27" t="str">
        <f>Sites[[#This Row],[SOL'#]]</f>
        <v>SOL-10821</v>
      </c>
      <c r="D119" s="9">
        <f>SUM(Jan!D119, Feb!D119, Mar!D119)</f>
        <v>113629</v>
      </c>
      <c r="E119" s="14">
        <f>SUM(Jan!E119, Feb!E119, Mar!E119)</f>
        <v>0</v>
      </c>
      <c r="F119" s="14">
        <f t="shared" si="9"/>
        <v>113629</v>
      </c>
      <c r="G119" s="15" t="str">
        <f t="shared" si="10"/>
        <v/>
      </c>
      <c r="H119" s="16">
        <f>SUM(Jan!H119, Feb!H119, Mar!H119)</f>
        <v>100667</v>
      </c>
      <c r="I119" s="16">
        <f>SUM(Jan!I119, Feb!I119, Mar!I119)</f>
        <v>12962</v>
      </c>
      <c r="J119" s="15">
        <f t="shared" si="11"/>
        <v>0.12876116304250648</v>
      </c>
    </row>
    <row r="120" spans="1:10" ht="15.6">
      <c r="A120" s="24" t="str">
        <v>Wyoming Road</v>
      </c>
      <c r="B120" s="25" t="str">
        <v>DE</v>
      </c>
      <c r="C120" s="25" t="str">
        <f>Sites[[#This Row],[SOL'#]]</f>
        <v>SOL-10819</v>
      </c>
      <c r="D120" s="20">
        <f>SUM(Jan!D120, Feb!D120, Mar!D120)</f>
        <v>25275</v>
      </c>
      <c r="E120" s="10">
        <f>SUM(Jan!E120, Feb!E120, Mar!E120)</f>
        <v>59173.127000000008</v>
      </c>
      <c r="F120" s="10">
        <f t="shared" si="9"/>
        <v>-33898.127000000008</v>
      </c>
      <c r="G120" s="11">
        <f t="shared" si="10"/>
        <v>-0.57286353989708882</v>
      </c>
      <c r="H120" s="12">
        <f>SUM(Jan!H120, Feb!H120, Mar!H120)</f>
        <v>62930.206000000006</v>
      </c>
      <c r="I120" s="12">
        <f>SUM(Jan!I120, Feb!I120, Mar!I120)</f>
        <v>-37655.206000000006</v>
      </c>
      <c r="J120" s="13">
        <f t="shared" si="11"/>
        <v>-0.59836457551084454</v>
      </c>
    </row>
    <row r="121" spans="1:10" ht="15.6">
      <c r="A121" s="26" t="str">
        <v>94-246 Leoku St. - PV Bldg E, F, G</v>
      </c>
      <c r="B121" s="27" t="str">
        <v>HI</v>
      </c>
      <c r="C121" s="27" t="str">
        <f>Sites[[#This Row],[SOL'#]]</f>
        <v>SOL-10071</v>
      </c>
      <c r="D121" s="9">
        <f>SUM(Jan!D121, Feb!D121, Mar!D121)</f>
        <v>28914</v>
      </c>
      <c r="E121" s="14">
        <f>SUM(Jan!E121, Feb!E121, Mar!E121)</f>
        <v>29374.276000000005</v>
      </c>
      <c r="F121" s="14">
        <f t="shared" si="9"/>
        <v>-460.2760000000053</v>
      </c>
      <c r="G121" s="15">
        <f t="shared" si="10"/>
        <v>-1.5669356412393115E-2</v>
      </c>
      <c r="H121" s="16">
        <f>SUM(Jan!H121, Feb!H121, Mar!H121)</f>
        <v>32426.188000000002</v>
      </c>
      <c r="I121" s="16">
        <f>SUM(Jan!I121, Feb!I121, Mar!I121)</f>
        <v>-3512.1880000000001</v>
      </c>
      <c r="J121" s="15">
        <f t="shared" si="11"/>
        <v>-0.1083133176184632</v>
      </c>
    </row>
    <row r="122" spans="1:10" ht="15.6">
      <c r="A122" s="24" t="str">
        <v>94-099 Waipahu St - PV</v>
      </c>
      <c r="B122" s="25" t="str">
        <v>HI</v>
      </c>
      <c r="C122" s="25" t="str">
        <f>Sites[[#This Row],[SOL'#]]</f>
        <v>SOL-10068</v>
      </c>
      <c r="D122" s="20">
        <f>SUM(Jan!D122, Feb!D122, Mar!D122)</f>
        <v>34818</v>
      </c>
      <c r="E122" s="10">
        <f>SUM(Jan!E122, Feb!E122, Mar!E122)</f>
        <v>28134.248</v>
      </c>
      <c r="F122" s="10">
        <f t="shared" si="9"/>
        <v>6683.7520000000004</v>
      </c>
      <c r="G122" s="11">
        <f t="shared" si="10"/>
        <v>0.2375663994999973</v>
      </c>
      <c r="H122" s="12">
        <f>SUM(Jan!H122, Feb!H122, Mar!H122)</f>
        <v>32408.821000000004</v>
      </c>
      <c r="I122" s="12">
        <f>SUM(Jan!I122, Feb!I122, Mar!I122)</f>
        <v>2409.1789999999983</v>
      </c>
      <c r="J122" s="13">
        <f t="shared" si="11"/>
        <v>7.4337138027946101E-2</v>
      </c>
    </row>
    <row r="123" spans="1:10" ht="15.6">
      <c r="A123" s="26" t="str">
        <v>TES Bird in Hand</v>
      </c>
      <c r="B123" s="27" t="str">
        <v>MD</v>
      </c>
      <c r="C123" s="27" t="str">
        <f>Sites[[#This Row],[SOL'#]]</f>
        <v>SOL-10092</v>
      </c>
      <c r="D123" s="9">
        <f>SUM(Jan!D123, Feb!D123, Mar!D123)</f>
        <v>389894</v>
      </c>
      <c r="E123" s="14">
        <f>SUM(Jan!E123, Feb!E123, Mar!E123)</f>
        <v>420304.69999999995</v>
      </c>
      <c r="F123" s="14">
        <f t="shared" si="9"/>
        <v>-30410.699999999953</v>
      </c>
      <c r="G123" s="15">
        <f t="shared" si="10"/>
        <v>-7.2353937512475971E-2</v>
      </c>
      <c r="H123" s="16">
        <f>SUM(Jan!H123, Feb!H123, Mar!H123)</f>
        <v>322214.41000000003</v>
      </c>
      <c r="I123" s="16">
        <f>SUM(Jan!I123, Feb!I123, Mar!I123)</f>
        <v>67679.59</v>
      </c>
      <c r="J123" s="15">
        <f t="shared" si="11"/>
        <v>0.21004519940619659</v>
      </c>
    </row>
    <row r="124" spans="1:10" ht="15.6">
      <c r="A124" s="24" t="str">
        <v>TES Shortal Solar LLC</v>
      </c>
      <c r="B124" s="25" t="str">
        <v>MD</v>
      </c>
      <c r="C124" s="25" t="str">
        <f>Sites[[#This Row],[SOL'#]]</f>
        <v>SOL-10091</v>
      </c>
      <c r="D124" s="20">
        <f>SUM(Jan!D124, Feb!D125, Mar!D124)</f>
        <v>297773</v>
      </c>
      <c r="E124" s="10">
        <f>SUM(Jan!E124, Feb!E124, Mar!E124)</f>
        <v>324014.15000000002</v>
      </c>
      <c r="F124" s="10">
        <f t="shared" si="9"/>
        <v>-26241.150000000023</v>
      </c>
      <c r="G124" s="11">
        <f t="shared" si="10"/>
        <v>-8.0987666742332154E-2</v>
      </c>
      <c r="H124" s="12">
        <f>SUM(Jan!H124, Feb!H124, Mar!H124)</f>
        <v>426085.3</v>
      </c>
      <c r="I124" s="12">
        <f>SUM(Jan!I124, Feb!I124, Mar!I124)</f>
        <v>-128312.30000000002</v>
      </c>
      <c r="J124" s="13">
        <f t="shared" si="11"/>
        <v>-0.30114228301234525</v>
      </c>
    </row>
    <row r="125" spans="1:10" ht="15.6">
      <c r="A125" s="26" t="str">
        <v>Coca Cola Aguadilla</v>
      </c>
      <c r="B125" s="27" t="str">
        <v>PR</v>
      </c>
      <c r="C125" s="27" t="str">
        <f>Sites[[#This Row],[SOL'#]]</f>
        <v>SOL-10072</v>
      </c>
      <c r="D125" s="9">
        <f>SUM(Jan!D125, Feb!D125, Mar!D125)</f>
        <v>45110</v>
      </c>
      <c r="E125" s="14">
        <f>SUM(Jan!E125, Feb!E125, Mar!E125)</f>
        <v>50681.72</v>
      </c>
      <c r="F125" s="14">
        <f t="shared" si="9"/>
        <v>-5571.7200000000012</v>
      </c>
      <c r="G125" s="15">
        <f t="shared" si="10"/>
        <v>-0.10993549548042175</v>
      </c>
      <c r="H125" s="16">
        <f>SUM(Jan!H125, Feb!H125, Mar!H125)</f>
        <v>56350</v>
      </c>
      <c r="I125" s="16">
        <f>SUM(Jan!I125, Feb!I125, Mar!I125)</f>
        <v>-11240</v>
      </c>
      <c r="J125" s="15">
        <f t="shared" si="11"/>
        <v>-0.1994676131322094</v>
      </c>
    </row>
    <row r="126" spans="1:10" ht="15.6">
      <c r="A126" s="24" t="str">
        <v>Coca Cola Bayamon</v>
      </c>
      <c r="B126" s="25" t="str">
        <v>PR</v>
      </c>
      <c r="C126" s="25" t="str">
        <f>Sites[[#This Row],[SOL'#]]</f>
        <v>SOL-10073</v>
      </c>
      <c r="D126" s="20">
        <f>SUM(Jan!D126, Feb!D126, Mar!D126)</f>
        <v>169262</v>
      </c>
      <c r="E126" s="10">
        <f>SUM(Jan!E126, Feb!E126, Mar!E126)</f>
        <v>204023.39</v>
      </c>
      <c r="F126" s="10">
        <f t="shared" si="9"/>
        <v>-34761.390000000014</v>
      </c>
      <c r="G126" s="11">
        <f t="shared" si="10"/>
        <v>-0.1703794354166942</v>
      </c>
      <c r="H126" s="12">
        <f>SUM(Jan!H126, Feb!H126, Mar!H126)</f>
        <v>231723</v>
      </c>
      <c r="I126" s="12">
        <f>SUM(Jan!I126, Feb!I126, Mar!I126)</f>
        <v>-62461</v>
      </c>
      <c r="J126" s="13">
        <f t="shared" si="11"/>
        <v>-0.26955028201775394</v>
      </c>
    </row>
    <row r="127" spans="1:10" ht="15.6">
      <c r="A127" s="26" t="str">
        <v>St Francis School</v>
      </c>
      <c r="B127" s="27" t="str">
        <v>PR</v>
      </c>
      <c r="C127" s="27" t="str">
        <f>Sites[[#This Row],[SOL'#]]</f>
        <v>SOL-10034</v>
      </c>
      <c r="D127" s="9">
        <f>SUM(Jan!D127, Feb!D127, Mar!D127)</f>
        <v>63399.5</v>
      </c>
      <c r="E127" s="14">
        <f>SUM(Jan!E127, Feb!E127, Mar!E127)</f>
        <v>123398.68</v>
      </c>
      <c r="F127" s="14">
        <f t="shared" si="9"/>
        <v>-59999.179999999993</v>
      </c>
      <c r="G127" s="15">
        <f t="shared" si="10"/>
        <v>-0.48622221890866252</v>
      </c>
      <c r="H127" s="16">
        <f>SUM(Jan!H127, Feb!H127, Mar!H127)</f>
        <v>107219</v>
      </c>
      <c r="I127" s="16">
        <f>SUM(Jan!I127, Feb!I127, Mar!I127)</f>
        <v>-43819.5</v>
      </c>
      <c r="J127" s="15">
        <f t="shared" si="11"/>
        <v>-0.40869155653382327</v>
      </c>
    </row>
    <row r="128" spans="1:10" ht="15.6">
      <c r="A128" s="24" t="str">
        <v>645 Summer Street - (Seaport Solar)</v>
      </c>
      <c r="B128" s="25" t="str">
        <v>MA</v>
      </c>
      <c r="C128" s="25" t="str">
        <f>Sites[[#This Row],[SOL'#]]</f>
        <v>SOL-10772</v>
      </c>
      <c r="D128" s="20">
        <f>SUM(Jan!D128, Feb!D128, Mar!D128)</f>
        <v>108237</v>
      </c>
      <c r="E128" s="10">
        <f>SUM(Jan!E128, Feb!E128, Mar!E128)</f>
        <v>4177.0805</v>
      </c>
      <c r="F128" s="10">
        <f t="shared" si="9"/>
        <v>104059.9195</v>
      </c>
      <c r="G128" s="11">
        <f t="shared" si="10"/>
        <v>24.912117326922477</v>
      </c>
      <c r="H128" s="12">
        <f>SUM(Jan!H128, Feb!H128, Mar!H128)</f>
        <v>111151.39000000001</v>
      </c>
      <c r="I128" s="12">
        <f>SUM(Jan!I128, Feb!I128, Mar!I128)</f>
        <v>-2914.3900000000031</v>
      </c>
      <c r="J128" s="13">
        <f t="shared" si="11"/>
        <v>-2.6220004985992553E-2</v>
      </c>
    </row>
    <row r="129" spans="1:10" ht="15.6">
      <c r="A129" s="26" t="str">
        <v>480 Sprague St</v>
      </c>
      <c r="B129" s="27" t="str">
        <v>MA</v>
      </c>
      <c r="C129" s="27" t="str">
        <f>Sites[[#This Row],[SOL'#]]</f>
        <v>SOL-10773</v>
      </c>
      <c r="D129" s="9">
        <f>SUM(Jan!D129, Feb!D129, Mar!D129)</f>
        <v>229669</v>
      </c>
      <c r="E129" s="14">
        <f>SUM(Jan!E129, Feb!E129, Mar!E129)</f>
        <v>278394.74</v>
      </c>
      <c r="F129" s="14">
        <f t="shared" si="9"/>
        <v>-48725.739999999991</v>
      </c>
      <c r="G129" s="15">
        <f t="shared" si="10"/>
        <v>-0.17502392466179495</v>
      </c>
      <c r="H129" s="16">
        <f>SUM(Jan!H129, Feb!H129, Mar!H129)</f>
        <v>230370.88</v>
      </c>
      <c r="I129" s="16">
        <f>SUM(Jan!I129, Feb!I129, Mar!I129)</f>
        <v>-701.88000000000466</v>
      </c>
      <c r="J129" s="15">
        <f t="shared" si="11"/>
        <v>-3.0467392406540472E-3</v>
      </c>
    </row>
    <row r="130" spans="1:10" ht="15.6">
      <c r="A130" s="24" t="str">
        <v>647 Summer Street - (Summer Street Solar)</v>
      </c>
      <c r="B130" s="25" t="str">
        <v>MA</v>
      </c>
      <c r="C130" s="25" t="str">
        <f>Sites[[#This Row],[SOL'#]]</f>
        <v>SOL-10764</v>
      </c>
      <c r="D130" s="20">
        <f>SUM(Jan!D130, Feb!D130, Mar!D130)</f>
        <v>510836</v>
      </c>
      <c r="E130" s="10">
        <f>SUM(Jan!E130, Feb!E130, Mar!E130)</f>
        <v>591160.69999999995</v>
      </c>
      <c r="F130" s="10">
        <f t="shared" si="9"/>
        <v>-80324.699999999953</v>
      </c>
      <c r="G130" s="11">
        <f t="shared" si="10"/>
        <v>-0.13587625158438299</v>
      </c>
      <c r="H130" s="12">
        <f>SUM(Jan!H130, Feb!H130, Mar!H130)</f>
        <v>546315.5</v>
      </c>
      <c r="I130" s="12">
        <f>SUM(Jan!I130, Feb!I130, Mar!I130)</f>
        <v>-35479.500000000015</v>
      </c>
      <c r="J130" s="13">
        <f t="shared" si="11"/>
        <v>-6.4943242503644902E-2</v>
      </c>
    </row>
    <row r="131" spans="1:10" ht="15.6">
      <c r="A131" s="26" t="str">
        <v>Rochester Technical School (Wakefield Street)</v>
      </c>
      <c r="B131" s="27" t="str">
        <v>NH</v>
      </c>
      <c r="C131" s="27" t="str">
        <f>Sites[[#This Row],[SOL'#]]</f>
        <v>SOL-10768</v>
      </c>
      <c r="D131" s="9">
        <f>SUM(Jan!D131, Feb!D131, Mar!D131)</f>
        <v>11738.753236</v>
      </c>
      <c r="E131" s="14">
        <f>SUM(Jan!E131, Feb!E131, Mar!E131)</f>
        <v>21711.677</v>
      </c>
      <c r="F131" s="14">
        <f t="shared" si="9"/>
        <v>-9972.9237639999992</v>
      </c>
      <c r="G131" s="15">
        <f t="shared" si="10"/>
        <v>-0.45933456747721513</v>
      </c>
      <c r="H131" s="16">
        <f>SUM(Jan!H131, Feb!H131, Mar!H131)</f>
        <v>23442.156999999999</v>
      </c>
      <c r="I131" s="16">
        <f>SUM(Jan!I131, Feb!I131, Mar!I131)</f>
        <v>-11703.403764000001</v>
      </c>
      <c r="J131" s="15">
        <f t="shared" si="11"/>
        <v>-0.49924602774394866</v>
      </c>
    </row>
    <row r="132" spans="1:10" ht="15.6">
      <c r="A132" s="24" t="str">
        <v>McClelland ES</v>
      </c>
      <c r="B132" s="25" t="str">
        <v>NH</v>
      </c>
      <c r="C132" s="25" t="str">
        <f>Sites[[#This Row],[SOL'#]]</f>
        <v>SOL-10766</v>
      </c>
      <c r="D132" s="20">
        <f>SUM(Jan!D132, Feb!D132, Mar!D132)</f>
        <v>12225.249814000001</v>
      </c>
      <c r="E132" s="10">
        <f>SUM(Jan!E132, Feb!E132, Mar!E132)</f>
        <v>23328.01</v>
      </c>
      <c r="F132" s="10">
        <f t="shared" si="9"/>
        <v>-11102.760185999998</v>
      </c>
      <c r="G132" s="11">
        <f t="shared" si="10"/>
        <v>-0.47594116197652514</v>
      </c>
      <c r="H132" s="12">
        <f>SUM(Jan!H132, Feb!H132, Mar!H132)</f>
        <v>17181.409</v>
      </c>
      <c r="I132" s="12">
        <f>SUM(Jan!I132, Feb!I132, Mar!I132)</f>
        <v>-4956.1591859999999</v>
      </c>
      <c r="J132" s="13">
        <f t="shared" si="11"/>
        <v>-0.28846057887336246</v>
      </c>
    </row>
    <row r="133" spans="1:10" ht="15.6">
      <c r="A133" s="26" t="str">
        <v>Portland St</v>
      </c>
      <c r="B133" s="27" t="str">
        <v>NH</v>
      </c>
      <c r="C133" s="27" t="str">
        <f>Sites[[#This Row],[SOL'#]]</f>
        <v>SOL-10771</v>
      </c>
      <c r="D133" s="9">
        <f>SUM(Jan!D133, Feb!D133, Mar!D133)</f>
        <v>8475.9390000000003</v>
      </c>
      <c r="E133" s="14">
        <f>SUM(Jan!E133, Feb!E133, Mar!E133)</f>
        <v>12609.186</v>
      </c>
      <c r="F133" s="14">
        <f t="shared" si="9"/>
        <v>-4133.2469999999994</v>
      </c>
      <c r="G133" s="15">
        <f t="shared" si="10"/>
        <v>-0.32779649693485363</v>
      </c>
      <c r="H133" s="16">
        <f>SUM(Jan!H133, Feb!H133, Mar!H133)</f>
        <v>16745.406999999999</v>
      </c>
      <c r="I133" s="16">
        <f>SUM(Jan!I133, Feb!I133, Mar!I133)</f>
        <v>-8269.4680000000008</v>
      </c>
      <c r="J133" s="15">
        <f t="shared" si="11"/>
        <v>-0.49383499606787706</v>
      </c>
    </row>
    <row r="134" spans="1:10" ht="15.6">
      <c r="A134" s="24" t="str">
        <v>Freshet Road -PHS</v>
      </c>
      <c r="B134" s="25" t="str">
        <v>NH</v>
      </c>
      <c r="C134" s="25" t="str">
        <f>Sites[[#This Row],[SOL'#]]</f>
        <v>SOL-10769</v>
      </c>
      <c r="D134" s="20">
        <f>SUM(Jan!D134, Feb!D134, Mar!D134)</f>
        <v>40242.375</v>
      </c>
      <c r="E134" s="10">
        <f>SUM(Jan!E134, Feb!E134, Mar!E134)</f>
        <v>5673.085</v>
      </c>
      <c r="F134" s="10">
        <f t="shared" si="9"/>
        <v>34569.29</v>
      </c>
      <c r="G134" s="11">
        <f t="shared" si="10"/>
        <v>6.0935610871333674</v>
      </c>
      <c r="H134" s="12">
        <f>SUM(Jan!H134, Feb!H134, Mar!H134)</f>
        <v>64470.97</v>
      </c>
      <c r="I134" s="12">
        <f>SUM(Jan!I134, Feb!I134, Mar!I134)</f>
        <v>-24228.595000000001</v>
      </c>
      <c r="J134" s="13">
        <f t="shared" si="11"/>
        <v>-0.37580627373839731</v>
      </c>
    </row>
    <row r="135" spans="1:10" ht="15.6">
      <c r="A135" s="26" t="str">
        <v>Freshet Road - PWTP</v>
      </c>
      <c r="B135" s="27" t="str">
        <v>NH</v>
      </c>
      <c r="C135" s="27" t="str">
        <f>Sites[[#This Row],[SOL'#]]</f>
        <v>SOL-10770</v>
      </c>
      <c r="D135" s="9">
        <f>SUM(Jan!D135, Feb!D135, Mar!D135)</f>
        <v>4993.5</v>
      </c>
      <c r="E135" s="14">
        <f>SUM(Jan!E135, Feb!E135, Mar!E135)</f>
        <v>7501.5919999999996</v>
      </c>
      <c r="F135" s="14">
        <f t="shared" si="9"/>
        <v>-2508.0919999999996</v>
      </c>
      <c r="G135" s="15">
        <f t="shared" si="10"/>
        <v>-0.33434129715399075</v>
      </c>
      <c r="H135" s="16">
        <f>SUM(Jan!H135, Feb!H135, Mar!H135)</f>
        <v>64125.65</v>
      </c>
      <c r="I135" s="16">
        <f>SUM(Jan!I135, Feb!I135, Mar!I135)</f>
        <v>-59132.15</v>
      </c>
      <c r="J135" s="15">
        <f t="shared" si="11"/>
        <v>-0.92212944430192911</v>
      </c>
    </row>
    <row r="136" spans="1:10" ht="15.6">
      <c r="A136" s="24" t="str">
        <v>Rochester Middle School (Brock Street)</v>
      </c>
      <c r="B136" s="25" t="str">
        <v>NH</v>
      </c>
      <c r="C136" s="25" t="str">
        <f>Sites[[#This Row],[SOL'#]]</f>
        <v>SOL-10765</v>
      </c>
      <c r="D136" s="20">
        <f>SUM(Jan!D136, Feb!D136, Mar!D136)</f>
        <v>30739.375311000003</v>
      </c>
      <c r="E136" s="10">
        <f>SUM(Jan!E136, Feb!E136, Mar!E136)</f>
        <v>71442.75</v>
      </c>
      <c r="F136" s="10">
        <f t="shared" si="9"/>
        <v>-40703.374688999997</v>
      </c>
      <c r="G136" s="11">
        <f t="shared" si="10"/>
        <v>-0.56973415341654676</v>
      </c>
      <c r="H136" s="12">
        <f>SUM(Jan!H136, Feb!H136, Mar!H136)</f>
        <v>54207.46</v>
      </c>
      <c r="I136" s="12">
        <f>SUM(Jan!I136, Feb!I136, Mar!I136)</f>
        <v>-23468.084688999999</v>
      </c>
      <c r="J136" s="13">
        <f t="shared" si="11"/>
        <v>-0.43293090451019101</v>
      </c>
    </row>
    <row r="137" spans="1:10" ht="15.6">
      <c r="A137" s="26" t="str">
        <v>Spaulding High School (Wakefield Street)</v>
      </c>
      <c r="B137" s="27" t="str">
        <v>NH</v>
      </c>
      <c r="C137" s="27" t="str">
        <f>Sites[[#This Row],[SOL'#]]</f>
        <v>SOL-10767</v>
      </c>
      <c r="D137" s="9">
        <f>SUM(Jan!D137, Feb!D137, Mar!D137)</f>
        <v>15311.69637704</v>
      </c>
      <c r="E137" s="14">
        <f>SUM(Jan!E137, Feb!E137, Mar!E137)</f>
        <v>25119.095000000001</v>
      </c>
      <c r="F137" s="14">
        <f t="shared" si="9"/>
        <v>-9807.3986229600014</v>
      </c>
      <c r="G137" s="15">
        <f t="shared" si="10"/>
        <v>-0.39043598596844359</v>
      </c>
      <c r="H137" s="16">
        <f>SUM(Jan!H137, Feb!H137, Mar!H137)</f>
        <v>25319.457999999999</v>
      </c>
      <c r="I137" s="16">
        <f>SUM(Jan!I137, Feb!I137, Mar!I137)</f>
        <v>-10007.761622959999</v>
      </c>
      <c r="J137" s="15">
        <f t="shared" si="11"/>
        <v>-0.39525970986266767</v>
      </c>
    </row>
    <row r="138" spans="1:10" ht="15.6">
      <c r="A138" s="24" t="str">
        <v>Ridgeway #2</v>
      </c>
      <c r="B138" s="25" t="str">
        <v>NY</v>
      </c>
      <c r="C138" s="25" t="str">
        <f>Sites[[#This Row],[SOL'#]]</f>
        <v>SOL-11027</v>
      </c>
      <c r="D138" s="20">
        <f>SUM(Jan!D138, Feb!D138, Mar!D138)</f>
        <v>634923</v>
      </c>
      <c r="E138" s="10">
        <f>SUM(Jan!E138, Feb!E138, Mar!E138)</f>
        <v>0</v>
      </c>
      <c r="F138" s="10">
        <f t="shared" si="9"/>
        <v>634923</v>
      </c>
      <c r="G138" s="11" t="str">
        <f t="shared" si="10"/>
        <v/>
      </c>
      <c r="H138" s="12">
        <f>SUM(Jan!H138, Feb!H138, Mar!H138)</f>
        <v>970007.31</v>
      </c>
      <c r="I138" s="12">
        <f>SUM(Jan!I138, Feb!I138, Mar!I138)</f>
        <v>-335084.31</v>
      </c>
      <c r="J138" s="13">
        <f t="shared" si="11"/>
        <v>-0.34544513896498363</v>
      </c>
    </row>
    <row r="139" spans="1:10" ht="15.6">
      <c r="A139" s="26" t="str">
        <v>Spencer</v>
      </c>
      <c r="B139" s="27" t="str">
        <v>NY</v>
      </c>
      <c r="C139" s="27" t="str">
        <f>Sites[[#This Row],[SOL'#]]</f>
        <v>SOL-11017</v>
      </c>
      <c r="D139" s="9">
        <f>SUM(Jan!D139, Feb!D139, Mar!D139)</f>
        <v>1726882</v>
      </c>
      <c r="E139" s="14">
        <f>SUM(Jan!E139, Feb!E139, Mar!E139)</f>
        <v>0</v>
      </c>
      <c r="F139" s="14">
        <f t="shared" si="9"/>
        <v>1726882</v>
      </c>
      <c r="G139" s="15" t="str">
        <f t="shared" si="10"/>
        <v/>
      </c>
      <c r="H139" s="16">
        <f>SUM(Jan!H139, Feb!H139, Mar!H139)</f>
        <v>1768660.6</v>
      </c>
      <c r="I139" s="16">
        <f>SUM(Jan!I139, Feb!I139, Mar!I139)</f>
        <v>-41778.599999999977</v>
      </c>
      <c r="J139" s="15">
        <f t="shared" si="11"/>
        <v>-2.3621603828343309E-2</v>
      </c>
    </row>
    <row r="140" spans="1:10" ht="15.6">
      <c r="A140" s="24" t="str">
        <v>Reisender</v>
      </c>
      <c r="B140" s="25" t="str">
        <v>NY</v>
      </c>
      <c r="C140" s="25" t="str">
        <f>Sites[[#This Row],[SOL'#]]</f>
        <v>SOL-10886</v>
      </c>
      <c r="D140" s="20">
        <f>SUM(Jan!D140, Feb!D140, Mar!D140)</f>
        <v>574990</v>
      </c>
      <c r="E140" s="10">
        <f>SUM(Jan!E140, Feb!E140, Mar!E140)</f>
        <v>712210.54099999997</v>
      </c>
      <c r="F140" s="10">
        <f t="shared" si="9"/>
        <v>-137220.54099999997</v>
      </c>
      <c r="G140" s="11">
        <f t="shared" si="10"/>
        <v>-0.19266850615175038</v>
      </c>
      <c r="H140" s="12">
        <f>SUM(Jan!H140, Feb!H140, Mar!H140)</f>
        <v>659096.65999999992</v>
      </c>
      <c r="I140" s="12">
        <f>SUM(Jan!I140, Feb!I140, Mar!I140)</f>
        <v>-84106.659999999974</v>
      </c>
      <c r="J140" s="13">
        <f t="shared" si="11"/>
        <v>-0.12760899137313181</v>
      </c>
    </row>
    <row r="141" spans="1:10" ht="15.6">
      <c r="A141" s="26" t="str">
        <v>Finney</v>
      </c>
      <c r="B141" s="27" t="str">
        <v>NY</v>
      </c>
      <c r="C141" s="27" t="str">
        <f>Sites[[#This Row],[SOL'#]]</f>
        <v>SOL-10999</v>
      </c>
      <c r="D141" s="9">
        <f>SUM(Jan!D141, Feb!D141, Mar!D141)</f>
        <v>1669700</v>
      </c>
      <c r="E141" s="14">
        <f>SUM(Jan!E141, Feb!E141, Mar!E141)</f>
        <v>0</v>
      </c>
      <c r="F141" s="14">
        <f t="shared" si="9"/>
        <v>1669700</v>
      </c>
      <c r="G141" s="15" t="str">
        <f t="shared" si="10"/>
        <v/>
      </c>
      <c r="H141" s="16">
        <f>SUM(Jan!H141, Feb!H141, Mar!H141)</f>
        <v>1961662.1800000002</v>
      </c>
      <c r="I141" s="16">
        <f>SUM(Jan!I141, Feb!I141, Mar!I141)</f>
        <v>-291962.18000000005</v>
      </c>
      <c r="J141" s="15">
        <f t="shared" si="11"/>
        <v>-0.1488340770274727</v>
      </c>
    </row>
    <row r="142" spans="1:10" ht="15.6">
      <c r="A142" s="24" t="str">
        <v>Davis Solar</v>
      </c>
      <c r="B142" s="25" t="str">
        <v>NY</v>
      </c>
      <c r="C142" s="25" t="str">
        <f>Sites[[#This Row],[SOL'#]]</f>
        <v>SOL-10958</v>
      </c>
      <c r="D142" s="20">
        <f>SUM(Jan!D142, Feb!D142, Mar!D142)</f>
        <v>624204</v>
      </c>
      <c r="E142" s="10">
        <f>SUM(Jan!E142, Feb!E142, Mar!E142)</f>
        <v>824082.2</v>
      </c>
      <c r="F142" s="10">
        <f t="shared" si="9"/>
        <v>-199878.19999999995</v>
      </c>
      <c r="G142" s="11">
        <f t="shared" si="10"/>
        <v>-0.24254643529492564</v>
      </c>
      <c r="H142" s="12">
        <f>SUM(Jan!H142, Feb!H142, Mar!H142)</f>
        <v>800901</v>
      </c>
      <c r="I142" s="12">
        <f>SUM(Jan!I142, Feb!I142, Mar!I142)</f>
        <v>-176697</v>
      </c>
      <c r="J142" s="13">
        <f t="shared" si="11"/>
        <v>-0.22062277360123161</v>
      </c>
    </row>
    <row r="143" spans="1:10" ht="15.6">
      <c r="A143" s="26" t="str">
        <v>Genesee</v>
      </c>
      <c r="B143" s="27" t="str">
        <v>NY</v>
      </c>
      <c r="C143" s="27" t="str">
        <f>Sites[[#This Row],[SOL'#]]</f>
        <v>SOL-10951</v>
      </c>
      <c r="D143" s="9">
        <f>SUM(Jan!D143, Feb!D143, Mar!D143)</f>
        <v>828013.5</v>
      </c>
      <c r="E143" s="14">
        <f>SUM(Jan!E143, Feb!E143, Mar!E143)</f>
        <v>0</v>
      </c>
      <c r="F143" s="14">
        <f t="shared" si="9"/>
        <v>828013.5</v>
      </c>
      <c r="G143" s="15" t="str">
        <f t="shared" si="10"/>
        <v/>
      </c>
      <c r="H143" s="16">
        <f>SUM(Jan!H143, Feb!H143, Mar!H143)</f>
        <v>1225115.1400000001</v>
      </c>
      <c r="I143" s="16">
        <f>SUM(Jan!I143, Feb!I143, Mar!I143)</f>
        <v>-397101.64</v>
      </c>
      <c r="J143" s="15">
        <f t="shared" si="11"/>
        <v>-0.32413413811864245</v>
      </c>
    </row>
    <row r="144" spans="1:10" ht="15.6">
      <c r="A144" s="24" t="str">
        <v>Landau I</v>
      </c>
      <c r="B144" s="25" t="str">
        <v>NY</v>
      </c>
      <c r="C144" s="25" t="str">
        <f>Sites[[#This Row],[SOL'#]]</f>
        <v>SOL-10891</v>
      </c>
      <c r="D144" s="20">
        <f>SUM(Jan!D144, Feb!D144, Mar!D144)</f>
        <v>649830</v>
      </c>
      <c r="E144" s="10">
        <f>SUM(Jan!E144, Feb!E144, Mar!E144)</f>
        <v>0</v>
      </c>
      <c r="F144" s="10">
        <f t="shared" si="9"/>
        <v>649830</v>
      </c>
      <c r="G144" s="11" t="str">
        <f t="shared" si="10"/>
        <v/>
      </c>
      <c r="H144" s="12">
        <f>SUM(Jan!H144, Feb!H144, Mar!H144)</f>
        <v>786342.21</v>
      </c>
      <c r="I144" s="12">
        <f>SUM(Jan!I144, Feb!I144, Mar!I144)</f>
        <v>-136512.21000000002</v>
      </c>
      <c r="J144" s="13">
        <f t="shared" si="11"/>
        <v>-0.17360407245593495</v>
      </c>
    </row>
    <row r="145" spans="1:10" ht="15.6">
      <c r="A145" s="26" t="str">
        <v>Landau II</v>
      </c>
      <c r="B145" s="27" t="str">
        <v>NY</v>
      </c>
      <c r="C145" s="27" t="str">
        <f>Sites[[#This Row],[SOL'#]]</f>
        <v>SOL-10895</v>
      </c>
      <c r="D145" s="9">
        <f>SUM(Jan!D145, Feb!D145, Mar!D145)</f>
        <v>1104430</v>
      </c>
      <c r="E145" s="14">
        <f>SUM(Jan!E145, Feb!E145, Mar!E145)</f>
        <v>0</v>
      </c>
      <c r="F145" s="14">
        <f t="shared" si="9"/>
        <v>1104430</v>
      </c>
      <c r="G145" s="15" t="str">
        <f t="shared" si="10"/>
        <v/>
      </c>
      <c r="H145" s="16">
        <f>SUM(Jan!H145, Feb!H145, Mar!H145)</f>
        <v>1639446.05</v>
      </c>
      <c r="I145" s="16">
        <f>SUM(Jan!I145, Feb!I145, Mar!I145)</f>
        <v>-535016.05000000005</v>
      </c>
      <c r="J145" s="15">
        <f t="shared" si="11"/>
        <v>-0.32633952791554199</v>
      </c>
    </row>
    <row r="146" spans="1:10" ht="15.6">
      <c r="A146" s="24" t="str">
        <v>New Beginnings</v>
      </c>
      <c r="B146" s="25" t="str">
        <v>NY</v>
      </c>
      <c r="C146" s="25" t="str">
        <f>Sites[[#This Row],[SOL'#]]</f>
        <v>SOL-10890</v>
      </c>
      <c r="D146" s="20">
        <f>SUM(Jan!D146, Feb!D146, Mar!D146)</f>
        <v>653410</v>
      </c>
      <c r="E146" s="10">
        <f>SUM(Jan!E146, Feb!E146, Mar!E146)</f>
        <v>837518.23</v>
      </c>
      <c r="F146" s="10">
        <f t="shared" ref="F146:F159" si="12">IF(AND(ISNUMBER(D146),ISNUMBER(E146)), D146-E146, "")</f>
        <v>-184108.22999999998</v>
      </c>
      <c r="G146" s="11">
        <f t="shared" ref="G146:G159" si="13">IFERROR(F146/E146, "")</f>
        <v>-0.21982593740078946</v>
      </c>
      <c r="H146" s="12">
        <f>SUM(Jan!H146, Feb!H146, Mar!H146)</f>
        <v>765286.75</v>
      </c>
      <c r="I146" s="12">
        <f>SUM(Jan!I146, Feb!I146, Mar!I146)</f>
        <v>-111876.75000000003</v>
      </c>
      <c r="J146" s="13">
        <f t="shared" ref="J146:J159" si="14">IFERROR(I146/H146, "")</f>
        <v>-0.14618932053900061</v>
      </c>
    </row>
    <row r="147" spans="1:10" ht="15.6">
      <c r="A147" s="26" t="str">
        <v>Bullitt Farm Solar, LLC</v>
      </c>
      <c r="B147" s="27" t="str">
        <v>NY</v>
      </c>
      <c r="C147" s="27" t="str">
        <f>Sites[[#This Row],[SOL'#]]</f>
        <v>SOL-10998</v>
      </c>
      <c r="D147" s="9">
        <f>SUM(Jan!D147, Feb!D147, Mar!D147)</f>
        <v>1198693</v>
      </c>
      <c r="E147" s="14">
        <f>SUM(Jan!E147, Feb!E147, Mar!E147)</f>
        <v>1581948.6040000001</v>
      </c>
      <c r="F147" s="14">
        <f t="shared" si="12"/>
        <v>-383255.60400000005</v>
      </c>
      <c r="G147" s="15">
        <f t="shared" si="13"/>
        <v>-0.24226805032156407</v>
      </c>
      <c r="H147" s="16">
        <f>SUM(Jan!H147, Feb!H147, Mar!H147)</f>
        <v>1772768.28</v>
      </c>
      <c r="I147" s="16">
        <f>SUM(Jan!I147, Feb!I147, Mar!I147)</f>
        <v>-574075.28</v>
      </c>
      <c r="J147" s="15">
        <f t="shared" si="14"/>
        <v>-0.32382984650424818</v>
      </c>
    </row>
    <row r="148" spans="1:10" ht="15.6">
      <c r="A148" s="24" t="str">
        <v>Brodhead Solar, LLC</v>
      </c>
      <c r="B148" s="25" t="str">
        <v>NY</v>
      </c>
      <c r="C148" s="25" t="str">
        <f>Sites[[#This Row],[SOL'#]]</f>
        <v>SOL-10899</v>
      </c>
      <c r="D148" s="20">
        <f>SUM(Jan!D148, Feb!D148, Mar!D148)</f>
        <v>823637</v>
      </c>
      <c r="E148" s="10">
        <f>SUM(Jan!E148, Feb!E148, Mar!E148)</f>
        <v>894614.64400000009</v>
      </c>
      <c r="F148" s="10">
        <f t="shared" si="12"/>
        <v>-70977.644000000088</v>
      </c>
      <c r="G148" s="11">
        <f t="shared" si="13"/>
        <v>-7.9338790702826997E-2</v>
      </c>
      <c r="H148" s="12">
        <f>SUM(Jan!H148, Feb!H148, Mar!H148)</f>
        <v>879972.47</v>
      </c>
      <c r="I148" s="12">
        <f>SUM(Jan!I148, Feb!I148, Mar!I148)</f>
        <v>-56335.47000000003</v>
      </c>
      <c r="J148" s="13">
        <f t="shared" si="14"/>
        <v>-6.401958233988847E-2</v>
      </c>
    </row>
    <row r="149" spans="1:10" ht="15.6">
      <c r="A149" s="26" t="str">
        <v>Svenski</v>
      </c>
      <c r="B149" s="27" t="str">
        <v>NY</v>
      </c>
      <c r="C149" s="27" t="str">
        <f>Sites[[#This Row],[SOL'#]]</f>
        <v>SOL-10894</v>
      </c>
      <c r="D149" s="9">
        <f>SUM(Jan!D149, Feb!D149, Mar!D149)</f>
        <v>612069</v>
      </c>
      <c r="E149" s="14">
        <f>SUM(Jan!E149, Feb!E149, Mar!E149)</f>
        <v>0</v>
      </c>
      <c r="F149" s="14">
        <f t="shared" si="12"/>
        <v>612069</v>
      </c>
      <c r="G149" s="15" t="str">
        <f t="shared" si="13"/>
        <v/>
      </c>
      <c r="H149" s="16">
        <f>SUM(Jan!H149, Feb!H149, Mar!H149)</f>
        <v>734878.49</v>
      </c>
      <c r="I149" s="16">
        <f>SUM(Jan!I149, Feb!I149, Mar!I149)</f>
        <v>-122809.48999999999</v>
      </c>
      <c r="J149" s="15">
        <f t="shared" si="14"/>
        <v>-0.16711536896392218</v>
      </c>
    </row>
    <row r="150" spans="1:10" ht="15.6">
      <c r="A150" s="24" t="str">
        <v>Bantam</v>
      </c>
      <c r="B150" s="25" t="str">
        <v>NY</v>
      </c>
      <c r="C150" s="25" t="str">
        <f>Sites[[#This Row],[SOL'#]]</f>
        <v>SOL-10986</v>
      </c>
      <c r="D150" s="20">
        <f>SUM(Jan!D150, Feb!D150, Mar!D150)</f>
        <v>888990</v>
      </c>
      <c r="E150" s="10">
        <f>SUM(Jan!E150, Feb!E150, Mar!E150)</f>
        <v>0</v>
      </c>
      <c r="F150" s="10">
        <f t="shared" si="12"/>
        <v>888990</v>
      </c>
      <c r="G150" s="11" t="str">
        <f t="shared" si="13"/>
        <v/>
      </c>
      <c r="H150" s="12">
        <f>SUM(Jan!H150, Feb!H150, Mar!H150)</f>
        <v>1462159.3</v>
      </c>
      <c r="I150" s="12">
        <f>SUM(Jan!I150, Feb!I150, Mar!I150)</f>
        <v>-679759.3</v>
      </c>
      <c r="J150" s="13">
        <f t="shared" si="14"/>
        <v>-0.46490098582281697</v>
      </c>
    </row>
    <row r="151" spans="1:10" ht="15.6">
      <c r="A151" s="26" t="str">
        <v>Bogart</v>
      </c>
      <c r="B151" s="27" t="str">
        <v>NY</v>
      </c>
      <c r="C151" s="27" t="str">
        <f>Sites[[#This Row],[SOL'#]]</f>
        <v>SOL-10887</v>
      </c>
      <c r="D151" s="9">
        <f>SUM(Jan!D151, Feb!D151, Mar!D151)</f>
        <v>691310</v>
      </c>
      <c r="E151" s="14">
        <f>SUM(Jan!E151, Feb!E151, Mar!E151)</f>
        <v>774249.43800000008</v>
      </c>
      <c r="F151" s="14">
        <f t="shared" si="12"/>
        <v>-82939.438000000082</v>
      </c>
      <c r="G151" s="15">
        <f t="shared" si="13"/>
        <v>-0.10712237417213349</v>
      </c>
      <c r="H151" s="16">
        <f>SUM(Jan!H151, Feb!H151, Mar!H151)</f>
        <v>728934.5</v>
      </c>
      <c r="I151" s="16">
        <f>SUM(Jan!I151, Feb!I151, Mar!I151)</f>
        <v>-37624.500000000029</v>
      </c>
      <c r="J151" s="15">
        <f t="shared" si="14"/>
        <v>-5.1615748740113175E-2</v>
      </c>
    </row>
    <row r="152" spans="1:10" ht="15.6">
      <c r="A152" s="24" t="str">
        <v>Dubois</v>
      </c>
      <c r="B152" s="25" t="str">
        <v>NY</v>
      </c>
      <c r="C152" s="25" t="str">
        <f>Sites[[#This Row],[SOL'#]]</f>
        <v>SOL-10892</v>
      </c>
      <c r="D152" s="20">
        <f>SUM(Jan!D152, Feb!D152, Mar!D152)</f>
        <v>629651.69999999995</v>
      </c>
      <c r="E152" s="10">
        <f>SUM(Jan!E152, Feb!E152, Mar!E152)</f>
        <v>0</v>
      </c>
      <c r="F152" s="10">
        <f t="shared" si="12"/>
        <v>629651.69999999995</v>
      </c>
      <c r="G152" s="11" t="str">
        <f t="shared" si="13"/>
        <v/>
      </c>
      <c r="H152" s="12">
        <f>SUM(Jan!H152, Feb!H152, Mar!H152)</f>
        <v>0</v>
      </c>
      <c r="I152" s="12">
        <f>SUM(Jan!I152, Feb!I152, Mar!I152)</f>
        <v>0</v>
      </c>
      <c r="J152" s="13" t="str">
        <f t="shared" si="14"/>
        <v/>
      </c>
    </row>
    <row r="153" spans="1:10" ht="15.6">
      <c r="A153" s="26" t="str">
        <v>Salt Point</v>
      </c>
      <c r="B153" s="27" t="str">
        <v>NY</v>
      </c>
      <c r="C153" s="27" t="str">
        <f>Sites[[#This Row],[SOL'#]]</f>
        <v>SOL-10888</v>
      </c>
      <c r="D153" s="9">
        <f>SUM(Jan!D153, Feb!D153, Mar!D153)</f>
        <v>705260</v>
      </c>
      <c r="E153" s="14">
        <f>SUM(Jan!E153, Feb!E153, Mar!E153)</f>
        <v>0</v>
      </c>
      <c r="F153" s="14">
        <f t="shared" si="12"/>
        <v>705260</v>
      </c>
      <c r="G153" s="15" t="str">
        <f t="shared" si="13"/>
        <v/>
      </c>
      <c r="H153" s="16">
        <f>SUM(Jan!H153, Feb!H153, Mar!H153)</f>
        <v>696169.77</v>
      </c>
      <c r="I153" s="16">
        <f>SUM(Jan!I153, Feb!I153, Mar!I153)</f>
        <v>9090.2300000000105</v>
      </c>
      <c r="J153" s="15">
        <f t="shared" si="14"/>
        <v>1.3057490272810912E-2</v>
      </c>
    </row>
    <row r="154" spans="1:10" ht="15.6">
      <c r="A154" s="24" t="str">
        <v>Wheatland 2A</v>
      </c>
      <c r="B154" s="25" t="str">
        <v>NY</v>
      </c>
      <c r="C154" s="25" t="str">
        <f>Sites[[#This Row],[SOL'#]]</f>
        <v>SOL-10971</v>
      </c>
      <c r="D154" s="20">
        <f>SUM(Jan!D154, Feb!D154, Mar!D154)</f>
        <v>1291910</v>
      </c>
      <c r="E154" s="10">
        <f>SUM(Jan!E154, Feb!E154, Mar!E154)</f>
        <v>0</v>
      </c>
      <c r="F154" s="10">
        <f t="shared" si="12"/>
        <v>1291910</v>
      </c>
      <c r="G154" s="11" t="str">
        <f t="shared" si="13"/>
        <v/>
      </c>
      <c r="H154" s="12">
        <f>SUM(Jan!H154, Feb!H154, Mar!H154)</f>
        <v>1409117.96</v>
      </c>
      <c r="I154" s="12">
        <f>SUM(Jan!I154, Feb!I154, Mar!I154)</f>
        <v>-117207.96000000002</v>
      </c>
      <c r="J154" s="13">
        <f t="shared" si="14"/>
        <v>-8.3178245772979872E-2</v>
      </c>
    </row>
    <row r="155" spans="1:10" ht="15.6">
      <c r="A155" s="26" t="str">
        <v>Wheatland 2B</v>
      </c>
      <c r="B155" s="27" t="str">
        <v>NY</v>
      </c>
      <c r="C155" s="27" t="str">
        <f>Sites[[#This Row],[SOL'#]]</f>
        <v>SOL-10961</v>
      </c>
      <c r="D155" s="9">
        <f>SUM(Jan!D155, Feb!D155, Mar!D155)</f>
        <v>1250010</v>
      </c>
      <c r="E155" s="14">
        <f>SUM(Jan!E155, Feb!E155, Mar!E155)</f>
        <v>0</v>
      </c>
      <c r="F155" s="14">
        <f t="shared" si="12"/>
        <v>1250010</v>
      </c>
      <c r="G155" s="15" t="str">
        <f t="shared" si="13"/>
        <v/>
      </c>
      <c r="H155" s="16">
        <f>SUM(Jan!H155, Feb!H155, Mar!H155)</f>
        <v>1393371.52</v>
      </c>
      <c r="I155" s="16">
        <f>SUM(Jan!I155, Feb!I155, Mar!I155)</f>
        <v>-143361.52000000002</v>
      </c>
      <c r="J155" s="15">
        <f t="shared" si="14"/>
        <v>-0.10288822323568091</v>
      </c>
    </row>
    <row r="156" spans="1:10" ht="15.6">
      <c r="A156" s="24" t="str">
        <v>Brickchurch</v>
      </c>
      <c r="B156" s="25" t="str">
        <v>NY</v>
      </c>
      <c r="C156" s="25" t="str">
        <f>Sites[[#This Row],[SOL'#]]</f>
        <v>SOL-10889</v>
      </c>
      <c r="D156" s="20">
        <f>SUM(Jan!D156, Feb!D156, Mar!D156)</f>
        <v>434840</v>
      </c>
      <c r="E156" s="10">
        <f>SUM(Jan!E156, Feb!E156, Mar!E156)</f>
        <v>527867.09</v>
      </c>
      <c r="F156" s="10">
        <f t="shared" si="12"/>
        <v>-93027.089999999967</v>
      </c>
      <c r="G156" s="11">
        <f t="shared" si="13"/>
        <v>-0.17623203219583167</v>
      </c>
      <c r="H156" s="12">
        <f>SUM(Jan!H156, Feb!H156, Mar!H156)</f>
        <v>483295.74</v>
      </c>
      <c r="I156" s="12">
        <f>SUM(Jan!I156, Feb!I156, Mar!I156)</f>
        <v>-48455.740000000005</v>
      </c>
      <c r="J156" s="13">
        <f t="shared" si="14"/>
        <v>-0.10026105340800233</v>
      </c>
    </row>
    <row r="157" spans="1:10" ht="15.6">
      <c r="A157" s="26" t="str">
        <v>McCarthy Solar</v>
      </c>
      <c r="B157" s="27" t="str">
        <v>NY</v>
      </c>
      <c r="C157" s="27" t="str">
        <f>Sites[[#This Row],[SOL'#]]</f>
        <v>SOL-10992</v>
      </c>
      <c r="D157" s="9">
        <f>SUM(Jan!D157, Feb!D157, Mar!D157)</f>
        <v>698670</v>
      </c>
      <c r="E157" s="14">
        <f>SUM(Jan!E157, Feb!E157, Mar!E157)</f>
        <v>0</v>
      </c>
      <c r="F157" s="14">
        <f t="shared" si="12"/>
        <v>698670</v>
      </c>
      <c r="G157" s="15" t="str">
        <f t="shared" si="13"/>
        <v/>
      </c>
      <c r="H157" s="16">
        <f>SUM(Jan!H157, Feb!H157, Mar!H157)</f>
        <v>774863.7</v>
      </c>
      <c r="I157" s="16">
        <f>SUM(Jan!I157, Feb!I157, Mar!I157)</f>
        <v>-76193.699999999983</v>
      </c>
      <c r="J157" s="15">
        <f t="shared" si="14"/>
        <v>-9.8331745312111002E-2</v>
      </c>
    </row>
    <row r="158" spans="1:10" ht="15.6">
      <c r="A158" s="24" t="str">
        <v>Costanza</v>
      </c>
      <c r="B158" s="25" t="str">
        <v>NY</v>
      </c>
      <c r="C158" s="25" t="str">
        <f>Sites[[#This Row],[SOL'#]]</f>
        <v>SOL-10907</v>
      </c>
      <c r="D158" s="20">
        <f>SUM(Jan!D158, Feb!D158, Mar!D158)</f>
        <v>616320</v>
      </c>
      <c r="E158" s="10">
        <f>SUM(Jan!E158, Feb!E158, Mar!E158)</f>
        <v>0</v>
      </c>
      <c r="F158" s="10">
        <f t="shared" si="12"/>
        <v>616320</v>
      </c>
      <c r="G158" s="11" t="str">
        <f t="shared" si="13"/>
        <v/>
      </c>
      <c r="H158" s="12">
        <f>SUM(Jan!H158, Feb!H158, Mar!H158)</f>
        <v>753359.09000000008</v>
      </c>
      <c r="I158" s="12">
        <f>SUM(Jan!I158, Feb!I158, Mar!I158)</f>
        <v>-137039.09000000003</v>
      </c>
      <c r="J158" s="13">
        <f t="shared" si="14"/>
        <v>-0.18190407711148746</v>
      </c>
    </row>
    <row r="159" spans="1:10" ht="15.6">
      <c r="A159" s="26" t="str">
        <v>Lockenhurst Pond</v>
      </c>
      <c r="B159" s="27" t="str">
        <v>NY</v>
      </c>
      <c r="C159" s="27" t="str">
        <f>Sites[[#This Row],[SOL'#]]</f>
        <v>SOL-11000</v>
      </c>
      <c r="D159" s="9">
        <f>SUM(Jan!D159, Feb!D159, Mar!D159)</f>
        <v>773533</v>
      </c>
      <c r="E159" s="14">
        <f>SUM(Jan!E159, Feb!E159, Mar!E159)</f>
        <v>851153.10000000009</v>
      </c>
      <c r="F159" s="14">
        <f t="shared" si="12"/>
        <v>-77620.100000000093</v>
      </c>
      <c r="G159" s="15">
        <f t="shared" si="13"/>
        <v>-9.1194051927908248E-2</v>
      </c>
      <c r="H159" s="16">
        <f>SUM(Jan!H159, Feb!H159, Mar!H159)</f>
        <v>728645</v>
      </c>
      <c r="I159" s="16">
        <f>SUM(Jan!I159, Feb!I159, Mar!I159)</f>
        <v>44888</v>
      </c>
      <c r="J159" s="15">
        <f t="shared" si="14"/>
        <v>6.1604759519381866E-2</v>
      </c>
    </row>
    <row r="160" spans="1:10" ht="15.6">
      <c r="A160" s="24" t="str">
        <v>Drinkwater</v>
      </c>
      <c r="B160" s="25" t="str">
        <v>NY</v>
      </c>
      <c r="C160" s="25" t="str">
        <f>Sites[[#This Row],[SOL'#]]</f>
        <v>SOL-10896</v>
      </c>
      <c r="D160" s="20">
        <f>SUM(Jan!D160, Feb!D160, Mar!D160)</f>
        <v>589830</v>
      </c>
      <c r="E160" s="10">
        <f>SUM(Jan!E160, Feb!E160, Mar!E160)</f>
        <v>0</v>
      </c>
      <c r="F160" s="10">
        <f t="shared" ref="F160:F185" si="15">IF(AND(ISNUMBER(D160),ISNUMBER(E160)), D160-E160, "")</f>
        <v>589830</v>
      </c>
      <c r="G160" s="11" t="str">
        <f t="shared" ref="G160:G163" si="16">IFERROR(F160/E160, "")</f>
        <v/>
      </c>
      <c r="H160" s="12">
        <f>SUM(Jan!H160, Feb!H160, Mar!H160)</f>
        <v>738279.76</v>
      </c>
      <c r="I160" s="12">
        <f>SUM(Jan!I160, Feb!I160, Mar!I160)</f>
        <v>-148449.75999999998</v>
      </c>
      <c r="J160" s="13">
        <f t="shared" ref="J160:J161" si="17">IFERROR(I160/H160, "")</f>
        <v>-0.20107521300597483</v>
      </c>
    </row>
    <row r="161" spans="1:10" ht="15.6">
      <c r="A161" s="26" t="str">
        <v>Altamont</v>
      </c>
      <c r="B161" s="27" t="str">
        <v>NY</v>
      </c>
      <c r="C161" s="27" t="str">
        <f>Sites[[#This Row],[SOL'#]]</f>
        <v>SOL-11085</v>
      </c>
      <c r="D161" s="9">
        <f>SUM(Jan!D161, Feb!D161, Mar!D161)</f>
        <v>1326645</v>
      </c>
      <c r="E161" s="14">
        <f>SUM(Jan!E161, Feb!E161, Mar!E161)</f>
        <v>1687662.5</v>
      </c>
      <c r="F161" s="14">
        <f t="shared" si="15"/>
        <v>-361017.5</v>
      </c>
      <c r="G161" s="15">
        <f t="shared" si="16"/>
        <v>-0.2139156970069549</v>
      </c>
      <c r="H161" s="16">
        <f>SUM(Jan!H161, Feb!H161, Mar!H161)</f>
        <v>1394156.6</v>
      </c>
      <c r="I161" s="16">
        <f>SUM(Jan!I161, Feb!I161, Mar!I161)</f>
        <v>-67511.599999999977</v>
      </c>
      <c r="J161" s="15">
        <f t="shared" si="17"/>
        <v>-4.8424689163326394E-2</v>
      </c>
    </row>
    <row r="162" spans="1:10" ht="15.6">
      <c r="A162" s="24" t="str">
        <v>Krumkill North</v>
      </c>
      <c r="B162" s="25" t="str">
        <v>NY</v>
      </c>
      <c r="C162" s="25" t="str">
        <f>Sites[[#This Row],[SOL'#]]</f>
        <v>SOL-11086</v>
      </c>
      <c r="D162" s="20">
        <f>SUM(Jan!D162, Feb!D162, Mar!D162)</f>
        <v>1136190</v>
      </c>
      <c r="E162" s="10">
        <f>SUM(Jan!E162, Feb!E162, Mar!E162)</f>
        <v>1538793.4</v>
      </c>
      <c r="F162" s="10">
        <f t="shared" si="15"/>
        <v>-402603.39999999991</v>
      </c>
      <c r="G162" s="11">
        <f t="shared" si="16"/>
        <v>-0.26163577254750375</v>
      </c>
      <c r="H162" s="12">
        <f>SUM(Jan!H162, Feb!H162, Mar!H162)</f>
        <v>1729374.9</v>
      </c>
      <c r="I162" s="12">
        <f>SUM(Jan!I162, Feb!I162, Mar!I162)</f>
        <v>-593184.89999999991</v>
      </c>
      <c r="J162" s="13">
        <f t="shared" ref="J162:J200" si="18">IFERROR(I162/H162, "")</f>
        <v>-0.34300538304331812</v>
      </c>
    </row>
    <row r="163" spans="1:10" ht="15.6">
      <c r="A163" s="26" t="str">
        <v>Krumkill South</v>
      </c>
      <c r="B163" s="27" t="str">
        <v>NY</v>
      </c>
      <c r="C163" s="27" t="str">
        <f>Sites[[#This Row],[SOL'#]]</f>
        <v>SOL-11087</v>
      </c>
      <c r="D163" s="9">
        <f>SUM(Jan!D163, Feb!D163, Mar!D163)</f>
        <v>1041009</v>
      </c>
      <c r="E163" s="14">
        <f>SUM(Jan!E163, Feb!E163, Mar!E163)</f>
        <v>1307044.5</v>
      </c>
      <c r="F163" s="14">
        <f t="shared" si="15"/>
        <v>-266035.5</v>
      </c>
      <c r="G163" s="15">
        <f t="shared" si="16"/>
        <v>-0.20353974176089643</v>
      </c>
      <c r="H163" s="16">
        <f>SUM(Jan!H163, Feb!H163, Mar!H163)</f>
        <v>1355778.1</v>
      </c>
      <c r="I163" s="16">
        <f>SUM(Jan!I163, Feb!I163, Mar!I163)</f>
        <v>-314769.09999999998</v>
      </c>
      <c r="J163" s="15">
        <f t="shared" si="18"/>
        <v>-0.23216859750131674</v>
      </c>
    </row>
    <row r="164" spans="1:10" ht="15.6">
      <c r="A164" s="24" t="str">
        <v>X092</v>
      </c>
      <c r="B164" s="25" t="str">
        <v>NY</v>
      </c>
      <c r="C164" s="25" t="str">
        <f>Sites[[#This Row],[SOL'#]]</f>
        <v>SOL-11189</v>
      </c>
      <c r="D164" s="20">
        <f>SUM(Jan!D164, Feb!D164, Mar!D164)</f>
        <v>15832.4</v>
      </c>
      <c r="E164" s="10">
        <f>SUM(Jan!E164, Feb!E164, Mar!E164)</f>
        <v>15885.47</v>
      </c>
      <c r="F164" s="10">
        <f t="shared" si="15"/>
        <v>-53.069999999999709</v>
      </c>
      <c r="G164" s="11">
        <f t="shared" ref="G164:G200" si="19">IFERROR(F164/E164, "")</f>
        <v>-3.3407887837123931E-3</v>
      </c>
      <c r="H164" s="12">
        <f>SUM(Jan!H164, Feb!H164, Mar!H164)</f>
        <v>16758</v>
      </c>
      <c r="I164" s="12">
        <f>SUM(Jan!I164, Feb!I164, Mar!I164)</f>
        <v>-925.60000000000036</v>
      </c>
      <c r="J164" s="13">
        <f t="shared" si="18"/>
        <v>-5.5233321398734957E-2</v>
      </c>
    </row>
    <row r="165" spans="1:10" ht="15.6">
      <c r="A165" s="26" t="str">
        <v>X093</v>
      </c>
      <c r="B165" s="27" t="str">
        <v>NY</v>
      </c>
      <c r="C165" s="27" t="str">
        <f>Sites[[#This Row],[SOL'#]]</f>
        <v>SOL-10932</v>
      </c>
      <c r="D165" s="9">
        <f>SUM(Jan!D165, Feb!D165, Mar!D165)</f>
        <v>13436.69868164063</v>
      </c>
      <c r="E165" s="14">
        <f>SUM(Jan!E165, Feb!E165, Mar!E165)</f>
        <v>0</v>
      </c>
      <c r="F165" s="14">
        <f t="shared" si="15"/>
        <v>13436.69868164063</v>
      </c>
      <c r="G165" s="15" t="str">
        <f t="shared" si="19"/>
        <v/>
      </c>
      <c r="H165" s="16">
        <f>SUM(Jan!H165, Feb!H165, Mar!H165)</f>
        <v>11061</v>
      </c>
      <c r="I165" s="16">
        <f>SUM(Jan!I165, Feb!I165, Mar!I165)</f>
        <v>2375.6986816406297</v>
      </c>
      <c r="J165" s="15">
        <f t="shared" si="18"/>
        <v>0.21478154612066086</v>
      </c>
    </row>
    <row r="166" spans="1:10" ht="15.6">
      <c r="A166" s="24" t="str">
        <v>X095</v>
      </c>
      <c r="B166" s="25" t="str">
        <v>NY</v>
      </c>
      <c r="C166" s="25" t="str">
        <f>Sites[[#This Row],[SOL'#]]</f>
        <v>SOL-10929</v>
      </c>
      <c r="D166" s="20">
        <f>SUM(Jan!D166, Feb!D166, Mar!D166)</f>
        <v>26232.703352135759</v>
      </c>
      <c r="E166" s="10">
        <f>SUM(Jan!E166, Feb!E166, Mar!E166)</f>
        <v>0</v>
      </c>
      <c r="F166" s="10">
        <f t="shared" si="15"/>
        <v>26232.703352135759</v>
      </c>
      <c r="G166" s="11" t="str">
        <f t="shared" si="19"/>
        <v/>
      </c>
      <c r="H166" s="12">
        <f>SUM(Jan!H166, Feb!H166, Mar!H166)</f>
        <v>15084</v>
      </c>
      <c r="I166" s="12">
        <f>SUM(Jan!I166, Feb!I166, Mar!I166)</f>
        <v>11148.703352135759</v>
      </c>
      <c r="J166" s="13">
        <f t="shared" si="18"/>
        <v>0.73910788598089094</v>
      </c>
    </row>
    <row r="167" spans="1:10" ht="15.6">
      <c r="A167" s="26" t="str">
        <v>X181</v>
      </c>
      <c r="B167" s="27" t="str">
        <v>NY</v>
      </c>
      <c r="C167" s="27" t="str">
        <f>Sites[[#This Row],[SOL'#]]</f>
        <v>SOL-10428</v>
      </c>
      <c r="D167" s="9">
        <f>SUM(Jan!D167, Feb!D167, Mar!D167)</f>
        <v>46052.2811517031</v>
      </c>
      <c r="E167" s="14">
        <f>SUM(Jan!E167, Feb!E167, Mar!E167)</f>
        <v>0</v>
      </c>
      <c r="F167" s="14">
        <f t="shared" si="15"/>
        <v>46052.2811517031</v>
      </c>
      <c r="G167" s="15" t="str">
        <f t="shared" si="19"/>
        <v/>
      </c>
      <c r="H167" s="16">
        <f>SUM(Jan!H167, Feb!H167, Mar!H167)</f>
        <v>27420</v>
      </c>
      <c r="I167" s="16">
        <f>SUM(Jan!I167, Feb!I167, Mar!I167)</f>
        <v>18632.2811517031</v>
      </c>
      <c r="J167" s="15">
        <f t="shared" si="18"/>
        <v>0.67951426519704961</v>
      </c>
    </row>
    <row r="168" spans="1:10" ht="15.6">
      <c r="A168" s="24" t="str">
        <v>X415</v>
      </c>
      <c r="B168" s="25" t="str">
        <v>NY</v>
      </c>
      <c r="C168" s="25" t="str">
        <f>Sites[[#This Row],[SOL'#]]</f>
        <v>SOL-10429</v>
      </c>
      <c r="D168" s="20">
        <f>SUM(Jan!D168, Feb!D168, Mar!D168)</f>
        <v>31229.752242281298</v>
      </c>
      <c r="E168" s="10">
        <f>SUM(Jan!E168, Feb!E168, Mar!E168)</f>
        <v>0</v>
      </c>
      <c r="F168" s="10">
        <f t="shared" si="15"/>
        <v>31229.752242281298</v>
      </c>
      <c r="G168" s="11" t="str">
        <f t="shared" si="19"/>
        <v/>
      </c>
      <c r="H168" s="12">
        <f>SUM(Jan!H168, Feb!H168, Mar!H168)</f>
        <v>15528</v>
      </c>
      <c r="I168" s="12">
        <f>SUM(Jan!I168, Feb!I168, Mar!I168)</f>
        <v>15701.752242281298</v>
      </c>
      <c r="J168" s="13">
        <f t="shared" si="18"/>
        <v>1.011189608596168</v>
      </c>
    </row>
    <row r="169" spans="1:10" ht="15.6">
      <c r="A169" s="26" t="str">
        <v>K198</v>
      </c>
      <c r="B169" s="27" t="str">
        <v>NY</v>
      </c>
      <c r="C169" s="27" t="str">
        <f>Sites[[#This Row],[SOL'#]]</f>
        <v>SOL-10930</v>
      </c>
      <c r="D169" s="9">
        <f>SUM(Jan!D169, Feb!D169, Mar!D169)</f>
        <v>28011.80276367188</v>
      </c>
      <c r="E169" s="14">
        <f>SUM(Jan!E169, Feb!E169, Mar!E169)</f>
        <v>0</v>
      </c>
      <c r="F169" s="14">
        <f t="shared" si="15"/>
        <v>28011.80276367188</v>
      </c>
      <c r="G169" s="15" t="str">
        <f t="shared" si="19"/>
        <v/>
      </c>
      <c r="H169" s="16">
        <f>SUM(Jan!H169, Feb!H169, Mar!H169)</f>
        <v>12752</v>
      </c>
      <c r="I169" s="16">
        <f>SUM(Jan!I169, Feb!I169, Mar!I169)</f>
        <v>15259.80276367188</v>
      </c>
      <c r="J169" s="15">
        <f t="shared" si="18"/>
        <v>1.1966595642779079</v>
      </c>
    </row>
    <row r="170" spans="1:10" ht="15.6">
      <c r="A170" s="24" t="str">
        <v>K203</v>
      </c>
      <c r="B170" s="25" t="str">
        <v>NY</v>
      </c>
      <c r="C170" s="25" t="str">
        <f>Sites[[#This Row],[SOL'#]]</f>
        <v>SOL-11190</v>
      </c>
      <c r="D170" s="20">
        <f>SUM(Jan!D170, Feb!D170, Mar!D170)</f>
        <v>13616</v>
      </c>
      <c r="E170" s="10">
        <f>SUM(Jan!E170, Feb!E170, Mar!E170)</f>
        <v>0</v>
      </c>
      <c r="F170" s="10">
        <f t="shared" si="15"/>
        <v>13616</v>
      </c>
      <c r="G170" s="11" t="str">
        <f t="shared" si="19"/>
        <v/>
      </c>
      <c r="H170" s="12">
        <f>SUM(Jan!H170, Feb!H170, Mar!H170)</f>
        <v>0</v>
      </c>
      <c r="I170" s="12">
        <f>SUM(Jan!I170, Feb!I170, Mar!I170)</f>
        <v>13616</v>
      </c>
      <c r="J170" s="13" t="str">
        <f t="shared" si="18"/>
        <v/>
      </c>
    </row>
    <row r="171" spans="1:10" ht="15.6">
      <c r="A171" s="26" t="str">
        <v>K213</v>
      </c>
      <c r="B171" s="27" t="str">
        <v>NY</v>
      </c>
      <c r="C171" s="27" t="str">
        <f>Sites[[#This Row],[SOL'#]]</f>
        <v>SOL-11191</v>
      </c>
      <c r="D171" s="9">
        <f>SUM(Jan!D171, Feb!D171, Mar!D171)</f>
        <v>19107.2</v>
      </c>
      <c r="E171" s="14">
        <f>SUM(Jan!E171, Feb!E171, Mar!E171)</f>
        <v>20224.73</v>
      </c>
      <c r="F171" s="14">
        <f t="shared" si="15"/>
        <v>-1117.5299999999988</v>
      </c>
      <c r="G171" s="15">
        <f t="shared" si="19"/>
        <v>-5.5255620223360155E-2</v>
      </c>
      <c r="H171" s="16">
        <f>SUM(Jan!H171, Feb!H171, Mar!H171)</f>
        <v>18782</v>
      </c>
      <c r="I171" s="16">
        <f>SUM(Jan!I171, Feb!I171, Mar!I171)</f>
        <v>325.20000000000073</v>
      </c>
      <c r="J171" s="15">
        <f t="shared" si="18"/>
        <v>1.7314450005324285E-2</v>
      </c>
    </row>
    <row r="172" spans="1:10" ht="15.6">
      <c r="A172" s="24" t="str">
        <v>K217</v>
      </c>
      <c r="B172" s="25" t="str">
        <v>NY</v>
      </c>
      <c r="C172" s="25" t="str">
        <f>Sites[[#This Row],[SOL'#]]</f>
        <v>SOL-10933</v>
      </c>
      <c r="D172" s="20">
        <f>SUM(Jan!D172, Feb!D172, Mar!D172)</f>
        <v>19930.476800800869</v>
      </c>
      <c r="E172" s="10">
        <f>SUM(Jan!E172, Feb!E172, Mar!E172)</f>
        <v>0</v>
      </c>
      <c r="F172" s="10">
        <f t="shared" si="15"/>
        <v>19930.476800800869</v>
      </c>
      <c r="G172" s="11" t="str">
        <f t="shared" si="19"/>
        <v/>
      </c>
      <c r="H172" s="12">
        <f>SUM(Jan!H172, Feb!H172, Mar!H172)</f>
        <v>9298</v>
      </c>
      <c r="I172" s="12">
        <f>SUM(Jan!I172, Feb!I172, Mar!I172)</f>
        <v>10632.47680080087</v>
      </c>
      <c r="J172" s="13">
        <f t="shared" si="18"/>
        <v>1.1435229942784331</v>
      </c>
    </row>
    <row r="173" spans="1:10" ht="15.6">
      <c r="A173" s="26" t="str">
        <v>K307</v>
      </c>
      <c r="B173" s="27" t="str">
        <v>NY</v>
      </c>
      <c r="C173" s="27" t="str">
        <f>Sites[[#This Row],[SOL'#]]</f>
        <v>SOL-10876</v>
      </c>
      <c r="D173" s="9">
        <f>SUM(Jan!D173, Feb!D173, Mar!D173)</f>
        <v>41741.964064958498</v>
      </c>
      <c r="E173" s="14">
        <f>SUM(Jan!E173, Feb!E173, Mar!E173)</f>
        <v>0</v>
      </c>
      <c r="F173" s="14">
        <f t="shared" si="15"/>
        <v>41741.964064958498</v>
      </c>
      <c r="G173" s="15" t="str">
        <f t="shared" si="19"/>
        <v/>
      </c>
      <c r="H173" s="16">
        <f>SUM(Jan!H173, Feb!H173, Mar!H173)</f>
        <v>19546</v>
      </c>
      <c r="I173" s="16">
        <f>SUM(Jan!I173, Feb!I173, Mar!I173)</f>
        <v>22195.964064958498</v>
      </c>
      <c r="J173" s="15">
        <f t="shared" si="18"/>
        <v>1.1355757733018774</v>
      </c>
    </row>
    <row r="174" spans="1:10" ht="15.6">
      <c r="A174" s="24" t="str">
        <v>K610</v>
      </c>
      <c r="B174" s="25" t="str">
        <v>NY</v>
      </c>
      <c r="C174" s="25" t="str">
        <f>Sites[[#This Row],[SOL'#]]</f>
        <v>SOL-11158</v>
      </c>
      <c r="D174" s="20">
        <f>SUM(Jan!D174, Feb!D174, Mar!D174)</f>
        <v>25056.5</v>
      </c>
      <c r="E174" s="10">
        <f>SUM(Jan!E174, Feb!E174, Mar!E174)</f>
        <v>24720.240000000002</v>
      </c>
      <c r="F174" s="10">
        <f t="shared" si="15"/>
        <v>336.2599999999984</v>
      </c>
      <c r="G174" s="11">
        <f t="shared" si="19"/>
        <v>1.3602618744801764E-2</v>
      </c>
      <c r="H174" s="12">
        <f>SUM(Jan!H174, Feb!H174, Mar!H174)</f>
        <v>24582</v>
      </c>
      <c r="I174" s="12">
        <f>SUM(Jan!I174, Feb!I174, Mar!I174)</f>
        <v>474.5</v>
      </c>
      <c r="J174" s="13">
        <f t="shared" si="18"/>
        <v>1.9302741843625418E-2</v>
      </c>
    </row>
    <row r="175" spans="1:10" ht="15.6">
      <c r="A175" s="26" t="str">
        <v>M025</v>
      </c>
      <c r="B175" s="27" t="str">
        <v>NY</v>
      </c>
      <c r="C175" s="27" t="str">
        <f>Sites[[#This Row],[SOL'#]]</f>
        <v>SOL-10392</v>
      </c>
      <c r="D175" s="9">
        <f>SUM(Jan!D175, Feb!D175, Mar!D175)</f>
        <v>26784.182250499998</v>
      </c>
      <c r="E175" s="14">
        <f>SUM(Jan!E175, Feb!E175, Mar!E175)</f>
        <v>0</v>
      </c>
      <c r="F175" s="14">
        <f t="shared" si="15"/>
        <v>26784.182250499998</v>
      </c>
      <c r="G175" s="15" t="str">
        <f t="shared" si="19"/>
        <v/>
      </c>
      <c r="H175" s="16">
        <f>SUM(Jan!H175, Feb!H175, Mar!H175)</f>
        <v>21500</v>
      </c>
      <c r="I175" s="16">
        <f>SUM(Jan!I175, Feb!I175, Mar!I175)</f>
        <v>5284.1822504999982</v>
      </c>
      <c r="J175" s="15">
        <f t="shared" si="18"/>
        <v>0.2457759186279069</v>
      </c>
    </row>
    <row r="176" spans="1:10" ht="15.6">
      <c r="A176" s="24" t="str">
        <v>M028</v>
      </c>
      <c r="B176" s="25" t="str">
        <v>NY</v>
      </c>
      <c r="C176" s="25" t="str">
        <f>Sites[[#This Row],[SOL'#]]</f>
        <v>SOL-10381</v>
      </c>
      <c r="D176" s="20">
        <f>SUM(Jan!D176, Feb!D176, Mar!D176)</f>
        <v>28412.4201381723</v>
      </c>
      <c r="E176" s="10">
        <f>SUM(Jan!E176, Feb!E176, Mar!E176)</f>
        <v>0</v>
      </c>
      <c r="F176" s="10">
        <f t="shared" si="15"/>
        <v>28412.4201381723</v>
      </c>
      <c r="G176" s="11" t="str">
        <f t="shared" si="19"/>
        <v/>
      </c>
      <c r="H176" s="12">
        <f>SUM(Jan!H176, Feb!H176, Mar!H176)</f>
        <v>15744</v>
      </c>
      <c r="I176" s="12">
        <f>SUM(Jan!I176, Feb!I176, Mar!I176)</f>
        <v>12668.4201381723</v>
      </c>
      <c r="J176" s="13">
        <f t="shared" si="18"/>
        <v>0.80465066934529339</v>
      </c>
    </row>
    <row r="177" spans="1:10" ht="15.6">
      <c r="A177" s="26" t="str">
        <v>Q030</v>
      </c>
      <c r="B177" s="27" t="str">
        <v>NY</v>
      </c>
      <c r="C177" s="27" t="str">
        <f>Sites[[#This Row],[SOL'#]]</f>
        <v>SOL-10878</v>
      </c>
      <c r="D177" s="9">
        <f>SUM(Jan!D177, Feb!D177, Mar!D177)</f>
        <v>43631.752451714798</v>
      </c>
      <c r="E177" s="14">
        <f>SUM(Jan!E177, Feb!E177, Mar!E177)</f>
        <v>0</v>
      </c>
      <c r="F177" s="14">
        <f t="shared" si="15"/>
        <v>43631.752451714798</v>
      </c>
      <c r="G177" s="15" t="str">
        <f t="shared" si="19"/>
        <v/>
      </c>
      <c r="H177" s="16">
        <f>SUM(Jan!H177, Feb!H177, Mar!H177)</f>
        <v>19517</v>
      </c>
      <c r="I177" s="16">
        <f>SUM(Jan!I177, Feb!I177, Mar!I177)</f>
        <v>24114.752451714801</v>
      </c>
      <c r="J177" s="15">
        <f t="shared" si="18"/>
        <v>1.2355768023628018</v>
      </c>
    </row>
    <row r="178" spans="1:10" ht="15.6">
      <c r="A178" s="24" t="str">
        <v>Q130</v>
      </c>
      <c r="B178" s="25" t="str">
        <v>NY</v>
      </c>
      <c r="C178" s="25" t="str">
        <f>Sites[[#This Row],[SOL'#]]</f>
        <v>SOL-10877</v>
      </c>
      <c r="D178" s="20">
        <f>SUM(Jan!D178, Feb!D178, Mar!D178)</f>
        <v>22567.278566679699</v>
      </c>
      <c r="E178" s="10">
        <f>SUM(Jan!E178, Feb!E178, Mar!E178)</f>
        <v>0</v>
      </c>
      <c r="F178" s="10">
        <f t="shared" si="15"/>
        <v>22567.278566679699</v>
      </c>
      <c r="G178" s="11" t="str">
        <f t="shared" si="19"/>
        <v/>
      </c>
      <c r="H178" s="12">
        <f>SUM(Jan!H178, Feb!H178, Mar!H178)</f>
        <v>10779.37</v>
      </c>
      <c r="I178" s="12">
        <f>SUM(Jan!I178, Feb!I178, Mar!I178)</f>
        <v>11787.9085666797</v>
      </c>
      <c r="J178" s="13">
        <f t="shared" si="18"/>
        <v>1.0935619212142917</v>
      </c>
    </row>
    <row r="179" spans="1:10" ht="15.6">
      <c r="A179" s="26" t="str">
        <v>Q196</v>
      </c>
      <c r="B179" s="27" t="str">
        <v>NY</v>
      </c>
      <c r="C179" s="27" t="str">
        <f>Sites[[#This Row],[SOL'#]]</f>
        <v>SOL-10879</v>
      </c>
      <c r="D179" s="9">
        <f>SUM(Jan!D179, Feb!D179, Mar!D179)</f>
        <v>27263.4877070312</v>
      </c>
      <c r="E179" s="14">
        <f>SUM(Jan!E179, Feb!E179, Mar!E179)</f>
        <v>0</v>
      </c>
      <c r="F179" s="14">
        <f t="shared" si="15"/>
        <v>27263.4877070312</v>
      </c>
      <c r="G179" s="15" t="str">
        <f t="shared" si="19"/>
        <v/>
      </c>
      <c r="H179" s="16">
        <f>SUM(Jan!H179, Feb!H179, Mar!H179)</f>
        <v>14155</v>
      </c>
      <c r="I179" s="16">
        <f>SUM(Jan!I179, Feb!I179, Mar!I179)</f>
        <v>9872.5277070312004</v>
      </c>
      <c r="J179" s="15">
        <f t="shared" si="18"/>
        <v>0.6974586864734158</v>
      </c>
    </row>
    <row r="180" spans="1:10" ht="15.6">
      <c r="A180" s="24" t="str">
        <v>Q220</v>
      </c>
      <c r="B180" s="25" t="str">
        <v>NY</v>
      </c>
      <c r="C180" s="25" t="str">
        <f>Sites[[#This Row],[SOL'#]]</f>
        <v>SOL-10873</v>
      </c>
      <c r="D180" s="20">
        <f>SUM(Jan!D180, Feb!D180, Mar!D180)</f>
        <v>35224.906076015599</v>
      </c>
      <c r="E180" s="10">
        <f>SUM(Jan!E180, Feb!E180, Mar!E180)</f>
        <v>0</v>
      </c>
      <c r="F180" s="10">
        <f t="shared" si="15"/>
        <v>35224.906076015599</v>
      </c>
      <c r="G180" s="11" t="str">
        <f t="shared" si="19"/>
        <v/>
      </c>
      <c r="H180" s="12">
        <f>SUM(Jan!H180, Feb!H180, Mar!H180)</f>
        <v>15807</v>
      </c>
      <c r="I180" s="12">
        <f>SUM(Jan!I180, Feb!I180, Mar!I180)</f>
        <v>12948.705076015602</v>
      </c>
      <c r="J180" s="13">
        <f t="shared" si="18"/>
        <v>0.8191753701534511</v>
      </c>
    </row>
    <row r="181" spans="1:10" ht="15.6">
      <c r="A181" s="26" t="str">
        <v>Q205</v>
      </c>
      <c r="B181" s="27" t="str">
        <v>NY</v>
      </c>
      <c r="C181" s="27" t="str">
        <f>Sites[[#This Row],[SOL'#]]</f>
        <v>SOL-10922</v>
      </c>
      <c r="D181" s="9">
        <f>SUM(Jan!D181, Feb!D181, Mar!D181)</f>
        <v>22716.95703125</v>
      </c>
      <c r="E181" s="14">
        <f>SUM(Jan!E181, Feb!E181, Mar!E181)</f>
        <v>25173.09</v>
      </c>
      <c r="F181" s="14">
        <f t="shared" si="15"/>
        <v>-2456.1329687500001</v>
      </c>
      <c r="G181" s="15">
        <f t="shared" si="19"/>
        <v>-9.7569784589416717E-2</v>
      </c>
      <c r="H181" s="16">
        <f>SUM(Jan!H181, Feb!H181, Mar!H181)</f>
        <v>19352</v>
      </c>
      <c r="I181" s="16">
        <f>SUM(Jan!I181, Feb!I181, Mar!I181)</f>
        <v>3364.95703125</v>
      </c>
      <c r="J181" s="15">
        <f t="shared" si="18"/>
        <v>0.17388161591825135</v>
      </c>
    </row>
    <row r="182" spans="1:10" ht="15.6">
      <c r="A182" s="24" t="str">
        <v>Q400</v>
      </c>
      <c r="B182" s="25" t="str">
        <v>NY</v>
      </c>
      <c r="C182" s="25" t="str">
        <f>Sites[[#This Row],[SOL'#]]</f>
        <v>SOL-10871</v>
      </c>
      <c r="D182" s="20">
        <f>SUM(Jan!D182, Feb!D182, Mar!D182)</f>
        <v>40289.000000749998</v>
      </c>
      <c r="E182" s="10">
        <f>SUM(Jan!E182, Feb!E182, Mar!E182)</f>
        <v>0</v>
      </c>
      <c r="F182" s="10">
        <f t="shared" si="15"/>
        <v>40289.000000749998</v>
      </c>
      <c r="G182" s="11" t="str">
        <f t="shared" si="19"/>
        <v/>
      </c>
      <c r="H182" s="12">
        <f>SUM(Jan!H182, Feb!H182, Mar!H182)</f>
        <v>30789</v>
      </c>
      <c r="I182" s="12">
        <f>SUM(Jan!I182, Feb!I182, Mar!I182)</f>
        <v>9500.0000007500003</v>
      </c>
      <c r="J182" s="13">
        <f t="shared" si="18"/>
        <v>0.30855175552145248</v>
      </c>
    </row>
    <row r="183" spans="1:10" ht="15.6">
      <c r="A183" s="26" t="str">
        <v>R003</v>
      </c>
      <c r="B183" s="27" t="str">
        <v>NY</v>
      </c>
      <c r="C183" s="27" t="str">
        <f>Sites[[#This Row],[SOL'#]]</f>
        <v>SOL-10416</v>
      </c>
      <c r="D183" s="9">
        <f>SUM(Jan!D183, Feb!D183, Mar!D183)</f>
        <v>54609.508239687493</v>
      </c>
      <c r="E183" s="14">
        <f>SUM(Jan!E183, Feb!E183, Mar!E183)</f>
        <v>0</v>
      </c>
      <c r="F183" s="14">
        <f t="shared" si="15"/>
        <v>54609.508239687493</v>
      </c>
      <c r="G183" s="15" t="str">
        <f t="shared" si="19"/>
        <v/>
      </c>
      <c r="H183" s="16">
        <f>SUM(Jan!H183, Feb!H183, Mar!H183)</f>
        <v>29898</v>
      </c>
      <c r="I183" s="16">
        <f>SUM(Jan!I183, Feb!I183, Mar!I183)</f>
        <v>4054.8754296874977</v>
      </c>
      <c r="J183" s="15">
        <f t="shared" si="18"/>
        <v>0.13562363468083141</v>
      </c>
    </row>
    <row r="184" spans="1:10" ht="15.6">
      <c r="A184" s="24" t="str">
        <v>R007</v>
      </c>
      <c r="B184" s="25" t="str">
        <v>NY</v>
      </c>
      <c r="C184" s="25" t="str">
        <f>Sites[[#This Row],[SOL'#]]</f>
        <v>SOL-10417</v>
      </c>
      <c r="D184" s="20">
        <f>SUM(Jan!D184, Feb!D184, Mar!D184)</f>
        <v>70915.474217499999</v>
      </c>
      <c r="E184" s="10">
        <f>SUM(Jan!E184, Feb!E184, Mar!E184)</f>
        <v>0</v>
      </c>
      <c r="F184" s="10">
        <f t="shared" si="15"/>
        <v>70915.474217499999</v>
      </c>
      <c r="G184" s="11" t="str">
        <f t="shared" si="19"/>
        <v/>
      </c>
      <c r="H184" s="12">
        <f>SUM(Jan!H184, Feb!H184, Mar!H184)</f>
        <v>29854</v>
      </c>
      <c r="I184" s="12">
        <f>SUM(Jan!I184, Feb!I184, Mar!I184)</f>
        <v>41061.474217499999</v>
      </c>
      <c r="J184" s="13">
        <f t="shared" si="18"/>
        <v>1.3754094666543846</v>
      </c>
    </row>
    <row r="185" spans="1:10" ht="15.6">
      <c r="A185" s="26" t="str">
        <v>BK16</v>
      </c>
      <c r="B185" s="27" t="str">
        <v>NY</v>
      </c>
      <c r="C185" s="27" t="str">
        <f>Sites[[#This Row],[SOL'#]]</f>
        <v>SOL-11093</v>
      </c>
      <c r="D185" s="9">
        <f>SUM(Jan!D185, Feb!D185, Mar!D185)</f>
        <v>68301.647358908609</v>
      </c>
      <c r="E185" s="14">
        <f>SUM(Jan!E185, Feb!E185, Mar!E185)</f>
        <v>0</v>
      </c>
      <c r="F185" s="14">
        <f t="shared" si="15"/>
        <v>68301.647358908609</v>
      </c>
      <c r="G185" s="15" t="str">
        <f t="shared" si="19"/>
        <v/>
      </c>
      <c r="H185" s="16">
        <f>SUM(Jan!H185, Feb!H185, Mar!H185)</f>
        <v>31346</v>
      </c>
      <c r="I185" s="16">
        <f>SUM(Jan!I185, Feb!I185, Mar!I185)</f>
        <v>36955.647358908602</v>
      </c>
      <c r="J185" s="15">
        <f t="shared" si="18"/>
        <v>1.1789589535796785</v>
      </c>
    </row>
    <row r="186" spans="1:10" ht="15.6">
      <c r="A186" s="24" t="str">
        <v>Trenton - Trenton East</v>
      </c>
      <c r="B186" s="25" t="str">
        <v>IL</v>
      </c>
      <c r="C186" s="25" t="str">
        <f>Sites[[#This Row],[SOL'#]]</f>
        <v>SOL-11060</v>
      </c>
      <c r="D186" s="60">
        <f>SUM(Jan!D186, Feb!D186, Mar!D186)</f>
        <v>488927</v>
      </c>
      <c r="E186" s="10">
        <f>SUM(Jan!E186, Feb!E186, Mar!E186)</f>
        <v>498262.4</v>
      </c>
      <c r="F186" s="10">
        <f>IF(AND(ISNUMBER(D186),ISNUMBER(E186)), D186-E186, "")</f>
        <v>-9335.4000000000233</v>
      </c>
      <c r="G186" s="61">
        <f t="shared" si="19"/>
        <v>-1.8735911038039441E-2</v>
      </c>
      <c r="H186" s="75">
        <f>SUM(Jan!H186, Feb!H186, Mar!H186)</f>
        <v>613135</v>
      </c>
      <c r="I186" s="75">
        <f>SUM(Jan!I186, Feb!I186, Mar!I186)</f>
        <v>-124208</v>
      </c>
      <c r="J186" s="72">
        <f t="shared" si="18"/>
        <v>-0.20257855121629004</v>
      </c>
    </row>
    <row r="187" spans="1:10" ht="15.6">
      <c r="A187" s="26" t="str">
        <v>Trenton - Trenton West</v>
      </c>
      <c r="B187" s="27" t="str">
        <v>IL</v>
      </c>
      <c r="C187" s="27" t="str">
        <f>Sites[[#This Row],[SOL'#]]</f>
        <v>SOL-11061</v>
      </c>
      <c r="D187" s="74">
        <f>SUM(Jan!D187, Feb!D187, Mar!D187)</f>
        <v>511811</v>
      </c>
      <c r="E187" s="14">
        <f>SUM(Jan!E187, Feb!E187, Mar!E187)</f>
        <v>479983.1</v>
      </c>
      <c r="F187" s="14">
        <f>IF(AND(ISNUMBER(D187),ISNUMBER(E187)), D187-E187, "")</f>
        <v>31827.900000000023</v>
      </c>
      <c r="G187" s="76">
        <f t="shared" si="19"/>
        <v>6.6310459680767972E-2</v>
      </c>
      <c r="H187" s="77">
        <f>SUM(Jan!H187, Feb!H187, Mar!H187)</f>
        <v>616255.00399999996</v>
      </c>
      <c r="I187" s="77">
        <f>SUM(Jan!I187, Feb!I187, Mar!I187)</f>
        <v>-104444.00399999999</v>
      </c>
      <c r="J187" s="76">
        <f t="shared" si="18"/>
        <v>-0.16948179458515195</v>
      </c>
    </row>
    <row r="188" spans="1:10" ht="15.6">
      <c r="A188" s="24" t="str">
        <v>Dakota - Dakota Solar 1</v>
      </c>
      <c r="B188" s="25" t="str">
        <v>IL</v>
      </c>
      <c r="C188" s="25" t="str">
        <f>Sites[[#This Row],[SOL'#]]</f>
        <v>SOL-11113</v>
      </c>
      <c r="D188" s="60">
        <f>SUM(Jan!D188, Feb!D188, Mar!D188)</f>
        <v>910089</v>
      </c>
      <c r="E188" s="10">
        <f>SUM(Jan!E188, Feb!E188, Mar!E188)</f>
        <v>821340.26899999997</v>
      </c>
      <c r="F188" s="10">
        <f>IF(AND(ISNUMBER(D188),ISNUMBER(E188)), D188-E188, "")</f>
        <v>88748.731000000029</v>
      </c>
      <c r="G188" s="61">
        <f t="shared" si="19"/>
        <v>0.10805354899748625</v>
      </c>
      <c r="H188" s="75">
        <f>SUM(Jan!H188, Feb!H188, Mar!H188)</f>
        <v>0</v>
      </c>
      <c r="I188" s="75">
        <f>SUM(Jan!I188, Feb!I188, Mar!I188)</f>
        <v>910089</v>
      </c>
      <c r="J188" s="72" t="str">
        <f t="shared" si="18"/>
        <v/>
      </c>
    </row>
    <row r="189" spans="1:10" ht="15.6">
      <c r="A189" s="26" t="str">
        <v>X018</v>
      </c>
      <c r="B189" s="27" t="str">
        <v>NY</v>
      </c>
      <c r="C189" s="27" t="str">
        <f>Sites[[#This Row],[SOL'#]]</f>
        <v>SOL-10418</v>
      </c>
      <c r="D189" s="74">
        <f>SUM(Jan!D189, Feb!D189, Mar!D189)</f>
        <v>26638.643984374998</v>
      </c>
      <c r="E189" s="14">
        <f>SUM(Jan!E189, Feb!E189, Mar!E189)</f>
        <v>36216.343999999997</v>
      </c>
      <c r="F189" s="14">
        <f>IF(AND(ISNUMBER(D189),ISNUMBER(E189)), D189-E189, "")</f>
        <v>-9577.7000156249997</v>
      </c>
      <c r="G189" s="76">
        <f t="shared" si="19"/>
        <v>-0.26445794792608002</v>
      </c>
      <c r="H189" s="77">
        <f>SUM(Jan!H189, Feb!H189, Mar!H189)</f>
        <v>15457</v>
      </c>
      <c r="I189" s="77">
        <f>SUM(Jan!I189, Feb!I189, Mar!I189)</f>
        <v>11181.643984374999</v>
      </c>
      <c r="J189" s="76">
        <f t="shared" si="18"/>
        <v>0.723403246708611</v>
      </c>
    </row>
    <row r="190" spans="1:10" ht="15.6">
      <c r="A190" s="24" t="str">
        <v>Janiak Solar</v>
      </c>
      <c r="B190" s="25" t="str">
        <v>NY</v>
      </c>
      <c r="C190" s="25" t="str">
        <f>Sites[[#This Row],[SOL'#]]</f>
        <v>SOL-10898</v>
      </c>
      <c r="D190" s="60">
        <f>SUM(Jan!D190, Feb!D190, Mar!D190)</f>
        <v>722149.00012935395</v>
      </c>
      <c r="E190" s="10">
        <f>SUM(Jan!E190, Feb!E190, Mar!E190)</f>
        <v>877484.89799999993</v>
      </c>
      <c r="F190" s="10">
        <f t="shared" ref="F190:F200" si="20">IF(AND(ISNUMBER(D190),ISNUMBER(E190)), D190-E190, "")</f>
        <v>-155335.89787064597</v>
      </c>
      <c r="G190" s="61">
        <f t="shared" si="19"/>
        <v>-0.17702401286300654</v>
      </c>
      <c r="H190" s="75">
        <f>SUM(Jan!H190, Feb!H190, Mar!H190)</f>
        <v>812707.06900000002</v>
      </c>
      <c r="I190" s="75">
        <f>SUM(Jan!I190, Feb!I190, Mar!I190)</f>
        <v>-90558.068870646006</v>
      </c>
      <c r="J190" s="72">
        <f t="shared" si="18"/>
        <v>-0.11142768695499805</v>
      </c>
    </row>
    <row r="191" spans="1:10" ht="15.6">
      <c r="A191" s="26" t="str">
        <v>County Route 11B</v>
      </c>
      <c r="B191" s="27" t="str">
        <v>NY</v>
      </c>
      <c r="C191" s="27" t="str">
        <f>Sites[[#This Row],[SOL'#]]</f>
        <v>SOL-10983</v>
      </c>
      <c r="D191" s="74">
        <f>SUM(Jan!D191, Feb!D191, Mar!D191)</f>
        <v>1581049</v>
      </c>
      <c r="E191" s="14">
        <f>SUM(Jan!E191, Feb!E191, Mar!E191)</f>
        <v>0</v>
      </c>
      <c r="F191" s="14">
        <f t="shared" si="20"/>
        <v>1581049</v>
      </c>
      <c r="G191" s="76" t="str">
        <f t="shared" si="19"/>
        <v/>
      </c>
      <c r="H191" s="77">
        <f>SUM(Jan!H191, Feb!H191, Mar!H191)</f>
        <v>0</v>
      </c>
      <c r="I191" s="77">
        <f>SUM(Jan!I191, Feb!I191, Mar!I191)</f>
        <v>1581049</v>
      </c>
      <c r="J191" s="76" t="str">
        <f t="shared" si="18"/>
        <v/>
      </c>
    </row>
    <row r="192" spans="1:10" ht="15.6">
      <c r="A192" s="24" t="str">
        <v>Barone</v>
      </c>
      <c r="B192" s="25" t="str">
        <v>NY</v>
      </c>
      <c r="C192" s="25" t="str">
        <f>Sites[[#This Row],[SOL'#]]</f>
        <v>SOL-11034</v>
      </c>
      <c r="D192" s="60">
        <f>SUM(Jan!D192, Feb!D192, Mar!D192)</f>
        <v>1074960</v>
      </c>
      <c r="E192" s="10">
        <f>SUM(Jan!E192, Feb!E192, Mar!E192)</f>
        <v>0</v>
      </c>
      <c r="F192" s="10">
        <f t="shared" si="20"/>
        <v>1074960</v>
      </c>
      <c r="G192" s="61" t="str">
        <f t="shared" si="19"/>
        <v/>
      </c>
      <c r="H192" s="75">
        <f>SUM(Jan!H192, Feb!H192, Mar!H192)</f>
        <v>1044522.5</v>
      </c>
      <c r="I192" s="75">
        <f>SUM(Jan!I192, Feb!I192, Mar!I192)</f>
        <v>30437.5</v>
      </c>
      <c r="J192" s="72">
        <f t="shared" si="18"/>
        <v>2.914010947586098E-2</v>
      </c>
    </row>
    <row r="193" spans="1:10" ht="15.6">
      <c r="A193" s="26" t="str">
        <v>Cedarville</v>
      </c>
      <c r="B193" s="27" t="str">
        <v>IL</v>
      </c>
      <c r="C193" s="27" t="str">
        <f>Sites[[#This Row],[SOL'#]]</f>
        <v>SOL-11069</v>
      </c>
      <c r="D193" s="74">
        <f>SUM(Jan!D193, Feb!D193, Mar!D193)</f>
        <v>776639</v>
      </c>
      <c r="E193" s="14">
        <f>SUM(Jan!E193, Feb!E193, Mar!E193)</f>
        <v>842466.8</v>
      </c>
      <c r="F193" s="14">
        <f t="shared" si="20"/>
        <v>-65827.800000000047</v>
      </c>
      <c r="G193" s="76">
        <f t="shared" si="19"/>
        <v>-7.8136966346923159E-2</v>
      </c>
      <c r="H193" s="77">
        <f>SUM(Jan!H193, Feb!H193, Mar!H193)</f>
        <v>807480.9</v>
      </c>
      <c r="I193" s="77">
        <f>SUM(Jan!I193, Feb!I193, Mar!I193)</f>
        <v>-30841.899999999994</v>
      </c>
      <c r="J193" s="76">
        <f t="shared" si="18"/>
        <v>-3.819520684637865E-2</v>
      </c>
    </row>
    <row r="194" spans="1:10" ht="15.6">
      <c r="A194" s="24" t="str">
        <v xml:space="preserve"> O'Brien Hill #1</v>
      </c>
      <c r="B194" s="25" t="str">
        <v>NY</v>
      </c>
      <c r="C194" s="25" t="str">
        <f>Sites[[#This Row],[SOL'#]]</f>
        <v>SOL-11098</v>
      </c>
      <c r="D194" s="60">
        <f>SUM(Jan!D194, Feb!D194, Mar!D194)</f>
        <v>770286</v>
      </c>
      <c r="E194" s="10">
        <f>SUM(Jan!E194, Feb!E194, Mar!E194)</f>
        <v>0</v>
      </c>
      <c r="F194" s="10">
        <f t="shared" si="20"/>
        <v>770286</v>
      </c>
      <c r="G194" s="61" t="str">
        <f t="shared" si="19"/>
        <v/>
      </c>
      <c r="H194" s="75">
        <f>SUM(Jan!H194, Feb!H194, Mar!H194)</f>
        <v>0</v>
      </c>
      <c r="I194" s="75">
        <f>SUM(Jan!I194, Feb!I194, Mar!I194)</f>
        <v>770286</v>
      </c>
      <c r="J194" s="72" t="str">
        <f t="shared" si="18"/>
        <v/>
      </c>
    </row>
    <row r="195" spans="1:10" ht="15.6">
      <c r="A195" s="26" t="str">
        <v xml:space="preserve"> O'Brien Hill #2</v>
      </c>
      <c r="B195" s="27" t="str">
        <v>NY</v>
      </c>
      <c r="C195" s="27" t="str">
        <f>Sites[[#This Row],[SOL'#]]</f>
        <v>SOL-11099</v>
      </c>
      <c r="D195" s="74">
        <f>SUM(Jan!D195, Feb!D195, Mar!D195)</f>
        <v>805058</v>
      </c>
      <c r="E195" s="14">
        <f>SUM(Jan!E195, Feb!E195, Mar!E195)</f>
        <v>0</v>
      </c>
      <c r="F195" s="14">
        <f t="shared" si="20"/>
        <v>805058</v>
      </c>
      <c r="G195" s="76" t="str">
        <f t="shared" si="19"/>
        <v/>
      </c>
      <c r="H195" s="77">
        <f>SUM(Jan!H195, Feb!H195, Mar!H195)</f>
        <v>0</v>
      </c>
      <c r="I195" s="77">
        <f>SUM(Jan!I195, Feb!I195, Mar!I195)</f>
        <v>805058</v>
      </c>
      <c r="J195" s="76" t="str">
        <f t="shared" si="18"/>
        <v/>
      </c>
    </row>
    <row r="196" spans="1:10" ht="15.6">
      <c r="A196" s="24" t="str">
        <v>Trinity - Freeport</v>
      </c>
      <c r="B196" s="25" t="str">
        <v>IL</v>
      </c>
      <c r="C196" s="25" t="str">
        <f>Sites[[#This Row],[SOL'#]]</f>
        <v>SOL-11057</v>
      </c>
      <c r="D196" s="60">
        <f>SUM(Jan!D196, Feb!D196, Mar!D196)</f>
        <v>380764</v>
      </c>
      <c r="E196" s="10">
        <f>SUM(Jan!E196, Feb!E196, Mar!E196)</f>
        <v>262931.7</v>
      </c>
      <c r="F196" s="10">
        <f t="shared" si="20"/>
        <v>117832.29999999999</v>
      </c>
      <c r="G196" s="61">
        <f t="shared" si="19"/>
        <v>0.44814794108127692</v>
      </c>
      <c r="H196" s="75">
        <f>SUM(Jan!H196, Feb!H196, Mar!H196)</f>
        <v>0</v>
      </c>
      <c r="I196" s="75">
        <f>SUM(Jan!I196, Feb!I196, Mar!I196)</f>
        <v>380764</v>
      </c>
      <c r="J196" s="72" t="str">
        <f t="shared" si="18"/>
        <v/>
      </c>
    </row>
    <row r="197" spans="1:10" ht="15.6">
      <c r="A197" s="26" t="str">
        <v>Ransom</v>
      </c>
      <c r="B197" s="27" t="str">
        <v>NY</v>
      </c>
      <c r="C197" s="27" t="str">
        <f>Sites[[#This Row],[SOL'#]]</f>
        <v>SOL-11157</v>
      </c>
      <c r="D197" s="74">
        <f>SUM(Jan!D197, Feb!D197, Mar!D197)</f>
        <v>573181.69999999995</v>
      </c>
      <c r="E197" s="14">
        <f>SUM(Jan!E197, Feb!E197, Mar!E197)</f>
        <v>0</v>
      </c>
      <c r="F197" s="14">
        <f t="shared" si="20"/>
        <v>573181.69999999995</v>
      </c>
      <c r="G197" s="76" t="str">
        <f t="shared" si="19"/>
        <v/>
      </c>
      <c r="H197" s="77">
        <f>SUM(Jan!H197, Feb!H197, Mar!H197)</f>
        <v>0</v>
      </c>
      <c r="I197" s="77">
        <f>SUM(Jan!I197, Feb!I197, Mar!I197)</f>
        <v>573181.69999999995</v>
      </c>
      <c r="J197" s="76" t="str">
        <f t="shared" si="18"/>
        <v/>
      </c>
    </row>
    <row r="198" spans="1:10" ht="15.6">
      <c r="A198" s="24" t="str">
        <v>Horseheads - Wedge</v>
      </c>
      <c r="B198" s="25" t="str">
        <v>NY</v>
      </c>
      <c r="C198" s="25" t="str">
        <f>Sites[[#This Row],[SOL'#]]</f>
        <v>SOL-11160</v>
      </c>
      <c r="D198" s="60">
        <f>SUM(Jan!D198, Feb!D198, Mar!D198)</f>
        <v>351172</v>
      </c>
      <c r="E198" s="10">
        <f>SUM(Jan!E198, Feb!E198, Mar!E198)</f>
        <v>0</v>
      </c>
      <c r="F198" s="10">
        <f t="shared" si="20"/>
        <v>351172</v>
      </c>
      <c r="G198" s="61" t="str">
        <f t="shared" si="19"/>
        <v/>
      </c>
      <c r="H198" s="75">
        <f>SUM(Jan!H198, Feb!H198, Mar!H198)</f>
        <v>0</v>
      </c>
      <c r="I198" s="75">
        <f>SUM(Jan!I198, Feb!I198, Mar!I198)</f>
        <v>351172</v>
      </c>
      <c r="J198" s="72" t="str">
        <f t="shared" si="18"/>
        <v/>
      </c>
    </row>
    <row r="199" spans="1:10" ht="15.6">
      <c r="A199" s="26" t="str">
        <v>Otisville - Shoddy Hollow</v>
      </c>
      <c r="B199" s="27" t="str">
        <v>NY</v>
      </c>
      <c r="C199" s="27" t="str">
        <f>Sites[[#This Row],[SOL'#]]</f>
        <v>SOL-11185</v>
      </c>
      <c r="D199" s="74">
        <f>SUM(Jan!D199, Feb!D199, Mar!D199)</f>
        <v>770722.7</v>
      </c>
      <c r="E199" s="14">
        <f>SUM(Jan!E199, Feb!E199, Mar!E199)</f>
        <v>0</v>
      </c>
      <c r="F199" s="14">
        <f t="shared" si="20"/>
        <v>770722.7</v>
      </c>
      <c r="G199" s="76" t="str">
        <f t="shared" si="19"/>
        <v/>
      </c>
      <c r="H199" s="77">
        <f>SUM(Jan!H199, Feb!H199, Mar!H199)</f>
        <v>0</v>
      </c>
      <c r="I199" s="77">
        <f>SUM(Jan!I199, Feb!I199, Mar!I199)</f>
        <v>770722.7</v>
      </c>
      <c r="J199" s="76" t="str">
        <f t="shared" si="18"/>
        <v/>
      </c>
    </row>
    <row r="200" spans="1:10" ht="15.6">
      <c r="A200" s="24" t="str">
        <v>Wellsville - Chenunda Creek</v>
      </c>
      <c r="B200" s="25" t="str">
        <v>NY</v>
      </c>
      <c r="C200" s="25" t="str">
        <f>Sites[[#This Row],[SOL'#]]</f>
        <v>SOL-11187</v>
      </c>
      <c r="D200" s="60">
        <f>SUM(Jan!D200, Feb!D200, Mar!D200)</f>
        <v>367949.8</v>
      </c>
      <c r="E200" s="10">
        <f>SUM(Jan!E200, Feb!E200, Mar!E200)</f>
        <v>0</v>
      </c>
      <c r="F200" s="10">
        <f t="shared" si="20"/>
        <v>367949.8</v>
      </c>
      <c r="G200" s="61" t="str">
        <f t="shared" si="19"/>
        <v/>
      </c>
      <c r="H200" s="75">
        <f>SUM(Jan!H200, Feb!H200, Mar!H200)</f>
        <v>0</v>
      </c>
      <c r="I200" s="75">
        <f>SUM(Jan!I200, Feb!I200, Mar!I200)</f>
        <v>367949.8</v>
      </c>
      <c r="J200" s="72" t="str">
        <f t="shared" si="18"/>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72" priority="27" stopIfTrue="1" operator="lessThanOrEqual">
      <formula>-0.1</formula>
    </cfRule>
    <cfRule type="expression" dxfId="71" priority="28">
      <formula>AND(ISNUMBER(G2), G2&gt;=0.1)</formula>
    </cfRule>
  </conditionalFormatting>
  <conditionalFormatting sqref="G4:G200 J4:J200">
    <cfRule type="cellIs" dxfId="70" priority="1" stopIfTrue="1" operator="lessThanOrEqual">
      <formula>-0.1</formula>
    </cfRule>
    <cfRule type="expression" dxfId="69"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91" activePane="bottomRight" state="frozen"/>
      <selection pane="bottomRight" activeCell="E220" sqref="E220"/>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5" t="str" cm="1">
        <f t="array" ref="A1">portfolio</f>
        <v>Generate Capital</v>
      </c>
      <c r="B1" s="165"/>
      <c r="C1" s="165"/>
      <c r="D1" s="165"/>
      <c r="E1" s="166" t="s">
        <v>13</v>
      </c>
      <c r="F1" s="166"/>
      <c r="G1" s="166"/>
      <c r="H1" s="164" t="s">
        <v>14</v>
      </c>
      <c r="I1" s="164"/>
      <c r="J1" s="164"/>
    </row>
    <row r="2" spans="1:10" ht="19.5" customHeight="1">
      <c r="A2" s="167" t="s">
        <v>2</v>
      </c>
      <c r="B2" s="167"/>
      <c r="C2" s="65"/>
      <c r="D2" s="5">
        <f>SUM(D4:D200)</f>
        <v>126034592.28460866</v>
      </c>
      <c r="E2" s="5">
        <f>SUM(E4:E100)</f>
        <v>21904923.697000001</v>
      </c>
      <c r="F2" s="5">
        <f>D2-E2</f>
        <v>104129668.58760867</v>
      </c>
      <c r="G2" s="6">
        <f>IFERROR(F2/E2, 0)</f>
        <v>4.7537106281666617</v>
      </c>
      <c r="H2" s="5">
        <f>SUM(H4:H200)</f>
        <v>148138228.04300001</v>
      </c>
      <c r="I2" s="7">
        <f>D2-H2</f>
        <v>-22103635.758391351</v>
      </c>
      <c r="J2" s="6">
        <f>IFERROR(I2/H2, 0)</f>
        <v>-0.1492095325453423</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SUM(Apr!D4, May!D4, Jun!D4)</f>
        <v>43029.008242312702</v>
      </c>
      <c r="E4" s="10">
        <f>SUM(Apr!E4, May!E4, Jun!E4)</f>
        <v>29326.947</v>
      </c>
      <c r="F4" s="10">
        <f>IF(AND(ISNUMBER(D4),ISNUMBER(E4)), D4-E4, "")</f>
        <v>13702.061242312702</v>
      </c>
      <c r="G4" s="11">
        <f>IFERROR(F4/E4, "")</f>
        <v>0.46721744484049776</v>
      </c>
      <c r="H4" s="12">
        <f>SUM(Apr!H4, May!H4, Jun!H4)</f>
        <v>40453.699999999997</v>
      </c>
      <c r="I4" s="12">
        <f>SUM(Apr!I4, May!I4, Jun!I4)</f>
        <v>2575.3082423126998</v>
      </c>
      <c r="J4" s="13">
        <f>IFERROR(I4/H4, "")</f>
        <v>6.3660635301905633E-2</v>
      </c>
    </row>
    <row r="5" spans="1:10" ht="15.6">
      <c r="A5" s="26" t="str">
        <v>Fulton</v>
      </c>
      <c r="B5" s="27" t="str">
        <v>AZ</v>
      </c>
      <c r="C5" s="27" t="str">
        <f>Sites[[#This Row],[SOL'#]]</f>
        <v>SOL-10749</v>
      </c>
      <c r="D5" s="9">
        <f>SUM(Apr!D5, May!D5, Jun!D5)</f>
        <v>157829.75</v>
      </c>
      <c r="E5" s="14">
        <f>SUM(Apr!E5, May!E5, Jun!E5)</f>
        <v>197049.19</v>
      </c>
      <c r="F5" s="14">
        <f t="shared" ref="F5:F15" si="0">IF(AND(ISNUMBER(D5),ISNUMBER(E5)), D5-E5, "")</f>
        <v>-39219.440000000002</v>
      </c>
      <c r="G5" s="15">
        <f>IFERROR(F5/E5, "")</f>
        <v>-0.1990337539575778</v>
      </c>
      <c r="H5" s="16">
        <f>SUM(Apr!H5, May!H5, Jun!H5)</f>
        <v>220211.61</v>
      </c>
      <c r="I5" s="16">
        <f>SUM(Apr!I5, May!I5, Jun!I5)</f>
        <v>-62381.86</v>
      </c>
      <c r="J5" s="15">
        <f>IFERROR(I5/H5, "")</f>
        <v>-0.28328143098358893</v>
      </c>
    </row>
    <row r="6" spans="1:10" ht="15.6">
      <c r="A6" s="24" t="str">
        <v>JFK Elementary</v>
      </c>
      <c r="B6" s="25" t="str">
        <v>AZ</v>
      </c>
      <c r="C6" s="25" t="str">
        <f>Sites[[#This Row],[SOL'#]]</f>
        <v>SOL-10758</v>
      </c>
      <c r="D6" s="20">
        <f>SUM(Apr!D6, May!D6, Jun!D6)</f>
        <v>54306.327609255401</v>
      </c>
      <c r="E6" s="10">
        <f>SUM(Apr!E6, May!E6, Jun!E6)</f>
        <v>0</v>
      </c>
      <c r="F6" s="10">
        <f t="shared" si="0"/>
        <v>54306.327609255401</v>
      </c>
      <c r="G6" s="11" t="str">
        <f t="shared" ref="G6:G15" si="1">IFERROR(F6/E6, "")</f>
        <v/>
      </c>
      <c r="H6" s="12">
        <f>SUM(Apr!H6, May!H6, Jun!H6)</f>
        <v>58079</v>
      </c>
      <c r="I6" s="12">
        <f>SUM(Apr!I6, May!I6, Jun!I6)</f>
        <v>-3772.6723907445994</v>
      </c>
      <c r="J6" s="13">
        <f t="shared" ref="J6:J15" si="2">IFERROR(I6/H6, "")</f>
        <v>-6.4957598972857647E-2</v>
      </c>
    </row>
    <row r="7" spans="1:10" ht="15.6">
      <c r="A7" s="26" t="str">
        <v>Noble</v>
      </c>
      <c r="B7" s="27" t="str">
        <v>AZ</v>
      </c>
      <c r="C7" s="27" t="str">
        <f>Sites[[#This Row],[SOL'#]]</f>
        <v>SOL-10750</v>
      </c>
      <c r="D7" s="9">
        <f>SUM(Apr!D7, May!D7, Jun!D7)</f>
        <v>40288.636138224101</v>
      </c>
      <c r="E7" s="14">
        <f>SUM(Apr!E7, May!E7, Jun!E7)</f>
        <v>50186.41</v>
      </c>
      <c r="F7" s="14">
        <f t="shared" si="0"/>
        <v>-9897.7738617759023</v>
      </c>
      <c r="G7" s="15">
        <f t="shared" si="1"/>
        <v>-0.19722020088258757</v>
      </c>
      <c r="H7" s="16">
        <f>SUM(Apr!H7, May!H7, Jun!H7)</f>
        <v>45420.76</v>
      </c>
      <c r="I7" s="16">
        <f>SUM(Apr!I7, May!I7, Jun!I7)</f>
        <v>-5132.1238617759009</v>
      </c>
      <c r="J7" s="15">
        <f t="shared" si="2"/>
        <v>-0.11299070869302717</v>
      </c>
    </row>
    <row r="8" spans="1:10" ht="15.6">
      <c r="A8" s="24" t="str">
        <v>Parking 3</v>
      </c>
      <c r="B8" s="25" t="str">
        <v>AZ</v>
      </c>
      <c r="C8" s="25" t="str">
        <f>Sites[[#This Row],[SOL'#]]</f>
        <v>SOL-10751</v>
      </c>
      <c r="D8" s="20">
        <f>SUM(Apr!D8, May!D8, Jun!D8)</f>
        <v>107009.91249999999</v>
      </c>
      <c r="E8" s="10">
        <f>SUM(Apr!E8, May!E8, Jun!E8)</f>
        <v>107834.41999999998</v>
      </c>
      <c r="F8" s="10">
        <f t="shared" si="0"/>
        <v>-824.50749999999243</v>
      </c>
      <c r="G8" s="11">
        <f t="shared" si="1"/>
        <v>-7.6460512329921421E-3</v>
      </c>
      <c r="H8" s="12">
        <f>SUM(Apr!H8, May!H8, Jun!H8)</f>
        <v>98260.17</v>
      </c>
      <c r="I8" s="12">
        <f>SUM(Apr!I8, May!I8, Jun!I8)</f>
        <v>8749.7425000000003</v>
      </c>
      <c r="J8" s="13">
        <f t="shared" si="2"/>
        <v>8.9046685956273033E-2</v>
      </c>
    </row>
    <row r="9" spans="1:10" ht="15.6">
      <c r="A9" s="26" t="str">
        <v>PE East</v>
      </c>
      <c r="B9" s="27" t="str">
        <v>AZ</v>
      </c>
      <c r="C9" s="27" t="str">
        <f>Sites[[#This Row],[SOL'#]]</f>
        <v>SOL-10752</v>
      </c>
      <c r="D9" s="9">
        <f>SUM(Apr!D9, May!D9, Jun!D9)</f>
        <v>95412.859299434596</v>
      </c>
      <c r="E9" s="14">
        <f>SUM(Apr!E9, May!E9, Jun!E9)</f>
        <v>81313.209999999992</v>
      </c>
      <c r="F9" s="14">
        <f t="shared" si="0"/>
        <v>14099.649299434604</v>
      </c>
      <c r="G9" s="15">
        <f t="shared" si="1"/>
        <v>0.17339924594582609</v>
      </c>
      <c r="H9" s="16">
        <f>SUM(Apr!H9, May!H9, Jun!H9)</f>
        <v>97669.46</v>
      </c>
      <c r="I9" s="16">
        <f>SUM(Apr!I9, May!I9, Jun!I9)</f>
        <v>-2256.6007005653992</v>
      </c>
      <c r="J9" s="15">
        <f t="shared" si="2"/>
        <v>-2.3104465823455961E-2</v>
      </c>
    </row>
    <row r="10" spans="1:10" ht="15.6">
      <c r="A10" s="24" t="str">
        <v>Schwada</v>
      </c>
      <c r="B10" s="25" t="str">
        <v>AZ</v>
      </c>
      <c r="C10" s="25" t="str">
        <f>Sites[[#This Row],[SOL'#]]</f>
        <v>SOL-10753</v>
      </c>
      <c r="D10" s="20">
        <f>SUM(Apr!D10, May!D10, Jun!D10)</f>
        <v>43160.570591561802</v>
      </c>
      <c r="E10" s="10">
        <f>SUM(Apr!E10, May!E10, Jun!E10)</f>
        <v>33477.279999999999</v>
      </c>
      <c r="F10" s="10">
        <f t="shared" si="0"/>
        <v>9683.290591561803</v>
      </c>
      <c r="G10" s="11">
        <f t="shared" si="1"/>
        <v>0.28924962217843875</v>
      </c>
      <c r="H10" s="12">
        <f>SUM(Apr!H10, May!H10, Jun!H10)</f>
        <v>42109</v>
      </c>
      <c r="I10" s="12">
        <f>SUM(Apr!I10, May!I10, Jun!I10)</f>
        <v>1051.5705915617982</v>
      </c>
      <c r="J10" s="13">
        <f t="shared" si="2"/>
        <v>2.4972585232653308E-2</v>
      </c>
    </row>
    <row r="11" spans="1:10" ht="15.6">
      <c r="A11" s="26" t="str">
        <v>Starshine</v>
      </c>
      <c r="B11" s="27" t="str">
        <v>AZ</v>
      </c>
      <c r="C11" s="27" t="str">
        <f>Sites[[#This Row],[SOL'#]]</f>
        <v>SOL-10757</v>
      </c>
      <c r="D11" s="9">
        <f>SUM(Apr!D11, May!D11, Jun!D11)</f>
        <v>23525.689652777801</v>
      </c>
      <c r="E11" s="14">
        <f>SUM(Apr!E11, May!E11, Jun!E11)</f>
        <v>0</v>
      </c>
      <c r="F11" s="14">
        <f t="shared" si="0"/>
        <v>23525.689652777801</v>
      </c>
      <c r="G11" s="15" t="str">
        <f t="shared" si="1"/>
        <v/>
      </c>
      <c r="H11" s="16">
        <f>SUM(Apr!H11, May!H11, Jun!H11)</f>
        <v>35234</v>
      </c>
      <c r="I11" s="16">
        <f>SUM(Apr!I11, May!I11, Jun!I11)</f>
        <v>-11708.310347222199</v>
      </c>
      <c r="J11" s="15">
        <f t="shared" si="2"/>
        <v>-0.33230148002560594</v>
      </c>
    </row>
    <row r="12" spans="1:10" ht="15.6">
      <c r="A12" s="24" t="str">
        <v>Yuma Airport</v>
      </c>
      <c r="B12" s="25" t="str">
        <v>AZ</v>
      </c>
      <c r="C12" s="25" t="str">
        <f>Sites[[#This Row],[SOL'#]]</f>
        <v>SOL-10754</v>
      </c>
      <c r="D12" s="20">
        <f>SUM(Apr!D12, May!D12, Jun!D12)</f>
        <v>244873</v>
      </c>
      <c r="E12" s="10">
        <f>SUM(Apr!E12, May!E12, Jun!E12)</f>
        <v>289180.01</v>
      </c>
      <c r="F12" s="10">
        <f t="shared" si="0"/>
        <v>-44307.010000000009</v>
      </c>
      <c r="G12" s="11">
        <f t="shared" si="1"/>
        <v>-0.15321601932305073</v>
      </c>
      <c r="H12" s="12">
        <f>SUM(Apr!H12, May!H12, Jun!H12)</f>
        <v>252289</v>
      </c>
      <c r="I12" s="12">
        <f>SUM(Apr!I12, May!I12, Jun!I12)</f>
        <v>-7416</v>
      </c>
      <c r="J12" s="13">
        <f t="shared" si="2"/>
        <v>-2.9394860655835173E-2</v>
      </c>
    </row>
    <row r="13" spans="1:10" ht="15.6">
      <c r="A13" s="26" t="str">
        <v>Kinsman</v>
      </c>
      <c r="B13" s="27" t="str">
        <v>OH</v>
      </c>
      <c r="C13" s="27" t="str">
        <f>Sites[[#This Row],[SOL'#]]</f>
        <v>SOL-10762</v>
      </c>
      <c r="D13" s="9">
        <f>SUM(Apr!D13, May!D13, Jun!D13)</f>
        <v>260673.890625</v>
      </c>
      <c r="E13" s="14">
        <f>SUM(Apr!E13, May!E13, Jun!E13)</f>
        <v>358930.9</v>
      </c>
      <c r="F13" s="14">
        <f t="shared" si="0"/>
        <v>-98257.009375000023</v>
      </c>
      <c r="G13" s="15">
        <f t="shared" si="1"/>
        <v>-0.27374909592626329</v>
      </c>
      <c r="H13" s="16">
        <f>SUM(Apr!H13, May!H13, Jun!H13)</f>
        <v>372182</v>
      </c>
      <c r="I13" s="16">
        <f>SUM(Apr!I13, May!I13, Jun!I13)</f>
        <v>-111508.109375</v>
      </c>
      <c r="J13" s="15">
        <f t="shared" si="2"/>
        <v>-0.29960640056477744</v>
      </c>
    </row>
    <row r="14" spans="1:10" ht="15.6">
      <c r="A14" s="24" t="str">
        <v>Wooster</v>
      </c>
      <c r="B14" s="25" t="str">
        <v>OH</v>
      </c>
      <c r="C14" s="25" t="str">
        <f>Sites[[#This Row],[SOL'#]]</f>
        <v>SOL-10763</v>
      </c>
      <c r="D14" s="20">
        <f>SUM(Apr!D14, May!D14, Jun!D14)</f>
        <v>58102.25</v>
      </c>
      <c r="E14" s="10">
        <f>SUM(Apr!E14, May!E14, Jun!E14)</f>
        <v>0</v>
      </c>
      <c r="F14" s="10">
        <f t="shared" si="0"/>
        <v>58102.25</v>
      </c>
      <c r="G14" s="11" t="str">
        <f t="shared" si="1"/>
        <v/>
      </c>
      <c r="H14" s="12">
        <f>SUM(Apr!H14, May!H14, Jun!H14)</f>
        <v>89122</v>
      </c>
      <c r="I14" s="12">
        <f>SUM(Apr!I14, May!I14, Jun!I14)</f>
        <v>-31019.75</v>
      </c>
      <c r="J14" s="13">
        <f t="shared" si="2"/>
        <v>-0.34805940171899197</v>
      </c>
    </row>
    <row r="15" spans="1:10" ht="15.6">
      <c r="A15" s="26" t="str">
        <v>Globe Gila CC</v>
      </c>
      <c r="B15" s="27" t="str">
        <v>AZ</v>
      </c>
      <c r="C15" s="27" t="str">
        <f>Sites[[#This Row],[SOL'#]]</f>
        <v>SOL-10755</v>
      </c>
      <c r="D15" s="9">
        <f>SUM(Apr!D15, May!D15, Jun!D15)</f>
        <v>61929.894095695199</v>
      </c>
      <c r="E15" s="14">
        <f>SUM(Apr!E15, May!E15, Jun!E15)</f>
        <v>0</v>
      </c>
      <c r="F15" s="14">
        <f t="shared" si="0"/>
        <v>61929.894095695199</v>
      </c>
      <c r="G15" s="15" t="str">
        <f t="shared" si="1"/>
        <v/>
      </c>
      <c r="H15" s="16">
        <f>SUM(Apr!H15, May!H15, Jun!H15)</f>
        <v>60212</v>
      </c>
      <c r="I15" s="16">
        <f>SUM(Apr!I15, May!I15, Jun!I15)</f>
        <v>1717.8940956951992</v>
      </c>
      <c r="J15" s="15">
        <f t="shared" si="2"/>
        <v>2.8530759577745288E-2</v>
      </c>
    </row>
    <row r="16" spans="1:10" ht="15.6">
      <c r="A16" s="24" t="str">
        <v>Payson Gila CC</v>
      </c>
      <c r="B16" s="25" t="str">
        <v>AZ</v>
      </c>
      <c r="C16" s="25" t="str">
        <f>Sites[[#This Row],[SOL'#]]</f>
        <v>SOL-10756</v>
      </c>
      <c r="D16" s="20">
        <f>SUM(Apr!D16, May!D16, Jun!D16)</f>
        <v>45065.3181728372</v>
      </c>
      <c r="E16" s="10">
        <f>SUM(Apr!E16, May!E16, Jun!E16)</f>
        <v>21567.223999999998</v>
      </c>
      <c r="F16" s="10">
        <f t="shared" ref="F16:F17" si="3">IF(AND(ISNUMBER(D16),ISNUMBER(E16)), D16-E16, "")</f>
        <v>23498.094172837202</v>
      </c>
      <c r="G16" s="11">
        <f t="shared" ref="G16:G17" si="4">IFERROR(F16/E16, "")</f>
        <v>1.08952798806361</v>
      </c>
      <c r="H16" s="12">
        <f>SUM(Apr!H16, May!H16, Jun!H16)</f>
        <v>46661</v>
      </c>
      <c r="I16" s="12">
        <f>SUM(Apr!I16, May!I16, Jun!I16)</f>
        <v>-1595.6818271627999</v>
      </c>
      <c r="J16" s="13">
        <f t="shared" ref="J16:J17" si="5">IFERROR(I16/H16, "")</f>
        <v>-3.4197334544111779E-2</v>
      </c>
    </row>
    <row r="17" spans="1:10" ht="15.6">
      <c r="A17" s="26" t="str">
        <v>SCNM</v>
      </c>
      <c r="B17" s="27" t="str">
        <v>AZ</v>
      </c>
      <c r="C17" s="27" t="str">
        <f>Sites[[#This Row],[SOL'#]]</f>
        <v>SOL-10760</v>
      </c>
      <c r="D17" s="9">
        <f>SUM(Apr!D17, May!D17, Jun!D17)</f>
        <v>240207.25</v>
      </c>
      <c r="E17" s="14">
        <f>SUM(Apr!E17, May!E17, Jun!E17)</f>
        <v>160108.51999999999</v>
      </c>
      <c r="F17" s="14">
        <f t="shared" si="3"/>
        <v>80098.73000000001</v>
      </c>
      <c r="G17" s="15">
        <f t="shared" si="4"/>
        <v>0.50027774911666167</v>
      </c>
      <c r="H17" s="16">
        <f>SUM(Apr!H17, May!H17, Jun!H17)</f>
        <v>283286</v>
      </c>
      <c r="I17" s="16">
        <f>SUM(Apr!I17, May!I17, Jun!I17)</f>
        <v>-43078.75</v>
      </c>
      <c r="J17" s="15">
        <f t="shared" si="5"/>
        <v>-0.15206805136858156</v>
      </c>
    </row>
    <row r="18" spans="1:10" ht="12.75" customHeight="1">
      <c r="A18" s="24" t="str">
        <v>Sequoia Charter School</v>
      </c>
      <c r="B18" s="25" t="str">
        <v>AZ</v>
      </c>
      <c r="C18" s="25" t="str">
        <f>Sites[[#This Row],[SOL'#]]</f>
        <v>SOL-10759</v>
      </c>
      <c r="D18" s="60">
        <f>SUM(Apr!D18, May!D18, Jun!D18)</f>
        <v>103452.35000000041</v>
      </c>
      <c r="E18" s="10">
        <f>SUM(Apr!E18, May!E18, Jun!E18)</f>
        <v>0</v>
      </c>
      <c r="F18" s="10">
        <f t="shared" ref="F18:F49" si="6">IF(AND(ISNUMBER(D18),ISNUMBER(E18)), D18-E18, "")</f>
        <v>103452.35000000041</v>
      </c>
      <c r="G18" s="61" t="str">
        <f t="shared" ref="G18:G49" si="7">IFERROR(F18/E18, "")</f>
        <v/>
      </c>
      <c r="H18" s="12">
        <f>SUM(Apr!H18, May!H18, Jun!H18)</f>
        <v>165984</v>
      </c>
      <c r="I18" s="12">
        <f>SUM(Apr!I18, May!I18, Jun!I18)</f>
        <v>-62531.649999999594</v>
      </c>
      <c r="J18" s="13">
        <f t="shared" ref="J18:J81" si="8">IFERROR(I18/H18, "")</f>
        <v>-0.37673299836128538</v>
      </c>
    </row>
    <row r="19" spans="1:10" ht="15.6">
      <c r="A19" s="26" t="str">
        <v>RCAB</v>
      </c>
      <c r="B19" s="27" t="str">
        <v>MA</v>
      </c>
      <c r="C19" s="27" t="str">
        <f>Sites[[#This Row],[SOL'#]]</f>
        <v>SOL-10838</v>
      </c>
      <c r="D19" s="9">
        <f>SUM(Apr!D19, May!D19, Jun!D19)</f>
        <v>381475</v>
      </c>
      <c r="E19" s="14">
        <f>SUM(Apr!E19, May!E19, Jun!E19)</f>
        <v>450315.1</v>
      </c>
      <c r="F19" s="14">
        <f t="shared" si="6"/>
        <v>-68840.099999999977</v>
      </c>
      <c r="G19" s="15">
        <f t="shared" si="7"/>
        <v>-0.15287095635922487</v>
      </c>
      <c r="H19" s="16">
        <f>SUM(Apr!H19, May!H19, Jun!H19)</f>
        <v>405515.6</v>
      </c>
      <c r="I19" s="16">
        <f>SUM(Apr!I19, May!I19, Jun!I19)</f>
        <v>-24040.600000000006</v>
      </c>
      <c r="J19" s="15">
        <f t="shared" si="8"/>
        <v>-5.928403247618589E-2</v>
      </c>
    </row>
    <row r="20" spans="1:10" ht="15.6">
      <c r="A20" s="24" t="str">
        <v>Spectro Coatings</v>
      </c>
      <c r="B20" s="25" t="str">
        <v>MA</v>
      </c>
      <c r="C20" s="25" t="str">
        <f>Sites[[#This Row],[SOL'#]]</f>
        <v>SOL-10074</v>
      </c>
      <c r="D20" s="60">
        <f>SUM(Apr!D20, May!D20, Jun!D20)</f>
        <v>70409.125</v>
      </c>
      <c r="E20" s="10">
        <f>SUM(Apr!E20, May!E20, Jun!E20)</f>
        <v>102060.77799999999</v>
      </c>
      <c r="F20" s="10">
        <f t="shared" si="6"/>
        <v>-31651.652999999991</v>
      </c>
      <c r="G20" s="61">
        <f t="shared" si="7"/>
        <v>-0.31012553127901882</v>
      </c>
      <c r="H20" s="12">
        <f>SUM(Apr!H20, May!H20, Jun!H20)</f>
        <v>106049.15</v>
      </c>
      <c r="I20" s="12">
        <f>SUM(Apr!I20, May!I20, Jun!I20)</f>
        <v>-35640.025000000001</v>
      </c>
      <c r="J20" s="13">
        <f t="shared" si="8"/>
        <v>-0.33607082187834608</v>
      </c>
    </row>
    <row r="21" spans="1:10" ht="15.6">
      <c r="A21" s="26" t="str">
        <v>K026</v>
      </c>
      <c r="B21" s="27" t="str">
        <v>NY</v>
      </c>
      <c r="C21" s="27" t="str">
        <f>Sites[[#This Row],[SOL'#]]</f>
        <v>SOL-10356</v>
      </c>
      <c r="D21" s="9">
        <f>SUM(Apr!D21, May!D21, Jun!D21)</f>
        <v>68306.500000000204</v>
      </c>
      <c r="E21" s="14">
        <f>SUM(Apr!E21, May!E21, Jun!E21)</f>
        <v>106688.98999999999</v>
      </c>
      <c r="F21" s="14">
        <f t="shared" si="6"/>
        <v>-38382.489999999787</v>
      </c>
      <c r="G21" s="15">
        <f t="shared" si="7"/>
        <v>-0.35976055261184675</v>
      </c>
      <c r="H21" s="16">
        <f>SUM(Apr!H21, May!H21, Jun!H21)</f>
        <v>111665.88</v>
      </c>
      <c r="I21" s="16">
        <f>SUM(Apr!I21, May!I21, Jun!I21)</f>
        <v>-43359.379999999801</v>
      </c>
      <c r="J21" s="15">
        <f t="shared" si="8"/>
        <v>-0.38829569068008779</v>
      </c>
    </row>
    <row r="22" spans="1:10" ht="15.6">
      <c r="A22" s="24" t="str">
        <v>K041</v>
      </c>
      <c r="B22" s="25" t="str">
        <v>NY</v>
      </c>
      <c r="C22" s="25" t="str">
        <f>Sites[[#This Row],[SOL'#]]</f>
        <v>SOL-10357</v>
      </c>
      <c r="D22" s="60">
        <f>SUM(Apr!D22, May!D22, Jun!D22)</f>
        <v>75953.40625</v>
      </c>
      <c r="E22" s="10">
        <f>SUM(Apr!E22, May!E22, Jun!E22)</f>
        <v>86786.34</v>
      </c>
      <c r="F22" s="10">
        <f t="shared" si="6"/>
        <v>-10832.933749999997</v>
      </c>
      <c r="G22" s="61">
        <f t="shared" si="7"/>
        <v>-0.12482302802491725</v>
      </c>
      <c r="H22" s="12">
        <f>SUM(Apr!H22, May!H22, Jun!H22)</f>
        <v>88785</v>
      </c>
      <c r="I22" s="12">
        <f>SUM(Apr!I22, May!I22, Jun!I22)</f>
        <v>-12831.59375</v>
      </c>
      <c r="J22" s="13">
        <f t="shared" si="8"/>
        <v>-0.14452434251281185</v>
      </c>
    </row>
    <row r="23" spans="1:10" ht="15.6">
      <c r="A23" s="26" t="str">
        <v>K043</v>
      </c>
      <c r="B23" s="27" t="str">
        <v>NY</v>
      </c>
      <c r="C23" s="27" t="str">
        <f>Sites[[#This Row],[SOL'#]]</f>
        <v>SOL-10358</v>
      </c>
      <c r="D23" s="9">
        <f>SUM(Apr!D23, May!D23, Jun!D23)</f>
        <v>92752.250499999995</v>
      </c>
      <c r="E23" s="14">
        <f>SUM(Apr!E23, May!E23, Jun!E23)</f>
        <v>95284.616999999998</v>
      </c>
      <c r="F23" s="14">
        <f t="shared" si="6"/>
        <v>-2532.3665000000037</v>
      </c>
      <c r="G23" s="15">
        <f t="shared" si="7"/>
        <v>-2.657686602235074E-2</v>
      </c>
      <c r="H23" s="16">
        <f>SUM(Apr!H23, May!H23, Jun!H23)</f>
        <v>19497.39</v>
      </c>
      <c r="I23" s="16">
        <f>SUM(Apr!I23, May!I23, Jun!I23)</f>
        <v>73254.860499999995</v>
      </c>
      <c r="J23" s="15">
        <f t="shared" si="8"/>
        <v>3.7571623945563997</v>
      </c>
    </row>
    <row r="24" spans="1:10" ht="15.6">
      <c r="A24" s="24" t="str">
        <v>K058</v>
      </c>
      <c r="B24" s="25" t="str">
        <v>NY</v>
      </c>
      <c r="C24" s="25" t="str">
        <f>Sites[[#This Row],[SOL'#]]</f>
        <v>SOL-10360</v>
      </c>
      <c r="D24" s="60">
        <f>SUM(Apr!D24, May!D24, Jun!D24)</f>
        <v>0</v>
      </c>
      <c r="E24" s="10">
        <f>SUM(Apr!E24, May!E24, Jun!E24)</f>
        <v>0</v>
      </c>
      <c r="F24" s="10">
        <f t="shared" si="6"/>
        <v>0</v>
      </c>
      <c r="G24" s="61" t="str">
        <f t="shared" si="7"/>
        <v/>
      </c>
      <c r="H24" s="12">
        <f>SUM(Apr!H24, May!H24, Jun!H24)</f>
        <v>59563</v>
      </c>
      <c r="I24" s="12">
        <f>SUM(Apr!I24, May!I24, Jun!I24)</f>
        <v>-59563</v>
      </c>
      <c r="J24" s="13">
        <f t="shared" si="8"/>
        <v>-1</v>
      </c>
    </row>
    <row r="25" spans="1:10" ht="15.6">
      <c r="A25" s="26" t="str">
        <v>K115</v>
      </c>
      <c r="B25" s="27" t="str">
        <v>NY</v>
      </c>
      <c r="C25" s="27" t="str">
        <f>Sites[[#This Row],[SOL'#]]</f>
        <v>SOL-10361</v>
      </c>
      <c r="D25" s="9">
        <f>SUM(Apr!D25, May!D25, Jun!D25)</f>
        <v>17549.203125</v>
      </c>
      <c r="E25" s="14">
        <f>SUM(Apr!E25, May!E25, Jun!E25)</f>
        <v>33770.050000000003</v>
      </c>
      <c r="F25" s="14">
        <f t="shared" si="6"/>
        <v>-16220.846875000003</v>
      </c>
      <c r="G25" s="15">
        <f t="shared" si="7"/>
        <v>-0.48033233219968585</v>
      </c>
      <c r="H25" s="16">
        <f>SUM(Apr!H25, May!H25, Jun!H25)</f>
        <v>50850.149999999994</v>
      </c>
      <c r="I25" s="16">
        <f>SUM(Apr!I25, May!I25, Jun!I25)</f>
        <v>-33300.946874999994</v>
      </c>
      <c r="J25" s="15">
        <f t="shared" si="8"/>
        <v>-0.65488394577007147</v>
      </c>
    </row>
    <row r="26" spans="1:10" ht="15.6">
      <c r="A26" s="24" t="str">
        <v>K152</v>
      </c>
      <c r="B26" s="25" t="str">
        <v>NY</v>
      </c>
      <c r="C26" s="25" t="str">
        <f>Sites[[#This Row],[SOL'#]]</f>
        <v>SOL-10362</v>
      </c>
      <c r="D26" s="60">
        <f>SUM(Apr!D26, May!D26, Jun!D26)</f>
        <v>27928.25</v>
      </c>
      <c r="E26" s="10">
        <f>SUM(Apr!E26, May!E26, Jun!E26)</f>
        <v>29089.714</v>
      </c>
      <c r="F26" s="10">
        <f t="shared" si="6"/>
        <v>-1161.4639999999999</v>
      </c>
      <c r="G26" s="61">
        <f t="shared" si="7"/>
        <v>-3.9926965249641157E-2</v>
      </c>
      <c r="H26" s="12">
        <f>SUM(Apr!H26, May!H26, Jun!H26)</f>
        <v>32067</v>
      </c>
      <c r="I26" s="12">
        <f>SUM(Apr!I26, May!I26, Jun!I26)</f>
        <v>-4138.75</v>
      </c>
      <c r="J26" s="13">
        <f t="shared" si="8"/>
        <v>-0.12906570617769045</v>
      </c>
    </row>
    <row r="27" spans="1:10" ht="15.6">
      <c r="A27" s="26" t="str">
        <v>K166</v>
      </c>
      <c r="B27" s="27" t="str">
        <v>NY</v>
      </c>
      <c r="C27" s="27" t="str">
        <f>Sites[[#This Row],[SOL'#]]</f>
        <v>SOL-10363</v>
      </c>
      <c r="D27" s="9">
        <f>SUM(Apr!D27, May!D27, Jun!D27)</f>
        <v>102875.5</v>
      </c>
      <c r="E27" s="14">
        <f>SUM(Apr!E27, May!E27, Jun!E27)</f>
        <v>110758.06999999999</v>
      </c>
      <c r="F27" s="14">
        <f t="shared" si="6"/>
        <v>-7882.5699999999924</v>
      </c>
      <c r="G27" s="15">
        <f t="shared" si="7"/>
        <v>-7.116926107506201E-2</v>
      </c>
      <c r="H27" s="16">
        <f>SUM(Apr!H27, May!H27, Jun!H27)</f>
        <v>117571.05</v>
      </c>
      <c r="I27" s="16">
        <f>SUM(Apr!I27, May!I27, Jun!I27)</f>
        <v>-14695.550000000003</v>
      </c>
      <c r="J27" s="15">
        <f t="shared" si="8"/>
        <v>-0.12499292980712516</v>
      </c>
    </row>
    <row r="28" spans="1:10" ht="15.6">
      <c r="A28" s="24" t="str">
        <v>K206</v>
      </c>
      <c r="B28" s="25" t="str">
        <v>NY</v>
      </c>
      <c r="C28" s="25" t="str">
        <f>Sites[[#This Row],[SOL'#]]</f>
        <v>SOL-10927</v>
      </c>
      <c r="D28" s="60">
        <f>SUM(Apr!D28, May!D28, Jun!D28)</f>
        <v>60686.78125</v>
      </c>
      <c r="E28" s="10">
        <f>SUM(Apr!E28, May!E28, Jun!E28)</f>
        <v>58984.7</v>
      </c>
      <c r="F28" s="10">
        <f t="shared" si="6"/>
        <v>1702.0812500000029</v>
      </c>
      <c r="G28" s="61">
        <f t="shared" si="7"/>
        <v>2.8856317824791904E-2</v>
      </c>
      <c r="H28" s="12">
        <f>SUM(Apr!H28, May!H28, Jun!H28)</f>
        <v>65939</v>
      </c>
      <c r="I28" s="12">
        <f>SUM(Apr!I28, May!I28, Jun!I28)</f>
        <v>-5252.21875</v>
      </c>
      <c r="J28" s="13">
        <f t="shared" si="8"/>
        <v>-7.9652690365337661E-2</v>
      </c>
    </row>
    <row r="29" spans="1:10" ht="15.6">
      <c r="A29" s="26" t="str">
        <v>K251</v>
      </c>
      <c r="B29" s="27" t="str">
        <v>NY</v>
      </c>
      <c r="C29" s="27" t="str">
        <f>Sites[[#This Row],[SOL'#]]</f>
        <v>SOL-10365</v>
      </c>
      <c r="D29" s="9">
        <f>SUM(Apr!D29, May!D29, Jun!D29)</f>
        <v>55076</v>
      </c>
      <c r="E29" s="14">
        <f>SUM(Apr!E29, May!E29, Jun!E29)</f>
        <v>0</v>
      </c>
      <c r="F29" s="14">
        <f t="shared" si="6"/>
        <v>55076</v>
      </c>
      <c r="G29" s="15" t="str">
        <f t="shared" si="7"/>
        <v/>
      </c>
      <c r="H29" s="16">
        <f>SUM(Apr!H29, May!H29, Jun!H29)</f>
        <v>74161.86</v>
      </c>
      <c r="I29" s="16">
        <f>SUM(Apr!I29, May!I29, Jun!I29)</f>
        <v>-19085.86</v>
      </c>
      <c r="J29" s="15">
        <f t="shared" si="8"/>
        <v>-0.25735411706232825</v>
      </c>
    </row>
    <row r="30" spans="1:10" ht="15.6">
      <c r="A30" s="24" t="str">
        <v>K269</v>
      </c>
      <c r="B30" s="25" t="str">
        <v>NY</v>
      </c>
      <c r="C30" s="25" t="str">
        <f>Sites[[#This Row],[SOL'#]]</f>
        <v>SOL-10366</v>
      </c>
      <c r="D30" s="60">
        <f>SUM(Apr!D30, May!D30, Jun!D30)</f>
        <v>60935.25</v>
      </c>
      <c r="E30" s="10">
        <f>SUM(Apr!E30, May!E30, Jun!E30)</f>
        <v>70904.83</v>
      </c>
      <c r="F30" s="10">
        <f t="shared" si="6"/>
        <v>-9969.5800000000017</v>
      </c>
      <c r="G30" s="61">
        <f t="shared" si="7"/>
        <v>-0.14060508994944351</v>
      </c>
      <c r="H30" s="12">
        <f>SUM(Apr!H30, May!H30, Jun!H30)</f>
        <v>69988.55</v>
      </c>
      <c r="I30" s="12">
        <f>SUM(Apr!I30, May!I30, Jun!I30)</f>
        <v>-9053.2999999999993</v>
      </c>
      <c r="J30" s="13">
        <f t="shared" si="8"/>
        <v>-0.1293540157640071</v>
      </c>
    </row>
    <row r="31" spans="1:10" ht="15.6">
      <c r="A31" s="26" t="str">
        <v>K273</v>
      </c>
      <c r="B31" s="27" t="str">
        <v>NY</v>
      </c>
      <c r="C31" s="27" t="str">
        <f>Sites[[#This Row],[SOL'#]]</f>
        <v>SOL-10367</v>
      </c>
      <c r="D31" s="9">
        <f>SUM(Apr!D31, May!D31, Jun!D31)</f>
        <v>62937.1875</v>
      </c>
      <c r="E31" s="14">
        <f>SUM(Apr!E31, May!E31, Jun!E31)</f>
        <v>0</v>
      </c>
      <c r="F31" s="14">
        <f t="shared" si="6"/>
        <v>62937.1875</v>
      </c>
      <c r="G31" s="15" t="str">
        <f t="shared" si="7"/>
        <v/>
      </c>
      <c r="H31" s="16">
        <f>SUM(Apr!H31, May!H31, Jun!H31)</f>
        <v>89807</v>
      </c>
      <c r="I31" s="16">
        <f>SUM(Apr!I31, May!I31, Jun!I31)</f>
        <v>-26869.8125</v>
      </c>
      <c r="J31" s="15">
        <f t="shared" si="8"/>
        <v>-0.29919507944814994</v>
      </c>
    </row>
    <row r="32" spans="1:10" ht="15.6">
      <c r="A32" s="24" t="str">
        <v>K287</v>
      </c>
      <c r="B32" s="25" t="str">
        <v>NY</v>
      </c>
      <c r="C32" s="25" t="str">
        <f>Sites[[#This Row],[SOL'#]]</f>
        <v>SOL-10919</v>
      </c>
      <c r="D32" s="60">
        <f>SUM(Apr!D32, May!D32, Jun!D32)</f>
        <v>52962.8125</v>
      </c>
      <c r="E32" s="10">
        <f>SUM(Apr!E32, May!E32, Jun!E32)</f>
        <v>46110.94</v>
      </c>
      <c r="F32" s="10">
        <f t="shared" si="6"/>
        <v>6851.8724999999977</v>
      </c>
      <c r="G32" s="61">
        <f t="shared" si="7"/>
        <v>0.14859537671537379</v>
      </c>
      <c r="H32" s="12">
        <f>SUM(Apr!H32, May!H32, Jun!H32)</f>
        <v>61335</v>
      </c>
      <c r="I32" s="12">
        <f>SUM(Apr!I32, May!I32, Jun!I32)</f>
        <v>-8372.1875</v>
      </c>
      <c r="J32" s="13">
        <f t="shared" si="8"/>
        <v>-0.1364993478438086</v>
      </c>
    </row>
    <row r="33" spans="1:10" ht="15.6">
      <c r="A33" s="26" t="str">
        <v>K298</v>
      </c>
      <c r="B33" s="27" t="str">
        <v>NY</v>
      </c>
      <c r="C33" s="27" t="str">
        <f>Sites[[#This Row],[SOL'#]]</f>
        <v>SOL-10368</v>
      </c>
      <c r="D33" s="9">
        <f>SUM(Apr!D33, May!D33, Jun!D33)</f>
        <v>57863.90625</v>
      </c>
      <c r="E33" s="14">
        <f>SUM(Apr!E33, May!E33, Jun!E33)</f>
        <v>60971.710000000006</v>
      </c>
      <c r="F33" s="14">
        <f t="shared" si="6"/>
        <v>-3107.8037500000064</v>
      </c>
      <c r="G33" s="15">
        <f t="shared" si="7"/>
        <v>-5.0971241416716148E-2</v>
      </c>
      <c r="H33" s="16">
        <f>SUM(Apr!H33, May!H33, Jun!H33)</f>
        <v>70465</v>
      </c>
      <c r="I33" s="16">
        <f>SUM(Apr!I33, May!I33, Jun!I33)</f>
        <v>-12601.09375</v>
      </c>
      <c r="J33" s="15">
        <f t="shared" si="8"/>
        <v>-0.17882769814801674</v>
      </c>
    </row>
    <row r="34" spans="1:10" ht="15.6">
      <c r="A34" s="24" t="str">
        <v>K335</v>
      </c>
      <c r="B34" s="25" t="str">
        <v>NY</v>
      </c>
      <c r="C34" s="25" t="str">
        <f>Sites[[#This Row],[SOL'#]]</f>
        <v>SOL-10370</v>
      </c>
      <c r="D34" s="60">
        <f>SUM(Apr!D34, May!D34, Jun!D34)</f>
        <v>60065.625</v>
      </c>
      <c r="E34" s="10">
        <f>SUM(Apr!E34, May!E34, Jun!E34)</f>
        <v>67653.73000000001</v>
      </c>
      <c r="F34" s="10">
        <f t="shared" si="6"/>
        <v>-7588.1050000000105</v>
      </c>
      <c r="G34" s="61">
        <f t="shared" si="7"/>
        <v>-0.11216092593859953</v>
      </c>
      <c r="H34" s="12">
        <f>SUM(Apr!H34, May!H34, Jun!H34)</f>
        <v>74490</v>
      </c>
      <c r="I34" s="12">
        <f>SUM(Apr!I34, May!I34, Jun!I34)</f>
        <v>-14424.375</v>
      </c>
      <c r="J34" s="13">
        <f t="shared" si="8"/>
        <v>-0.19364176399516714</v>
      </c>
    </row>
    <row r="35" spans="1:10" ht="15.6">
      <c r="A35" s="26" t="str">
        <v>K345</v>
      </c>
      <c r="B35" s="27" t="str">
        <v>NY</v>
      </c>
      <c r="C35" s="27" t="str">
        <f>Sites[[#This Row],[SOL'#]]</f>
        <v>SOL-10920</v>
      </c>
      <c r="D35" s="9">
        <f>SUM(Apr!D35, May!D35, Jun!D35)</f>
        <v>70369.90625</v>
      </c>
      <c r="E35" s="14">
        <f>SUM(Apr!E35, May!E35, Jun!E35)</f>
        <v>41715.08</v>
      </c>
      <c r="F35" s="14">
        <f t="shared" si="6"/>
        <v>28654.826249999998</v>
      </c>
      <c r="G35" s="15">
        <f t="shared" si="7"/>
        <v>0.68691768660158381</v>
      </c>
      <c r="H35" s="16">
        <f>SUM(Apr!H35, May!H35, Jun!H35)</f>
        <v>81770</v>
      </c>
      <c r="I35" s="16">
        <f>SUM(Apr!I35, May!I35, Jun!I35)</f>
        <v>-11400.09375</v>
      </c>
      <c r="J35" s="15">
        <f t="shared" si="8"/>
        <v>-0.13941658004158003</v>
      </c>
    </row>
    <row r="36" spans="1:10" ht="15.6">
      <c r="A36" s="24" t="str">
        <v>K445</v>
      </c>
      <c r="B36" s="25" t="str">
        <v>NY</v>
      </c>
      <c r="C36" s="25" t="str">
        <f>Sites[[#This Row],[SOL'#]]</f>
        <v>SOL-10373</v>
      </c>
      <c r="D36" s="60">
        <f>SUM(Apr!D36, May!D36, Jun!D36)</f>
        <v>58022.09375</v>
      </c>
      <c r="E36" s="10">
        <f>SUM(Apr!E36, May!E36, Jun!E36)</f>
        <v>63169.62999999999</v>
      </c>
      <c r="F36" s="10">
        <f t="shared" si="6"/>
        <v>-5147.5362499999901</v>
      </c>
      <c r="G36" s="61">
        <f t="shared" si="7"/>
        <v>-8.148751623208797E-2</v>
      </c>
      <c r="H36" s="12">
        <f>SUM(Apr!H36, May!H36, Jun!H36)</f>
        <v>65662.47</v>
      </c>
      <c r="I36" s="12">
        <f>SUM(Apr!I36, May!I36, Jun!I36)</f>
        <v>-7640.3762500000012</v>
      </c>
      <c r="J36" s="13">
        <f t="shared" si="8"/>
        <v>-0.11635834366267368</v>
      </c>
    </row>
    <row r="37" spans="1:10" ht="15.6">
      <c r="A37" s="26" t="str">
        <v>K495</v>
      </c>
      <c r="B37" s="27" t="str">
        <v>NY</v>
      </c>
      <c r="C37" s="27" t="str">
        <f>Sites[[#This Row],[SOL'#]]</f>
        <v>SOL-10374</v>
      </c>
      <c r="D37" s="9">
        <f>SUM(Apr!D37, May!D37, Jun!D37)</f>
        <v>199709.375</v>
      </c>
      <c r="E37" s="14">
        <f>SUM(Apr!E37, May!E37, Jun!E37)</f>
        <v>242052.37999999998</v>
      </c>
      <c r="F37" s="14">
        <f t="shared" si="6"/>
        <v>-42343.004999999976</v>
      </c>
      <c r="G37" s="15">
        <f t="shared" si="7"/>
        <v>-0.17493323139396513</v>
      </c>
      <c r="H37" s="16">
        <f>SUM(Apr!H37, May!H37, Jun!H37)</f>
        <v>283857.73</v>
      </c>
      <c r="I37" s="16">
        <f>SUM(Apr!I37, May!I37, Jun!I37)</f>
        <v>-84148.35500000001</v>
      </c>
      <c r="J37" s="15">
        <f t="shared" si="8"/>
        <v>-0.29644552924452688</v>
      </c>
    </row>
    <row r="38" spans="1:10" ht="15.6">
      <c r="A38" s="24" t="str">
        <v>M020</v>
      </c>
      <c r="B38" s="25" t="str">
        <v>NY</v>
      </c>
      <c r="C38" s="25" t="str">
        <f>Sites[[#This Row],[SOL'#]]</f>
        <v>SOL-10380</v>
      </c>
      <c r="D38" s="60">
        <f>SUM(Apr!D38, May!D38, Jun!D38)</f>
        <v>59768.0625</v>
      </c>
      <c r="E38" s="10">
        <f>SUM(Apr!E38, May!E38, Jun!E38)</f>
        <v>66545.84</v>
      </c>
      <c r="F38" s="10">
        <f t="shared" si="6"/>
        <v>-6777.7774999999965</v>
      </c>
      <c r="G38" s="61">
        <f t="shared" si="7"/>
        <v>-0.10185125771949076</v>
      </c>
      <c r="H38" s="12">
        <f>SUM(Apr!H38, May!H38, Jun!H38)</f>
        <v>76609</v>
      </c>
      <c r="I38" s="12">
        <f>SUM(Apr!I38, May!I38, Jun!I38)</f>
        <v>-16840.9375</v>
      </c>
      <c r="J38" s="13">
        <f t="shared" si="8"/>
        <v>-0.21982975237896329</v>
      </c>
    </row>
    <row r="39" spans="1:10" ht="15.6">
      <c r="A39" s="26" t="str">
        <v>M092</v>
      </c>
      <c r="B39" s="27" t="str">
        <v>NY</v>
      </c>
      <c r="C39" s="27" t="str">
        <f>Sites[[#This Row],[SOL'#]]</f>
        <v>SOL-10383</v>
      </c>
      <c r="D39" s="9">
        <f>SUM(Apr!D39, May!D39, Jun!D39)</f>
        <v>62289.5</v>
      </c>
      <c r="E39" s="14">
        <f>SUM(Apr!E39, May!E39, Jun!E39)</f>
        <v>66272.36</v>
      </c>
      <c r="F39" s="14">
        <f t="shared" si="6"/>
        <v>-3982.8600000000006</v>
      </c>
      <c r="G39" s="15">
        <f t="shared" si="7"/>
        <v>-6.0098357746728809E-2</v>
      </c>
      <c r="H39" s="16">
        <f>SUM(Apr!H39, May!H39, Jun!H39)</f>
        <v>73474.2</v>
      </c>
      <c r="I39" s="16">
        <f>SUM(Apr!I39, May!I39, Jun!I39)</f>
        <v>-11184.699999999997</v>
      </c>
      <c r="J39" s="15">
        <f t="shared" si="8"/>
        <v>-0.15222622362679686</v>
      </c>
    </row>
    <row r="40" spans="1:10" ht="15.6">
      <c r="A40" s="24" t="str">
        <v>M143</v>
      </c>
      <c r="B40" s="25" t="str">
        <v>NY</v>
      </c>
      <c r="C40" s="25" t="str">
        <f>Sites[[#This Row],[SOL'#]]</f>
        <v>SOL-10384</v>
      </c>
      <c r="D40" s="60">
        <f>SUM(Apr!D40, May!D40, Jun!D40)</f>
        <v>69756.125</v>
      </c>
      <c r="E40" s="10">
        <f>SUM(Apr!E40, May!E40, Jun!E40)</f>
        <v>82860.539999999994</v>
      </c>
      <c r="F40" s="10">
        <f t="shared" si="6"/>
        <v>-13104.414999999994</v>
      </c>
      <c r="G40" s="61">
        <f t="shared" si="7"/>
        <v>-0.15815024859842808</v>
      </c>
      <c r="H40" s="12">
        <f>SUM(Apr!H40, May!H40, Jun!H40)</f>
        <v>81619.649999999994</v>
      </c>
      <c r="I40" s="12">
        <f>SUM(Apr!I40, May!I40, Jun!I40)</f>
        <v>-11863.525000000001</v>
      </c>
      <c r="J40" s="13">
        <f t="shared" si="8"/>
        <v>-0.14535133390059871</v>
      </c>
    </row>
    <row r="41" spans="1:10" ht="15.6">
      <c r="A41" s="26" t="str">
        <v>M144</v>
      </c>
      <c r="B41" s="27" t="str">
        <v>NY</v>
      </c>
      <c r="C41" s="27" t="str">
        <f>Sites[[#This Row],[SOL'#]]</f>
        <v>SOL-10385</v>
      </c>
      <c r="D41" s="9">
        <f>SUM(Apr!D41, May!D41, Jun!D41)</f>
        <v>102563.6875</v>
      </c>
      <c r="E41" s="14">
        <f>SUM(Apr!E41, May!E41, Jun!E41)</f>
        <v>76120.709999999992</v>
      </c>
      <c r="F41" s="14">
        <f t="shared" si="6"/>
        <v>26442.977500000008</v>
      </c>
      <c r="G41" s="15">
        <f t="shared" si="7"/>
        <v>0.34738217102809488</v>
      </c>
      <c r="H41" s="16">
        <f>SUM(Apr!H41, May!H41, Jun!H41)</f>
        <v>130868.28</v>
      </c>
      <c r="I41" s="16">
        <f>SUM(Apr!I41, May!I41, Jun!I41)</f>
        <v>-28304.592499999999</v>
      </c>
      <c r="J41" s="15">
        <f t="shared" si="8"/>
        <v>-0.21628306339779202</v>
      </c>
    </row>
    <row r="42" spans="1:10" ht="15.6">
      <c r="A42" s="24" t="str">
        <v>M167</v>
      </c>
      <c r="B42" s="25" t="str">
        <v>NY</v>
      </c>
      <c r="C42" s="25" t="str">
        <f>Sites[[#This Row],[SOL'#]]</f>
        <v>SOL-10386</v>
      </c>
      <c r="D42" s="60">
        <f>SUM(Apr!D42, May!D42, Jun!D42)</f>
        <v>78928.65625</v>
      </c>
      <c r="E42" s="10">
        <f>SUM(Apr!E42, May!E42, Jun!E42)</f>
        <v>58444.630000000005</v>
      </c>
      <c r="F42" s="10">
        <f t="shared" si="6"/>
        <v>20484.026249999995</v>
      </c>
      <c r="G42" s="61">
        <f t="shared" si="7"/>
        <v>0.3504860283998717</v>
      </c>
      <c r="H42" s="12">
        <f>SUM(Apr!H42, May!H42, Jun!H42)</f>
        <v>98966.459999999992</v>
      </c>
      <c r="I42" s="12">
        <f>SUM(Apr!I42, May!I42, Jun!I42)</f>
        <v>-20037.803749999999</v>
      </c>
      <c r="J42" s="13">
        <f t="shared" si="8"/>
        <v>-0.20247065268374762</v>
      </c>
    </row>
    <row r="43" spans="1:10" ht="15.6">
      <c r="A43" s="26" t="str">
        <v>M188</v>
      </c>
      <c r="B43" s="27" t="str">
        <v>NY</v>
      </c>
      <c r="C43" s="27" t="str">
        <f>Sites[[#This Row],[SOL'#]]</f>
        <v>SOL-10387</v>
      </c>
      <c r="D43" s="9">
        <f>SUM(Apr!D43, May!D43, Jun!D43)</f>
        <v>50565.6875</v>
      </c>
      <c r="E43" s="14">
        <f>SUM(Apr!E43, May!E43, Jun!E43)</f>
        <v>38334.36</v>
      </c>
      <c r="F43" s="14">
        <f t="shared" si="6"/>
        <v>12231.327499999999</v>
      </c>
      <c r="G43" s="15">
        <f t="shared" si="7"/>
        <v>0.31906956318039481</v>
      </c>
      <c r="H43" s="16">
        <f>SUM(Apr!H43, May!H43, Jun!H43)</f>
        <v>66835.290000000008</v>
      </c>
      <c r="I43" s="16">
        <f>SUM(Apr!I43, May!I43, Jun!I43)</f>
        <v>-16269.602500000001</v>
      </c>
      <c r="J43" s="15">
        <f t="shared" si="8"/>
        <v>-0.24342832207356321</v>
      </c>
    </row>
    <row r="44" spans="1:10" ht="15.6">
      <c r="A44" s="24" t="str">
        <v>EMHC</v>
      </c>
      <c r="B44" s="25" t="str">
        <v>NY</v>
      </c>
      <c r="C44" s="25" t="str">
        <f>Sites[[#This Row],[SOL'#]]</f>
        <v>SOL-10351</v>
      </c>
      <c r="D44" s="60">
        <f>SUM(Apr!D44, May!D44, Jun!D44)</f>
        <v>22106.234375</v>
      </c>
      <c r="E44" s="10">
        <f>SUM(Apr!E44, May!E44, Jun!E44)</f>
        <v>18603.371999999999</v>
      </c>
      <c r="F44" s="10">
        <f t="shared" si="6"/>
        <v>3502.8623750000006</v>
      </c>
      <c r="G44" s="61">
        <f t="shared" si="7"/>
        <v>0.18829179865886683</v>
      </c>
      <c r="H44" s="12">
        <f>SUM(Apr!H44, May!H44, Jun!H44)</f>
        <v>32533.418999999998</v>
      </c>
      <c r="I44" s="12">
        <f>SUM(Apr!I44, May!I44, Jun!I44)</f>
        <v>-10427.184625</v>
      </c>
      <c r="J44" s="13">
        <f t="shared" si="8"/>
        <v>-0.32050688017143236</v>
      </c>
    </row>
    <row r="45" spans="1:10" ht="15.6">
      <c r="A45" s="26" t="str">
        <v>Q008</v>
      </c>
      <c r="B45" s="27" t="str">
        <v>NY</v>
      </c>
      <c r="C45" s="27" t="str">
        <f>Sites[[#This Row],[SOL'#]]</f>
        <v>SOL-10397</v>
      </c>
      <c r="D45" s="9">
        <f>SUM(Apr!D45, May!D45, Jun!D45)</f>
        <v>0</v>
      </c>
      <c r="E45" s="14">
        <f>SUM(Apr!E45, May!E45, Jun!E45)</f>
        <v>0</v>
      </c>
      <c r="F45" s="14">
        <f t="shared" si="6"/>
        <v>0</v>
      </c>
      <c r="G45" s="15" t="str">
        <f t="shared" si="7"/>
        <v/>
      </c>
      <c r="H45" s="16">
        <f>SUM(Apr!H45, May!H45, Jun!H45)</f>
        <v>69512</v>
      </c>
      <c r="I45" s="16">
        <f>SUM(Apr!I45, May!I45, Jun!I45)</f>
        <v>-69512</v>
      </c>
      <c r="J45" s="15">
        <f t="shared" si="8"/>
        <v>-1</v>
      </c>
    </row>
    <row r="46" spans="1:10" ht="15.6">
      <c r="A46" s="24" t="str">
        <v>Q018</v>
      </c>
      <c r="B46" s="25" t="str">
        <v>NY</v>
      </c>
      <c r="C46" s="25" t="str">
        <f>Sites[[#This Row],[SOL'#]]</f>
        <v>SOL-10398</v>
      </c>
      <c r="D46" s="60">
        <f>SUM(Apr!D46, May!D46, Jun!D46)</f>
        <v>56453.3125</v>
      </c>
      <c r="E46" s="10">
        <f>SUM(Apr!E46, May!E46, Jun!E46)</f>
        <v>58714.729999999996</v>
      </c>
      <c r="F46" s="10">
        <f t="shared" si="6"/>
        <v>-2261.4174999999959</v>
      </c>
      <c r="G46" s="61">
        <f t="shared" si="7"/>
        <v>-3.8515335078607979E-2</v>
      </c>
      <c r="H46" s="12">
        <f>SUM(Apr!H46, May!H46, Jun!H46)</f>
        <v>58393.53</v>
      </c>
      <c r="I46" s="12">
        <f>SUM(Apr!I46, May!I46, Jun!I46)</f>
        <v>-1940.2174999999988</v>
      </c>
      <c r="J46" s="13">
        <f t="shared" si="8"/>
        <v>-3.3226583493068479E-2</v>
      </c>
    </row>
    <row r="47" spans="1:10" ht="15.6">
      <c r="A47" s="26" t="str">
        <v>Q021</v>
      </c>
      <c r="B47" s="27" t="str">
        <v>NY</v>
      </c>
      <c r="C47" s="27" t="str">
        <f>Sites[[#This Row],[SOL'#]]</f>
        <v>SOL-10399</v>
      </c>
      <c r="D47" s="9">
        <f>SUM(Apr!D47, May!D47, Jun!D47)</f>
        <v>45110.96875</v>
      </c>
      <c r="E47" s="14">
        <f>SUM(Apr!E47, May!E47, Jun!E47)</f>
        <v>43698.71</v>
      </c>
      <c r="F47" s="14">
        <f t="shared" si="6"/>
        <v>1412.2587500000009</v>
      </c>
      <c r="G47" s="15">
        <f t="shared" si="7"/>
        <v>3.2318087879482045E-2</v>
      </c>
      <c r="H47" s="16">
        <f>SUM(Apr!H47, May!H47, Jun!H47)</f>
        <v>48862.520000000004</v>
      </c>
      <c r="I47" s="16">
        <f>SUM(Apr!I47, May!I47, Jun!I47)</f>
        <v>-3751.5512500000023</v>
      </c>
      <c r="J47" s="15">
        <f t="shared" si="8"/>
        <v>-7.6777686660450623E-2</v>
      </c>
    </row>
    <row r="48" spans="1:10" ht="15.6">
      <c r="A48" s="24" t="str">
        <v>Q025</v>
      </c>
      <c r="B48" s="25" t="str">
        <v>NY</v>
      </c>
      <c r="C48" s="25" t="str">
        <f>Sites[[#This Row],[SOL'#]]</f>
        <v>SOL-10400</v>
      </c>
      <c r="D48" s="60">
        <f>SUM(Apr!D48, May!D48, Jun!D48)</f>
        <v>77637.8125</v>
      </c>
      <c r="E48" s="10">
        <f>SUM(Apr!E48, May!E48, Jun!E48)</f>
        <v>76800.78</v>
      </c>
      <c r="F48" s="10">
        <f t="shared" si="6"/>
        <v>837.03250000000116</v>
      </c>
      <c r="G48" s="61">
        <f t="shared" si="7"/>
        <v>1.0898749986653796E-2</v>
      </c>
      <c r="H48" s="12">
        <f>SUM(Apr!H48, May!H48, Jun!H48)</f>
        <v>43488</v>
      </c>
      <c r="I48" s="12">
        <f>SUM(Apr!I48, May!I48, Jun!I48)</f>
        <v>34149.8125</v>
      </c>
      <c r="J48" s="13">
        <f t="shared" si="8"/>
        <v>0.78526978706769679</v>
      </c>
    </row>
    <row r="49" spans="1:10" ht="15.6">
      <c r="A49" s="26" t="str">
        <v>Q074</v>
      </c>
      <c r="B49" s="27" t="str">
        <v>NY</v>
      </c>
      <c r="C49" s="27" t="str">
        <f>Sites[[#This Row],[SOL'#]]</f>
        <v>SOL-10402</v>
      </c>
      <c r="D49" s="9">
        <f>SUM(Apr!D49, May!D49, Jun!D49)</f>
        <v>50738.4375</v>
      </c>
      <c r="E49" s="14">
        <f>SUM(Apr!E49, May!E49, Jun!E49)</f>
        <v>50606.16</v>
      </c>
      <c r="F49" s="14">
        <f t="shared" si="6"/>
        <v>132.27749999999651</v>
      </c>
      <c r="G49" s="15">
        <f t="shared" si="7"/>
        <v>2.6138616326549279E-3</v>
      </c>
      <c r="H49" s="16">
        <f>SUM(Apr!H49, May!H49, Jun!H49)</f>
        <v>55523.360000000001</v>
      </c>
      <c r="I49" s="16">
        <f>SUM(Apr!I49, May!I49, Jun!I49)</f>
        <v>-4784.9225000000006</v>
      </c>
      <c r="J49" s="15">
        <f t="shared" si="8"/>
        <v>-8.6178547191668523E-2</v>
      </c>
    </row>
    <row r="50" spans="1:10" ht="15.6">
      <c r="A50" s="24" t="str">
        <v>Q115</v>
      </c>
      <c r="B50" s="25" t="str">
        <v>NY</v>
      </c>
      <c r="C50" s="25" t="str">
        <f>Sites[[#This Row],[SOL'#]]</f>
        <v>SOL-10872</v>
      </c>
      <c r="D50" s="60">
        <f>SUM(Apr!D50, May!D50, Jun!D50)</f>
        <v>64576.1875</v>
      </c>
      <c r="E50" s="10">
        <f>SUM(Apr!E50, May!E50, Jun!E50)</f>
        <v>68703.72</v>
      </c>
      <c r="F50" s="10">
        <f t="shared" ref="F50:F81" si="9">IF(AND(ISNUMBER(D50),ISNUMBER(E50)), D50-E50, "")</f>
        <v>-4127.5325000000012</v>
      </c>
      <c r="G50" s="61">
        <f t="shared" ref="G50:G81" si="10">IFERROR(F50/E50, "")</f>
        <v>-6.0077278202694137E-2</v>
      </c>
      <c r="H50" s="12">
        <f>SUM(Apr!H50, May!H50, Jun!H50)</f>
        <v>72812.27</v>
      </c>
      <c r="I50" s="12">
        <f>SUM(Apr!I50, May!I50, Jun!I50)</f>
        <v>-8236.0825000000004</v>
      </c>
      <c r="J50" s="13">
        <f t="shared" si="8"/>
        <v>-0.11311393670325071</v>
      </c>
    </row>
    <row r="51" spans="1:10" ht="15.6">
      <c r="A51" s="26" t="str">
        <v>Q139</v>
      </c>
      <c r="B51" s="27" t="str">
        <v>NY</v>
      </c>
      <c r="C51" s="27" t="str">
        <f>Sites[[#This Row],[SOL'#]]</f>
        <v>SOL-10403</v>
      </c>
      <c r="D51" s="9">
        <f>SUM(Apr!D51, May!D51, Jun!D51)</f>
        <v>39318.25</v>
      </c>
      <c r="E51" s="14">
        <f>SUM(Apr!E51, May!E51, Jun!E51)</f>
        <v>43483.78</v>
      </c>
      <c r="F51" s="14">
        <f t="shared" si="9"/>
        <v>-4165.5299999999988</v>
      </c>
      <c r="G51" s="15">
        <f t="shared" si="10"/>
        <v>-9.5795029778919835E-2</v>
      </c>
      <c r="H51" s="16">
        <f>SUM(Apr!H51, May!H51, Jun!H51)</f>
        <v>46846</v>
      </c>
      <c r="I51" s="16">
        <f>SUM(Apr!I51, May!I51, Jun!I51)</f>
        <v>-7527.75</v>
      </c>
      <c r="J51" s="15">
        <f t="shared" si="8"/>
        <v>-0.16069141442172225</v>
      </c>
    </row>
    <row r="52" spans="1:10" ht="15.6">
      <c r="A52" s="24" t="str">
        <v>Q157</v>
      </c>
      <c r="B52" s="25" t="str">
        <v>NY</v>
      </c>
      <c r="C52" s="25" t="str">
        <f>Sites[[#This Row],[SOL'#]]</f>
        <v>SOL-10404</v>
      </c>
      <c r="D52" s="60">
        <f>SUM(Apr!D52, May!D52, Jun!D52)</f>
        <v>69630.9375</v>
      </c>
      <c r="E52" s="10">
        <f>SUM(Apr!E52, May!E52, Jun!E52)</f>
        <v>74537.959999999992</v>
      </c>
      <c r="F52" s="10">
        <f t="shared" si="9"/>
        <v>-4907.0224999999919</v>
      </c>
      <c r="G52" s="61">
        <f t="shared" si="10"/>
        <v>-6.5832530163154351E-2</v>
      </c>
      <c r="H52" s="12">
        <f>SUM(Apr!H52, May!H52, Jun!H52)</f>
        <v>81748.459999999992</v>
      </c>
      <c r="I52" s="12">
        <f>SUM(Apr!I52, May!I52, Jun!I52)</f>
        <v>-12117.522499999999</v>
      </c>
      <c r="J52" s="13">
        <f t="shared" si="8"/>
        <v>-0.14822936725658195</v>
      </c>
    </row>
    <row r="53" spans="1:10" ht="15.6">
      <c r="A53" s="26" t="str">
        <v>Q192</v>
      </c>
      <c r="B53" s="27" t="str">
        <v>NY</v>
      </c>
      <c r="C53" s="27" t="str">
        <f>Sites[[#This Row],[SOL'#]]</f>
        <v>SOL-10406</v>
      </c>
      <c r="D53" s="9">
        <f>SUM(Apr!D53, May!D53, Jun!D53)</f>
        <v>107539.625</v>
      </c>
      <c r="E53" s="14">
        <f>SUM(Apr!E53, May!E53, Jun!E53)</f>
        <v>117429.03</v>
      </c>
      <c r="F53" s="14">
        <f t="shared" si="9"/>
        <v>-9889.4049999999988</v>
      </c>
      <c r="G53" s="15">
        <f t="shared" si="10"/>
        <v>-8.4216015409477527E-2</v>
      </c>
      <c r="H53" s="16">
        <f>SUM(Apr!H53, May!H53, Jun!H53)</f>
        <v>83222.399999999994</v>
      </c>
      <c r="I53" s="16">
        <f>SUM(Apr!I53, May!I53, Jun!I53)</f>
        <v>24317.224999999999</v>
      </c>
      <c r="J53" s="15">
        <f t="shared" si="8"/>
        <v>0.29219567087707154</v>
      </c>
    </row>
    <row r="54" spans="1:10" ht="15.6">
      <c r="A54" s="24" t="str">
        <v>Q210</v>
      </c>
      <c r="B54" s="25" t="str">
        <v>NY</v>
      </c>
      <c r="C54" s="25" t="str">
        <f>Sites[[#This Row],[SOL'#]]</f>
        <v>SOL-10407</v>
      </c>
      <c r="D54" s="60">
        <f>SUM(Apr!D54, May!D54, Jun!D54)</f>
        <v>86597.125</v>
      </c>
      <c r="E54" s="10">
        <f>SUM(Apr!E54, May!E54, Jun!E54)</f>
        <v>88930.450000000012</v>
      </c>
      <c r="F54" s="10">
        <f t="shared" si="9"/>
        <v>-2333.3250000000116</v>
      </c>
      <c r="G54" s="61">
        <f t="shared" si="10"/>
        <v>-2.6237638514142358E-2</v>
      </c>
      <c r="H54" s="12">
        <f>SUM(Apr!H54, May!H54, Jun!H54)</f>
        <v>100170</v>
      </c>
      <c r="I54" s="12">
        <f>SUM(Apr!I54, May!I54, Jun!I54)</f>
        <v>-13572.875</v>
      </c>
      <c r="J54" s="13">
        <f t="shared" si="8"/>
        <v>-0.13549840271538385</v>
      </c>
    </row>
    <row r="55" spans="1:10" ht="15.6">
      <c r="A55" s="26" t="str">
        <v>Q229</v>
      </c>
      <c r="B55" s="27" t="str">
        <v>NY</v>
      </c>
      <c r="C55" s="27" t="str">
        <f>Sites[[#This Row],[SOL'#]]</f>
        <v>SOL-10408</v>
      </c>
      <c r="D55" s="9">
        <f>SUM(Apr!D55, May!D55, Jun!D55)</f>
        <v>38305.3125</v>
      </c>
      <c r="E55" s="14">
        <f>SUM(Apr!E55, May!E55, Jun!E55)</f>
        <v>43180.66</v>
      </c>
      <c r="F55" s="14">
        <f t="shared" si="9"/>
        <v>-4875.3475000000035</v>
      </c>
      <c r="G55" s="15">
        <f t="shared" si="10"/>
        <v>-0.11290581246326488</v>
      </c>
      <c r="H55" s="16">
        <f>SUM(Apr!H55, May!H55, Jun!H55)</f>
        <v>43122.22</v>
      </c>
      <c r="I55" s="16">
        <f>SUM(Apr!I55, May!I55, Jun!I55)</f>
        <v>-4816.9075000000012</v>
      </c>
      <c r="J55" s="15">
        <f t="shared" si="8"/>
        <v>-0.11170360663249715</v>
      </c>
    </row>
    <row r="56" spans="1:10" ht="15.6">
      <c r="A56" s="24" t="str">
        <v>Q231</v>
      </c>
      <c r="B56" s="25" t="str">
        <v>NY</v>
      </c>
      <c r="C56" s="25" t="str">
        <f>Sites[[#This Row],[SOL'#]]</f>
        <v>SOL-10870</v>
      </c>
      <c r="D56" s="60">
        <f>SUM(Apr!D56, May!D56, Jun!D56)</f>
        <v>142266</v>
      </c>
      <c r="E56" s="10">
        <f>SUM(Apr!E56, May!E56, Jun!E56)</f>
        <v>149273.89000000001</v>
      </c>
      <c r="F56" s="10">
        <f t="shared" si="9"/>
        <v>-7007.890000000014</v>
      </c>
      <c r="G56" s="61">
        <f t="shared" si="10"/>
        <v>-4.6946522261863834E-2</v>
      </c>
      <c r="H56" s="12">
        <f>SUM(Apr!H56, May!H56, Jun!H56)</f>
        <v>164396</v>
      </c>
      <c r="I56" s="12">
        <f>SUM(Apr!I56, May!I56, Jun!I56)</f>
        <v>-22130</v>
      </c>
      <c r="J56" s="13">
        <f t="shared" si="8"/>
        <v>-0.1346139808754471</v>
      </c>
    </row>
    <row r="57" spans="1:10" ht="15.6">
      <c r="A57" s="26" t="str">
        <v>Q405</v>
      </c>
      <c r="B57" s="27" t="str">
        <v>NY</v>
      </c>
      <c r="C57" s="27" t="str">
        <f>Sites[[#This Row],[SOL'#]]</f>
        <v>SOL-10409</v>
      </c>
      <c r="D57" s="9">
        <f>SUM(Apr!D57, May!D57, Jun!D57)</f>
        <v>157165.25</v>
      </c>
      <c r="E57" s="14">
        <f>SUM(Apr!E57, May!E57, Jun!E57)</f>
        <v>179366.95</v>
      </c>
      <c r="F57" s="14">
        <f t="shared" si="9"/>
        <v>-22201.700000000012</v>
      </c>
      <c r="G57" s="15">
        <f t="shared" si="10"/>
        <v>-0.12377809847354827</v>
      </c>
      <c r="H57" s="16">
        <f>SUM(Apr!H57, May!H57, Jun!H57)</f>
        <v>179263.26</v>
      </c>
      <c r="I57" s="16">
        <f>SUM(Apr!I57, May!I57, Jun!I57)</f>
        <v>-22098.010000000002</v>
      </c>
      <c r="J57" s="15">
        <f t="shared" si="8"/>
        <v>-0.12327127153662162</v>
      </c>
    </row>
    <row r="58" spans="1:10" ht="15.6">
      <c r="A58" s="24" t="str">
        <v>Q435</v>
      </c>
      <c r="B58" s="25" t="str">
        <v>NY</v>
      </c>
      <c r="C58" s="25" t="str">
        <f>Sites[[#This Row],[SOL'#]]</f>
        <v>SOL-10923</v>
      </c>
      <c r="D58" s="60">
        <f>SUM(Apr!D58, May!D58, Jun!D58)</f>
        <v>194191.125</v>
      </c>
      <c r="E58" s="10">
        <f>SUM(Apr!E58, May!E58, Jun!E58)</f>
        <v>168797.9</v>
      </c>
      <c r="F58" s="10">
        <f t="shared" si="9"/>
        <v>25393.225000000006</v>
      </c>
      <c r="G58" s="61">
        <f t="shared" si="10"/>
        <v>0.15043566892716087</v>
      </c>
      <c r="H58" s="12">
        <f>SUM(Apr!H58, May!H58, Jun!H58)</f>
        <v>234476</v>
      </c>
      <c r="I58" s="12">
        <f>SUM(Apr!I58, May!I58, Jun!I58)</f>
        <v>-40284.875</v>
      </c>
      <c r="J58" s="13">
        <f t="shared" si="8"/>
        <v>-0.17180809549804671</v>
      </c>
    </row>
    <row r="59" spans="1:10" ht="15.6">
      <c r="A59" s="26" t="str">
        <v>Q485</v>
      </c>
      <c r="B59" s="27" t="str">
        <v>NY</v>
      </c>
      <c r="C59" s="27" t="str">
        <f>Sites[[#This Row],[SOL'#]]</f>
        <v>SOL-10869</v>
      </c>
      <c r="D59" s="9">
        <f>SUM(Apr!D59, May!D59, Jun!D59)</f>
        <v>190327.125</v>
      </c>
      <c r="E59" s="14">
        <f>SUM(Apr!E59, May!E59, Jun!E59)</f>
        <v>151661.1</v>
      </c>
      <c r="F59" s="14">
        <f t="shared" si="9"/>
        <v>38666.024999999994</v>
      </c>
      <c r="G59" s="15">
        <f t="shared" si="10"/>
        <v>0.25495018168798717</v>
      </c>
      <c r="H59" s="16">
        <f>SUM(Apr!H59, May!H59, Jun!H59)</f>
        <v>221354.92</v>
      </c>
      <c r="I59" s="16">
        <f>SUM(Apr!I59, May!I59, Jun!I59)</f>
        <v>-31027.795000000013</v>
      </c>
      <c r="J59" s="15">
        <f t="shared" si="8"/>
        <v>-0.14017214977647666</v>
      </c>
    </row>
    <row r="60" spans="1:10" ht="15.6">
      <c r="A60" s="24" t="str">
        <v>Q490</v>
      </c>
      <c r="B60" s="25" t="str">
        <v>NY</v>
      </c>
      <c r="C60" s="25" t="str">
        <f>Sites[[#This Row],[SOL'#]]</f>
        <v>SOL-10411</v>
      </c>
      <c r="D60" s="60">
        <f>SUM(Apr!D60, May!D60, Jun!D60)</f>
        <v>138378.9862500001</v>
      </c>
      <c r="E60" s="10">
        <f>SUM(Apr!E60, May!E60, Jun!E60)</f>
        <v>0</v>
      </c>
      <c r="F60" s="10">
        <f t="shared" si="9"/>
        <v>138378.9862500001</v>
      </c>
      <c r="G60" s="61" t="str">
        <f t="shared" si="10"/>
        <v/>
      </c>
      <c r="H60" s="12">
        <f>SUM(Apr!H60, May!H60, Jun!H60)</f>
        <v>155428.01</v>
      </c>
      <c r="I60" s="12">
        <f>SUM(Apr!I60, May!I60, Jun!I60)</f>
        <v>-17049.023749999898</v>
      </c>
      <c r="J60" s="13">
        <f t="shared" si="8"/>
        <v>-0.10969080637395986</v>
      </c>
    </row>
    <row r="61" spans="1:10" ht="15.6">
      <c r="A61" s="26" t="str">
        <v>Q620</v>
      </c>
      <c r="B61" s="27" t="str">
        <v>NY</v>
      </c>
      <c r="C61" s="27" t="str">
        <f>Sites[[#This Row],[SOL'#]]</f>
        <v>SOL-10867</v>
      </c>
      <c r="D61" s="9">
        <f>SUM(Apr!D61, May!D61, Jun!D61)</f>
        <v>209633.25</v>
      </c>
      <c r="E61" s="14">
        <f>SUM(Apr!E61, May!E61, Jun!E61)</f>
        <v>211811.96999999997</v>
      </c>
      <c r="F61" s="14">
        <f t="shared" si="9"/>
        <v>-2178.7199999999721</v>
      </c>
      <c r="G61" s="15">
        <f t="shared" si="10"/>
        <v>-1.0286104227253881E-2</v>
      </c>
      <c r="H61" s="16">
        <f>SUM(Apr!H61, May!H61, Jun!H61)</f>
        <v>232489.78</v>
      </c>
      <c r="I61" s="16">
        <f>SUM(Apr!I61, May!I61, Jun!I61)</f>
        <v>-22856.53</v>
      </c>
      <c r="J61" s="15">
        <f t="shared" si="8"/>
        <v>-9.8311977412512491E-2</v>
      </c>
    </row>
    <row r="62" spans="1:10" ht="15.6">
      <c r="A62" s="24" t="str">
        <v>QMOA</v>
      </c>
      <c r="B62" s="25" t="str">
        <v>NY</v>
      </c>
      <c r="C62" s="25" t="str">
        <f>Sites[[#This Row],[SOL'#]]</f>
        <v>SOL-10415</v>
      </c>
      <c r="D62" s="60">
        <f>SUM(Apr!D62, May!D62, Jun!D62)</f>
        <v>17694.400000000001</v>
      </c>
      <c r="E62" s="10">
        <f>SUM(Apr!E62, May!E62, Jun!E62)</f>
        <v>0</v>
      </c>
      <c r="F62" s="10">
        <f t="shared" si="9"/>
        <v>17694.400000000001</v>
      </c>
      <c r="G62" s="61" t="str">
        <f t="shared" si="10"/>
        <v/>
      </c>
      <c r="H62" s="12">
        <f>SUM(Apr!H62, May!H62, Jun!H62)</f>
        <v>20735.358</v>
      </c>
      <c r="I62" s="12">
        <f>SUM(Apr!I62, May!I62, Jun!I62)</f>
        <v>-3040.9579999999987</v>
      </c>
      <c r="J62" s="13">
        <f t="shared" si="8"/>
        <v>-0.14665567867215018</v>
      </c>
    </row>
    <row r="63" spans="1:10" ht="15.6">
      <c r="A63" s="26" t="str">
        <v>X024</v>
      </c>
      <c r="B63" s="27" t="str">
        <v>NY</v>
      </c>
      <c r="C63" s="27" t="str">
        <f>Sites[[#This Row],[SOL'#]]</f>
        <v>SOL-10419</v>
      </c>
      <c r="D63" s="9">
        <f>SUM(Apr!D63, May!D63, Jun!D63)</f>
        <v>78479</v>
      </c>
      <c r="E63" s="14">
        <f>SUM(Apr!E63, May!E63, Jun!E63)</f>
        <v>81024.990000000005</v>
      </c>
      <c r="F63" s="14">
        <f t="shared" si="9"/>
        <v>-2545.9900000000052</v>
      </c>
      <c r="G63" s="15">
        <f t="shared" si="10"/>
        <v>-3.1422280953073922E-2</v>
      </c>
      <c r="H63" s="16">
        <f>SUM(Apr!H63, May!H63, Jun!H63)</f>
        <v>83775</v>
      </c>
      <c r="I63" s="16">
        <f>SUM(Apr!I63, May!I63, Jun!I63)</f>
        <v>-5296</v>
      </c>
      <c r="J63" s="15">
        <f t="shared" si="8"/>
        <v>-6.3216950164130106E-2</v>
      </c>
    </row>
    <row r="64" spans="1:10" ht="15.6">
      <c r="A64" s="24" t="str">
        <v>X026</v>
      </c>
      <c r="B64" s="25" t="str">
        <v>NY</v>
      </c>
      <c r="C64" s="25" t="str">
        <f>Sites[[#This Row],[SOL'#]]</f>
        <v>SOL-10420</v>
      </c>
      <c r="D64" s="60">
        <f>SUM(Apr!D64, May!D64, Jun!D64)</f>
        <v>71029.3</v>
      </c>
      <c r="E64" s="10">
        <f>SUM(Apr!E64, May!E64, Jun!E64)</f>
        <v>65342.1</v>
      </c>
      <c r="F64" s="10">
        <f t="shared" si="9"/>
        <v>5687.2000000000044</v>
      </c>
      <c r="G64" s="61">
        <f t="shared" si="10"/>
        <v>8.7037300607112483E-2</v>
      </c>
      <c r="H64" s="12">
        <f>SUM(Apr!H64, May!H64, Jun!H64)</f>
        <v>110781.07699999999</v>
      </c>
      <c r="I64" s="12">
        <f>SUM(Apr!I64, May!I64, Jun!I64)</f>
        <v>-39751.776999999995</v>
      </c>
      <c r="J64" s="13">
        <f t="shared" si="8"/>
        <v>-0.35883183370748417</v>
      </c>
    </row>
    <row r="65" spans="1:10" ht="15.6">
      <c r="A65" s="26" t="str">
        <v>X090</v>
      </c>
      <c r="B65" s="27" t="str">
        <v>NY</v>
      </c>
      <c r="C65" s="27" t="str">
        <f>Sites[[#This Row],[SOL'#]]</f>
        <v>SOL-10925</v>
      </c>
      <c r="D65" s="9">
        <f>SUM(Apr!D65, May!D65, Jun!D65)</f>
        <v>58577.9375</v>
      </c>
      <c r="E65" s="14">
        <f>SUM(Apr!E65, May!E65, Jun!E65)</f>
        <v>53198.493999999999</v>
      </c>
      <c r="F65" s="14">
        <f t="shared" si="9"/>
        <v>5379.4435000000012</v>
      </c>
      <c r="G65" s="15">
        <f t="shared" si="10"/>
        <v>0.10112022156115925</v>
      </c>
      <c r="H65" s="16">
        <f>SUM(Apr!H65, May!H65, Jun!H65)</f>
        <v>67723.741999999998</v>
      </c>
      <c r="I65" s="16">
        <f>SUM(Apr!I65, May!I65, Jun!I65)</f>
        <v>-9145.8044999999984</v>
      </c>
      <c r="J65" s="15">
        <f t="shared" si="8"/>
        <v>-0.13504576430522694</v>
      </c>
    </row>
    <row r="66" spans="1:10" ht="15.6">
      <c r="A66" s="24" t="str">
        <v>X117</v>
      </c>
      <c r="B66" s="25" t="str">
        <v>NY</v>
      </c>
      <c r="C66" s="25" t="str">
        <f>Sites[[#This Row],[SOL'#]]</f>
        <v>SOL-10422</v>
      </c>
      <c r="D66" s="60">
        <f>SUM(Apr!D66, May!D66, Jun!D66)</f>
        <v>50060.5</v>
      </c>
      <c r="E66" s="10">
        <f>SUM(Apr!E66, May!E66, Jun!E66)</f>
        <v>55935.623000000007</v>
      </c>
      <c r="F66" s="10">
        <f t="shared" si="9"/>
        <v>-5875.1230000000069</v>
      </c>
      <c r="G66" s="61">
        <f t="shared" si="10"/>
        <v>-0.10503365628018492</v>
      </c>
      <c r="H66" s="12">
        <f>SUM(Apr!H66, May!H66, Jun!H66)</f>
        <v>59437.063000000002</v>
      </c>
      <c r="I66" s="12">
        <f>SUM(Apr!I66, May!I66, Jun!I66)</f>
        <v>-9376.5630000000037</v>
      </c>
      <c r="J66" s="13">
        <f t="shared" si="8"/>
        <v>-0.15775616301902406</v>
      </c>
    </row>
    <row r="67" spans="1:10" ht="15.6">
      <c r="A67" s="26" t="str">
        <v>X125</v>
      </c>
      <c r="B67" s="27" t="str">
        <v>NY</v>
      </c>
      <c r="C67" s="27" t="str">
        <f>Sites[[#This Row],[SOL'#]]</f>
        <v>SOL-10423</v>
      </c>
      <c r="D67" s="9">
        <f>SUM(Apr!D67, May!D67, Jun!D67)</f>
        <v>93232.5</v>
      </c>
      <c r="E67" s="14">
        <f>SUM(Apr!E67, May!E67, Jun!E67)</f>
        <v>96324.144</v>
      </c>
      <c r="F67" s="14">
        <f t="shared" si="9"/>
        <v>-3091.6440000000002</v>
      </c>
      <c r="G67" s="15">
        <f t="shared" si="10"/>
        <v>-3.209625200510477E-2</v>
      </c>
      <c r="H67" s="16">
        <f>SUM(Apr!H67, May!H67, Jun!H67)</f>
        <v>104531.344</v>
      </c>
      <c r="I67" s="16">
        <f>SUM(Apr!I67, May!I67, Jun!I67)</f>
        <v>-11298.843999999997</v>
      </c>
      <c r="J67" s="15">
        <f t="shared" si="8"/>
        <v>-0.10809048815061631</v>
      </c>
    </row>
    <row r="68" spans="1:10" ht="15.6">
      <c r="A68" s="24" t="str">
        <v>X134</v>
      </c>
      <c r="B68" s="25" t="str">
        <v>NY</v>
      </c>
      <c r="C68" s="25" t="str">
        <f>Sites[[#This Row],[SOL'#]]</f>
        <v>SOL-10424</v>
      </c>
      <c r="D68" s="60">
        <f>SUM(Apr!D68, May!D68, Jun!D68)</f>
        <v>90271.125249999997</v>
      </c>
      <c r="E68" s="10">
        <f>SUM(Apr!E68, May!E68, Jun!E68)</f>
        <v>63524.796000000002</v>
      </c>
      <c r="F68" s="10">
        <f t="shared" si="9"/>
        <v>26746.329249999995</v>
      </c>
      <c r="G68" s="61">
        <f t="shared" si="10"/>
        <v>0.42103762521331034</v>
      </c>
      <c r="H68" s="12">
        <f>SUM(Apr!H68, May!H68, Jun!H68)</f>
        <v>104673.35399999999</v>
      </c>
      <c r="I68" s="12">
        <f>SUM(Apr!I68, May!I68, Jun!I68)</f>
        <v>-14402.228749999998</v>
      </c>
      <c r="J68" s="13">
        <f t="shared" si="8"/>
        <v>-0.13759212062699355</v>
      </c>
    </row>
    <row r="69" spans="1:10" ht="15.6">
      <c r="A69" s="26" t="str">
        <v>X135</v>
      </c>
      <c r="B69" s="27" t="str">
        <v>NY</v>
      </c>
      <c r="C69" s="27" t="str">
        <f>Sites[[#This Row],[SOL'#]]</f>
        <v>SOL-10425</v>
      </c>
      <c r="D69" s="9">
        <f>SUM(Apr!D69, May!D69, Jun!D69)</f>
        <v>72376.156000000003</v>
      </c>
      <c r="E69" s="14">
        <f>SUM(Apr!E69, May!E69, Jun!E69)</f>
        <v>76175.456000000006</v>
      </c>
      <c r="F69" s="14">
        <f t="shared" si="9"/>
        <v>-3799.3000000000029</v>
      </c>
      <c r="G69" s="15">
        <f t="shared" si="10"/>
        <v>-4.9875644984652308E-2</v>
      </c>
      <c r="H69" s="16">
        <f>SUM(Apr!H69, May!H69, Jun!H69)</f>
        <v>83456.516999999993</v>
      </c>
      <c r="I69" s="16">
        <f>SUM(Apr!I69, May!I69, Jun!I69)</f>
        <v>-11080.361000000001</v>
      </c>
      <c r="J69" s="15">
        <f t="shared" si="8"/>
        <v>-0.13276807370238086</v>
      </c>
    </row>
    <row r="70" spans="1:10" ht="15.6">
      <c r="A70" s="24" t="str">
        <v>X139 JHS 222</v>
      </c>
      <c r="B70" s="25" t="str">
        <v>NY</v>
      </c>
      <c r="C70" s="25" t="str">
        <f>Sites[[#This Row],[SOL'#]]</f>
        <v>SOL-10426</v>
      </c>
      <c r="D70" s="60">
        <f>SUM(Apr!D70, May!D70, Jun!D70)</f>
        <v>112599.00860999999</v>
      </c>
      <c r="E70" s="10">
        <f>SUM(Apr!E70, May!E70, Jun!E70)</f>
        <v>121367.306</v>
      </c>
      <c r="F70" s="10">
        <f t="shared" si="9"/>
        <v>-8768.297390000007</v>
      </c>
      <c r="G70" s="61">
        <f t="shared" si="10"/>
        <v>-7.2245958808709224E-2</v>
      </c>
      <c r="H70" s="12">
        <f>SUM(Apr!H70, May!H70, Jun!H70)</f>
        <v>130387.114</v>
      </c>
      <c r="I70" s="12">
        <f>SUM(Apr!I70, May!I70, Jun!I70)</f>
        <v>-17788.105390000004</v>
      </c>
      <c r="J70" s="13">
        <f t="shared" si="8"/>
        <v>-0.13642533256775669</v>
      </c>
    </row>
    <row r="71" spans="1:10" ht="15.6">
      <c r="A71" s="26" t="str">
        <v>X140</v>
      </c>
      <c r="B71" s="27" t="str">
        <v>NY</v>
      </c>
      <c r="C71" s="27" t="str">
        <f>Sites[[#This Row],[SOL'#]]</f>
        <v>SOL-10926</v>
      </c>
      <c r="D71" s="9">
        <f>SUM(Apr!D71, May!D71, Jun!D71)</f>
        <v>64471.390625</v>
      </c>
      <c r="E71" s="14">
        <f>SUM(Apr!E71, May!E71, Jun!E71)</f>
        <v>53511.729999999996</v>
      </c>
      <c r="F71" s="14">
        <f t="shared" si="9"/>
        <v>10959.660625000004</v>
      </c>
      <c r="G71" s="15">
        <f t="shared" si="10"/>
        <v>0.20480856486979593</v>
      </c>
      <c r="H71" s="16">
        <f>SUM(Apr!H71, May!H71, Jun!H71)</f>
        <v>70176</v>
      </c>
      <c r="I71" s="16">
        <f>SUM(Apr!I71, May!I71, Jun!I71)</f>
        <v>-5704.609375</v>
      </c>
      <c r="J71" s="15">
        <f t="shared" si="8"/>
        <v>-8.1290033273483817E-2</v>
      </c>
    </row>
    <row r="72" spans="1:10" ht="15.6">
      <c r="A72" s="24" t="str">
        <v>X166</v>
      </c>
      <c r="B72" s="25" t="str">
        <v>NY</v>
      </c>
      <c r="C72" s="25" t="str">
        <f>Sites[[#This Row],[SOL'#]]</f>
        <v>SOL-10427</v>
      </c>
      <c r="D72" s="60">
        <f>SUM(Apr!D72, May!D72, Jun!D72)</f>
        <v>66122.7</v>
      </c>
      <c r="E72" s="10">
        <f>SUM(Apr!E72, May!E72, Jun!E72)</f>
        <v>64563.846000000005</v>
      </c>
      <c r="F72" s="10">
        <f t="shared" si="9"/>
        <v>1558.8539999999921</v>
      </c>
      <c r="G72" s="61">
        <f t="shared" si="10"/>
        <v>2.414437950304249E-2</v>
      </c>
      <c r="H72" s="12">
        <f>SUM(Apr!H72, May!H72, Jun!H72)</f>
        <v>77757.807000000001</v>
      </c>
      <c r="I72" s="12">
        <f>SUM(Apr!I72, May!I72, Jun!I72)</f>
        <v>-11635.107</v>
      </c>
      <c r="J72" s="13">
        <f t="shared" si="8"/>
        <v>-0.14963265360608743</v>
      </c>
    </row>
    <row r="73" spans="1:10" ht="15.6">
      <c r="A73" s="26" t="str">
        <v>Murphy</v>
      </c>
      <c r="B73" s="27" t="str">
        <v>MN</v>
      </c>
      <c r="C73" s="27" t="str">
        <f>Sites[[#This Row],[SOL'#]]</f>
        <v>SOL-10094</v>
      </c>
      <c r="D73" s="9">
        <f>SUM(Apr!D73, May!D73, Jun!D73)</f>
        <v>2562470</v>
      </c>
      <c r="E73" s="14">
        <f>SUM(Apr!E73, May!E73, Jun!E73)</f>
        <v>2787532</v>
      </c>
      <c r="F73" s="14">
        <f t="shared" si="9"/>
        <v>-225062</v>
      </c>
      <c r="G73" s="15">
        <f t="shared" si="10"/>
        <v>-8.0738804074715551E-2</v>
      </c>
      <c r="H73" s="16">
        <f>SUM(Apr!H73, May!H73, Jun!H73)</f>
        <v>2767309.7</v>
      </c>
      <c r="I73" s="16">
        <f>SUM(Apr!I73, May!I73, Jun!I73)</f>
        <v>-204839.70000000007</v>
      </c>
      <c r="J73" s="15">
        <f t="shared" si="8"/>
        <v>-7.4021241641295171E-2</v>
      </c>
    </row>
    <row r="74" spans="1:10" ht="15.6">
      <c r="A74" s="24" t="str">
        <v>Terning</v>
      </c>
      <c r="B74" s="25" t="str">
        <v>MN</v>
      </c>
      <c r="C74" s="25" t="str">
        <f>Sites[[#This Row],[SOL'#]]</f>
        <v>SOL-10093</v>
      </c>
      <c r="D74" s="60">
        <f>SUM(Apr!D74, May!D74, Jun!D74)</f>
        <v>2794457.9999999981</v>
      </c>
      <c r="E74" s="10">
        <f>SUM(Apr!E74, May!E74, Jun!E74)</f>
        <v>2901092</v>
      </c>
      <c r="F74" s="10">
        <f t="shared" si="9"/>
        <v>-106634.00000000186</v>
      </c>
      <c r="G74" s="61">
        <f t="shared" si="10"/>
        <v>-3.6756504102593734E-2</v>
      </c>
      <c r="H74" s="12">
        <f>SUM(Apr!H74, May!H74, Jun!H74)</f>
        <v>2789624.4</v>
      </c>
      <c r="I74" s="12">
        <f>SUM(Apr!I74, May!I74, Jun!I74)</f>
        <v>4833.5999999981141</v>
      </c>
      <c r="J74" s="13">
        <f t="shared" si="8"/>
        <v>1.7327063815466032E-3</v>
      </c>
    </row>
    <row r="75" spans="1:10" ht="15.6">
      <c r="A75" s="26" t="str">
        <v>Boas Road 04</v>
      </c>
      <c r="B75" s="27" t="str">
        <v>NY</v>
      </c>
      <c r="C75" s="27" t="str">
        <f>Sites[[#This Row],[SOL'#]]</f>
        <v>SOL-10908</v>
      </c>
      <c r="D75" s="9">
        <f>SUM(Apr!D75, May!D75, Jun!D75)</f>
        <v>0</v>
      </c>
      <c r="E75" s="14">
        <f>SUM(Apr!E75, May!E75, Jun!E75)</f>
        <v>1034656.96</v>
      </c>
      <c r="F75" s="14">
        <f t="shared" si="9"/>
        <v>-1034656.96</v>
      </c>
      <c r="G75" s="15">
        <f t="shared" si="10"/>
        <v>-1</v>
      </c>
      <c r="H75" s="16">
        <f>SUM(Apr!H75, May!H75, Jun!H75)</f>
        <v>1093253.5900000001</v>
      </c>
      <c r="I75" s="16">
        <f>SUM(Apr!I75, May!I75, Jun!I75)</f>
        <v>-711931.59000000008</v>
      </c>
      <c r="J75" s="15">
        <f t="shared" si="8"/>
        <v>-0.65120443830419983</v>
      </c>
    </row>
    <row r="76" spans="1:10" ht="15.6">
      <c r="A76" s="24" t="str">
        <v>Kelly Bridge Farm</v>
      </c>
      <c r="B76" s="25" t="str">
        <v>NY</v>
      </c>
      <c r="C76" s="25" t="str">
        <f>Sites[[#This Row],[SOL'#]]</f>
        <v>SOL-10911</v>
      </c>
      <c r="D76" s="60">
        <f>SUM(Apr!D76, May!D76, Jun!D76)</f>
        <v>66233</v>
      </c>
      <c r="E76" s="10">
        <f>SUM(Apr!E76, May!E76, Jun!E76)</f>
        <v>980629.51</v>
      </c>
      <c r="F76" s="10">
        <f t="shared" si="9"/>
        <v>-914396.51</v>
      </c>
      <c r="G76" s="61">
        <f t="shared" si="10"/>
        <v>-0.93245869176423213</v>
      </c>
      <c r="H76" s="12">
        <f>SUM(Apr!H76, May!H76, Jun!H76)</f>
        <v>1094228.83</v>
      </c>
      <c r="I76" s="12">
        <f>SUM(Apr!I76, May!I76, Jun!I76)</f>
        <v>-1027995.8300000001</v>
      </c>
      <c r="J76" s="13">
        <f t="shared" si="8"/>
        <v>-0.93947061329027493</v>
      </c>
    </row>
    <row r="77" spans="1:10" ht="15.6">
      <c r="A77" s="26" t="str">
        <v>Pool Brook Road</v>
      </c>
      <c r="B77" s="27" t="str">
        <v>NY</v>
      </c>
      <c r="C77" s="27" t="str">
        <f>Sites[[#This Row],[SOL'#]]</f>
        <v>SOL-10909</v>
      </c>
      <c r="D77" s="9">
        <f>SUM(Apr!D77, May!D77, Jun!D77)</f>
        <v>768176</v>
      </c>
      <c r="E77" s="14">
        <f>SUM(Apr!E77, May!E77, Jun!E77)</f>
        <v>816663.44</v>
      </c>
      <c r="F77" s="14">
        <f t="shared" si="9"/>
        <v>-48487.439999999944</v>
      </c>
      <c r="G77" s="15">
        <f t="shared" si="10"/>
        <v>-5.9372610092598178E-2</v>
      </c>
      <c r="H77" s="16">
        <f>SUM(Apr!H77, May!H77, Jun!H77)</f>
        <v>1053072.03</v>
      </c>
      <c r="I77" s="16">
        <f>SUM(Apr!I77, May!I77, Jun!I77)</f>
        <v>-284896.02999999997</v>
      </c>
      <c r="J77" s="15">
        <f t="shared" si="8"/>
        <v>-0.27053802767888535</v>
      </c>
    </row>
    <row r="78" spans="1:10" ht="15.6">
      <c r="A78" s="24" t="str">
        <v>Sackett Lake</v>
      </c>
      <c r="B78" s="25" t="str">
        <v>NY</v>
      </c>
      <c r="C78" s="25" t="str">
        <f>Sites[[#This Row],[SOL'#]]</f>
        <v>SOL-10910</v>
      </c>
      <c r="D78" s="60">
        <f>SUM(Apr!D78, May!D78, Jun!D78)</f>
        <v>584699</v>
      </c>
      <c r="E78" s="10">
        <f>SUM(Apr!E78, May!E78, Jun!E78)</f>
        <v>957255.1100000001</v>
      </c>
      <c r="F78" s="10">
        <f t="shared" si="9"/>
        <v>-372556.1100000001</v>
      </c>
      <c r="G78" s="61">
        <f t="shared" si="10"/>
        <v>-0.38919208276673506</v>
      </c>
      <c r="H78" s="12">
        <f>SUM(Apr!H78, May!H78, Jun!H78)</f>
        <v>1074743.93</v>
      </c>
      <c r="I78" s="12">
        <f>SUM(Apr!I78, May!I78, Jun!I78)</f>
        <v>-490044.93</v>
      </c>
      <c r="J78" s="13">
        <f t="shared" si="8"/>
        <v>-0.45596436166892335</v>
      </c>
    </row>
    <row r="79" spans="1:10" ht="15.6">
      <c r="A79" s="26" t="str">
        <v>Burritt Road</v>
      </c>
      <c r="B79" s="27" t="str">
        <v>NY</v>
      </c>
      <c r="C79" s="27" t="str">
        <f>Sites[[#This Row],[SOL'#]]</f>
        <v>SOL-10913</v>
      </c>
      <c r="D79" s="9">
        <f>SUM(Apr!D79, May!D79, Jun!D79)</f>
        <v>1000340</v>
      </c>
      <c r="E79" s="14">
        <f>SUM(Apr!E79, May!E79, Jun!E79)</f>
        <v>889574.24</v>
      </c>
      <c r="F79" s="14">
        <f t="shared" si="9"/>
        <v>110765.76000000001</v>
      </c>
      <c r="G79" s="15">
        <f t="shared" si="10"/>
        <v>0.12451547607763463</v>
      </c>
      <c r="H79" s="16">
        <f>SUM(Apr!H79, May!H79, Jun!H79)</f>
        <v>1130199.97</v>
      </c>
      <c r="I79" s="16">
        <f>SUM(Apr!I79, May!I79, Jun!I79)</f>
        <v>-129859.96999999997</v>
      </c>
      <c r="J79" s="15">
        <f t="shared" si="8"/>
        <v>-0.11489999420191099</v>
      </c>
    </row>
    <row r="80" spans="1:10" ht="15.6">
      <c r="A80" s="24" t="str">
        <v>Villa Roma 1</v>
      </c>
      <c r="B80" s="25" t="str">
        <v>NY</v>
      </c>
      <c r="C80" s="25" t="str">
        <f>Sites[[#This Row],[SOL'#]]</f>
        <v>SOL-10914</v>
      </c>
      <c r="D80" s="60">
        <f>SUM(Apr!D80, May!D80, Jun!D80)</f>
        <v>860376</v>
      </c>
      <c r="E80" s="10">
        <f>SUM(Apr!E80, May!E80, Jun!E80)</f>
        <v>2453.08</v>
      </c>
      <c r="F80" s="10">
        <f t="shared" si="9"/>
        <v>857922.92</v>
      </c>
      <c r="G80" s="61">
        <f t="shared" si="10"/>
        <v>349.732956120469</v>
      </c>
      <c r="H80" s="12">
        <f>SUM(Apr!H80, May!H80, Jun!H80)</f>
        <v>1007756.83</v>
      </c>
      <c r="I80" s="12">
        <f>SUM(Apr!I80, May!I80, Jun!I80)</f>
        <v>-147380.82999999996</v>
      </c>
      <c r="J80" s="13">
        <f t="shared" si="8"/>
        <v>-0.1462464213713143</v>
      </c>
    </row>
    <row r="81" spans="1:10" ht="15.6">
      <c r="A81" s="26" t="str">
        <v>Villa Roma 2</v>
      </c>
      <c r="B81" s="27" t="str">
        <v>NY</v>
      </c>
      <c r="C81" s="27" t="str">
        <f>Sites[[#This Row],[SOL'#]]</f>
        <v>SOL-10915</v>
      </c>
      <c r="D81" s="9">
        <f>SUM(Apr!D81, May!D81, Jun!D81)</f>
        <v>847564</v>
      </c>
      <c r="E81" s="14">
        <f>SUM(Apr!E81, May!E81, Jun!E81)</f>
        <v>879081.29</v>
      </c>
      <c r="F81" s="14">
        <f t="shared" si="9"/>
        <v>-31517.290000000037</v>
      </c>
      <c r="G81" s="15">
        <f t="shared" si="10"/>
        <v>-3.585253190862478E-2</v>
      </c>
      <c r="H81" s="16">
        <f>SUM(Apr!H81, May!H81, Jun!H81)</f>
        <v>978203.94</v>
      </c>
      <c r="I81" s="16">
        <f>SUM(Apr!I81, May!I81, Jun!I81)</f>
        <v>-130639.94</v>
      </c>
      <c r="J81" s="15">
        <f t="shared" si="8"/>
        <v>-0.13355082172333105</v>
      </c>
    </row>
    <row r="82" spans="1:10" ht="15.6">
      <c r="A82" s="24" t="str">
        <v>Washington 1</v>
      </c>
      <c r="B82" s="25" t="str">
        <v>NY</v>
      </c>
      <c r="C82" s="25" t="str">
        <f>Sites[[#This Row],[SOL'#]]</f>
        <v>SOL-10912</v>
      </c>
      <c r="D82" s="60">
        <f>SUM(Apr!D82, May!D82, Jun!D82)</f>
        <v>1055700</v>
      </c>
      <c r="E82" s="10">
        <f>SUM(Apr!E82, May!E82, Jun!E82)</f>
        <v>1099413.6200000001</v>
      </c>
      <c r="F82" s="10">
        <f t="shared" ref="F82:F113" si="11">IF(AND(ISNUMBER(D82),ISNUMBER(E82)), D82-E82, "")</f>
        <v>-43713.620000000112</v>
      </c>
      <c r="G82" s="61">
        <f t="shared" ref="G82:G113" si="12">IFERROR(F82/E82, "")</f>
        <v>-3.9760849970186932E-2</v>
      </c>
      <c r="H82" s="12">
        <f>SUM(Apr!H82, May!H82, Jun!H82)</f>
        <v>1118087.82</v>
      </c>
      <c r="I82" s="12">
        <f>SUM(Apr!I82, May!I82, Jun!I82)</f>
        <v>-62387.820000000007</v>
      </c>
      <c r="J82" s="13">
        <f t="shared" ref="J82:J145" si="13">IFERROR(I82/H82, "")</f>
        <v>-5.5798675993089707E-2</v>
      </c>
    </row>
    <row r="83" spans="1:10" ht="15.6">
      <c r="A83" s="26" t="str">
        <v>Washington 3</v>
      </c>
      <c r="B83" s="27" t="str">
        <v>NY</v>
      </c>
      <c r="C83" s="27" t="str">
        <f>Sites[[#This Row],[SOL'#]]</f>
        <v>SOL-10828</v>
      </c>
      <c r="D83" s="9">
        <f>SUM(Apr!D83, May!D83, Jun!D83)</f>
        <v>1190650</v>
      </c>
      <c r="E83" s="14">
        <f>SUM(Apr!E83, May!E83, Jun!E83)</f>
        <v>730330.59</v>
      </c>
      <c r="F83" s="14">
        <f t="shared" si="11"/>
        <v>460319.41000000003</v>
      </c>
      <c r="G83" s="15">
        <f t="shared" si="12"/>
        <v>0.63028909962541768</v>
      </c>
      <c r="H83" s="16">
        <f>SUM(Apr!H83, May!H83, Jun!H83)</f>
        <v>1367659.88</v>
      </c>
      <c r="I83" s="16">
        <f>SUM(Apr!I83, May!I83, Jun!I83)</f>
        <v>-177009.88</v>
      </c>
      <c r="J83" s="15">
        <f t="shared" si="13"/>
        <v>-0.12942536561063706</v>
      </c>
    </row>
    <row r="84" spans="1:10" ht="15.6">
      <c r="A84" s="24" t="str">
        <v>Washington 4</v>
      </c>
      <c r="B84" s="25" t="str">
        <v>NY</v>
      </c>
      <c r="C84" s="25" t="str">
        <f>Sites[[#This Row],[SOL'#]]</f>
        <v>SOL-10829</v>
      </c>
      <c r="D84" s="60">
        <f>SUM(Apr!D84, May!D84, Jun!D84)</f>
        <v>1121567.5</v>
      </c>
      <c r="E84" s="10">
        <f>SUM(Apr!E84, May!E84, Jun!E84)</f>
        <v>1314711.3999999999</v>
      </c>
      <c r="F84" s="10">
        <f t="shared" si="11"/>
        <v>-193143.89999999991</v>
      </c>
      <c r="G84" s="61">
        <f t="shared" si="12"/>
        <v>-0.14690973243253228</v>
      </c>
      <c r="H84" s="12">
        <f>SUM(Apr!H84, May!H84, Jun!H84)</f>
        <v>1370606.37</v>
      </c>
      <c r="I84" s="12">
        <f>SUM(Apr!I84, May!I84, Jun!I84)</f>
        <v>-249038.87</v>
      </c>
      <c r="J84" s="13">
        <f t="shared" si="13"/>
        <v>-0.1816997756985472</v>
      </c>
    </row>
    <row r="85" spans="1:10" ht="15.6">
      <c r="A85" s="26" t="str">
        <v>Big Tree</v>
      </c>
      <c r="B85" s="27" t="str">
        <v>NY</v>
      </c>
      <c r="C85" s="27" t="str">
        <f>Sites[[#This Row],[SOL'#]]</f>
        <v>SOL-10966</v>
      </c>
      <c r="D85" s="9">
        <f>SUM(Apr!D85, May!D85, Jun!D85)</f>
        <v>1060842</v>
      </c>
      <c r="E85" s="14">
        <f>SUM(Apr!E85, May!E85, Jun!E85)</f>
        <v>0</v>
      </c>
      <c r="F85" s="14">
        <f t="shared" si="11"/>
        <v>1060842</v>
      </c>
      <c r="G85" s="15" t="str">
        <f t="shared" si="12"/>
        <v/>
      </c>
      <c r="H85" s="16">
        <f>SUM(Apr!H85, May!H85, Jun!H85)</f>
        <v>1149448.3500000001</v>
      </c>
      <c r="I85" s="16">
        <f>SUM(Apr!I85, May!I85, Jun!I85)</f>
        <v>-88606.349999999977</v>
      </c>
      <c r="J85" s="15">
        <f t="shared" si="13"/>
        <v>-7.7085977808398237E-2</v>
      </c>
    </row>
    <row r="86" spans="1:10" ht="15.6">
      <c r="A86" s="24" t="str">
        <v>Canoga</v>
      </c>
      <c r="B86" s="25" t="str">
        <v>NY</v>
      </c>
      <c r="C86" s="25" t="str">
        <f>Sites[[#This Row],[SOL'#]]</f>
        <v>SOL-10965</v>
      </c>
      <c r="D86" s="60">
        <f>SUM(Apr!D86, May!D86, Jun!D86)</f>
        <v>0</v>
      </c>
      <c r="E86" s="10">
        <f>SUM(Apr!E86, May!E86, Jun!E86)</f>
        <v>0</v>
      </c>
      <c r="F86" s="10">
        <f t="shared" si="11"/>
        <v>0</v>
      </c>
      <c r="G86" s="61" t="str">
        <f t="shared" si="12"/>
        <v/>
      </c>
      <c r="H86" s="12">
        <f>SUM(Apr!H86, May!H86, Jun!H86)</f>
        <v>0</v>
      </c>
      <c r="I86" s="12">
        <f>SUM(Apr!I86, May!I86, Jun!I86)</f>
        <v>0</v>
      </c>
      <c r="J86" s="13" t="str">
        <f t="shared" si="13"/>
        <v/>
      </c>
    </row>
    <row r="87" spans="1:10" ht="15.6">
      <c r="A87" s="26" t="str">
        <v>County Route 84</v>
      </c>
      <c r="B87" s="27" t="str">
        <v>NY</v>
      </c>
      <c r="C87" s="27" t="str">
        <f>Sites[[#This Row],[SOL'#]]</f>
        <v>SOL-10967</v>
      </c>
      <c r="D87" s="9">
        <f>SUM(Apr!D87, May!D87, Jun!D87)</f>
        <v>2509160</v>
      </c>
      <c r="E87" s="14">
        <f>SUM(Apr!E87, May!E87, Jun!E87)</f>
        <v>0</v>
      </c>
      <c r="F87" s="14">
        <f t="shared" si="11"/>
        <v>2509160</v>
      </c>
      <c r="G87" s="15" t="str">
        <f t="shared" si="12"/>
        <v/>
      </c>
      <c r="H87" s="16">
        <f>SUM(Apr!H87, May!H87, Jun!H87)</f>
        <v>2783810.4699999997</v>
      </c>
      <c r="I87" s="16">
        <f>SUM(Apr!I87, May!I87, Jun!I87)</f>
        <v>-274650.46999999997</v>
      </c>
      <c r="J87" s="15">
        <f t="shared" si="13"/>
        <v>-9.8659902662123405E-2</v>
      </c>
    </row>
    <row r="88" spans="1:10" ht="15.6">
      <c r="A88" s="24" t="str">
        <v>Donati</v>
      </c>
      <c r="B88" s="25" t="str">
        <v>NY</v>
      </c>
      <c r="C88" s="25" t="str">
        <f>Sites[[#This Row],[SOL'#]]</f>
        <v>SOL-10968</v>
      </c>
      <c r="D88" s="60">
        <f>SUM(Apr!D88, May!D88, Jun!D88)</f>
        <v>1170726</v>
      </c>
      <c r="E88" s="10">
        <f>SUM(Apr!E88, May!E88, Jun!E88)</f>
        <v>0</v>
      </c>
      <c r="F88" s="10">
        <f t="shared" si="11"/>
        <v>1170726</v>
      </c>
      <c r="G88" s="61" t="str">
        <f t="shared" si="12"/>
        <v/>
      </c>
      <c r="H88" s="12">
        <f>SUM(Apr!H88, May!H88, Jun!H88)</f>
        <v>1456005.45</v>
      </c>
      <c r="I88" s="12">
        <f>SUM(Apr!I88, May!I88, Jun!I88)</f>
        <v>-285279.45</v>
      </c>
      <c r="J88" s="13">
        <f t="shared" si="13"/>
        <v>-0.19593295478392614</v>
      </c>
    </row>
    <row r="89" spans="1:10" ht="15.6">
      <c r="A89" s="26" t="str">
        <v>Henrietta</v>
      </c>
      <c r="B89" s="27" t="str">
        <v>NY</v>
      </c>
      <c r="C89" s="27" t="str">
        <f>Sites[[#This Row],[SOL'#]]</f>
        <v>SOL-10972</v>
      </c>
      <c r="D89" s="9">
        <f>SUM(Apr!D89, May!D89, Jun!D89)</f>
        <v>2129630</v>
      </c>
      <c r="E89" s="14">
        <f>SUM(Apr!E89, May!E89, Jun!E89)</f>
        <v>0</v>
      </c>
      <c r="F89" s="14">
        <f t="shared" si="11"/>
        <v>2129630</v>
      </c>
      <c r="G89" s="15" t="str">
        <f t="shared" si="12"/>
        <v/>
      </c>
      <c r="H89" s="16">
        <f>SUM(Apr!H89, May!H89, Jun!H89)</f>
        <v>3085254.41</v>
      </c>
      <c r="I89" s="16">
        <f>SUM(Apr!I89, May!I89, Jun!I89)</f>
        <v>-955624.41000000015</v>
      </c>
      <c r="J89" s="15">
        <f t="shared" si="13"/>
        <v>-0.30973925745073322</v>
      </c>
    </row>
    <row r="90" spans="1:10" ht="15.6">
      <c r="A90" s="24" t="str">
        <v>NY 70</v>
      </c>
      <c r="B90" s="25" t="str">
        <v>NY</v>
      </c>
      <c r="C90" s="25" t="str">
        <f>Sites[[#This Row],[SOL'#]]</f>
        <v>SOL-10970</v>
      </c>
      <c r="D90" s="60">
        <f>SUM(Apr!D90, May!D90, Jun!D90)</f>
        <v>2785990</v>
      </c>
      <c r="E90" s="10">
        <f>SUM(Apr!E90, May!E90, Jun!E90)</f>
        <v>0</v>
      </c>
      <c r="F90" s="10">
        <f t="shared" si="11"/>
        <v>2785990</v>
      </c>
      <c r="G90" s="61" t="str">
        <f t="shared" si="12"/>
        <v/>
      </c>
      <c r="H90" s="12">
        <f>SUM(Apr!H90, May!H90, Jun!H90)</f>
        <v>3424830.79</v>
      </c>
      <c r="I90" s="12">
        <f>SUM(Apr!I90, May!I90, Jun!I90)</f>
        <v>-638840.79</v>
      </c>
      <c r="J90" s="13">
        <f t="shared" si="13"/>
        <v>-0.18653207389553983</v>
      </c>
    </row>
    <row r="91" spans="1:10" ht="15.6">
      <c r="A91" s="26" t="str">
        <v>Reid</v>
      </c>
      <c r="B91" s="27" t="str">
        <v>NY</v>
      </c>
      <c r="C91" s="27" t="str">
        <f>Sites[[#This Row],[SOL'#]]</f>
        <v>SOL-10991</v>
      </c>
      <c r="D91" s="9">
        <f>SUM(Apr!D91, May!D91, Jun!D91)</f>
        <v>1878330.1785332998</v>
      </c>
      <c r="E91" s="14">
        <f>SUM(Apr!E91, May!E91, Jun!E91)</f>
        <v>1851091.6</v>
      </c>
      <c r="F91" s="14">
        <f t="shared" si="11"/>
        <v>27238.578533299733</v>
      </c>
      <c r="G91" s="15">
        <f t="shared" si="12"/>
        <v>1.4714873393245224E-2</v>
      </c>
      <c r="H91" s="16">
        <f>SUM(Apr!H91, May!H91, Jun!H91)</f>
        <v>2654719</v>
      </c>
      <c r="I91" s="16">
        <f>SUM(Apr!I91, May!I91, Jun!I91)</f>
        <v>-776388.82146670006</v>
      </c>
      <c r="J91" s="15">
        <f t="shared" si="13"/>
        <v>-0.29245612114378211</v>
      </c>
    </row>
    <row r="92" spans="1:10" ht="15.6">
      <c r="A92" s="24" t="str">
        <v>Sangolqui</v>
      </c>
      <c r="B92" s="25" t="str">
        <v>NY</v>
      </c>
      <c r="C92" s="25" t="str">
        <f>Sites[[#This Row],[SOL'#]]</f>
        <v>SOL-10975</v>
      </c>
      <c r="D92" s="60">
        <f>SUM(Apr!D92, May!D92, Jun!D92)</f>
        <v>1143520</v>
      </c>
      <c r="E92" s="10">
        <f>SUM(Apr!E92, May!E92, Jun!E92)</f>
        <v>0</v>
      </c>
      <c r="F92" s="10">
        <f t="shared" si="11"/>
        <v>1143520</v>
      </c>
      <c r="G92" s="61" t="str">
        <f t="shared" si="12"/>
        <v/>
      </c>
      <c r="H92" s="12">
        <f>SUM(Apr!H92, May!H92, Jun!H92)</f>
        <v>1424648.06</v>
      </c>
      <c r="I92" s="12">
        <f>SUM(Apr!I92, May!I92, Jun!I92)</f>
        <v>-281128.06</v>
      </c>
      <c r="J92" s="13">
        <f t="shared" si="13"/>
        <v>-0.19733158517760518</v>
      </c>
    </row>
    <row r="93" spans="1:10" ht="15.6">
      <c r="A93" s="26" t="str">
        <v>State Highway 17B</v>
      </c>
      <c r="B93" s="27" t="str">
        <v>NY</v>
      </c>
      <c r="C93" s="27" t="str">
        <f>Sites[[#This Row],[SOL'#]]</f>
        <v>SOL-10988</v>
      </c>
      <c r="D93" s="9">
        <f>SUM(Apr!D93, May!D93, Jun!D93)</f>
        <v>2093120</v>
      </c>
      <c r="E93" s="14">
        <f>SUM(Apr!E93, May!E93, Jun!E93)</f>
        <v>0</v>
      </c>
      <c r="F93" s="14">
        <f t="shared" si="11"/>
        <v>2093120</v>
      </c>
      <c r="G93" s="15" t="str">
        <f t="shared" si="12"/>
        <v/>
      </c>
      <c r="H93" s="16">
        <f>SUM(Apr!H93, May!H93, Jun!H93)</f>
        <v>1506419.65</v>
      </c>
      <c r="I93" s="16">
        <f>SUM(Apr!I93, May!I93, Jun!I93)</f>
        <v>-132629.65000000002</v>
      </c>
      <c r="J93" s="15">
        <f t="shared" si="13"/>
        <v>-8.8042963326985302E-2</v>
      </c>
    </row>
    <row r="94" spans="1:10" ht="15.6">
      <c r="A94" s="24" t="str">
        <v>State Route 14A</v>
      </c>
      <c r="B94" s="25" t="str">
        <v>NY</v>
      </c>
      <c r="C94" s="25" t="str">
        <f>Sites[[#This Row],[SOL'#]]</f>
        <v>SOL-10997</v>
      </c>
      <c r="D94" s="60">
        <f>SUM(Apr!D94, May!D94, Jun!D94)</f>
        <v>234308</v>
      </c>
      <c r="E94" s="10">
        <f>SUM(Apr!E94, May!E94, Jun!E94)</f>
        <v>0</v>
      </c>
      <c r="F94" s="10">
        <f t="shared" si="11"/>
        <v>234308</v>
      </c>
      <c r="G94" s="61" t="str">
        <f t="shared" si="12"/>
        <v/>
      </c>
      <c r="H94" s="12">
        <f>SUM(Apr!H94, May!H94, Jun!H94)</f>
        <v>2783106.86</v>
      </c>
      <c r="I94" s="12">
        <f>SUM(Apr!I94, May!I94, Jun!I94)</f>
        <v>-1581150.8599999999</v>
      </c>
      <c r="J94" s="13">
        <f t="shared" si="13"/>
        <v>-0.56812438024747636</v>
      </c>
    </row>
    <row r="95" spans="1:10" ht="15.6">
      <c r="A95" s="26" t="str">
        <v>West Creek</v>
      </c>
      <c r="B95" s="27" t="str">
        <v>NY</v>
      </c>
      <c r="C95" s="27" t="str">
        <f>Sites[[#This Row],[SOL'#]]</f>
        <v>SOL-10995</v>
      </c>
      <c r="D95" s="9">
        <f>SUM(Apr!D95, May!D95, Jun!D95)</f>
        <v>2178780</v>
      </c>
      <c r="E95" s="14">
        <f>SUM(Apr!E95, May!E95, Jun!E95)</f>
        <v>0</v>
      </c>
      <c r="F95" s="14">
        <f t="shared" si="11"/>
        <v>2178780</v>
      </c>
      <c r="G95" s="15" t="str">
        <f t="shared" si="12"/>
        <v/>
      </c>
      <c r="H95" s="16">
        <f>SUM(Apr!H95, May!H95, Jun!H95)</f>
        <v>2774419.17</v>
      </c>
      <c r="I95" s="16">
        <f>SUM(Apr!I95, May!I95, Jun!I95)</f>
        <v>-595639.17000000004</v>
      </c>
      <c r="J95" s="15">
        <f t="shared" si="13"/>
        <v>-0.21468968223716536</v>
      </c>
    </row>
    <row r="96" spans="1:10" ht="15.6">
      <c r="A96" s="24" t="str">
        <v>Wildflower</v>
      </c>
      <c r="B96" s="25" t="str">
        <v>NY</v>
      </c>
      <c r="C96" s="25" t="str">
        <f>Sites[[#This Row],[SOL'#]]</f>
        <v>SOL-10982</v>
      </c>
      <c r="D96" s="60">
        <f>SUM(Apr!D96, May!D96, Jun!D96)</f>
        <v>2174278</v>
      </c>
      <c r="E96" s="10">
        <f>SUM(Apr!E96, May!E96, Jun!E96)</f>
        <v>0</v>
      </c>
      <c r="F96" s="10">
        <f t="shared" si="11"/>
        <v>2174278</v>
      </c>
      <c r="G96" s="61" t="str">
        <f t="shared" si="12"/>
        <v/>
      </c>
      <c r="H96" s="12">
        <f>SUM(Apr!H96, May!H96, Jun!H96)</f>
        <v>2806017.95</v>
      </c>
      <c r="I96" s="12">
        <f>SUM(Apr!I96, May!I96, Jun!I96)</f>
        <v>-631739.95000000007</v>
      </c>
      <c r="J96" s="13">
        <f t="shared" si="13"/>
        <v>-0.22513752985792554</v>
      </c>
    </row>
    <row r="97" spans="1:10" ht="15.6">
      <c r="A97" s="26" t="str">
        <v>Glen Mary 1</v>
      </c>
      <c r="B97" s="27" t="str">
        <v>NY</v>
      </c>
      <c r="C97" s="27" t="str">
        <f>Sites[[#This Row],[SOL'#]]</f>
        <v>SOL-10993</v>
      </c>
      <c r="D97" s="9">
        <f>SUM(Apr!D97, May!D97, Jun!D97)</f>
        <v>2254140</v>
      </c>
      <c r="E97" s="14">
        <f>SUM(Apr!E97, May!E97, Jun!E97)</f>
        <v>0</v>
      </c>
      <c r="F97" s="14">
        <f t="shared" si="11"/>
        <v>2254140</v>
      </c>
      <c r="G97" s="15" t="str">
        <f t="shared" si="12"/>
        <v/>
      </c>
      <c r="H97" s="16">
        <f>SUM(Apr!H97, May!H97, Jun!H97)</f>
        <v>2879976.84</v>
      </c>
      <c r="I97" s="16">
        <f>SUM(Apr!I97, May!I97, Jun!I97)</f>
        <v>-625836.84</v>
      </c>
      <c r="J97" s="15">
        <f t="shared" si="13"/>
        <v>-0.21730620583740529</v>
      </c>
    </row>
    <row r="98" spans="1:10" ht="15.6">
      <c r="A98" s="24" t="str">
        <v>Glen Mary 2</v>
      </c>
      <c r="B98" s="25" t="str">
        <v>NY</v>
      </c>
      <c r="C98" s="25" t="str">
        <f>Sites[[#This Row],[SOL'#]]</f>
        <v>SOL-10994</v>
      </c>
      <c r="D98" s="60">
        <f>SUM(Apr!D98, May!D98, Jun!D98)</f>
        <v>997420</v>
      </c>
      <c r="E98" s="10">
        <f>SUM(Apr!E98, May!E98, Jun!E98)</f>
        <v>0</v>
      </c>
      <c r="F98" s="10">
        <f t="shared" si="11"/>
        <v>997420</v>
      </c>
      <c r="G98" s="61" t="str">
        <f t="shared" si="12"/>
        <v/>
      </c>
      <c r="H98" s="12">
        <f>SUM(Apr!H98, May!H98, Jun!H98)</f>
        <v>1228364.3700000001</v>
      </c>
      <c r="I98" s="12">
        <f>SUM(Apr!I98, May!I98, Jun!I98)</f>
        <v>-230944.37</v>
      </c>
      <c r="J98" s="13">
        <f t="shared" si="13"/>
        <v>-0.18800966198653252</v>
      </c>
    </row>
    <row r="99" spans="1:10" ht="15.6">
      <c r="A99" s="26" t="str">
        <v>Telegraph 1</v>
      </c>
      <c r="B99" s="27" t="str">
        <v>NY</v>
      </c>
      <c r="C99" s="27" t="str">
        <f>Sites[[#This Row],[SOL'#]]</f>
        <v>SOL-11003</v>
      </c>
      <c r="D99" s="9">
        <f>SUM(Apr!D99, May!D99, Jun!D99)</f>
        <v>1943527</v>
      </c>
      <c r="E99" s="14">
        <f>SUM(Apr!E99, May!E99, Jun!E99)</f>
        <v>0</v>
      </c>
      <c r="F99" s="14">
        <f t="shared" si="11"/>
        <v>1943527</v>
      </c>
      <c r="G99" s="15" t="str">
        <f t="shared" si="12"/>
        <v/>
      </c>
      <c r="H99" s="16">
        <f>SUM(Apr!H99, May!H99, Jun!H99)</f>
        <v>2080730.6400000001</v>
      </c>
      <c r="I99" s="16">
        <f>SUM(Apr!I99, May!I99, Jun!I99)</f>
        <v>-137203.64000000001</v>
      </c>
      <c r="J99" s="15">
        <f t="shared" si="13"/>
        <v>-6.5940125724298457E-2</v>
      </c>
    </row>
    <row r="100" spans="1:10" ht="15.6">
      <c r="A100" s="24" t="str">
        <v>Telegraph 2</v>
      </c>
      <c r="B100" s="25" t="str">
        <v>NY</v>
      </c>
      <c r="C100" s="25" t="str">
        <f>Sites[[#This Row],[SOL'#]]</f>
        <v>SOL-11004</v>
      </c>
      <c r="D100" s="60">
        <f>SUM(Apr!D100, May!D100, Jun!D100)</f>
        <v>1028696</v>
      </c>
      <c r="E100" s="10">
        <f>SUM(Apr!E100, May!E100, Jun!E100)</f>
        <v>0</v>
      </c>
      <c r="F100" s="10">
        <f t="shared" si="11"/>
        <v>1028696</v>
      </c>
      <c r="G100" s="61" t="str">
        <f t="shared" si="12"/>
        <v/>
      </c>
      <c r="H100" s="12">
        <f>SUM(Apr!H100, May!H100, Jun!H100)</f>
        <v>1084004.8500000001</v>
      </c>
      <c r="I100" s="12">
        <f>SUM(Apr!I100, May!I100, Jun!I100)</f>
        <v>-55308.849999999977</v>
      </c>
      <c r="J100" s="13">
        <f t="shared" si="13"/>
        <v>-5.1022696070040618E-2</v>
      </c>
    </row>
    <row r="101" spans="1:10" ht="15.6">
      <c r="A101" s="26" t="str">
        <v>Cafferty Hill</v>
      </c>
      <c r="B101" s="27" t="str">
        <v>NY</v>
      </c>
      <c r="C101" s="27" t="str">
        <f>Sites[[#This Row],[SOL'#]]</f>
        <v>SOL-10996</v>
      </c>
      <c r="D101" s="9">
        <f>SUM(Apr!D101, May!D101, Jun!D101)</f>
        <v>2354210</v>
      </c>
      <c r="E101" s="14">
        <f>SUM(Apr!E101, May!E101, Jun!E101)</f>
        <v>0</v>
      </c>
      <c r="F101" s="14">
        <f t="shared" si="11"/>
        <v>2354210</v>
      </c>
      <c r="G101" s="15" t="str">
        <f t="shared" si="12"/>
        <v/>
      </c>
      <c r="H101" s="16">
        <f>SUM(Apr!H101, May!H101, Jun!H101)</f>
        <v>2678023.65</v>
      </c>
      <c r="I101" s="16">
        <f>SUM(Apr!I101, May!I101, Jun!I101)</f>
        <v>-323813.65000000002</v>
      </c>
      <c r="J101" s="15">
        <f t="shared" si="13"/>
        <v>-0.12091515696659365</v>
      </c>
    </row>
    <row r="102" spans="1:10" ht="15.6">
      <c r="A102" s="24" t="str">
        <v>Dunkleman</v>
      </c>
      <c r="B102" s="25" t="str">
        <v>NY</v>
      </c>
      <c r="C102" s="25" t="str">
        <f>Sites[[#This Row],[SOL'#]]</f>
        <v>SOL-11008</v>
      </c>
      <c r="D102" s="60">
        <f>SUM(Apr!D102, May!D102, Jun!D102)</f>
        <v>2988490</v>
      </c>
      <c r="E102" s="10">
        <f>SUM(Apr!E102, May!E102, Jun!E102)</f>
        <v>0</v>
      </c>
      <c r="F102" s="10">
        <f t="shared" si="11"/>
        <v>2988490</v>
      </c>
      <c r="G102" s="61" t="str">
        <f t="shared" si="12"/>
        <v/>
      </c>
      <c r="H102" s="12">
        <f>SUM(Apr!H102, May!H102, Jun!H102)</f>
        <v>3534522.39</v>
      </c>
      <c r="I102" s="12">
        <f>SUM(Apr!I102, May!I102, Jun!I102)</f>
        <v>-546032.39</v>
      </c>
      <c r="J102" s="13">
        <f t="shared" si="13"/>
        <v>-0.15448548056870565</v>
      </c>
    </row>
    <row r="103" spans="1:10" ht="15.6">
      <c r="A103" s="26" t="str">
        <v>Route 19 1</v>
      </c>
      <c r="B103" s="27" t="str">
        <v>NY</v>
      </c>
      <c r="C103" s="27" t="str">
        <f>Sites[[#This Row],[SOL'#]]</f>
        <v>SOL-11001</v>
      </c>
      <c r="D103" s="9">
        <f>SUM(Apr!D103, May!D103, Jun!D103)</f>
        <v>1247000</v>
      </c>
      <c r="E103" s="14">
        <f>SUM(Apr!E103, May!E103, Jun!E103)</f>
        <v>0</v>
      </c>
      <c r="F103" s="14">
        <f t="shared" si="11"/>
        <v>1247000</v>
      </c>
      <c r="G103" s="15" t="str">
        <f t="shared" si="12"/>
        <v/>
      </c>
      <c r="H103" s="16">
        <f>SUM(Apr!H103, May!H103, Jun!H103)</f>
        <v>1438654.94</v>
      </c>
      <c r="I103" s="16">
        <f>SUM(Apr!I103, May!I103, Jun!I103)</f>
        <v>-191654.94</v>
      </c>
      <c r="J103" s="15">
        <f t="shared" si="13"/>
        <v>-0.13321814333046395</v>
      </c>
    </row>
    <row r="104" spans="1:10" ht="15.6">
      <c r="A104" s="24" t="str">
        <v>Route 19 2</v>
      </c>
      <c r="B104" s="25" t="str">
        <v>NY</v>
      </c>
      <c r="C104" s="25" t="str">
        <f>Sites[[#This Row],[SOL'#]]</f>
        <v>SOL-11002</v>
      </c>
      <c r="D104" s="60">
        <f>SUM(Apr!D104, May!D104, Jun!D104)</f>
        <v>3022000</v>
      </c>
      <c r="E104" s="10">
        <f>SUM(Apr!E104, May!E104, Jun!E104)</f>
        <v>0</v>
      </c>
      <c r="F104" s="10">
        <f t="shared" si="11"/>
        <v>3022000</v>
      </c>
      <c r="G104" s="61" t="str">
        <f t="shared" si="12"/>
        <v/>
      </c>
      <c r="H104" s="12">
        <f>SUM(Apr!H104, May!H104, Jun!H104)</f>
        <v>3557550.3899999997</v>
      </c>
      <c r="I104" s="12">
        <f>SUM(Apr!I104, May!I104, Jun!I104)</f>
        <v>-535550.3899999999</v>
      </c>
      <c r="J104" s="13">
        <f t="shared" si="13"/>
        <v>-0.15053908765576191</v>
      </c>
    </row>
    <row r="105" spans="1:10" ht="15.6">
      <c r="A105" s="26" t="str">
        <v>Yellow Mills 1</v>
      </c>
      <c r="B105" s="27" t="str">
        <v>NY</v>
      </c>
      <c r="C105" s="27" t="str">
        <f>Sites[[#This Row],[SOL'#]]</f>
        <v>SOL-11006</v>
      </c>
      <c r="D105" s="9">
        <f>SUM(Apr!D105, May!D105, Jun!D105)</f>
        <v>925214</v>
      </c>
      <c r="E105" s="14">
        <f>SUM(Apr!E105, May!E105, Jun!E105)</f>
        <v>0</v>
      </c>
      <c r="F105" s="14">
        <f t="shared" si="11"/>
        <v>925214</v>
      </c>
      <c r="G105" s="15" t="str">
        <f t="shared" si="12"/>
        <v/>
      </c>
      <c r="H105" s="16">
        <f>SUM(Apr!H105, May!H105, Jun!H105)</f>
        <v>1174204.58</v>
      </c>
      <c r="I105" s="16">
        <f>SUM(Apr!I105, May!I105, Jun!I105)</f>
        <v>-248990.57999999996</v>
      </c>
      <c r="J105" s="15">
        <f t="shared" si="13"/>
        <v>-0.2120504248075748</v>
      </c>
    </row>
    <row r="106" spans="1:10" ht="15.6">
      <c r="A106" s="24" t="str">
        <v>Yellow Mills 2</v>
      </c>
      <c r="B106" s="25" t="str">
        <v>NY</v>
      </c>
      <c r="C106" s="25" t="str">
        <f>Sites[[#This Row],[SOL'#]]</f>
        <v>SOL-11005</v>
      </c>
      <c r="D106" s="60">
        <f>SUM(Apr!D106, May!D106, Jun!D106)</f>
        <v>1033612</v>
      </c>
      <c r="E106" s="10">
        <f>SUM(Apr!E106, May!E106, Jun!E106)</f>
        <v>0</v>
      </c>
      <c r="F106" s="10">
        <f t="shared" si="11"/>
        <v>1033612</v>
      </c>
      <c r="G106" s="61" t="str">
        <f t="shared" si="12"/>
        <v/>
      </c>
      <c r="H106" s="12">
        <f>SUM(Apr!H106, May!H106, Jun!H106)</f>
        <v>1211761.03</v>
      </c>
      <c r="I106" s="12">
        <f>SUM(Apr!I106, May!I106, Jun!I106)</f>
        <v>-178149.03000000003</v>
      </c>
      <c r="J106" s="13">
        <f t="shared" si="13"/>
        <v>-0.14701663578007623</v>
      </c>
    </row>
    <row r="107" spans="1:10" ht="15.6">
      <c r="A107" s="26" t="str">
        <v>Yellow Mills 3</v>
      </c>
      <c r="B107" s="27" t="str">
        <v>NY</v>
      </c>
      <c r="C107" s="27" t="str">
        <f>Sites[[#This Row],[SOL'#]]</f>
        <v>SOL-11007</v>
      </c>
      <c r="D107" s="9">
        <f>SUM(Apr!D107, May!D107, Jun!D107)</f>
        <v>1006313</v>
      </c>
      <c r="E107" s="14">
        <f>SUM(Apr!E107, May!E107, Jun!E107)</f>
        <v>0</v>
      </c>
      <c r="F107" s="14">
        <f t="shared" si="11"/>
        <v>1006313</v>
      </c>
      <c r="G107" s="15" t="str">
        <f t="shared" si="12"/>
        <v/>
      </c>
      <c r="H107" s="16">
        <f>SUM(Apr!H107, May!H107, Jun!H107)</f>
        <v>1158289.18</v>
      </c>
      <c r="I107" s="16">
        <f>SUM(Apr!I107, May!I107, Jun!I107)</f>
        <v>-151976.18</v>
      </c>
      <c r="J107" s="15">
        <f t="shared" si="13"/>
        <v>-0.13120745891798799</v>
      </c>
    </row>
    <row r="108" spans="1:10" ht="15.6">
      <c r="A108" s="24" t="str">
        <v>Catskill</v>
      </c>
      <c r="B108" s="25" t="str">
        <v>NY</v>
      </c>
      <c r="C108" s="25" t="str">
        <f>Sites[[#This Row],[SOL'#]]</f>
        <v>SOL-11021</v>
      </c>
      <c r="D108" s="60">
        <f>SUM(Apr!D108, May!D108, Jun!D108)</f>
        <v>1851707</v>
      </c>
      <c r="E108" s="10">
        <f>SUM(Apr!E108, May!E108, Jun!E108)</f>
        <v>0</v>
      </c>
      <c r="F108" s="10">
        <f t="shared" si="11"/>
        <v>1851707</v>
      </c>
      <c r="G108" s="61" t="str">
        <f t="shared" si="12"/>
        <v/>
      </c>
      <c r="H108" s="12">
        <f>SUM(Apr!H108, May!H108, Jun!H108)</f>
        <v>2063982.3599999999</v>
      </c>
      <c r="I108" s="12">
        <f>SUM(Apr!I108, May!I108, Jun!I108)</f>
        <v>-212275.36</v>
      </c>
      <c r="J108" s="13">
        <f t="shared" si="13"/>
        <v>-0.10284746813436914</v>
      </c>
    </row>
    <row r="109" spans="1:10" ht="15.6">
      <c r="A109" s="26" t="str">
        <v>Eddy Ridge</v>
      </c>
      <c r="B109" s="27" t="str">
        <v>NY</v>
      </c>
      <c r="C109" s="27" t="str">
        <f>Sites[[#This Row],[SOL'#]]</f>
        <v>SOL-11054</v>
      </c>
      <c r="D109" s="9">
        <f>SUM(Apr!D109, May!D109, Jun!D109)</f>
        <v>1516274</v>
      </c>
      <c r="E109" s="14">
        <f>SUM(Apr!E109, May!E109, Jun!E109)</f>
        <v>0</v>
      </c>
      <c r="F109" s="14">
        <f t="shared" si="11"/>
        <v>1516274</v>
      </c>
      <c r="G109" s="15" t="str">
        <f t="shared" si="12"/>
        <v/>
      </c>
      <c r="H109" s="16">
        <f>SUM(Apr!H109, May!H109, Jun!H109)</f>
        <v>1690505</v>
      </c>
      <c r="I109" s="16">
        <f>SUM(Apr!I109, May!I109, Jun!I109)</f>
        <v>-174231</v>
      </c>
      <c r="J109" s="15">
        <f t="shared" si="13"/>
        <v>-0.10306446890130463</v>
      </c>
    </row>
    <row r="110" spans="1:10" ht="15.6">
      <c r="A110" s="24" t="str">
        <v>Ridgeway #1</v>
      </c>
      <c r="B110" s="25" t="str">
        <v>NY</v>
      </c>
      <c r="C110" s="25" t="str">
        <f>Sites[[#This Row],[SOL'#]]</f>
        <v>SOL-11018</v>
      </c>
      <c r="D110" s="60">
        <f>SUM(Apr!D110, May!D110, Jun!D110)</f>
        <v>3266522</v>
      </c>
      <c r="E110" s="10">
        <f>SUM(Apr!E110, May!E110, Jun!E110)</f>
        <v>0</v>
      </c>
      <c r="F110" s="10">
        <f t="shared" si="11"/>
        <v>3266522</v>
      </c>
      <c r="G110" s="61" t="str">
        <f t="shared" si="12"/>
        <v/>
      </c>
      <c r="H110" s="12">
        <f>SUM(Apr!H110, May!H110, Jun!H110)</f>
        <v>3549511.6499999994</v>
      </c>
      <c r="I110" s="12">
        <f>SUM(Apr!I110, May!I110, Jun!I110)</f>
        <v>-282989.64999999979</v>
      </c>
      <c r="J110" s="13">
        <f t="shared" si="13"/>
        <v>-7.9726361794023079E-2</v>
      </c>
    </row>
    <row r="111" spans="1:10" ht="15.6">
      <c r="A111" s="26" t="str">
        <v>Rivard 1</v>
      </c>
      <c r="B111" s="27" t="str">
        <v>NY</v>
      </c>
      <c r="C111" s="27" t="str">
        <f>Sites[[#This Row],[SOL'#]]</f>
        <v>SOL-11011</v>
      </c>
      <c r="D111" s="9">
        <f>SUM(Apr!D111, May!D111, Jun!D111)</f>
        <v>2562808.298215379</v>
      </c>
      <c r="E111" s="14">
        <f>SUM(Apr!E111, May!E111, Jun!E111)</f>
        <v>103072.2</v>
      </c>
      <c r="F111" s="14">
        <f t="shared" si="11"/>
        <v>2459736.0982153788</v>
      </c>
      <c r="G111" s="15">
        <f t="shared" si="12"/>
        <v>23.864204879835484</v>
      </c>
      <c r="H111" s="16">
        <f>SUM(Apr!H111, May!H111, Jun!H111)</f>
        <v>1874854.45</v>
      </c>
      <c r="I111" s="16">
        <f>SUM(Apr!I111, May!I111, Jun!I111)</f>
        <v>687953.84821537905</v>
      </c>
      <c r="J111" s="15">
        <f t="shared" si="13"/>
        <v>0.36693720316015949</v>
      </c>
    </row>
    <row r="112" spans="1:10" ht="15.6">
      <c r="A112" s="24" t="str">
        <v>Rivard 2</v>
      </c>
      <c r="B112" s="25" t="str">
        <v>NY</v>
      </c>
      <c r="C112" s="25" t="str">
        <f>Sites[[#This Row],[SOL'#]]</f>
        <v>SOL-11012</v>
      </c>
      <c r="D112" s="60">
        <f>SUM(Apr!D112, May!D112, Jun!D112)</f>
        <v>2622973.08955224</v>
      </c>
      <c r="E112" s="10">
        <f>SUM(Apr!E112, May!E112, Jun!E112)</f>
        <v>2586631.7999999998</v>
      </c>
      <c r="F112" s="10">
        <f t="shared" si="11"/>
        <v>36341.289552240167</v>
      </c>
      <c r="G112" s="61">
        <f t="shared" si="12"/>
        <v>1.4049656991087858E-2</v>
      </c>
      <c r="H112" s="12">
        <f>SUM(Apr!H112, May!H112, Jun!H112)</f>
        <v>2905297.4</v>
      </c>
      <c r="I112" s="12">
        <f>SUM(Apr!I112, May!I112, Jun!I112)</f>
        <v>-282324.31044776004</v>
      </c>
      <c r="J112" s="13">
        <f t="shared" si="13"/>
        <v>-9.7175700652112257E-2</v>
      </c>
    </row>
    <row r="113" spans="1:10" ht="15.6">
      <c r="A113" s="26" t="str">
        <v>Essex</v>
      </c>
      <c r="B113" s="27" t="str">
        <v>DC</v>
      </c>
      <c r="C113" s="27" t="str">
        <f>Sites[[#This Row],[SOL'#]]</f>
        <v>SOL-10036</v>
      </c>
      <c r="D113" s="9">
        <f>SUM(Apr!D113, May!D113, Jun!D113)</f>
        <v>12238</v>
      </c>
      <c r="E113" s="14">
        <f>SUM(Apr!E113, May!E113, Jun!E113)</f>
        <v>15626.204000000002</v>
      </c>
      <c r="F113" s="14">
        <f t="shared" si="11"/>
        <v>-3388.2040000000015</v>
      </c>
      <c r="G113" s="15">
        <f t="shared" si="12"/>
        <v>-0.21682834807481083</v>
      </c>
      <c r="H113" s="16">
        <f>SUM(Apr!H113, May!H113, Jun!H113)</f>
        <v>15173.213</v>
      </c>
      <c r="I113" s="16">
        <f>SUM(Apr!I113, May!I113, Jun!I113)</f>
        <v>-2935.2130000000006</v>
      </c>
      <c r="J113" s="15">
        <f t="shared" si="13"/>
        <v>-0.19344703063220695</v>
      </c>
    </row>
    <row r="114" spans="1:10" ht="15.6">
      <c r="A114" s="24" t="str">
        <v>Temple Sinai</v>
      </c>
      <c r="B114" s="25" t="str">
        <v>DC</v>
      </c>
      <c r="C114" s="25" t="str">
        <f>Sites[[#This Row],[SOL'#]]</f>
        <v>SOL-10028</v>
      </c>
      <c r="D114" s="60">
        <f>SUM(Apr!D114, May!D114, Jun!D114)</f>
        <v>29327.250000000015</v>
      </c>
      <c r="E114" s="10">
        <f>SUM(Apr!E114, May!E114, Jun!E114)</f>
        <v>41175.089999999997</v>
      </c>
      <c r="F114" s="10">
        <f t="shared" ref="F114:F160" si="14">IF(AND(ISNUMBER(D114),ISNUMBER(E114)), D114-E114, "")</f>
        <v>-11847.839999999982</v>
      </c>
      <c r="G114" s="61">
        <f t="shared" ref="G114:G160" si="15">IFERROR(F114/E114, "")</f>
        <v>-0.28774290475139175</v>
      </c>
      <c r="H114" s="12">
        <f>SUM(Apr!H114, May!H114, Jun!H114)</f>
        <v>35356.730000000003</v>
      </c>
      <c r="I114" s="12">
        <f>SUM(Apr!I114, May!I114, Jun!I114)</f>
        <v>-6029.4799999999886</v>
      </c>
      <c r="J114" s="13">
        <f t="shared" si="13"/>
        <v>-0.17053273874591876</v>
      </c>
    </row>
    <row r="115" spans="1:10" ht="15.6">
      <c r="A115" s="26" t="str">
        <v>Weinberg Commons #1</v>
      </c>
      <c r="B115" s="27" t="str">
        <v>DC</v>
      </c>
      <c r="C115" s="27" t="str">
        <f>Sites[[#This Row],[SOL'#]]</f>
        <v>SOL-10039</v>
      </c>
      <c r="D115" s="9">
        <f>SUM(Apr!D115, May!D115, Jun!D115)</f>
        <v>4871</v>
      </c>
      <c r="E115" s="14">
        <f>SUM(Apr!E115, May!E115, Jun!E115)</f>
        <v>4993.8549999999996</v>
      </c>
      <c r="F115" s="14">
        <f t="shared" si="14"/>
        <v>-122.85499999999956</v>
      </c>
      <c r="G115" s="15">
        <f t="shared" si="15"/>
        <v>-2.4601234917713787E-2</v>
      </c>
      <c r="H115" s="16">
        <f>SUM(Apr!H115, May!H115, Jun!H115)</f>
        <v>5268.4400000000005</v>
      </c>
      <c r="I115" s="16">
        <f>SUM(Apr!I115, May!I115, Jun!I115)</f>
        <v>-397.44000000000005</v>
      </c>
      <c r="J115" s="15">
        <f t="shared" si="13"/>
        <v>-7.5437890533061019E-2</v>
      </c>
    </row>
    <row r="116" spans="1:10" ht="15.6">
      <c r="A116" s="24" t="str">
        <v>Weinberg Commons #2</v>
      </c>
      <c r="B116" s="25" t="str">
        <v>DC</v>
      </c>
      <c r="C116" s="25" t="str">
        <f>Sites[[#This Row],[SOL'#]]</f>
        <v>SOL-10045</v>
      </c>
      <c r="D116" s="60">
        <f>SUM(Apr!D116, May!D116, Jun!D116)</f>
        <v>4348</v>
      </c>
      <c r="E116" s="10">
        <f>SUM(Apr!E116, May!E116, Jun!E116)</f>
        <v>4412.1130000000003</v>
      </c>
      <c r="F116" s="10">
        <f t="shared" si="14"/>
        <v>-64.113000000000284</v>
      </c>
      <c r="G116" s="61">
        <f t="shared" si="15"/>
        <v>-1.4531132815501389E-2</v>
      </c>
      <c r="H116" s="12">
        <f>SUM(Apr!H116, May!H116, Jun!H116)</f>
        <v>5325.0259999999998</v>
      </c>
      <c r="I116" s="12">
        <f>SUM(Apr!I116, May!I116, Jun!I116)</f>
        <v>-977.02600000000007</v>
      </c>
      <c r="J116" s="13">
        <f t="shared" si="13"/>
        <v>-0.18347816517703389</v>
      </c>
    </row>
    <row r="117" spans="1:10" ht="15.6">
      <c r="A117" s="26" t="str">
        <v>Weinberg Commons #3</v>
      </c>
      <c r="B117" s="27" t="str">
        <v>DC</v>
      </c>
      <c r="C117" s="27" t="str">
        <f>Sites[[#This Row],[SOL'#]]</f>
        <v>SOL-10042</v>
      </c>
      <c r="D117" s="9">
        <f>SUM(Apr!D117, May!D117, Jun!D117)</f>
        <v>5420</v>
      </c>
      <c r="E117" s="14">
        <f>SUM(Apr!E117, May!E117, Jun!E117)</f>
        <v>5159.7939999999999</v>
      </c>
      <c r="F117" s="14">
        <f t="shared" si="14"/>
        <v>260.20600000000013</v>
      </c>
      <c r="G117" s="15">
        <f t="shared" si="15"/>
        <v>5.0429532651884969E-2</v>
      </c>
      <c r="H117" s="16">
        <f>SUM(Apr!H117, May!H117, Jun!H117)</f>
        <v>5554.3060000000005</v>
      </c>
      <c r="I117" s="16">
        <f>SUM(Apr!I117, May!I117, Jun!I117)</f>
        <v>-134.30600000000004</v>
      </c>
      <c r="J117" s="15">
        <f t="shared" si="13"/>
        <v>-2.4180518682262019E-2</v>
      </c>
    </row>
    <row r="118" spans="1:10" ht="15.6">
      <c r="A118" s="24" t="str">
        <v>Clayton Hall</v>
      </c>
      <c r="B118" s="25" t="str">
        <v>DE</v>
      </c>
      <c r="C118" s="25" t="str">
        <f>Sites[[#This Row],[SOL'#]]</f>
        <v>SOL-10820</v>
      </c>
      <c r="D118" s="60">
        <f>SUM(Apr!D118, May!D118, Jun!D118)</f>
        <v>49902</v>
      </c>
      <c r="E118" s="10">
        <f>SUM(Apr!E118, May!E118, Jun!E118)</f>
        <v>61926.524000000005</v>
      </c>
      <c r="F118" s="10">
        <f t="shared" si="14"/>
        <v>-12024.524000000005</v>
      </c>
      <c r="G118" s="61">
        <f t="shared" si="15"/>
        <v>-0.19417405052478004</v>
      </c>
      <c r="H118" s="12">
        <f>SUM(Apr!H118, May!H118, Jun!H118)</f>
        <v>57047.709000000003</v>
      </c>
      <c r="I118" s="12">
        <f>SUM(Apr!I118, May!I118, Jun!I118)</f>
        <v>-7145.7089999999989</v>
      </c>
      <c r="J118" s="13">
        <f t="shared" si="13"/>
        <v>-0.12525847444636207</v>
      </c>
    </row>
    <row r="119" spans="1:10" ht="15.6">
      <c r="A119" s="26" t="str">
        <v>Field House</v>
      </c>
      <c r="B119" s="27" t="str">
        <v>DE</v>
      </c>
      <c r="C119" s="27" t="str">
        <f>Sites[[#This Row],[SOL'#]]</f>
        <v>SOL-10821</v>
      </c>
      <c r="D119" s="9">
        <f>SUM(Apr!D119, May!D119, Jun!D119)</f>
        <v>146006</v>
      </c>
      <c r="E119" s="14">
        <f>SUM(Apr!E119, May!E119, Jun!E119)</f>
        <v>0</v>
      </c>
      <c r="F119" s="14">
        <f t="shared" si="14"/>
        <v>146006</v>
      </c>
      <c r="G119" s="15" t="str">
        <f t="shared" si="15"/>
        <v/>
      </c>
      <c r="H119" s="16">
        <f>SUM(Apr!H119, May!H119, Jun!H119)</f>
        <v>142862.96799999999</v>
      </c>
      <c r="I119" s="16">
        <f>SUM(Apr!I119, May!I119, Jun!I119)</f>
        <v>3143.0319999999992</v>
      </c>
      <c r="J119" s="15">
        <f t="shared" si="13"/>
        <v>2.2000326914669723E-2</v>
      </c>
    </row>
    <row r="120" spans="1:10" ht="15.6">
      <c r="A120" s="24" t="str">
        <v>Wyoming Road</v>
      </c>
      <c r="B120" s="25" t="str">
        <v>DE</v>
      </c>
      <c r="C120" s="25" t="str">
        <f>Sites[[#This Row],[SOL'#]]</f>
        <v>SOL-10819</v>
      </c>
      <c r="D120" s="60">
        <f>SUM(Apr!D120, May!D120, Jun!D120)</f>
        <v>79137</v>
      </c>
      <c r="E120" s="10">
        <f>SUM(Apr!E120, May!E120, Jun!E120)</f>
        <v>95423.603999999992</v>
      </c>
      <c r="F120" s="10">
        <f t="shared" si="14"/>
        <v>-16286.603999999992</v>
      </c>
      <c r="G120" s="61">
        <f t="shared" si="15"/>
        <v>-0.17067689038447964</v>
      </c>
      <c r="H120" s="12">
        <f>SUM(Apr!H120, May!H120, Jun!H120)</f>
        <v>105986.17</v>
      </c>
      <c r="I120" s="12">
        <f>SUM(Apr!I120, May!I120, Jun!I120)</f>
        <v>-26849.17</v>
      </c>
      <c r="J120" s="13">
        <f t="shared" si="13"/>
        <v>-0.25332710862181357</v>
      </c>
    </row>
    <row r="121" spans="1:10" ht="15.6">
      <c r="A121" s="26" t="str">
        <v>94-246 Leoku St. - PV Bldg E, F, G</v>
      </c>
      <c r="B121" s="27" t="str">
        <v>HI</v>
      </c>
      <c r="C121" s="27" t="str">
        <f>Sites[[#This Row],[SOL'#]]</f>
        <v>SOL-10071</v>
      </c>
      <c r="D121" s="9">
        <f>SUM(Apr!D121, May!D121, Jun!D121)</f>
        <v>24365</v>
      </c>
      <c r="E121" s="14">
        <f>SUM(Apr!E121, May!E121, Jun!E121)</f>
        <v>35826.979999999996</v>
      </c>
      <c r="F121" s="14">
        <f t="shared" si="14"/>
        <v>-11461.979999999996</v>
      </c>
      <c r="G121" s="15">
        <f t="shared" si="15"/>
        <v>-0.31992593291424498</v>
      </c>
      <c r="H121" s="16">
        <f>SUM(Apr!H121, May!H121, Jun!H121)</f>
        <v>38937.006999999998</v>
      </c>
      <c r="I121" s="16">
        <f>SUM(Apr!I121, May!I121, Jun!I121)</f>
        <v>-14572.007</v>
      </c>
      <c r="J121" s="15">
        <f t="shared" si="13"/>
        <v>-0.37424568868377583</v>
      </c>
    </row>
    <row r="122" spans="1:10" ht="15.6">
      <c r="A122" s="24" t="str">
        <v>94-099 Waipahu St - PV</v>
      </c>
      <c r="B122" s="25" t="str">
        <v>HI</v>
      </c>
      <c r="C122" s="25" t="str">
        <f>Sites[[#This Row],[SOL'#]]</f>
        <v>SOL-10068</v>
      </c>
      <c r="D122" s="60">
        <f>SUM(Apr!D122, May!D122, Jun!D122)</f>
        <v>40492</v>
      </c>
      <c r="E122" s="10">
        <f>SUM(Apr!E122, May!E122, Jun!E122)</f>
        <v>32076.989000000001</v>
      </c>
      <c r="F122" s="10">
        <f t="shared" si="14"/>
        <v>8415.0109999999986</v>
      </c>
      <c r="G122" s="61">
        <f t="shared" si="15"/>
        <v>0.26233793327671739</v>
      </c>
      <c r="H122" s="12">
        <f>SUM(Apr!H122, May!H122, Jun!H122)</f>
        <v>38916.21</v>
      </c>
      <c r="I122" s="12">
        <f>SUM(Apr!I122, May!I122, Jun!I122)</f>
        <v>1575.7900000000009</v>
      </c>
      <c r="J122" s="13">
        <f t="shared" si="13"/>
        <v>4.0491867013771408E-2</v>
      </c>
    </row>
    <row r="123" spans="1:10" ht="15.6">
      <c r="A123" s="26" t="str">
        <v>TES Bird in Hand</v>
      </c>
      <c r="B123" s="27" t="str">
        <v>MD</v>
      </c>
      <c r="C123" s="27" t="str">
        <f>Sites[[#This Row],[SOL'#]]</f>
        <v>SOL-10092</v>
      </c>
      <c r="D123" s="9">
        <f>SUM(Apr!D123, May!D123, Jun!D123)</f>
        <v>521080</v>
      </c>
      <c r="E123" s="14">
        <f>SUM(Apr!E123, May!E123, Jun!E123)</f>
        <v>513922.09100000001</v>
      </c>
      <c r="F123" s="14">
        <f t="shared" si="14"/>
        <v>7157.9089999999851</v>
      </c>
      <c r="G123" s="15">
        <f t="shared" si="15"/>
        <v>1.3928004118429664E-2</v>
      </c>
      <c r="H123" s="16">
        <f>SUM(Apr!H123, May!H123, Jun!H123)</f>
        <v>503203.26699999999</v>
      </c>
      <c r="I123" s="16">
        <f>SUM(Apr!I123, May!I123, Jun!I123)</f>
        <v>17876.733000000007</v>
      </c>
      <c r="J123" s="15">
        <f t="shared" si="13"/>
        <v>3.552586831674924E-2</v>
      </c>
    </row>
    <row r="124" spans="1:10" ht="15.6">
      <c r="A124" s="24" t="str">
        <v>TES Shortal Solar LLC</v>
      </c>
      <c r="B124" s="25" t="str">
        <v>MD</v>
      </c>
      <c r="C124" s="25" t="str">
        <f>Sites[[#This Row],[SOL'#]]</f>
        <v>SOL-10091</v>
      </c>
      <c r="D124" s="60">
        <f>SUM(Apr!D124, May!D124, Jun!D124)</f>
        <v>520404</v>
      </c>
      <c r="E124" s="10">
        <f>SUM(Apr!E124, May!E124, Jun!E124)</f>
        <v>514205.35600000003</v>
      </c>
      <c r="F124" s="10">
        <f t="shared" si="14"/>
        <v>6198.6439999999711</v>
      </c>
      <c r="G124" s="61">
        <f t="shared" si="15"/>
        <v>1.2054802478564558E-2</v>
      </c>
      <c r="H124" s="12">
        <f>SUM(Apr!H124, May!H124, Jun!H124)</f>
        <v>550177.473</v>
      </c>
      <c r="I124" s="12">
        <f>SUM(Apr!I124, May!I124, Jun!I124)</f>
        <v>-29773.472999999998</v>
      </c>
      <c r="J124" s="13">
        <f t="shared" si="13"/>
        <v>-5.4116125179847194E-2</v>
      </c>
    </row>
    <row r="125" spans="1:10" ht="15.6">
      <c r="A125" s="26" t="str">
        <v>Coca Cola Aguadilla</v>
      </c>
      <c r="B125" s="27" t="str">
        <v>PR</v>
      </c>
      <c r="C125" s="27" t="str">
        <f>Sites[[#This Row],[SOL'#]]</f>
        <v>SOL-10072</v>
      </c>
      <c r="D125" s="9">
        <f>SUM(Apr!D125, May!D125, Jun!D125)</f>
        <v>45264</v>
      </c>
      <c r="E125" s="14">
        <f>SUM(Apr!E125, May!E125, Jun!E125)</f>
        <v>58958.913</v>
      </c>
      <c r="F125" s="14">
        <f t="shared" si="14"/>
        <v>-13694.913</v>
      </c>
      <c r="G125" s="15">
        <f t="shared" si="15"/>
        <v>-0.23227892617355411</v>
      </c>
      <c r="H125" s="16">
        <f>SUM(Apr!H125, May!H125, Jun!H125)</f>
        <v>64314.983999999997</v>
      </c>
      <c r="I125" s="16">
        <f>SUM(Apr!I125, May!I125, Jun!I125)</f>
        <v>-19050.984</v>
      </c>
      <c r="J125" s="15">
        <f t="shared" si="13"/>
        <v>-0.29621377189489778</v>
      </c>
    </row>
    <row r="126" spans="1:10" ht="15.6">
      <c r="A126" s="24" t="str">
        <v>Coca Cola Bayamon</v>
      </c>
      <c r="B126" s="25" t="str">
        <v>PR</v>
      </c>
      <c r="C126" s="25" t="str">
        <f>Sites[[#This Row],[SOL'#]]</f>
        <v>SOL-10073</v>
      </c>
      <c r="D126" s="60">
        <f>SUM(Apr!D126, May!D126, Jun!D126)</f>
        <v>167177</v>
      </c>
      <c r="E126" s="10">
        <f>SUM(Apr!E126, May!E126, Jun!E126)</f>
        <v>222833.51</v>
      </c>
      <c r="F126" s="10">
        <f t="shared" si="14"/>
        <v>-55656.510000000009</v>
      </c>
      <c r="G126" s="61">
        <f t="shared" si="15"/>
        <v>-0.24976723653457689</v>
      </c>
      <c r="H126" s="12">
        <f>SUM(Apr!H126, May!H126, Jun!H126)</f>
        <v>264066.826</v>
      </c>
      <c r="I126" s="12">
        <f>SUM(Apr!I126, May!I126, Jun!I126)</f>
        <v>-96889.826000000001</v>
      </c>
      <c r="J126" s="13">
        <f t="shared" si="13"/>
        <v>-0.36691404016042517</v>
      </c>
    </row>
    <row r="127" spans="1:10" ht="15.6">
      <c r="A127" s="26" t="str">
        <v>St Francis School</v>
      </c>
      <c r="B127" s="27" t="str">
        <v>PR</v>
      </c>
      <c r="C127" s="27" t="str">
        <f>Sites[[#This Row],[SOL'#]]</f>
        <v>SOL-10034</v>
      </c>
      <c r="D127" s="9">
        <f>SUM(Apr!D127, May!D127, Jun!D127)</f>
        <v>72522.25</v>
      </c>
      <c r="E127" s="14">
        <f>SUM(Apr!E127, May!E127, Jun!E127)</f>
        <v>167678.79200000002</v>
      </c>
      <c r="F127" s="14">
        <f t="shared" si="14"/>
        <v>-95156.542000000016</v>
      </c>
      <c r="G127" s="15">
        <f t="shared" si="15"/>
        <v>-0.56749300770248878</v>
      </c>
      <c r="H127" s="16">
        <f>SUM(Apr!H127, May!H127, Jun!H127)</f>
        <v>131717.96799999999</v>
      </c>
      <c r="I127" s="16">
        <f>SUM(Apr!I127, May!I127, Jun!I127)</f>
        <v>-59195.718000000001</v>
      </c>
      <c r="J127" s="15">
        <f t="shared" si="13"/>
        <v>-0.44941262683311362</v>
      </c>
    </row>
    <row r="128" spans="1:10" ht="15.6">
      <c r="A128" s="24" t="str">
        <v>645 Summer Street - (Seaport Solar)</v>
      </c>
      <c r="B128" s="25" t="str">
        <v>MA</v>
      </c>
      <c r="C128" s="25" t="str">
        <f>Sites[[#This Row],[SOL'#]]</f>
        <v>SOL-10772</v>
      </c>
      <c r="D128" s="60">
        <f>SUM(Apr!D128, May!D128, Jun!D128)</f>
        <v>119476.5</v>
      </c>
      <c r="E128" s="10">
        <f>SUM(Apr!E128, May!E128, Jun!E128)</f>
        <v>12809.084000000001</v>
      </c>
      <c r="F128" s="10">
        <f t="shared" si="14"/>
        <v>106667.416</v>
      </c>
      <c r="G128" s="61">
        <f t="shared" si="15"/>
        <v>8.3274819651428622</v>
      </c>
      <c r="H128" s="12">
        <f>SUM(Apr!H128, May!H128, Jun!H128)</f>
        <v>228800.89799999999</v>
      </c>
      <c r="I128" s="12">
        <f>SUM(Apr!I128, May!I128, Jun!I128)</f>
        <v>-109324.398</v>
      </c>
      <c r="J128" s="13">
        <f t="shared" si="13"/>
        <v>-0.47781454948660212</v>
      </c>
    </row>
    <row r="129" spans="1:10" ht="15.6">
      <c r="A129" s="26" t="str">
        <v>480 Sprague St</v>
      </c>
      <c r="B129" s="27" t="str">
        <v>MA</v>
      </c>
      <c r="C129" s="27" t="str">
        <f>Sites[[#This Row],[SOL'#]]</f>
        <v>SOL-10773</v>
      </c>
      <c r="D129" s="9">
        <f>SUM(Apr!D129, May!D129, Jun!D129)</f>
        <v>472070</v>
      </c>
      <c r="E129" s="14">
        <f>SUM(Apr!E129, May!E129, Jun!E129)</f>
        <v>173344.554</v>
      </c>
      <c r="F129" s="14">
        <f t="shared" si="14"/>
        <v>298725.446</v>
      </c>
      <c r="G129" s="15">
        <f t="shared" si="15"/>
        <v>1.7233044771628647</v>
      </c>
      <c r="H129" s="16">
        <f>SUM(Apr!H129, May!H129, Jun!H129)</f>
        <v>507397.30700000003</v>
      </c>
      <c r="I129" s="16">
        <f>SUM(Apr!I129, May!I129, Jun!I129)</f>
        <v>-35327.307000000001</v>
      </c>
      <c r="J129" s="15">
        <f t="shared" si="13"/>
        <v>-6.9624545721130526E-2</v>
      </c>
    </row>
    <row r="130" spans="1:10" ht="15.6">
      <c r="A130" s="24" t="str">
        <v>647 Summer Street - (Summer Street Solar)</v>
      </c>
      <c r="B130" s="25" t="str">
        <v>MA</v>
      </c>
      <c r="C130" s="25" t="str">
        <f>Sites[[#This Row],[SOL'#]]</f>
        <v>SOL-10764</v>
      </c>
      <c r="D130" s="60">
        <f>SUM(Apr!D130, May!D130, Jun!D130)</f>
        <v>366688</v>
      </c>
      <c r="E130" s="10">
        <f>SUM(Apr!E130, May!E130, Jun!E130)</f>
        <v>409042.34099999996</v>
      </c>
      <c r="F130" s="10">
        <f t="shared" si="14"/>
        <v>-42354.340999999957</v>
      </c>
      <c r="G130" s="61">
        <f t="shared" si="15"/>
        <v>-0.10354512664008042</v>
      </c>
      <c r="H130" s="12">
        <f>SUM(Apr!H130, May!H130, Jun!H130)</f>
        <v>1072122.01</v>
      </c>
      <c r="I130" s="12">
        <f>SUM(Apr!I130, May!I130, Jun!I130)</f>
        <v>-705434.01</v>
      </c>
      <c r="J130" s="13">
        <f t="shared" si="13"/>
        <v>-0.65797922570398493</v>
      </c>
    </row>
    <row r="131" spans="1:10" ht="15.6">
      <c r="A131" s="26" t="str">
        <v>Rochester Technical School (Wakefield Street)</v>
      </c>
      <c r="B131" s="27" t="str">
        <v>NH</v>
      </c>
      <c r="C131" s="27" t="str">
        <f>Sites[[#This Row],[SOL'#]]</f>
        <v>SOL-10768</v>
      </c>
      <c r="D131" s="9">
        <f>SUM(Apr!D131, May!D131, Jun!D131)</f>
        <v>77141.243000000002</v>
      </c>
      <c r="E131" s="14">
        <f>SUM(Apr!E131, May!E131, Jun!E131)</f>
        <v>79846.759000000005</v>
      </c>
      <c r="F131" s="14">
        <f t="shared" si="14"/>
        <v>-2705.5160000000033</v>
      </c>
      <c r="G131" s="15">
        <f t="shared" si="15"/>
        <v>-3.3883854947700548E-2</v>
      </c>
      <c r="H131" s="16">
        <f>SUM(Apr!H131, May!H131, Jun!H131)</f>
        <v>77038.861999999994</v>
      </c>
      <c r="I131" s="16">
        <f>SUM(Apr!I131, May!I131, Jun!I131)</f>
        <v>102.38099999999758</v>
      </c>
      <c r="J131" s="15">
        <f t="shared" si="13"/>
        <v>1.3289526524937192E-3</v>
      </c>
    </row>
    <row r="132" spans="1:10" ht="15.6">
      <c r="A132" s="24" t="str">
        <v>McClelland ES</v>
      </c>
      <c r="B132" s="25" t="str">
        <v>NH</v>
      </c>
      <c r="C132" s="25" t="str">
        <f>Sites[[#This Row],[SOL'#]]</f>
        <v>SOL-10766</v>
      </c>
      <c r="D132" s="60">
        <f>SUM(Apr!D132, May!D132, Jun!D132)</f>
        <v>32910.096019999997</v>
      </c>
      <c r="E132" s="10">
        <f>SUM(Apr!E132, May!E132, Jun!E132)</f>
        <v>34867.906000000003</v>
      </c>
      <c r="F132" s="10">
        <f t="shared" si="14"/>
        <v>-1957.8099800000055</v>
      </c>
      <c r="G132" s="61">
        <f t="shared" si="15"/>
        <v>-5.6149342033903767E-2</v>
      </c>
      <c r="H132" s="12">
        <f>SUM(Apr!H132, May!H132, Jun!H132)</f>
        <v>30815.933000000005</v>
      </c>
      <c r="I132" s="12">
        <f>SUM(Apr!I132, May!I132, Jun!I132)</f>
        <v>2094.16302</v>
      </c>
      <c r="J132" s="13">
        <f t="shared" si="13"/>
        <v>6.795715125678653E-2</v>
      </c>
    </row>
    <row r="133" spans="1:10" ht="15.6">
      <c r="A133" s="26" t="str">
        <v>Portland St</v>
      </c>
      <c r="B133" s="27" t="str">
        <v>NH</v>
      </c>
      <c r="C133" s="27" t="str">
        <f>Sites[[#This Row],[SOL'#]]</f>
        <v>SOL-10771</v>
      </c>
      <c r="D133" s="9">
        <f>SUM(Apr!D133, May!D133, Jun!D133)</f>
        <v>28727.248</v>
      </c>
      <c r="E133" s="14">
        <f>SUM(Apr!E133, May!E133, Jun!E133)</f>
        <v>20909.165000000001</v>
      </c>
      <c r="F133" s="14">
        <f t="shared" si="14"/>
        <v>7818.0829999999987</v>
      </c>
      <c r="G133" s="15">
        <f t="shared" si="15"/>
        <v>0.37390699246000492</v>
      </c>
      <c r="H133" s="16">
        <f>SUM(Apr!H133, May!H133, Jun!H133)</f>
        <v>25922.280999999999</v>
      </c>
      <c r="I133" s="16">
        <f>SUM(Apr!I133, May!I133, Jun!I133)</f>
        <v>1664.4409999999989</v>
      </c>
      <c r="J133" s="15">
        <f t="shared" si="13"/>
        <v>6.4208894271302705E-2</v>
      </c>
    </row>
    <row r="134" spans="1:10" ht="15.6">
      <c r="A134" s="24" t="str">
        <v>Freshet Road -PHS</v>
      </c>
      <c r="B134" s="25" t="str">
        <v>NH</v>
      </c>
      <c r="C134" s="25" t="str">
        <f>Sites[[#This Row],[SOL'#]]</f>
        <v>SOL-10769</v>
      </c>
      <c r="D134" s="60">
        <f>SUM(Apr!D134, May!D134, Jun!D134)</f>
        <v>113576.625</v>
      </c>
      <c r="E134" s="10">
        <f>SUM(Apr!E134, May!E134, Jun!E134)</f>
        <v>0</v>
      </c>
      <c r="F134" s="10">
        <f t="shared" si="14"/>
        <v>113576.625</v>
      </c>
      <c r="G134" s="61" t="str">
        <f t="shared" si="15"/>
        <v/>
      </c>
      <c r="H134" s="12">
        <f>SUM(Apr!H134, May!H134, Jun!H134)</f>
        <v>97600.72099999999</v>
      </c>
      <c r="I134" s="12">
        <f>SUM(Apr!I134, May!I134, Jun!I134)</f>
        <v>15975.904000000002</v>
      </c>
      <c r="J134" s="13">
        <f t="shared" si="13"/>
        <v>0.16368633178437281</v>
      </c>
    </row>
    <row r="135" spans="1:10" ht="15.6">
      <c r="A135" s="26" t="str">
        <v>Freshet Road - PWTP</v>
      </c>
      <c r="B135" s="27" t="str">
        <v>NH</v>
      </c>
      <c r="C135" s="27" t="str">
        <f>Sites[[#This Row],[SOL'#]]</f>
        <v>SOL-10770</v>
      </c>
      <c r="D135" s="9">
        <f>SUM(Apr!D135, May!D135, Jun!D135)</f>
        <v>0</v>
      </c>
      <c r="E135" s="14">
        <f>SUM(Apr!E135, May!E135, Jun!E135)</f>
        <v>0</v>
      </c>
      <c r="F135" s="14">
        <f t="shared" si="14"/>
        <v>0</v>
      </c>
      <c r="G135" s="15" t="str">
        <f t="shared" si="15"/>
        <v/>
      </c>
      <c r="H135" s="16">
        <f>SUM(Apr!H135, May!H135, Jun!H135)</f>
        <v>37843</v>
      </c>
      <c r="I135" s="16">
        <f>SUM(Apr!I135, May!I135, Jun!I135)</f>
        <v>-37843</v>
      </c>
      <c r="J135" s="15">
        <f t="shared" si="13"/>
        <v>-1</v>
      </c>
    </row>
    <row r="136" spans="1:10" ht="15.6">
      <c r="A136" s="24" t="str">
        <v>Rochester Middle School (Brock Street)</v>
      </c>
      <c r="B136" s="25" t="str">
        <v>NH</v>
      </c>
      <c r="C136" s="25" t="str">
        <f>Sites[[#This Row],[SOL'#]]</f>
        <v>SOL-10765</v>
      </c>
      <c r="D136" s="60">
        <f>SUM(Apr!D136, May!D136, Jun!D136)</f>
        <v>95521.243000000002</v>
      </c>
      <c r="E136" s="10">
        <f>SUM(Apr!E136, May!E136, Jun!E136)</f>
        <v>100131.75900000001</v>
      </c>
      <c r="F136" s="10">
        <f t="shared" si="14"/>
        <v>-4610.5160000000033</v>
      </c>
      <c r="G136" s="61">
        <f t="shared" si="15"/>
        <v>-4.604449223747286E-2</v>
      </c>
      <c r="H136" s="12">
        <f>SUM(Apr!H136, May!H136, Jun!H136)</f>
        <v>94968.861999999994</v>
      </c>
      <c r="I136" s="12">
        <f>SUM(Apr!I136, May!I136, Jun!I136)</f>
        <v>552.38099999999758</v>
      </c>
      <c r="J136" s="13">
        <f t="shared" si="13"/>
        <v>5.8164432885380642E-3</v>
      </c>
    </row>
    <row r="137" spans="1:10" ht="15.6">
      <c r="A137" s="26" t="str">
        <v>Spaulding High School (Wakefield Street)</v>
      </c>
      <c r="B137" s="27" t="str">
        <v>NH</v>
      </c>
      <c r="C137" s="27" t="str">
        <f>Sites[[#This Row],[SOL'#]]</f>
        <v>SOL-10767</v>
      </c>
      <c r="D137" s="9">
        <f>SUM(Apr!D137, May!D137, Jun!D137)</f>
        <v>46307.005539999998</v>
      </c>
      <c r="E137" s="14">
        <f>SUM(Apr!E137, May!E137, Jun!E137)</f>
        <v>43080.959999999999</v>
      </c>
      <c r="F137" s="14">
        <f t="shared" si="14"/>
        <v>3226.0455399999992</v>
      </c>
      <c r="G137" s="15">
        <f t="shared" si="15"/>
        <v>7.4883325255518898E-2</v>
      </c>
      <c r="H137" s="16">
        <f>SUM(Apr!H137, May!H137, Jun!H137)</f>
        <v>42819.038</v>
      </c>
      <c r="I137" s="16">
        <f>SUM(Apr!I137, May!I137, Jun!I137)</f>
        <v>3487.9675399999996</v>
      </c>
      <c r="J137" s="15">
        <f t="shared" si="13"/>
        <v>8.1458334958389292E-2</v>
      </c>
    </row>
    <row r="138" spans="1:10" ht="15.6">
      <c r="A138" s="24" t="str">
        <v>Ridgeway #2</v>
      </c>
      <c r="B138" s="25" t="str">
        <v>NY</v>
      </c>
      <c r="C138" s="25" t="str">
        <f>Sites[[#This Row],[SOL'#]]</f>
        <v>SOL-11027</v>
      </c>
      <c r="D138" s="60">
        <f>SUM(Apr!D138, May!D138, Jun!D138)</f>
        <v>1592692</v>
      </c>
      <c r="E138" s="10">
        <f>SUM(Apr!E138, May!E138, Jun!E138)</f>
        <v>0</v>
      </c>
      <c r="F138" s="10">
        <f t="shared" si="14"/>
        <v>1592692</v>
      </c>
      <c r="G138" s="61" t="str">
        <f t="shared" si="15"/>
        <v/>
      </c>
      <c r="H138" s="12">
        <f>SUM(Apr!H138, May!H138, Jun!H138)</f>
        <v>1804343.94</v>
      </c>
      <c r="I138" s="12">
        <f>SUM(Apr!I138, May!I138, Jun!I138)</f>
        <v>-211651.94000000006</v>
      </c>
      <c r="J138" s="13">
        <f t="shared" si="13"/>
        <v>-0.11730132781669113</v>
      </c>
    </row>
    <row r="139" spans="1:10" ht="15.6">
      <c r="A139" s="26" t="str">
        <v>Spencer</v>
      </c>
      <c r="B139" s="27" t="str">
        <v>NY</v>
      </c>
      <c r="C139" s="27" t="str">
        <f>Sites[[#This Row],[SOL'#]]</f>
        <v>SOL-11017</v>
      </c>
      <c r="D139" s="9">
        <f>SUM(Apr!D139, May!D139, Jun!D139)</f>
        <v>2826576</v>
      </c>
      <c r="E139" s="14">
        <f>SUM(Apr!E139, May!E139, Jun!E139)</f>
        <v>0</v>
      </c>
      <c r="F139" s="14">
        <f t="shared" si="14"/>
        <v>2826576</v>
      </c>
      <c r="G139" s="15" t="str">
        <f t="shared" si="15"/>
        <v/>
      </c>
      <c r="H139" s="16">
        <f>SUM(Apr!H139, May!H139, Jun!H139)</f>
        <v>3451655</v>
      </c>
      <c r="I139" s="16">
        <f>SUM(Apr!I139, May!I139, Jun!I139)</f>
        <v>-625079</v>
      </c>
      <c r="J139" s="15">
        <f t="shared" si="13"/>
        <v>-0.18109544551816448</v>
      </c>
    </row>
    <row r="140" spans="1:10" ht="15.6">
      <c r="A140" s="24" t="str">
        <v>Reisender</v>
      </c>
      <c r="B140" s="25" t="str">
        <v>NY</v>
      </c>
      <c r="C140" s="25" t="str">
        <f>Sites[[#This Row],[SOL'#]]</f>
        <v>SOL-10886</v>
      </c>
      <c r="D140" s="60">
        <f>SUM(Apr!D140, May!D140, Jun!D140)</f>
        <v>945850</v>
      </c>
      <c r="E140" s="10">
        <f>SUM(Apr!E140, May!E140, Jun!E140)</f>
        <v>960944.12</v>
      </c>
      <c r="F140" s="10">
        <f t="shared" si="14"/>
        <v>-15094.119999999995</v>
      </c>
      <c r="G140" s="61">
        <f t="shared" si="15"/>
        <v>-1.5707593902546585E-2</v>
      </c>
      <c r="H140" s="12">
        <f>SUM(Apr!H140, May!H140, Jun!H140)</f>
        <v>1116329.97</v>
      </c>
      <c r="I140" s="12">
        <f>SUM(Apr!I140, May!I140, Jun!I140)</f>
        <v>-170479.96999999997</v>
      </c>
      <c r="J140" s="13">
        <f t="shared" si="13"/>
        <v>-0.15271467628876789</v>
      </c>
    </row>
    <row r="141" spans="1:10" ht="15.6">
      <c r="A141" s="26" t="str">
        <v>Finney</v>
      </c>
      <c r="B141" s="27" t="str">
        <v>NY</v>
      </c>
      <c r="C141" s="27" t="str">
        <f>Sites[[#This Row],[SOL'#]]</f>
        <v>SOL-10999</v>
      </c>
      <c r="D141" s="9">
        <f>SUM(Apr!D141, May!D141, Jun!D141)</f>
        <v>2875000</v>
      </c>
      <c r="E141" s="14">
        <f>SUM(Apr!E141, May!E141, Jun!E141)</f>
        <v>0</v>
      </c>
      <c r="F141" s="14">
        <f t="shared" si="14"/>
        <v>2875000</v>
      </c>
      <c r="G141" s="15" t="str">
        <f t="shared" si="15"/>
        <v/>
      </c>
      <c r="H141" s="16">
        <f>SUM(Apr!H141, May!H141, Jun!H141)</f>
        <v>3412414.67</v>
      </c>
      <c r="I141" s="16">
        <f>SUM(Apr!I141, May!I141, Jun!I141)</f>
        <v>-537414.67000000004</v>
      </c>
      <c r="J141" s="15">
        <f t="shared" si="13"/>
        <v>-0.15748809039084341</v>
      </c>
    </row>
    <row r="142" spans="1:10" ht="15.6">
      <c r="A142" s="24" t="str">
        <v>Davis Solar</v>
      </c>
      <c r="B142" s="25" t="str">
        <v>NY</v>
      </c>
      <c r="C142" s="25" t="str">
        <f>Sites[[#This Row],[SOL'#]]</f>
        <v>SOL-10958</v>
      </c>
      <c r="D142" s="60">
        <f>SUM(Apr!D142, May!D142, Jun!D142)</f>
        <v>878311</v>
      </c>
      <c r="E142" s="10">
        <f>SUM(Apr!E142, May!E142, Jun!E142)</f>
        <v>1055845.3</v>
      </c>
      <c r="F142" s="10">
        <f t="shared" si="14"/>
        <v>-177534.30000000005</v>
      </c>
      <c r="G142" s="61">
        <f t="shared" si="15"/>
        <v>-0.16814423476621057</v>
      </c>
      <c r="H142" s="12">
        <f>SUM(Apr!H142, May!H142, Jun!H142)</f>
        <v>1305424</v>
      </c>
      <c r="I142" s="12">
        <f>SUM(Apr!I142, May!I142, Jun!I142)</f>
        <v>-427113</v>
      </c>
      <c r="J142" s="13">
        <f t="shared" si="13"/>
        <v>-0.32718335192244052</v>
      </c>
    </row>
    <row r="143" spans="1:10" ht="15.6">
      <c r="A143" s="26" t="str">
        <v>Genesee</v>
      </c>
      <c r="B143" s="27" t="str">
        <v>NY</v>
      </c>
      <c r="C143" s="27" t="str">
        <f>Sites[[#This Row],[SOL'#]]</f>
        <v>SOL-10951</v>
      </c>
      <c r="D143" s="9">
        <f>SUM(Apr!D143, May!D143, Jun!D143)</f>
        <v>1060616</v>
      </c>
      <c r="E143" s="14">
        <f>SUM(Apr!E143, May!E143, Jun!E143)</f>
        <v>0</v>
      </c>
      <c r="F143" s="14">
        <f t="shared" si="14"/>
        <v>1060616</v>
      </c>
      <c r="G143" s="15" t="str">
        <f t="shared" si="15"/>
        <v/>
      </c>
      <c r="H143" s="16">
        <f>SUM(Apr!H143, May!H143, Jun!H143)</f>
        <v>2666906.7800000003</v>
      </c>
      <c r="I143" s="16">
        <f>SUM(Apr!I143, May!I143, Jun!I143)</f>
        <v>-1606290.78</v>
      </c>
      <c r="J143" s="15">
        <f t="shared" si="13"/>
        <v>-0.60230480946919329</v>
      </c>
    </row>
    <row r="144" spans="1:10" ht="15.6">
      <c r="A144" s="24" t="str">
        <v>Landau I</v>
      </c>
      <c r="B144" s="25" t="str">
        <v>NY</v>
      </c>
      <c r="C144" s="25" t="str">
        <f>Sites[[#This Row],[SOL'#]]</f>
        <v>SOL-10891</v>
      </c>
      <c r="D144" s="60">
        <f>SUM(Apr!D144, May!D144, Jun!D144)</f>
        <v>1053070</v>
      </c>
      <c r="E144" s="10">
        <f>SUM(Apr!E144, May!E144, Jun!E144)</f>
        <v>0</v>
      </c>
      <c r="F144" s="10">
        <f t="shared" si="14"/>
        <v>1053070</v>
      </c>
      <c r="G144" s="61" t="str">
        <f t="shared" si="15"/>
        <v/>
      </c>
      <c r="H144" s="12">
        <f>SUM(Apr!H144, May!H144, Jun!H144)</f>
        <v>1193405.3999999999</v>
      </c>
      <c r="I144" s="12">
        <f>SUM(Apr!I144, May!I144, Jun!I144)</f>
        <v>-140335.40000000002</v>
      </c>
      <c r="J144" s="13">
        <f t="shared" si="13"/>
        <v>-0.11759239567711026</v>
      </c>
    </row>
    <row r="145" spans="1:10" ht="15.6">
      <c r="A145" s="26" t="str">
        <v>Landau II</v>
      </c>
      <c r="B145" s="27" t="str">
        <v>NY</v>
      </c>
      <c r="C145" s="27" t="str">
        <f>Sites[[#This Row],[SOL'#]]</f>
        <v>SOL-10895</v>
      </c>
      <c r="D145" s="9">
        <f>SUM(Apr!D145, May!D145, Jun!D145)</f>
        <v>758420</v>
      </c>
      <c r="E145" s="14">
        <f>SUM(Apr!E145, May!E145, Jun!E145)</f>
        <v>0</v>
      </c>
      <c r="F145" s="14">
        <f t="shared" si="14"/>
        <v>758420</v>
      </c>
      <c r="G145" s="15" t="str">
        <f t="shared" si="15"/>
        <v/>
      </c>
      <c r="H145" s="16">
        <f>SUM(Apr!H145, May!H145, Jun!H145)</f>
        <v>1715293.659</v>
      </c>
      <c r="I145" s="16">
        <f>SUM(Apr!I145, May!I145, Jun!I145)</f>
        <v>-979333.65899999999</v>
      </c>
      <c r="J145" s="15">
        <f t="shared" si="13"/>
        <v>-0.57094227210688941</v>
      </c>
    </row>
    <row r="146" spans="1:10" ht="15.6">
      <c r="A146" s="24" t="str">
        <v>New Beginnings</v>
      </c>
      <c r="B146" s="25" t="str">
        <v>NY</v>
      </c>
      <c r="C146" s="25" t="str">
        <f>Sites[[#This Row],[SOL'#]]</f>
        <v>SOL-10890</v>
      </c>
      <c r="D146" s="60">
        <f>SUM(Apr!D146, May!D146, Jun!D146)</f>
        <v>651810</v>
      </c>
      <c r="E146" s="10">
        <f>SUM(Apr!E146, May!E146, Jun!E146)</f>
        <v>1055750.54</v>
      </c>
      <c r="F146" s="10">
        <f t="shared" si="14"/>
        <v>-403940.54000000004</v>
      </c>
      <c r="G146" s="61">
        <f t="shared" si="15"/>
        <v>-0.38260983508471613</v>
      </c>
      <c r="H146" s="12">
        <f>SUM(Apr!H146, May!H146, Jun!H146)</f>
        <v>1163083.25</v>
      </c>
      <c r="I146" s="12">
        <f>SUM(Apr!I146, May!I146, Jun!I146)</f>
        <v>-511273.25</v>
      </c>
      <c r="J146" s="13">
        <f t="shared" ref="J146:J160" si="16">IFERROR(I146/H146, "")</f>
        <v>-0.43958439776344471</v>
      </c>
    </row>
    <row r="147" spans="1:10" ht="15.6">
      <c r="A147" s="26" t="str">
        <v>Bullitt Farm Solar, LLC</v>
      </c>
      <c r="B147" s="27" t="str">
        <v>NY</v>
      </c>
      <c r="C147" s="27" t="str">
        <f>Sites[[#This Row],[SOL'#]]</f>
        <v>SOL-10998</v>
      </c>
      <c r="D147" s="9">
        <f>SUM(Apr!D147, May!D147, Jun!D147)</f>
        <v>2684223</v>
      </c>
      <c r="E147" s="14">
        <f>SUM(Apr!E147, May!E147, Jun!E147)</f>
        <v>2695710.7069999999</v>
      </c>
      <c r="F147" s="14">
        <f t="shared" si="14"/>
        <v>-11487.706999999937</v>
      </c>
      <c r="G147" s="15">
        <f t="shared" si="15"/>
        <v>-4.2614761925935168E-3</v>
      </c>
      <c r="H147" s="16">
        <f>SUM(Apr!H147, May!H147, Jun!H147)</f>
        <v>3286795.46</v>
      </c>
      <c r="I147" s="16">
        <f>SUM(Apr!I147, May!I147, Jun!I147)</f>
        <v>-602572.46000000008</v>
      </c>
      <c r="J147" s="15">
        <f t="shared" si="16"/>
        <v>-0.18333129254109415</v>
      </c>
    </row>
    <row r="148" spans="1:10" ht="15.6">
      <c r="A148" s="24" t="str">
        <v>Brodhead Solar, LLC</v>
      </c>
      <c r="B148" s="25" t="str">
        <v>NY</v>
      </c>
      <c r="C148" s="25" t="str">
        <f>Sites[[#This Row],[SOL'#]]</f>
        <v>SOL-10899</v>
      </c>
      <c r="D148" s="60">
        <f>SUM(Apr!D148, May!D148, Jun!D148)</f>
        <v>1140529</v>
      </c>
      <c r="E148" s="10">
        <f>SUM(Apr!E148, May!E148, Jun!E148)</f>
        <v>1249481.0190000001</v>
      </c>
      <c r="F148" s="10">
        <f t="shared" si="14"/>
        <v>-108952.01900000009</v>
      </c>
      <c r="G148" s="61">
        <f t="shared" si="15"/>
        <v>-8.7197818408796562E-2</v>
      </c>
      <c r="H148" s="12">
        <f>SUM(Apr!H148, May!H148, Jun!H148)</f>
        <v>1489473.3900000001</v>
      </c>
      <c r="I148" s="12">
        <f>SUM(Apr!I148, May!I148, Jun!I148)</f>
        <v>-348944.39</v>
      </c>
      <c r="J148" s="13">
        <f t="shared" si="16"/>
        <v>-0.23427366500317268</v>
      </c>
    </row>
    <row r="149" spans="1:10" ht="15.6">
      <c r="A149" s="26" t="str">
        <v>Svenski</v>
      </c>
      <c r="B149" s="27" t="str">
        <v>NY</v>
      </c>
      <c r="C149" s="27" t="str">
        <f>Sites[[#This Row],[SOL'#]]</f>
        <v>SOL-10894</v>
      </c>
      <c r="D149" s="9">
        <f>SUM(Apr!D149, May!D149, Jun!D149)</f>
        <v>972265</v>
      </c>
      <c r="E149" s="14">
        <f>SUM(Apr!E149, May!E149, Jun!E149)</f>
        <v>0</v>
      </c>
      <c r="F149" s="14">
        <f t="shared" si="14"/>
        <v>972265</v>
      </c>
      <c r="G149" s="15" t="str">
        <f t="shared" si="15"/>
        <v/>
      </c>
      <c r="H149" s="16">
        <f>SUM(Apr!H149, May!H149, Jun!H149)</f>
        <v>1270424.8900000001</v>
      </c>
      <c r="I149" s="16">
        <f>SUM(Apr!I149, May!I149, Jun!I149)</f>
        <v>-298159.89</v>
      </c>
      <c r="J149" s="15">
        <f t="shared" si="16"/>
        <v>-0.23469304824467033</v>
      </c>
    </row>
    <row r="150" spans="1:10" ht="15.6">
      <c r="A150" s="24" t="str">
        <v>Bantam</v>
      </c>
      <c r="B150" s="25" t="str">
        <v>NY</v>
      </c>
      <c r="C150" s="25" t="str">
        <f>Sites[[#This Row],[SOL'#]]</f>
        <v>SOL-10986</v>
      </c>
      <c r="D150" s="60">
        <f>SUM(Apr!D150, May!D150, Jun!D150)</f>
        <v>250520</v>
      </c>
      <c r="E150" s="10">
        <f>SUM(Apr!E150, May!E150, Jun!E150)</f>
        <v>0</v>
      </c>
      <c r="F150" s="10">
        <f t="shared" si="14"/>
        <v>250520</v>
      </c>
      <c r="G150" s="61" t="str">
        <f t="shared" si="15"/>
        <v/>
      </c>
      <c r="H150" s="12">
        <f>SUM(Apr!H150, May!H150, Jun!H150)</f>
        <v>3314779.43</v>
      </c>
      <c r="I150" s="12">
        <f>SUM(Apr!I150, May!I150, Jun!I150)</f>
        <v>-3064259.43</v>
      </c>
      <c r="J150" s="13">
        <f t="shared" si="16"/>
        <v>-0.92442332731623111</v>
      </c>
    </row>
    <row r="151" spans="1:10" ht="15.6">
      <c r="A151" s="26" t="str">
        <v>Bogart</v>
      </c>
      <c r="B151" s="27" t="str">
        <v>NY</v>
      </c>
      <c r="C151" s="27" t="str">
        <f>Sites[[#This Row],[SOL'#]]</f>
        <v>SOL-10887</v>
      </c>
      <c r="D151" s="9">
        <f>SUM(Apr!D151, May!D151, Jun!D151)</f>
        <v>984420</v>
      </c>
      <c r="E151" s="14">
        <f>SUM(Apr!E151, May!E151, Jun!E151)</f>
        <v>1035523.6</v>
      </c>
      <c r="F151" s="14">
        <f t="shared" si="14"/>
        <v>-51103.599999999977</v>
      </c>
      <c r="G151" s="15">
        <f t="shared" si="15"/>
        <v>-4.9350492832804564E-2</v>
      </c>
      <c r="H151" s="16">
        <f>SUM(Apr!H151, May!H151, Jun!H151)</f>
        <v>1146533.8700000001</v>
      </c>
      <c r="I151" s="16">
        <f>SUM(Apr!I151, May!I151, Jun!I151)</f>
        <v>-162113.87</v>
      </c>
      <c r="J151" s="15">
        <f t="shared" si="16"/>
        <v>-0.14139475007397731</v>
      </c>
    </row>
    <row r="152" spans="1:10" ht="15.6">
      <c r="A152" s="24" t="str">
        <v>Dubois</v>
      </c>
      <c r="B152" s="25" t="str">
        <v>NY</v>
      </c>
      <c r="C152" s="25" t="str">
        <f>Sites[[#This Row],[SOL'#]]</f>
        <v>SOL-10892</v>
      </c>
      <c r="D152" s="60">
        <f>SUM(Apr!D152, May!D152, Jun!D152)</f>
        <v>606490</v>
      </c>
      <c r="E152" s="10">
        <f>SUM(Apr!E152, May!E152, Jun!E152)</f>
        <v>0</v>
      </c>
      <c r="F152" s="10">
        <f t="shared" si="14"/>
        <v>606490</v>
      </c>
      <c r="G152" s="61" t="str">
        <f t="shared" si="15"/>
        <v/>
      </c>
      <c r="H152" s="12">
        <f>SUM(Apr!H152, May!H152, Jun!H152)</f>
        <v>0</v>
      </c>
      <c r="I152" s="12">
        <f>SUM(Apr!I152, May!I152, Jun!I152)</f>
        <v>0</v>
      </c>
      <c r="J152" s="13" t="str">
        <f t="shared" si="16"/>
        <v/>
      </c>
    </row>
    <row r="153" spans="1:10" ht="15.6">
      <c r="A153" s="26" t="str">
        <v>Salt Point</v>
      </c>
      <c r="B153" s="27" t="str">
        <v>NY</v>
      </c>
      <c r="C153" s="27" t="str">
        <f>Sites[[#This Row],[SOL'#]]</f>
        <v>SOL-10888</v>
      </c>
      <c r="D153" s="9">
        <f>SUM(Apr!D153, May!D153, Jun!D153)</f>
        <v>1054770</v>
      </c>
      <c r="E153" s="14">
        <f>SUM(Apr!E153, May!E153, Jun!E153)</f>
        <v>0</v>
      </c>
      <c r="F153" s="14">
        <f t="shared" si="14"/>
        <v>1054770</v>
      </c>
      <c r="G153" s="15" t="str">
        <f t="shared" si="15"/>
        <v/>
      </c>
      <c r="H153" s="16">
        <f>SUM(Apr!H153, May!H153, Jun!H153)</f>
        <v>1384848.91</v>
      </c>
      <c r="I153" s="16">
        <f>SUM(Apr!I153, May!I153, Jun!I153)</f>
        <v>-330078.90999999997</v>
      </c>
      <c r="J153" s="15">
        <f t="shared" si="16"/>
        <v>-0.23835012441898806</v>
      </c>
    </row>
    <row r="154" spans="1:10" ht="15.6">
      <c r="A154" s="24" t="str">
        <v>Wheatland 2A</v>
      </c>
      <c r="B154" s="25" t="str">
        <v>NY</v>
      </c>
      <c r="C154" s="25" t="str">
        <f>Sites[[#This Row],[SOL'#]]</f>
        <v>SOL-10971</v>
      </c>
      <c r="D154" s="60">
        <f>SUM(Apr!D154, May!D154, Jun!D154)</f>
        <v>2324430</v>
      </c>
      <c r="E154" s="10">
        <f>SUM(Apr!E154, May!E154, Jun!E154)</f>
        <v>0</v>
      </c>
      <c r="F154" s="10">
        <f t="shared" si="14"/>
        <v>2324430</v>
      </c>
      <c r="G154" s="61" t="str">
        <f t="shared" si="15"/>
        <v/>
      </c>
      <c r="H154" s="12">
        <f>SUM(Apr!H154, May!H154, Jun!H154)</f>
        <v>2988271.29</v>
      </c>
      <c r="I154" s="12">
        <f>SUM(Apr!I154, May!I154, Jun!I154)</f>
        <v>-663841.28999999992</v>
      </c>
      <c r="J154" s="13">
        <f t="shared" si="16"/>
        <v>-0.22214893681891912</v>
      </c>
    </row>
    <row r="155" spans="1:10" ht="15.6">
      <c r="A155" s="26" t="str">
        <v>Wheatland 2B</v>
      </c>
      <c r="B155" s="27" t="str">
        <v>NY</v>
      </c>
      <c r="C155" s="27" t="str">
        <f>Sites[[#This Row],[SOL'#]]</f>
        <v>SOL-10961</v>
      </c>
      <c r="D155" s="9">
        <f>SUM(Apr!D155, May!D155, Jun!D155)</f>
        <v>2624810</v>
      </c>
      <c r="E155" s="14">
        <f>SUM(Apr!E155, May!E155, Jun!E155)</f>
        <v>0</v>
      </c>
      <c r="F155" s="14">
        <f t="shared" si="14"/>
        <v>2624810</v>
      </c>
      <c r="G155" s="15" t="str">
        <f t="shared" si="15"/>
        <v/>
      </c>
      <c r="H155" s="16">
        <f>SUM(Apr!H155, May!H155, Jun!H155)</f>
        <v>2967972.98</v>
      </c>
      <c r="I155" s="16">
        <f>SUM(Apr!I155, May!I155, Jun!I155)</f>
        <v>-343162.98</v>
      </c>
      <c r="J155" s="15">
        <f t="shared" si="16"/>
        <v>-0.11562200273130518</v>
      </c>
    </row>
    <row r="156" spans="1:10" ht="15.6">
      <c r="A156" s="24" t="str">
        <v>Brickchurch</v>
      </c>
      <c r="B156" s="25" t="str">
        <v>NY</v>
      </c>
      <c r="C156" s="25" t="str">
        <f>Sites[[#This Row],[SOL'#]]</f>
        <v>SOL-10889</v>
      </c>
      <c r="D156" s="60">
        <f>SUM(Apr!D156, May!D156, Jun!D156)</f>
        <v>1099100</v>
      </c>
      <c r="E156" s="10">
        <f>SUM(Apr!E156, May!E156, Jun!E156)</f>
        <v>1072782.29</v>
      </c>
      <c r="F156" s="10">
        <f t="shared" si="14"/>
        <v>26317.709999999963</v>
      </c>
      <c r="G156" s="61">
        <f t="shared" si="15"/>
        <v>2.4532200284551643E-2</v>
      </c>
      <c r="H156" s="12">
        <f>SUM(Apr!H156, May!H156, Jun!H156)</f>
        <v>1414014.93</v>
      </c>
      <c r="I156" s="12">
        <f>SUM(Apr!I156, May!I156, Jun!I156)</f>
        <v>-314914.93</v>
      </c>
      <c r="J156" s="13">
        <f t="shared" si="16"/>
        <v>-0.2227097630433082</v>
      </c>
    </row>
    <row r="157" spans="1:10" ht="15.6">
      <c r="A157" s="26" t="str">
        <v>McCarthy Solar</v>
      </c>
      <c r="B157" s="27" t="str">
        <v>NY</v>
      </c>
      <c r="C157" s="27" t="str">
        <f>Sites[[#This Row],[SOL'#]]</f>
        <v>SOL-10992</v>
      </c>
      <c r="D157" s="9">
        <f>SUM(Apr!D157, May!D157, Jun!D157)</f>
        <v>959780</v>
      </c>
      <c r="E157" s="14">
        <f>SUM(Apr!E157, May!E157, Jun!E157)</f>
        <v>0</v>
      </c>
      <c r="F157" s="14">
        <f t="shared" si="14"/>
        <v>959780</v>
      </c>
      <c r="G157" s="15" t="str">
        <f t="shared" si="15"/>
        <v/>
      </c>
      <c r="H157" s="16">
        <f>SUM(Apr!H157, May!H157, Jun!H157)</f>
        <v>1182855.07</v>
      </c>
      <c r="I157" s="16">
        <f>SUM(Apr!I157, May!I157, Jun!I157)</f>
        <v>-223075.07</v>
      </c>
      <c r="J157" s="15">
        <f t="shared" si="16"/>
        <v>-0.18859036551282651</v>
      </c>
    </row>
    <row r="158" spans="1:10" ht="15.6">
      <c r="A158" s="24" t="str">
        <v>Costanza</v>
      </c>
      <c r="B158" s="25" t="str">
        <v>NY</v>
      </c>
      <c r="C158" s="25" t="str">
        <f>Sites[[#This Row],[SOL'#]]</f>
        <v>SOL-10907</v>
      </c>
      <c r="D158" s="60">
        <f>SUM(Apr!D158, May!D158, Jun!D158)</f>
        <v>1006080</v>
      </c>
      <c r="E158" s="10">
        <f>SUM(Apr!E158, May!E158, Jun!E158)</f>
        <v>0</v>
      </c>
      <c r="F158" s="10">
        <f t="shared" si="14"/>
        <v>1006080</v>
      </c>
      <c r="G158" s="61" t="str">
        <f t="shared" si="15"/>
        <v/>
      </c>
      <c r="H158" s="12">
        <f>SUM(Apr!H158, May!H158, Jun!H158)</f>
        <v>1201762.17</v>
      </c>
      <c r="I158" s="12">
        <f>SUM(Apr!I158, May!I158, Jun!I158)</f>
        <v>-195682.16999999998</v>
      </c>
      <c r="J158" s="13">
        <f t="shared" si="16"/>
        <v>-0.1628293641494806</v>
      </c>
    </row>
    <row r="159" spans="1:10" ht="15.6">
      <c r="A159" s="26" t="str">
        <v>Lockenhurst Pond</v>
      </c>
      <c r="B159" s="27" t="str">
        <v>NY</v>
      </c>
      <c r="C159" s="27" t="str">
        <f>Sites[[#This Row],[SOL'#]]</f>
        <v>SOL-11000</v>
      </c>
      <c r="D159" s="9">
        <f>SUM(Apr!D159, May!D159, Jun!D159)</f>
        <v>1129440</v>
      </c>
      <c r="E159" s="14">
        <f>SUM(Apr!E159, May!E159, Jun!E159)</f>
        <v>1207206.1000000001</v>
      </c>
      <c r="F159" s="14">
        <f t="shared" si="14"/>
        <v>-77766.100000000093</v>
      </c>
      <c r="G159" s="15">
        <f t="shared" si="15"/>
        <v>-6.4418246395540987E-2</v>
      </c>
      <c r="H159" s="16">
        <f>SUM(Apr!H159, May!H159, Jun!H159)</f>
        <v>1369272</v>
      </c>
      <c r="I159" s="16">
        <f>SUM(Apr!I159, May!I159, Jun!I159)</f>
        <v>-239832</v>
      </c>
      <c r="J159" s="15">
        <f t="shared" si="16"/>
        <v>-0.17515292797924736</v>
      </c>
    </row>
    <row r="160" spans="1:10" ht="15.6">
      <c r="A160" s="24" t="str">
        <v>Drinkwater</v>
      </c>
      <c r="B160" s="25" t="str">
        <v>NY</v>
      </c>
      <c r="C160" s="25" t="str">
        <f>Sites[[#This Row],[SOL'#]]</f>
        <v>SOL-10896</v>
      </c>
      <c r="D160" s="60">
        <f>SUM(Apr!D160, May!D160, Jun!D160)</f>
        <v>1062410</v>
      </c>
      <c r="E160" s="10">
        <f>SUM(Apr!E160, May!E160, Jun!E160)</f>
        <v>0</v>
      </c>
      <c r="F160" s="10">
        <f t="shared" si="14"/>
        <v>1062410</v>
      </c>
      <c r="G160" s="61" t="str">
        <f t="shared" si="15"/>
        <v/>
      </c>
      <c r="H160" s="12">
        <f>SUM(Apr!H160, May!H160, Jun!H160)</f>
        <v>1199836.44</v>
      </c>
      <c r="I160" s="12">
        <f>SUM(Apr!I160, May!I160, Jun!I160)</f>
        <v>-137426.44</v>
      </c>
      <c r="J160" s="13">
        <f t="shared" si="16"/>
        <v>-0.11453764481432153</v>
      </c>
    </row>
    <row r="161" spans="1:10" ht="15.6">
      <c r="A161" s="26" t="str">
        <v>Altamont</v>
      </c>
      <c r="B161" s="27" t="str">
        <v>NY</v>
      </c>
      <c r="C161" s="27" t="str">
        <f>Sites[[#This Row],[SOL'#]]</f>
        <v>SOL-11085</v>
      </c>
      <c r="D161" s="9">
        <f>SUM(Apr!D161, May!D161, Jun!D161)</f>
        <v>2084313</v>
      </c>
      <c r="E161" s="14">
        <f>SUM(Apr!E161, May!E161, Jun!E161)</f>
        <v>2143289</v>
      </c>
      <c r="F161" s="14">
        <f t="shared" ref="F161:F162" si="17">IF(AND(ISNUMBER(D161),ISNUMBER(E161)), D161-E161, "")</f>
        <v>-58976</v>
      </c>
      <c r="G161" s="15">
        <f t="shared" ref="G161:G162" si="18">IFERROR(F161/E161, "")</f>
        <v>-2.7516587823667272E-2</v>
      </c>
      <c r="H161" s="16">
        <f>SUM(Apr!H161, May!H161, Jun!H161)</f>
        <v>2071550.1999999997</v>
      </c>
      <c r="I161" s="16">
        <f>SUM(Apr!I161, May!I161, Jun!I161)</f>
        <v>12762.800000000047</v>
      </c>
      <c r="J161" s="15">
        <f t="shared" ref="J161:J162" si="19">IFERROR(I161/H161, "")</f>
        <v>6.160989967802879E-3</v>
      </c>
    </row>
    <row r="162" spans="1:10" ht="15.6">
      <c r="A162" s="24" t="str">
        <v>Krumkill North</v>
      </c>
      <c r="B162" s="25" t="str">
        <v>NY</v>
      </c>
      <c r="C162" s="25" t="str">
        <f>Sites[[#This Row],[SOL'#]]</f>
        <v>SOL-11086</v>
      </c>
      <c r="D162" s="60">
        <f>SUM(Apr!D162, May!D162, Jun!D162)</f>
        <v>2025116</v>
      </c>
      <c r="E162" s="10">
        <f>SUM(Apr!E162, May!E162, Jun!E162)</f>
        <v>2236316.2000000002</v>
      </c>
      <c r="F162" s="10">
        <f t="shared" si="17"/>
        <v>-211200.20000000019</v>
      </c>
      <c r="G162" s="61">
        <f t="shared" si="18"/>
        <v>-9.4441117047759246E-2</v>
      </c>
      <c r="H162" s="12">
        <f>SUM(Apr!H162, May!H162, Jun!H162)</f>
        <v>2340825.1999999997</v>
      </c>
      <c r="I162" s="12">
        <f>SUM(Apr!I162, May!I162, Jun!I162)</f>
        <v>-315709.19999999995</v>
      </c>
      <c r="J162" s="13">
        <f t="shared" si="19"/>
        <v>-0.13487089937343463</v>
      </c>
    </row>
    <row r="163" spans="1:10" ht="15.6">
      <c r="A163" s="26" t="str">
        <v>Krumkill South</v>
      </c>
      <c r="B163" s="27" t="str">
        <v>NY</v>
      </c>
      <c r="C163" s="27" t="str">
        <f>Sites[[#This Row],[SOL'#]]</f>
        <v>SOL-11087</v>
      </c>
      <c r="D163" s="9">
        <f>SUM(Apr!D163, May!D163, Jun!D163)</f>
        <v>1677481</v>
      </c>
      <c r="E163" s="14">
        <f>SUM(Apr!E163, May!E163, Jun!E163)</f>
        <v>1771167.5</v>
      </c>
      <c r="F163" s="14">
        <f t="shared" ref="F163:F185" si="20">IF(AND(ISNUMBER(D163),ISNUMBER(E163)), D163-E163, "")</f>
        <v>-93686.5</v>
      </c>
      <c r="G163" s="15">
        <f t="shared" ref="G163:G200" si="21">IFERROR(F163/E163, "")</f>
        <v>-5.2895335986009227E-2</v>
      </c>
      <c r="H163" s="16">
        <f>SUM(Apr!H163, May!H163, Jun!H163)</f>
        <v>1835137.5</v>
      </c>
      <c r="I163" s="16">
        <f>SUM(Apr!I163, May!I163, Jun!I163)</f>
        <v>-157656.5</v>
      </c>
      <c r="J163" s="15">
        <f t="shared" ref="J163:J201" si="22">IFERROR(I163/H163, "")</f>
        <v>-8.590991138266206E-2</v>
      </c>
    </row>
    <row r="164" spans="1:10" ht="15.6">
      <c r="A164" s="24" t="str">
        <v>X092</v>
      </c>
      <c r="B164" s="25" t="str">
        <v>NY</v>
      </c>
      <c r="C164" s="25" t="str">
        <f>Sites[[#This Row],[SOL'#]]</f>
        <v>SOL-11189</v>
      </c>
      <c r="D164" s="60">
        <f>SUM(Apr!D164, May!D164, Jun!D164)</f>
        <v>54707</v>
      </c>
      <c r="E164" s="10">
        <f>SUM(Apr!E164, May!E164, Jun!E164)</f>
        <v>55248.52</v>
      </c>
      <c r="F164" s="10">
        <f t="shared" si="20"/>
        <v>-541.5199999999968</v>
      </c>
      <c r="G164" s="61">
        <f t="shared" si="21"/>
        <v>-9.8015295251347341E-3</v>
      </c>
      <c r="H164" s="12">
        <f>SUM(Apr!H164, May!H164, Jun!H164)</f>
        <v>64283</v>
      </c>
      <c r="I164" s="12">
        <f>SUM(Apr!I164, May!I164, Jun!I164)</f>
        <v>-9575.9999999999964</v>
      </c>
      <c r="J164" s="13">
        <f t="shared" si="22"/>
        <v>-0.14896628968778677</v>
      </c>
    </row>
    <row r="165" spans="1:10" ht="15.6">
      <c r="A165" s="26" t="str">
        <v>X093</v>
      </c>
      <c r="B165" s="27" t="str">
        <v>NY</v>
      </c>
      <c r="C165" s="27" t="str">
        <f>Sites[[#This Row],[SOL'#]]</f>
        <v>SOL-10932</v>
      </c>
      <c r="D165" s="9">
        <f>SUM(Apr!D165, May!D165, Jun!D165)</f>
        <v>15614.109443359352</v>
      </c>
      <c r="E165" s="14">
        <f>SUM(Apr!E165, May!E165, Jun!E165)</f>
        <v>25777.97</v>
      </c>
      <c r="F165" s="14">
        <f t="shared" si="20"/>
        <v>-10163.86055664065</v>
      </c>
      <c r="G165" s="15">
        <f t="shared" si="21"/>
        <v>-0.39428475386698986</v>
      </c>
      <c r="H165" s="16">
        <f>SUM(Apr!H165, May!H165, Jun!H165)</f>
        <v>45364</v>
      </c>
      <c r="I165" s="16">
        <f>SUM(Apr!I165, May!I165, Jun!I165)</f>
        <v>-29749.890556640647</v>
      </c>
      <c r="J165" s="15">
        <f t="shared" si="22"/>
        <v>-0.65580395372190825</v>
      </c>
    </row>
    <row r="166" spans="1:10" ht="15.6">
      <c r="A166" s="24" t="str">
        <v>X095</v>
      </c>
      <c r="B166" s="25" t="str">
        <v>NY</v>
      </c>
      <c r="C166" s="25" t="str">
        <f>Sites[[#This Row],[SOL'#]]</f>
        <v>SOL-10929</v>
      </c>
      <c r="D166" s="60">
        <f>SUM(Apr!D166, May!D166, Jun!D166)</f>
        <v>54487.625</v>
      </c>
      <c r="E166" s="10">
        <f>SUM(Apr!E166, May!E166, Jun!E166)</f>
        <v>0</v>
      </c>
      <c r="F166" s="10">
        <f t="shared" si="20"/>
        <v>54487.625</v>
      </c>
      <c r="G166" s="61" t="str">
        <f t="shared" si="21"/>
        <v/>
      </c>
      <c r="H166" s="12">
        <f>SUM(Apr!H166, May!H166, Jun!H166)</f>
        <v>61390</v>
      </c>
      <c r="I166" s="12">
        <f>SUM(Apr!I166, May!I166, Jun!I166)</f>
        <v>-6902.375</v>
      </c>
      <c r="J166" s="13">
        <f t="shared" si="22"/>
        <v>-0.11243484280827497</v>
      </c>
    </row>
    <row r="167" spans="1:10" ht="15.6">
      <c r="A167" s="26" t="str">
        <v>X181</v>
      </c>
      <c r="B167" s="27" t="str">
        <v>NY</v>
      </c>
      <c r="C167" s="27" t="str">
        <f>Sites[[#This Row],[SOL'#]]</f>
        <v>SOL-10428</v>
      </c>
      <c r="D167" s="9">
        <f>SUM(Apr!D167, May!D167, Jun!D167)</f>
        <v>96280.41796875</v>
      </c>
      <c r="E167" s="14">
        <f>SUM(Apr!E167, May!E167, Jun!E167)</f>
        <v>0</v>
      </c>
      <c r="F167" s="14">
        <f t="shared" si="20"/>
        <v>96280.41796875</v>
      </c>
      <c r="G167" s="15" t="str">
        <f t="shared" si="21"/>
        <v/>
      </c>
      <c r="H167" s="16">
        <f>SUM(Apr!H167, May!H167, Jun!H167)</f>
        <v>113233</v>
      </c>
      <c r="I167" s="16">
        <f>SUM(Apr!I167, May!I167, Jun!I167)</f>
        <v>-16952.58203125</v>
      </c>
      <c r="J167" s="15">
        <f t="shared" si="22"/>
        <v>-0.14971414721194351</v>
      </c>
    </row>
    <row r="168" spans="1:10" ht="15.6">
      <c r="A168" s="24" t="str">
        <v>X415</v>
      </c>
      <c r="B168" s="25" t="str">
        <v>NY</v>
      </c>
      <c r="C168" s="25" t="str">
        <f>Sites[[#This Row],[SOL'#]]</f>
        <v>SOL-10429</v>
      </c>
      <c r="D168" s="60">
        <f>SUM(Apr!D168, May!D168, Jun!D168)</f>
        <v>63644.390625</v>
      </c>
      <c r="E168" s="10">
        <f>SUM(Apr!E168, May!E168, Jun!E168)</f>
        <v>0</v>
      </c>
      <c r="F168" s="10">
        <f t="shared" si="20"/>
        <v>63644.390625</v>
      </c>
      <c r="G168" s="61" t="str">
        <f t="shared" si="21"/>
        <v/>
      </c>
      <c r="H168" s="12">
        <f>SUM(Apr!H168, May!H168, Jun!H168)</f>
        <v>66105</v>
      </c>
      <c r="I168" s="12">
        <f>SUM(Apr!I168, May!I168, Jun!I168)</f>
        <v>-2460.609375</v>
      </c>
      <c r="J168" s="13">
        <f t="shared" si="22"/>
        <v>-3.7222742228273202E-2</v>
      </c>
    </row>
    <row r="169" spans="1:10" ht="15.6">
      <c r="A169" s="26" t="str">
        <v>K198</v>
      </c>
      <c r="B169" s="27" t="str">
        <v>NY</v>
      </c>
      <c r="C169" s="27" t="str">
        <f>Sites[[#This Row],[SOL'#]]</f>
        <v>SOL-10930</v>
      </c>
      <c r="D169" s="9">
        <f>SUM(Apr!D169, May!D169, Jun!D169)</f>
        <v>46883.62109375</v>
      </c>
      <c r="E169" s="14">
        <f>SUM(Apr!E169, May!E169, Jun!E169)</f>
        <v>30962.55</v>
      </c>
      <c r="F169" s="14">
        <f t="shared" si="20"/>
        <v>15921.071093750001</v>
      </c>
      <c r="G169" s="15">
        <f t="shared" si="21"/>
        <v>0.51420413027189305</v>
      </c>
      <c r="H169" s="16">
        <f>SUM(Apr!H169, May!H169, Jun!H169)</f>
        <v>50588</v>
      </c>
      <c r="I169" s="16">
        <f>SUM(Apr!I169, May!I169, Jun!I169)</f>
        <v>-3704.37890625</v>
      </c>
      <c r="J169" s="15">
        <f t="shared" si="22"/>
        <v>-7.3226435246501145E-2</v>
      </c>
    </row>
    <row r="170" spans="1:10" ht="15.6">
      <c r="A170" s="24" t="str">
        <v>K203</v>
      </c>
      <c r="B170" s="25" t="str">
        <v>NY</v>
      </c>
      <c r="C170" s="25" t="str">
        <f>Sites[[#This Row],[SOL'#]]</f>
        <v>SOL-11190</v>
      </c>
      <c r="D170" s="60">
        <f>SUM(Apr!D170, May!D170, Jun!D170)</f>
        <v>59019.9</v>
      </c>
      <c r="E170" s="10">
        <f>SUM(Apr!E170, May!E170, Jun!E170)</f>
        <v>53425.020000000004</v>
      </c>
      <c r="F170" s="10">
        <f t="shared" si="20"/>
        <v>5594.8799999999974</v>
      </c>
      <c r="G170" s="61">
        <f t="shared" si="21"/>
        <v>0.10472396641124321</v>
      </c>
      <c r="H170" s="12">
        <f>SUM(Apr!H170, May!H170, Jun!H170)</f>
        <v>68891</v>
      </c>
      <c r="I170" s="12">
        <f>SUM(Apr!I170, May!I170, Jun!I170)</f>
        <v>-9871.1000000000022</v>
      </c>
      <c r="J170" s="13">
        <f t="shared" si="22"/>
        <v>-0.14328577027478193</v>
      </c>
    </row>
    <row r="171" spans="1:10" ht="15.6">
      <c r="A171" s="26" t="str">
        <v>K213</v>
      </c>
      <c r="B171" s="27" t="str">
        <v>NY</v>
      </c>
      <c r="C171" s="27" t="str">
        <f>Sites[[#This Row],[SOL'#]]</f>
        <v>SOL-11191</v>
      </c>
      <c r="D171" s="9">
        <f>SUM(Apr!D171, May!D171, Jun!D171)</f>
        <v>61858.5</v>
      </c>
      <c r="E171" s="14">
        <f>SUM(Apr!E171, May!E171, Jun!E171)</f>
        <v>69739.38</v>
      </c>
      <c r="F171" s="14">
        <f t="shared" si="20"/>
        <v>-7880.8800000000047</v>
      </c>
      <c r="G171" s="15">
        <f t="shared" si="21"/>
        <v>-0.11300473276361224</v>
      </c>
      <c r="H171" s="16">
        <f>SUM(Apr!H171, May!H171, Jun!H171)</f>
        <v>72319</v>
      </c>
      <c r="I171" s="16">
        <f>SUM(Apr!I171, May!I171, Jun!I171)</f>
        <v>-10460.5</v>
      </c>
      <c r="J171" s="15">
        <f t="shared" si="22"/>
        <v>-0.14464386952253211</v>
      </c>
    </row>
    <row r="172" spans="1:10" ht="15.6">
      <c r="A172" s="24" t="str">
        <v>K217</v>
      </c>
      <c r="B172" s="25" t="str">
        <v>NY</v>
      </c>
      <c r="C172" s="25" t="str">
        <f>Sites[[#This Row],[SOL'#]]</f>
        <v>SOL-10933</v>
      </c>
      <c r="D172" s="60">
        <f>SUM(Apr!D172, May!D172, Jun!D172)</f>
        <v>35164.4296875</v>
      </c>
      <c r="E172" s="10">
        <f>SUM(Apr!E172, May!E172, Jun!E172)</f>
        <v>0</v>
      </c>
      <c r="F172" s="10">
        <f t="shared" si="20"/>
        <v>35164.4296875</v>
      </c>
      <c r="G172" s="61" t="str">
        <f t="shared" si="21"/>
        <v/>
      </c>
      <c r="H172" s="12">
        <f>SUM(Apr!H172, May!H172, Jun!H172)</f>
        <v>39839</v>
      </c>
      <c r="I172" s="12">
        <f>SUM(Apr!I172, May!I172, Jun!I172)</f>
        <v>-4674.5703125</v>
      </c>
      <c r="J172" s="13">
        <f t="shared" si="22"/>
        <v>-0.11733653737543613</v>
      </c>
    </row>
    <row r="173" spans="1:10" ht="15.6">
      <c r="A173" s="26" t="str">
        <v>K307</v>
      </c>
      <c r="B173" s="27" t="str">
        <v>NY</v>
      </c>
      <c r="C173" s="27" t="str">
        <f>Sites[[#This Row],[SOL'#]]</f>
        <v>SOL-10876</v>
      </c>
      <c r="D173" s="9">
        <f>SUM(Apr!D173, May!D173, Jun!D173)</f>
        <v>74822.0859375</v>
      </c>
      <c r="E173" s="14">
        <f>SUM(Apr!E173, May!E173, Jun!E173)</f>
        <v>0</v>
      </c>
      <c r="F173" s="14">
        <f t="shared" si="20"/>
        <v>74822.0859375</v>
      </c>
      <c r="G173" s="15" t="str">
        <f t="shared" si="21"/>
        <v/>
      </c>
      <c r="H173" s="16">
        <f>SUM(Apr!H173, May!H173, Jun!H173)</f>
        <v>83519</v>
      </c>
      <c r="I173" s="16">
        <f>SUM(Apr!I173, May!I173, Jun!I173)</f>
        <v>-8696.9140625</v>
      </c>
      <c r="J173" s="15">
        <f t="shared" si="22"/>
        <v>-0.10413096496006896</v>
      </c>
    </row>
    <row r="174" spans="1:10" ht="15.6">
      <c r="A174" s="24" t="str">
        <v>K610</v>
      </c>
      <c r="B174" s="25" t="str">
        <v>NY</v>
      </c>
      <c r="C174" s="25" t="str">
        <f>Sites[[#This Row],[SOL'#]]</f>
        <v>SOL-11158</v>
      </c>
      <c r="D174" s="60">
        <f>SUM(Apr!D174, May!D174, Jun!D174)</f>
        <v>84591.9</v>
      </c>
      <c r="E174" s="10">
        <f>SUM(Apr!E174, May!E174, Jun!E174)</f>
        <v>85211.290000000008</v>
      </c>
      <c r="F174" s="10">
        <f t="shared" si="20"/>
        <v>-619.39000000001397</v>
      </c>
      <c r="G174" s="61">
        <f t="shared" si="21"/>
        <v>-7.2688724698336798E-3</v>
      </c>
      <c r="H174" s="12">
        <f>SUM(Apr!H174, May!H174, Jun!H174)</f>
        <v>96940</v>
      </c>
      <c r="I174" s="12">
        <f>SUM(Apr!I174, May!I174, Jun!I174)</f>
        <v>-12348.100000000002</v>
      </c>
      <c r="J174" s="13">
        <f t="shared" si="22"/>
        <v>-0.12737879100474522</v>
      </c>
    </row>
    <row r="175" spans="1:10" ht="15.6">
      <c r="A175" s="26" t="str">
        <v>M025</v>
      </c>
      <c r="B175" s="27" t="str">
        <v>NY</v>
      </c>
      <c r="C175" s="27" t="str">
        <f>Sites[[#This Row],[SOL'#]]</f>
        <v>SOL-10392</v>
      </c>
      <c r="D175" s="9">
        <f>SUM(Apr!D175, May!D175, Jun!D175)</f>
        <v>36596.947265625</v>
      </c>
      <c r="E175" s="14">
        <f>SUM(Apr!E175, May!E175, Jun!E175)</f>
        <v>52975.839999999997</v>
      </c>
      <c r="F175" s="14">
        <f t="shared" si="20"/>
        <v>-16378.892734374997</v>
      </c>
      <c r="G175" s="15">
        <f t="shared" si="21"/>
        <v>-0.30917664985349919</v>
      </c>
      <c r="H175" s="16">
        <f>SUM(Apr!H175, May!H175, Jun!H175)</f>
        <v>83454</v>
      </c>
      <c r="I175" s="16">
        <f>SUM(Apr!I175, May!I175, Jun!I175)</f>
        <v>-46857.052734375</v>
      </c>
      <c r="J175" s="15">
        <f t="shared" si="22"/>
        <v>-0.56147162190398303</v>
      </c>
    </row>
    <row r="176" spans="1:10" ht="15.6">
      <c r="A176" s="24" t="str">
        <v>M028</v>
      </c>
      <c r="B176" s="25" t="str">
        <v>NY</v>
      </c>
      <c r="C176" s="25" t="str">
        <f>Sites[[#This Row],[SOL'#]]</f>
        <v>SOL-10381</v>
      </c>
      <c r="D176" s="60">
        <f>SUM(Apr!D176, May!D176, Jun!D176)</f>
        <v>59667.626778218299</v>
      </c>
      <c r="E176" s="10">
        <f>SUM(Apr!E176, May!E176, Jun!E176)</f>
        <v>38868.58</v>
      </c>
      <c r="F176" s="10">
        <f t="shared" si="20"/>
        <v>20799.046778218297</v>
      </c>
      <c r="G176" s="61">
        <f t="shared" si="21"/>
        <v>0.53511208225817086</v>
      </c>
      <c r="H176" s="12">
        <f>SUM(Apr!H176, May!H176, Jun!H176)</f>
        <v>65636</v>
      </c>
      <c r="I176" s="12">
        <f>SUM(Apr!I176, May!I176, Jun!I176)</f>
        <v>-5968.3732217817014</v>
      </c>
      <c r="J176" s="13">
        <f t="shared" si="22"/>
        <v>-9.0931397735719746E-2</v>
      </c>
    </row>
    <row r="177" spans="1:10" ht="15.6">
      <c r="A177" s="26" t="str">
        <v>Q030</v>
      </c>
      <c r="B177" s="27" t="str">
        <v>NY</v>
      </c>
      <c r="C177" s="27" t="str">
        <f>Sites[[#This Row],[SOL'#]]</f>
        <v>SOL-10878</v>
      </c>
      <c r="D177" s="9">
        <f>SUM(Apr!D177, May!D177, Jun!D177)</f>
        <v>72570.492344535203</v>
      </c>
      <c r="E177" s="14">
        <f>SUM(Apr!E177, May!E177, Jun!E177)</f>
        <v>0</v>
      </c>
      <c r="F177" s="14">
        <f t="shared" si="20"/>
        <v>72570.492344535203</v>
      </c>
      <c r="G177" s="15" t="str">
        <f t="shared" si="21"/>
        <v/>
      </c>
      <c r="H177" s="16">
        <f>SUM(Apr!H177, May!H177, Jun!H177)</f>
        <v>78882</v>
      </c>
      <c r="I177" s="16">
        <f>SUM(Apr!I177, May!I177, Jun!I177)</f>
        <v>-6311.5076554648003</v>
      </c>
      <c r="J177" s="15">
        <f t="shared" si="22"/>
        <v>-8.0012013583134312E-2</v>
      </c>
    </row>
    <row r="178" spans="1:10" ht="15.6">
      <c r="A178" s="24" t="str">
        <v>Q130</v>
      </c>
      <c r="B178" s="25" t="str">
        <v>NY</v>
      </c>
      <c r="C178" s="25" t="str">
        <f>Sites[[#This Row],[SOL'#]]</f>
        <v>SOL-10877</v>
      </c>
      <c r="D178" s="60">
        <f>SUM(Apr!D178, May!D178, Jun!D178)</f>
        <v>41552.80859375</v>
      </c>
      <c r="E178" s="10">
        <f>SUM(Apr!E178, May!E178, Jun!E178)</f>
        <v>0</v>
      </c>
      <c r="F178" s="10">
        <f t="shared" si="20"/>
        <v>41552.80859375</v>
      </c>
      <c r="G178" s="61" t="str">
        <f t="shared" si="21"/>
        <v/>
      </c>
      <c r="H178" s="12">
        <f>SUM(Apr!H178, May!H178, Jun!H178)</f>
        <v>44793.919999999998</v>
      </c>
      <c r="I178" s="12">
        <f>SUM(Apr!I178, May!I178, Jun!I178)</f>
        <v>-3241.1114062499983</v>
      </c>
      <c r="J178" s="13">
        <f t="shared" si="22"/>
        <v>-7.2356056497176371E-2</v>
      </c>
    </row>
    <row r="179" spans="1:10" ht="15.6">
      <c r="A179" s="26" t="str">
        <v>Q196</v>
      </c>
      <c r="B179" s="27" t="str">
        <v>NY</v>
      </c>
      <c r="C179" s="27" t="str">
        <f>Sites[[#This Row],[SOL'#]]</f>
        <v>SOL-10879</v>
      </c>
      <c r="D179" s="9">
        <f>SUM(Apr!D179, May!D179, Jun!D179)</f>
        <v>54201.852656250005</v>
      </c>
      <c r="E179" s="14">
        <f>SUM(Apr!E179, May!E179, Jun!E179)</f>
        <v>0</v>
      </c>
      <c r="F179" s="14">
        <f t="shared" si="20"/>
        <v>54201.852656250005</v>
      </c>
      <c r="G179" s="15" t="str">
        <f t="shared" si="21"/>
        <v/>
      </c>
      <c r="H179" s="16">
        <f>SUM(Apr!H179, May!H179, Jun!H179)</f>
        <v>58065</v>
      </c>
      <c r="I179" s="16">
        <f>SUM(Apr!I179, May!I179, Jun!I179)</f>
        <v>-3863.1473437500026</v>
      </c>
      <c r="J179" s="15">
        <f t="shared" si="22"/>
        <v>-6.6531427602686696E-2</v>
      </c>
    </row>
    <row r="180" spans="1:10" ht="15.6">
      <c r="A180" s="24" t="str">
        <v>Q220</v>
      </c>
      <c r="B180" s="25" t="str">
        <v>NY</v>
      </c>
      <c r="C180" s="25" t="str">
        <f>Sites[[#This Row],[SOL'#]]</f>
        <v>SOL-10873</v>
      </c>
      <c r="D180" s="60">
        <f>SUM(Apr!D180, May!D180, Jun!D180)</f>
        <v>63817.4453125</v>
      </c>
      <c r="E180" s="10">
        <f>SUM(Apr!E180, May!E180, Jun!E180)</f>
        <v>0</v>
      </c>
      <c r="F180" s="10">
        <f t="shared" si="20"/>
        <v>63817.4453125</v>
      </c>
      <c r="G180" s="61" t="str">
        <f t="shared" si="21"/>
        <v/>
      </c>
      <c r="H180" s="12">
        <f>SUM(Apr!H180, May!H180, Jun!H180)</f>
        <v>67422</v>
      </c>
      <c r="I180" s="12">
        <f>SUM(Apr!I180, May!I180, Jun!I180)</f>
        <v>-3604.5546875</v>
      </c>
      <c r="J180" s="13">
        <f t="shared" si="22"/>
        <v>-5.3462589177123196E-2</v>
      </c>
    </row>
    <row r="181" spans="1:10" ht="15.6">
      <c r="A181" s="26" t="str">
        <v>Q205</v>
      </c>
      <c r="B181" s="27" t="str">
        <v>NY</v>
      </c>
      <c r="C181" s="27" t="str">
        <f>Sites[[#This Row],[SOL'#]]</f>
        <v>SOL-10922</v>
      </c>
      <c r="D181" s="9">
        <f>SUM(Apr!D181, May!D181, Jun!D181)</f>
        <v>75330.9453125</v>
      </c>
      <c r="E181" s="14">
        <f>SUM(Apr!E181, May!E181, Jun!E181)</f>
        <v>86255.98</v>
      </c>
      <c r="F181" s="14">
        <f t="shared" si="20"/>
        <v>-10925.034687499996</v>
      </c>
      <c r="G181" s="15">
        <f t="shared" si="21"/>
        <v>-0.12665828719933384</v>
      </c>
      <c r="H181" s="16">
        <f>SUM(Apr!H181, May!H181, Jun!H181)</f>
        <v>80611</v>
      </c>
      <c r="I181" s="16">
        <f>SUM(Apr!I181, May!I181, Jun!I181)</f>
        <v>-5280.0546875</v>
      </c>
      <c r="J181" s="15">
        <f t="shared" si="22"/>
        <v>-6.5500424104650734E-2</v>
      </c>
    </row>
    <row r="182" spans="1:10" ht="15.6">
      <c r="A182" s="24" t="str">
        <v>Q400</v>
      </c>
      <c r="B182" s="25" t="str">
        <v>NY</v>
      </c>
      <c r="C182" s="25" t="str">
        <f>Sites[[#This Row],[SOL'#]]</f>
        <v>SOL-10871</v>
      </c>
      <c r="D182" s="60">
        <f>SUM(Apr!D182, May!D182, Jun!D182)</f>
        <v>89219.3515625</v>
      </c>
      <c r="E182" s="10">
        <f>SUM(Apr!E182, May!E182, Jun!E182)</f>
        <v>0</v>
      </c>
      <c r="F182" s="10">
        <f t="shared" si="20"/>
        <v>89219.3515625</v>
      </c>
      <c r="G182" s="61" t="str">
        <f t="shared" si="21"/>
        <v/>
      </c>
      <c r="H182" s="12">
        <f>SUM(Apr!H182, May!H182, Jun!H182)</f>
        <v>130238</v>
      </c>
      <c r="I182" s="12">
        <f>SUM(Apr!I182, May!I182, Jun!I182)</f>
        <v>-41018.6484375</v>
      </c>
      <c r="J182" s="13">
        <f t="shared" si="22"/>
        <v>-0.3149514614590212</v>
      </c>
    </row>
    <row r="183" spans="1:10" ht="15.6">
      <c r="A183" s="26" t="str">
        <v>R003</v>
      </c>
      <c r="B183" s="27" t="str">
        <v>NY</v>
      </c>
      <c r="C183" s="27" t="str">
        <f>Sites[[#This Row],[SOL'#]]</f>
        <v>SOL-10416</v>
      </c>
      <c r="D183" s="9">
        <f>SUM(Apr!D183, May!D183, Jun!D183)</f>
        <v>105423.6480078125</v>
      </c>
      <c r="E183" s="14">
        <f>SUM(Apr!E183, May!E183, Jun!E183)</f>
        <v>31288</v>
      </c>
      <c r="F183" s="14">
        <f t="shared" si="20"/>
        <v>74135.648007812502</v>
      </c>
      <c r="G183" s="15">
        <f t="shared" si="21"/>
        <v>2.3694594735301875</v>
      </c>
      <c r="H183" s="16">
        <f>SUM(Apr!H183, May!H183, Jun!H183)</f>
        <v>118413</v>
      </c>
      <c r="I183" s="16">
        <f>SUM(Apr!I183, May!I183, Jun!I183)</f>
        <v>-12989.351992187498</v>
      </c>
      <c r="J183" s="15">
        <f t="shared" si="22"/>
        <v>-0.10969532054915844</v>
      </c>
    </row>
    <row r="184" spans="1:10" ht="15.6">
      <c r="A184" s="24" t="str">
        <v>R007</v>
      </c>
      <c r="B184" s="25" t="str">
        <v>NY</v>
      </c>
      <c r="C184" s="25" t="str">
        <f>Sites[[#This Row],[SOL'#]]</f>
        <v>SOL-10417</v>
      </c>
      <c r="D184" s="60">
        <f>SUM(Apr!D184, May!D184, Jun!D184)</f>
        <v>113058.1796875</v>
      </c>
      <c r="E184" s="10">
        <f>SUM(Apr!E184, May!E184, Jun!E184)</f>
        <v>77141.240000000005</v>
      </c>
      <c r="F184" s="10">
        <f t="shared" si="20"/>
        <v>35916.939687499995</v>
      </c>
      <c r="G184" s="61">
        <f t="shared" si="21"/>
        <v>0.4655997192617074</v>
      </c>
      <c r="H184" s="12">
        <f>SUM(Apr!H184, May!H184, Jun!H184)</f>
        <v>127251.20999999999</v>
      </c>
      <c r="I184" s="12">
        <f>SUM(Apr!I184, May!I184, Jun!I184)</f>
        <v>-14193.030312499999</v>
      </c>
      <c r="J184" s="13">
        <f t="shared" si="22"/>
        <v>-0.1115355234146693</v>
      </c>
    </row>
    <row r="185" spans="1:10" ht="15.6">
      <c r="A185" s="26" t="str">
        <v>BK16</v>
      </c>
      <c r="B185" s="27" t="str">
        <v>NY</v>
      </c>
      <c r="C185" s="27" t="str">
        <f>Sites[[#This Row],[SOL'#]]</f>
        <v>SOL-11093</v>
      </c>
      <c r="D185" s="9">
        <f>SUM(Apr!D185, May!D185, Jun!D185)</f>
        <v>117349.5859375</v>
      </c>
      <c r="E185" s="14">
        <f>SUM(Apr!E185, May!E185, Jun!E185)</f>
        <v>0</v>
      </c>
      <c r="F185" s="14">
        <f t="shared" si="20"/>
        <v>117349.5859375</v>
      </c>
      <c r="G185" s="15" t="str">
        <f t="shared" si="21"/>
        <v/>
      </c>
      <c r="H185" s="16">
        <f>SUM(Apr!H185, May!H185, Jun!H185)</f>
        <v>126541</v>
      </c>
      <c r="I185" s="16">
        <f>SUM(Apr!I185, May!I185, Jun!I185)</f>
        <v>-9191.4140625</v>
      </c>
      <c r="J185" s="15">
        <f t="shared" si="22"/>
        <v>-7.2635857646928662E-2</v>
      </c>
    </row>
    <row r="186" spans="1:10" ht="15.6">
      <c r="A186" s="24" t="str">
        <v>Trenton - Trenton East</v>
      </c>
      <c r="B186" s="25" t="str">
        <v>IL</v>
      </c>
      <c r="C186" s="25" t="str">
        <f>Sites[[#This Row],[SOL'#]]</f>
        <v>SOL-11060</v>
      </c>
      <c r="D186" s="60">
        <f>SUM(Apr!D186, May!D186, Jun!D186)</f>
        <v>906995.49976528797</v>
      </c>
      <c r="E186" s="10">
        <f>SUM(Apr!E186, May!E186, Jun!E186)</f>
        <v>991887.2</v>
      </c>
      <c r="F186" s="10">
        <f>IF(AND(ISNUMBER(D186),ISNUMBER(E186)), D186-E186, "")</f>
        <v>-84891.700234711985</v>
      </c>
      <c r="G186" s="61">
        <f t="shared" si="21"/>
        <v>-8.5586042681780744E-2</v>
      </c>
      <c r="H186" s="75">
        <f>SUM(Apr!H186, May!H186, Jun!H186)</f>
        <v>1462562</v>
      </c>
      <c r="I186" s="75">
        <f>SUM(Apr!I186, May!I186, Jun!I186)</f>
        <v>-555566.50023471203</v>
      </c>
      <c r="J186" s="13">
        <f t="shared" si="22"/>
        <v>-0.37985842667504832</v>
      </c>
    </row>
    <row r="187" spans="1:10" ht="15.6">
      <c r="A187" s="26" t="str">
        <v>Trenton - Trenton West</v>
      </c>
      <c r="B187" s="27" t="str">
        <v>IL</v>
      </c>
      <c r="C187" s="27" t="str">
        <f>Sites[[#This Row],[SOL'#]]</f>
        <v>SOL-11061</v>
      </c>
      <c r="D187" s="9">
        <f>SUM(Apr!D187, May!D187, Jun!D187)</f>
        <v>359754.05244172999</v>
      </c>
      <c r="E187" s="14">
        <f>SUM(Apr!E187, May!E187, Jun!E187)</f>
        <v>586747.88</v>
      </c>
      <c r="F187" s="14">
        <f>IF(AND(ISNUMBER(D187),ISNUMBER(E187)), D187-E187, "")</f>
        <v>-226993.82755827002</v>
      </c>
      <c r="G187" s="15">
        <f t="shared" si="21"/>
        <v>-0.38686774216937947</v>
      </c>
      <c r="H187" s="77">
        <f>SUM(Apr!H187, May!H187, Jun!H187)</f>
        <v>1461120</v>
      </c>
      <c r="I187" s="77">
        <f>SUM(Apr!I187, May!I187, Jun!I187)</f>
        <v>-1101365.9475582701</v>
      </c>
      <c r="J187" s="15">
        <f t="shared" si="22"/>
        <v>-0.75378199433193038</v>
      </c>
    </row>
    <row r="188" spans="1:10" ht="15.6">
      <c r="A188" s="24" t="str">
        <v>Dakota - Dakota Solar 1</v>
      </c>
      <c r="B188" s="25" t="str">
        <v>IL</v>
      </c>
      <c r="C188" s="25" t="str">
        <f>Sites[[#This Row],[SOL'#]]</f>
        <v>SOL-11113</v>
      </c>
      <c r="D188" s="60">
        <f>SUM(Apr!D188, May!D188, Jun!D188)</f>
        <v>1442059</v>
      </c>
      <c r="E188" s="10">
        <f>SUM(Apr!E188, May!E188, Jun!E188)</f>
        <v>1730745.9</v>
      </c>
      <c r="F188" s="10">
        <f>IF(AND(ISNUMBER(D188),ISNUMBER(E188)), D188-E188, "")</f>
        <v>-288686.89999999991</v>
      </c>
      <c r="G188" s="61">
        <f t="shared" si="21"/>
        <v>-0.16679912400774713</v>
      </c>
      <c r="H188" s="75">
        <f>SUM(Apr!H188, May!H188, Jun!H188)</f>
        <v>0</v>
      </c>
      <c r="I188" s="75">
        <f>SUM(Apr!I188, May!I188, Jun!I188)</f>
        <v>1037600</v>
      </c>
      <c r="J188" s="13" t="str">
        <f t="shared" si="22"/>
        <v/>
      </c>
    </row>
    <row r="189" spans="1:10" ht="15.6">
      <c r="A189" s="26" t="str">
        <v>X018</v>
      </c>
      <c r="B189" s="27" t="str">
        <v>NY</v>
      </c>
      <c r="C189" s="27" t="str">
        <f>Sites[[#This Row],[SOL'#]]</f>
        <v>SOL-10418</v>
      </c>
      <c r="D189" s="9">
        <f>SUM(Apr!D189, May!D189, Jun!D189)</f>
        <v>39969.926914062497</v>
      </c>
      <c r="E189" s="14">
        <f>SUM(Apr!E189, May!E189, Jun!E189)</f>
        <v>34623.619999999995</v>
      </c>
      <c r="F189" s="14">
        <f>IF(AND(ISNUMBER(D189),ISNUMBER(E189)), D189-E189, "")</f>
        <v>5346.3069140625012</v>
      </c>
      <c r="G189" s="15">
        <f t="shared" si="21"/>
        <v>0.15441213004482207</v>
      </c>
      <c r="H189" s="77">
        <f>SUM(Apr!H189, May!H189, Jun!H189)</f>
        <v>64694</v>
      </c>
      <c r="I189" s="77">
        <f>SUM(Apr!I189, May!I189, Jun!I189)</f>
        <v>-24724.0730859375</v>
      </c>
      <c r="J189" s="15">
        <f t="shared" si="22"/>
        <v>-0.38216949154384489</v>
      </c>
    </row>
    <row r="190" spans="1:10" ht="15.6">
      <c r="A190" s="24" t="str">
        <v>Janiak Solar</v>
      </c>
      <c r="B190" s="25" t="str">
        <v>NY</v>
      </c>
      <c r="C190" s="25" t="str">
        <f>Sites[[#This Row],[SOL'#]]</f>
        <v>SOL-10898</v>
      </c>
      <c r="D190" s="60">
        <f>SUM(Apr!D190, May!D190, Jun!D190)</f>
        <v>1002214</v>
      </c>
      <c r="E190" s="10">
        <f>SUM(Apr!E190, May!E190, Jun!E190)</f>
        <v>1056635.7</v>
      </c>
      <c r="F190" s="10">
        <f t="shared" ref="F190:F200" si="23">IF(AND(ISNUMBER(D190),ISNUMBER(E190)), D190-E190, "")</f>
        <v>-54421.699999999953</v>
      </c>
      <c r="G190" s="61">
        <f t="shared" si="21"/>
        <v>-5.1504695516155621E-2</v>
      </c>
      <c r="H190" s="75">
        <f>SUM(Apr!H190, May!H190, Jun!H190)</f>
        <v>1201725</v>
      </c>
      <c r="I190" s="75">
        <f>SUM(Apr!I190, May!I190, Jun!I190)</f>
        <v>-199511</v>
      </c>
      <c r="J190" s="13">
        <f t="shared" si="22"/>
        <v>-0.16602051218040734</v>
      </c>
    </row>
    <row r="191" spans="1:10" ht="15.6">
      <c r="A191" s="26" t="str">
        <v>County Route 11B</v>
      </c>
      <c r="B191" s="27" t="str">
        <v>NY</v>
      </c>
      <c r="C191" s="27" t="str">
        <f>Sites[[#This Row],[SOL'#]]</f>
        <v>SOL-10983</v>
      </c>
      <c r="D191" s="9">
        <f>SUM(Apr!D191, May!D191, Jun!D191)</f>
        <v>1411312</v>
      </c>
      <c r="E191" s="14">
        <f>SUM(Apr!E191, May!E191, Jun!E191)</f>
        <v>0</v>
      </c>
      <c r="F191" s="14">
        <f t="shared" si="23"/>
        <v>1411312</v>
      </c>
      <c r="G191" s="15" t="str">
        <f t="shared" si="21"/>
        <v/>
      </c>
      <c r="H191" s="77">
        <f>SUM(Apr!H191, May!H191, Jun!H191)</f>
        <v>0</v>
      </c>
      <c r="I191" s="77">
        <f>SUM(Apr!I191, May!I191, Jun!I191)</f>
        <v>0</v>
      </c>
      <c r="J191" s="15" t="str">
        <f t="shared" si="22"/>
        <v/>
      </c>
    </row>
    <row r="192" spans="1:10" ht="15.6">
      <c r="A192" s="24" t="str">
        <v>Barone</v>
      </c>
      <c r="B192" s="25" t="str">
        <v>NY</v>
      </c>
      <c r="C192" s="25" t="str">
        <f>Sites[[#This Row],[SOL'#]]</f>
        <v>SOL-11034</v>
      </c>
      <c r="D192" s="60">
        <f>SUM(Apr!D192, May!D192, Jun!D192)</f>
        <v>1246549</v>
      </c>
      <c r="E192" s="10">
        <f>SUM(Apr!E192, May!E192, Jun!E192)</f>
        <v>0</v>
      </c>
      <c r="F192" s="10">
        <f t="shared" si="23"/>
        <v>1246549</v>
      </c>
      <c r="G192" s="61" t="str">
        <f t="shared" si="21"/>
        <v/>
      </c>
      <c r="H192" s="75">
        <f>SUM(Apr!H192, May!H192, Jun!H192)</f>
        <v>1467985.7</v>
      </c>
      <c r="I192" s="75">
        <f>SUM(Apr!I192, May!I192, Jun!I192)</f>
        <v>-221436.69999999995</v>
      </c>
      <c r="J192" s="13">
        <f t="shared" si="22"/>
        <v>-0.15084390808439072</v>
      </c>
    </row>
    <row r="193" spans="1:10" ht="15.6">
      <c r="A193" s="26" t="str">
        <v>Cedarville</v>
      </c>
      <c r="B193" s="27" t="str">
        <v>IL</v>
      </c>
      <c r="C193" s="27" t="str">
        <f>Sites[[#This Row],[SOL'#]]</f>
        <v>SOL-11069</v>
      </c>
      <c r="D193" s="9">
        <f>SUM(Apr!D193, May!D193, Jun!D193)</f>
        <v>1244661</v>
      </c>
      <c r="E193" s="14">
        <f>SUM(Apr!E193, May!E193, Jun!E193)</f>
        <v>1224082.1000000001</v>
      </c>
      <c r="F193" s="14">
        <f t="shared" si="23"/>
        <v>20578.899999999907</v>
      </c>
      <c r="G193" s="15">
        <f t="shared" si="21"/>
        <v>1.6811699149918053E-2</v>
      </c>
      <c r="H193" s="77">
        <f>SUM(Apr!H193, May!H193, Jun!H193)</f>
        <v>1487656.5</v>
      </c>
      <c r="I193" s="77">
        <f>SUM(Apr!I193, May!I193, Jun!I193)</f>
        <v>-242995.49999999994</v>
      </c>
      <c r="J193" s="15">
        <f t="shared" si="22"/>
        <v>-0.16334113419327642</v>
      </c>
    </row>
    <row r="194" spans="1:10" ht="15.6">
      <c r="A194" s="24" t="str">
        <v xml:space="preserve"> O'Brien Hill #1</v>
      </c>
      <c r="B194" s="25" t="str">
        <v>NY</v>
      </c>
      <c r="C194" s="25" t="str">
        <f>Sites[[#This Row],[SOL'#]]</f>
        <v>SOL-11098</v>
      </c>
      <c r="D194" s="60">
        <f>SUM(Apr!D194, May!D194, Jun!D194)</f>
        <v>68017</v>
      </c>
      <c r="E194" s="10">
        <f>SUM(Apr!E194, May!E194, Jun!E194)</f>
        <v>0</v>
      </c>
      <c r="F194" s="10">
        <f t="shared" si="23"/>
        <v>68017</v>
      </c>
      <c r="G194" s="61" t="str">
        <f t="shared" si="21"/>
        <v/>
      </c>
      <c r="H194" s="75">
        <f>SUM(Apr!H194, May!H194, Jun!H194)</f>
        <v>0</v>
      </c>
      <c r="I194" s="75">
        <f>SUM(Apr!I194, May!I194, Jun!I194)</f>
        <v>0</v>
      </c>
      <c r="J194" s="13" t="str">
        <f t="shared" si="22"/>
        <v/>
      </c>
    </row>
    <row r="195" spans="1:10" ht="15.6">
      <c r="A195" s="26" t="str">
        <v xml:space="preserve"> O'Brien Hill #2</v>
      </c>
      <c r="B195" s="27" t="str">
        <v>NY</v>
      </c>
      <c r="C195" s="27" t="str">
        <f>Sites[[#This Row],[SOL'#]]</f>
        <v>SOL-11099</v>
      </c>
      <c r="D195" s="9">
        <f>SUM(Apr!D195, May!D195, Jun!D195)</f>
        <v>1533876.06</v>
      </c>
      <c r="E195" s="14">
        <f>SUM(Apr!E195, May!E195, Jun!E195)</f>
        <v>0</v>
      </c>
      <c r="F195" s="14">
        <f t="shared" si="23"/>
        <v>1533876.06</v>
      </c>
      <c r="G195" s="15" t="str">
        <f t="shared" si="21"/>
        <v/>
      </c>
      <c r="H195" s="77">
        <f>SUM(Apr!H195, May!H195, Jun!H195)</f>
        <v>288848</v>
      </c>
      <c r="I195" s="77">
        <f>SUM(Apr!I195, May!I195, Jun!I195)</f>
        <v>-148179</v>
      </c>
      <c r="J195" s="15">
        <f t="shared" si="22"/>
        <v>-0.51299991691131663</v>
      </c>
    </row>
    <row r="196" spans="1:10" ht="15.6">
      <c r="A196" s="24" t="str">
        <v>Trinity - Freeport</v>
      </c>
      <c r="B196" s="25" t="str">
        <v>IL</v>
      </c>
      <c r="C196" s="25" t="str">
        <f>Sites[[#This Row],[SOL'#]]</f>
        <v>SOL-11057</v>
      </c>
      <c r="D196" s="60">
        <f>SUM(Apr!D196, May!D196, Jun!D196)</f>
        <v>1352828</v>
      </c>
      <c r="E196" s="10">
        <f>SUM(Apr!E196, May!E196, Jun!E196)</f>
        <v>1162840.7</v>
      </c>
      <c r="F196" s="10">
        <f t="shared" si="23"/>
        <v>189987.30000000005</v>
      </c>
      <c r="G196" s="61">
        <f t="shared" si="21"/>
        <v>0.16338205224498942</v>
      </c>
      <c r="H196" s="75">
        <f>SUM(Apr!H196, May!H196, Jun!H196)</f>
        <v>1066336</v>
      </c>
      <c r="I196" s="75">
        <f>SUM(Apr!I196, May!I196, Jun!I196)</f>
        <v>-105450</v>
      </c>
      <c r="J196" s="13">
        <f t="shared" si="22"/>
        <v>-9.8890030909581969E-2</v>
      </c>
    </row>
    <row r="197" spans="1:10" ht="15.6">
      <c r="A197" s="26" t="str">
        <v>Ransom</v>
      </c>
      <c r="B197" s="27" t="str">
        <v>NY</v>
      </c>
      <c r="C197" s="27" t="str">
        <f>Sites[[#This Row],[SOL'#]]</f>
        <v>SOL-11157</v>
      </c>
      <c r="D197" s="9">
        <f>SUM(Apr!D197, May!D197, Jun!D197)</f>
        <v>1662379.8</v>
      </c>
      <c r="E197" s="14">
        <f>SUM(Apr!E197, May!E197, Jun!E197)</f>
        <v>0</v>
      </c>
      <c r="F197" s="14">
        <f t="shared" si="23"/>
        <v>1662379.8</v>
      </c>
      <c r="G197" s="15" t="str">
        <f t="shared" si="21"/>
        <v/>
      </c>
      <c r="H197" s="77">
        <f>SUM(Apr!H197, May!H197, Jun!H197)</f>
        <v>326042</v>
      </c>
      <c r="I197" s="77">
        <f>SUM(Apr!I197, May!I197, Jun!I197)</f>
        <v>-169111</v>
      </c>
      <c r="J197" s="15">
        <f t="shared" si="22"/>
        <v>-0.51867857515289439</v>
      </c>
    </row>
    <row r="198" spans="1:10" ht="15.6">
      <c r="A198" s="24" t="str">
        <v>Horseheads - Wedge</v>
      </c>
      <c r="B198" s="25" t="str">
        <v>NY</v>
      </c>
      <c r="C198" s="25" t="str">
        <f>Sites[[#This Row],[SOL'#]]</f>
        <v>SOL-11160</v>
      </c>
      <c r="D198" s="60">
        <f>SUM(Apr!D198, May!D198, Jun!D198)</f>
        <v>1193377</v>
      </c>
      <c r="E198" s="10">
        <f>SUM(Apr!E198, May!E198, Jun!E198)</f>
        <v>0</v>
      </c>
      <c r="F198" s="10">
        <f t="shared" si="23"/>
        <v>1193377</v>
      </c>
      <c r="G198" s="61" t="str">
        <f t="shared" si="21"/>
        <v/>
      </c>
      <c r="H198" s="75">
        <f>SUM(Apr!H198, May!H198, Jun!H198)</f>
        <v>344639</v>
      </c>
      <c r="I198" s="75">
        <f>SUM(Apr!I198, May!I198, Jun!I198)</f>
        <v>-179578</v>
      </c>
      <c r="J198" s="13">
        <f t="shared" si="22"/>
        <v>-0.52106116835297223</v>
      </c>
    </row>
    <row r="199" spans="1:10" ht="15.6">
      <c r="A199" s="26" t="str">
        <v>Otisville - Shoddy Hollow</v>
      </c>
      <c r="B199" s="27" t="str">
        <v>NY</v>
      </c>
      <c r="C199" s="27" t="str">
        <f>Sites[[#This Row],[SOL'#]]</f>
        <v>SOL-11185</v>
      </c>
      <c r="D199" s="9">
        <f>SUM(Apr!D199, May!D199, Jun!D199)</f>
        <v>1814688.1</v>
      </c>
      <c r="E199" s="14">
        <f>SUM(Apr!E199, May!E199, Jun!E199)</f>
        <v>0</v>
      </c>
      <c r="F199" s="14">
        <f t="shared" si="23"/>
        <v>1814688.1</v>
      </c>
      <c r="G199" s="15" t="str">
        <f t="shared" si="21"/>
        <v/>
      </c>
      <c r="H199" s="77">
        <f>SUM(Apr!H199, May!H199, Jun!H199)</f>
        <v>363236</v>
      </c>
      <c r="I199" s="77">
        <f>SUM(Apr!I199, May!I199, Jun!I199)</f>
        <v>-190044</v>
      </c>
      <c r="J199" s="15">
        <f t="shared" si="22"/>
        <v>-0.52319703994097499</v>
      </c>
    </row>
    <row r="200" spans="1:10" ht="15.6">
      <c r="A200" s="24" t="str">
        <v>Wellsville - Chenunda Creek</v>
      </c>
      <c r="B200" s="25" t="str">
        <v>NY</v>
      </c>
      <c r="C200" s="25" t="str">
        <f>Sites[[#This Row],[SOL'#]]</f>
        <v>SOL-11187</v>
      </c>
      <c r="D200" s="60">
        <f>SUM(Apr!D200, May!D200, Jun!D200)</f>
        <v>1001224.9</v>
      </c>
      <c r="E200" s="10">
        <f>SUM(Apr!E200, May!E200, Jun!E200)</f>
        <v>0</v>
      </c>
      <c r="F200" s="10">
        <f t="shared" si="23"/>
        <v>1001224.9</v>
      </c>
      <c r="G200" s="61" t="str">
        <f t="shared" si="21"/>
        <v/>
      </c>
      <c r="H200" s="75">
        <f>SUM(Apr!H200, May!H200, Jun!H200)</f>
        <v>381833</v>
      </c>
      <c r="I200" s="75">
        <f>SUM(Apr!I200, May!I200, Jun!I200)</f>
        <v>-200510</v>
      </c>
      <c r="J200" s="13">
        <f t="shared" si="22"/>
        <v>-0.52512485824954891</v>
      </c>
    </row>
    <row r="201" spans="1:10" ht="14.45">
      <c r="J201" s="15" t="str">
        <f t="shared" si="22"/>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8" priority="23" stopIfTrue="1" operator="lessThanOrEqual">
      <formula>-0.1</formula>
    </cfRule>
    <cfRule type="expression" dxfId="67" priority="24">
      <formula>AND(ISNUMBER(G2), G2&gt;=0.1)</formula>
    </cfRule>
  </conditionalFormatting>
  <conditionalFormatting sqref="G4:G200 J4:J201">
    <cfRule type="cellIs" dxfId="66" priority="1" stopIfTrue="1" operator="lessThanOrEqual">
      <formula>-0.1</formula>
    </cfRule>
    <cfRule type="expression" dxfId="65"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00"/>
  <sheetViews>
    <sheetView workbookViewId="0">
      <pane xSplit="2" ySplit="3" topLeftCell="C115" activePane="bottomRight" state="frozen"/>
      <selection pane="bottomRight" activeCell="F204" sqref="F204"/>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5" t="str" cm="1">
        <f t="array" ref="A1">portfolio</f>
        <v>Generate Capital</v>
      </c>
      <c r="B1" s="165"/>
      <c r="C1" s="165"/>
      <c r="D1" s="165"/>
      <c r="E1" s="166" t="s">
        <v>15</v>
      </c>
      <c r="F1" s="166"/>
      <c r="G1" s="166"/>
      <c r="H1" s="164" t="s">
        <v>16</v>
      </c>
      <c r="I1" s="164"/>
      <c r="J1" s="164"/>
    </row>
    <row r="2" spans="1:10" ht="19.5" customHeight="1">
      <c r="A2" s="167" t="s">
        <v>2</v>
      </c>
      <c r="B2" s="167"/>
      <c r="C2" s="65"/>
      <c r="D2" s="5">
        <f>SUM(D4:D200)</f>
        <v>55460752.289186232</v>
      </c>
      <c r="E2" s="5">
        <f>SUM(E4:E100)</f>
        <v>17911090.809</v>
      </c>
      <c r="F2" s="5">
        <f>D2-E2</f>
        <v>37549661.480186231</v>
      </c>
      <c r="G2" s="6">
        <f>IFERROR(F2/E2, 0)</f>
        <v>2.0964474961691448</v>
      </c>
      <c r="H2" s="5">
        <f>SUM(H4:H200)</f>
        <v>53487678.448800027</v>
      </c>
      <c r="I2" s="7">
        <f>D2-H2</f>
        <v>1973073.8403862044</v>
      </c>
      <c r="J2" s="6">
        <f>IFERROR(I2/H2, 0)</f>
        <v>3.6888380606664176E-2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SUM(Jul!D4, Aug!D4, Sep!D4)</f>
        <v>13735.3356944444</v>
      </c>
      <c r="E4" s="10">
        <f>SUM(Jul!E4, Aug!E4, Sep!E4)</f>
        <v>8816.8459999999995</v>
      </c>
      <c r="F4" s="10">
        <f>IF(AND(ISNUMBER(D4),ISNUMBER(E4)), D4-E4, "")</f>
        <v>4918.4896944444008</v>
      </c>
      <c r="G4" s="11">
        <f>IFERROR(F4/E4, "")</f>
        <v>0.55785137842312327</v>
      </c>
      <c r="H4" s="12">
        <f>SUM(Jul!H4,Aug!H4,Sep!H4)</f>
        <v>13564.61</v>
      </c>
      <c r="I4" s="12">
        <f>SUM(Jul!I4, Aug!I4, Sep!I4)</f>
        <v>170.72569444439978</v>
      </c>
      <c r="J4" s="13">
        <f>IFERROR(I4/H4, "")</f>
        <v>1.2586111539100628E-2</v>
      </c>
    </row>
    <row r="5" spans="1:10" ht="15.6">
      <c r="A5" s="26" t="str">
        <v>Fulton</v>
      </c>
      <c r="B5" s="27" t="str">
        <v>AZ</v>
      </c>
      <c r="C5" s="27" t="str">
        <f>Sites[[#This Row],[SOL'#]]</f>
        <v>SOL-10749</v>
      </c>
      <c r="D5" s="9">
        <f>SUM(Jul!D5, Aug!D5, Sep!D5)</f>
        <v>51105</v>
      </c>
      <c r="E5" s="14">
        <f>SUM(Jul!E5, Aug!E5, Sep!E5)</f>
        <v>60589.7</v>
      </c>
      <c r="F5" s="14">
        <f t="shared" ref="F5:F68" si="0">IF(AND(ISNUMBER(D5),ISNUMBER(E5)), D5-E5, "")</f>
        <v>-9484.6999999999971</v>
      </c>
      <c r="G5" s="15">
        <f>IFERROR(F5/E5, "")</f>
        <v>-0.15653980792114827</v>
      </c>
      <c r="H5" s="16">
        <f>SUM(Jul!H5,Aug!H5,Sep!H5)</f>
        <v>68755.759999999995</v>
      </c>
      <c r="I5" s="16">
        <f>SUM(Jul!I5, Aug!I5, Sep!I5)</f>
        <v>-17650.759999999995</v>
      </c>
      <c r="J5" s="15">
        <f>IFERROR(I5/H5, "")</f>
        <v>-0.25671681907086763</v>
      </c>
    </row>
    <row r="6" spans="1:10" ht="15.6">
      <c r="A6" s="24" t="str">
        <v>JFK Elementary</v>
      </c>
      <c r="B6" s="25" t="str">
        <v>AZ</v>
      </c>
      <c r="C6" s="25" t="str">
        <f>Sites[[#This Row],[SOL'#]]</f>
        <v>SOL-10758</v>
      </c>
      <c r="D6" s="20">
        <f>SUM(Jul!D6, Aug!D6, Sep!D6)</f>
        <v>12132.179651275899</v>
      </c>
      <c r="E6" s="10">
        <f>SUM(Jul!E6, Aug!E6, Sep!E6)</f>
        <v>0</v>
      </c>
      <c r="F6" s="10">
        <f t="shared" si="0"/>
        <v>12132.179651275899</v>
      </c>
      <c r="G6" s="11" t="str">
        <f t="shared" ref="G6:G69" si="1">IFERROR(F6/E6, "")</f>
        <v/>
      </c>
      <c r="H6" s="12">
        <f>SUM(Jul!H6,Aug!H6,Sep!H6)</f>
        <v>18696</v>
      </c>
      <c r="I6" s="12">
        <f>SUM(Jul!I6, Aug!I6, Sep!I6)</f>
        <v>-6563.8203487241008</v>
      </c>
      <c r="J6" s="13">
        <f t="shared" ref="J6:J69" si="2">IFERROR(I6/H6, "")</f>
        <v>-0.35108153341485349</v>
      </c>
    </row>
    <row r="7" spans="1:10" ht="15.6">
      <c r="A7" s="26" t="str">
        <v>Noble</v>
      </c>
      <c r="B7" s="27" t="str">
        <v>AZ</v>
      </c>
      <c r="C7" s="27" t="str">
        <f>Sites[[#This Row],[SOL'#]]</f>
        <v>SOL-10750</v>
      </c>
      <c r="D7" s="9">
        <f>SUM(Jul!D7, Aug!D7, Sep!D7)</f>
        <v>12583.461537700599</v>
      </c>
      <c r="E7" s="14">
        <f>SUM(Jul!E7, Aug!E7, Sep!E7)</f>
        <v>15025.43</v>
      </c>
      <c r="F7" s="14">
        <f t="shared" si="0"/>
        <v>-2441.9684622994009</v>
      </c>
      <c r="G7" s="15">
        <f t="shared" si="1"/>
        <v>-0.16252236789891544</v>
      </c>
      <c r="H7" s="16">
        <f>SUM(Jul!H7,Aug!H7,Sep!H7)</f>
        <v>15254.26</v>
      </c>
      <c r="I7" s="16">
        <f>SUM(Jul!I7, Aug!I7, Sep!I7)</f>
        <v>-2670.7984622994009</v>
      </c>
      <c r="J7" s="15">
        <f t="shared" si="2"/>
        <v>-0.17508541629022981</v>
      </c>
    </row>
    <row r="8" spans="1:10" ht="15.6">
      <c r="A8" s="24" t="str">
        <v>Parking 3</v>
      </c>
      <c r="B8" s="25" t="str">
        <v>AZ</v>
      </c>
      <c r="C8" s="25" t="str">
        <f>Sites[[#This Row],[SOL'#]]</f>
        <v>SOL-10751</v>
      </c>
      <c r="D8" s="20">
        <f>SUM(Jul!D8, Aug!D8, Sep!D8)</f>
        <v>34337.612499999901</v>
      </c>
      <c r="E8" s="10">
        <f>SUM(Jul!E8, Aug!E8, Sep!E8)</f>
        <v>35477.839999999997</v>
      </c>
      <c r="F8" s="10">
        <f t="shared" si="0"/>
        <v>-1140.2275000000955</v>
      </c>
      <c r="G8" s="11">
        <f t="shared" si="1"/>
        <v>-3.2139146577133661E-2</v>
      </c>
      <c r="H8" s="12">
        <f>SUM(Jul!H8,Aug!H8,Sep!H8)</f>
        <v>31619.08</v>
      </c>
      <c r="I8" s="12">
        <f>SUM(Jul!I8, Aug!I8, Sep!I8)</f>
        <v>2718.5324999998993</v>
      </c>
      <c r="J8" s="13">
        <f t="shared" si="2"/>
        <v>8.5977596438602866E-2</v>
      </c>
    </row>
    <row r="9" spans="1:10" ht="15.6">
      <c r="A9" s="26" t="str">
        <v>PE East</v>
      </c>
      <c r="B9" s="27" t="str">
        <v>AZ</v>
      </c>
      <c r="C9" s="27" t="str">
        <f>Sites[[#This Row],[SOL'#]]</f>
        <v>SOL-10752</v>
      </c>
      <c r="D9" s="9">
        <f>SUM(Jul!D9, Aug!D9, Sep!D9)</f>
        <v>30211.9078319769</v>
      </c>
      <c r="E9" s="14">
        <f>SUM(Jul!E9, Aug!E9, Sep!E9)</f>
        <v>25952.9</v>
      </c>
      <c r="F9" s="14">
        <f t="shared" si="0"/>
        <v>4259.0078319768982</v>
      </c>
      <c r="G9" s="15">
        <f t="shared" si="1"/>
        <v>0.16410527655779886</v>
      </c>
      <c r="H9" s="16">
        <f>SUM(Jul!H9,Aug!H9,Sep!H9)</f>
        <v>31934.71</v>
      </c>
      <c r="I9" s="16">
        <f>SUM(Jul!I9, Aug!I9, Sep!I9)</f>
        <v>-1722.8021680230995</v>
      </c>
      <c r="J9" s="15">
        <f t="shared" si="2"/>
        <v>-5.394763779045119E-2</v>
      </c>
    </row>
    <row r="10" spans="1:10" ht="15.6">
      <c r="A10" s="24" t="str">
        <v>Schwada</v>
      </c>
      <c r="B10" s="25" t="str">
        <v>AZ</v>
      </c>
      <c r="C10" s="25" t="str">
        <f>Sites[[#This Row],[SOL'#]]</f>
        <v>SOL-10753</v>
      </c>
      <c r="D10" s="20">
        <f>SUM(Jul!D10, Aug!D10, Sep!D10)</f>
        <v>9176.8896546379001</v>
      </c>
      <c r="E10" s="10">
        <f>SUM(Jul!E10, Aug!E10, Sep!E10)</f>
        <v>10685.01</v>
      </c>
      <c r="F10" s="10">
        <f t="shared" si="0"/>
        <v>-1508.1203453621001</v>
      </c>
      <c r="G10" s="11">
        <f t="shared" si="1"/>
        <v>-0.14114355956261154</v>
      </c>
      <c r="H10" s="12">
        <f>SUM(Jul!H10,Aug!H10,Sep!H10)</f>
        <v>13894</v>
      </c>
      <c r="I10" s="12">
        <f>SUM(Jul!I10, Aug!I10, Sep!I10)</f>
        <v>-4717.1103453620999</v>
      </c>
      <c r="J10" s="13">
        <f t="shared" si="2"/>
        <v>-0.33950700628775732</v>
      </c>
    </row>
    <row r="11" spans="1:10" ht="15.6">
      <c r="A11" s="26" t="str">
        <v>Starshine</v>
      </c>
      <c r="B11" s="27" t="str">
        <v>AZ</v>
      </c>
      <c r="C11" s="27" t="str">
        <f>Sites[[#This Row],[SOL'#]]</f>
        <v>SOL-10757</v>
      </c>
      <c r="D11" s="9">
        <f>SUM(Jul!D11, Aug!D11, Sep!D11)</f>
        <v>6047.7999999999902</v>
      </c>
      <c r="E11" s="14">
        <f>SUM(Jul!E11, Aug!E11, Sep!E11)</f>
        <v>0</v>
      </c>
      <c r="F11" s="14">
        <f t="shared" si="0"/>
        <v>6047.7999999999902</v>
      </c>
      <c r="G11" s="15" t="str">
        <f t="shared" si="1"/>
        <v/>
      </c>
      <c r="H11" s="16">
        <f>SUM(Jul!H11,Aug!H11,Sep!H11)</f>
        <v>11002</v>
      </c>
      <c r="I11" s="16">
        <f>SUM(Jul!I11, Aug!I11, Sep!I11)</f>
        <v>-4954.2000000000098</v>
      </c>
      <c r="J11" s="15">
        <f t="shared" si="2"/>
        <v>-0.45029994546446189</v>
      </c>
    </row>
    <row r="12" spans="1:10" ht="15.6">
      <c r="A12" s="24" t="str">
        <v>Yuma Airport</v>
      </c>
      <c r="B12" s="25" t="str">
        <v>AZ</v>
      </c>
      <c r="C12" s="25" t="str">
        <f>Sites[[#This Row],[SOL'#]]</f>
        <v>SOL-10754</v>
      </c>
      <c r="D12" s="20">
        <f>SUM(Jul!D12, Aug!D12, Sep!D12)</f>
        <v>66601</v>
      </c>
      <c r="E12" s="10">
        <f>SUM(Jul!E12, Aug!E12, Sep!E12)</f>
        <v>94129.73</v>
      </c>
      <c r="F12" s="10">
        <f t="shared" si="0"/>
        <v>-27528.729999999996</v>
      </c>
      <c r="G12" s="11">
        <f t="shared" si="1"/>
        <v>-0.29245521048450895</v>
      </c>
      <c r="H12" s="12">
        <f>SUM(Jul!H12,Aug!H12,Sep!H12)</f>
        <v>82137</v>
      </c>
      <c r="I12" s="12">
        <f>SUM(Jul!I12, Aug!I12, Sep!I12)</f>
        <v>-15536</v>
      </c>
      <c r="J12" s="13">
        <f t="shared" si="2"/>
        <v>-0.18914740007548364</v>
      </c>
    </row>
    <row r="13" spans="1:10" ht="15.6">
      <c r="A13" s="26" t="str">
        <v>Kinsman</v>
      </c>
      <c r="B13" s="27" t="str">
        <v>OH</v>
      </c>
      <c r="C13" s="27" t="str">
        <f>Sites[[#This Row],[SOL'#]]</f>
        <v>SOL-10762</v>
      </c>
      <c r="D13" s="9">
        <f>SUM(Jul!D13, Aug!D13, Sep!D13)</f>
        <v>714.0703125</v>
      </c>
      <c r="E13" s="14">
        <f>SUM(Jul!E13, Aug!E13, Sep!E13)</f>
        <v>138037.1</v>
      </c>
      <c r="F13" s="14">
        <f t="shared" si="0"/>
        <v>-137323.02968750001</v>
      </c>
      <c r="G13" s="15">
        <f t="shared" si="1"/>
        <v>-0.99482696816652916</v>
      </c>
      <c r="H13" s="16">
        <f>SUM(Jul!H13,Aug!H13,Sep!H13)</f>
        <v>133750</v>
      </c>
      <c r="I13" s="16">
        <f>SUM(Jul!I13, Aug!I13, Sep!I13)</f>
        <v>-133035.9296875</v>
      </c>
      <c r="J13" s="15">
        <f t="shared" si="2"/>
        <v>-0.99466115654205611</v>
      </c>
    </row>
    <row r="14" spans="1:10" ht="15.6">
      <c r="A14" s="24" t="str">
        <v>Wooster</v>
      </c>
      <c r="B14" s="25" t="str">
        <v>OH</v>
      </c>
      <c r="C14" s="25" t="str">
        <f>Sites[[#This Row],[SOL'#]]</f>
        <v>SOL-10763</v>
      </c>
      <c r="D14" s="20">
        <f>SUM(Jul!D14, Aug!D14, Sep!D14)</f>
        <v>21528</v>
      </c>
      <c r="E14" s="10">
        <f>SUM(Jul!E14, Aug!E14, Sep!E14)</f>
        <v>0</v>
      </c>
      <c r="F14" s="10">
        <f t="shared" si="0"/>
        <v>21528</v>
      </c>
      <c r="G14" s="11" t="str">
        <f t="shared" si="1"/>
        <v/>
      </c>
      <c r="H14" s="12">
        <f>SUM(Jul!H14,Aug!H14,Sep!H14)</f>
        <v>32092</v>
      </c>
      <c r="I14" s="12">
        <f>SUM(Jul!I14, Aug!I14, Sep!I14)</f>
        <v>-10564</v>
      </c>
      <c r="J14" s="13">
        <f t="shared" si="2"/>
        <v>-0.32917861149196059</v>
      </c>
    </row>
    <row r="15" spans="1:10" ht="15.6">
      <c r="A15" s="26" t="str">
        <v>Globe Gila CC</v>
      </c>
      <c r="B15" s="27" t="str">
        <v>AZ</v>
      </c>
      <c r="C15" s="27" t="str">
        <f>Sites[[#This Row],[SOL'#]]</f>
        <v>SOL-10755</v>
      </c>
      <c r="D15" s="9">
        <f>SUM(Jul!D15, Aug!D15, Sep!D15)</f>
        <v>20373.3752302871</v>
      </c>
      <c r="E15" s="14">
        <f>SUM(Jul!E15, Aug!E15, Sep!E15)</f>
        <v>0</v>
      </c>
      <c r="F15" s="14">
        <f t="shared" si="0"/>
        <v>20373.3752302871</v>
      </c>
      <c r="G15" s="15" t="str">
        <f t="shared" si="1"/>
        <v/>
      </c>
      <c r="H15" s="16">
        <f>SUM(Jul!H15,Aug!H15,Sep!H15)</f>
        <v>18652</v>
      </c>
      <c r="I15" s="16">
        <f>SUM(Jul!I15, Aug!I15, Sep!I15)</f>
        <v>1721.3752302870998</v>
      </c>
      <c r="J15" s="15">
        <f t="shared" si="2"/>
        <v>9.2289043013462357E-2</v>
      </c>
    </row>
    <row r="16" spans="1:10" ht="15.6">
      <c r="A16" s="24" t="str">
        <v>Payson Gila CC</v>
      </c>
      <c r="B16" s="25" t="str">
        <v>AZ</v>
      </c>
      <c r="C16" s="25" t="str">
        <f>Sites[[#This Row],[SOL'#]]</f>
        <v>SOL-10756</v>
      </c>
      <c r="D16" s="20">
        <f>SUM(Jul!D16, Aug!D16, Sep!D16)</f>
        <v>15205.8845466159</v>
      </c>
      <c r="E16" s="10">
        <f>SUM(Jul!E16, Aug!E16, Sep!E16)</f>
        <v>6558.9120000000003</v>
      </c>
      <c r="F16" s="10">
        <f t="shared" si="0"/>
        <v>8646.9725466158998</v>
      </c>
      <c r="G16" s="11">
        <f t="shared" si="1"/>
        <v>1.318354712887732</v>
      </c>
      <c r="H16" s="12">
        <f>SUM(Jul!H16,Aug!H16,Sep!H16)</f>
        <v>15449</v>
      </c>
      <c r="I16" s="12">
        <f>SUM(Jul!I16, Aug!I16, Sep!I16)</f>
        <v>-243.11545338409996</v>
      </c>
      <c r="J16" s="13">
        <f t="shared" si="2"/>
        <v>-1.5736646603929056E-2</v>
      </c>
    </row>
    <row r="17" spans="1:10" ht="15.6">
      <c r="A17" s="26" t="str">
        <v>SCNM</v>
      </c>
      <c r="B17" s="27" t="str">
        <v>AZ</v>
      </c>
      <c r="C17" s="27" t="str">
        <f>Sites[[#This Row],[SOL'#]]</f>
        <v>SOL-10760</v>
      </c>
      <c r="D17" s="9">
        <f>SUM(Jul!D17, Aug!D17, Sep!D17)</f>
        <v>67507.749445675901</v>
      </c>
      <c r="E17" s="14">
        <f>SUM(Jul!E17, Aug!E17, Sep!E17)</f>
        <v>49080.480000000003</v>
      </c>
      <c r="F17" s="14">
        <f t="shared" si="0"/>
        <v>18427.269445675898</v>
      </c>
      <c r="G17" s="15">
        <f t="shared" si="1"/>
        <v>0.37545006580367385</v>
      </c>
      <c r="H17" s="16">
        <f>SUM(Jul!H17,Aug!H17,Sep!H17)</f>
        <v>91007</v>
      </c>
      <c r="I17" s="16">
        <f>SUM(Jul!I17, Aug!I17, Sep!I17)</f>
        <v>-23499.250554324099</v>
      </c>
      <c r="J17" s="15">
        <f t="shared" si="2"/>
        <v>-0.2582136599857604</v>
      </c>
    </row>
    <row r="18" spans="1:10" ht="12.75" customHeight="1">
      <c r="A18" s="24" t="str">
        <v>Sequoia Charter School</v>
      </c>
      <c r="B18" s="25" t="str">
        <v>AZ</v>
      </c>
      <c r="C18" s="25" t="str">
        <f>Sites[[#This Row],[SOL'#]]</f>
        <v>SOL-10759</v>
      </c>
      <c r="D18" s="20">
        <f>SUM(Jul!D18, Aug!D18, Sep!D18)</f>
        <v>32820.180000000197</v>
      </c>
      <c r="E18" s="10">
        <f>SUM(Jul!E18, Aug!E18, Sep!E18)</f>
        <v>0</v>
      </c>
      <c r="F18" s="10">
        <f t="shared" si="0"/>
        <v>32820.180000000197</v>
      </c>
      <c r="G18" s="11" t="str">
        <f t="shared" si="1"/>
        <v/>
      </c>
      <c r="H18" s="12">
        <f>SUM(Jul!H18,Aug!H18,Sep!H18)</f>
        <v>52037</v>
      </c>
      <c r="I18" s="12">
        <f>SUM(Jul!I18, Aug!I18, Sep!I18)</f>
        <v>-19216.819999999803</v>
      </c>
      <c r="J18" s="13">
        <f t="shared" si="2"/>
        <v>-0.36929146568787213</v>
      </c>
    </row>
    <row r="19" spans="1:10" ht="15.6">
      <c r="A19" s="26" t="str">
        <v>RCAB</v>
      </c>
      <c r="B19" s="27" t="str">
        <v>MA</v>
      </c>
      <c r="C19" s="27" t="str">
        <f>Sites[[#This Row],[SOL'#]]</f>
        <v>SOL-10838</v>
      </c>
      <c r="D19" s="9">
        <f>SUM(Jul!D19, Aug!D19, Sep!D19)</f>
        <v>147058</v>
      </c>
      <c r="E19" s="14">
        <f>SUM(Jul!E19, Aug!E19, Sep!E19)</f>
        <v>182019.3</v>
      </c>
      <c r="F19" s="14">
        <f t="shared" si="0"/>
        <v>-34961.299999999988</v>
      </c>
      <c r="G19" s="15">
        <f t="shared" si="1"/>
        <v>-0.19207468658543347</v>
      </c>
      <c r="H19" s="16">
        <f>SUM(Jul!H19,Aug!H19,Sep!H19)</f>
        <v>146482.79999999999</v>
      </c>
      <c r="I19" s="16">
        <f>SUM(Jul!I19, Aug!I19, Sep!I19)</f>
        <v>575.20000000001164</v>
      </c>
      <c r="J19" s="15">
        <f t="shared" si="2"/>
        <v>3.9267408869847632E-3</v>
      </c>
    </row>
    <row r="20" spans="1:10" ht="15.6">
      <c r="A20" s="24" t="str">
        <v>Spectro Coatings</v>
      </c>
      <c r="B20" s="25" t="str">
        <v>MA</v>
      </c>
      <c r="C20" s="25" t="str">
        <f>Sites[[#This Row],[SOL'#]]</f>
        <v>SOL-10074</v>
      </c>
      <c r="D20" s="20">
        <f>SUM(Jul!D20, Aug!D20, Sep!D20)</f>
        <v>38126.625</v>
      </c>
      <c r="E20" s="10">
        <f>SUM(Jul!E20, Aug!E20, Sep!E20)</f>
        <v>39199.726999999999</v>
      </c>
      <c r="F20" s="10">
        <f t="shared" si="0"/>
        <v>-1073.101999999999</v>
      </c>
      <c r="G20" s="11">
        <f t="shared" si="1"/>
        <v>-2.7375241669412621E-2</v>
      </c>
      <c r="H20" s="12">
        <f>SUM(Jul!H20,Aug!H20,Sep!H20)</f>
        <v>38210.936999999998</v>
      </c>
      <c r="I20" s="12">
        <f>SUM(Jul!I20, Aug!I20, Sep!I20)</f>
        <v>-84.311999999998079</v>
      </c>
      <c r="J20" s="13">
        <f t="shared" si="2"/>
        <v>-2.2064886814996995E-3</v>
      </c>
    </row>
    <row r="21" spans="1:10" ht="15.6">
      <c r="A21" s="26" t="str">
        <v>K026</v>
      </c>
      <c r="B21" s="27" t="str">
        <v>NY</v>
      </c>
      <c r="C21" s="27" t="str">
        <f>Sites[[#This Row],[SOL'#]]</f>
        <v>SOL-10356</v>
      </c>
      <c r="D21" s="9">
        <f>SUM(Jul!D21, Aug!D21, Sep!D21)</f>
        <v>22080.75</v>
      </c>
      <c r="E21" s="14">
        <f>SUM(Jul!E21, Aug!E21, Sep!E21)</f>
        <v>42520.39</v>
      </c>
      <c r="F21" s="14">
        <f t="shared" si="0"/>
        <v>-20439.64</v>
      </c>
      <c r="G21" s="15">
        <f t="shared" si="1"/>
        <v>-0.48070208198937026</v>
      </c>
      <c r="H21" s="16">
        <f>SUM(Jul!H21,Aug!H21,Sep!H21)</f>
        <v>37634.39</v>
      </c>
      <c r="I21" s="16">
        <f>SUM(Jul!I21, Aug!I21, Sep!I21)</f>
        <v>-15553.64</v>
      </c>
      <c r="J21" s="15">
        <f t="shared" si="2"/>
        <v>-0.41328263856541847</v>
      </c>
    </row>
    <row r="22" spans="1:10" ht="15.6">
      <c r="A22" s="24" t="str">
        <v>K041</v>
      </c>
      <c r="B22" s="25" t="str">
        <v>NY</v>
      </c>
      <c r="C22" s="25" t="str">
        <f>Sites[[#This Row],[SOL'#]]</f>
        <v>SOL-10357</v>
      </c>
      <c r="D22" s="20">
        <f>SUM(Jul!D22, Aug!D22, Sep!D22)</f>
        <v>30806.78125</v>
      </c>
      <c r="E22" s="10">
        <f>SUM(Jul!E22, Aug!E22, Sep!E22)</f>
        <v>35182.89</v>
      </c>
      <c r="F22" s="10">
        <f t="shared" si="0"/>
        <v>-4376.1087499999994</v>
      </c>
      <c r="G22" s="11">
        <f t="shared" si="1"/>
        <v>-0.12438173072195034</v>
      </c>
      <c r="H22" s="12">
        <f>SUM(Jul!H22,Aug!H22,Sep!H22)</f>
        <v>32538</v>
      </c>
      <c r="I22" s="12">
        <f>SUM(Jul!I22, Aug!I22, Sep!I22)</f>
        <v>-1731.21875</v>
      </c>
      <c r="J22" s="13">
        <f t="shared" si="2"/>
        <v>-5.3206059069395781E-2</v>
      </c>
    </row>
    <row r="23" spans="1:10" ht="15.6">
      <c r="A23" s="26" t="str">
        <v>K043</v>
      </c>
      <c r="B23" s="27" t="str">
        <v>NY</v>
      </c>
      <c r="C23" s="27" t="str">
        <f>Sites[[#This Row],[SOL'#]]</f>
        <v>SOL-10358</v>
      </c>
      <c r="D23" s="9">
        <f>SUM(Jul!D23, Aug!D23, Sep!D23)</f>
        <v>35140.5</v>
      </c>
      <c r="E23" s="14">
        <f>SUM(Jul!E23, Aug!E23, Sep!E23)</f>
        <v>39838.042000000001</v>
      </c>
      <c r="F23" s="14">
        <f t="shared" si="0"/>
        <v>-4697.5420000000013</v>
      </c>
      <c r="G23" s="15">
        <f t="shared" si="1"/>
        <v>-0.11791598593123631</v>
      </c>
      <c r="H23" s="16">
        <f>SUM(Jul!H23,Aug!H23,Sep!H23)</f>
        <v>7003.0330000000004</v>
      </c>
      <c r="I23" s="16">
        <f>SUM(Jul!I23, Aug!I23, Sep!I23)</f>
        <v>28137.467000000001</v>
      </c>
      <c r="J23" s="15">
        <f t="shared" si="2"/>
        <v>4.0178972453792516</v>
      </c>
    </row>
    <row r="24" spans="1:10" ht="15.6">
      <c r="A24" s="24" t="str">
        <v>K058</v>
      </c>
      <c r="B24" s="25" t="str">
        <v>NY</v>
      </c>
      <c r="C24" s="25" t="str">
        <f>Sites[[#This Row],[SOL'#]]</f>
        <v>SOL-10360</v>
      </c>
      <c r="D24" s="20">
        <f>SUM(Jul!D24, Aug!D24, Sep!D24)</f>
        <v>0</v>
      </c>
      <c r="E24" s="10">
        <f>SUM(Jul!E24, Aug!E24, Sep!E24)</f>
        <v>0</v>
      </c>
      <c r="F24" s="10">
        <f t="shared" si="0"/>
        <v>0</v>
      </c>
      <c r="G24" s="11" t="str">
        <f t="shared" si="1"/>
        <v/>
      </c>
      <c r="H24" s="12">
        <f>SUM(Jul!H24,Aug!H24,Sep!H24)</f>
        <v>28709</v>
      </c>
      <c r="I24" s="12">
        <f>SUM(Jul!I24, Aug!I24, Sep!I24)</f>
        <v>-28709</v>
      </c>
      <c r="J24" s="13">
        <f t="shared" si="2"/>
        <v>-1</v>
      </c>
    </row>
    <row r="25" spans="1:10" ht="15.6">
      <c r="A25" s="26" t="str">
        <v>K115</v>
      </c>
      <c r="B25" s="27" t="str">
        <v>NY</v>
      </c>
      <c r="C25" s="27" t="str">
        <f>Sites[[#This Row],[SOL'#]]</f>
        <v>SOL-10361</v>
      </c>
      <c r="D25" s="9">
        <f>SUM(Jul!D25, Aug!D25, Sep!D25)</f>
        <v>5994.96875</v>
      </c>
      <c r="E25" s="14">
        <f>SUM(Jul!E25, Aug!E25, Sep!E25)</f>
        <v>15981.37</v>
      </c>
      <c r="F25" s="14">
        <f t="shared" si="0"/>
        <v>-9986.4012500000008</v>
      </c>
      <c r="G25" s="15">
        <f t="shared" si="1"/>
        <v>-0.62487767006207851</v>
      </c>
      <c r="H25" s="16">
        <f>SUM(Jul!H25,Aug!H25,Sep!H25)</f>
        <v>18780.490000000002</v>
      </c>
      <c r="I25" s="16">
        <f>SUM(Jul!I25, Aug!I25, Sep!I25)</f>
        <v>-12785.521250000002</v>
      </c>
      <c r="J25" s="15">
        <f t="shared" si="2"/>
        <v>-0.68078741555731515</v>
      </c>
    </row>
    <row r="26" spans="1:10" ht="15.6">
      <c r="A26" s="24" t="str">
        <v>K152</v>
      </c>
      <c r="B26" s="25" t="str">
        <v>NY</v>
      </c>
      <c r="C26" s="25" t="str">
        <f>Sites[[#This Row],[SOL'#]]</f>
        <v>SOL-10362</v>
      </c>
      <c r="D26" s="20">
        <f>SUM(Jul!D26, Aug!D26, Sep!D26)</f>
        <v>11235.5</v>
      </c>
      <c r="E26" s="10">
        <f>SUM(Jul!E26, Aug!E26, Sep!E26)</f>
        <v>11639.54</v>
      </c>
      <c r="F26" s="10">
        <f t="shared" si="0"/>
        <v>-404.04000000000087</v>
      </c>
      <c r="G26" s="11">
        <f t="shared" si="1"/>
        <v>-3.4712712014392397E-2</v>
      </c>
      <c r="H26" s="12">
        <f>SUM(Jul!H26,Aug!H26,Sep!H26)</f>
        <v>10840</v>
      </c>
      <c r="I26" s="12">
        <f>SUM(Jul!I26, Aug!I26, Sep!I26)</f>
        <v>395.5</v>
      </c>
      <c r="J26" s="13">
        <f t="shared" si="2"/>
        <v>3.6485239852398522E-2</v>
      </c>
    </row>
    <row r="27" spans="1:10" ht="15.6">
      <c r="A27" s="26" t="str">
        <v>K166</v>
      </c>
      <c r="B27" s="27" t="str">
        <v>NY</v>
      </c>
      <c r="C27" s="27" t="str">
        <f>Sites[[#This Row],[SOL'#]]</f>
        <v>SOL-10363</v>
      </c>
      <c r="D27" s="9">
        <f>SUM(Jul!D27, Aug!D27, Sep!D27)</f>
        <v>42074.5</v>
      </c>
      <c r="E27" s="14">
        <f>SUM(Jul!E27, Aug!E27, Sep!E27)</f>
        <v>45470.58</v>
      </c>
      <c r="F27" s="14">
        <f t="shared" si="0"/>
        <v>-3396.0800000000017</v>
      </c>
      <c r="G27" s="15">
        <f t="shared" si="1"/>
        <v>-7.4687413268095582E-2</v>
      </c>
      <c r="H27" s="16">
        <f>SUM(Jul!H27,Aug!H27,Sep!H27)</f>
        <v>39952.559999999998</v>
      </c>
      <c r="I27" s="16">
        <f>SUM(Jul!I27, Aug!I27, Sep!I27)</f>
        <v>2121.9400000000023</v>
      </c>
      <c r="J27" s="15">
        <f t="shared" si="2"/>
        <v>5.3111490227409769E-2</v>
      </c>
    </row>
    <row r="28" spans="1:10" ht="15.6">
      <c r="A28" s="24" t="str">
        <v>K206</v>
      </c>
      <c r="B28" s="25" t="str">
        <v>NY</v>
      </c>
      <c r="C28" s="25" t="str">
        <f>Sites[[#This Row],[SOL'#]]</f>
        <v>SOL-10927</v>
      </c>
      <c r="D28" s="20">
        <f>SUM(Jul!D28, Aug!D28, Sep!D28)</f>
        <v>25801.21875</v>
      </c>
      <c r="E28" s="10">
        <f>SUM(Jul!E28, Aug!E28, Sep!E28)</f>
        <v>24180.51</v>
      </c>
      <c r="F28" s="10">
        <f t="shared" si="0"/>
        <v>1620.7087500000016</v>
      </c>
      <c r="G28" s="11">
        <f t="shared" si="1"/>
        <v>6.7025416337372606E-2</v>
      </c>
      <c r="H28" s="12">
        <f>SUM(Jul!H28,Aug!H28,Sep!H28)</f>
        <v>24570</v>
      </c>
      <c r="I28" s="12">
        <f>SUM(Jul!I28, Aug!I28, Sep!I28)</f>
        <v>1231.21875</v>
      </c>
      <c r="J28" s="13">
        <f t="shared" si="2"/>
        <v>5.0110653235653238E-2</v>
      </c>
    </row>
    <row r="29" spans="1:10" ht="15.6">
      <c r="A29" s="26" t="str">
        <v>K251</v>
      </c>
      <c r="B29" s="27" t="str">
        <v>NY</v>
      </c>
      <c r="C29" s="27" t="str">
        <f>Sites[[#This Row],[SOL'#]]</f>
        <v>SOL-10365</v>
      </c>
      <c r="D29" s="9">
        <f>SUM(Jul!D29, Aug!D29, Sep!D29)</f>
        <v>20454.375</v>
      </c>
      <c r="E29" s="14">
        <f>SUM(Jul!E29, Aug!E29, Sep!E29)</f>
        <v>0</v>
      </c>
      <c r="F29" s="14">
        <f t="shared" si="0"/>
        <v>20454.375</v>
      </c>
      <c r="G29" s="15" t="str">
        <f t="shared" si="1"/>
        <v/>
      </c>
      <c r="H29" s="16">
        <f>SUM(Jul!H29,Aug!H29,Sep!H29)</f>
        <v>25324.63</v>
      </c>
      <c r="I29" s="16">
        <f>SUM(Jul!I29, Aug!I29, Sep!I29)</f>
        <v>-4870.255000000001</v>
      </c>
      <c r="J29" s="15">
        <f t="shared" si="2"/>
        <v>-0.19231297752425211</v>
      </c>
    </row>
    <row r="30" spans="1:10" ht="15.6">
      <c r="A30" s="24" t="str">
        <v>K269</v>
      </c>
      <c r="B30" s="25" t="str">
        <v>NY</v>
      </c>
      <c r="C30" s="25" t="str">
        <f>Sites[[#This Row],[SOL'#]]</f>
        <v>SOL-10366</v>
      </c>
      <c r="D30" s="20">
        <f>SUM(Jul!D30, Aug!D30, Sep!D30)</f>
        <v>24601.3125</v>
      </c>
      <c r="E30" s="10">
        <f>SUM(Jul!E30, Aug!E30, Sep!E30)</f>
        <v>28866.1</v>
      </c>
      <c r="F30" s="10">
        <f t="shared" si="0"/>
        <v>-4264.7874999999985</v>
      </c>
      <c r="G30" s="11">
        <f t="shared" si="1"/>
        <v>-0.14774380674909318</v>
      </c>
      <c r="H30" s="12">
        <f>SUM(Jul!H30,Aug!H30,Sep!H30)</f>
        <v>25783.66</v>
      </c>
      <c r="I30" s="12">
        <f>SUM(Jul!I30, Aug!I30, Sep!I30)</f>
        <v>-1182.3474999999999</v>
      </c>
      <c r="J30" s="13">
        <f t="shared" si="2"/>
        <v>-4.585646490839547E-2</v>
      </c>
    </row>
    <row r="31" spans="1:10" ht="15.6">
      <c r="A31" s="26" t="str">
        <v>K273</v>
      </c>
      <c r="B31" s="27" t="str">
        <v>NY</v>
      </c>
      <c r="C31" s="27" t="str">
        <f>Sites[[#This Row],[SOL'#]]</f>
        <v>SOL-10367</v>
      </c>
      <c r="D31" s="9">
        <f>SUM(Jul!D31, Aug!D31, Sep!D31)</f>
        <v>19989.1875</v>
      </c>
      <c r="E31" s="14">
        <f>SUM(Jul!E31, Aug!E31, Sep!E31)</f>
        <v>0</v>
      </c>
      <c r="F31" s="14">
        <f t="shared" si="0"/>
        <v>19989.1875</v>
      </c>
      <c r="G31" s="15" t="str">
        <f t="shared" si="1"/>
        <v/>
      </c>
      <c r="H31" s="16">
        <f>SUM(Jul!H31,Aug!H31,Sep!H31)</f>
        <v>30662</v>
      </c>
      <c r="I31" s="16">
        <f>SUM(Jul!I31, Aug!I31, Sep!I31)</f>
        <v>-10672.8125</v>
      </c>
      <c r="J31" s="15">
        <f t="shared" si="2"/>
        <v>-0.34807946317917943</v>
      </c>
    </row>
    <row r="32" spans="1:10" ht="15.6">
      <c r="A32" s="24" t="str">
        <v>K287</v>
      </c>
      <c r="B32" s="25" t="str">
        <v>NY</v>
      </c>
      <c r="C32" s="25" t="str">
        <f>Sites[[#This Row],[SOL'#]]</f>
        <v>SOL-10919</v>
      </c>
      <c r="D32" s="20">
        <f>SUM(Jul!D32, Aug!D32, Sep!D32)</f>
        <v>21277.71875</v>
      </c>
      <c r="E32" s="10">
        <f>SUM(Jul!E32, Aug!E32, Sep!E32)</f>
        <v>18223.169999999998</v>
      </c>
      <c r="F32" s="10">
        <f t="shared" si="0"/>
        <v>3054.5487500000017</v>
      </c>
      <c r="G32" s="11">
        <f t="shared" si="1"/>
        <v>0.16761895707497665</v>
      </c>
      <c r="H32" s="12">
        <f>SUM(Jul!H32,Aug!H32,Sep!H32)</f>
        <v>22153</v>
      </c>
      <c r="I32" s="12">
        <f>SUM(Jul!I32, Aug!I32, Sep!I32)</f>
        <v>-875.28125</v>
      </c>
      <c r="J32" s="13">
        <f t="shared" si="2"/>
        <v>-3.9510732180743018E-2</v>
      </c>
    </row>
    <row r="33" spans="1:10" ht="15.6">
      <c r="A33" s="26" t="str">
        <v>K298</v>
      </c>
      <c r="B33" s="27" t="str">
        <v>NY</v>
      </c>
      <c r="C33" s="27" t="str">
        <f>Sites[[#This Row],[SOL'#]]</f>
        <v>SOL-10368</v>
      </c>
      <c r="D33" s="9">
        <f>SUM(Jul!D33, Aug!D33, Sep!D33)</f>
        <v>23346.625</v>
      </c>
      <c r="E33" s="14">
        <f>SUM(Jul!E33, Aug!E33, Sep!E33)</f>
        <v>24604.5</v>
      </c>
      <c r="F33" s="14">
        <f t="shared" si="0"/>
        <v>-1257.875</v>
      </c>
      <c r="G33" s="15">
        <f t="shared" si="1"/>
        <v>-5.1123778170659842E-2</v>
      </c>
      <c r="H33" s="16">
        <f>SUM(Jul!H33,Aug!H33,Sep!H33)</f>
        <v>26042</v>
      </c>
      <c r="I33" s="16">
        <f>SUM(Jul!I33, Aug!I33, Sep!I33)</f>
        <v>-2695.375</v>
      </c>
      <c r="J33" s="15">
        <f t="shared" si="2"/>
        <v>-0.10350107518623762</v>
      </c>
    </row>
    <row r="34" spans="1:10" ht="15.6">
      <c r="A34" s="24" t="str">
        <v>K335</v>
      </c>
      <c r="B34" s="25" t="str">
        <v>NY</v>
      </c>
      <c r="C34" s="25" t="str">
        <f>Sites[[#This Row],[SOL'#]]</f>
        <v>SOL-10370</v>
      </c>
      <c r="D34" s="20">
        <f>SUM(Jul!D34, Aug!D34, Sep!D34)</f>
        <v>23818.1875</v>
      </c>
      <c r="E34" s="10">
        <f>SUM(Jul!E34, Aug!E34, Sep!E34)</f>
        <v>27510.19</v>
      </c>
      <c r="F34" s="10">
        <f t="shared" si="0"/>
        <v>-3692.0024999999987</v>
      </c>
      <c r="G34" s="11">
        <f t="shared" si="1"/>
        <v>-0.13420490734524185</v>
      </c>
      <c r="H34" s="12">
        <f>SUM(Jul!H34,Aug!H34,Sep!H34)</f>
        <v>6708.5969999999998</v>
      </c>
      <c r="I34" s="12">
        <f>SUM(Jul!I34, Aug!I34, Sep!I34)</f>
        <v>17109.590499999998</v>
      </c>
      <c r="J34" s="13">
        <f t="shared" si="2"/>
        <v>2.5503977210137974</v>
      </c>
    </row>
    <row r="35" spans="1:10" ht="15.6">
      <c r="A35" s="26" t="str">
        <v>K345</v>
      </c>
      <c r="B35" s="27" t="str">
        <v>NY</v>
      </c>
      <c r="C35" s="27" t="str">
        <f>Sites[[#This Row],[SOL'#]]</f>
        <v>SOL-10920</v>
      </c>
      <c r="D35" s="9">
        <f>SUM(Jul!D35, Aug!D35, Sep!D35)</f>
        <v>28493.59375</v>
      </c>
      <c r="E35" s="14">
        <f>SUM(Jul!E35, Aug!E35, Sep!E35)</f>
        <v>16426.560000000001</v>
      </c>
      <c r="F35" s="14">
        <f t="shared" si="0"/>
        <v>12067.033749999999</v>
      </c>
      <c r="G35" s="15">
        <f t="shared" si="1"/>
        <v>0.73460503903434426</v>
      </c>
      <c r="H35" s="16">
        <f>SUM(Jul!H35,Aug!H35,Sep!H35)</f>
        <v>29496</v>
      </c>
      <c r="I35" s="16">
        <f>SUM(Jul!I35, Aug!I35, Sep!I35)</f>
        <v>-1002.40625</v>
      </c>
      <c r="J35" s="15">
        <f t="shared" si="2"/>
        <v>-3.3984480946569029E-2</v>
      </c>
    </row>
    <row r="36" spans="1:10" ht="15.6">
      <c r="A36" s="24" t="str">
        <v>K445</v>
      </c>
      <c r="B36" s="25" t="str">
        <v>NY</v>
      </c>
      <c r="C36" s="25" t="str">
        <f>Sites[[#This Row],[SOL'#]]</f>
        <v>SOL-10373</v>
      </c>
      <c r="D36" s="20">
        <f>SUM(Jul!D36, Aug!D36, Sep!D36)</f>
        <v>23873.90625</v>
      </c>
      <c r="E36" s="10">
        <f>SUM(Jul!E36, Aug!E36, Sep!E36)</f>
        <v>25868.68</v>
      </c>
      <c r="F36" s="10">
        <f t="shared" si="0"/>
        <v>-1994.7737500000003</v>
      </c>
      <c r="G36" s="11">
        <f t="shared" si="1"/>
        <v>-7.7111539900760306E-2</v>
      </c>
      <c r="H36" s="12">
        <f>SUM(Jul!H36,Aug!H36,Sep!H36)</f>
        <v>24192.71</v>
      </c>
      <c r="I36" s="12">
        <f>SUM(Jul!I36, Aug!I36, Sep!I36)</f>
        <v>-318.80374999999913</v>
      </c>
      <c r="J36" s="13">
        <f t="shared" si="2"/>
        <v>-1.3177678317145915E-2</v>
      </c>
    </row>
    <row r="37" spans="1:10" ht="15.6">
      <c r="A37" s="26" t="str">
        <v>K495</v>
      </c>
      <c r="B37" s="27" t="str">
        <v>NY</v>
      </c>
      <c r="C37" s="27" t="str">
        <f>Sites[[#This Row],[SOL'#]]</f>
        <v>SOL-10374</v>
      </c>
      <c r="D37" s="9">
        <f>SUM(Jul!D37, Aug!D37, Sep!D37)</f>
        <v>101785.470477387</v>
      </c>
      <c r="E37" s="14">
        <f>SUM(Jul!E37, Aug!E37, Sep!E37)</f>
        <v>100102.3</v>
      </c>
      <c r="F37" s="14">
        <f t="shared" si="0"/>
        <v>1683.1704773870006</v>
      </c>
      <c r="G37" s="15">
        <f t="shared" si="1"/>
        <v>1.6814503536751908E-2</v>
      </c>
      <c r="H37" s="16">
        <f>SUM(Jul!H37,Aug!H37,Sep!H37)</f>
        <v>100968.4</v>
      </c>
      <c r="I37" s="16">
        <f>SUM(Jul!I37, Aug!I37, Sep!I37)</f>
        <v>817.0704773870093</v>
      </c>
      <c r="J37" s="15">
        <f t="shared" si="2"/>
        <v>8.0923385671854697E-3</v>
      </c>
    </row>
    <row r="38" spans="1:10" ht="15.6">
      <c r="A38" s="24" t="str">
        <v>M020</v>
      </c>
      <c r="B38" s="25" t="str">
        <v>NY</v>
      </c>
      <c r="C38" s="25" t="str">
        <f>Sites[[#This Row],[SOL'#]]</f>
        <v>SOL-10380</v>
      </c>
      <c r="D38" s="20">
        <f>SUM(Jul!D38, Aug!D38, Sep!D38)</f>
        <v>26263.71875</v>
      </c>
      <c r="E38" s="10">
        <f>SUM(Jul!E38, Aug!E38, Sep!E38)</f>
        <v>26808.87</v>
      </c>
      <c r="F38" s="10">
        <f t="shared" si="0"/>
        <v>-545.15124999999898</v>
      </c>
      <c r="G38" s="11">
        <f t="shared" si="1"/>
        <v>-2.0334734362171886E-2</v>
      </c>
      <c r="H38" s="12">
        <f>SUM(Jul!H38,Aug!H38,Sep!H38)</f>
        <v>27263</v>
      </c>
      <c r="I38" s="12">
        <f>SUM(Jul!I38, Aug!I38, Sep!I38)</f>
        <v>-999.28125</v>
      </c>
      <c r="J38" s="13">
        <f t="shared" si="2"/>
        <v>-3.6653385540842902E-2</v>
      </c>
    </row>
    <row r="39" spans="1:10" ht="15.6">
      <c r="A39" s="26" t="str">
        <v>M092</v>
      </c>
      <c r="B39" s="27" t="str">
        <v>NY</v>
      </c>
      <c r="C39" s="27" t="str">
        <f>Sites[[#This Row],[SOL'#]]</f>
        <v>SOL-10383</v>
      </c>
      <c r="D39" s="9">
        <f>SUM(Jul!D39, Aug!D39, Sep!D39)</f>
        <v>25513.3125</v>
      </c>
      <c r="E39" s="14">
        <f>SUM(Jul!E39, Aug!E39, Sep!E39)</f>
        <v>27052.52</v>
      </c>
      <c r="F39" s="14">
        <f t="shared" si="0"/>
        <v>-1539.2075000000004</v>
      </c>
      <c r="G39" s="15">
        <f t="shared" si="1"/>
        <v>-5.6897009964321267E-2</v>
      </c>
      <c r="H39" s="16">
        <f>SUM(Jul!H39,Aug!H39,Sep!H39)</f>
        <v>26962.78</v>
      </c>
      <c r="I39" s="16">
        <f>SUM(Jul!I39, Aug!I39, Sep!I39)</f>
        <v>-1449.4674999999988</v>
      </c>
      <c r="J39" s="15">
        <f t="shared" si="2"/>
        <v>-5.3758088001311398E-2</v>
      </c>
    </row>
    <row r="40" spans="1:10" ht="15.6">
      <c r="A40" s="24" t="str">
        <v>M143</v>
      </c>
      <c r="B40" s="25" t="str">
        <v>NY</v>
      </c>
      <c r="C40" s="25" t="str">
        <f>Sites[[#This Row],[SOL'#]]</f>
        <v>SOL-10384</v>
      </c>
      <c r="D40" s="20">
        <f>SUM(Jul!D40, Aug!D40, Sep!D40)</f>
        <v>26932.8125</v>
      </c>
      <c r="E40" s="10">
        <f>SUM(Jul!E40, Aug!E40, Sep!E40)</f>
        <v>33267.06</v>
      </c>
      <c r="F40" s="10">
        <f t="shared" si="0"/>
        <v>-6334.2474999999977</v>
      </c>
      <c r="G40" s="11">
        <f t="shared" si="1"/>
        <v>-0.19040599018969509</v>
      </c>
      <c r="H40" s="12">
        <f>SUM(Jul!H40,Aug!H40,Sep!H40)</f>
        <v>28941.11</v>
      </c>
      <c r="I40" s="12">
        <f>SUM(Jul!I40, Aug!I40, Sep!I40)</f>
        <v>-2008.2975000000006</v>
      </c>
      <c r="J40" s="13">
        <f t="shared" si="2"/>
        <v>-6.9392552669887253E-2</v>
      </c>
    </row>
    <row r="41" spans="1:10" ht="15.6">
      <c r="A41" s="26" t="str">
        <v>M144</v>
      </c>
      <c r="B41" s="27" t="str">
        <v>NY</v>
      </c>
      <c r="C41" s="27" t="str">
        <f>Sites[[#This Row],[SOL'#]]</f>
        <v>SOL-10385</v>
      </c>
      <c r="D41" s="9">
        <f>SUM(Jul!D41, Aug!D41, Sep!D41)</f>
        <v>41808.0625</v>
      </c>
      <c r="E41" s="14">
        <f>SUM(Jul!E41, Aug!E41, Sep!E41)</f>
        <v>45206.86</v>
      </c>
      <c r="F41" s="14">
        <f t="shared" si="0"/>
        <v>-3398.7975000000006</v>
      </c>
      <c r="G41" s="15">
        <f t="shared" si="1"/>
        <v>-7.518322440443774E-2</v>
      </c>
      <c r="H41" s="16">
        <f>SUM(Jul!H41,Aug!H41,Sep!H41)</f>
        <v>48675.37</v>
      </c>
      <c r="I41" s="16">
        <f>SUM(Jul!I41, Aug!I41, Sep!I41)</f>
        <v>-6867.3075000000026</v>
      </c>
      <c r="J41" s="15">
        <f t="shared" si="2"/>
        <v>-0.1410838274059345</v>
      </c>
    </row>
    <row r="42" spans="1:10" ht="15.6">
      <c r="A42" s="24" t="str">
        <v>M167</v>
      </c>
      <c r="B42" s="25" t="str">
        <v>NY</v>
      </c>
      <c r="C42" s="25" t="str">
        <f>Sites[[#This Row],[SOL'#]]</f>
        <v>SOL-10386</v>
      </c>
      <c r="D42" s="20">
        <f>SUM(Jul!D42, Aug!D42, Sep!D42)</f>
        <v>32401.5</v>
      </c>
      <c r="E42" s="10">
        <f>SUM(Jul!E42, Aug!E42, Sep!E42)</f>
        <v>23815.59</v>
      </c>
      <c r="F42" s="10">
        <f t="shared" si="0"/>
        <v>8585.91</v>
      </c>
      <c r="G42" s="11">
        <f t="shared" si="1"/>
        <v>0.36051636763985273</v>
      </c>
      <c r="H42" s="12">
        <f>SUM(Jul!H42,Aug!H42,Sep!H42)</f>
        <v>35855.980000000003</v>
      </c>
      <c r="I42" s="12">
        <f>SUM(Jul!I42, Aug!I42, Sep!I42)</f>
        <v>-3454.4800000000032</v>
      </c>
      <c r="J42" s="13">
        <f t="shared" si="2"/>
        <v>-9.6343204118253159E-2</v>
      </c>
    </row>
    <row r="43" spans="1:10" ht="15.6">
      <c r="A43" s="26" t="str">
        <v>M188</v>
      </c>
      <c r="B43" s="27" t="str">
        <v>NY</v>
      </c>
      <c r="C43" s="27" t="str">
        <f>Sites[[#This Row],[SOL'#]]</f>
        <v>SOL-10387</v>
      </c>
      <c r="D43" s="9">
        <f>SUM(Jul!D43, Aug!D43, Sep!D43)</f>
        <v>22118.3125</v>
      </c>
      <c r="E43" s="14">
        <f>SUM(Jul!E43, Aug!E43, Sep!E43)</f>
        <v>22518.45</v>
      </c>
      <c r="F43" s="14">
        <f t="shared" si="0"/>
        <v>-400.13750000000073</v>
      </c>
      <c r="G43" s="15">
        <f t="shared" si="1"/>
        <v>-1.7769318048089486E-2</v>
      </c>
      <c r="H43" s="16">
        <f>SUM(Jul!H43,Aug!H43,Sep!H43)</f>
        <v>24672.09</v>
      </c>
      <c r="I43" s="16">
        <f>SUM(Jul!I43, Aug!I43, Sep!I43)</f>
        <v>-2553.7775000000001</v>
      </c>
      <c r="J43" s="15">
        <f t="shared" si="2"/>
        <v>-0.10350876233022821</v>
      </c>
    </row>
    <row r="44" spans="1:10" ht="15.6">
      <c r="A44" s="24" t="str">
        <v>EMHC</v>
      </c>
      <c r="B44" s="25" t="str">
        <v>NY</v>
      </c>
      <c r="C44" s="25" t="str">
        <f>Sites[[#This Row],[SOL'#]]</f>
        <v>SOL-10351</v>
      </c>
      <c r="D44" s="20">
        <f>SUM(Jul!D44, Aug!D44, Sep!D44)</f>
        <v>8553.828125</v>
      </c>
      <c r="E44" s="10">
        <f>SUM(Jul!E44, Aug!E44, Sep!E44)</f>
        <v>7417.9120000000003</v>
      </c>
      <c r="F44" s="10">
        <f t="shared" si="0"/>
        <v>1135.9161249999997</v>
      </c>
      <c r="G44" s="11">
        <f t="shared" si="1"/>
        <v>0.15313151800668431</v>
      </c>
      <c r="H44" s="12">
        <f>SUM(Jul!H44,Aug!H44,Sep!H44)</f>
        <v>12191.91</v>
      </c>
      <c r="I44" s="12">
        <f>SUM(Jul!I44, Aug!I44, Sep!I44)</f>
        <v>-3638.0818749999999</v>
      </c>
      <c r="J44" s="13">
        <f t="shared" si="2"/>
        <v>-0.298401306686155</v>
      </c>
    </row>
    <row r="45" spans="1:10" ht="15.6">
      <c r="A45" s="26" t="str">
        <v>Q008</v>
      </c>
      <c r="B45" s="27" t="str">
        <v>NY</v>
      </c>
      <c r="C45" s="27" t="str">
        <f>Sites[[#This Row],[SOL'#]]</f>
        <v>SOL-10397</v>
      </c>
      <c r="D45" s="9">
        <f>SUM(Jul!D45, Aug!D45, Sep!D45)</f>
        <v>0</v>
      </c>
      <c r="E45" s="14">
        <f>SUM(Jul!E45, Aug!E45, Sep!E45)</f>
        <v>0</v>
      </c>
      <c r="F45" s="14">
        <f t="shared" si="0"/>
        <v>0</v>
      </c>
      <c r="G45" s="15" t="str">
        <f t="shared" si="1"/>
        <v/>
      </c>
      <c r="H45" s="16">
        <f>SUM(Jul!H45,Aug!H45,Sep!H45)</f>
        <v>36312</v>
      </c>
      <c r="I45" s="16">
        <f>SUM(Jul!I45, Aug!I45, Sep!I45)</f>
        <v>-36312</v>
      </c>
      <c r="J45" s="15">
        <f t="shared" si="2"/>
        <v>-1</v>
      </c>
    </row>
    <row r="46" spans="1:10" ht="15.6">
      <c r="A46" s="24" t="str">
        <v>Q018</v>
      </c>
      <c r="B46" s="25" t="str">
        <v>NY</v>
      </c>
      <c r="C46" s="25" t="str">
        <f>Sites[[#This Row],[SOL'#]]</f>
        <v>SOL-10398</v>
      </c>
      <c r="D46" s="20">
        <f>SUM(Jul!D46, Aug!D46, Sep!D46)</f>
        <v>22422.5625</v>
      </c>
      <c r="E46" s="10">
        <f>SUM(Jul!E46, Aug!E46, Sep!E46)</f>
        <v>24285.08</v>
      </c>
      <c r="F46" s="10">
        <f t="shared" si="0"/>
        <v>-1862.5175000000017</v>
      </c>
      <c r="G46" s="11">
        <f t="shared" si="1"/>
        <v>-7.6693900123038575E-2</v>
      </c>
      <c r="H46" s="12">
        <f>SUM(Jul!H46,Aug!H46,Sep!H46)</f>
        <v>19671.97</v>
      </c>
      <c r="I46" s="12">
        <f>SUM(Jul!I46, Aug!I46, Sep!I46)</f>
        <v>2750.5924999999988</v>
      </c>
      <c r="J46" s="13">
        <f t="shared" si="2"/>
        <v>0.13982293079950806</v>
      </c>
    </row>
    <row r="47" spans="1:10" ht="15.6">
      <c r="A47" s="26" t="str">
        <v>Q021</v>
      </c>
      <c r="B47" s="27" t="str">
        <v>NY</v>
      </c>
      <c r="C47" s="27" t="str">
        <f>Sites[[#This Row],[SOL'#]]</f>
        <v>SOL-10399</v>
      </c>
      <c r="D47" s="9">
        <f>SUM(Jul!D47, Aug!D47, Sep!D47)</f>
        <v>17811.25</v>
      </c>
      <c r="E47" s="14">
        <f>SUM(Jul!E47, Aug!E47, Sep!E47)</f>
        <v>17422.689999999999</v>
      </c>
      <c r="F47" s="14">
        <f t="shared" si="0"/>
        <v>388.56000000000131</v>
      </c>
      <c r="G47" s="15">
        <f t="shared" si="1"/>
        <v>2.2301952224369564E-2</v>
      </c>
      <c r="H47" s="16">
        <f>SUM(Jul!H47,Aug!H47,Sep!H47)</f>
        <v>16686.18</v>
      </c>
      <c r="I47" s="16">
        <f>SUM(Jul!I47, Aug!I47, Sep!I47)</f>
        <v>1125.0699999999997</v>
      </c>
      <c r="J47" s="15">
        <f t="shared" si="2"/>
        <v>6.7425258507339589E-2</v>
      </c>
    </row>
    <row r="48" spans="1:10" ht="15.6">
      <c r="A48" s="24" t="str">
        <v>Q025</v>
      </c>
      <c r="B48" s="25" t="str">
        <v>NY</v>
      </c>
      <c r="C48" s="25" t="str">
        <f>Sites[[#This Row],[SOL'#]]</f>
        <v>SOL-10400</v>
      </c>
      <c r="D48" s="20">
        <f>SUM(Jul!D48, Aug!D48, Sep!D48)</f>
        <v>30847.0625</v>
      </c>
      <c r="E48" s="10">
        <f>SUM(Jul!E48, Aug!E48, Sep!E48)</f>
        <v>30210.9</v>
      </c>
      <c r="F48" s="10">
        <f t="shared" si="0"/>
        <v>636.16249999999854</v>
      </c>
      <c r="G48" s="11">
        <f t="shared" si="1"/>
        <v>2.1057383262332419E-2</v>
      </c>
      <c r="H48" s="12">
        <f>SUM(Jul!H48,Aug!H48,Sep!H48)</f>
        <v>15399</v>
      </c>
      <c r="I48" s="12">
        <f>SUM(Jul!I48, Aug!I48, Sep!I48)</f>
        <v>15448.0625</v>
      </c>
      <c r="J48" s="13">
        <f t="shared" si="2"/>
        <v>1.0031860835119164</v>
      </c>
    </row>
    <row r="49" spans="1:10" ht="15.6">
      <c r="A49" s="26" t="str">
        <v>Q074</v>
      </c>
      <c r="B49" s="27" t="str">
        <v>NY</v>
      </c>
      <c r="C49" s="27" t="str">
        <f>Sites[[#This Row],[SOL'#]]</f>
        <v>SOL-10402</v>
      </c>
      <c r="D49" s="9">
        <f>SUM(Jul!D49, Aug!D49, Sep!D49)</f>
        <v>20091.25</v>
      </c>
      <c r="E49" s="14">
        <f>SUM(Jul!E49, Aug!E49, Sep!E49)</f>
        <v>20099.009999999998</v>
      </c>
      <c r="F49" s="14">
        <f t="shared" si="0"/>
        <v>-7.7599999999983993</v>
      </c>
      <c r="G49" s="15">
        <f t="shared" si="1"/>
        <v>-3.8608866804874467E-4</v>
      </c>
      <c r="H49" s="16">
        <f>SUM(Jul!H49,Aug!H49,Sep!H49)</f>
        <v>18770.07</v>
      </c>
      <c r="I49" s="16">
        <f>SUM(Jul!I49, Aug!I49, Sep!I49)</f>
        <v>1321.1800000000003</v>
      </c>
      <c r="J49" s="15">
        <f t="shared" si="2"/>
        <v>7.0387590456508706E-2</v>
      </c>
    </row>
    <row r="50" spans="1:10" ht="15.6">
      <c r="A50" s="24" t="str">
        <v>Q115</v>
      </c>
      <c r="B50" s="25" t="str">
        <v>NY</v>
      </c>
      <c r="C50" s="25" t="str">
        <f>Sites[[#This Row],[SOL'#]]</f>
        <v>SOL-10872</v>
      </c>
      <c r="D50" s="20">
        <f>SUM(Jul!D50, Aug!D50, Sep!D50)</f>
        <v>25668.562500000098</v>
      </c>
      <c r="E50" s="10">
        <f>SUM(Jul!E50, Aug!E50, Sep!E50)</f>
        <v>27335.48</v>
      </c>
      <c r="F50" s="10">
        <f t="shared" si="0"/>
        <v>-1666.9174999999013</v>
      </c>
      <c r="G50" s="11">
        <f t="shared" si="1"/>
        <v>-6.09799974245889E-2</v>
      </c>
      <c r="H50" s="12">
        <f>SUM(Jul!H50,Aug!H50,Sep!H50)</f>
        <v>24925.88</v>
      </c>
      <c r="I50" s="12">
        <f>SUM(Jul!I50, Aug!I50, Sep!I50)</f>
        <v>742.68250000009721</v>
      </c>
      <c r="J50" s="13">
        <f t="shared" si="2"/>
        <v>2.9795638107866087E-2</v>
      </c>
    </row>
    <row r="51" spans="1:10" ht="15.6">
      <c r="A51" s="26" t="str">
        <v>Q139</v>
      </c>
      <c r="B51" s="27" t="str">
        <v>NY</v>
      </c>
      <c r="C51" s="27" t="str">
        <f>Sites[[#This Row],[SOL'#]]</f>
        <v>SOL-10403</v>
      </c>
      <c r="D51" s="9">
        <f>SUM(Jul!D51, Aug!D51, Sep!D51)</f>
        <v>15708.0625</v>
      </c>
      <c r="E51" s="14">
        <f>SUM(Jul!E51, Aug!E51, Sep!E51)</f>
        <v>17354.150000000001</v>
      </c>
      <c r="F51" s="14">
        <f t="shared" si="0"/>
        <v>-1646.0875000000015</v>
      </c>
      <c r="G51" s="15">
        <f t="shared" si="1"/>
        <v>-9.4852672127416285E-2</v>
      </c>
      <c r="H51" s="16">
        <f>SUM(Jul!H51,Aug!H51,Sep!H51)</f>
        <v>15860</v>
      </c>
      <c r="I51" s="16">
        <f>SUM(Jul!I51, Aug!I51, Sep!I51)</f>
        <v>-151.9375</v>
      </c>
      <c r="J51" s="15">
        <f t="shared" si="2"/>
        <v>-9.5799180327868858E-3</v>
      </c>
    </row>
    <row r="52" spans="1:10" ht="15.6">
      <c r="A52" s="24" t="str">
        <v>Q157</v>
      </c>
      <c r="B52" s="25" t="str">
        <v>NY</v>
      </c>
      <c r="C52" s="25" t="str">
        <f>Sites[[#This Row],[SOL'#]]</f>
        <v>SOL-10404</v>
      </c>
      <c r="D52" s="20">
        <f>SUM(Jul!D52, Aug!D52, Sep!D52)</f>
        <v>27253.8125</v>
      </c>
      <c r="E52" s="10">
        <f>SUM(Jul!E52, Aug!E52, Sep!E52)</f>
        <v>30897.83</v>
      </c>
      <c r="F52" s="10">
        <f t="shared" si="0"/>
        <v>-3644.0175000000017</v>
      </c>
      <c r="G52" s="11">
        <f t="shared" si="1"/>
        <v>-0.11793765128489611</v>
      </c>
      <c r="H52" s="12">
        <f>SUM(Jul!H52,Aug!H52,Sep!H52)</f>
        <v>27966.37</v>
      </c>
      <c r="I52" s="12">
        <f>SUM(Jul!I52, Aug!I52, Sep!I52)</f>
        <v>-712.55749999999898</v>
      </c>
      <c r="J52" s="13">
        <f t="shared" si="2"/>
        <v>-2.5479084343087752E-2</v>
      </c>
    </row>
    <row r="53" spans="1:10" ht="15.6">
      <c r="A53" s="26" t="str">
        <v>Q192</v>
      </c>
      <c r="B53" s="27" t="str">
        <v>NY</v>
      </c>
      <c r="C53" s="27" t="str">
        <f>Sites[[#This Row],[SOL'#]]</f>
        <v>SOL-10406</v>
      </c>
      <c r="D53" s="9">
        <f>SUM(Jul!D53, Aug!D53, Sep!D53)</f>
        <v>42644.875000000196</v>
      </c>
      <c r="E53" s="14">
        <f>SUM(Jul!E53, Aug!E53, Sep!E53)</f>
        <v>46844.32</v>
      </c>
      <c r="F53" s="14">
        <f t="shared" si="0"/>
        <v>-4199.4449999998033</v>
      </c>
      <c r="G53" s="15">
        <f t="shared" si="1"/>
        <v>-8.9646834450789414E-2</v>
      </c>
      <c r="H53" s="16">
        <f>SUM(Jul!H53,Aug!H53,Sep!H53)</f>
        <v>478.68180000000001</v>
      </c>
      <c r="I53" s="16">
        <f>SUM(Jul!I53, Aug!I53, Sep!I53)</f>
        <v>42166.193200000198</v>
      </c>
      <c r="J53" s="15">
        <f t="shared" si="2"/>
        <v>88.088147909530292</v>
      </c>
    </row>
    <row r="54" spans="1:10" ht="15.6">
      <c r="A54" s="24" t="str">
        <v>Q210</v>
      </c>
      <c r="B54" s="25" t="str">
        <v>NY</v>
      </c>
      <c r="C54" s="25" t="str">
        <f>Sites[[#This Row],[SOL'#]]</f>
        <v>SOL-10407</v>
      </c>
      <c r="D54" s="20">
        <f>SUM(Jul!D54, Aug!D54, Sep!D54)</f>
        <v>30659.75</v>
      </c>
      <c r="E54" s="10">
        <f>SUM(Jul!E54, Aug!E54, Sep!E54)</f>
        <v>35721.360000000001</v>
      </c>
      <c r="F54" s="10">
        <f t="shared" si="0"/>
        <v>-5061.6100000000006</v>
      </c>
      <c r="G54" s="11">
        <f t="shared" si="1"/>
        <v>-0.14169701265573317</v>
      </c>
      <c r="H54" s="12">
        <f>SUM(Jul!H54,Aug!H54,Sep!H54)</f>
        <v>33897</v>
      </c>
      <c r="I54" s="12">
        <f>SUM(Jul!I54, Aug!I54, Sep!I54)</f>
        <v>-3237.25</v>
      </c>
      <c r="J54" s="13">
        <f t="shared" si="2"/>
        <v>-9.5502551848246159E-2</v>
      </c>
    </row>
    <row r="55" spans="1:10" ht="15.6">
      <c r="A55" s="26" t="str">
        <v>Q229</v>
      </c>
      <c r="B55" s="27" t="str">
        <v>NY</v>
      </c>
      <c r="C55" s="27" t="str">
        <f>Sites[[#This Row],[SOL'#]]</f>
        <v>SOL-10408</v>
      </c>
      <c r="D55" s="9">
        <f>SUM(Jul!D55, Aug!D55, Sep!D55)</f>
        <v>15332.079186893199</v>
      </c>
      <c r="E55" s="14">
        <f>SUM(Jul!E55, Aug!E55, Sep!E55)</f>
        <v>17350.71</v>
      </c>
      <c r="F55" s="14">
        <f t="shared" si="0"/>
        <v>-2018.6308131067999</v>
      </c>
      <c r="G55" s="15">
        <f t="shared" si="1"/>
        <v>-0.11634283629354648</v>
      </c>
      <c r="H55" s="16">
        <f>SUM(Jul!H55,Aug!H55,Sep!H55)</f>
        <v>14637.41</v>
      </c>
      <c r="I55" s="16">
        <f>SUM(Jul!I55, Aug!I55, Sep!I55)</f>
        <v>694.66918689319937</v>
      </c>
      <c r="J55" s="15">
        <f t="shared" si="2"/>
        <v>4.7458477073006725E-2</v>
      </c>
    </row>
    <row r="56" spans="1:10" ht="15.6">
      <c r="A56" s="24" t="str">
        <v>Q231</v>
      </c>
      <c r="B56" s="25" t="str">
        <v>NY</v>
      </c>
      <c r="C56" s="25" t="str">
        <f>Sites[[#This Row],[SOL'#]]</f>
        <v>SOL-10870</v>
      </c>
      <c r="D56" s="20">
        <f>SUM(Jul!D56, Aug!D56, Sep!D56)</f>
        <v>57414</v>
      </c>
      <c r="E56" s="10">
        <f>SUM(Jul!E56, Aug!E56, Sep!E56)</f>
        <v>60749</v>
      </c>
      <c r="F56" s="10">
        <f t="shared" si="0"/>
        <v>-3335</v>
      </c>
      <c r="G56" s="11">
        <f t="shared" si="1"/>
        <v>-5.4898023012724492E-2</v>
      </c>
      <c r="H56" s="12">
        <f>SUM(Jul!H56,Aug!H56,Sep!H56)</f>
        <v>61540</v>
      </c>
      <c r="I56" s="12">
        <f>SUM(Jul!I56, Aug!I56, Sep!I56)</f>
        <v>-4126</v>
      </c>
      <c r="J56" s="13">
        <f t="shared" si="2"/>
        <v>-6.7045823854403636E-2</v>
      </c>
    </row>
    <row r="57" spans="1:10" ht="15.6">
      <c r="A57" s="26" t="str">
        <v>Q405</v>
      </c>
      <c r="B57" s="27" t="str">
        <v>NY</v>
      </c>
      <c r="C57" s="27" t="str">
        <f>Sites[[#This Row],[SOL'#]]</f>
        <v>SOL-10409</v>
      </c>
      <c r="D57" s="9">
        <f>SUM(Jul!D57, Aug!D57, Sep!D57)</f>
        <v>65372.75</v>
      </c>
      <c r="E57" s="14">
        <f>SUM(Jul!E57, Aug!E57, Sep!E57)</f>
        <v>71921.91</v>
      </c>
      <c r="F57" s="14">
        <f t="shared" si="0"/>
        <v>-6549.1600000000035</v>
      </c>
      <c r="G57" s="15">
        <f t="shared" si="1"/>
        <v>-9.1059316973089333E-2</v>
      </c>
      <c r="H57" s="16">
        <f>SUM(Jul!H57,Aug!H57,Sep!H57)</f>
        <v>60634.29</v>
      </c>
      <c r="I57" s="16">
        <f>SUM(Jul!I57, Aug!I57, Sep!I57)</f>
        <v>4738.4599999999991</v>
      </c>
      <c r="J57" s="15">
        <f t="shared" si="2"/>
        <v>7.8148189745439411E-2</v>
      </c>
    </row>
    <row r="58" spans="1:10" ht="15.6">
      <c r="A58" s="24" t="str">
        <v>Q435</v>
      </c>
      <c r="B58" s="25" t="str">
        <v>NY</v>
      </c>
      <c r="C58" s="25" t="str">
        <f>Sites[[#This Row],[SOL'#]]</f>
        <v>SOL-10923</v>
      </c>
      <c r="D58" s="20">
        <f>SUM(Jul!D58, Aug!D58, Sep!D58)</f>
        <v>64450.375</v>
      </c>
      <c r="E58" s="10">
        <f>SUM(Jul!E58, Aug!E58, Sep!E58)</f>
        <v>67828.89</v>
      </c>
      <c r="F58" s="10">
        <f t="shared" si="0"/>
        <v>-3378.5149999999994</v>
      </c>
      <c r="G58" s="11">
        <f t="shared" si="1"/>
        <v>-4.9809380634122116E-2</v>
      </c>
      <c r="H58" s="12">
        <f>SUM(Jul!H58,Aug!H58,Sep!H58)</f>
        <v>84298</v>
      </c>
      <c r="I58" s="12">
        <f>SUM(Jul!I58, Aug!I58, Sep!I58)</f>
        <v>-19847.625</v>
      </c>
      <c r="J58" s="13">
        <f t="shared" si="2"/>
        <v>-0.23544597736601106</v>
      </c>
    </row>
    <row r="59" spans="1:10" ht="15.6">
      <c r="A59" s="26" t="str">
        <v>Q485</v>
      </c>
      <c r="B59" s="27" t="str">
        <v>NY</v>
      </c>
      <c r="C59" s="27" t="str">
        <f>Sites[[#This Row],[SOL'#]]</f>
        <v>SOL-10869</v>
      </c>
      <c r="D59" s="9">
        <f>SUM(Jul!D59, Aug!D59, Sep!D59)</f>
        <v>77438.624999999898</v>
      </c>
      <c r="E59" s="14">
        <f>SUM(Jul!E59, Aug!E59, Sep!E59)</f>
        <v>61581.27</v>
      </c>
      <c r="F59" s="14">
        <f t="shared" si="0"/>
        <v>15857.354999999901</v>
      </c>
      <c r="G59" s="15">
        <f t="shared" si="1"/>
        <v>0.25750289008329807</v>
      </c>
      <c r="H59" s="16">
        <f>SUM(Jul!H59,Aug!H59,Sep!H59)</f>
        <v>80201.91</v>
      </c>
      <c r="I59" s="16">
        <f>SUM(Jul!I59, Aug!I59, Sep!I59)</f>
        <v>-2763.2850000001054</v>
      </c>
      <c r="J59" s="15">
        <f t="shared" si="2"/>
        <v>-3.4454104646636285E-2</v>
      </c>
    </row>
    <row r="60" spans="1:10" ht="15.6">
      <c r="A60" s="24" t="str">
        <v>Q490</v>
      </c>
      <c r="B60" s="25" t="str">
        <v>NY</v>
      </c>
      <c r="C60" s="25" t="str">
        <f>Sites[[#This Row],[SOL'#]]</f>
        <v>SOL-10411</v>
      </c>
      <c r="D60" s="20">
        <f>SUM(Jul!D60, Aug!D60, Sep!D60)</f>
        <v>54376.138749999896</v>
      </c>
      <c r="E60" s="10">
        <f>SUM(Jul!E60, Aug!E60, Sep!E60)</f>
        <v>0</v>
      </c>
      <c r="F60" s="10">
        <f t="shared" si="0"/>
        <v>54376.138749999896</v>
      </c>
      <c r="G60" s="11" t="str">
        <f t="shared" si="1"/>
        <v/>
      </c>
      <c r="H60" s="12">
        <f>SUM(Jul!H60,Aug!H60,Sep!H60)</f>
        <v>52505.61</v>
      </c>
      <c r="I60" s="12">
        <f>SUM(Jul!I60, Aug!I60, Sep!I60)</f>
        <v>1870.5287499998958</v>
      </c>
      <c r="J60" s="13">
        <f t="shared" si="2"/>
        <v>3.562531222853893E-2</v>
      </c>
    </row>
    <row r="61" spans="1:10" ht="15.6">
      <c r="A61" s="26" t="str">
        <v>Q620</v>
      </c>
      <c r="B61" s="27" t="str">
        <v>NY</v>
      </c>
      <c r="C61" s="27" t="str">
        <f>Sites[[#This Row],[SOL'#]]</f>
        <v>SOL-10867</v>
      </c>
      <c r="D61" s="9">
        <f>SUM(Jul!D61, Aug!D61, Sep!D61)</f>
        <v>83649</v>
      </c>
      <c r="E61" s="14">
        <f>SUM(Jul!E61, Aug!E61, Sep!E61)</f>
        <v>85365.47</v>
      </c>
      <c r="F61" s="14">
        <f t="shared" si="0"/>
        <v>-1716.4700000000012</v>
      </c>
      <c r="G61" s="15">
        <f t="shared" si="1"/>
        <v>-2.0107310367997754E-2</v>
      </c>
      <c r="H61" s="16">
        <f>SUM(Jul!H61,Aug!H61,Sep!H61)</f>
        <v>84122.95</v>
      </c>
      <c r="I61" s="16">
        <f>SUM(Jul!I61, Aug!I61, Sep!I61)</f>
        <v>-473.94999999999709</v>
      </c>
      <c r="J61" s="15">
        <f t="shared" si="2"/>
        <v>-5.6340154500049882E-3</v>
      </c>
    </row>
    <row r="62" spans="1:10" ht="15.6">
      <c r="A62" s="24" t="str">
        <v>QMOA</v>
      </c>
      <c r="B62" s="25" t="str">
        <v>NY</v>
      </c>
      <c r="C62" s="25" t="str">
        <f>Sites[[#This Row],[SOL'#]]</f>
        <v>SOL-10415</v>
      </c>
      <c r="D62" s="20">
        <f>SUM(Jul!D62, Aug!D62, Sep!D62)</f>
        <v>7003.7</v>
      </c>
      <c r="E62" s="10">
        <f>SUM(Jul!E62, Aug!E62, Sep!E62)</f>
        <v>0</v>
      </c>
      <c r="F62" s="10">
        <f t="shared" si="0"/>
        <v>7003.7</v>
      </c>
      <c r="G62" s="11" t="str">
        <f t="shared" si="1"/>
        <v/>
      </c>
      <c r="H62" s="12">
        <f>SUM(Jul!H62,Aug!H62,Sep!H62)</f>
        <v>7555.0460000000003</v>
      </c>
      <c r="I62" s="12">
        <f>SUM(Jul!I62, Aug!I62, Sep!I62)</f>
        <v>-551.34600000000046</v>
      </c>
      <c r="J62" s="13">
        <f t="shared" si="2"/>
        <v>-7.2977186373186925E-2</v>
      </c>
    </row>
    <row r="63" spans="1:10" ht="15.6">
      <c r="A63" s="26" t="str">
        <v>X024</v>
      </c>
      <c r="B63" s="27" t="str">
        <v>NY</v>
      </c>
      <c r="C63" s="27" t="str">
        <f>Sites[[#This Row],[SOL'#]]</f>
        <v>SOL-10419</v>
      </c>
      <c r="D63" s="9">
        <f>SUM(Jul!D63, Aug!D63, Sep!D63)</f>
        <v>31410.5</v>
      </c>
      <c r="E63" s="14">
        <f>SUM(Jul!E63, Aug!E63, Sep!E63)</f>
        <v>32184.54</v>
      </c>
      <c r="F63" s="14">
        <f t="shared" si="0"/>
        <v>-774.04000000000087</v>
      </c>
      <c r="G63" s="15">
        <f t="shared" si="1"/>
        <v>-2.4050056331393919E-2</v>
      </c>
      <c r="H63" s="16">
        <f>SUM(Jul!H63,Aug!H63,Sep!H63)</f>
        <v>28524</v>
      </c>
      <c r="I63" s="16">
        <f>SUM(Jul!I63, Aug!I63, Sep!I63)</f>
        <v>2886.5</v>
      </c>
      <c r="J63" s="15">
        <f t="shared" si="2"/>
        <v>0.10119548450427709</v>
      </c>
    </row>
    <row r="64" spans="1:10" ht="15.6">
      <c r="A64" s="24" t="str">
        <v>X026</v>
      </c>
      <c r="B64" s="25" t="str">
        <v>NY</v>
      </c>
      <c r="C64" s="25" t="str">
        <f>Sites[[#This Row],[SOL'#]]</f>
        <v>SOL-10420</v>
      </c>
      <c r="D64" s="20">
        <f>SUM(Jul!D64, Aug!D64, Sep!D64)</f>
        <v>28396.400000000001</v>
      </c>
      <c r="E64" s="10">
        <f>SUM(Jul!E64, Aug!E64, Sep!E64)</f>
        <v>25893.72</v>
      </c>
      <c r="F64" s="10">
        <f t="shared" si="0"/>
        <v>2502.6800000000003</v>
      </c>
      <c r="G64" s="11">
        <f t="shared" si="1"/>
        <v>9.6652006741402938E-2</v>
      </c>
      <c r="H64" s="12">
        <f>SUM(Jul!H64,Aug!H64,Sep!H64)</f>
        <v>37688.65</v>
      </c>
      <c r="I64" s="12">
        <f>SUM(Jul!I64, Aug!I64, Sep!I64)</f>
        <v>-9292.25</v>
      </c>
      <c r="J64" s="13">
        <f t="shared" si="2"/>
        <v>-0.24655300733775287</v>
      </c>
    </row>
    <row r="65" spans="1:10" ht="15.6">
      <c r="A65" s="26" t="str">
        <v>X090</v>
      </c>
      <c r="B65" s="27" t="str">
        <v>NY</v>
      </c>
      <c r="C65" s="27" t="str">
        <f>Sites[[#This Row],[SOL'#]]</f>
        <v>SOL-10925</v>
      </c>
      <c r="D65" s="9">
        <f>SUM(Jul!D65, Aug!D65, Sep!D65)</f>
        <v>20376.1875</v>
      </c>
      <c r="E65" s="14">
        <f>SUM(Jul!E65, Aug!E65, Sep!E65)</f>
        <v>21371.14</v>
      </c>
      <c r="F65" s="14">
        <f t="shared" si="0"/>
        <v>-994.95249999999942</v>
      </c>
      <c r="G65" s="15">
        <f t="shared" si="1"/>
        <v>-4.6555892666465121E-2</v>
      </c>
      <c r="H65" s="16">
        <f>SUM(Jul!H65,Aug!H65,Sep!H65)</f>
        <v>24800</v>
      </c>
      <c r="I65" s="16">
        <f>SUM(Jul!I65, Aug!I65, Sep!I65)</f>
        <v>-4423.8125</v>
      </c>
      <c r="J65" s="15">
        <f t="shared" si="2"/>
        <v>-0.17837953629032258</v>
      </c>
    </row>
    <row r="66" spans="1:10" ht="15.6">
      <c r="A66" s="24" t="str">
        <v>X117</v>
      </c>
      <c r="B66" s="25" t="str">
        <v>NY</v>
      </c>
      <c r="C66" s="25" t="str">
        <f>Sites[[#This Row],[SOL'#]]</f>
        <v>SOL-10422</v>
      </c>
      <c r="D66" s="20">
        <f>SUM(Jul!D66, Aug!D66, Sep!D66)</f>
        <v>20442.5</v>
      </c>
      <c r="E66" s="10">
        <f>SUM(Jul!E66, Aug!E66, Sep!E66)</f>
        <v>21974.400000000001</v>
      </c>
      <c r="F66" s="10">
        <f t="shared" si="0"/>
        <v>-1531.9000000000015</v>
      </c>
      <c r="G66" s="11">
        <f t="shared" si="1"/>
        <v>-6.9712938692296555E-2</v>
      </c>
      <c r="H66" s="12">
        <f>SUM(Jul!H66,Aug!H66,Sep!H66)</f>
        <v>20331.66</v>
      </c>
      <c r="I66" s="12">
        <f>SUM(Jul!I66, Aug!I66, Sep!I66)</f>
        <v>110.84000000000015</v>
      </c>
      <c r="J66" s="13">
        <f t="shared" si="2"/>
        <v>5.451596180538143E-3</v>
      </c>
    </row>
    <row r="67" spans="1:10" ht="15.6">
      <c r="A67" s="26" t="str">
        <v>X125</v>
      </c>
      <c r="B67" s="27" t="str">
        <v>NY</v>
      </c>
      <c r="C67" s="27" t="str">
        <f>Sites[[#This Row],[SOL'#]]</f>
        <v>SOL-10423</v>
      </c>
      <c r="D67" s="9">
        <f>SUM(Jul!D67, Aug!D67, Sep!D67)</f>
        <v>37847.9375</v>
      </c>
      <c r="E67" s="14">
        <f>SUM(Jul!E67, Aug!E67, Sep!E67)</f>
        <v>38359.230000000003</v>
      </c>
      <c r="F67" s="14">
        <f t="shared" si="0"/>
        <v>-511.2925000000032</v>
      </c>
      <c r="G67" s="15">
        <f t="shared" si="1"/>
        <v>-1.3329060567691352E-2</v>
      </c>
      <c r="H67" s="16">
        <f>SUM(Jul!H67,Aug!H67,Sep!H67)</f>
        <v>37253.94</v>
      </c>
      <c r="I67" s="16">
        <f>SUM(Jul!I67, Aug!I67, Sep!I67)</f>
        <v>593.99749999999767</v>
      </c>
      <c r="J67" s="15">
        <f t="shared" si="2"/>
        <v>1.594455512624967E-2</v>
      </c>
    </row>
    <row r="68" spans="1:10" ht="15.6">
      <c r="A68" s="24" t="str">
        <v>X134</v>
      </c>
      <c r="B68" s="25" t="str">
        <v>NY</v>
      </c>
      <c r="C68" s="25" t="str">
        <f>Sites[[#This Row],[SOL'#]]</f>
        <v>SOL-10424</v>
      </c>
      <c r="D68" s="20">
        <f>SUM(Jul!D68, Aug!D68, Sep!D68)</f>
        <v>36328.625</v>
      </c>
      <c r="E68" s="10">
        <f>SUM(Jul!E68, Aug!E68, Sep!E68)</f>
        <v>26292.3</v>
      </c>
      <c r="F68" s="10">
        <f t="shared" si="0"/>
        <v>10036.325000000001</v>
      </c>
      <c r="G68" s="11">
        <f t="shared" si="1"/>
        <v>0.38172107423085849</v>
      </c>
      <c r="H68" s="12">
        <f>SUM(Jul!H68,Aug!H68,Sep!H68)</f>
        <v>37970</v>
      </c>
      <c r="I68" s="12">
        <f>SUM(Jul!I68, Aug!I68, Sep!I68)</f>
        <v>-1641.375</v>
      </c>
      <c r="J68" s="13">
        <f t="shared" si="2"/>
        <v>-4.3228206478799054E-2</v>
      </c>
    </row>
    <row r="69" spans="1:10" ht="15.6">
      <c r="A69" s="26" t="str">
        <v>X135</v>
      </c>
      <c r="B69" s="27" t="str">
        <v>NY</v>
      </c>
      <c r="C69" s="27" t="str">
        <f>Sites[[#This Row],[SOL'#]]</f>
        <v>SOL-10425</v>
      </c>
      <c r="D69" s="9">
        <f>SUM(Jul!D69, Aug!D69, Sep!D69)</f>
        <v>27094.9375</v>
      </c>
      <c r="E69" s="14">
        <f>SUM(Jul!E69, Aug!E69, Sep!E69)</f>
        <v>34359.57</v>
      </c>
      <c r="F69" s="14">
        <f t="shared" ref="F69:F132" si="3">IF(AND(ISNUMBER(D69),ISNUMBER(E69)), D69-E69, "")</f>
        <v>-7264.6324999999997</v>
      </c>
      <c r="G69" s="15">
        <f t="shared" si="1"/>
        <v>-0.21142966864835619</v>
      </c>
      <c r="H69" s="16">
        <f>SUM(Jul!H69,Aug!H69,Sep!H69)</f>
        <v>30069</v>
      </c>
      <c r="I69" s="16">
        <f>SUM(Jul!I69, Aug!I69, Sep!I69)</f>
        <v>-2974.0625</v>
      </c>
      <c r="J69" s="15">
        <f t="shared" si="2"/>
        <v>-9.890792843127473E-2</v>
      </c>
    </row>
    <row r="70" spans="1:10" ht="15.6">
      <c r="A70" s="24" t="str">
        <v>X139 JHS 222</v>
      </c>
      <c r="B70" s="25" t="str">
        <v>NY</v>
      </c>
      <c r="C70" s="25" t="str">
        <f>Sites[[#This Row],[SOL'#]]</f>
        <v>SOL-10426</v>
      </c>
      <c r="D70" s="20">
        <f>SUM(Jul!D70, Aug!D70, Sep!D70)</f>
        <v>45256.623460000003</v>
      </c>
      <c r="E70" s="10">
        <f>SUM(Jul!E70, Aug!E70, Sep!E70)</f>
        <v>47698.11</v>
      </c>
      <c r="F70" s="10">
        <f t="shared" si="3"/>
        <v>-2441.4865399999981</v>
      </c>
      <c r="G70" s="11">
        <f t="shared" ref="G70:G133" si="4">IFERROR(F70/E70, "")</f>
        <v>-5.1186232326605768E-2</v>
      </c>
      <c r="H70" s="12">
        <f>SUM(Jul!H70,Aug!H70,Sep!H70)</f>
        <v>48383</v>
      </c>
      <c r="I70" s="12">
        <f>SUM(Jul!I70, Aug!I70, Sep!I70)</f>
        <v>-3126.3765399999975</v>
      </c>
      <c r="J70" s="13">
        <f t="shared" ref="J70:J133" si="5">IFERROR(I70/H70, "")</f>
        <v>-6.4617252754066462E-2</v>
      </c>
    </row>
    <row r="71" spans="1:10" ht="15.6">
      <c r="A71" s="26" t="str">
        <v>X140</v>
      </c>
      <c r="B71" s="27" t="str">
        <v>NY</v>
      </c>
      <c r="C71" s="27" t="str">
        <f>Sites[[#This Row],[SOL'#]]</f>
        <v>SOL-10926</v>
      </c>
      <c r="D71" s="9">
        <f>SUM(Jul!D71, Aug!D71, Sep!D71)</f>
        <v>25634.03125</v>
      </c>
      <c r="E71" s="14">
        <f>SUM(Jul!E71, Aug!E71, Sep!E71)</f>
        <v>21347.360000000001</v>
      </c>
      <c r="F71" s="14">
        <f t="shared" si="3"/>
        <v>4286.6712499999994</v>
      </c>
      <c r="G71" s="15">
        <f t="shared" si="4"/>
        <v>0.20080568510579291</v>
      </c>
      <c r="H71" s="16">
        <f>SUM(Jul!H71,Aug!H71,Sep!H71)</f>
        <v>25647</v>
      </c>
      <c r="I71" s="16">
        <f>SUM(Jul!I71, Aug!I71, Sep!I71)</f>
        <v>-12.96875</v>
      </c>
      <c r="J71" s="15">
        <f t="shared" si="5"/>
        <v>-5.0566343042071193E-4</v>
      </c>
    </row>
    <row r="72" spans="1:10" ht="15.6">
      <c r="A72" s="24" t="str">
        <v>X166</v>
      </c>
      <c r="B72" s="25" t="str">
        <v>NY</v>
      </c>
      <c r="C72" s="25" t="str">
        <f>Sites[[#This Row],[SOL'#]]</f>
        <v>SOL-10427</v>
      </c>
      <c r="D72" s="20">
        <f>SUM(Jul!D72, Aug!D72, Sep!D72)</f>
        <v>26409.4</v>
      </c>
      <c r="E72" s="10">
        <f>SUM(Jul!E72, Aug!E72, Sep!E72)</f>
        <v>25666.1</v>
      </c>
      <c r="F72" s="10">
        <f t="shared" si="3"/>
        <v>743.30000000000291</v>
      </c>
      <c r="G72" s="11">
        <f t="shared" si="4"/>
        <v>2.8960379644745519E-2</v>
      </c>
      <c r="H72" s="12">
        <f>SUM(Jul!H72,Aug!H72,Sep!H72)</f>
        <v>28572</v>
      </c>
      <c r="I72" s="12">
        <f>SUM(Jul!I72, Aug!I72, Sep!I72)</f>
        <v>-2162.5999999999985</v>
      </c>
      <c r="J72" s="13">
        <f t="shared" si="5"/>
        <v>-7.5689486210275742E-2</v>
      </c>
    </row>
    <row r="73" spans="1:10" ht="15.6">
      <c r="A73" s="26" t="str">
        <v>Murphy</v>
      </c>
      <c r="B73" s="27" t="str">
        <v>MN</v>
      </c>
      <c r="C73" s="27" t="str">
        <f>Sites[[#This Row],[SOL'#]]</f>
        <v>SOL-10094</v>
      </c>
      <c r="D73" s="9">
        <f>SUM(Jul!D73, Aug!D73, Sep!D73)</f>
        <v>1027570</v>
      </c>
      <c r="E73" s="14">
        <f>SUM(Jul!E73, Aug!E73, Sep!E73)</f>
        <v>1128104</v>
      </c>
      <c r="F73" s="14">
        <f t="shared" si="3"/>
        <v>-100534</v>
      </c>
      <c r="G73" s="15">
        <f t="shared" si="4"/>
        <v>-8.9117670002056545E-2</v>
      </c>
      <c r="H73" s="16">
        <f>SUM(Jul!H73,Aug!H73,Sep!H73)</f>
        <v>1079999</v>
      </c>
      <c r="I73" s="16">
        <f>SUM(Jul!I73, Aug!I73, Sep!I73)</f>
        <v>-52429</v>
      </c>
      <c r="J73" s="15">
        <f t="shared" si="5"/>
        <v>-4.8545415319828998E-2</v>
      </c>
    </row>
    <row r="74" spans="1:10" ht="15.6">
      <c r="A74" s="24" t="str">
        <v>Terning</v>
      </c>
      <c r="B74" s="25" t="str">
        <v>MN</v>
      </c>
      <c r="C74" s="25" t="str">
        <f>Sites[[#This Row],[SOL'#]]</f>
        <v>SOL-10093</v>
      </c>
      <c r="D74" s="20">
        <f>SUM(Jul!D74, Aug!D74, Sep!D74)</f>
        <v>1103539.33165829</v>
      </c>
      <c r="E74" s="10">
        <f>SUM(Jul!E74, Aug!E74, Sep!E74)</f>
        <v>1177067</v>
      </c>
      <c r="F74" s="10">
        <f t="shared" si="3"/>
        <v>-73527.668341709999</v>
      </c>
      <c r="G74" s="11">
        <f t="shared" si="4"/>
        <v>-6.2466850520582089E-2</v>
      </c>
      <c r="H74" s="12">
        <f>SUM(Jul!H74,Aug!H74,Sep!H74)</f>
        <v>1077330</v>
      </c>
      <c r="I74" s="12">
        <f>SUM(Jul!I74, Aug!I74, Sep!I74)</f>
        <v>26209.331658290001</v>
      </c>
      <c r="J74" s="13">
        <f t="shared" si="5"/>
        <v>2.4328044014638041E-2</v>
      </c>
    </row>
    <row r="75" spans="1:10" ht="15.6">
      <c r="A75" s="26" t="str">
        <v>Boas Road 04</v>
      </c>
      <c r="B75" s="27" t="str">
        <v>NY</v>
      </c>
      <c r="C75" s="27" t="str">
        <f>Sites[[#This Row],[SOL'#]]</f>
        <v>SOL-10908</v>
      </c>
      <c r="D75" s="9">
        <f>SUM(Jul!D75, Aug!D75, Sep!D75)</f>
        <v>0</v>
      </c>
      <c r="E75" s="14">
        <f>SUM(Jul!E75, Aug!E75, Sep!E75)</f>
        <v>418297.2</v>
      </c>
      <c r="F75" s="14">
        <f t="shared" si="3"/>
        <v>-418297.2</v>
      </c>
      <c r="G75" s="15">
        <f t="shared" si="4"/>
        <v>-1</v>
      </c>
      <c r="H75" s="16">
        <f>SUM(Jul!H75,Aug!H75,Sep!H75)</f>
        <v>421307.46</v>
      </c>
      <c r="I75" s="16">
        <f>SUM(Jul!I75, Aug!I75, Sep!I75)</f>
        <v>-421307.46</v>
      </c>
      <c r="J75" s="15">
        <f t="shared" si="5"/>
        <v>-1</v>
      </c>
    </row>
    <row r="76" spans="1:10" ht="15.6">
      <c r="A76" s="24" t="str">
        <v>Kelly Bridge Farm</v>
      </c>
      <c r="B76" s="25" t="str">
        <v>NY</v>
      </c>
      <c r="C76" s="25" t="str">
        <f>Sites[[#This Row],[SOL'#]]</f>
        <v>SOL-10911</v>
      </c>
      <c r="D76" s="20">
        <f>SUM(Jul!D76, Aug!D76, Sep!D76)</f>
        <v>356939</v>
      </c>
      <c r="E76" s="10">
        <f>SUM(Jul!E76, Aug!E76, Sep!E76)</f>
        <v>395735.4</v>
      </c>
      <c r="F76" s="10">
        <f t="shared" si="3"/>
        <v>-38796.400000000023</v>
      </c>
      <c r="G76" s="11">
        <f t="shared" si="4"/>
        <v>-9.8036213085814464E-2</v>
      </c>
      <c r="H76" s="12">
        <f>SUM(Jul!H76,Aug!H76,Sep!H76)</f>
        <v>409604.48</v>
      </c>
      <c r="I76" s="12">
        <f>SUM(Jul!I76, Aug!I76, Sep!I76)</f>
        <v>-52665.479999999981</v>
      </c>
      <c r="J76" s="13">
        <f t="shared" si="5"/>
        <v>-0.12857642572659359</v>
      </c>
    </row>
    <row r="77" spans="1:10" ht="15.6">
      <c r="A77" s="26" t="str">
        <v>Pool Brook Road</v>
      </c>
      <c r="B77" s="27" t="str">
        <v>NY</v>
      </c>
      <c r="C77" s="27" t="str">
        <f>Sites[[#This Row],[SOL'#]]</f>
        <v>SOL-10909</v>
      </c>
      <c r="D77" s="9">
        <f>SUM(Jul!D77, Aug!D77, Sep!D77)</f>
        <v>304116</v>
      </c>
      <c r="E77" s="14">
        <f>SUM(Jul!E77, Aug!E77, Sep!E77)</f>
        <v>391072.41</v>
      </c>
      <c r="F77" s="14">
        <f t="shared" si="3"/>
        <v>-86956.409999999974</v>
      </c>
      <c r="G77" s="15">
        <f t="shared" si="4"/>
        <v>-0.22235373239446879</v>
      </c>
      <c r="H77" s="16">
        <f>SUM(Jul!H77,Aug!H77,Sep!H77)</f>
        <v>388129.3</v>
      </c>
      <c r="I77" s="16">
        <f>SUM(Jul!I77, Aug!I77, Sep!I77)</f>
        <v>-84013.299999999988</v>
      </c>
      <c r="J77" s="15">
        <f t="shared" si="5"/>
        <v>-0.21645698997730908</v>
      </c>
    </row>
    <row r="78" spans="1:10" ht="15.6">
      <c r="A78" s="24" t="str">
        <v>Sackett Lake</v>
      </c>
      <c r="B78" s="25" t="str">
        <v>NY</v>
      </c>
      <c r="C78" s="25" t="str">
        <f>Sites[[#This Row],[SOL'#]]</f>
        <v>SOL-10910</v>
      </c>
      <c r="D78" s="20">
        <f>SUM(Jul!D78, Aug!D78, Sep!D78)</f>
        <v>372255</v>
      </c>
      <c r="E78" s="10">
        <f>SUM(Jul!E78, Aug!E78, Sep!E78)</f>
        <v>182350.26</v>
      </c>
      <c r="F78" s="10">
        <f t="shared" si="3"/>
        <v>189904.74</v>
      </c>
      <c r="G78" s="11">
        <f t="shared" si="4"/>
        <v>1.0414284026795464</v>
      </c>
      <c r="H78" s="12">
        <f>SUM(Jul!H78,Aug!H78,Sep!H78)</f>
        <v>401920.7</v>
      </c>
      <c r="I78" s="12">
        <f>SUM(Jul!I78, Aug!I78, Sep!I78)</f>
        <v>-29665.700000000012</v>
      </c>
      <c r="J78" s="13">
        <f t="shared" si="5"/>
        <v>-7.3809833631360636E-2</v>
      </c>
    </row>
    <row r="79" spans="1:10" ht="15.6">
      <c r="A79" s="26" t="str">
        <v>Burritt Road</v>
      </c>
      <c r="B79" s="27" t="str">
        <v>NY</v>
      </c>
      <c r="C79" s="27" t="str">
        <f>Sites[[#This Row],[SOL'#]]</f>
        <v>SOL-10913</v>
      </c>
      <c r="D79" s="9">
        <f>SUM(Jul!D79, Aug!D79, Sep!D79)</f>
        <v>439000</v>
      </c>
      <c r="E79" s="14">
        <f>SUM(Jul!E79, Aug!E79, Sep!E79)</f>
        <v>460347.77</v>
      </c>
      <c r="F79" s="14">
        <f t="shared" si="3"/>
        <v>-21347.770000000019</v>
      </c>
      <c r="G79" s="15">
        <f t="shared" si="4"/>
        <v>-4.6373136552828348E-2</v>
      </c>
      <c r="H79" s="16">
        <f>SUM(Jul!H79,Aug!H79,Sep!H79)</f>
        <v>411700.36</v>
      </c>
      <c r="I79" s="16">
        <f>SUM(Jul!I79, Aug!I79, Sep!I79)</f>
        <v>27299.640000000014</v>
      </c>
      <c r="J79" s="15">
        <f t="shared" si="5"/>
        <v>6.6309487803216924E-2</v>
      </c>
    </row>
    <row r="80" spans="1:10" ht="15.6">
      <c r="A80" s="24" t="str">
        <v>Villa Roma 1</v>
      </c>
      <c r="B80" s="25" t="str">
        <v>NY</v>
      </c>
      <c r="C80" s="25" t="str">
        <f>Sites[[#This Row],[SOL'#]]</f>
        <v>SOL-10914</v>
      </c>
      <c r="D80" s="20">
        <f>SUM(Jul!D80, Aug!D80, Sep!D80)</f>
        <v>338515</v>
      </c>
      <c r="E80" s="10">
        <f>SUM(Jul!E80, Aug!E80, Sep!E80)</f>
        <v>3881.75</v>
      </c>
      <c r="F80" s="10">
        <f t="shared" si="3"/>
        <v>334633.25</v>
      </c>
      <c r="G80" s="11">
        <f t="shared" si="4"/>
        <v>86.206801056224634</v>
      </c>
      <c r="H80" s="12">
        <f>SUM(Jul!H80,Aug!H80,Sep!H80)</f>
        <v>360546.51</v>
      </c>
      <c r="I80" s="12">
        <f>SUM(Jul!I80, Aug!I80, Sep!I80)</f>
        <v>-22031.510000000009</v>
      </c>
      <c r="J80" s="13">
        <f t="shared" si="5"/>
        <v>-6.1105875078363701E-2</v>
      </c>
    </row>
    <row r="81" spans="1:10" ht="15.6">
      <c r="A81" s="26" t="str">
        <v>Villa Roma 2</v>
      </c>
      <c r="B81" s="27" t="str">
        <v>NY</v>
      </c>
      <c r="C81" s="27" t="str">
        <f>Sites[[#This Row],[SOL'#]]</f>
        <v>SOL-10915</v>
      </c>
      <c r="D81" s="9">
        <f>SUM(Jul!D81, Aug!D81, Sep!D81)</f>
        <v>327962</v>
      </c>
      <c r="E81" s="14">
        <f>SUM(Jul!E81, Aug!E81, Sep!E81)</f>
        <v>355213.51</v>
      </c>
      <c r="F81" s="14">
        <f t="shared" si="3"/>
        <v>-27251.510000000009</v>
      </c>
      <c r="G81" s="15">
        <f t="shared" si="4"/>
        <v>-7.6718675480558177E-2</v>
      </c>
      <c r="H81" s="16">
        <f>SUM(Jul!H81,Aug!H81,Sep!H81)</f>
        <v>349710.41</v>
      </c>
      <c r="I81" s="16">
        <f>SUM(Jul!I81, Aug!I81, Sep!I81)</f>
        <v>-21748.409999999974</v>
      </c>
      <c r="J81" s="15">
        <f t="shared" si="5"/>
        <v>-6.2189770101496192E-2</v>
      </c>
    </row>
    <row r="82" spans="1:10" ht="15.6">
      <c r="A82" s="24" t="str">
        <v>Washington 1</v>
      </c>
      <c r="B82" s="25" t="str">
        <v>NY</v>
      </c>
      <c r="C82" s="25" t="str">
        <f>Sites[[#This Row],[SOL'#]]</f>
        <v>SOL-10912</v>
      </c>
      <c r="D82" s="20">
        <f>SUM(Jul!D82, Aug!D82, Sep!D82)</f>
        <v>414100</v>
      </c>
      <c r="E82" s="10">
        <f>SUM(Jul!E82, Aug!E82, Sep!E82)</f>
        <v>455057.17</v>
      </c>
      <c r="F82" s="10">
        <f t="shared" si="3"/>
        <v>-40957.169999999984</v>
      </c>
      <c r="G82" s="11">
        <f t="shared" si="4"/>
        <v>-9.000444933105875E-2</v>
      </c>
      <c r="H82" s="12">
        <f>SUM(Jul!H82,Aug!H82,Sep!H82)</f>
        <v>406846.2</v>
      </c>
      <c r="I82" s="12">
        <f>SUM(Jul!I82, Aug!I82, Sep!I82)</f>
        <v>7253.7999999999884</v>
      </c>
      <c r="J82" s="13">
        <f t="shared" si="5"/>
        <v>1.7829341898732219E-2</v>
      </c>
    </row>
    <row r="83" spans="1:10" ht="15.6">
      <c r="A83" s="26" t="str">
        <v>Washington 3</v>
      </c>
      <c r="B83" s="27" t="str">
        <v>NY</v>
      </c>
      <c r="C83" s="27" t="str">
        <f>Sites[[#This Row],[SOL'#]]</f>
        <v>SOL-10828</v>
      </c>
      <c r="D83" s="9">
        <f>SUM(Jul!D83, Aug!D83, Sep!D83)</f>
        <v>468035</v>
      </c>
      <c r="E83" s="14">
        <f>SUM(Jul!E83, Aug!E83, Sep!E83)</f>
        <v>1177020.71</v>
      </c>
      <c r="F83" s="14">
        <f t="shared" si="3"/>
        <v>-708985.71</v>
      </c>
      <c r="G83" s="15">
        <f t="shared" si="4"/>
        <v>-0.60235618963747883</v>
      </c>
      <c r="H83" s="16">
        <f>SUM(Jul!H83,Aug!H83,Sep!H83)</f>
        <v>497085.28</v>
      </c>
      <c r="I83" s="16">
        <f>SUM(Jul!I83, Aug!I83, Sep!I83)</f>
        <v>-29050.280000000028</v>
      </c>
      <c r="J83" s="15">
        <f t="shared" si="5"/>
        <v>-5.8441239700358916E-2</v>
      </c>
    </row>
    <row r="84" spans="1:10" ht="15.6">
      <c r="A84" s="24" t="str">
        <v>Washington 4</v>
      </c>
      <c r="B84" s="25" t="str">
        <v>NY</v>
      </c>
      <c r="C84" s="25" t="str">
        <f>Sites[[#This Row],[SOL'#]]</f>
        <v>SOL-10829</v>
      </c>
      <c r="D84" s="20">
        <f>SUM(Jul!D84, Aug!D84, Sep!D84)</f>
        <v>512454</v>
      </c>
      <c r="E84" s="10">
        <f>SUM(Jul!E84, Aug!E84, Sep!E84)</f>
        <v>540275.93000000005</v>
      </c>
      <c r="F84" s="10">
        <f t="shared" si="3"/>
        <v>-27821.930000000051</v>
      </c>
      <c r="G84" s="11">
        <f t="shared" si="4"/>
        <v>-5.1495779203045468E-2</v>
      </c>
      <c r="H84" s="12">
        <f>SUM(Jul!H84,Aug!H84,Sep!H84)</f>
        <v>498240.8</v>
      </c>
      <c r="I84" s="12">
        <f>SUM(Jul!I84, Aug!I84, Sep!I84)</f>
        <v>14213.200000000012</v>
      </c>
      <c r="J84" s="13">
        <f t="shared" si="5"/>
        <v>2.8526768582580977E-2</v>
      </c>
    </row>
    <row r="85" spans="1:10" ht="15.6">
      <c r="A85" s="26" t="str">
        <v>Big Tree</v>
      </c>
      <c r="B85" s="27" t="str">
        <v>NY</v>
      </c>
      <c r="C85" s="27" t="str">
        <f>Sites[[#This Row],[SOL'#]]</f>
        <v>SOL-10966</v>
      </c>
      <c r="D85" s="9">
        <f>SUM(Jul!D85, Aug!D85, Sep!D85)</f>
        <v>436120</v>
      </c>
      <c r="E85" s="14">
        <f>SUM(Jul!E85, Aug!E85, Sep!E85)</f>
        <v>435290</v>
      </c>
      <c r="F85" s="14">
        <f t="shared" si="3"/>
        <v>830</v>
      </c>
      <c r="G85" s="15">
        <f t="shared" si="4"/>
        <v>1.9067747938156172E-3</v>
      </c>
      <c r="H85" s="16">
        <f>SUM(Jul!H85,Aug!H85,Sep!H85)</f>
        <v>416811.05</v>
      </c>
      <c r="I85" s="16">
        <f>SUM(Jul!I85, Aug!I85, Sep!I85)</f>
        <v>19308.950000000012</v>
      </c>
      <c r="J85" s="15">
        <f t="shared" si="5"/>
        <v>4.6325427312927554E-2</v>
      </c>
    </row>
    <row r="86" spans="1:10" ht="15.6">
      <c r="A86" s="24" t="str">
        <v>Canoga</v>
      </c>
      <c r="B86" s="25" t="str">
        <v>NY</v>
      </c>
      <c r="C86" s="25" t="str">
        <f>Sites[[#This Row],[SOL'#]]</f>
        <v>SOL-10965</v>
      </c>
      <c r="D86" s="20">
        <f>SUM(Jul!D86, Aug!D86, Sep!D86)</f>
        <v>564710</v>
      </c>
      <c r="E86" s="10">
        <f>SUM(Jul!E86, Aug!E86, Sep!E86)</f>
        <v>0</v>
      </c>
      <c r="F86" s="10">
        <f t="shared" si="3"/>
        <v>564710</v>
      </c>
      <c r="G86" s="11" t="str">
        <f t="shared" si="4"/>
        <v/>
      </c>
      <c r="H86" s="12">
        <f>SUM(Jul!H86,Aug!H86,Sep!H86)</f>
        <v>0</v>
      </c>
      <c r="I86" s="12">
        <f>SUM(Jul!I86, Aug!I86, Sep!I86)</f>
        <v>0</v>
      </c>
      <c r="J86" s="13" t="str">
        <f t="shared" si="5"/>
        <v/>
      </c>
    </row>
    <row r="87" spans="1:10" ht="15.6">
      <c r="A87" s="26" t="str">
        <v>County Route 84</v>
      </c>
      <c r="B87" s="27" t="str">
        <v>NY</v>
      </c>
      <c r="C87" s="27" t="str">
        <f>Sites[[#This Row],[SOL'#]]</f>
        <v>SOL-10967</v>
      </c>
      <c r="D87" s="9">
        <f>SUM(Jul!D87, Aug!D87, Sep!D87)</f>
        <v>935320</v>
      </c>
      <c r="E87" s="14">
        <f>SUM(Jul!E87, Aug!E87, Sep!E87)</f>
        <v>914380</v>
      </c>
      <c r="F87" s="14">
        <f t="shared" si="3"/>
        <v>20940</v>
      </c>
      <c r="G87" s="15">
        <f t="shared" si="4"/>
        <v>2.2900763358778626E-2</v>
      </c>
      <c r="H87" s="16">
        <f>SUM(Jul!H87,Aug!H87,Sep!H87)</f>
        <v>1051868.43</v>
      </c>
      <c r="I87" s="16">
        <f>SUM(Jul!I87, Aug!I87, Sep!I87)</f>
        <v>-116548.42999999993</v>
      </c>
      <c r="J87" s="15">
        <f t="shared" si="5"/>
        <v>-0.11080133852862181</v>
      </c>
    </row>
    <row r="88" spans="1:10" ht="15.6">
      <c r="A88" s="24" t="str">
        <v>Donati</v>
      </c>
      <c r="B88" s="25" t="str">
        <v>NY</v>
      </c>
      <c r="C88" s="25" t="str">
        <f>Sites[[#This Row],[SOL'#]]</f>
        <v>SOL-10968</v>
      </c>
      <c r="D88" s="20">
        <f>SUM(Jul!D88, Aug!D88, Sep!D88)</f>
        <v>547550</v>
      </c>
      <c r="E88" s="10">
        <f>SUM(Jul!E88, Aug!E88, Sep!E88)</f>
        <v>0</v>
      </c>
      <c r="F88" s="10">
        <f t="shared" si="3"/>
        <v>547550</v>
      </c>
      <c r="G88" s="11" t="str">
        <f t="shared" si="4"/>
        <v/>
      </c>
      <c r="H88" s="12">
        <f>SUM(Jul!H88,Aug!H88,Sep!H88)</f>
        <v>545503.25</v>
      </c>
      <c r="I88" s="12">
        <f>SUM(Jul!I88, Aug!I88, Sep!I88)</f>
        <v>2046.75</v>
      </c>
      <c r="J88" s="13">
        <f t="shared" si="5"/>
        <v>3.7520399740973128E-3</v>
      </c>
    </row>
    <row r="89" spans="1:10" ht="15.6">
      <c r="A89" s="26" t="str">
        <v>Henrietta</v>
      </c>
      <c r="B89" s="27" t="str">
        <v>NY</v>
      </c>
      <c r="C89" s="27" t="str">
        <f>Sites[[#This Row],[SOL'#]]</f>
        <v>SOL-10972</v>
      </c>
      <c r="D89" s="9">
        <f>SUM(Jul!D89, Aug!D89, Sep!D89)</f>
        <v>1155000</v>
      </c>
      <c r="E89" s="14">
        <f>SUM(Jul!E89, Aug!E89, Sep!E89)</f>
        <v>1113180</v>
      </c>
      <c r="F89" s="14">
        <f t="shared" si="3"/>
        <v>41820</v>
      </c>
      <c r="G89" s="15">
        <f t="shared" si="4"/>
        <v>3.756804829407643E-2</v>
      </c>
      <c r="H89" s="16">
        <f>SUM(Jul!H89,Aug!H89,Sep!H89)</f>
        <v>1152537.6000000001</v>
      </c>
      <c r="I89" s="16">
        <f>SUM(Jul!I89, Aug!I89, Sep!I89)</f>
        <v>2462.3999999999069</v>
      </c>
      <c r="J89" s="15">
        <f t="shared" si="5"/>
        <v>2.1365029652827871E-3</v>
      </c>
    </row>
    <row r="90" spans="1:10" ht="15.6">
      <c r="A90" s="24" t="str">
        <v>NY 70</v>
      </c>
      <c r="B90" s="25" t="str">
        <v>NY</v>
      </c>
      <c r="C90" s="25" t="str">
        <f>Sites[[#This Row],[SOL'#]]</f>
        <v>SOL-10970</v>
      </c>
      <c r="D90" s="20">
        <f>SUM(Jul!D90, Aug!D90, Sep!D90)</f>
        <v>1218390</v>
      </c>
      <c r="E90" s="10">
        <f>SUM(Jul!E90, Aug!E90, Sep!E90)</f>
        <v>1215880</v>
      </c>
      <c r="F90" s="10">
        <f t="shared" si="3"/>
        <v>2510</v>
      </c>
      <c r="G90" s="11">
        <f t="shared" si="4"/>
        <v>2.0643484554396813E-3</v>
      </c>
      <c r="H90" s="12">
        <f>SUM(Jul!H90,Aug!H90,Sep!H90)</f>
        <v>1269880.53</v>
      </c>
      <c r="I90" s="12">
        <f>SUM(Jul!I90, Aug!I90, Sep!I90)</f>
        <v>-51490.530000000028</v>
      </c>
      <c r="J90" s="13">
        <f t="shared" si="5"/>
        <v>-4.054753875153911E-2</v>
      </c>
    </row>
    <row r="91" spans="1:10" ht="15.6">
      <c r="A91" s="26" t="str">
        <v>Reid</v>
      </c>
      <c r="B91" s="27" t="str">
        <v>NY</v>
      </c>
      <c r="C91" s="27" t="str">
        <f>Sites[[#This Row],[SOL'#]]</f>
        <v>SOL-10991</v>
      </c>
      <c r="D91" s="9">
        <f>SUM(Jul!D91, Aug!D91, Sep!D91)</f>
        <v>827385.82587148203</v>
      </c>
      <c r="E91" s="14">
        <f>SUM(Jul!E91, Aug!E91, Sep!E91)</f>
        <v>889116.1</v>
      </c>
      <c r="F91" s="14">
        <f t="shared" si="3"/>
        <v>-61730.274128517951</v>
      </c>
      <c r="G91" s="15">
        <f t="shared" si="4"/>
        <v>-6.94288115224974E-2</v>
      </c>
      <c r="H91" s="16">
        <f>SUM(Jul!H91,Aug!H91,Sep!H91)</f>
        <v>94887</v>
      </c>
      <c r="I91" s="16">
        <f>SUM(Jul!I91, Aug!I91, Sep!I91)</f>
        <v>732498.82587148203</v>
      </c>
      <c r="J91" s="15">
        <f t="shared" si="5"/>
        <v>7.7196963321791401</v>
      </c>
    </row>
    <row r="92" spans="1:10" ht="15.6">
      <c r="A92" s="24" t="str">
        <v>Sangolqui</v>
      </c>
      <c r="B92" s="25" t="str">
        <v>NY</v>
      </c>
      <c r="C92" s="25" t="str">
        <f>Sites[[#This Row],[SOL'#]]</f>
        <v>SOL-10975</v>
      </c>
      <c r="D92" s="20">
        <f>SUM(Jul!D92, Aug!D92, Sep!D92)</f>
        <v>556270</v>
      </c>
      <c r="E92" s="10">
        <f>SUM(Jul!E92, Aug!E92, Sep!E92)</f>
        <v>555700</v>
      </c>
      <c r="F92" s="10">
        <f t="shared" si="3"/>
        <v>570</v>
      </c>
      <c r="G92" s="11">
        <f t="shared" si="4"/>
        <v>1.0257333093395718E-3</v>
      </c>
      <c r="H92" s="12">
        <f>SUM(Jul!H92,Aug!H92,Sep!H92)</f>
        <v>534834.66</v>
      </c>
      <c r="I92" s="12">
        <f>SUM(Jul!I92, Aug!I92, Sep!I92)</f>
        <v>21435.339999999967</v>
      </c>
      <c r="J92" s="13">
        <f t="shared" si="5"/>
        <v>4.0078442186226235E-2</v>
      </c>
    </row>
    <row r="93" spans="1:10" ht="15.6">
      <c r="A93" s="26" t="str">
        <v>State Highway 17B</v>
      </c>
      <c r="B93" s="27" t="str">
        <v>NY</v>
      </c>
      <c r="C93" s="27" t="str">
        <f>Sites[[#This Row],[SOL'#]]</f>
        <v>SOL-10988</v>
      </c>
      <c r="D93" s="9">
        <f>SUM(Jul!D93, Aug!D93, Sep!D93)</f>
        <v>844420</v>
      </c>
      <c r="E93" s="14">
        <f>SUM(Jul!E93, Aug!E93, Sep!E93)</f>
        <v>841370</v>
      </c>
      <c r="F93" s="14">
        <f t="shared" si="3"/>
        <v>3050</v>
      </c>
      <c r="G93" s="15">
        <f t="shared" si="4"/>
        <v>3.6250401131487932E-3</v>
      </c>
      <c r="H93" s="16">
        <f>SUM(Jul!H93,Aug!H93,Sep!H93)</f>
        <v>0</v>
      </c>
      <c r="I93" s="16">
        <f>SUM(Jul!I93, Aug!I93, Sep!I93)</f>
        <v>0</v>
      </c>
      <c r="J93" s="15" t="str">
        <f t="shared" si="5"/>
        <v/>
      </c>
    </row>
    <row r="94" spans="1:10" ht="15.6">
      <c r="A94" s="24" t="str">
        <v>State Route 14A</v>
      </c>
      <c r="B94" s="25" t="str">
        <v>NY</v>
      </c>
      <c r="C94" s="25" t="str">
        <f>Sites[[#This Row],[SOL'#]]</f>
        <v>SOL-10997</v>
      </c>
      <c r="D94" s="20">
        <f>SUM(Jul!D94, Aug!D94, Sep!D94)</f>
        <v>0</v>
      </c>
      <c r="E94" s="10">
        <f>SUM(Jul!E94, Aug!E94, Sep!E94)</f>
        <v>0</v>
      </c>
      <c r="F94" s="10">
        <f t="shared" si="3"/>
        <v>0</v>
      </c>
      <c r="G94" s="11" t="str">
        <f t="shared" si="4"/>
        <v/>
      </c>
      <c r="H94" s="12">
        <f>SUM(Jul!H94,Aug!H94,Sep!H94)</f>
        <v>1023871.6</v>
      </c>
      <c r="I94" s="12">
        <f>SUM(Jul!I94, Aug!I94, Sep!I94)</f>
        <v>-1023871.6</v>
      </c>
      <c r="J94" s="13">
        <f t="shared" si="5"/>
        <v>-1</v>
      </c>
    </row>
    <row r="95" spans="1:10" ht="15.6">
      <c r="A95" s="26" t="str">
        <v>West Creek</v>
      </c>
      <c r="B95" s="27" t="str">
        <v>NY</v>
      </c>
      <c r="C95" s="27" t="str">
        <f>Sites[[#This Row],[SOL'#]]</f>
        <v>SOL-10995</v>
      </c>
      <c r="D95" s="9">
        <f>SUM(Jul!D95, Aug!D95, Sep!D95)</f>
        <v>952660</v>
      </c>
      <c r="E95" s="14">
        <f>SUM(Jul!E95, Aug!E95, Sep!E95)</f>
        <v>905450</v>
      </c>
      <c r="F95" s="14">
        <f t="shared" si="3"/>
        <v>47210</v>
      </c>
      <c r="G95" s="15">
        <f t="shared" si="4"/>
        <v>5.2139819979015956E-2</v>
      </c>
      <c r="H95" s="16">
        <f>SUM(Jul!H95,Aug!H95,Sep!H95)</f>
        <v>1056166.02</v>
      </c>
      <c r="I95" s="16">
        <f>SUM(Jul!I95, Aug!I95, Sep!I95)</f>
        <v>-103506.02000000002</v>
      </c>
      <c r="J95" s="15">
        <f t="shared" si="5"/>
        <v>-9.8001656974345777E-2</v>
      </c>
    </row>
    <row r="96" spans="1:10" ht="15.6">
      <c r="A96" s="24" t="str">
        <v>Wildflower</v>
      </c>
      <c r="B96" s="25" t="str">
        <v>NY</v>
      </c>
      <c r="C96" s="25" t="str">
        <f>Sites[[#This Row],[SOL'#]]</f>
        <v>SOL-10982</v>
      </c>
      <c r="D96" s="20">
        <f>SUM(Jul!D96, Aug!D96, Sep!D96)</f>
        <v>892850</v>
      </c>
      <c r="E96" s="10">
        <f>SUM(Jul!E96, Aug!E96, Sep!E96)</f>
        <v>890492</v>
      </c>
      <c r="F96" s="10">
        <f t="shared" si="3"/>
        <v>2358</v>
      </c>
      <c r="G96" s="11">
        <f t="shared" si="4"/>
        <v>2.6479743782089004E-3</v>
      </c>
      <c r="H96" s="12">
        <f>SUM(Jul!H96,Aug!H96,Sep!H96)</f>
        <v>992227.03</v>
      </c>
      <c r="I96" s="12">
        <f>SUM(Jul!I96, Aug!I96, Sep!I96)</f>
        <v>-99377.030000000028</v>
      </c>
      <c r="J96" s="13">
        <f t="shared" si="5"/>
        <v>-0.10015553597647912</v>
      </c>
    </row>
    <row r="97" spans="1:10" ht="15.6">
      <c r="A97" s="26" t="str">
        <v>Glen Mary 1</v>
      </c>
      <c r="B97" s="27" t="str">
        <v>NY</v>
      </c>
      <c r="C97" s="27" t="str">
        <f>Sites[[#This Row],[SOL'#]]</f>
        <v>SOL-10993</v>
      </c>
      <c r="D97" s="9">
        <f>SUM(Jul!D97, Aug!D97, Sep!D97)</f>
        <v>1034840</v>
      </c>
      <c r="E97" s="14">
        <f>SUM(Jul!E97, Aug!E97, Sep!E97)</f>
        <v>1030810</v>
      </c>
      <c r="F97" s="14">
        <f t="shared" si="3"/>
        <v>4030</v>
      </c>
      <c r="G97" s="15">
        <f t="shared" si="4"/>
        <v>3.9095468612062355E-3</v>
      </c>
      <c r="H97" s="16">
        <f>SUM(Jul!H97,Aug!H97,Sep!H97)</f>
        <v>998812.44</v>
      </c>
      <c r="I97" s="16">
        <f>SUM(Jul!I97, Aug!I97, Sep!I97)</f>
        <v>36027.560000000056</v>
      </c>
      <c r="J97" s="15">
        <f t="shared" si="5"/>
        <v>3.6070395759187836E-2</v>
      </c>
    </row>
    <row r="98" spans="1:10" ht="15.6">
      <c r="A98" s="24" t="str">
        <v>Glen Mary 2</v>
      </c>
      <c r="B98" s="25" t="str">
        <v>NY</v>
      </c>
      <c r="C98" s="25" t="str">
        <f>Sites[[#This Row],[SOL'#]]</f>
        <v>SOL-10994</v>
      </c>
      <c r="D98" s="20">
        <f>SUM(Jul!D98, Aug!D98, Sep!D98)</f>
        <v>461130</v>
      </c>
      <c r="E98" s="10">
        <f>SUM(Jul!E98, Aug!E98, Sep!E98)</f>
        <v>216810</v>
      </c>
      <c r="F98" s="10">
        <f t="shared" si="3"/>
        <v>244320</v>
      </c>
      <c r="G98" s="11">
        <f t="shared" si="4"/>
        <v>1.126885291268853</v>
      </c>
      <c r="H98" s="12">
        <f>SUM(Jul!H98,Aug!H98,Sep!H98)</f>
        <v>425618.76</v>
      </c>
      <c r="I98" s="12">
        <f>SUM(Jul!I98, Aug!I98, Sep!I98)</f>
        <v>35511.239999999991</v>
      </c>
      <c r="J98" s="13">
        <f t="shared" si="5"/>
        <v>8.3434386209855951E-2</v>
      </c>
    </row>
    <row r="99" spans="1:10" ht="15.6">
      <c r="A99" s="26" t="str">
        <v>Telegraph 1</v>
      </c>
      <c r="B99" s="27" t="str">
        <v>NY</v>
      </c>
      <c r="C99" s="27" t="str">
        <f>Sites[[#This Row],[SOL'#]]</f>
        <v>SOL-11003</v>
      </c>
      <c r="D99" s="9">
        <f>SUM(Jul!D99, Aug!D99, Sep!D99)</f>
        <v>758150</v>
      </c>
      <c r="E99" s="14">
        <f>SUM(Jul!E99, Aug!E99, Sep!E99)</f>
        <v>0</v>
      </c>
      <c r="F99" s="14">
        <f t="shared" si="3"/>
        <v>758150</v>
      </c>
      <c r="G99" s="15" t="str">
        <f t="shared" si="4"/>
        <v/>
      </c>
      <c r="H99" s="16">
        <f>SUM(Jul!H99,Aug!H99,Sep!H99)</f>
        <v>748051.86</v>
      </c>
      <c r="I99" s="16">
        <f>SUM(Jul!I99, Aug!I99, Sep!I99)</f>
        <v>10098.140000000014</v>
      </c>
      <c r="J99" s="15">
        <f t="shared" si="5"/>
        <v>1.3499251241752162E-2</v>
      </c>
    </row>
    <row r="100" spans="1:10" ht="15.6">
      <c r="A100" s="24" t="str">
        <v>Telegraph 2</v>
      </c>
      <c r="B100" s="25" t="str">
        <v>NY</v>
      </c>
      <c r="C100" s="25" t="str">
        <f>Sites[[#This Row],[SOL'#]]</f>
        <v>SOL-11004</v>
      </c>
      <c r="D100" s="20">
        <f>SUM(Jul!D100, Aug!D100, Sep!D100)</f>
        <v>399640</v>
      </c>
      <c r="E100" s="10">
        <f>SUM(Jul!E100, Aug!E100, Sep!E100)</f>
        <v>0</v>
      </c>
      <c r="F100" s="10">
        <f t="shared" si="3"/>
        <v>399640</v>
      </c>
      <c r="G100" s="11" t="str">
        <f t="shared" si="4"/>
        <v/>
      </c>
      <c r="H100" s="12">
        <f>SUM(Jul!H100,Aug!H100,Sep!H100)</f>
        <v>390141.68</v>
      </c>
      <c r="I100" s="12">
        <f>SUM(Jul!I100, Aug!I100, Sep!I100)</f>
        <v>9498.320000000007</v>
      </c>
      <c r="J100" s="13">
        <f t="shared" si="5"/>
        <v>2.4345822266413596E-2</v>
      </c>
    </row>
    <row r="101" spans="1:10" ht="15.6">
      <c r="A101" s="26" t="str">
        <v>Cafferty Hill</v>
      </c>
      <c r="B101" s="27" t="str">
        <v>NY</v>
      </c>
      <c r="C101" s="27" t="str">
        <f>Sites[[#This Row],[SOL'#]]</f>
        <v>SOL-10996</v>
      </c>
      <c r="D101" s="9">
        <f>SUM(Jul!D101, Aug!D101, Sep!D101)</f>
        <v>1070170</v>
      </c>
      <c r="E101" s="14">
        <f>SUM(Jul!E101, Aug!E101, Sep!E101)</f>
        <v>1096662.81</v>
      </c>
      <c r="F101" s="14">
        <f t="shared" si="3"/>
        <v>-26492.810000000056</v>
      </c>
      <c r="G101" s="15">
        <f t="shared" si="4"/>
        <v>-2.4157662463268954E-2</v>
      </c>
      <c r="H101" s="16">
        <f>SUM(Jul!H101,Aug!H101,Sep!H101)</f>
        <v>1010963.44</v>
      </c>
      <c r="I101" s="16">
        <f>SUM(Jul!I101, Aug!I101, Sep!I101)</f>
        <v>59206.560000000056</v>
      </c>
      <c r="J101" s="15">
        <f t="shared" si="5"/>
        <v>5.8564491709017744E-2</v>
      </c>
    </row>
    <row r="102" spans="1:10" ht="15.6">
      <c r="A102" s="24" t="str">
        <v>Dunkleman</v>
      </c>
      <c r="B102" s="25" t="str">
        <v>NY</v>
      </c>
      <c r="C102" s="25" t="str">
        <f>Sites[[#This Row],[SOL'#]]</f>
        <v>SOL-11008</v>
      </c>
      <c r="D102" s="20">
        <f>SUM(Jul!D102, Aug!D102, Sep!D102)</f>
        <v>1328630</v>
      </c>
      <c r="E102" s="10">
        <f>SUM(Jul!E102, Aug!E102, Sep!E102)</f>
        <v>1325930</v>
      </c>
      <c r="F102" s="10">
        <f t="shared" si="3"/>
        <v>2700</v>
      </c>
      <c r="G102" s="11">
        <f t="shared" si="4"/>
        <v>2.0363065923540459E-3</v>
      </c>
      <c r="H102" s="12">
        <f>SUM(Jul!H102,Aug!H102,Sep!H102)</f>
        <v>1303096.45</v>
      </c>
      <c r="I102" s="12">
        <f>SUM(Jul!I102, Aug!I102, Sep!I102)</f>
        <v>25533.550000000047</v>
      </c>
      <c r="J102" s="13">
        <f t="shared" si="5"/>
        <v>1.959452042095583E-2</v>
      </c>
    </row>
    <row r="103" spans="1:10" ht="15.6">
      <c r="A103" s="26" t="str">
        <v>Route 19 1</v>
      </c>
      <c r="B103" s="27" t="str">
        <v>NY</v>
      </c>
      <c r="C103" s="27" t="str">
        <f>Sites[[#This Row],[SOL'#]]</f>
        <v>SOL-11001</v>
      </c>
      <c r="D103" s="9">
        <f>SUM(Jul!D103, Aug!D103, Sep!D103)</f>
        <v>526400</v>
      </c>
      <c r="E103" s="14">
        <f>SUM(Jul!E103, Aug!E103, Sep!E103)</f>
        <v>524990</v>
      </c>
      <c r="F103" s="14">
        <f t="shared" si="3"/>
        <v>1410</v>
      </c>
      <c r="G103" s="15">
        <f t="shared" si="4"/>
        <v>2.6857654431512983E-3</v>
      </c>
      <c r="H103" s="16">
        <f>SUM(Jul!H103,Aug!H103,Sep!H103)</f>
        <v>527552.5</v>
      </c>
      <c r="I103" s="16">
        <f>SUM(Jul!I103, Aug!I103, Sep!I103)</f>
        <v>-1152.5</v>
      </c>
      <c r="J103" s="15">
        <f t="shared" si="5"/>
        <v>-2.1846166969164207E-3</v>
      </c>
    </row>
    <row r="104" spans="1:10" ht="15.6">
      <c r="A104" s="24" t="str">
        <v>Route 19 2</v>
      </c>
      <c r="B104" s="25" t="str">
        <v>NY</v>
      </c>
      <c r="C104" s="25" t="str">
        <f>Sites[[#This Row],[SOL'#]]</f>
        <v>SOL-11002</v>
      </c>
      <c r="D104" s="20">
        <f>SUM(Jul!D104, Aug!D104, Sep!D104)</f>
        <v>1275880</v>
      </c>
      <c r="E104" s="10">
        <f>SUM(Jul!E104, Aug!E104, Sep!E104)</f>
        <v>1272140</v>
      </c>
      <c r="F104" s="10">
        <f t="shared" si="3"/>
        <v>3740</v>
      </c>
      <c r="G104" s="11">
        <f t="shared" si="4"/>
        <v>2.9399279953464239E-3</v>
      </c>
      <c r="H104" s="12">
        <f>SUM(Jul!H104,Aug!H104,Sep!H104)</f>
        <v>1305988.6299999999</v>
      </c>
      <c r="I104" s="12">
        <f>SUM(Jul!I104, Aug!I104, Sep!I104)</f>
        <v>-30108.629999999888</v>
      </c>
      <c r="J104" s="13">
        <f t="shared" si="5"/>
        <v>-2.3054281873801527E-2</v>
      </c>
    </row>
    <row r="105" spans="1:10" ht="15.6">
      <c r="A105" s="26" t="str">
        <v>Yellow Mills 1</v>
      </c>
      <c r="B105" s="27" t="str">
        <v>NY</v>
      </c>
      <c r="C105" s="27" t="str">
        <f>Sites[[#This Row],[SOL'#]]</f>
        <v>SOL-11006</v>
      </c>
      <c r="D105" s="9">
        <f>SUM(Jul!D105, Aug!D105, Sep!D105)</f>
        <v>457718</v>
      </c>
      <c r="E105" s="14">
        <f>SUM(Jul!E105, Aug!E105, Sep!E105)</f>
        <v>455797</v>
      </c>
      <c r="F105" s="14">
        <f t="shared" si="3"/>
        <v>1921</v>
      </c>
      <c r="G105" s="15">
        <f t="shared" si="4"/>
        <v>4.2145955326603731E-3</v>
      </c>
      <c r="H105" s="16">
        <f>SUM(Jul!H105,Aug!H105,Sep!H105)</f>
        <v>434537.61</v>
      </c>
      <c r="I105" s="16">
        <f>SUM(Jul!I105, Aug!I105, Sep!I105)</f>
        <v>23180.390000000014</v>
      </c>
      <c r="J105" s="15">
        <f t="shared" si="5"/>
        <v>5.3344956723078617E-2</v>
      </c>
    </row>
    <row r="106" spans="1:10" ht="15.6">
      <c r="A106" s="24" t="str">
        <v>Yellow Mills 2</v>
      </c>
      <c r="B106" s="25" t="str">
        <v>NY</v>
      </c>
      <c r="C106" s="25" t="str">
        <f>Sites[[#This Row],[SOL'#]]</f>
        <v>SOL-11005</v>
      </c>
      <c r="D106" s="20">
        <f>SUM(Jul!D106, Aug!D106, Sep!D106)</f>
        <v>452895</v>
      </c>
      <c r="E106" s="10">
        <f>SUM(Jul!E106, Aug!E106, Sep!E106)</f>
        <v>0</v>
      </c>
      <c r="F106" s="10">
        <f t="shared" si="3"/>
        <v>452895</v>
      </c>
      <c r="G106" s="11" t="str">
        <f t="shared" si="4"/>
        <v/>
      </c>
      <c r="H106" s="12">
        <f>SUM(Jul!H106,Aug!H106,Sep!H106)</f>
        <v>450519.38</v>
      </c>
      <c r="I106" s="12">
        <f>SUM(Jul!I106, Aug!I106, Sep!I106)</f>
        <v>2375.6199999999953</v>
      </c>
      <c r="J106" s="13">
        <f t="shared" si="5"/>
        <v>5.2730694959226736E-3</v>
      </c>
    </row>
    <row r="107" spans="1:10" ht="15.6">
      <c r="A107" s="26" t="str">
        <v>Yellow Mills 3</v>
      </c>
      <c r="B107" s="27" t="str">
        <v>NY</v>
      </c>
      <c r="C107" s="27" t="str">
        <f>Sites[[#This Row],[SOL'#]]</f>
        <v>SOL-11007</v>
      </c>
      <c r="D107" s="9">
        <f>SUM(Jul!D107, Aug!D107, Sep!D107)</f>
        <v>431452</v>
      </c>
      <c r="E107" s="14">
        <f>SUM(Jul!E107, Aug!E107, Sep!E107)</f>
        <v>429805</v>
      </c>
      <c r="F107" s="14">
        <f t="shared" si="3"/>
        <v>1647</v>
      </c>
      <c r="G107" s="15">
        <f t="shared" si="4"/>
        <v>3.8319703121182862E-3</v>
      </c>
      <c r="H107" s="16">
        <f>SUM(Jul!H107,Aug!H107,Sep!H107)</f>
        <v>428647.82</v>
      </c>
      <c r="I107" s="16">
        <f>SUM(Jul!I107, Aug!I107, Sep!I107)</f>
        <v>2804.179999999993</v>
      </c>
      <c r="J107" s="15">
        <f t="shared" si="5"/>
        <v>6.5419205911276838E-3</v>
      </c>
    </row>
    <row r="108" spans="1:10" ht="15.6">
      <c r="A108" s="24" t="str">
        <v>Catskill</v>
      </c>
      <c r="B108" s="25" t="str">
        <v>NY</v>
      </c>
      <c r="C108" s="25" t="str">
        <f>Sites[[#This Row],[SOL'#]]</f>
        <v>SOL-11021</v>
      </c>
      <c r="D108" s="20">
        <f>SUM(Jul!D108, Aug!D108, Sep!D108)</f>
        <v>359700</v>
      </c>
      <c r="E108" s="10">
        <f>SUM(Jul!E108, Aug!E108, Sep!E108)</f>
        <v>358236</v>
      </c>
      <c r="F108" s="10">
        <f t="shared" si="3"/>
        <v>1464</v>
      </c>
      <c r="G108" s="11">
        <f t="shared" si="4"/>
        <v>4.0866914547951633E-3</v>
      </c>
      <c r="H108" s="12">
        <f>SUM(Jul!H108,Aug!H108,Sep!H108)</f>
        <v>783825.25</v>
      </c>
      <c r="I108" s="12">
        <f>SUM(Jul!I108, Aug!I108, Sep!I108)</f>
        <v>-424125.25</v>
      </c>
      <c r="J108" s="13">
        <f t="shared" si="5"/>
        <v>-0.5410966921517264</v>
      </c>
    </row>
    <row r="109" spans="1:10" ht="15.6">
      <c r="A109" s="26" t="str">
        <v>Eddy Ridge</v>
      </c>
      <c r="B109" s="27" t="str">
        <v>NY</v>
      </c>
      <c r="C109" s="27" t="str">
        <f>Sites[[#This Row],[SOL'#]]</f>
        <v>SOL-11054</v>
      </c>
      <c r="D109" s="9">
        <f>SUM(Jul!D109, Aug!D109, Sep!D109)</f>
        <v>648019</v>
      </c>
      <c r="E109" s="14">
        <f>SUM(Jul!E109, Aug!E109, Sep!E109)</f>
        <v>646353</v>
      </c>
      <c r="F109" s="14">
        <f t="shared" si="3"/>
        <v>1666</v>
      </c>
      <c r="G109" s="15">
        <f t="shared" si="4"/>
        <v>2.5775388990226704E-3</v>
      </c>
      <c r="H109" s="16">
        <f>SUM(Jul!H109,Aug!H109,Sep!H109)</f>
        <v>648740</v>
      </c>
      <c r="I109" s="16">
        <f>SUM(Jul!I109, Aug!I109, Sep!I109)</f>
        <v>-721</v>
      </c>
      <c r="J109" s="15">
        <f t="shared" si="5"/>
        <v>-1.1113851465918551E-3</v>
      </c>
    </row>
    <row r="110" spans="1:10" ht="15.6">
      <c r="A110" s="24" t="str">
        <v>Ridgeway #1</v>
      </c>
      <c r="B110" s="25" t="str">
        <v>NY</v>
      </c>
      <c r="C110" s="25" t="str">
        <f>Sites[[#This Row],[SOL'#]]</f>
        <v>SOL-11018</v>
      </c>
      <c r="D110" s="20">
        <f>SUM(Jul!D110, Aug!D110, Sep!D110)</f>
        <v>1451284</v>
      </c>
      <c r="E110" s="10">
        <f>SUM(Jul!E110, Aug!E110, Sep!E110)</f>
        <v>1447271</v>
      </c>
      <c r="F110" s="10">
        <f t="shared" si="3"/>
        <v>4013</v>
      </c>
      <c r="G110" s="11">
        <f t="shared" si="4"/>
        <v>2.7728048167896683E-3</v>
      </c>
      <c r="H110" s="12">
        <f>SUM(Jul!H110,Aug!H110,Sep!H110)</f>
        <v>1342085.1499999999</v>
      </c>
      <c r="I110" s="12">
        <f>SUM(Jul!I110, Aug!I110, Sep!I110)</f>
        <v>109198.85000000009</v>
      </c>
      <c r="J110" s="13">
        <f t="shared" si="5"/>
        <v>8.1365068378858152E-2</v>
      </c>
    </row>
    <row r="111" spans="1:10" ht="15.6">
      <c r="A111" s="26" t="str">
        <v>Rivard 1</v>
      </c>
      <c r="B111" s="27" t="str">
        <v>NY</v>
      </c>
      <c r="C111" s="27" t="str">
        <f>Sites[[#This Row],[SOL'#]]</f>
        <v>SOL-11011</v>
      </c>
      <c r="D111" s="9">
        <f>SUM(Jul!D111, Aug!D111, Sep!D111)</f>
        <v>1028409.2892654</v>
      </c>
      <c r="E111" s="14">
        <f>SUM(Jul!E111, Aug!E111, Sep!E111)</f>
        <v>1098061</v>
      </c>
      <c r="F111" s="14">
        <f t="shared" si="3"/>
        <v>-69651.710734599968</v>
      </c>
      <c r="G111" s="15">
        <f t="shared" si="4"/>
        <v>-6.3431549553804353E-2</v>
      </c>
      <c r="H111" s="16">
        <f>SUM(Jul!H111,Aug!H111,Sep!H111)</f>
        <v>1115777</v>
      </c>
      <c r="I111" s="16">
        <f>SUM(Jul!I111, Aug!I111, Sep!I111)</f>
        <v>-87367.710734599968</v>
      </c>
      <c r="J111" s="15">
        <f t="shared" si="5"/>
        <v>-7.8302125545337442E-2</v>
      </c>
    </row>
    <row r="112" spans="1:10" ht="15.6">
      <c r="A112" s="24" t="str">
        <v>Rivard 2</v>
      </c>
      <c r="B112" s="25" t="str">
        <v>NY</v>
      </c>
      <c r="C112" s="25" t="str">
        <f>Sites[[#This Row],[SOL'#]]</f>
        <v>SOL-11012</v>
      </c>
      <c r="D112" s="20">
        <f>SUM(Jul!D112, Aug!D112, Sep!D112)</f>
        <v>1175701.7910447801</v>
      </c>
      <c r="E112" s="10">
        <f>SUM(Jul!E112, Aug!E112, Sep!E112)</f>
        <v>1148796</v>
      </c>
      <c r="F112" s="10">
        <f t="shared" si="3"/>
        <v>26905.791044780053</v>
      </c>
      <c r="G112" s="11">
        <f t="shared" si="4"/>
        <v>2.3420860661753744E-2</v>
      </c>
      <c r="H112" s="12">
        <f>SUM(Jul!H112,Aug!H112,Sep!H112)</f>
        <v>1076280</v>
      </c>
      <c r="I112" s="12">
        <f>SUM(Jul!I112, Aug!I112, Sep!I112)</f>
        <v>99421.791044780053</v>
      </c>
      <c r="J112" s="13">
        <f t="shared" si="5"/>
        <v>9.2375395849388683E-2</v>
      </c>
    </row>
    <row r="113" spans="1:10" ht="15.6">
      <c r="A113" s="26" t="str">
        <v>Essex</v>
      </c>
      <c r="B113" s="27" t="str">
        <v>DC</v>
      </c>
      <c r="C113" s="27" t="str">
        <f>Sites[[#This Row],[SOL'#]]</f>
        <v>SOL-10036</v>
      </c>
      <c r="D113" s="9">
        <f>SUM(Jul!D113, Aug!D113, Sep!D113)</f>
        <v>4372</v>
      </c>
      <c r="E113" s="14">
        <f>SUM(Jul!E113, Aug!E113, Sep!E113)</f>
        <v>5738.8450000000003</v>
      </c>
      <c r="F113" s="14">
        <f t="shared" si="3"/>
        <v>-1366.8450000000003</v>
      </c>
      <c r="G113" s="15">
        <f t="shared" si="4"/>
        <v>-0.23817423192297407</v>
      </c>
      <c r="H113" s="16">
        <f>SUM(Jul!H113,Aug!H113,Sep!H113)</f>
        <v>5313.9589999999998</v>
      </c>
      <c r="I113" s="16">
        <f>SUM(Jul!I113, Aug!I113, Sep!I113)</f>
        <v>-941.95899999999983</v>
      </c>
      <c r="J113" s="15">
        <f t="shared" si="5"/>
        <v>-0.17726124721699957</v>
      </c>
    </row>
    <row r="114" spans="1:10" ht="15.6">
      <c r="A114" s="24" t="str">
        <v>Temple Sinai</v>
      </c>
      <c r="B114" s="25" t="str">
        <v>DC</v>
      </c>
      <c r="C114" s="25" t="str">
        <f>Sites[[#This Row],[SOL'#]]</f>
        <v>SOL-10028</v>
      </c>
      <c r="D114" s="20">
        <f>SUM(Jul!D114, Aug!D114, Sep!D114)</f>
        <v>10028.8199999999</v>
      </c>
      <c r="E114" s="10">
        <f>SUM(Jul!E114, Aug!E114, Sep!E114)</f>
        <v>14969.03</v>
      </c>
      <c r="F114" s="10">
        <f t="shared" si="3"/>
        <v>-4940.210000000101</v>
      </c>
      <c r="G114" s="11">
        <f t="shared" si="4"/>
        <v>-0.33002873265669858</v>
      </c>
      <c r="H114" s="12">
        <f>SUM(Jul!H114,Aug!H114,Sep!H114)</f>
        <v>12371.16</v>
      </c>
      <c r="I114" s="12">
        <f>SUM(Jul!I114, Aug!I114, Sep!I114)</f>
        <v>-2342.3400000001002</v>
      </c>
      <c r="J114" s="13">
        <f t="shared" si="5"/>
        <v>-0.18933875238862807</v>
      </c>
    </row>
    <row r="115" spans="1:10" ht="15.6">
      <c r="A115" s="26" t="str">
        <v>Weinberg Commons #1</v>
      </c>
      <c r="B115" s="27" t="str">
        <v>DC</v>
      </c>
      <c r="C115" s="27" t="str">
        <f>Sites[[#This Row],[SOL'#]]</f>
        <v>SOL-10039</v>
      </c>
      <c r="D115" s="9">
        <f>SUM(Jul!D115, Aug!D115, Sep!D115)</f>
        <v>1770</v>
      </c>
      <c r="E115" s="14">
        <f>SUM(Jul!E115, Aug!E115, Sep!E115)</f>
        <v>1824.1030000000001</v>
      </c>
      <c r="F115" s="14">
        <f t="shared" si="3"/>
        <v>-54.103000000000065</v>
      </c>
      <c r="G115" s="15">
        <f t="shared" si="4"/>
        <v>-2.9660057573503287E-2</v>
      </c>
      <c r="H115" s="16">
        <f>SUM(Jul!H115,Aug!H115,Sep!H115)</f>
        <v>1843.51</v>
      </c>
      <c r="I115" s="16">
        <f>SUM(Jul!I115, Aug!I115, Sep!I115)</f>
        <v>-73.509999999999991</v>
      </c>
      <c r="J115" s="15">
        <f t="shared" si="5"/>
        <v>-3.9875021019685271E-2</v>
      </c>
    </row>
    <row r="116" spans="1:10" ht="15.6">
      <c r="A116" s="24" t="str">
        <v>Weinberg Commons #2</v>
      </c>
      <c r="B116" s="25" t="str">
        <v>DC</v>
      </c>
      <c r="C116" s="25" t="str">
        <f>Sites[[#This Row],[SOL'#]]</f>
        <v>SOL-10045</v>
      </c>
      <c r="D116" s="20">
        <f>SUM(Jul!D116, Aug!D116, Sep!D116)</f>
        <v>1604</v>
      </c>
      <c r="E116" s="10">
        <f>SUM(Jul!E116, Aug!E116, Sep!E116)</f>
        <v>1599.9059999999999</v>
      </c>
      <c r="F116" s="10">
        <f t="shared" si="3"/>
        <v>4.0940000000000509</v>
      </c>
      <c r="G116" s="11">
        <f t="shared" si="4"/>
        <v>2.5589003353947365E-3</v>
      </c>
      <c r="H116" s="12">
        <f>SUM(Jul!H116,Aug!H116,Sep!H116)</f>
        <v>1860.7560000000001</v>
      </c>
      <c r="I116" s="12">
        <f>SUM(Jul!I116, Aug!I116, Sep!I116)</f>
        <v>-256.75600000000009</v>
      </c>
      <c r="J116" s="13">
        <f t="shared" si="5"/>
        <v>-0.13798477608025989</v>
      </c>
    </row>
    <row r="117" spans="1:10" ht="15.6">
      <c r="A117" s="26" t="str">
        <v>Weinberg Commons #3</v>
      </c>
      <c r="B117" s="27" t="str">
        <v>DC</v>
      </c>
      <c r="C117" s="27" t="str">
        <f>Sites[[#This Row],[SOL'#]]</f>
        <v>SOL-10042</v>
      </c>
      <c r="D117" s="9">
        <f>SUM(Jul!D117, Aug!D117, Sep!D117)</f>
        <v>1948</v>
      </c>
      <c r="E117" s="14">
        <f>SUM(Jul!E117, Aug!E117, Sep!E117)</f>
        <v>1836.37</v>
      </c>
      <c r="F117" s="14">
        <f t="shared" si="3"/>
        <v>111.63000000000011</v>
      </c>
      <c r="G117" s="15">
        <f t="shared" si="4"/>
        <v>6.0788403208503795E-2</v>
      </c>
      <c r="H117" s="16">
        <f>SUM(Jul!H117,Aug!H117,Sep!H117)</f>
        <v>1942</v>
      </c>
      <c r="I117" s="16">
        <f>SUM(Jul!I117, Aug!I117, Sep!I117)</f>
        <v>6</v>
      </c>
      <c r="J117" s="15">
        <f t="shared" si="5"/>
        <v>3.089598352214212E-3</v>
      </c>
    </row>
    <row r="118" spans="1:10" ht="15.6">
      <c r="A118" s="24" t="str">
        <v>Clayton Hall</v>
      </c>
      <c r="B118" s="25" t="str">
        <v>DE</v>
      </c>
      <c r="C118" s="25" t="str">
        <f>Sites[[#This Row],[SOL'#]]</f>
        <v>SOL-10820</v>
      </c>
      <c r="D118" s="20">
        <f>SUM(Jul!D118, Aug!D118, Sep!D118)</f>
        <v>21726</v>
      </c>
      <c r="E118" s="10">
        <f>SUM(Jul!E118, Aug!E118, Sep!E118)</f>
        <v>23826.591</v>
      </c>
      <c r="F118" s="10">
        <f t="shared" si="3"/>
        <v>-2100.5910000000003</v>
      </c>
      <c r="G118" s="11">
        <f t="shared" si="4"/>
        <v>-8.8161625807065741E-2</v>
      </c>
      <c r="H118" s="12">
        <f>SUM(Jul!H118,Aug!H118,Sep!H118)</f>
        <v>20228.258000000002</v>
      </c>
      <c r="I118" s="12">
        <f>SUM(Jul!I118, Aug!I118, Sep!I118)</f>
        <v>1497.7419999999984</v>
      </c>
      <c r="J118" s="13">
        <f t="shared" si="5"/>
        <v>7.4042065312791561E-2</v>
      </c>
    </row>
    <row r="119" spans="1:10" ht="15.6">
      <c r="A119" s="26" t="str">
        <v>Field House</v>
      </c>
      <c r="B119" s="27" t="str">
        <v>DE</v>
      </c>
      <c r="C119" s="27" t="str">
        <f>Sites[[#This Row],[SOL'#]]</f>
        <v>SOL-10821</v>
      </c>
      <c r="D119" s="9">
        <f>SUM(Jul!D119, Aug!D119, Sep!D119)</f>
        <v>55764</v>
      </c>
      <c r="E119" s="14">
        <f>SUM(Jul!E119, Aug!E119, Sep!E119)</f>
        <v>0</v>
      </c>
      <c r="F119" s="14">
        <f t="shared" si="3"/>
        <v>55764</v>
      </c>
      <c r="G119" s="15" t="str">
        <f t="shared" si="4"/>
        <v/>
      </c>
      <c r="H119" s="16">
        <f>SUM(Jul!H119,Aug!H119,Sep!H119)</f>
        <v>49697</v>
      </c>
      <c r="I119" s="16">
        <f>SUM(Jul!I119, Aug!I119, Sep!I119)</f>
        <v>6067</v>
      </c>
      <c r="J119" s="15">
        <f t="shared" si="5"/>
        <v>0.12207980360987584</v>
      </c>
    </row>
    <row r="120" spans="1:10" ht="15.6">
      <c r="A120" s="24" t="str">
        <v>Wyoming Road</v>
      </c>
      <c r="B120" s="25" t="str">
        <v>DE</v>
      </c>
      <c r="C120" s="25" t="str">
        <f>Sites[[#This Row],[SOL'#]]</f>
        <v>SOL-10819</v>
      </c>
      <c r="D120" s="20">
        <f>SUM(Jul!D120, Aug!D120, Sep!D120)</f>
        <v>0</v>
      </c>
      <c r="E120" s="10">
        <f>SUM(Jul!E120, Aug!E120, Sep!E120)</f>
        <v>36216.917000000001</v>
      </c>
      <c r="F120" s="10">
        <f t="shared" si="3"/>
        <v>-36216.917000000001</v>
      </c>
      <c r="G120" s="11">
        <f t="shared" si="4"/>
        <v>-1</v>
      </c>
      <c r="H120" s="12">
        <f>SUM(Jul!H120,Aug!H120,Sep!H120)</f>
        <v>37582.678</v>
      </c>
      <c r="I120" s="12">
        <f>SUM(Jul!I120, Aug!I120, Sep!I120)</f>
        <v>-37582.678</v>
      </c>
      <c r="J120" s="13">
        <f t="shared" si="5"/>
        <v>-1</v>
      </c>
    </row>
    <row r="121" spans="1:10" ht="15.6">
      <c r="A121" s="26" t="str">
        <v>94-246 Leoku St. - PV Bldg E, F, G</v>
      </c>
      <c r="B121" s="27" t="str">
        <v>HI</v>
      </c>
      <c r="C121" s="27" t="str">
        <f>Sites[[#This Row],[SOL'#]]</f>
        <v>SOL-10071</v>
      </c>
      <c r="D121" s="9">
        <f>SUM(Jul!D121, Aug!D121, Sep!D121)</f>
        <v>10048</v>
      </c>
      <c r="E121" s="14">
        <f>SUM(Jul!E121, Aug!E121, Sep!E121)</f>
        <v>13191.17</v>
      </c>
      <c r="F121" s="14">
        <f t="shared" si="3"/>
        <v>-3143.17</v>
      </c>
      <c r="G121" s="15">
        <f t="shared" si="4"/>
        <v>-0.2382783331577108</v>
      </c>
      <c r="H121" s="16">
        <f>SUM(Jul!H121,Aug!H121,Sep!H121)</f>
        <v>13676.54</v>
      </c>
      <c r="I121" s="16">
        <f>SUM(Jul!I121, Aug!I121, Sep!I121)</f>
        <v>-3628.5400000000009</v>
      </c>
      <c r="J121" s="15">
        <f t="shared" si="5"/>
        <v>-0.26531125562459518</v>
      </c>
    </row>
    <row r="122" spans="1:10" ht="15.6">
      <c r="A122" s="24" t="str">
        <v>94-099 Waipahu St - PV</v>
      </c>
      <c r="B122" s="25" t="str">
        <v>HI</v>
      </c>
      <c r="C122" s="25" t="str">
        <f>Sites[[#This Row],[SOL'#]]</f>
        <v>SOL-10068</v>
      </c>
      <c r="D122" s="20">
        <f>SUM(Jul!D122, Aug!D122, Sep!D122)</f>
        <v>14836</v>
      </c>
      <c r="E122" s="10">
        <f>SUM(Jul!E122, Aug!E122, Sep!E122)</f>
        <v>11475.55</v>
      </c>
      <c r="F122" s="10">
        <f t="shared" si="3"/>
        <v>3360.4500000000007</v>
      </c>
      <c r="G122" s="11">
        <f t="shared" si="4"/>
        <v>0.29283563750757052</v>
      </c>
      <c r="H122" s="12">
        <f>SUM(Jul!H122,Aug!H122,Sep!H122)</f>
        <v>13669.23</v>
      </c>
      <c r="I122" s="12">
        <f>SUM(Jul!I122, Aug!I122, Sep!I122)</f>
        <v>1166.7700000000004</v>
      </c>
      <c r="J122" s="13">
        <f t="shared" si="5"/>
        <v>8.5357404916004812E-2</v>
      </c>
    </row>
    <row r="123" spans="1:10" ht="15.6">
      <c r="A123" s="26" t="str">
        <v>TES Bird in Hand</v>
      </c>
      <c r="B123" s="27" t="str">
        <v>MD</v>
      </c>
      <c r="C123" s="27" t="str">
        <f>Sites[[#This Row],[SOL'#]]</f>
        <v>SOL-10092</v>
      </c>
      <c r="D123" s="9">
        <f>SUM(Jul!D123, Aug!D123, Sep!D123)</f>
        <v>145779</v>
      </c>
      <c r="E123" s="14">
        <f>SUM(Jul!E123, Aug!E123, Sep!E123)</f>
        <v>144638.70000000001</v>
      </c>
      <c r="F123" s="14">
        <f t="shared" si="3"/>
        <v>1140.2999999999884</v>
      </c>
      <c r="G123" s="15">
        <f t="shared" si="4"/>
        <v>7.8837821412940535E-3</v>
      </c>
      <c r="H123" s="16">
        <f>SUM(Jul!H123,Aug!H123,Sep!H123)</f>
        <v>179658.6</v>
      </c>
      <c r="I123" s="16">
        <f>SUM(Jul!I123, Aug!I123, Sep!I123)</f>
        <v>-33879.600000000006</v>
      </c>
      <c r="J123" s="15">
        <f t="shared" si="5"/>
        <v>-0.18857766897882988</v>
      </c>
    </row>
    <row r="124" spans="1:10" ht="15.6">
      <c r="A124" s="24" t="str">
        <v>TES Shortal Solar LLC</v>
      </c>
      <c r="B124" s="25" t="str">
        <v>MD</v>
      </c>
      <c r="C124" s="25" t="str">
        <f>Sites[[#This Row],[SOL'#]]</f>
        <v>SOL-10091</v>
      </c>
      <c r="D124" s="20">
        <f>SUM(Jul!D124, Aug!D124, Sep!D124)</f>
        <v>188462</v>
      </c>
      <c r="E124" s="10">
        <f>SUM(Jul!E124, Aug!E124, Sep!E124)</f>
        <v>193996.5</v>
      </c>
      <c r="F124" s="10">
        <f t="shared" si="3"/>
        <v>-5534.5</v>
      </c>
      <c r="G124" s="11">
        <f t="shared" si="4"/>
        <v>-2.8528865211485774E-2</v>
      </c>
      <c r="H124" s="12">
        <f>SUM(Jul!H124,Aug!H124,Sep!H124)</f>
        <v>158875.9</v>
      </c>
      <c r="I124" s="12">
        <f>SUM(Jul!I124, Aug!I124, Sep!I124)</f>
        <v>29586.100000000006</v>
      </c>
      <c r="J124" s="13">
        <f t="shared" si="5"/>
        <v>0.18622144705395852</v>
      </c>
    </row>
    <row r="125" spans="1:10" ht="15.6">
      <c r="A125" s="26" t="str">
        <v>Coca Cola Aguadilla</v>
      </c>
      <c r="B125" s="27" t="str">
        <v>PR</v>
      </c>
      <c r="C125" s="27" t="str">
        <f>Sites[[#This Row],[SOL'#]]</f>
        <v>SOL-10072</v>
      </c>
      <c r="D125" s="9">
        <f>SUM(Jul!D125, Aug!D125, Sep!D125)</f>
        <v>15714</v>
      </c>
      <c r="E125" s="14">
        <f>SUM(Jul!E125, Aug!E125, Sep!E125)</f>
        <v>20085.89</v>
      </c>
      <c r="F125" s="14">
        <f t="shared" si="3"/>
        <v>-4371.8899999999994</v>
      </c>
      <c r="G125" s="15">
        <f t="shared" si="4"/>
        <v>-0.21765976015999289</v>
      </c>
      <c r="H125" s="16">
        <f>SUM(Jul!H125,Aug!H125,Sep!H125)</f>
        <v>23213</v>
      </c>
      <c r="I125" s="16">
        <f>SUM(Jul!I125, Aug!I125, Sep!I125)</f>
        <v>-7499</v>
      </c>
      <c r="J125" s="15">
        <f t="shared" si="5"/>
        <v>-0.32305173825011846</v>
      </c>
    </row>
    <row r="126" spans="1:10" ht="15.6">
      <c r="A126" s="24" t="str">
        <v>Coca Cola Bayamon</v>
      </c>
      <c r="B126" s="25" t="str">
        <v>PR</v>
      </c>
      <c r="C126" s="25" t="str">
        <f>Sites[[#This Row],[SOL'#]]</f>
        <v>SOL-10073</v>
      </c>
      <c r="D126" s="20">
        <f>SUM(Jul!D126, Aug!D126, Sep!D126)</f>
        <v>53577</v>
      </c>
      <c r="E126" s="10">
        <f>SUM(Jul!E126, Aug!E126, Sep!E126)</f>
        <v>82116.61</v>
      </c>
      <c r="F126" s="10">
        <f t="shared" si="3"/>
        <v>-28539.61</v>
      </c>
      <c r="G126" s="11">
        <f t="shared" si="4"/>
        <v>-0.34754978316810692</v>
      </c>
      <c r="H126" s="12">
        <f>SUM(Jul!H126,Aug!H126,Sep!H126)</f>
        <v>86974</v>
      </c>
      <c r="I126" s="12">
        <f>SUM(Jul!I126, Aug!I126, Sep!I126)</f>
        <v>-33397</v>
      </c>
      <c r="J126" s="13">
        <f t="shared" si="5"/>
        <v>-0.38398831834801206</v>
      </c>
    </row>
    <row r="127" spans="1:10" ht="15.6">
      <c r="A127" s="26" t="str">
        <v>St Francis School</v>
      </c>
      <c r="B127" s="27" t="str">
        <v>PR</v>
      </c>
      <c r="C127" s="27" t="str">
        <f>Sites[[#This Row],[SOL'#]]</f>
        <v>SOL-10034</v>
      </c>
      <c r="D127" s="9">
        <f>SUM(Jul!D127, Aug!D127, Sep!D127)</f>
        <v>18667</v>
      </c>
      <c r="E127" s="14">
        <f>SUM(Jul!E127, Aug!E127, Sep!E127)</f>
        <v>64278.93</v>
      </c>
      <c r="F127" s="14">
        <f t="shared" si="3"/>
        <v>-45611.93</v>
      </c>
      <c r="G127" s="15">
        <f t="shared" si="4"/>
        <v>-0.70959379690981161</v>
      </c>
      <c r="H127" s="16">
        <f>SUM(Jul!H127,Aug!H127,Sep!H127)</f>
        <v>44155</v>
      </c>
      <c r="I127" s="16">
        <f>SUM(Jul!I127, Aug!I127, Sep!I127)</f>
        <v>-25488</v>
      </c>
      <c r="J127" s="15">
        <f t="shared" si="5"/>
        <v>-0.57723927075076431</v>
      </c>
    </row>
    <row r="128" spans="1:10" ht="15.6">
      <c r="A128" s="24" t="str">
        <v>645 Summer Street - (Seaport Solar)</v>
      </c>
      <c r="B128" s="25" t="str">
        <v>MA</v>
      </c>
      <c r="C128" s="25" t="str">
        <f>Sites[[#This Row],[SOL'#]]</f>
        <v>SOL-10772</v>
      </c>
      <c r="D128" s="20">
        <f>SUM(Jul!D128, Aug!D128, Sep!D128)</f>
        <v>85397.5</v>
      </c>
      <c r="E128" s="10">
        <f>SUM(Jul!E128, Aug!E128, Sep!E128)</f>
        <v>14365.66</v>
      </c>
      <c r="F128" s="10">
        <f t="shared" si="3"/>
        <v>71031.839999999997</v>
      </c>
      <c r="G128" s="11">
        <f t="shared" si="4"/>
        <v>4.94455806416134</v>
      </c>
      <c r="H128" s="12">
        <f>SUM(Jul!H128,Aug!H128,Sep!H128)</f>
        <v>86009.04</v>
      </c>
      <c r="I128" s="12">
        <f>SUM(Jul!I128, Aug!I128, Sep!I128)</f>
        <v>-611.5399999999936</v>
      </c>
      <c r="J128" s="13">
        <f t="shared" si="5"/>
        <v>-7.1101828365947774E-3</v>
      </c>
    </row>
    <row r="129" spans="1:10" ht="15.6">
      <c r="A129" s="26" t="str">
        <v>480 Sprague St</v>
      </c>
      <c r="B129" s="27" t="str">
        <v>MA</v>
      </c>
      <c r="C129" s="27" t="str">
        <f>Sites[[#This Row],[SOL'#]]</f>
        <v>SOL-10773</v>
      </c>
      <c r="D129" s="9">
        <f>SUM(Jul!D129, Aug!D129, Sep!D129)</f>
        <v>185825</v>
      </c>
      <c r="E129" s="14">
        <f>SUM(Jul!E129, Aug!E129, Sep!E129)</f>
        <v>0</v>
      </c>
      <c r="F129" s="14">
        <f t="shared" si="3"/>
        <v>185825</v>
      </c>
      <c r="G129" s="15" t="str">
        <f t="shared" si="4"/>
        <v/>
      </c>
      <c r="H129" s="16">
        <f>SUM(Jul!H129,Aug!H129,Sep!H129)</f>
        <v>193250.7</v>
      </c>
      <c r="I129" s="16">
        <f>SUM(Jul!I129, Aug!I129, Sep!I129)</f>
        <v>-7425.7000000000116</v>
      </c>
      <c r="J129" s="15">
        <f t="shared" si="5"/>
        <v>-3.8425216571013769E-2</v>
      </c>
    </row>
    <row r="130" spans="1:10" ht="15.6">
      <c r="A130" s="24" t="str">
        <v>647 Summer Street - (Summer Street Solar)</v>
      </c>
      <c r="B130" s="25" t="str">
        <v>MA</v>
      </c>
      <c r="C130" s="25" t="str">
        <f>Sites[[#This Row],[SOL'#]]</f>
        <v>SOL-10764</v>
      </c>
      <c r="D130" s="20">
        <f>SUM(Jul!D130, Aug!D130, Sep!D130)</f>
        <v>0</v>
      </c>
      <c r="E130" s="10">
        <f>SUM(Jul!E130, Aug!E130, Sep!E130)</f>
        <v>64247.81</v>
      </c>
      <c r="F130" s="10">
        <f t="shared" si="3"/>
        <v>-64247.81</v>
      </c>
      <c r="G130" s="11">
        <f t="shared" si="4"/>
        <v>-1</v>
      </c>
      <c r="H130" s="12">
        <f>SUM(Jul!H130,Aug!H130,Sep!H130)</f>
        <v>409224.3</v>
      </c>
      <c r="I130" s="12">
        <f>SUM(Jul!I130, Aug!I130, Sep!I130)</f>
        <v>-409224.3</v>
      </c>
      <c r="J130" s="13">
        <f t="shared" si="5"/>
        <v>-1</v>
      </c>
    </row>
    <row r="131" spans="1:10" ht="15.6">
      <c r="A131" s="26" t="str">
        <v>Rochester Technical School (Wakefield Street)</v>
      </c>
      <c r="B131" s="27" t="str">
        <v>NH</v>
      </c>
      <c r="C131" s="27" t="str">
        <f>Sites[[#This Row],[SOL'#]]</f>
        <v>SOL-10768</v>
      </c>
      <c r="D131" s="9">
        <f>SUM(Jul!D131, Aug!D131, Sep!D131)</f>
        <v>17978.129069999999</v>
      </c>
      <c r="E131" s="14">
        <f>SUM(Jul!E131, Aug!E131, Sep!E131)</f>
        <v>17518.419999999998</v>
      </c>
      <c r="F131" s="14">
        <f t="shared" si="3"/>
        <v>459.70907000000079</v>
      </c>
      <c r="G131" s="15">
        <f t="shared" si="4"/>
        <v>2.6241468694094605E-2</v>
      </c>
      <c r="H131" s="16">
        <f>SUM(Jul!H131,Aug!H131,Sep!H131)</f>
        <v>13220.3</v>
      </c>
      <c r="I131" s="16">
        <f>SUM(Jul!I131, Aug!I131, Sep!I131)</f>
        <v>4757.8290699999998</v>
      </c>
      <c r="J131" s="15">
        <f t="shared" si="5"/>
        <v>0.35988813188808122</v>
      </c>
    </row>
    <row r="132" spans="1:10" ht="15.6">
      <c r="A132" s="24" t="str">
        <v>McClelland ES</v>
      </c>
      <c r="B132" s="25" t="str">
        <v>NH</v>
      </c>
      <c r="C132" s="25" t="str">
        <f>Sites[[#This Row],[SOL'#]]</f>
        <v>SOL-10766</v>
      </c>
      <c r="D132" s="20">
        <f>SUM(Jul!D132, Aug!D132, Sep!D132)</f>
        <v>13246.875</v>
      </c>
      <c r="E132" s="10">
        <f>SUM(Jul!E132, Aug!E132, Sep!E132)</f>
        <v>13989</v>
      </c>
      <c r="F132" s="10">
        <f t="shared" si="3"/>
        <v>-742.125</v>
      </c>
      <c r="G132" s="11">
        <f t="shared" si="4"/>
        <v>-5.3050611194509975E-2</v>
      </c>
      <c r="H132" s="12">
        <f>SUM(Jul!H132,Aug!H132,Sep!H132)</f>
        <v>9803.6689999999999</v>
      </c>
      <c r="I132" s="12">
        <f>SUM(Jul!I132, Aug!I132, Sep!I132)</f>
        <v>3443.2060000000001</v>
      </c>
      <c r="J132" s="13">
        <f t="shared" si="5"/>
        <v>0.35121606002813849</v>
      </c>
    </row>
    <row r="133" spans="1:10" ht="15.6">
      <c r="A133" s="26" t="str">
        <v>Portland St</v>
      </c>
      <c r="B133" s="27" t="str">
        <v>NH</v>
      </c>
      <c r="C133" s="27" t="str">
        <f>Sites[[#This Row],[SOL'#]]</f>
        <v>SOL-10771</v>
      </c>
      <c r="D133" s="9">
        <f>SUM(Jul!D133, Aug!D133, Sep!D133)</f>
        <v>11535.627</v>
      </c>
      <c r="E133" s="14">
        <f>SUM(Jul!E133, Aug!E133, Sep!E133)</f>
        <v>8215.9359999999997</v>
      </c>
      <c r="F133" s="14">
        <f t="shared" ref="F133:F196" si="6">IF(AND(ISNUMBER(D133),ISNUMBER(E133)), D133-E133, "")</f>
        <v>3319.6910000000007</v>
      </c>
      <c r="G133" s="15">
        <f t="shared" si="4"/>
        <v>0.40405511922196091</v>
      </c>
      <c r="H133" s="16">
        <f>SUM(Jul!H133,Aug!H133,Sep!H133)</f>
        <v>9368.7739999999994</v>
      </c>
      <c r="I133" s="16">
        <f>SUM(Jul!I133, Aug!I133, Sep!I133)</f>
        <v>2166.853000000001</v>
      </c>
      <c r="J133" s="15">
        <f t="shared" si="5"/>
        <v>0.2312845843009983</v>
      </c>
    </row>
    <row r="134" spans="1:10" ht="15.6">
      <c r="A134" s="24" t="str">
        <v>Freshet Road -PHS</v>
      </c>
      <c r="B134" s="25" t="str">
        <v>NH</v>
      </c>
      <c r="C134" s="25" t="str">
        <f>Sites[[#This Row],[SOL'#]]</f>
        <v>SOL-10769</v>
      </c>
      <c r="D134" s="20">
        <f>SUM(Jul!D134, Aug!D134, Sep!D134)</f>
        <v>44411.625</v>
      </c>
      <c r="E134" s="10">
        <f>SUM(Jul!E134, Aug!E134, Sep!E134)</f>
        <v>0</v>
      </c>
      <c r="F134" s="10">
        <f t="shared" si="6"/>
        <v>44411.625</v>
      </c>
      <c r="G134" s="11" t="str">
        <f t="shared" ref="G134:G197" si="7">IFERROR(F134/E134, "")</f>
        <v/>
      </c>
      <c r="H134" s="12">
        <f>SUM(Jul!H134,Aug!H134,Sep!H134)</f>
        <v>35518.29</v>
      </c>
      <c r="I134" s="12">
        <f>SUM(Jul!I134, Aug!I134, Sep!I134)</f>
        <v>8893.3349999999991</v>
      </c>
      <c r="J134" s="13">
        <f t="shared" ref="J134:J197" si="8">IFERROR(I134/H134, "")</f>
        <v>0.25038747642411835</v>
      </c>
    </row>
    <row r="135" spans="1:10" ht="15.6">
      <c r="A135" s="26" t="str">
        <v>Freshet Road - PWTP</v>
      </c>
      <c r="B135" s="27" t="str">
        <v>NH</v>
      </c>
      <c r="C135" s="27" t="str">
        <f>Sites[[#This Row],[SOL'#]]</f>
        <v>SOL-10770</v>
      </c>
      <c r="D135" s="9">
        <f>SUM(Jul!D135, Aug!D135, Sep!D135)</f>
        <v>0</v>
      </c>
      <c r="E135" s="14">
        <f>SUM(Jul!E135, Aug!E135, Sep!E135)</f>
        <v>0</v>
      </c>
      <c r="F135" s="14">
        <f t="shared" si="6"/>
        <v>0</v>
      </c>
      <c r="G135" s="15" t="str">
        <f t="shared" si="7"/>
        <v/>
      </c>
      <c r="H135" s="16">
        <f>SUM(Jul!H135,Aug!H135,Sep!H135)</f>
        <v>0</v>
      </c>
      <c r="I135" s="16">
        <f>SUM(Jul!I135, Aug!I135, Sep!I135)</f>
        <v>0</v>
      </c>
      <c r="J135" s="15" t="str">
        <f t="shared" si="8"/>
        <v/>
      </c>
    </row>
    <row r="136" spans="1:10" ht="15.6">
      <c r="A136" s="24" t="str">
        <v>Rochester Middle School (Brock Street)</v>
      </c>
      <c r="B136" s="25" t="str">
        <v>NH</v>
      </c>
      <c r="C136" s="25" t="str">
        <f>Sites[[#This Row],[SOL'#]]</f>
        <v>SOL-10765</v>
      </c>
      <c r="D136" s="20">
        <f>SUM(Jul!D136, Aug!D136, Sep!D136)</f>
        <v>38047.617380000003</v>
      </c>
      <c r="E136" s="10">
        <f>SUM(Jul!E136, Aug!E136, Sep!E136)</f>
        <v>40396.32</v>
      </c>
      <c r="F136" s="10">
        <f t="shared" si="6"/>
        <v>-2348.7026199999964</v>
      </c>
      <c r="G136" s="11">
        <f t="shared" si="7"/>
        <v>-5.8141499522728714E-2</v>
      </c>
      <c r="H136" s="12">
        <f>SUM(Jul!H136,Aug!H136,Sep!H136)</f>
        <v>30355.119999999999</v>
      </c>
      <c r="I136" s="12">
        <f>SUM(Jul!I136, Aug!I136, Sep!I136)</f>
        <v>7692.4973800000043</v>
      </c>
      <c r="J136" s="13">
        <f t="shared" si="8"/>
        <v>0.25341680019713331</v>
      </c>
    </row>
    <row r="137" spans="1:10" ht="15.6">
      <c r="A137" s="26" t="str">
        <v>Spaulding High School (Wakefield Street)</v>
      </c>
      <c r="B137" s="27" t="str">
        <v>NH</v>
      </c>
      <c r="C137" s="27" t="str">
        <f>Sites[[#This Row],[SOL'#]]</f>
        <v>SOL-10767</v>
      </c>
      <c r="D137" s="9">
        <f>SUM(Jul!D137, Aug!D137, Sep!D137)</f>
        <v>17978.129069999999</v>
      </c>
      <c r="E137" s="14">
        <f>SUM(Jul!E137, Aug!E137, Sep!E137)</f>
        <v>17518.419999999998</v>
      </c>
      <c r="F137" s="14">
        <f t="shared" si="6"/>
        <v>459.70907000000079</v>
      </c>
      <c r="G137" s="15">
        <f t="shared" si="7"/>
        <v>2.6241468694094605E-2</v>
      </c>
      <c r="H137" s="16">
        <f>SUM(Jul!H137,Aug!H137,Sep!H137)</f>
        <v>13220.3</v>
      </c>
      <c r="I137" s="16">
        <f>SUM(Jul!I137, Aug!I137, Sep!I137)</f>
        <v>4757.8290699999998</v>
      </c>
      <c r="J137" s="15">
        <f t="shared" si="8"/>
        <v>0.35988813188808122</v>
      </c>
    </row>
    <row r="138" spans="1:10" ht="15.6">
      <c r="A138" s="24" t="str">
        <v>Ridgeway #2</v>
      </c>
      <c r="B138" s="25" t="str">
        <v>NY</v>
      </c>
      <c r="C138" s="25" t="str">
        <f>Sites[[#This Row],[SOL'#]]</f>
        <v>SOL-11027</v>
      </c>
      <c r="D138" s="20">
        <f>SUM(Jul!D138, Aug!D138, Sep!D138)</f>
        <v>729749</v>
      </c>
      <c r="E138" s="10">
        <f>SUM(Jul!E138, Aug!E138, Sep!E138)</f>
        <v>727161</v>
      </c>
      <c r="F138" s="10">
        <f t="shared" si="6"/>
        <v>2588</v>
      </c>
      <c r="G138" s="11">
        <f t="shared" si="7"/>
        <v>3.5590467585582836E-3</v>
      </c>
      <c r="H138" s="12">
        <f>SUM(Jul!H138,Aug!H138,Sep!H138)</f>
        <v>682250.39</v>
      </c>
      <c r="I138" s="12">
        <f>SUM(Jul!I138, Aug!I138, Sep!I138)</f>
        <v>47498.609999999986</v>
      </c>
      <c r="J138" s="13">
        <f t="shared" si="8"/>
        <v>6.9620495196785426E-2</v>
      </c>
    </row>
    <row r="139" spans="1:10" ht="15.6">
      <c r="A139" s="26" t="str">
        <v>Spencer</v>
      </c>
      <c r="B139" s="27" t="str">
        <v>NY</v>
      </c>
      <c r="C139" s="27" t="str">
        <f>Sites[[#This Row],[SOL'#]]</f>
        <v>SOL-11017</v>
      </c>
      <c r="D139" s="9">
        <f>SUM(Jul!D139, Aug!D139, Sep!D139)</f>
        <v>1365998</v>
      </c>
      <c r="E139" s="14">
        <f>SUM(Jul!E139, Aug!E139, Sep!E139)</f>
        <v>1361782</v>
      </c>
      <c r="F139" s="14">
        <f t="shared" si="6"/>
        <v>4216</v>
      </c>
      <c r="G139" s="15">
        <f t="shared" si="7"/>
        <v>3.0959434035697344E-3</v>
      </c>
      <c r="H139" s="16">
        <f>SUM(Jul!H139,Aug!H139,Sep!H139)</f>
        <v>1303450</v>
      </c>
      <c r="I139" s="16">
        <f>SUM(Jul!I139, Aug!I139, Sep!I139)</f>
        <v>62548</v>
      </c>
      <c r="J139" s="15">
        <f t="shared" si="8"/>
        <v>4.7986497372357974E-2</v>
      </c>
    </row>
    <row r="140" spans="1:10" ht="15.6">
      <c r="A140" s="24" t="str">
        <v>Reisender</v>
      </c>
      <c r="B140" s="25" t="str">
        <v>NY</v>
      </c>
      <c r="C140" s="25" t="str">
        <f>Sites[[#This Row],[SOL'#]]</f>
        <v>SOL-10886</v>
      </c>
      <c r="D140" s="20">
        <f>SUM(Jul!D140, Aug!D140, Sep!D140)</f>
        <v>383420</v>
      </c>
      <c r="E140" s="10">
        <f>SUM(Jul!E140, Aug!E140, Sep!E140)</f>
        <v>391343</v>
      </c>
      <c r="F140" s="10">
        <f t="shared" si="6"/>
        <v>-7923</v>
      </c>
      <c r="G140" s="11">
        <f t="shared" si="7"/>
        <v>-2.0245666844686119E-2</v>
      </c>
      <c r="H140" s="12">
        <f>SUM(Jul!H140,Aug!H140,Sep!H140)</f>
        <v>415133.27</v>
      </c>
      <c r="I140" s="12">
        <f>SUM(Jul!I140, Aug!I140, Sep!I140)</f>
        <v>-31713.270000000019</v>
      </c>
      <c r="J140" s="13">
        <f t="shared" si="8"/>
        <v>-7.6392985799475954E-2</v>
      </c>
    </row>
    <row r="141" spans="1:10" ht="15.6">
      <c r="A141" s="26" t="str">
        <v>Finney</v>
      </c>
      <c r="B141" s="27" t="str">
        <v>NY</v>
      </c>
      <c r="C141" s="27" t="str">
        <f>Sites[[#This Row],[SOL'#]]</f>
        <v>SOL-10999</v>
      </c>
      <c r="D141" s="9">
        <f>SUM(Jul!D141, Aug!D141, Sep!D141)</f>
        <v>996120</v>
      </c>
      <c r="E141" s="14">
        <f>SUM(Jul!E141, Aug!E141, Sep!E141)</f>
        <v>994390</v>
      </c>
      <c r="F141" s="14">
        <f t="shared" si="6"/>
        <v>1730</v>
      </c>
      <c r="G141" s="15">
        <f t="shared" si="7"/>
        <v>1.7397600539023924E-3</v>
      </c>
      <c r="H141" s="16">
        <f>SUM(Jul!H141,Aug!H141,Sep!H141)</f>
        <v>1313701.1499999999</v>
      </c>
      <c r="I141" s="16">
        <f>SUM(Jul!I141, Aug!I141, Sep!I141)</f>
        <v>-317581.14999999991</v>
      </c>
      <c r="J141" s="15">
        <f t="shared" si="8"/>
        <v>-0.24174535433724781</v>
      </c>
    </row>
    <row r="142" spans="1:10" ht="15.6">
      <c r="A142" s="24" t="str">
        <v>Davis Solar</v>
      </c>
      <c r="B142" s="25" t="str">
        <v>NY</v>
      </c>
      <c r="C142" s="25" t="str">
        <f>Sites[[#This Row],[SOL'#]]</f>
        <v>SOL-10958</v>
      </c>
      <c r="D142" s="20">
        <f>SUM(Jul!D142, Aug!D142, Sep!D142)</f>
        <v>392668</v>
      </c>
      <c r="E142" s="10">
        <f>SUM(Jul!E142, Aug!E142, Sep!E142)</f>
        <v>443281.7</v>
      </c>
      <c r="F142" s="10">
        <f t="shared" si="6"/>
        <v>-50613.700000000012</v>
      </c>
      <c r="G142" s="11">
        <f t="shared" si="7"/>
        <v>-0.11417953865453956</v>
      </c>
      <c r="H142" s="12">
        <f>SUM(Jul!H142,Aug!H142,Sep!H142)</f>
        <v>479574</v>
      </c>
      <c r="I142" s="12">
        <f>SUM(Jul!I142, Aug!I142, Sep!I142)</f>
        <v>-86906</v>
      </c>
      <c r="J142" s="13">
        <f t="shared" si="8"/>
        <v>-0.18121499497470672</v>
      </c>
    </row>
    <row r="143" spans="1:10" ht="15.6">
      <c r="A143" s="26" t="str">
        <v>Genesee</v>
      </c>
      <c r="B143" s="27" t="str">
        <v>NY</v>
      </c>
      <c r="C143" s="27" t="str">
        <f>Sites[[#This Row],[SOL'#]]</f>
        <v>SOL-10951</v>
      </c>
      <c r="D143" s="9">
        <f>SUM(Jul!D143, Aug!D143, Sep!D143)</f>
        <v>1001760.5</v>
      </c>
      <c r="E143" s="14">
        <f>SUM(Jul!E143, Aug!E143, Sep!E143)</f>
        <v>1000080.71</v>
      </c>
      <c r="F143" s="14">
        <f t="shared" si="6"/>
        <v>1679.7900000000373</v>
      </c>
      <c r="G143" s="15">
        <f t="shared" si="7"/>
        <v>1.6796544350905812E-3</v>
      </c>
      <c r="H143" s="16">
        <f>SUM(Jul!H143,Aug!H143,Sep!H143)</f>
        <v>1013360.34</v>
      </c>
      <c r="I143" s="16">
        <f>SUM(Jul!I143, Aug!I143, Sep!I143)</f>
        <v>-11599.839999999967</v>
      </c>
      <c r="J143" s="15">
        <f t="shared" si="8"/>
        <v>-1.1446905451223765E-2</v>
      </c>
    </row>
    <row r="144" spans="1:10" ht="15.6">
      <c r="A144" s="24" t="str">
        <v>Landau I</v>
      </c>
      <c r="B144" s="25" t="str">
        <v>NY</v>
      </c>
      <c r="C144" s="25" t="str">
        <f>Sites[[#This Row],[SOL'#]]</f>
        <v>SOL-10891</v>
      </c>
      <c r="D144" s="20">
        <f>SUM(Jul!D144, Aug!D144, Sep!D144)</f>
        <v>429340</v>
      </c>
      <c r="E144" s="10">
        <f>SUM(Jul!E144, Aug!E144, Sep!E144)</f>
        <v>0</v>
      </c>
      <c r="F144" s="10">
        <f t="shared" si="6"/>
        <v>429340</v>
      </c>
      <c r="G144" s="11" t="str">
        <f t="shared" si="7"/>
        <v/>
      </c>
      <c r="H144" s="12">
        <f>SUM(Jul!H144,Aug!H144,Sep!H144)</f>
        <v>448929.38</v>
      </c>
      <c r="I144" s="12">
        <f>SUM(Jul!I144, Aug!I144, Sep!I144)</f>
        <v>-19589.380000000005</v>
      </c>
      <c r="J144" s="13">
        <f t="shared" si="8"/>
        <v>-4.3635771844560509E-2</v>
      </c>
    </row>
    <row r="145" spans="1:10" ht="15.6">
      <c r="A145" s="26" t="str">
        <v>Landau II</v>
      </c>
      <c r="B145" s="27" t="str">
        <v>NY</v>
      </c>
      <c r="C145" s="27" t="str">
        <f>Sites[[#This Row],[SOL'#]]</f>
        <v>SOL-10895</v>
      </c>
      <c r="D145" s="9">
        <f>SUM(Jul!D145, Aug!D145, Sep!D145)</f>
        <v>374100</v>
      </c>
      <c r="E145" s="14">
        <f>SUM(Jul!E145, Aug!E145, Sep!E145)</f>
        <v>0</v>
      </c>
      <c r="F145" s="14">
        <f t="shared" si="6"/>
        <v>374100</v>
      </c>
      <c r="G145" s="15" t="str">
        <f t="shared" si="7"/>
        <v/>
      </c>
      <c r="H145" s="16">
        <f>SUM(Jul!H145,Aug!H145,Sep!H145)</f>
        <v>0</v>
      </c>
      <c r="I145" s="16">
        <f>SUM(Jul!I145, Aug!I145, Sep!I145)</f>
        <v>0</v>
      </c>
      <c r="J145" s="15" t="str">
        <f t="shared" si="8"/>
        <v/>
      </c>
    </row>
    <row r="146" spans="1:10" ht="15.6">
      <c r="A146" s="24" t="str">
        <v>New Beginnings</v>
      </c>
      <c r="B146" s="25" t="str">
        <v>NY</v>
      </c>
      <c r="C146" s="25" t="str">
        <f>Sites[[#This Row],[SOL'#]]</f>
        <v>SOL-10890</v>
      </c>
      <c r="D146" s="20">
        <f>SUM(Jul!D146, Aug!D146, Sep!D146)</f>
        <v>420830</v>
      </c>
      <c r="E146" s="10">
        <f>SUM(Jul!E146, Aug!E146, Sep!E146)</f>
        <v>435980.89</v>
      </c>
      <c r="F146" s="10">
        <f t="shared" si="6"/>
        <v>-15150.890000000014</v>
      </c>
      <c r="G146" s="11">
        <f t="shared" si="7"/>
        <v>-3.4751270864188596E-2</v>
      </c>
      <c r="H146" s="12">
        <f>SUM(Jul!H146,Aug!H146,Sep!H146)</f>
        <v>430014.12</v>
      </c>
      <c r="I146" s="12">
        <f>SUM(Jul!I146, Aug!I146, Sep!I146)</f>
        <v>-9184.1199999999953</v>
      </c>
      <c r="J146" s="13">
        <f t="shared" si="8"/>
        <v>-2.1357717276818712E-2</v>
      </c>
    </row>
    <row r="147" spans="1:10" ht="15.6">
      <c r="A147" s="26" t="str">
        <v>Bullitt Farm Solar, LLC</v>
      </c>
      <c r="B147" s="27" t="str">
        <v>NY</v>
      </c>
      <c r="C147" s="27" t="str">
        <f>Sites[[#This Row],[SOL'#]]</f>
        <v>SOL-10998</v>
      </c>
      <c r="D147" s="9">
        <f>SUM(Jul!D147, Aug!D147, Sep!D147)</f>
        <v>1262399</v>
      </c>
      <c r="E147" s="14">
        <f>SUM(Jul!E147, Aug!E147, Sep!E147)</f>
        <v>1316479</v>
      </c>
      <c r="F147" s="14">
        <f t="shared" si="6"/>
        <v>-54080</v>
      </c>
      <c r="G147" s="15">
        <f t="shared" si="7"/>
        <v>-4.107927281787252E-2</v>
      </c>
      <c r="H147" s="16">
        <f>SUM(Jul!H147,Aug!H147,Sep!H147)</f>
        <v>1265415</v>
      </c>
      <c r="I147" s="16">
        <f>SUM(Jul!I147, Aug!I147, Sep!I147)</f>
        <v>-3016</v>
      </c>
      <c r="J147" s="15">
        <f t="shared" si="8"/>
        <v>-2.3834078148275467E-3</v>
      </c>
    </row>
    <row r="148" spans="1:10" ht="15.6">
      <c r="A148" s="24" t="str">
        <v>Brodhead Solar, LLC</v>
      </c>
      <c r="B148" s="25" t="str">
        <v>NY</v>
      </c>
      <c r="C148" s="25" t="str">
        <f>Sites[[#This Row],[SOL'#]]</f>
        <v>SOL-10899</v>
      </c>
      <c r="D148" s="20">
        <f>SUM(Jul!D148, Aug!D148, Sep!D148)</f>
        <v>450232</v>
      </c>
      <c r="E148" s="10">
        <f>SUM(Jul!E148, Aug!E148, Sep!E148)</f>
        <v>464945.2</v>
      </c>
      <c r="F148" s="10">
        <f t="shared" si="6"/>
        <v>-14713.200000000012</v>
      </c>
      <c r="G148" s="11">
        <f t="shared" si="7"/>
        <v>-3.1645019671135463E-2</v>
      </c>
      <c r="H148" s="12">
        <f>SUM(Jul!H148,Aug!H148,Sep!H148)</f>
        <v>543814.19999999995</v>
      </c>
      <c r="I148" s="12">
        <f>SUM(Jul!I148, Aug!I148, Sep!I148)</f>
        <v>-93582.199999999953</v>
      </c>
      <c r="J148" s="13">
        <f t="shared" si="8"/>
        <v>-0.17208487751882898</v>
      </c>
    </row>
    <row r="149" spans="1:10" ht="15.6">
      <c r="A149" s="26" t="str">
        <v>Svenski</v>
      </c>
      <c r="B149" s="27" t="str">
        <v>NY</v>
      </c>
      <c r="C149" s="27" t="str">
        <f>Sites[[#This Row],[SOL'#]]</f>
        <v>SOL-10894</v>
      </c>
      <c r="D149" s="9">
        <f>SUM(Jul!D149, Aug!D149, Sep!D149)</f>
        <v>406997</v>
      </c>
      <c r="E149" s="14">
        <f>SUM(Jul!E149, Aug!E149, Sep!E149)</f>
        <v>0</v>
      </c>
      <c r="F149" s="14">
        <f t="shared" si="6"/>
        <v>406997</v>
      </c>
      <c r="G149" s="15" t="str">
        <f t="shared" si="7"/>
        <v/>
      </c>
      <c r="H149" s="16">
        <f>SUM(Jul!H149,Aug!H149,Sep!H149)</f>
        <v>455483.42</v>
      </c>
      <c r="I149" s="16">
        <f>SUM(Jul!I149, Aug!I149, Sep!I149)</f>
        <v>-48486.419999999984</v>
      </c>
      <c r="J149" s="15">
        <f t="shared" si="8"/>
        <v>-0.10645046091908238</v>
      </c>
    </row>
    <row r="150" spans="1:10" ht="15.6">
      <c r="A150" s="24" t="str">
        <v>Bantam</v>
      </c>
      <c r="B150" s="25" t="str">
        <v>NY</v>
      </c>
      <c r="C150" s="25" t="str">
        <f>Sites[[#This Row],[SOL'#]]</f>
        <v>SOL-10986</v>
      </c>
      <c r="D150" s="20">
        <f>SUM(Jul!D150, Aug!D150, Sep!D150)</f>
        <v>109500</v>
      </c>
      <c r="E150" s="10">
        <f>SUM(Jul!E150, Aug!E150, Sep!E150)</f>
        <v>418980</v>
      </c>
      <c r="F150" s="10">
        <f t="shared" si="6"/>
        <v>-309480</v>
      </c>
      <c r="G150" s="11">
        <f t="shared" si="7"/>
        <v>-0.73865100959473007</v>
      </c>
      <c r="H150" s="12">
        <f>SUM(Jul!H150,Aug!H150,Sep!H150)</f>
        <v>1295680.06</v>
      </c>
      <c r="I150" s="12">
        <f>SUM(Jul!I150, Aug!I150, Sep!I150)</f>
        <v>-1186180.06</v>
      </c>
      <c r="J150" s="13">
        <f t="shared" si="8"/>
        <v>-0.91548839610914445</v>
      </c>
    </row>
    <row r="151" spans="1:10" ht="15.6">
      <c r="A151" s="26" t="str">
        <v>Bogart</v>
      </c>
      <c r="B151" s="27" t="str">
        <v>NY</v>
      </c>
      <c r="C151" s="27" t="str">
        <f>Sites[[#This Row],[SOL'#]]</f>
        <v>SOL-10887</v>
      </c>
      <c r="D151" s="9">
        <f>SUM(Jul!D151, Aug!D151, Sep!D151)</f>
        <v>0</v>
      </c>
      <c r="E151" s="14">
        <f>SUM(Jul!E151, Aug!E151, Sep!E151)</f>
        <v>398556.15999999997</v>
      </c>
      <c r="F151" s="14">
        <f t="shared" si="6"/>
        <v>-398556.15999999997</v>
      </c>
      <c r="G151" s="15">
        <f t="shared" si="7"/>
        <v>-1</v>
      </c>
      <c r="H151" s="16">
        <f>SUM(Jul!H151,Aug!H151,Sep!H151)</f>
        <v>419353.86</v>
      </c>
      <c r="I151" s="16">
        <f>SUM(Jul!I151, Aug!I151, Sep!I151)</f>
        <v>-419353.86</v>
      </c>
      <c r="J151" s="15">
        <f t="shared" si="8"/>
        <v>-1</v>
      </c>
    </row>
    <row r="152" spans="1:10" ht="15.6">
      <c r="A152" s="24" t="str">
        <v>Dubois</v>
      </c>
      <c r="B152" s="25" t="str">
        <v>NY</v>
      </c>
      <c r="C152" s="25" t="str">
        <f>Sites[[#This Row],[SOL'#]]</f>
        <v>SOL-10892</v>
      </c>
      <c r="D152" s="20">
        <f>SUM(Jul!D152, Aug!D152, Sep!D152)</f>
        <v>386460</v>
      </c>
      <c r="E152" s="10">
        <f>SUM(Jul!E152, Aug!E152, Sep!E152)</f>
        <v>386385.12</v>
      </c>
      <c r="F152" s="10">
        <f t="shared" si="6"/>
        <v>74.880000000004657</v>
      </c>
      <c r="G152" s="11">
        <f t="shared" si="7"/>
        <v>1.9379628283823315E-4</v>
      </c>
      <c r="H152" s="12">
        <f>SUM(Jul!H152,Aug!H152,Sep!H152)</f>
        <v>0</v>
      </c>
      <c r="I152" s="12">
        <f>SUM(Jul!I152, Aug!I152, Sep!I152)</f>
        <v>0</v>
      </c>
      <c r="J152" s="13" t="str">
        <f t="shared" si="8"/>
        <v/>
      </c>
    </row>
    <row r="153" spans="1:10" ht="15.6">
      <c r="A153" s="26" t="str">
        <v>Salt Point</v>
      </c>
      <c r="B153" s="27" t="str">
        <v>NY</v>
      </c>
      <c r="C153" s="27" t="str">
        <f>Sites[[#This Row],[SOL'#]]</f>
        <v>SOL-10888</v>
      </c>
      <c r="D153" s="9">
        <f>SUM(Jul!D153, Aug!D153, Sep!D153)</f>
        <v>416220</v>
      </c>
      <c r="E153" s="14">
        <f>SUM(Jul!E153, Aug!E153, Sep!E153)</f>
        <v>416220</v>
      </c>
      <c r="F153" s="14">
        <f t="shared" si="6"/>
        <v>0</v>
      </c>
      <c r="G153" s="15">
        <f t="shared" si="7"/>
        <v>0</v>
      </c>
      <c r="H153" s="16">
        <f>SUM(Jul!H153,Aug!H153,Sep!H153)</f>
        <v>514904.5</v>
      </c>
      <c r="I153" s="16">
        <f>SUM(Jul!I153, Aug!I153, Sep!I153)</f>
        <v>-98684.5</v>
      </c>
      <c r="J153" s="15">
        <f t="shared" si="8"/>
        <v>-0.19165592842944662</v>
      </c>
    </row>
    <row r="154" spans="1:10" ht="15.6">
      <c r="A154" s="24" t="str">
        <v>Wheatland 2A</v>
      </c>
      <c r="B154" s="25" t="str">
        <v>NY</v>
      </c>
      <c r="C154" s="25" t="str">
        <f>Sites[[#This Row],[SOL'#]]</f>
        <v>SOL-10971</v>
      </c>
      <c r="D154" s="20">
        <f>SUM(Jul!D154, Aug!D154, Sep!D154)</f>
        <v>1082680</v>
      </c>
      <c r="E154" s="10">
        <f>SUM(Jul!E154, Aug!E154, Sep!E154)</f>
        <v>1080840</v>
      </c>
      <c r="F154" s="10">
        <f t="shared" si="6"/>
        <v>1840</v>
      </c>
      <c r="G154" s="11">
        <f t="shared" si="7"/>
        <v>1.7023796306576367E-3</v>
      </c>
      <c r="H154" s="12">
        <f>SUM(Jul!H154,Aug!H154,Sep!H154)</f>
        <v>1177354.56</v>
      </c>
      <c r="I154" s="12">
        <f>SUM(Jul!I154, Aug!I154, Sep!I154)</f>
        <v>-94674.560000000056</v>
      </c>
      <c r="J154" s="13">
        <f t="shared" si="8"/>
        <v>-8.0412955635046801E-2</v>
      </c>
    </row>
    <row r="155" spans="1:10" ht="15.6">
      <c r="A155" s="26" t="str">
        <v>Wheatland 2B</v>
      </c>
      <c r="B155" s="27" t="str">
        <v>NY</v>
      </c>
      <c r="C155" s="27" t="str">
        <f>Sites[[#This Row],[SOL'#]]</f>
        <v>SOL-10961</v>
      </c>
      <c r="D155" s="9">
        <f>SUM(Jul!D155, Aug!D155, Sep!D155)</f>
        <v>1133400</v>
      </c>
      <c r="E155" s="14">
        <f>SUM(Jul!E155, Aug!E155, Sep!E155)</f>
        <v>1131560</v>
      </c>
      <c r="F155" s="14">
        <f t="shared" si="6"/>
        <v>1840</v>
      </c>
      <c r="G155" s="15">
        <f t="shared" si="7"/>
        <v>1.6260737389091166E-3</v>
      </c>
      <c r="H155" s="16">
        <f>SUM(Jul!H155,Aug!H155,Sep!H155)</f>
        <v>1168051.71</v>
      </c>
      <c r="I155" s="16">
        <f>SUM(Jul!I155, Aug!I155, Sep!I155)</f>
        <v>-34651.709999999963</v>
      </c>
      <c r="J155" s="15">
        <f t="shared" si="8"/>
        <v>-2.9666246539718659E-2</v>
      </c>
    </row>
    <row r="156" spans="1:10" ht="15.6">
      <c r="A156" s="24" t="str">
        <v>Brickchurch</v>
      </c>
      <c r="B156" s="25" t="str">
        <v>NY</v>
      </c>
      <c r="C156" s="25" t="str">
        <f>Sites[[#This Row],[SOL'#]]</f>
        <v>SOL-10889</v>
      </c>
      <c r="D156" s="20">
        <f>SUM(Jul!D156, Aug!D156, Sep!D156)</f>
        <v>0</v>
      </c>
      <c r="E156" s="10">
        <f>SUM(Jul!E156, Aug!E156, Sep!E156)</f>
        <v>519962.55</v>
      </c>
      <c r="F156" s="10">
        <f t="shared" si="6"/>
        <v>-519962.55</v>
      </c>
      <c r="G156" s="11">
        <f t="shared" si="7"/>
        <v>-1</v>
      </c>
      <c r="H156" s="12">
        <f>SUM(Jul!H156,Aug!H156,Sep!H156)</f>
        <v>532046.63</v>
      </c>
      <c r="I156" s="12">
        <f>SUM(Jul!I156, Aug!I156, Sep!I156)</f>
        <v>-532046.63</v>
      </c>
      <c r="J156" s="13">
        <f t="shared" si="8"/>
        <v>-1</v>
      </c>
    </row>
    <row r="157" spans="1:10" ht="15.6">
      <c r="A157" s="26" t="str">
        <v>McCarthy Solar</v>
      </c>
      <c r="B157" s="27" t="str">
        <v>NY</v>
      </c>
      <c r="C157" s="27" t="str">
        <f>Sites[[#This Row],[SOL'#]]</f>
        <v>SOL-10992</v>
      </c>
      <c r="D157" s="9">
        <f>SUM(Jul!D157, Aug!D157, Sep!D157)</f>
        <v>211620</v>
      </c>
      <c r="E157" s="14">
        <f>SUM(Jul!E157, Aug!E157, Sep!E157)</f>
        <v>0</v>
      </c>
      <c r="F157" s="14">
        <f t="shared" si="6"/>
        <v>211620</v>
      </c>
      <c r="G157" s="15" t="str">
        <f t="shared" si="7"/>
        <v/>
      </c>
      <c r="H157" s="16">
        <f>SUM(Jul!H157,Aug!H157,Sep!H157)</f>
        <v>448453.17</v>
      </c>
      <c r="I157" s="16">
        <f>SUM(Jul!I157, Aug!I157, Sep!I157)</f>
        <v>-236833.16999999998</v>
      </c>
      <c r="J157" s="15">
        <f t="shared" si="8"/>
        <v>-0.52811126298873079</v>
      </c>
    </row>
    <row r="158" spans="1:10" ht="15.6">
      <c r="A158" s="24" t="str">
        <v>Costanza</v>
      </c>
      <c r="B158" s="25" t="str">
        <v>NY</v>
      </c>
      <c r="C158" s="25" t="str">
        <f>Sites[[#This Row],[SOL'#]]</f>
        <v>SOL-10907</v>
      </c>
      <c r="D158" s="20">
        <f>SUM(Jul!D158, Aug!D158, Sep!D158)</f>
        <v>404580</v>
      </c>
      <c r="E158" s="10">
        <f>SUM(Jul!E158, Aug!E158, Sep!E158)</f>
        <v>404631.91</v>
      </c>
      <c r="F158" s="10">
        <f t="shared" si="6"/>
        <v>-51.909999999974389</v>
      </c>
      <c r="G158" s="11">
        <f t="shared" si="7"/>
        <v>-1.2828943718248617E-4</v>
      </c>
      <c r="H158" s="12">
        <f>SUM(Jul!H158,Aug!H158,Sep!H158)</f>
        <v>449076.09</v>
      </c>
      <c r="I158" s="12">
        <f>SUM(Jul!I158, Aug!I158, Sep!I158)</f>
        <v>-44496.090000000026</v>
      </c>
      <c r="J158" s="13">
        <f t="shared" si="8"/>
        <v>-9.9083631907456976E-2</v>
      </c>
    </row>
    <row r="159" spans="1:10" ht="15.6">
      <c r="A159" s="26" t="str">
        <v>Lockenhurst Pond</v>
      </c>
      <c r="B159" s="27" t="str">
        <v>NY</v>
      </c>
      <c r="C159" s="27" t="str">
        <f>Sites[[#This Row],[SOL'#]]</f>
        <v>SOL-11000</v>
      </c>
      <c r="D159" s="9">
        <f>SUM(Jul!D159, Aug!D159, Sep!D159)</f>
        <v>484585</v>
      </c>
      <c r="E159" s="14">
        <f>SUM(Jul!E159, Aug!E159, Sep!E159)</f>
        <v>522005.2</v>
      </c>
      <c r="F159" s="14">
        <f t="shared" si="6"/>
        <v>-37420.200000000012</v>
      </c>
      <c r="G159" s="15">
        <f t="shared" si="7"/>
        <v>-7.1685492788194471E-2</v>
      </c>
      <c r="H159" s="16">
        <f>SUM(Jul!H159,Aug!H159,Sep!H159)</f>
        <v>531355</v>
      </c>
      <c r="I159" s="16">
        <f>SUM(Jul!I159, Aug!I159, Sep!I159)</f>
        <v>-46770</v>
      </c>
      <c r="J159" s="15">
        <f t="shared" si="8"/>
        <v>-8.8020250115271328E-2</v>
      </c>
    </row>
    <row r="160" spans="1:10" ht="15.6">
      <c r="A160" s="24" t="str">
        <v>Drinkwater</v>
      </c>
      <c r="B160" s="25" t="str">
        <v>NY</v>
      </c>
      <c r="C160" s="25" t="str">
        <f>Sites[[#This Row],[SOL'#]]</f>
        <v>SOL-10896</v>
      </c>
      <c r="D160" s="20">
        <f>SUM(Jul!D160, Aug!D160, Sep!D160)</f>
        <v>466130</v>
      </c>
      <c r="E160" s="10">
        <f>SUM(Jul!E160, Aug!E160, Sep!E160)</f>
        <v>454000</v>
      </c>
      <c r="F160" s="10">
        <f t="shared" si="6"/>
        <v>12130</v>
      </c>
      <c r="G160" s="11">
        <f t="shared" si="7"/>
        <v>2.6718061674008812E-2</v>
      </c>
      <c r="H160" s="12">
        <f>SUM(Jul!H160,Aug!H160,Sep!H160)</f>
        <v>460623.61</v>
      </c>
      <c r="I160" s="12">
        <f>SUM(Jul!I160, Aug!I160, Sep!I160)</f>
        <v>5506.390000000014</v>
      </c>
      <c r="J160" s="13">
        <f t="shared" si="8"/>
        <v>1.1954207036847317E-2</v>
      </c>
    </row>
    <row r="161" spans="1:10" ht="15.6">
      <c r="A161" s="26" t="str">
        <v>Altamont</v>
      </c>
      <c r="B161" s="27" t="str">
        <v>NY</v>
      </c>
      <c r="C161" s="27" t="str">
        <f>Sites[[#This Row],[SOL'#]]</f>
        <v>SOL-11085</v>
      </c>
      <c r="D161" s="9">
        <f>SUM(Jul!D161, Aug!D161, Sep!D161)</f>
        <v>877117</v>
      </c>
      <c r="E161" s="14">
        <f>SUM(Jul!E161, Aug!E161, Sep!E161)</f>
        <v>899395.7</v>
      </c>
      <c r="F161" s="14">
        <f t="shared" si="6"/>
        <v>-22278.699999999953</v>
      </c>
      <c r="G161" s="15">
        <f t="shared" si="7"/>
        <v>-2.477074328907727E-2</v>
      </c>
      <c r="H161" s="16">
        <f>SUM(Jul!H161,Aug!H161,Sep!H161)</f>
        <v>754982.6</v>
      </c>
      <c r="I161" s="16">
        <f>SUM(Jul!I161, Aug!I161, Sep!I161)</f>
        <v>122134.40000000002</v>
      </c>
      <c r="J161" s="15">
        <f t="shared" si="8"/>
        <v>0.16177114545421314</v>
      </c>
    </row>
    <row r="162" spans="1:10" ht="15.6">
      <c r="A162" s="24" t="str">
        <v>Krumkill North</v>
      </c>
      <c r="B162" s="25" t="str">
        <v>NY</v>
      </c>
      <c r="C162" s="25" t="str">
        <f>Sites[[#This Row],[SOL'#]]</f>
        <v>SOL-11086</v>
      </c>
      <c r="D162" s="20">
        <f>SUM(Jul!D162, Aug!D162, Sep!D162)</f>
        <v>836577</v>
      </c>
      <c r="E162" s="10">
        <f>SUM(Jul!E162, Aug!E162, Sep!E162)</f>
        <v>922798.5</v>
      </c>
      <c r="F162" s="10">
        <f t="shared" si="6"/>
        <v>-86221.5</v>
      </c>
      <c r="G162" s="11">
        <f t="shared" si="7"/>
        <v>-9.3434807273743939E-2</v>
      </c>
      <c r="H162" s="12">
        <f>SUM(Jul!H162,Aug!H162,Sep!H162)</f>
        <v>844821.9</v>
      </c>
      <c r="I162" s="12">
        <f>SUM(Jul!I162, Aug!I162, Sep!I162)</f>
        <v>-8244.9000000000233</v>
      </c>
      <c r="J162" s="13">
        <f t="shared" si="8"/>
        <v>-9.7593350740552802E-3</v>
      </c>
    </row>
    <row r="163" spans="1:10" ht="15.6">
      <c r="A163" s="26" t="str">
        <v>Krumkill South</v>
      </c>
      <c r="B163" s="27" t="str">
        <v>NY</v>
      </c>
      <c r="C163" s="27" t="str">
        <f>Sites[[#This Row],[SOL'#]]</f>
        <v>SOL-11087</v>
      </c>
      <c r="D163" s="9">
        <f>SUM(Jul!D163, Aug!D163, Sep!D163)</f>
        <v>695464</v>
      </c>
      <c r="E163" s="14">
        <f>SUM(Jul!E163, Aug!E163, Sep!E163)</f>
        <v>735498</v>
      </c>
      <c r="F163" s="14">
        <f t="shared" si="6"/>
        <v>-40034</v>
      </c>
      <c r="G163" s="15">
        <f t="shared" si="7"/>
        <v>-5.4431147331467929E-2</v>
      </c>
      <c r="H163" s="16">
        <f>SUM(Jul!H163,Aug!H163,Sep!H163)</f>
        <v>662314.19999999995</v>
      </c>
      <c r="I163" s="16">
        <f>SUM(Jul!I163, Aug!I163, Sep!I163)</f>
        <v>33149.800000000047</v>
      </c>
      <c r="J163" s="15">
        <f t="shared" si="8"/>
        <v>5.0051471038972215E-2</v>
      </c>
    </row>
    <row r="164" spans="1:10" ht="15.6">
      <c r="A164" s="24" t="str">
        <v>X092</v>
      </c>
      <c r="B164" s="25" t="str">
        <v>NY</v>
      </c>
      <c r="C164" s="25" t="str">
        <f>Sites[[#This Row],[SOL'#]]</f>
        <v>SOL-11189</v>
      </c>
      <c r="D164" s="20">
        <f>SUM(Jul!D164, Aug!D164, Sep!D164)</f>
        <v>21888</v>
      </c>
      <c r="E164" s="10">
        <f>SUM(Jul!E164, Aug!E164, Sep!E164)</f>
        <v>22130.17</v>
      </c>
      <c r="F164" s="10">
        <f t="shared" si="6"/>
        <v>-242.16999999999825</v>
      </c>
      <c r="G164" s="11">
        <f t="shared" si="7"/>
        <v>-1.0942979651760392E-2</v>
      </c>
      <c r="H164" s="12">
        <f>SUM(Jul!H164,Aug!H164,Sep!H164)</f>
        <v>23075</v>
      </c>
      <c r="I164" s="12">
        <f>SUM(Jul!I164, Aug!I164, Sep!I164)</f>
        <v>-1187</v>
      </c>
      <c r="J164" s="13">
        <f t="shared" si="8"/>
        <v>-5.1440953412784401E-2</v>
      </c>
    </row>
    <row r="165" spans="1:10" ht="15.6">
      <c r="A165" s="26" t="str">
        <v>X093</v>
      </c>
      <c r="B165" s="27" t="str">
        <v>NY</v>
      </c>
      <c r="C165" s="27" t="str">
        <f>Sites[[#This Row],[SOL'#]]</f>
        <v>SOL-10932</v>
      </c>
      <c r="D165" s="9">
        <f>SUM(Jul!D165, Aug!D165, Sep!D165)</f>
        <v>11283.919921875</v>
      </c>
      <c r="E165" s="14">
        <f>SUM(Jul!E165, Aug!E165, Sep!E165)</f>
        <v>15307.49</v>
      </c>
      <c r="F165" s="14">
        <f t="shared" si="6"/>
        <v>-4023.5700781249998</v>
      </c>
      <c r="G165" s="15">
        <f t="shared" si="7"/>
        <v>-0.2628497603542449</v>
      </c>
      <c r="H165" s="16">
        <f>SUM(Jul!H165,Aug!H165,Sep!H165)</f>
        <v>16257</v>
      </c>
      <c r="I165" s="16">
        <f>SUM(Jul!I165, Aug!I165, Sep!I165)</f>
        <v>-4973.080078125</v>
      </c>
      <c r="J165" s="15">
        <f t="shared" si="8"/>
        <v>-0.3059039231177339</v>
      </c>
    </row>
    <row r="166" spans="1:10" ht="15.6">
      <c r="A166" s="24" t="str">
        <v>X095</v>
      </c>
      <c r="B166" s="25" t="str">
        <v>NY</v>
      </c>
      <c r="C166" s="25" t="str">
        <f>Sites[[#This Row],[SOL'#]]</f>
        <v>SOL-10929</v>
      </c>
      <c r="D166" s="20">
        <f>SUM(Jul!D166, Aug!D166, Sep!D166)</f>
        <v>21468.9140625</v>
      </c>
      <c r="E166" s="10">
        <f>SUM(Jul!E166, Aug!E166, Sep!E166)</f>
        <v>19545.91</v>
      </c>
      <c r="F166" s="10">
        <f t="shared" si="6"/>
        <v>1923.0040625000001</v>
      </c>
      <c r="G166" s="11">
        <f t="shared" si="7"/>
        <v>9.838396178535562E-2</v>
      </c>
      <c r="H166" s="12">
        <f>SUM(Jul!H166,Aug!H166,Sep!H166)</f>
        <v>22228</v>
      </c>
      <c r="I166" s="12">
        <f>SUM(Jul!I166, Aug!I166, Sep!I166)</f>
        <v>-759.0859375</v>
      </c>
      <c r="J166" s="13">
        <f t="shared" si="8"/>
        <v>-3.4149988190570454E-2</v>
      </c>
    </row>
    <row r="167" spans="1:10" ht="15.6">
      <c r="A167" s="26" t="str">
        <v>X181</v>
      </c>
      <c r="B167" s="27" t="str">
        <v>NY</v>
      </c>
      <c r="C167" s="27" t="str">
        <f>Sites[[#This Row],[SOL'#]]</f>
        <v>SOL-10428</v>
      </c>
      <c r="D167" s="9">
        <f>SUM(Jul!D167, Aug!D167, Sep!D167)</f>
        <v>40966.734375</v>
      </c>
      <c r="E167" s="14">
        <f>SUM(Jul!E167, Aug!E167, Sep!E167)</f>
        <v>34560.46</v>
      </c>
      <c r="F167" s="14">
        <f t="shared" si="6"/>
        <v>6406.2743750000009</v>
      </c>
      <c r="G167" s="15">
        <f t="shared" si="7"/>
        <v>0.18536426815499565</v>
      </c>
      <c r="H167" s="16">
        <f>SUM(Jul!H167,Aug!H167,Sep!H167)</f>
        <v>41522</v>
      </c>
      <c r="I167" s="16">
        <f>SUM(Jul!I167, Aug!I167, Sep!I167)</f>
        <v>-555.265625</v>
      </c>
      <c r="J167" s="15">
        <f t="shared" si="8"/>
        <v>-1.3372805380280333E-2</v>
      </c>
    </row>
    <row r="168" spans="1:10" ht="15.6">
      <c r="A168" s="24" t="str">
        <v>X415</v>
      </c>
      <c r="B168" s="25" t="str">
        <v>NY</v>
      </c>
      <c r="C168" s="25" t="str">
        <f>Sites[[#This Row],[SOL'#]]</f>
        <v>SOL-10429</v>
      </c>
      <c r="D168" s="20">
        <f>SUM(Jul!D168, Aug!D168, Sep!D168)</f>
        <v>25868.9765625</v>
      </c>
      <c r="E168" s="10">
        <f>SUM(Jul!E168, Aug!E168, Sep!E168)</f>
        <v>22259.89</v>
      </c>
      <c r="F168" s="10">
        <f t="shared" si="6"/>
        <v>3609.0865625000006</v>
      </c>
      <c r="G168" s="11">
        <f t="shared" si="7"/>
        <v>0.16213406995721905</v>
      </c>
      <c r="H168" s="12">
        <f>SUM(Jul!H168,Aug!H168,Sep!H168)</f>
        <v>24392</v>
      </c>
      <c r="I168" s="12">
        <f>SUM(Jul!I168, Aug!I168, Sep!I168)</f>
        <v>1476.9765625</v>
      </c>
      <c r="J168" s="13">
        <f t="shared" si="8"/>
        <v>6.0551679341587408E-2</v>
      </c>
    </row>
    <row r="169" spans="1:10" ht="15.6">
      <c r="A169" s="26" t="str">
        <v>K198</v>
      </c>
      <c r="B169" s="27" t="str">
        <v>NY</v>
      </c>
      <c r="C169" s="27" t="str">
        <f>Sites[[#This Row],[SOL'#]]</f>
        <v>SOL-10930</v>
      </c>
      <c r="D169" s="9">
        <f>SUM(Jul!D169, Aug!D169, Sep!D169)</f>
        <v>18358.1640625</v>
      </c>
      <c r="E169" s="14">
        <f>SUM(Jul!E169, Aug!E169, Sep!E169)</f>
        <v>18103.169999999998</v>
      </c>
      <c r="F169" s="14">
        <f t="shared" si="6"/>
        <v>254.99406250000175</v>
      </c>
      <c r="G169" s="15">
        <f t="shared" si="7"/>
        <v>1.4085602825361624E-2</v>
      </c>
      <c r="H169" s="16">
        <f>SUM(Jul!H169,Aug!H169,Sep!H169)</f>
        <v>18689</v>
      </c>
      <c r="I169" s="16">
        <f>SUM(Jul!I169, Aug!I169, Sep!I169)</f>
        <v>-330.8359375</v>
      </c>
      <c r="J169" s="15">
        <f t="shared" si="8"/>
        <v>-1.7702174407405426E-2</v>
      </c>
    </row>
    <row r="170" spans="1:10" ht="15.6">
      <c r="A170" s="24" t="str">
        <v>K203</v>
      </c>
      <c r="B170" s="25" t="str">
        <v>NY</v>
      </c>
      <c r="C170" s="25" t="str">
        <f>Sites[[#This Row],[SOL'#]]</f>
        <v>SOL-11190</v>
      </c>
      <c r="D170" s="20">
        <f>SUM(Jul!D170, Aug!D170, Sep!D170)</f>
        <v>24407.1</v>
      </c>
      <c r="E170" s="10">
        <f>SUM(Jul!E170, Aug!E170, Sep!E170)</f>
        <v>21909.75</v>
      </c>
      <c r="F170" s="10">
        <f t="shared" si="6"/>
        <v>2497.3499999999985</v>
      </c>
      <c r="G170" s="11">
        <f t="shared" si="7"/>
        <v>0.11398350049635429</v>
      </c>
      <c r="H170" s="12">
        <f>SUM(Jul!H170,Aug!H170,Sep!H170)</f>
        <v>25198</v>
      </c>
      <c r="I170" s="12">
        <f>SUM(Jul!I170, Aug!I170, Sep!I170)</f>
        <v>-790.90000000000146</v>
      </c>
      <c r="J170" s="13">
        <f t="shared" si="8"/>
        <v>-3.1387411699341276E-2</v>
      </c>
    </row>
    <row r="171" spans="1:10" ht="15.6">
      <c r="A171" s="26" t="str">
        <v>K213</v>
      </c>
      <c r="B171" s="27" t="str">
        <v>NY</v>
      </c>
      <c r="C171" s="27" t="str">
        <f>Sites[[#This Row],[SOL'#]]</f>
        <v>SOL-11191</v>
      </c>
      <c r="D171" s="9">
        <f>SUM(Jul!D171, Aug!D171, Sep!D171)</f>
        <v>27870.1</v>
      </c>
      <c r="E171" s="14">
        <f>SUM(Jul!E171, Aug!E171, Sep!E171)</f>
        <v>29258.25</v>
      </c>
      <c r="F171" s="14">
        <f t="shared" si="6"/>
        <v>-1388.1500000000015</v>
      </c>
      <c r="G171" s="15">
        <f t="shared" si="7"/>
        <v>-4.7444737808994095E-2</v>
      </c>
      <c r="H171" s="16">
        <f>SUM(Jul!H171,Aug!H171,Sep!H171)</f>
        <v>26555</v>
      </c>
      <c r="I171" s="16">
        <f>SUM(Jul!I171, Aug!I171, Sep!I171)</f>
        <v>1315.0999999999985</v>
      </c>
      <c r="J171" s="15">
        <f t="shared" si="8"/>
        <v>4.9523630201468598E-2</v>
      </c>
    </row>
    <row r="172" spans="1:10" ht="15.6">
      <c r="A172" s="24" t="str">
        <v>K217</v>
      </c>
      <c r="B172" s="25" t="str">
        <v>NY</v>
      </c>
      <c r="C172" s="25" t="str">
        <f>Sites[[#This Row],[SOL'#]]</f>
        <v>SOL-10933</v>
      </c>
      <c r="D172" s="20">
        <f>SUM(Jul!D172, Aug!D172, Sep!D172)</f>
        <v>14644.6484375</v>
      </c>
      <c r="E172" s="10">
        <f>SUM(Jul!E172, Aug!E172, Sep!E172)</f>
        <v>13647.47</v>
      </c>
      <c r="F172" s="10">
        <f t="shared" si="6"/>
        <v>997.17843750000065</v>
      </c>
      <c r="G172" s="11">
        <f t="shared" si="7"/>
        <v>7.3066908188843843E-2</v>
      </c>
      <c r="H172" s="12">
        <f>SUM(Jul!H172,Aug!H172,Sep!H172)</f>
        <v>14632</v>
      </c>
      <c r="I172" s="12">
        <f>SUM(Jul!I172, Aug!I172, Sep!I172)</f>
        <v>12.6484375</v>
      </c>
      <c r="J172" s="13">
        <f t="shared" si="8"/>
        <v>8.6443667987971568E-4</v>
      </c>
    </row>
    <row r="173" spans="1:10" ht="15.6">
      <c r="A173" s="26" t="str">
        <v>K307</v>
      </c>
      <c r="B173" s="27" t="str">
        <v>NY</v>
      </c>
      <c r="C173" s="27" t="str">
        <f>Sites[[#This Row],[SOL'#]]</f>
        <v>SOL-10876</v>
      </c>
      <c r="D173" s="9">
        <f>SUM(Jul!D173, Aug!D173, Sep!D173)</f>
        <v>30193.328125</v>
      </c>
      <c r="E173" s="14">
        <f>SUM(Jul!E173, Aug!E173, Sep!E173)</f>
        <v>28697.91</v>
      </c>
      <c r="F173" s="14">
        <f t="shared" si="6"/>
        <v>1495.4181250000001</v>
      </c>
      <c r="G173" s="15">
        <f t="shared" si="7"/>
        <v>5.2108955843822781E-2</v>
      </c>
      <c r="H173" s="16">
        <f>SUM(Jul!H173,Aug!H173,Sep!H173)</f>
        <v>30546</v>
      </c>
      <c r="I173" s="16">
        <f>SUM(Jul!I173, Aug!I173, Sep!I173)</f>
        <v>-352.671875</v>
      </c>
      <c r="J173" s="15">
        <f t="shared" si="8"/>
        <v>-1.154559926013226E-2</v>
      </c>
    </row>
    <row r="174" spans="1:10" ht="15.6">
      <c r="A174" s="24" t="str">
        <v>K610</v>
      </c>
      <c r="B174" s="25" t="str">
        <v>NY</v>
      </c>
      <c r="C174" s="25" t="str">
        <f>Sites[[#This Row],[SOL'#]]</f>
        <v>SOL-11158</v>
      </c>
      <c r="D174" s="20">
        <f>SUM(Jul!D174, Aug!D174, Sep!D174)</f>
        <v>25973.599999999999</v>
      </c>
      <c r="E174" s="10">
        <f>SUM(Jul!E174, Aug!E174, Sep!E174)</f>
        <v>33773.86</v>
      </c>
      <c r="F174" s="10">
        <f t="shared" si="6"/>
        <v>-7800.260000000002</v>
      </c>
      <c r="G174" s="11">
        <f t="shared" si="7"/>
        <v>-0.23095553780349662</v>
      </c>
      <c r="H174" s="12">
        <f>SUM(Jul!H174,Aug!H174,Sep!H174)</f>
        <v>35413</v>
      </c>
      <c r="I174" s="12">
        <f>SUM(Jul!I174, Aug!I174, Sep!I174)</f>
        <v>-9439.4000000000015</v>
      </c>
      <c r="J174" s="13">
        <f t="shared" si="8"/>
        <v>-0.26655183124841164</v>
      </c>
    </row>
    <row r="175" spans="1:10" ht="15.6">
      <c r="A175" s="26" t="str">
        <v>M025</v>
      </c>
      <c r="B175" s="27" t="str">
        <v>NY</v>
      </c>
      <c r="C175" s="27" t="str">
        <f>Sites[[#This Row],[SOL'#]]</f>
        <v>SOL-10392</v>
      </c>
      <c r="D175" s="9">
        <f>SUM(Jul!D175, Aug!D175, Sep!D175)</f>
        <v>17221.1328125</v>
      </c>
      <c r="E175" s="14">
        <f>SUM(Jul!E175, Aug!E175, Sep!E175)</f>
        <v>31789.360000000001</v>
      </c>
      <c r="F175" s="14">
        <f t="shared" si="6"/>
        <v>-14568.227187500001</v>
      </c>
      <c r="G175" s="15">
        <f t="shared" si="7"/>
        <v>-0.45827368614844716</v>
      </c>
      <c r="H175" s="16">
        <f>SUM(Jul!H175,Aug!H175,Sep!H175)</f>
        <v>31160</v>
      </c>
      <c r="I175" s="16">
        <f>SUM(Jul!I175, Aug!I175, Sep!I175)</f>
        <v>-13938.8671875</v>
      </c>
      <c r="J175" s="15">
        <f t="shared" si="8"/>
        <v>-0.44733206635109113</v>
      </c>
    </row>
    <row r="176" spans="1:10" ht="15.6">
      <c r="A176" s="24" t="str">
        <v>M028</v>
      </c>
      <c r="B176" s="25" t="str">
        <v>NY</v>
      </c>
      <c r="C176" s="25" t="str">
        <f>Sites[[#This Row],[SOL'#]]</f>
        <v>SOL-10381</v>
      </c>
      <c r="D176" s="20">
        <f>SUM(Jul!D176, Aug!D176, Sep!D176)</f>
        <v>24044.498046875</v>
      </c>
      <c r="E176" s="10">
        <f>SUM(Jul!E176, Aug!E176, Sep!E176)</f>
        <v>22765.21</v>
      </c>
      <c r="F176" s="10">
        <f t="shared" si="6"/>
        <v>1279.2880468750009</v>
      </c>
      <c r="G176" s="11">
        <f t="shared" si="7"/>
        <v>5.6194871335472019E-2</v>
      </c>
      <c r="H176" s="12">
        <f>SUM(Jul!H176,Aug!H176,Sep!H176)</f>
        <v>24106</v>
      </c>
      <c r="I176" s="12">
        <f>SUM(Jul!I176, Aug!I176, Sep!I176)</f>
        <v>-61.501953125</v>
      </c>
      <c r="J176" s="13">
        <f t="shared" si="8"/>
        <v>-2.5513130807682735E-3</v>
      </c>
    </row>
    <row r="177" spans="1:10" ht="15.6">
      <c r="A177" s="26" t="str">
        <v>Q030</v>
      </c>
      <c r="B177" s="27" t="str">
        <v>NY</v>
      </c>
      <c r="C177" s="27" t="str">
        <f>Sites[[#This Row],[SOL'#]]</f>
        <v>SOL-10878</v>
      </c>
      <c r="D177" s="9">
        <f>SUM(Jul!D177, Aug!D177, Sep!D177)</f>
        <v>28858.4609375</v>
      </c>
      <c r="E177" s="14">
        <f>SUM(Jul!E177, Aug!E177, Sep!E177)</f>
        <v>28301.79</v>
      </c>
      <c r="F177" s="14">
        <f t="shared" si="6"/>
        <v>556.67093749999913</v>
      </c>
      <c r="G177" s="15">
        <f t="shared" si="7"/>
        <v>1.9669107060012781E-2</v>
      </c>
      <c r="H177" s="16">
        <f>SUM(Jul!H177,Aug!H177,Sep!H177)</f>
        <v>28977</v>
      </c>
      <c r="I177" s="16">
        <f>SUM(Jul!I177, Aug!I177, Sep!I177)</f>
        <v>-118.5390625</v>
      </c>
      <c r="J177" s="15">
        <f t="shared" si="8"/>
        <v>-4.09079830555268E-3</v>
      </c>
    </row>
    <row r="178" spans="1:10" ht="15.6">
      <c r="A178" s="24" t="str">
        <v>Q130</v>
      </c>
      <c r="B178" s="25" t="str">
        <v>NY</v>
      </c>
      <c r="C178" s="25" t="str">
        <f>Sites[[#This Row],[SOL'#]]</f>
        <v>SOL-10877</v>
      </c>
      <c r="D178" s="20">
        <f>SUM(Jul!D178, Aug!D178, Sep!D178)</f>
        <v>16564.2890625</v>
      </c>
      <c r="E178" s="10">
        <f>SUM(Jul!E178, Aug!E178, Sep!E178)</f>
        <v>15232.4</v>
      </c>
      <c r="F178" s="10">
        <f t="shared" si="6"/>
        <v>1331.8890625000004</v>
      </c>
      <c r="G178" s="11">
        <f t="shared" si="7"/>
        <v>8.743789964155356E-2</v>
      </c>
      <c r="H178" s="12">
        <f>SUM(Jul!H178,Aug!H178,Sep!H178)</f>
        <v>16423.27</v>
      </c>
      <c r="I178" s="12">
        <f>SUM(Jul!I178, Aug!I178, Sep!I178)</f>
        <v>141.01906249999956</v>
      </c>
      <c r="J178" s="13">
        <f t="shared" si="8"/>
        <v>8.5865398608194077E-3</v>
      </c>
    </row>
    <row r="179" spans="1:10" ht="15.6">
      <c r="A179" s="26" t="str">
        <v>Q196</v>
      </c>
      <c r="B179" s="27" t="str">
        <v>NY</v>
      </c>
      <c r="C179" s="27" t="str">
        <f>Sites[[#This Row],[SOL'#]]</f>
        <v>SOL-10879</v>
      </c>
      <c r="D179" s="9">
        <f>SUM(Jul!D179, Aug!D179, Sep!D179)</f>
        <v>21595.458789062501</v>
      </c>
      <c r="E179" s="14">
        <f>SUM(Jul!E179, Aug!E179, Sep!E179)</f>
        <v>21688.12</v>
      </c>
      <c r="F179" s="14">
        <f t="shared" si="6"/>
        <v>-92.661210937498254</v>
      </c>
      <c r="G179" s="15">
        <f t="shared" si="7"/>
        <v>-4.2724409002485352E-3</v>
      </c>
      <c r="H179" s="16">
        <f>SUM(Jul!H179,Aug!H179,Sep!H179)</f>
        <v>21304</v>
      </c>
      <c r="I179" s="16">
        <f>SUM(Jul!I179, Aug!I179, Sep!I179)</f>
        <v>291.45878906250073</v>
      </c>
      <c r="J179" s="15">
        <f t="shared" si="8"/>
        <v>1.3680942032599546E-2</v>
      </c>
    </row>
    <row r="180" spans="1:10" ht="15.6">
      <c r="A180" s="24" t="str">
        <v>Q220</v>
      </c>
      <c r="B180" s="25" t="str">
        <v>NY</v>
      </c>
      <c r="C180" s="25" t="str">
        <f>Sites[[#This Row],[SOL'#]]</f>
        <v>SOL-10873</v>
      </c>
      <c r="D180" s="20">
        <f>SUM(Jul!D180, Aug!D180, Sep!D180)</f>
        <v>25706.390625</v>
      </c>
      <c r="E180" s="10">
        <f>SUM(Jul!E180, Aug!E180, Sep!E180)</f>
        <v>28923</v>
      </c>
      <c r="F180" s="10">
        <f t="shared" si="6"/>
        <v>-3216.609375</v>
      </c>
      <c r="G180" s="11">
        <f t="shared" si="7"/>
        <v>-0.11121285395705839</v>
      </c>
      <c r="H180" s="12">
        <f>SUM(Jul!H180,Aug!H180,Sep!H180)</f>
        <v>24647</v>
      </c>
      <c r="I180" s="12">
        <f>SUM(Jul!I180, Aug!I180, Sep!I180)</f>
        <v>1059.390625</v>
      </c>
      <c r="J180" s="13">
        <f t="shared" si="8"/>
        <v>4.298253844281251E-2</v>
      </c>
    </row>
    <row r="181" spans="1:10" ht="15.6">
      <c r="A181" s="26" t="str">
        <v>Q205</v>
      </c>
      <c r="B181" s="27" t="str">
        <v>NY</v>
      </c>
      <c r="C181" s="27" t="str">
        <f>Sites[[#This Row],[SOL'#]]</f>
        <v>SOL-10922</v>
      </c>
      <c r="D181" s="9">
        <f>SUM(Jul!D181, Aug!D181, Sep!D181)</f>
        <v>29880.34375</v>
      </c>
      <c r="E181" s="14">
        <f>SUM(Jul!E181, Aug!E181, Sep!E181)</f>
        <v>35274.04</v>
      </c>
      <c r="F181" s="14">
        <f t="shared" si="6"/>
        <v>-5393.6962500000009</v>
      </c>
      <c r="G181" s="15">
        <f t="shared" si="7"/>
        <v>-0.15290837822942879</v>
      </c>
      <c r="H181" s="16">
        <f>SUM(Jul!H181,Aug!H181,Sep!H181)</f>
        <v>29435</v>
      </c>
      <c r="I181" s="16">
        <f>SUM(Jul!I181, Aug!I181, Sep!I181)</f>
        <v>445.34375</v>
      </c>
      <c r="J181" s="15">
        <f t="shared" si="8"/>
        <v>1.5129735009342619E-2</v>
      </c>
    </row>
    <row r="182" spans="1:10" ht="15.6">
      <c r="A182" s="24" t="str">
        <v>Q400</v>
      </c>
      <c r="B182" s="25" t="str">
        <v>NY</v>
      </c>
      <c r="C182" s="25" t="str">
        <f>Sites[[#This Row],[SOL'#]]</f>
        <v>SOL-10871</v>
      </c>
      <c r="D182" s="20">
        <f>SUM(Jul!D182, Aug!D182, Sep!D182)</f>
        <v>28683.4375</v>
      </c>
      <c r="E182" s="10">
        <f>SUM(Jul!E182, Aug!E182, Sep!E182)</f>
        <v>0</v>
      </c>
      <c r="F182" s="10">
        <f t="shared" si="6"/>
        <v>28683.4375</v>
      </c>
      <c r="G182" s="11" t="str">
        <f t="shared" si="7"/>
        <v/>
      </c>
      <c r="H182" s="12">
        <f>SUM(Jul!H182,Aug!H182,Sep!H182)</f>
        <v>48524</v>
      </c>
      <c r="I182" s="12">
        <f>SUM(Jul!I182, Aug!I182, Sep!I182)</f>
        <v>-19840.5625</v>
      </c>
      <c r="J182" s="13">
        <f t="shared" si="8"/>
        <v>-0.40888142980793007</v>
      </c>
    </row>
    <row r="183" spans="1:10" ht="15.6">
      <c r="A183" s="26" t="str">
        <v>R003</v>
      </c>
      <c r="B183" s="27" t="str">
        <v>NY</v>
      </c>
      <c r="C183" s="27" t="str">
        <f>Sites[[#This Row],[SOL'#]]</f>
        <v>SOL-10416</v>
      </c>
      <c r="D183" s="9">
        <f>SUM(Jul!D183, Aug!D183, Sep!D183)</f>
        <v>38385.109375</v>
      </c>
      <c r="E183" s="14">
        <f>SUM(Jul!E183, Aug!E183, Sep!E183)</f>
        <v>44378.38</v>
      </c>
      <c r="F183" s="14">
        <f t="shared" si="6"/>
        <v>-5993.2706249999974</v>
      </c>
      <c r="G183" s="15">
        <f t="shared" si="7"/>
        <v>-0.13504933314375148</v>
      </c>
      <c r="H183" s="16">
        <f>SUM(Jul!H183,Aug!H183,Sep!H183)</f>
        <v>43732</v>
      </c>
      <c r="I183" s="16">
        <f>SUM(Jul!I183, Aug!I183, Sep!I183)</f>
        <v>-5346.890625</v>
      </c>
      <c r="J183" s="15">
        <f t="shared" si="8"/>
        <v>-0.12226494614927284</v>
      </c>
    </row>
    <row r="184" spans="1:10" ht="15.6">
      <c r="A184" s="24" t="str">
        <v>R007</v>
      </c>
      <c r="B184" s="25" t="str">
        <v>NY</v>
      </c>
      <c r="C184" s="25" t="str">
        <f>Sites[[#This Row],[SOL'#]]</f>
        <v>SOL-10417</v>
      </c>
      <c r="D184" s="20">
        <f>SUM(Jul!D184, Aug!D184, Sep!D184)</f>
        <v>47890.6875</v>
      </c>
      <c r="E184" s="10">
        <f>SUM(Jul!E184, Aug!E184, Sep!E184)</f>
        <v>47595.02</v>
      </c>
      <c r="F184" s="10">
        <f t="shared" si="6"/>
        <v>295.6675000000032</v>
      </c>
      <c r="G184" s="11">
        <f t="shared" si="7"/>
        <v>6.2121520276701894E-3</v>
      </c>
      <c r="H184" s="12">
        <f>SUM(Jul!H184,Aug!H184,Sep!H184)</f>
        <v>47903.21</v>
      </c>
      <c r="I184" s="12">
        <f>SUM(Jul!I184, Aug!I184, Sep!I184)</f>
        <v>-12.522499999999127</v>
      </c>
      <c r="J184" s="13">
        <f t="shared" si="8"/>
        <v>-2.6141254416977747E-4</v>
      </c>
    </row>
    <row r="185" spans="1:10" ht="15.6">
      <c r="A185" s="26" t="str">
        <v>BK16</v>
      </c>
      <c r="B185" s="27" t="str">
        <v>NY</v>
      </c>
      <c r="C185" s="27" t="str">
        <f>Sites[[#This Row],[SOL'#]]</f>
        <v>SOL-11093</v>
      </c>
      <c r="D185" s="9">
        <f>SUM(Jul!D185, Aug!D185, Sep!D185)</f>
        <v>47968.984375</v>
      </c>
      <c r="E185" s="14">
        <f>SUM(Jul!E185, Aug!E185, Sep!E185)</f>
        <v>47268.57</v>
      </c>
      <c r="F185" s="14">
        <f t="shared" si="6"/>
        <v>700.41437500000029</v>
      </c>
      <c r="G185" s="15">
        <f t="shared" si="7"/>
        <v>1.4817761040793074E-2</v>
      </c>
      <c r="H185" s="16">
        <f>SUM(Jul!H185,Aug!H185,Sep!H185)</f>
        <v>46590</v>
      </c>
      <c r="I185" s="16">
        <f>SUM(Jul!I185, Aug!I185, Sep!I185)</f>
        <v>1378.984375</v>
      </c>
      <c r="J185" s="15">
        <f t="shared" si="8"/>
        <v>2.9598290942262288E-2</v>
      </c>
    </row>
    <row r="186" spans="1:10" ht="15.6">
      <c r="A186" s="24" t="str">
        <v>Trenton - Trenton East</v>
      </c>
      <c r="B186" s="25" t="str">
        <v>IL</v>
      </c>
      <c r="C186" s="25" t="str">
        <f>Sites[[#This Row],[SOL'#]]</f>
        <v>SOL-11060</v>
      </c>
      <c r="D186" s="60">
        <f>SUM(Jul!D186, Aug!D186, Sep!D186)</f>
        <v>408839</v>
      </c>
      <c r="E186" s="10">
        <f>SUM(Jul!E186, Aug!E186, Sep!E186)</f>
        <v>466838</v>
      </c>
      <c r="F186" s="10">
        <f t="shared" si="6"/>
        <v>-57999</v>
      </c>
      <c r="G186" s="11">
        <f t="shared" si="7"/>
        <v>-0.12423795834957736</v>
      </c>
      <c r="H186" s="12">
        <f>SUM(Jul!H186,Aug!H186,Sep!H186)</f>
        <v>551866</v>
      </c>
      <c r="I186" s="12">
        <f>SUM(Jul!I186, Aug!I186, Sep!I186)</f>
        <v>-143027</v>
      </c>
      <c r="J186" s="13">
        <f t="shared" si="8"/>
        <v>-0.25916979846556953</v>
      </c>
    </row>
    <row r="187" spans="1:10" ht="15.6">
      <c r="A187" s="26" t="str">
        <v>Trenton - Trenton West</v>
      </c>
      <c r="B187" s="27" t="str">
        <v>IL</v>
      </c>
      <c r="C187" s="27" t="str">
        <f>Sites[[#This Row],[SOL'#]]</f>
        <v>SOL-11061</v>
      </c>
      <c r="D187" s="74">
        <f>SUM(Jul!D187, Aug!D187, Sep!D187)</f>
        <v>279491</v>
      </c>
      <c r="E187" s="14">
        <f>SUM(Jul!E187, Aug!E187, Sep!E187)</f>
        <v>396472.3</v>
      </c>
      <c r="F187" s="14">
        <f t="shared" si="6"/>
        <v>-116981.29999999999</v>
      </c>
      <c r="G187" s="15">
        <f t="shared" si="7"/>
        <v>-0.29505541749070485</v>
      </c>
      <c r="H187" s="16">
        <f>SUM(Jul!H187,Aug!H187,Sep!H187)</f>
        <v>552240</v>
      </c>
      <c r="I187" s="16">
        <f>SUM(Jul!I187, Aug!I187, Sep!I187)</f>
        <v>-272749</v>
      </c>
      <c r="J187" s="15">
        <f t="shared" si="8"/>
        <v>-0.49389576995509199</v>
      </c>
    </row>
    <row r="188" spans="1:10" ht="15.6">
      <c r="A188" s="24" t="str">
        <v>Dakota - Dakota Solar 1</v>
      </c>
      <c r="B188" s="25" t="str">
        <v>IL</v>
      </c>
      <c r="C188" s="25" t="str">
        <f>Sites[[#This Row],[SOL'#]]</f>
        <v>SOL-11113</v>
      </c>
      <c r="D188" s="60">
        <f>SUM(Jul!D188, Aug!D188, Sep!D188)</f>
        <v>498126</v>
      </c>
      <c r="E188" s="10">
        <f>SUM(Jul!E188, Aug!E188, Sep!E188)</f>
        <v>522565.8</v>
      </c>
      <c r="F188" s="10">
        <f t="shared" si="6"/>
        <v>-24439.799999999988</v>
      </c>
      <c r="G188" s="11">
        <f t="shared" si="7"/>
        <v>-4.6768847100212049E-2</v>
      </c>
      <c r="H188" s="12">
        <f>SUM(Jul!H188,Aug!H188,Sep!H188)</f>
        <v>396944</v>
      </c>
      <c r="I188" s="12">
        <f>SUM(Jul!I188, Aug!I188, Sep!I188)</f>
        <v>101182</v>
      </c>
      <c r="J188" s="13">
        <f t="shared" si="8"/>
        <v>0.25490245475432305</v>
      </c>
    </row>
    <row r="189" spans="1:10" ht="15.6">
      <c r="A189" s="26" t="str">
        <v>X018</v>
      </c>
      <c r="B189" s="27" t="str">
        <v>NY</v>
      </c>
      <c r="C189" s="27" t="str">
        <f>Sites[[#This Row],[SOL'#]]</f>
        <v>SOL-10418</v>
      </c>
      <c r="D189" s="74">
        <f>SUM(Jul!D189, Aug!D189, Sep!D189)</f>
        <v>21239.7391015625</v>
      </c>
      <c r="E189" s="14">
        <f>SUM(Jul!E189, Aug!E189, Sep!E189)</f>
        <v>14102.8</v>
      </c>
      <c r="F189" s="14">
        <f t="shared" si="6"/>
        <v>7136.9391015625006</v>
      </c>
      <c r="G189" s="15">
        <f t="shared" si="7"/>
        <v>0.50606539847140286</v>
      </c>
      <c r="H189" s="16">
        <f>SUM(Jul!H189,Aug!H189,Sep!H189)</f>
        <v>23493</v>
      </c>
      <c r="I189" s="16">
        <f>SUM(Jul!I189, Aug!I189, Sep!I189)</f>
        <v>-2253.2608984375001</v>
      </c>
      <c r="J189" s="15">
        <f t="shared" si="8"/>
        <v>-9.5912012022198109E-2</v>
      </c>
    </row>
    <row r="190" spans="1:10" ht="15.6">
      <c r="A190" s="24" t="str">
        <v>Janiak Solar</v>
      </c>
      <c r="B190" s="25" t="str">
        <v>NY</v>
      </c>
      <c r="C190" s="25" t="str">
        <f>Sites[[#This Row],[SOL'#]]</f>
        <v>SOL-10898</v>
      </c>
      <c r="D190" s="60">
        <f>SUM(Jul!D190, Aug!D190, Sep!D190)</f>
        <v>398017</v>
      </c>
      <c r="E190" s="10">
        <f>SUM(Jul!E190, Aug!E190, Sep!E190)</f>
        <v>428103.8</v>
      </c>
      <c r="F190" s="10">
        <f t="shared" si="6"/>
        <v>-30086.799999999988</v>
      </c>
      <c r="G190" s="11">
        <f t="shared" si="7"/>
        <v>-7.0279217330002655E-2</v>
      </c>
      <c r="H190" s="12">
        <f>SUM(Jul!H190,Aug!H190,Sep!H190)</f>
        <v>457863</v>
      </c>
      <c r="I190" s="12">
        <f>SUM(Jul!I190, Aug!I190, Sep!I190)</f>
        <v>-59846</v>
      </c>
      <c r="J190" s="13">
        <f t="shared" si="8"/>
        <v>-0.13070722028204942</v>
      </c>
    </row>
    <row r="191" spans="1:10" ht="15.6">
      <c r="A191" s="26" t="str">
        <v>County Route 11B</v>
      </c>
      <c r="B191" s="27" t="str">
        <v>NY</v>
      </c>
      <c r="C191" s="27" t="str">
        <f>Sites[[#This Row],[SOL'#]]</f>
        <v>SOL-10983</v>
      </c>
      <c r="D191" s="74">
        <f>SUM(Jul!D191, Aug!D191, Sep!D191)</f>
        <v>1436404</v>
      </c>
      <c r="E191" s="14">
        <f>SUM(Jul!E191, Aug!E191, Sep!E191)</f>
        <v>1431678</v>
      </c>
      <c r="F191" s="14">
        <f t="shared" si="6"/>
        <v>4726</v>
      </c>
      <c r="G191" s="15">
        <f t="shared" si="7"/>
        <v>3.3010215984320495E-3</v>
      </c>
      <c r="H191" s="16">
        <f>SUM(Jul!H191,Aug!H191,Sep!H191)</f>
        <v>0</v>
      </c>
      <c r="I191" s="16">
        <f>SUM(Jul!I191, Aug!I191, Sep!I191)</f>
        <v>0</v>
      </c>
      <c r="J191" s="15" t="str">
        <f t="shared" si="8"/>
        <v/>
      </c>
    </row>
    <row r="192" spans="1:10" ht="15.6">
      <c r="A192" s="24" t="str">
        <v>Barone</v>
      </c>
      <c r="B192" s="25" t="str">
        <v>NY</v>
      </c>
      <c r="C192" s="25" t="str">
        <f>Sites[[#This Row],[SOL'#]]</f>
        <v>SOL-11034</v>
      </c>
      <c r="D192" s="60">
        <f>SUM(Jul!D192, Aug!D192, Sep!D192)</f>
        <v>670991</v>
      </c>
      <c r="E192" s="10">
        <f>SUM(Jul!E192, Aug!E192, Sep!E192)</f>
        <v>667986</v>
      </c>
      <c r="F192" s="10">
        <f t="shared" si="6"/>
        <v>3005</v>
      </c>
      <c r="G192" s="11">
        <f t="shared" si="7"/>
        <v>4.4985972759908144E-3</v>
      </c>
      <c r="H192" s="12">
        <f>SUM(Jul!H192,Aug!H192,Sep!H192)</f>
        <v>757195</v>
      </c>
      <c r="I192" s="12">
        <f>SUM(Jul!I192, Aug!I192, Sep!I192)</f>
        <v>-86204</v>
      </c>
      <c r="J192" s="13">
        <f t="shared" si="8"/>
        <v>-0.11384649925052331</v>
      </c>
    </row>
    <row r="193" spans="1:10" ht="15.6">
      <c r="A193" s="26" t="str">
        <v>Cedarville</v>
      </c>
      <c r="B193" s="27" t="str">
        <v>IL</v>
      </c>
      <c r="C193" s="27" t="str">
        <f>Sites[[#This Row],[SOL'#]]</f>
        <v>SOL-11069</v>
      </c>
      <c r="D193" s="74">
        <f>SUM(Jul!D193, Aug!D193, Sep!D193)</f>
        <v>412476</v>
      </c>
      <c r="E193" s="14">
        <f>SUM(Jul!E193, Aug!E193, Sep!E193)</f>
        <v>392183</v>
      </c>
      <c r="F193" s="14">
        <f t="shared" si="6"/>
        <v>20293</v>
      </c>
      <c r="G193" s="15">
        <f t="shared" si="7"/>
        <v>5.1743701282309533E-2</v>
      </c>
      <c r="H193" s="16">
        <f>SUM(Jul!H193,Aug!H193,Sep!H193)</f>
        <v>559363.6</v>
      </c>
      <c r="I193" s="16">
        <f>SUM(Jul!I193, Aug!I193, Sep!I193)</f>
        <v>-146887.59999999998</v>
      </c>
      <c r="J193" s="15">
        <f t="shared" si="8"/>
        <v>-0.26259770925387349</v>
      </c>
    </row>
    <row r="194" spans="1:10" ht="15.6">
      <c r="A194" s="24" t="str">
        <v xml:space="preserve"> O'Brien Hill #1</v>
      </c>
      <c r="B194" s="25" t="str">
        <v>NY</v>
      </c>
      <c r="C194" s="25" t="str">
        <f>Sites[[#This Row],[SOL'#]]</f>
        <v>SOL-11098</v>
      </c>
      <c r="D194" s="60">
        <f>SUM(Jul!D194, Aug!D194, Sep!D194)</f>
        <v>0</v>
      </c>
      <c r="E194" s="10">
        <f>SUM(Jul!E194, Aug!E194, Sep!E194)</f>
        <v>0</v>
      </c>
      <c r="F194" s="10">
        <f t="shared" si="6"/>
        <v>0</v>
      </c>
      <c r="G194" s="11" t="str">
        <f t="shared" si="7"/>
        <v/>
      </c>
      <c r="H194" s="12">
        <f>SUM(Jul!H194,Aug!H194,Sep!H194)</f>
        <v>0</v>
      </c>
      <c r="I194" s="12">
        <f>SUM(Jul!I194, Aug!I194, Sep!I194)</f>
        <v>0</v>
      </c>
      <c r="J194" s="13" t="str">
        <f t="shared" si="8"/>
        <v/>
      </c>
    </row>
    <row r="195" spans="1:10" ht="15.6">
      <c r="A195" s="26" t="str">
        <v xml:space="preserve"> O'Brien Hill #2</v>
      </c>
      <c r="B195" s="27" t="str">
        <v>NY</v>
      </c>
      <c r="C195" s="27" t="str">
        <f>Sites[[#This Row],[SOL'#]]</f>
        <v>SOL-11099</v>
      </c>
      <c r="D195" s="74">
        <f>SUM(Jul!D195, Aug!D195, Sep!D195)</f>
        <v>1037428</v>
      </c>
      <c r="E195" s="14">
        <f>SUM(Jul!E195, Aug!E195, Sep!E195)</f>
        <v>1037322</v>
      </c>
      <c r="F195" s="14">
        <f t="shared" si="6"/>
        <v>106</v>
      </c>
      <c r="G195" s="15">
        <f t="shared" si="7"/>
        <v>1.0218620640456869E-4</v>
      </c>
      <c r="H195" s="16">
        <f>SUM(Jul!H195,Aug!H195,Sep!H195)</f>
        <v>0</v>
      </c>
      <c r="I195" s="16">
        <f>SUM(Jul!I195, Aug!I195, Sep!I195)</f>
        <v>0</v>
      </c>
      <c r="J195" s="15" t="str">
        <f t="shared" si="8"/>
        <v/>
      </c>
    </row>
    <row r="196" spans="1:10" ht="15.6">
      <c r="A196" s="24" t="str">
        <v>Trinity - Freeport</v>
      </c>
      <c r="B196" s="25" t="str">
        <v>IL</v>
      </c>
      <c r="C196" s="25" t="str">
        <f>Sites[[#This Row],[SOL'#]]</f>
        <v>SOL-11057</v>
      </c>
      <c r="D196" s="60">
        <f>SUM(Jul!D196, Aug!D196, Sep!D196)</f>
        <v>442554</v>
      </c>
      <c r="E196" s="10">
        <f>SUM(Jul!E196, Aug!E196, Sep!E196)</f>
        <v>500503.4</v>
      </c>
      <c r="F196" s="10">
        <f t="shared" si="6"/>
        <v>-57949.400000000023</v>
      </c>
      <c r="G196" s="11">
        <f t="shared" si="7"/>
        <v>-0.11578223045038259</v>
      </c>
      <c r="H196" s="12">
        <f>SUM(Jul!H196,Aug!H196,Sep!H196)</f>
        <v>569424</v>
      </c>
      <c r="I196" s="12">
        <f>SUM(Jul!I196, Aug!I196, Sep!I196)</f>
        <v>-126870</v>
      </c>
      <c r="J196" s="13">
        <f t="shared" si="8"/>
        <v>-0.22280409677147434</v>
      </c>
    </row>
    <row r="197" spans="1:10" ht="15.6">
      <c r="A197" s="26" t="str">
        <v>Ransom</v>
      </c>
      <c r="B197" s="27" t="str">
        <v>NY</v>
      </c>
      <c r="C197" s="27" t="str">
        <f>Sites[[#This Row],[SOL'#]]</f>
        <v>SOL-11157</v>
      </c>
      <c r="D197" s="74">
        <f>SUM(Jul!D197, Aug!D197, Sep!D197)</f>
        <v>864708</v>
      </c>
      <c r="E197" s="14">
        <f>SUM(Jul!E197, Aug!E197, Sep!E197)</f>
        <v>861300</v>
      </c>
      <c r="F197" s="14">
        <f t="shared" ref="F197:F200" si="9">IF(AND(ISNUMBER(D197),ISNUMBER(E197)), D197-E197, "")</f>
        <v>3408</v>
      </c>
      <c r="G197" s="15">
        <f t="shared" si="7"/>
        <v>3.9568094740508536E-3</v>
      </c>
      <c r="H197" s="16">
        <f>SUM(Jul!H197,Aug!H197,Sep!H197)</f>
        <v>0</v>
      </c>
      <c r="I197" s="16">
        <f>SUM(Jul!I197, Aug!I197, Sep!I197)</f>
        <v>0</v>
      </c>
      <c r="J197" s="15" t="str">
        <f t="shared" si="8"/>
        <v/>
      </c>
    </row>
    <row r="198" spans="1:10" ht="15.6">
      <c r="A198" s="24" t="str">
        <v>Horseheads - Wedge</v>
      </c>
      <c r="B198" s="25" t="str">
        <v>NY</v>
      </c>
      <c r="C198" s="25" t="str">
        <f>Sites[[#This Row],[SOL'#]]</f>
        <v>SOL-11160</v>
      </c>
      <c r="D198" s="60">
        <f>SUM(Jul!D198, Aug!D198, Sep!D198)</f>
        <v>730633</v>
      </c>
      <c r="E198" s="10">
        <f>SUM(Jul!E198, Aug!E198, Sep!E198)</f>
        <v>728031</v>
      </c>
      <c r="F198" s="10">
        <f t="shared" si="9"/>
        <v>2602</v>
      </c>
      <c r="G198" s="11">
        <f t="shared" ref="G198:G200" si="10">IFERROR(F198/E198, "")</f>
        <v>3.5740236336090085E-3</v>
      </c>
      <c r="H198" s="12">
        <f>SUM(Jul!H198,Aug!H198,Sep!H198)</f>
        <v>0</v>
      </c>
      <c r="I198" s="12">
        <f>SUM(Jul!I198, Aug!I198, Sep!I198)</f>
        <v>0</v>
      </c>
      <c r="J198" s="13" t="str">
        <f t="shared" ref="J198:J200" si="11">IFERROR(I198/H198, "")</f>
        <v/>
      </c>
    </row>
    <row r="199" spans="1:10" ht="15.6">
      <c r="A199" s="26" t="str">
        <v>Otisville - Shoddy Hollow</v>
      </c>
      <c r="B199" s="27" t="str">
        <v>NY</v>
      </c>
      <c r="C199" s="27" t="str">
        <f>Sites[[#This Row],[SOL'#]]</f>
        <v>SOL-11185</v>
      </c>
      <c r="D199" s="74">
        <f>SUM(Jul!D199, Aug!D199, Sep!D199)</f>
        <v>1135818</v>
      </c>
      <c r="E199" s="14">
        <f>SUM(Jul!E199, Aug!E199, Sep!E199)</f>
        <v>1131387</v>
      </c>
      <c r="F199" s="14">
        <f t="shared" si="9"/>
        <v>4431</v>
      </c>
      <c r="G199" s="15">
        <f t="shared" si="10"/>
        <v>3.9164317779857823E-3</v>
      </c>
      <c r="H199" s="16">
        <f>SUM(Jul!H199,Aug!H199,Sep!H199)</f>
        <v>0</v>
      </c>
      <c r="I199" s="16">
        <f>SUM(Jul!I199, Aug!I199, Sep!I199)</f>
        <v>0</v>
      </c>
      <c r="J199" s="15" t="str">
        <f t="shared" si="11"/>
        <v/>
      </c>
    </row>
    <row r="200" spans="1:10" ht="15.6">
      <c r="A200" s="24" t="str">
        <v>Wellsville - Chenunda Creek</v>
      </c>
      <c r="B200" s="25" t="str">
        <v>NY</v>
      </c>
      <c r="C200" s="25" t="str">
        <f>Sites[[#This Row],[SOL'#]]</f>
        <v>SOL-11187</v>
      </c>
      <c r="D200" s="60">
        <f>SUM(Jul!D200, Aug!D200, Sep!D200)</f>
        <v>621490</v>
      </c>
      <c r="E200" s="10">
        <f>SUM(Jul!E200, Aug!E200, Sep!E200)</f>
        <v>619787</v>
      </c>
      <c r="F200" s="10">
        <f t="shared" si="9"/>
        <v>1703</v>
      </c>
      <c r="G200" s="11">
        <f t="shared" si="10"/>
        <v>2.7477181676930948E-3</v>
      </c>
      <c r="H200" s="12">
        <f>SUM(Jul!H200,Aug!H200,Sep!H200)</f>
        <v>0</v>
      </c>
      <c r="I200" s="12">
        <f>SUM(Jul!I200, Aug!I200, Sep!I200)</f>
        <v>0</v>
      </c>
      <c r="J200" s="13" t="str">
        <f t="shared" si="11"/>
        <v/>
      </c>
    </row>
  </sheetData>
  <mergeCells count="4">
    <mergeCell ref="H1:J1"/>
    <mergeCell ref="A1:D1"/>
    <mergeCell ref="E1:G1"/>
    <mergeCell ref="A2:B2"/>
  </mergeCells>
  <conditionalFormatting sqref="G2 J2">
    <cfRule type="cellIs" dxfId="64" priority="21" stopIfTrue="1" operator="lessThanOrEqual">
      <formula>-0.1</formula>
    </cfRule>
    <cfRule type="expression" dxfId="63" priority="22">
      <formula>AND(ISNUMBER(G2), G2&gt;=0.1)</formula>
    </cfRule>
  </conditionalFormatting>
  <conditionalFormatting sqref="G4:G200 J4:J200">
    <cfRule type="cellIs" dxfId="62" priority="1" stopIfTrue="1" operator="lessThanOrEqual">
      <formula>-0.1</formula>
    </cfRule>
    <cfRule type="expression" dxfId="61"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65" t="str" cm="1">
        <f t="array" ref="A1">portfolio</f>
        <v>Generate Capital</v>
      </c>
      <c r="B1" s="165"/>
      <c r="C1" s="165"/>
      <c r="D1" s="165"/>
      <c r="E1" s="166" t="s">
        <v>17</v>
      </c>
      <c r="F1" s="166"/>
      <c r="G1" s="166"/>
      <c r="H1" s="164" t="s">
        <v>18</v>
      </c>
      <c r="I1" s="164"/>
      <c r="J1" s="164"/>
    </row>
    <row r="2" spans="1:10" ht="19.5" customHeight="1">
      <c r="A2" s="167" t="s">
        <v>2</v>
      </c>
      <c r="B2" s="167"/>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SUM(Oct!D4, Nov!D4, Dec!D4)</f>
        <v>0</v>
      </c>
      <c r="E4" s="10">
        <f>SUM(Oct!E4, Nov!E4, Dec!E4)</f>
        <v>0</v>
      </c>
      <c r="F4" s="10">
        <f>IF(AND(ISNUMBER(D4),ISNUMBER(E4)), D4-E4, "")</f>
        <v>0</v>
      </c>
      <c r="G4" s="11" t="str">
        <f>IFERROR(F4/E4, "")</f>
        <v/>
      </c>
      <c r="H4" s="12">
        <f>SUM(Oct!H4,Nov!H4,Dec!H4)</f>
        <v>0</v>
      </c>
      <c r="I4" s="12">
        <f>SUM(Oct!I4, Nov!I4, Dec!I4)</f>
        <v>0</v>
      </c>
      <c r="J4" s="13" t="str">
        <f>IFERROR(I4/H4, "")</f>
        <v/>
      </c>
    </row>
    <row r="5" spans="1:10" ht="15.6">
      <c r="A5" s="26" t="str">
        <v>Fulton</v>
      </c>
      <c r="B5" s="27" t="str">
        <v>AZ</v>
      </c>
      <c r="C5" s="27" t="str">
        <f>Sites[[#This Row],[SOL'#]]</f>
        <v>SOL-10749</v>
      </c>
      <c r="D5" s="9">
        <f>SUM(Oct!D5, Nov!D5, Dec!D5)</f>
        <v>0</v>
      </c>
      <c r="E5" s="14">
        <f>SUM(Oct!E5, Nov!E5, Dec!E5)</f>
        <v>0</v>
      </c>
      <c r="F5" s="14">
        <f t="shared" ref="F5:F15" si="0">IF(AND(ISNUMBER(D5),ISNUMBER(E5)), D5-E5, "")</f>
        <v>0</v>
      </c>
      <c r="G5" s="15" t="str">
        <f>IFERROR(F5/E5, "")</f>
        <v/>
      </c>
      <c r="H5" s="16">
        <f>SUM(Oct!H5,Nov!H5,Dec!H5)</f>
        <v>0</v>
      </c>
      <c r="I5" s="16">
        <f>SUM(Oct!I5, Nov!I5, Dec!I5)</f>
        <v>0</v>
      </c>
      <c r="J5" s="15" t="str">
        <f>IFERROR(I5/H5, "")</f>
        <v/>
      </c>
    </row>
    <row r="6" spans="1:10" ht="15.6">
      <c r="A6" s="24" t="str">
        <v>JFK Elementary</v>
      </c>
      <c r="B6" s="25" t="str">
        <v>AZ</v>
      </c>
      <c r="C6" s="25" t="str">
        <f>Sites[[#This Row],[SOL'#]]</f>
        <v>SOL-10758</v>
      </c>
      <c r="D6" s="20">
        <f>SUM(Oct!D6, Nov!D6, Dec!D6)</f>
        <v>0</v>
      </c>
      <c r="E6" s="10">
        <f>SUM(Oct!E6, Nov!E6, Dec!E6)</f>
        <v>0</v>
      </c>
      <c r="F6" s="10">
        <f t="shared" si="0"/>
        <v>0</v>
      </c>
      <c r="G6" s="11" t="str">
        <f t="shared" ref="G6:G15" si="1">IFERROR(F6/E6, "")</f>
        <v/>
      </c>
      <c r="H6" s="12">
        <f>SUM(Oct!H6,Nov!H6,Dec!H6)</f>
        <v>0</v>
      </c>
      <c r="I6" s="12">
        <f>SUM(Oct!I6, Nov!I6, Dec!I6)</f>
        <v>0</v>
      </c>
      <c r="J6" s="13" t="str">
        <f t="shared" ref="J6:J15" si="2">IFERROR(I6/H6, "")</f>
        <v/>
      </c>
    </row>
    <row r="7" spans="1:10" ht="15.6">
      <c r="A7" s="26" t="str">
        <v>Noble</v>
      </c>
      <c r="B7" s="27" t="str">
        <v>AZ</v>
      </c>
      <c r="C7" s="27" t="str">
        <f>Sites[[#This Row],[SOL'#]]</f>
        <v>SOL-10750</v>
      </c>
      <c r="D7" s="9">
        <f>SUM(Oct!D7, Nov!D7, Dec!D7)</f>
        <v>0</v>
      </c>
      <c r="E7" s="14">
        <f>SUM(Oct!E7, Nov!E7, Dec!E7)</f>
        <v>0</v>
      </c>
      <c r="F7" s="14">
        <f t="shared" si="0"/>
        <v>0</v>
      </c>
      <c r="G7" s="15" t="str">
        <f t="shared" si="1"/>
        <v/>
      </c>
      <c r="H7" s="16">
        <f>SUM(Oct!H7,Nov!H7,Dec!H7)</f>
        <v>0</v>
      </c>
      <c r="I7" s="16">
        <f>SUM(Oct!I7, Nov!I7, Dec!I7)</f>
        <v>0</v>
      </c>
      <c r="J7" s="15" t="str">
        <f t="shared" si="2"/>
        <v/>
      </c>
    </row>
    <row r="8" spans="1:10" ht="15.6">
      <c r="A8" s="24" t="str">
        <v>Parking 3</v>
      </c>
      <c r="B8" s="25" t="str">
        <v>AZ</v>
      </c>
      <c r="C8" s="25" t="str">
        <f>Sites[[#This Row],[SOL'#]]</f>
        <v>SOL-10751</v>
      </c>
      <c r="D8" s="20">
        <f>SUM(Oct!D8, Nov!D8, Dec!D8)</f>
        <v>0</v>
      </c>
      <c r="E8" s="10">
        <f>SUM(Oct!E8, Nov!E8, Dec!E8)</f>
        <v>0</v>
      </c>
      <c r="F8" s="10">
        <f t="shared" si="0"/>
        <v>0</v>
      </c>
      <c r="G8" s="11" t="str">
        <f t="shared" si="1"/>
        <v/>
      </c>
      <c r="H8" s="12">
        <f>SUM(Oct!H8,Nov!H8,Dec!H8)</f>
        <v>0</v>
      </c>
      <c r="I8" s="12">
        <f>SUM(Oct!I8, Nov!I8, Dec!I8)</f>
        <v>0</v>
      </c>
      <c r="J8" s="13" t="str">
        <f t="shared" si="2"/>
        <v/>
      </c>
    </row>
    <row r="9" spans="1:10" ht="15.6">
      <c r="A9" s="26" t="str">
        <v>PE East</v>
      </c>
      <c r="B9" s="27" t="str">
        <v>AZ</v>
      </c>
      <c r="C9" s="27" t="str">
        <f>Sites[[#This Row],[SOL'#]]</f>
        <v>SOL-10752</v>
      </c>
      <c r="D9" s="9">
        <f>SUM(Oct!D9, Nov!D9, Dec!D9)</f>
        <v>0</v>
      </c>
      <c r="E9" s="14">
        <f>SUM(Oct!E9, Nov!E9, Dec!E9)</f>
        <v>0</v>
      </c>
      <c r="F9" s="14">
        <f t="shared" si="0"/>
        <v>0</v>
      </c>
      <c r="G9" s="15" t="str">
        <f t="shared" si="1"/>
        <v/>
      </c>
      <c r="H9" s="16">
        <f>SUM(Oct!H9,Nov!H9,Dec!H9)</f>
        <v>0</v>
      </c>
      <c r="I9" s="16">
        <f>SUM(Oct!I9, Nov!I9, Dec!I9)</f>
        <v>0</v>
      </c>
      <c r="J9" s="15" t="str">
        <f t="shared" si="2"/>
        <v/>
      </c>
    </row>
    <row r="10" spans="1:10" ht="15.6">
      <c r="A10" s="24" t="str">
        <v>Schwada</v>
      </c>
      <c r="B10" s="25" t="str">
        <v>AZ</v>
      </c>
      <c r="C10" s="25" t="str">
        <f>Sites[[#This Row],[SOL'#]]</f>
        <v>SOL-10753</v>
      </c>
      <c r="D10" s="20">
        <f>SUM(Oct!D10, Nov!D10, Dec!D10)</f>
        <v>0</v>
      </c>
      <c r="E10" s="10">
        <f>SUM(Oct!E10, Nov!E10, Dec!E10)</f>
        <v>0</v>
      </c>
      <c r="F10" s="10">
        <f t="shared" si="0"/>
        <v>0</v>
      </c>
      <c r="G10" s="11" t="str">
        <f t="shared" si="1"/>
        <v/>
      </c>
      <c r="H10" s="12">
        <f>SUM(Oct!H10,Nov!H10,Dec!H10)</f>
        <v>0</v>
      </c>
      <c r="I10" s="12">
        <f>SUM(Oct!I10, Nov!I10, Dec!I10)</f>
        <v>0</v>
      </c>
      <c r="J10" s="13" t="str">
        <f t="shared" si="2"/>
        <v/>
      </c>
    </row>
    <row r="11" spans="1:10" ht="15.6">
      <c r="A11" s="26" t="str">
        <v>Starshine</v>
      </c>
      <c r="B11" s="27" t="str">
        <v>AZ</v>
      </c>
      <c r="C11" s="27" t="str">
        <f>Sites[[#This Row],[SOL'#]]</f>
        <v>SOL-10757</v>
      </c>
      <c r="D11" s="9">
        <f>SUM(Oct!D11, Nov!D11, Dec!D11)</f>
        <v>0</v>
      </c>
      <c r="E11" s="14">
        <f>SUM(Oct!E11, Nov!E11, Dec!E11)</f>
        <v>0</v>
      </c>
      <c r="F11" s="14">
        <f t="shared" si="0"/>
        <v>0</v>
      </c>
      <c r="G11" s="15" t="str">
        <f t="shared" si="1"/>
        <v/>
      </c>
      <c r="H11" s="16">
        <f>SUM(Oct!H11,Nov!H11,Dec!H11)</f>
        <v>0</v>
      </c>
      <c r="I11" s="16">
        <f>SUM(Oct!I11, Nov!I11, Dec!I11)</f>
        <v>0</v>
      </c>
      <c r="J11" s="15" t="str">
        <f t="shared" si="2"/>
        <v/>
      </c>
    </row>
    <row r="12" spans="1:10" ht="15.6">
      <c r="A12" s="24" t="str">
        <v>Yuma Airport</v>
      </c>
      <c r="B12" s="25" t="str">
        <v>AZ</v>
      </c>
      <c r="C12" s="25" t="str">
        <f>Sites[[#This Row],[SOL'#]]</f>
        <v>SOL-10754</v>
      </c>
      <c r="D12" s="20">
        <f>SUM(Oct!D12, Nov!D12, Dec!D12)</f>
        <v>0</v>
      </c>
      <c r="E12" s="10">
        <f>SUM(Oct!E12, Nov!E12, Dec!E12)</f>
        <v>0</v>
      </c>
      <c r="F12" s="10">
        <f t="shared" si="0"/>
        <v>0</v>
      </c>
      <c r="G12" s="11" t="str">
        <f t="shared" si="1"/>
        <v/>
      </c>
      <c r="H12" s="12">
        <f>SUM(Oct!H12,Nov!H12,Dec!H12)</f>
        <v>0</v>
      </c>
      <c r="I12" s="12">
        <f>SUM(Oct!I12, Nov!I12, Dec!I12)</f>
        <v>0</v>
      </c>
      <c r="J12" s="13" t="str">
        <f t="shared" si="2"/>
        <v/>
      </c>
    </row>
    <row r="13" spans="1:10" ht="15.6">
      <c r="A13" s="26" t="str">
        <v>Kinsman</v>
      </c>
      <c r="B13" s="27" t="str">
        <v>OH</v>
      </c>
      <c r="C13" s="27" t="str">
        <f>Sites[[#This Row],[SOL'#]]</f>
        <v>SOL-10762</v>
      </c>
      <c r="D13" s="9">
        <f>SUM(Oct!D13, Nov!D13, Dec!D13)</f>
        <v>0</v>
      </c>
      <c r="E13" s="14">
        <f>SUM(Oct!E13, Nov!E13, Dec!E13)</f>
        <v>0</v>
      </c>
      <c r="F13" s="14">
        <f t="shared" si="0"/>
        <v>0</v>
      </c>
      <c r="G13" s="15" t="str">
        <f t="shared" si="1"/>
        <v/>
      </c>
      <c r="H13" s="16">
        <f>SUM(Oct!H13,Nov!H13,Dec!H13)</f>
        <v>0</v>
      </c>
      <c r="I13" s="16">
        <f>SUM(Oct!I13, Nov!I13, Dec!I13)</f>
        <v>0</v>
      </c>
      <c r="J13" s="15" t="str">
        <f t="shared" si="2"/>
        <v/>
      </c>
    </row>
    <row r="14" spans="1:10" ht="15.6">
      <c r="A14" s="24" t="str">
        <v>Wooster</v>
      </c>
      <c r="B14" s="25" t="str">
        <v>OH</v>
      </c>
      <c r="C14" s="25" t="str">
        <f>Sites[[#This Row],[SOL'#]]</f>
        <v>SOL-10763</v>
      </c>
      <c r="D14" s="20">
        <f>SUM(Oct!D14, Nov!D14, Dec!D14)</f>
        <v>0</v>
      </c>
      <c r="E14" s="10">
        <f>SUM(Oct!E14, Nov!E14, Dec!E14)</f>
        <v>0</v>
      </c>
      <c r="F14" s="10">
        <f t="shared" si="0"/>
        <v>0</v>
      </c>
      <c r="G14" s="11" t="str">
        <f t="shared" si="1"/>
        <v/>
      </c>
      <c r="H14" s="12">
        <f>SUM(Oct!H14,Nov!H14,Dec!H14)</f>
        <v>0</v>
      </c>
      <c r="I14" s="12">
        <f>SUM(Oct!I14, Nov!I14, Dec!I14)</f>
        <v>0</v>
      </c>
      <c r="J14" s="13" t="str">
        <f t="shared" si="2"/>
        <v/>
      </c>
    </row>
    <row r="15" spans="1:10" ht="15.6">
      <c r="A15" s="26" t="str">
        <v>Globe Gila CC</v>
      </c>
      <c r="B15" s="27" t="str">
        <v>AZ</v>
      </c>
      <c r="C15" s="27" t="str">
        <f>Sites[[#This Row],[SOL'#]]</f>
        <v>SOL-10755</v>
      </c>
      <c r="D15" s="9">
        <f>SUM(Oct!D15, Nov!D15, Dec!D15)</f>
        <v>0</v>
      </c>
      <c r="E15" s="14">
        <f>SUM(Oct!E15, Nov!E15, Dec!E15)</f>
        <v>0</v>
      </c>
      <c r="F15" s="14">
        <f t="shared" si="0"/>
        <v>0</v>
      </c>
      <c r="G15" s="15" t="str">
        <f t="shared" si="1"/>
        <v/>
      </c>
      <c r="H15" s="16">
        <f>SUM(Oct!H15,Nov!H15,Dec!H15)</f>
        <v>0</v>
      </c>
      <c r="I15" s="16">
        <f>SUM(Oct!I15, Nov!I15, Dec!I15)</f>
        <v>0</v>
      </c>
      <c r="J15" s="15" t="str">
        <f t="shared" si="2"/>
        <v/>
      </c>
    </row>
    <row r="16" spans="1:10" ht="15.6">
      <c r="A16" s="24" t="str">
        <v>Payson Gila CC</v>
      </c>
      <c r="B16" s="25" t="str">
        <v>AZ</v>
      </c>
      <c r="C16" s="25" t="str">
        <f>Sites[[#This Row],[SOL'#]]</f>
        <v>SOL-10756</v>
      </c>
      <c r="D16" s="20">
        <f>SUM(Oct!D16, Nov!D16, Dec!D16)</f>
        <v>0</v>
      </c>
      <c r="E16" s="10">
        <f>SUM(Oct!E16, Nov!E16, Dec!E16)</f>
        <v>0</v>
      </c>
      <c r="F16" s="10">
        <f t="shared" ref="F16:F79" si="3">IF(AND(ISNUMBER(D16),ISNUMBER(E16)), D16-E16, "")</f>
        <v>0</v>
      </c>
      <c r="G16" s="11" t="str">
        <f t="shared" ref="G16:G79" si="4">IFERROR(F16/E16, "")</f>
        <v/>
      </c>
      <c r="H16" s="12">
        <f>SUM(Oct!H16,Nov!H16,Dec!H16)</f>
        <v>0</v>
      </c>
      <c r="I16" s="12">
        <f>SUM(Oct!I16, Nov!I16, Dec!I16)</f>
        <v>0</v>
      </c>
      <c r="J16" s="13" t="str">
        <f t="shared" ref="J16:J79" si="5">IFERROR(I16/H16, "")</f>
        <v/>
      </c>
    </row>
    <row r="17" spans="1:10" ht="15.6">
      <c r="A17" s="26" t="str">
        <v>SCNM</v>
      </c>
      <c r="B17" s="27" t="str">
        <v>AZ</v>
      </c>
      <c r="C17" s="27" t="str">
        <f>Sites[[#This Row],[SOL'#]]</f>
        <v>SOL-10760</v>
      </c>
      <c r="D17" s="9">
        <f>SUM(Oct!D17, Nov!D17, Dec!D17)</f>
        <v>0</v>
      </c>
      <c r="E17" s="14">
        <f>SUM(Oct!E17, Nov!E17, Dec!E17)</f>
        <v>0</v>
      </c>
      <c r="F17" s="14">
        <f t="shared" si="3"/>
        <v>0</v>
      </c>
      <c r="G17" s="15" t="str">
        <f t="shared" si="4"/>
        <v/>
      </c>
      <c r="H17" s="16">
        <f>SUM(Oct!H17,Nov!H17,Dec!H17)</f>
        <v>0</v>
      </c>
      <c r="I17" s="16">
        <f>SUM(Oct!I17, Nov!I17, Dec!I17)</f>
        <v>0</v>
      </c>
      <c r="J17" s="15" t="str">
        <f t="shared" si="5"/>
        <v/>
      </c>
    </row>
    <row r="18" spans="1:10" ht="12.75" customHeight="1">
      <c r="A18" s="24" t="str">
        <v>Sequoia Charter School</v>
      </c>
      <c r="B18" s="25" t="str">
        <v>AZ</v>
      </c>
      <c r="C18" s="25" t="str">
        <f>Sites[[#This Row],[SOL'#]]</f>
        <v>SOL-10759</v>
      </c>
      <c r="D18" s="20">
        <f>SUM(Oct!D18, Nov!D18, Dec!D18)</f>
        <v>0</v>
      </c>
      <c r="E18" s="10">
        <f>SUM(Oct!E18, Nov!E18, Dec!E18)</f>
        <v>0</v>
      </c>
      <c r="F18" s="10">
        <f t="shared" si="3"/>
        <v>0</v>
      </c>
      <c r="G18" s="11" t="str">
        <f t="shared" si="4"/>
        <v/>
      </c>
      <c r="H18" s="12">
        <f>SUM(Oct!H18,Nov!H18,Dec!H18)</f>
        <v>0</v>
      </c>
      <c r="I18" s="12">
        <f>SUM(Oct!I18, Nov!I18, Dec!I18)</f>
        <v>0</v>
      </c>
      <c r="J18" s="13" t="str">
        <f t="shared" si="5"/>
        <v/>
      </c>
    </row>
    <row r="19" spans="1:10" ht="15.6">
      <c r="A19" s="26" t="str">
        <v>RCAB</v>
      </c>
      <c r="B19" s="27" t="str">
        <v>MA</v>
      </c>
      <c r="C19" s="27" t="str">
        <f>Sites[[#This Row],[SOL'#]]</f>
        <v>SOL-10838</v>
      </c>
      <c r="D19" s="9">
        <f>SUM(Oct!D19, Nov!D19, Dec!D19)</f>
        <v>0</v>
      </c>
      <c r="E19" s="14">
        <f>SUM(Oct!E19, Nov!E19, Dec!E19)</f>
        <v>0</v>
      </c>
      <c r="F19" s="14">
        <f t="shared" si="3"/>
        <v>0</v>
      </c>
      <c r="G19" s="15" t="str">
        <f t="shared" si="4"/>
        <v/>
      </c>
      <c r="H19" s="16">
        <f>SUM(Oct!H19,Nov!H19,Dec!H19)</f>
        <v>0</v>
      </c>
      <c r="I19" s="16">
        <f>SUM(Oct!I19, Nov!I19, Dec!I19)</f>
        <v>0</v>
      </c>
      <c r="J19" s="15" t="str">
        <f t="shared" si="5"/>
        <v/>
      </c>
    </row>
    <row r="20" spans="1:10" ht="15.6">
      <c r="A20" s="24" t="str">
        <v>Spectro Coatings</v>
      </c>
      <c r="B20" s="25" t="str">
        <v>MA</v>
      </c>
      <c r="C20" s="25" t="str">
        <f>Sites[[#This Row],[SOL'#]]</f>
        <v>SOL-10074</v>
      </c>
      <c r="D20" s="20">
        <f>SUM(Oct!D20, Nov!D20, Dec!D20)</f>
        <v>0</v>
      </c>
      <c r="E20" s="10">
        <f>SUM(Oct!E20, Nov!E20, Dec!E20)</f>
        <v>0</v>
      </c>
      <c r="F20" s="10">
        <f t="shared" si="3"/>
        <v>0</v>
      </c>
      <c r="G20" s="11" t="str">
        <f t="shared" si="4"/>
        <v/>
      </c>
      <c r="H20" s="12">
        <f>SUM(Oct!H20,Nov!H20,Dec!H20)</f>
        <v>0</v>
      </c>
      <c r="I20" s="12">
        <f>SUM(Oct!I20, Nov!I20, Dec!I20)</f>
        <v>0</v>
      </c>
      <c r="J20" s="13" t="str">
        <f t="shared" si="5"/>
        <v/>
      </c>
    </row>
    <row r="21" spans="1:10" ht="15.6">
      <c r="A21" s="26" t="str">
        <v>K026</v>
      </c>
      <c r="B21" s="27" t="str">
        <v>NY</v>
      </c>
      <c r="C21" s="27" t="str">
        <f>Sites[[#This Row],[SOL'#]]</f>
        <v>SOL-10356</v>
      </c>
      <c r="D21" s="9">
        <f>SUM(Oct!D21, Nov!D21, Dec!D21)</f>
        <v>0</v>
      </c>
      <c r="E21" s="14">
        <f>SUM(Oct!E21, Nov!E21, Dec!E21)</f>
        <v>0</v>
      </c>
      <c r="F21" s="14">
        <f t="shared" si="3"/>
        <v>0</v>
      </c>
      <c r="G21" s="15" t="str">
        <f t="shared" si="4"/>
        <v/>
      </c>
      <c r="H21" s="16">
        <f>SUM(Oct!H21,Nov!H21,Dec!H21)</f>
        <v>0</v>
      </c>
      <c r="I21" s="16">
        <f>SUM(Oct!I21, Nov!I21, Dec!I21)</f>
        <v>0</v>
      </c>
      <c r="J21" s="15" t="str">
        <f t="shared" si="5"/>
        <v/>
      </c>
    </row>
    <row r="22" spans="1:10" ht="15.6">
      <c r="A22" s="24" t="str">
        <v>K041</v>
      </c>
      <c r="B22" s="25" t="str">
        <v>NY</v>
      </c>
      <c r="C22" s="25" t="str">
        <f>Sites[[#This Row],[SOL'#]]</f>
        <v>SOL-10357</v>
      </c>
      <c r="D22" s="20">
        <f>SUM(Oct!D22, Nov!D22, Dec!D22)</f>
        <v>0</v>
      </c>
      <c r="E22" s="10">
        <f>SUM(Oct!E22, Nov!E22, Dec!E22)</f>
        <v>0</v>
      </c>
      <c r="F22" s="10">
        <f t="shared" si="3"/>
        <v>0</v>
      </c>
      <c r="G22" s="11" t="str">
        <f t="shared" si="4"/>
        <v/>
      </c>
      <c r="H22" s="12">
        <f>SUM(Oct!H22,Nov!H22,Dec!H22)</f>
        <v>0</v>
      </c>
      <c r="I22" s="12">
        <f>SUM(Oct!I22, Nov!I22, Dec!I22)</f>
        <v>0</v>
      </c>
      <c r="J22" s="13" t="str">
        <f t="shared" si="5"/>
        <v/>
      </c>
    </row>
    <row r="23" spans="1:10" ht="15.6">
      <c r="A23" s="26" t="str">
        <v>K043</v>
      </c>
      <c r="B23" s="27" t="str">
        <v>NY</v>
      </c>
      <c r="C23" s="27" t="str">
        <f>Sites[[#This Row],[SOL'#]]</f>
        <v>SOL-10358</v>
      </c>
      <c r="D23" s="9">
        <f>SUM(Oct!D23, Nov!D23, Dec!D23)</f>
        <v>0</v>
      </c>
      <c r="E23" s="14">
        <f>SUM(Oct!E23, Nov!E23, Dec!E23)</f>
        <v>0</v>
      </c>
      <c r="F23" s="14">
        <f t="shared" si="3"/>
        <v>0</v>
      </c>
      <c r="G23" s="15" t="str">
        <f t="shared" si="4"/>
        <v/>
      </c>
      <c r="H23" s="16">
        <f>SUM(Oct!H23,Nov!H23,Dec!H23)</f>
        <v>0</v>
      </c>
      <c r="I23" s="16">
        <f>SUM(Oct!I23, Nov!I23, Dec!I23)</f>
        <v>0</v>
      </c>
      <c r="J23" s="15" t="str">
        <f t="shared" si="5"/>
        <v/>
      </c>
    </row>
    <row r="24" spans="1:10" ht="15.6">
      <c r="A24" s="24" t="str">
        <v>K058</v>
      </c>
      <c r="B24" s="25" t="str">
        <v>NY</v>
      </c>
      <c r="C24" s="25" t="str">
        <f>Sites[[#This Row],[SOL'#]]</f>
        <v>SOL-10360</v>
      </c>
      <c r="D24" s="20">
        <f>SUM(Oct!D24, Nov!D24, Dec!D24)</f>
        <v>0</v>
      </c>
      <c r="E24" s="10">
        <f>SUM(Oct!E24, Nov!E24, Dec!E24)</f>
        <v>0</v>
      </c>
      <c r="F24" s="10">
        <f t="shared" si="3"/>
        <v>0</v>
      </c>
      <c r="G24" s="11" t="str">
        <f t="shared" si="4"/>
        <v/>
      </c>
      <c r="H24" s="12">
        <f>SUM(Oct!H24,Nov!H24,Dec!H24)</f>
        <v>0</v>
      </c>
      <c r="I24" s="12">
        <f>SUM(Oct!I24, Nov!I24, Dec!I24)</f>
        <v>0</v>
      </c>
      <c r="J24" s="13" t="str">
        <f t="shared" si="5"/>
        <v/>
      </c>
    </row>
    <row r="25" spans="1:10" ht="15.6">
      <c r="A25" s="26" t="str">
        <v>K115</v>
      </c>
      <c r="B25" s="27" t="str">
        <v>NY</v>
      </c>
      <c r="C25" s="27" t="str">
        <f>Sites[[#This Row],[SOL'#]]</f>
        <v>SOL-10361</v>
      </c>
      <c r="D25" s="9">
        <f>SUM(Oct!D25, Nov!D25, Dec!D25)</f>
        <v>0</v>
      </c>
      <c r="E25" s="14">
        <f>SUM(Oct!E25, Nov!E25, Dec!E25)</f>
        <v>0</v>
      </c>
      <c r="F25" s="14">
        <f t="shared" si="3"/>
        <v>0</v>
      </c>
      <c r="G25" s="15" t="str">
        <f t="shared" si="4"/>
        <v/>
      </c>
      <c r="H25" s="16">
        <f>SUM(Oct!H25,Nov!H25,Dec!H25)</f>
        <v>0</v>
      </c>
      <c r="I25" s="16">
        <f>SUM(Oct!I25, Nov!I25, Dec!I25)</f>
        <v>0</v>
      </c>
      <c r="J25" s="15" t="str">
        <f t="shared" si="5"/>
        <v/>
      </c>
    </row>
    <row r="26" spans="1:10" ht="15.6">
      <c r="A26" s="24" t="str">
        <v>K152</v>
      </c>
      <c r="B26" s="25" t="str">
        <v>NY</v>
      </c>
      <c r="C26" s="25" t="str">
        <f>Sites[[#This Row],[SOL'#]]</f>
        <v>SOL-10362</v>
      </c>
      <c r="D26" s="20">
        <f>SUM(Oct!D26, Nov!D26, Dec!D26)</f>
        <v>0</v>
      </c>
      <c r="E26" s="10">
        <f>SUM(Oct!E26, Nov!E26, Dec!E26)</f>
        <v>0</v>
      </c>
      <c r="F26" s="10">
        <f t="shared" si="3"/>
        <v>0</v>
      </c>
      <c r="G26" s="11" t="str">
        <f t="shared" si="4"/>
        <v/>
      </c>
      <c r="H26" s="12">
        <f>SUM(Oct!H26,Nov!H26,Dec!H26)</f>
        <v>0</v>
      </c>
      <c r="I26" s="12">
        <f>SUM(Oct!I26, Nov!I26, Dec!I26)</f>
        <v>0</v>
      </c>
      <c r="J26" s="13" t="str">
        <f t="shared" si="5"/>
        <v/>
      </c>
    </row>
    <row r="27" spans="1:10" ht="15.6">
      <c r="A27" s="26" t="str">
        <v>K166</v>
      </c>
      <c r="B27" s="27" t="str">
        <v>NY</v>
      </c>
      <c r="C27" s="27" t="str">
        <f>Sites[[#This Row],[SOL'#]]</f>
        <v>SOL-10363</v>
      </c>
      <c r="D27" s="9">
        <f>SUM(Oct!D27, Nov!D27, Dec!D27)</f>
        <v>0</v>
      </c>
      <c r="E27" s="14">
        <f>SUM(Oct!E27, Nov!E27, Dec!E27)</f>
        <v>0</v>
      </c>
      <c r="F27" s="14">
        <f t="shared" si="3"/>
        <v>0</v>
      </c>
      <c r="G27" s="15" t="str">
        <f t="shared" si="4"/>
        <v/>
      </c>
      <c r="H27" s="16">
        <f>SUM(Oct!H27,Nov!H27,Dec!H27)</f>
        <v>0</v>
      </c>
      <c r="I27" s="16">
        <f>SUM(Oct!I27, Nov!I27, Dec!I27)</f>
        <v>0</v>
      </c>
      <c r="J27" s="15" t="str">
        <f t="shared" si="5"/>
        <v/>
      </c>
    </row>
    <row r="28" spans="1:10" ht="15.6">
      <c r="A28" s="24" t="str">
        <v>K206</v>
      </c>
      <c r="B28" s="25" t="str">
        <v>NY</v>
      </c>
      <c r="C28" s="25" t="str">
        <f>Sites[[#This Row],[SOL'#]]</f>
        <v>SOL-10927</v>
      </c>
      <c r="D28" s="20">
        <f>SUM(Oct!D28, Nov!D28, Dec!D28)</f>
        <v>0</v>
      </c>
      <c r="E28" s="10">
        <f>SUM(Oct!E28, Nov!E28, Dec!E28)</f>
        <v>0</v>
      </c>
      <c r="F28" s="10">
        <f t="shared" si="3"/>
        <v>0</v>
      </c>
      <c r="G28" s="11" t="str">
        <f t="shared" si="4"/>
        <v/>
      </c>
      <c r="H28" s="12">
        <f>SUM(Oct!H28,Nov!H28,Dec!H28)</f>
        <v>0</v>
      </c>
      <c r="I28" s="12">
        <f>SUM(Oct!I28, Nov!I28, Dec!I28)</f>
        <v>0</v>
      </c>
      <c r="J28" s="13" t="str">
        <f t="shared" si="5"/>
        <v/>
      </c>
    </row>
    <row r="29" spans="1:10" ht="15.6">
      <c r="A29" s="26" t="str">
        <v>K251</v>
      </c>
      <c r="B29" s="27" t="str">
        <v>NY</v>
      </c>
      <c r="C29" s="27" t="str">
        <f>Sites[[#This Row],[SOL'#]]</f>
        <v>SOL-10365</v>
      </c>
      <c r="D29" s="9">
        <f>SUM(Oct!D29, Nov!D29, Dec!D29)</f>
        <v>0</v>
      </c>
      <c r="E29" s="14">
        <f>SUM(Oct!E29, Nov!E29, Dec!E29)</f>
        <v>0</v>
      </c>
      <c r="F29" s="14">
        <f t="shared" si="3"/>
        <v>0</v>
      </c>
      <c r="G29" s="15" t="str">
        <f t="shared" si="4"/>
        <v/>
      </c>
      <c r="H29" s="16">
        <f>SUM(Oct!H29,Nov!H29,Dec!H29)</f>
        <v>0</v>
      </c>
      <c r="I29" s="16">
        <f>SUM(Oct!I29, Nov!I29, Dec!I29)</f>
        <v>0</v>
      </c>
      <c r="J29" s="15" t="str">
        <f t="shared" si="5"/>
        <v/>
      </c>
    </row>
    <row r="30" spans="1:10" ht="15.6">
      <c r="A30" s="24" t="str">
        <v>K269</v>
      </c>
      <c r="B30" s="25" t="str">
        <v>NY</v>
      </c>
      <c r="C30" s="25" t="str">
        <f>Sites[[#This Row],[SOL'#]]</f>
        <v>SOL-10366</v>
      </c>
      <c r="D30" s="20">
        <f>SUM(Oct!D30, Nov!D30, Dec!D30)</f>
        <v>0</v>
      </c>
      <c r="E30" s="10">
        <f>SUM(Oct!E30, Nov!E30, Dec!E30)</f>
        <v>0</v>
      </c>
      <c r="F30" s="10">
        <f t="shared" si="3"/>
        <v>0</v>
      </c>
      <c r="G30" s="11" t="str">
        <f t="shared" si="4"/>
        <v/>
      </c>
      <c r="H30" s="12">
        <f>SUM(Oct!H30,Nov!H30,Dec!H30)</f>
        <v>0</v>
      </c>
      <c r="I30" s="12">
        <f>SUM(Oct!I30, Nov!I30, Dec!I30)</f>
        <v>0</v>
      </c>
      <c r="J30" s="13" t="str">
        <f t="shared" si="5"/>
        <v/>
      </c>
    </row>
    <row r="31" spans="1:10" ht="15.6">
      <c r="A31" s="26" t="str">
        <v>K273</v>
      </c>
      <c r="B31" s="27" t="str">
        <v>NY</v>
      </c>
      <c r="C31" s="27" t="str">
        <f>Sites[[#This Row],[SOL'#]]</f>
        <v>SOL-10367</v>
      </c>
      <c r="D31" s="9">
        <f>SUM(Oct!D31, Nov!D31, Dec!D31)</f>
        <v>0</v>
      </c>
      <c r="E31" s="14">
        <f>SUM(Oct!E31, Nov!E31, Dec!E31)</f>
        <v>0</v>
      </c>
      <c r="F31" s="14">
        <f t="shared" si="3"/>
        <v>0</v>
      </c>
      <c r="G31" s="15" t="str">
        <f t="shared" si="4"/>
        <v/>
      </c>
      <c r="H31" s="16">
        <f>SUM(Oct!H31,Nov!H31,Dec!H31)</f>
        <v>0</v>
      </c>
      <c r="I31" s="16">
        <f>SUM(Oct!I31, Nov!I31, Dec!I31)</f>
        <v>0</v>
      </c>
      <c r="J31" s="15" t="str">
        <f t="shared" si="5"/>
        <v/>
      </c>
    </row>
    <row r="32" spans="1:10" ht="15.6">
      <c r="A32" s="24" t="str">
        <v>K287</v>
      </c>
      <c r="B32" s="25" t="str">
        <v>NY</v>
      </c>
      <c r="C32" s="25" t="str">
        <f>Sites[[#This Row],[SOL'#]]</f>
        <v>SOL-10919</v>
      </c>
      <c r="D32" s="20">
        <f>SUM(Oct!D32, Nov!D32, Dec!D32)</f>
        <v>0</v>
      </c>
      <c r="E32" s="10">
        <f>SUM(Oct!E32, Nov!E32, Dec!E32)</f>
        <v>0</v>
      </c>
      <c r="F32" s="10">
        <f t="shared" si="3"/>
        <v>0</v>
      </c>
      <c r="G32" s="11" t="str">
        <f t="shared" si="4"/>
        <v/>
      </c>
      <c r="H32" s="12">
        <f>SUM(Oct!H32,Nov!H32,Dec!H32)</f>
        <v>0</v>
      </c>
      <c r="I32" s="12">
        <f>SUM(Oct!I32, Nov!I32, Dec!I32)</f>
        <v>0</v>
      </c>
      <c r="J32" s="13" t="str">
        <f t="shared" si="5"/>
        <v/>
      </c>
    </row>
    <row r="33" spans="1:10" ht="15.6">
      <c r="A33" s="26" t="str">
        <v>K298</v>
      </c>
      <c r="B33" s="27" t="str">
        <v>NY</v>
      </c>
      <c r="C33" s="27" t="str">
        <f>Sites[[#This Row],[SOL'#]]</f>
        <v>SOL-10368</v>
      </c>
      <c r="D33" s="9">
        <f>SUM(Oct!D33, Nov!D33, Dec!D33)</f>
        <v>0</v>
      </c>
      <c r="E33" s="14">
        <f>SUM(Oct!E33, Nov!E33, Dec!E33)</f>
        <v>0</v>
      </c>
      <c r="F33" s="14">
        <f t="shared" si="3"/>
        <v>0</v>
      </c>
      <c r="G33" s="15" t="str">
        <f t="shared" si="4"/>
        <v/>
      </c>
      <c r="H33" s="16">
        <f>SUM(Oct!H33,Nov!H33,Dec!H33)</f>
        <v>0</v>
      </c>
      <c r="I33" s="16">
        <f>SUM(Oct!I33, Nov!I33, Dec!I33)</f>
        <v>0</v>
      </c>
      <c r="J33" s="15" t="str">
        <f t="shared" si="5"/>
        <v/>
      </c>
    </row>
    <row r="34" spans="1:10" ht="15.6">
      <c r="A34" s="24" t="str">
        <v>K335</v>
      </c>
      <c r="B34" s="25" t="str">
        <v>NY</v>
      </c>
      <c r="C34" s="25" t="str">
        <f>Sites[[#This Row],[SOL'#]]</f>
        <v>SOL-10370</v>
      </c>
      <c r="D34" s="20">
        <f>SUM(Oct!D34, Nov!D34, Dec!D34)</f>
        <v>0</v>
      </c>
      <c r="E34" s="10">
        <f>SUM(Oct!E34, Nov!E34, Dec!E34)</f>
        <v>0</v>
      </c>
      <c r="F34" s="10">
        <f t="shared" si="3"/>
        <v>0</v>
      </c>
      <c r="G34" s="11" t="str">
        <f t="shared" si="4"/>
        <v/>
      </c>
      <c r="H34" s="12">
        <f>SUM(Oct!H34,Nov!H34,Dec!H34)</f>
        <v>0</v>
      </c>
      <c r="I34" s="12">
        <f>SUM(Oct!I34, Nov!I34, Dec!I34)</f>
        <v>0</v>
      </c>
      <c r="J34" s="13" t="str">
        <f t="shared" si="5"/>
        <v/>
      </c>
    </row>
    <row r="35" spans="1:10" ht="15.6">
      <c r="A35" s="26" t="str">
        <v>K345</v>
      </c>
      <c r="B35" s="27" t="str">
        <v>NY</v>
      </c>
      <c r="C35" s="27" t="str">
        <f>Sites[[#This Row],[SOL'#]]</f>
        <v>SOL-10920</v>
      </c>
      <c r="D35" s="9">
        <f>SUM(Oct!D35, Nov!D35, Dec!D35)</f>
        <v>0</v>
      </c>
      <c r="E35" s="14">
        <f>SUM(Oct!E35, Nov!E35, Dec!E35)</f>
        <v>0</v>
      </c>
      <c r="F35" s="14">
        <f t="shared" si="3"/>
        <v>0</v>
      </c>
      <c r="G35" s="15" t="str">
        <f t="shared" si="4"/>
        <v/>
      </c>
      <c r="H35" s="16">
        <f>SUM(Oct!H35,Nov!H35,Dec!H35)</f>
        <v>0</v>
      </c>
      <c r="I35" s="16">
        <f>SUM(Oct!I35, Nov!I35, Dec!I35)</f>
        <v>0</v>
      </c>
      <c r="J35" s="15" t="str">
        <f t="shared" si="5"/>
        <v/>
      </c>
    </row>
    <row r="36" spans="1:10" ht="15.6">
      <c r="A36" s="24" t="str">
        <v>K445</v>
      </c>
      <c r="B36" s="25" t="str">
        <v>NY</v>
      </c>
      <c r="C36" s="25" t="str">
        <f>Sites[[#This Row],[SOL'#]]</f>
        <v>SOL-10373</v>
      </c>
      <c r="D36" s="20">
        <f>SUM(Oct!D36, Nov!D36, Dec!D36)</f>
        <v>0</v>
      </c>
      <c r="E36" s="10">
        <f>SUM(Oct!E36, Nov!E36, Dec!E36)</f>
        <v>0</v>
      </c>
      <c r="F36" s="10">
        <f t="shared" si="3"/>
        <v>0</v>
      </c>
      <c r="G36" s="11" t="str">
        <f t="shared" si="4"/>
        <v/>
      </c>
      <c r="H36" s="12">
        <f>SUM(Oct!H36,Nov!H36,Dec!H36)</f>
        <v>0</v>
      </c>
      <c r="I36" s="12">
        <f>SUM(Oct!I36, Nov!I36, Dec!I36)</f>
        <v>0</v>
      </c>
      <c r="J36" s="13" t="str">
        <f t="shared" si="5"/>
        <v/>
      </c>
    </row>
    <row r="37" spans="1:10" ht="15.6">
      <c r="A37" s="26" t="str">
        <v>K495</v>
      </c>
      <c r="B37" s="27" t="str">
        <v>NY</v>
      </c>
      <c r="C37" s="27" t="str">
        <f>Sites[[#This Row],[SOL'#]]</f>
        <v>SOL-10374</v>
      </c>
      <c r="D37" s="9">
        <f>SUM(Oct!D37, Nov!D37, Dec!D37)</f>
        <v>0</v>
      </c>
      <c r="E37" s="14">
        <f>SUM(Oct!E37, Nov!E37, Dec!E37)</f>
        <v>0</v>
      </c>
      <c r="F37" s="14">
        <f t="shared" si="3"/>
        <v>0</v>
      </c>
      <c r="G37" s="15" t="str">
        <f t="shared" si="4"/>
        <v/>
      </c>
      <c r="H37" s="16">
        <f>SUM(Oct!H37,Nov!H37,Dec!H37)</f>
        <v>0</v>
      </c>
      <c r="I37" s="16">
        <f>SUM(Oct!I37, Nov!I37, Dec!I37)</f>
        <v>0</v>
      </c>
      <c r="J37" s="15" t="str">
        <f t="shared" si="5"/>
        <v/>
      </c>
    </row>
    <row r="38" spans="1:10" ht="15.6">
      <c r="A38" s="24" t="str">
        <v>M020</v>
      </c>
      <c r="B38" s="25" t="str">
        <v>NY</v>
      </c>
      <c r="C38" s="25" t="str">
        <f>Sites[[#This Row],[SOL'#]]</f>
        <v>SOL-10380</v>
      </c>
      <c r="D38" s="20">
        <f>SUM(Oct!D38, Nov!D38, Dec!D38)</f>
        <v>0</v>
      </c>
      <c r="E38" s="10">
        <f>SUM(Oct!E38, Nov!E38, Dec!E38)</f>
        <v>0</v>
      </c>
      <c r="F38" s="10">
        <f t="shared" si="3"/>
        <v>0</v>
      </c>
      <c r="G38" s="11" t="str">
        <f t="shared" si="4"/>
        <v/>
      </c>
      <c r="H38" s="12">
        <f>SUM(Oct!H38,Nov!H38,Dec!H38)</f>
        <v>0</v>
      </c>
      <c r="I38" s="12">
        <f>SUM(Oct!I38, Nov!I38, Dec!I38)</f>
        <v>0</v>
      </c>
      <c r="J38" s="13" t="str">
        <f t="shared" si="5"/>
        <v/>
      </c>
    </row>
    <row r="39" spans="1:10" ht="15.6">
      <c r="A39" s="26" t="str">
        <v>M092</v>
      </c>
      <c r="B39" s="27" t="str">
        <v>NY</v>
      </c>
      <c r="C39" s="27" t="str">
        <f>Sites[[#This Row],[SOL'#]]</f>
        <v>SOL-10383</v>
      </c>
      <c r="D39" s="9">
        <f>SUM(Oct!D39, Nov!D39, Dec!D39)</f>
        <v>0</v>
      </c>
      <c r="E39" s="14">
        <f>SUM(Oct!E39, Nov!E39, Dec!E39)</f>
        <v>0</v>
      </c>
      <c r="F39" s="14">
        <f t="shared" si="3"/>
        <v>0</v>
      </c>
      <c r="G39" s="15" t="str">
        <f t="shared" si="4"/>
        <v/>
      </c>
      <c r="H39" s="16">
        <f>SUM(Oct!H39,Nov!H39,Dec!H39)</f>
        <v>0</v>
      </c>
      <c r="I39" s="16">
        <f>SUM(Oct!I39, Nov!I39, Dec!I39)</f>
        <v>0</v>
      </c>
      <c r="J39" s="15" t="str">
        <f t="shared" si="5"/>
        <v/>
      </c>
    </row>
    <row r="40" spans="1:10" ht="15.6">
      <c r="A40" s="24" t="str">
        <v>M143</v>
      </c>
      <c r="B40" s="25" t="str">
        <v>NY</v>
      </c>
      <c r="C40" s="25" t="str">
        <f>Sites[[#This Row],[SOL'#]]</f>
        <v>SOL-10384</v>
      </c>
      <c r="D40" s="20">
        <f>SUM(Oct!D40, Nov!D40, Dec!D40)</f>
        <v>0</v>
      </c>
      <c r="E40" s="10">
        <f>SUM(Oct!E40, Nov!E40, Dec!E40)</f>
        <v>0</v>
      </c>
      <c r="F40" s="10">
        <f t="shared" si="3"/>
        <v>0</v>
      </c>
      <c r="G40" s="11" t="str">
        <f t="shared" si="4"/>
        <v/>
      </c>
      <c r="H40" s="12">
        <f>SUM(Oct!H40,Nov!H40,Dec!H40)</f>
        <v>0</v>
      </c>
      <c r="I40" s="12">
        <f>SUM(Oct!I40, Nov!I40, Dec!I40)</f>
        <v>0</v>
      </c>
      <c r="J40" s="13" t="str">
        <f t="shared" si="5"/>
        <v/>
      </c>
    </row>
    <row r="41" spans="1:10" ht="15.6">
      <c r="A41" s="26" t="str">
        <v>M144</v>
      </c>
      <c r="B41" s="27" t="str">
        <v>NY</v>
      </c>
      <c r="C41" s="27" t="str">
        <f>Sites[[#This Row],[SOL'#]]</f>
        <v>SOL-10385</v>
      </c>
      <c r="D41" s="9">
        <f>SUM(Oct!D41, Nov!D41, Dec!D41)</f>
        <v>0</v>
      </c>
      <c r="E41" s="14">
        <f>SUM(Oct!E41, Nov!E41, Dec!E41)</f>
        <v>0</v>
      </c>
      <c r="F41" s="14">
        <f t="shared" si="3"/>
        <v>0</v>
      </c>
      <c r="G41" s="15" t="str">
        <f t="shared" si="4"/>
        <v/>
      </c>
      <c r="H41" s="16">
        <f>SUM(Oct!H41,Nov!H41,Dec!H41)</f>
        <v>0</v>
      </c>
      <c r="I41" s="16">
        <f>SUM(Oct!I41, Nov!I41, Dec!I41)</f>
        <v>0</v>
      </c>
      <c r="J41" s="15" t="str">
        <f t="shared" si="5"/>
        <v/>
      </c>
    </row>
    <row r="42" spans="1:10" ht="15.6">
      <c r="A42" s="24" t="str">
        <v>M167</v>
      </c>
      <c r="B42" s="25" t="str">
        <v>NY</v>
      </c>
      <c r="C42" s="25" t="str">
        <f>Sites[[#This Row],[SOL'#]]</f>
        <v>SOL-10386</v>
      </c>
      <c r="D42" s="20">
        <f>SUM(Oct!D42, Nov!D42, Dec!D42)</f>
        <v>0</v>
      </c>
      <c r="E42" s="10">
        <f>SUM(Oct!E42, Nov!E42, Dec!E42)</f>
        <v>0</v>
      </c>
      <c r="F42" s="10">
        <f t="shared" si="3"/>
        <v>0</v>
      </c>
      <c r="G42" s="11" t="str">
        <f t="shared" si="4"/>
        <v/>
      </c>
      <c r="H42" s="12">
        <f>SUM(Oct!H42,Nov!H42,Dec!H42)</f>
        <v>0</v>
      </c>
      <c r="I42" s="12">
        <f>SUM(Oct!I42, Nov!I42, Dec!I42)</f>
        <v>0</v>
      </c>
      <c r="J42" s="13" t="str">
        <f t="shared" si="5"/>
        <v/>
      </c>
    </row>
    <row r="43" spans="1:10" ht="15.6">
      <c r="A43" s="26" t="str">
        <v>M188</v>
      </c>
      <c r="B43" s="27" t="str">
        <v>NY</v>
      </c>
      <c r="C43" s="27" t="str">
        <f>Sites[[#This Row],[SOL'#]]</f>
        <v>SOL-10387</v>
      </c>
      <c r="D43" s="9">
        <f>SUM(Oct!D43, Nov!D43, Dec!D43)</f>
        <v>0</v>
      </c>
      <c r="E43" s="14">
        <f>SUM(Oct!E43, Nov!E43, Dec!E43)</f>
        <v>0</v>
      </c>
      <c r="F43" s="14">
        <f t="shared" si="3"/>
        <v>0</v>
      </c>
      <c r="G43" s="15" t="str">
        <f t="shared" si="4"/>
        <v/>
      </c>
      <c r="H43" s="16">
        <f>SUM(Oct!H43,Nov!H43,Dec!H43)</f>
        <v>0</v>
      </c>
      <c r="I43" s="16">
        <f>SUM(Oct!I43, Nov!I43, Dec!I43)</f>
        <v>0</v>
      </c>
      <c r="J43" s="15" t="str">
        <f t="shared" si="5"/>
        <v/>
      </c>
    </row>
    <row r="44" spans="1:10" ht="15.6">
      <c r="A44" s="24" t="str">
        <v>EMHC</v>
      </c>
      <c r="B44" s="25" t="str">
        <v>NY</v>
      </c>
      <c r="C44" s="25" t="str">
        <f>Sites[[#This Row],[SOL'#]]</f>
        <v>SOL-10351</v>
      </c>
      <c r="D44" s="20">
        <f>SUM(Oct!D44, Nov!D44, Dec!D44)</f>
        <v>0</v>
      </c>
      <c r="E44" s="10">
        <f>SUM(Oct!E44, Nov!E44, Dec!E44)</f>
        <v>0</v>
      </c>
      <c r="F44" s="10">
        <f t="shared" si="3"/>
        <v>0</v>
      </c>
      <c r="G44" s="11" t="str">
        <f t="shared" si="4"/>
        <v/>
      </c>
      <c r="H44" s="12">
        <f>SUM(Oct!H44,Nov!H44,Dec!H44)</f>
        <v>0</v>
      </c>
      <c r="I44" s="12">
        <f>SUM(Oct!I44, Nov!I44, Dec!I44)</f>
        <v>0</v>
      </c>
      <c r="J44" s="13" t="str">
        <f t="shared" si="5"/>
        <v/>
      </c>
    </row>
    <row r="45" spans="1:10" ht="15.6">
      <c r="A45" s="26" t="str">
        <v>Q008</v>
      </c>
      <c r="B45" s="27" t="str">
        <v>NY</v>
      </c>
      <c r="C45" s="27" t="str">
        <f>Sites[[#This Row],[SOL'#]]</f>
        <v>SOL-10397</v>
      </c>
      <c r="D45" s="9">
        <f>SUM(Oct!D45, Nov!D45, Dec!D45)</f>
        <v>0</v>
      </c>
      <c r="E45" s="14">
        <f>SUM(Oct!E45, Nov!E45, Dec!E45)</f>
        <v>0</v>
      </c>
      <c r="F45" s="14">
        <f t="shared" si="3"/>
        <v>0</v>
      </c>
      <c r="G45" s="15" t="str">
        <f t="shared" si="4"/>
        <v/>
      </c>
      <c r="H45" s="16">
        <f>SUM(Oct!H45,Nov!H45,Dec!H45)</f>
        <v>0</v>
      </c>
      <c r="I45" s="16">
        <f>SUM(Oct!I45, Nov!I45, Dec!I45)</f>
        <v>0</v>
      </c>
      <c r="J45" s="15" t="str">
        <f t="shared" si="5"/>
        <v/>
      </c>
    </row>
    <row r="46" spans="1:10" ht="15.6">
      <c r="A46" s="24" t="str">
        <v>Q018</v>
      </c>
      <c r="B46" s="25" t="str">
        <v>NY</v>
      </c>
      <c r="C46" s="25" t="str">
        <f>Sites[[#This Row],[SOL'#]]</f>
        <v>SOL-10398</v>
      </c>
      <c r="D46" s="20">
        <f>SUM(Oct!D46, Nov!D46, Dec!D46)</f>
        <v>0</v>
      </c>
      <c r="E46" s="10">
        <f>SUM(Oct!E46, Nov!E46, Dec!E46)</f>
        <v>0</v>
      </c>
      <c r="F46" s="10">
        <f t="shared" si="3"/>
        <v>0</v>
      </c>
      <c r="G46" s="11" t="str">
        <f t="shared" si="4"/>
        <v/>
      </c>
      <c r="H46" s="12">
        <f>SUM(Oct!H46,Nov!H46,Dec!H46)</f>
        <v>0</v>
      </c>
      <c r="I46" s="12">
        <f>SUM(Oct!I46, Nov!I46, Dec!I46)</f>
        <v>0</v>
      </c>
      <c r="J46" s="13" t="str">
        <f t="shared" si="5"/>
        <v/>
      </c>
    </row>
    <row r="47" spans="1:10" ht="15.6">
      <c r="A47" s="26" t="str">
        <v>Q021</v>
      </c>
      <c r="B47" s="27" t="str">
        <v>NY</v>
      </c>
      <c r="C47" s="27" t="str">
        <f>Sites[[#This Row],[SOL'#]]</f>
        <v>SOL-10399</v>
      </c>
      <c r="D47" s="9">
        <f>SUM(Oct!D47, Nov!D47, Dec!D47)</f>
        <v>0</v>
      </c>
      <c r="E47" s="14">
        <f>SUM(Oct!E47, Nov!E47, Dec!E47)</f>
        <v>0</v>
      </c>
      <c r="F47" s="14">
        <f t="shared" si="3"/>
        <v>0</v>
      </c>
      <c r="G47" s="15" t="str">
        <f t="shared" si="4"/>
        <v/>
      </c>
      <c r="H47" s="16">
        <f>SUM(Oct!H47,Nov!H47,Dec!H47)</f>
        <v>0</v>
      </c>
      <c r="I47" s="16">
        <f>SUM(Oct!I47, Nov!I47, Dec!I47)</f>
        <v>0</v>
      </c>
      <c r="J47" s="15" t="str">
        <f t="shared" si="5"/>
        <v/>
      </c>
    </row>
    <row r="48" spans="1:10" ht="15.6">
      <c r="A48" s="24" t="str">
        <v>Q025</v>
      </c>
      <c r="B48" s="25" t="str">
        <v>NY</v>
      </c>
      <c r="C48" s="25" t="str">
        <f>Sites[[#This Row],[SOL'#]]</f>
        <v>SOL-10400</v>
      </c>
      <c r="D48" s="20">
        <f>SUM(Oct!D48, Nov!D48, Dec!D48)</f>
        <v>0</v>
      </c>
      <c r="E48" s="10">
        <f>SUM(Oct!E48, Nov!E48, Dec!E48)</f>
        <v>0</v>
      </c>
      <c r="F48" s="10">
        <f t="shared" si="3"/>
        <v>0</v>
      </c>
      <c r="G48" s="11" t="str">
        <f t="shared" si="4"/>
        <v/>
      </c>
      <c r="H48" s="12">
        <f>SUM(Oct!H48,Nov!H48,Dec!H48)</f>
        <v>0</v>
      </c>
      <c r="I48" s="12">
        <f>SUM(Oct!I48, Nov!I48, Dec!I48)</f>
        <v>0</v>
      </c>
      <c r="J48" s="13" t="str">
        <f t="shared" si="5"/>
        <v/>
      </c>
    </row>
    <row r="49" spans="1:10" ht="15.6">
      <c r="A49" s="26" t="str">
        <v>Q074</v>
      </c>
      <c r="B49" s="27" t="str">
        <v>NY</v>
      </c>
      <c r="C49" s="27" t="str">
        <f>Sites[[#This Row],[SOL'#]]</f>
        <v>SOL-10402</v>
      </c>
      <c r="D49" s="9">
        <f>SUM(Oct!D49, Nov!D49, Dec!D49)</f>
        <v>0</v>
      </c>
      <c r="E49" s="14">
        <f>SUM(Oct!E49, Nov!E49, Dec!E49)</f>
        <v>0</v>
      </c>
      <c r="F49" s="14">
        <f t="shared" si="3"/>
        <v>0</v>
      </c>
      <c r="G49" s="15" t="str">
        <f t="shared" si="4"/>
        <v/>
      </c>
      <c r="H49" s="16">
        <f>SUM(Oct!H49,Nov!H49,Dec!H49)</f>
        <v>0</v>
      </c>
      <c r="I49" s="16">
        <f>SUM(Oct!I49, Nov!I49, Dec!I49)</f>
        <v>0</v>
      </c>
      <c r="J49" s="15" t="str">
        <f t="shared" si="5"/>
        <v/>
      </c>
    </row>
    <row r="50" spans="1:10" ht="15.6">
      <c r="A50" s="24" t="str">
        <v>Q115</v>
      </c>
      <c r="B50" s="25" t="str">
        <v>NY</v>
      </c>
      <c r="C50" s="25" t="str">
        <f>Sites[[#This Row],[SOL'#]]</f>
        <v>SOL-10872</v>
      </c>
      <c r="D50" s="20">
        <f>SUM(Oct!D50, Nov!D50, Dec!D50)</f>
        <v>0</v>
      </c>
      <c r="E50" s="10">
        <f>SUM(Oct!E50, Nov!E50, Dec!E50)</f>
        <v>0</v>
      </c>
      <c r="F50" s="10">
        <f t="shared" si="3"/>
        <v>0</v>
      </c>
      <c r="G50" s="11" t="str">
        <f t="shared" si="4"/>
        <v/>
      </c>
      <c r="H50" s="12">
        <f>SUM(Oct!H50,Nov!H50,Dec!H50)</f>
        <v>0</v>
      </c>
      <c r="I50" s="12">
        <f>SUM(Oct!I50, Nov!I50, Dec!I50)</f>
        <v>0</v>
      </c>
      <c r="J50" s="13" t="str">
        <f t="shared" si="5"/>
        <v/>
      </c>
    </row>
    <row r="51" spans="1:10" ht="15.6">
      <c r="A51" s="26" t="str">
        <v>Q139</v>
      </c>
      <c r="B51" s="27" t="str">
        <v>NY</v>
      </c>
      <c r="C51" s="27" t="str">
        <f>Sites[[#This Row],[SOL'#]]</f>
        <v>SOL-10403</v>
      </c>
      <c r="D51" s="9">
        <f>SUM(Oct!D51, Nov!D51, Dec!D51)</f>
        <v>0</v>
      </c>
      <c r="E51" s="14">
        <f>SUM(Oct!E51, Nov!E51, Dec!E51)</f>
        <v>0</v>
      </c>
      <c r="F51" s="14">
        <f t="shared" si="3"/>
        <v>0</v>
      </c>
      <c r="G51" s="15" t="str">
        <f t="shared" si="4"/>
        <v/>
      </c>
      <c r="H51" s="16">
        <f>SUM(Oct!H51,Nov!H51,Dec!H51)</f>
        <v>0</v>
      </c>
      <c r="I51" s="16">
        <f>SUM(Oct!I51, Nov!I51, Dec!I51)</f>
        <v>0</v>
      </c>
      <c r="J51" s="15" t="str">
        <f t="shared" si="5"/>
        <v/>
      </c>
    </row>
    <row r="52" spans="1:10" ht="15.6">
      <c r="A52" s="24" t="str">
        <v>Q157</v>
      </c>
      <c r="B52" s="25" t="str">
        <v>NY</v>
      </c>
      <c r="C52" s="25" t="str">
        <f>Sites[[#This Row],[SOL'#]]</f>
        <v>SOL-10404</v>
      </c>
      <c r="D52" s="20">
        <f>SUM(Oct!D52, Nov!D52, Dec!D52)</f>
        <v>0</v>
      </c>
      <c r="E52" s="10">
        <f>SUM(Oct!E52, Nov!E52, Dec!E52)</f>
        <v>0</v>
      </c>
      <c r="F52" s="10">
        <f t="shared" si="3"/>
        <v>0</v>
      </c>
      <c r="G52" s="11" t="str">
        <f t="shared" si="4"/>
        <v/>
      </c>
      <c r="H52" s="12">
        <f>SUM(Oct!H52,Nov!H52,Dec!H52)</f>
        <v>0</v>
      </c>
      <c r="I52" s="12">
        <f>SUM(Oct!I52, Nov!I52, Dec!I52)</f>
        <v>0</v>
      </c>
      <c r="J52" s="13" t="str">
        <f t="shared" si="5"/>
        <v/>
      </c>
    </row>
    <row r="53" spans="1:10" ht="15.6">
      <c r="A53" s="26" t="str">
        <v>Q192</v>
      </c>
      <c r="B53" s="27" t="str">
        <v>NY</v>
      </c>
      <c r="C53" s="27" t="str">
        <f>Sites[[#This Row],[SOL'#]]</f>
        <v>SOL-10406</v>
      </c>
      <c r="D53" s="9">
        <f>SUM(Oct!D53, Nov!D53, Dec!D53)</f>
        <v>0</v>
      </c>
      <c r="E53" s="14">
        <f>SUM(Oct!E53, Nov!E53, Dec!E53)</f>
        <v>0</v>
      </c>
      <c r="F53" s="14">
        <f t="shared" si="3"/>
        <v>0</v>
      </c>
      <c r="G53" s="15" t="str">
        <f t="shared" si="4"/>
        <v/>
      </c>
      <c r="H53" s="16">
        <f>SUM(Oct!H53,Nov!H53,Dec!H53)</f>
        <v>0</v>
      </c>
      <c r="I53" s="16">
        <f>SUM(Oct!I53, Nov!I53, Dec!I53)</f>
        <v>0</v>
      </c>
      <c r="J53" s="15" t="str">
        <f t="shared" si="5"/>
        <v/>
      </c>
    </row>
    <row r="54" spans="1:10" ht="15.6">
      <c r="A54" s="24" t="str">
        <v>Q210</v>
      </c>
      <c r="B54" s="25" t="str">
        <v>NY</v>
      </c>
      <c r="C54" s="25" t="str">
        <f>Sites[[#This Row],[SOL'#]]</f>
        <v>SOL-10407</v>
      </c>
      <c r="D54" s="20">
        <f>SUM(Oct!D54, Nov!D54, Dec!D54)</f>
        <v>0</v>
      </c>
      <c r="E54" s="10">
        <f>SUM(Oct!E54, Nov!E54, Dec!E54)</f>
        <v>0</v>
      </c>
      <c r="F54" s="10">
        <f t="shared" si="3"/>
        <v>0</v>
      </c>
      <c r="G54" s="11" t="str">
        <f t="shared" si="4"/>
        <v/>
      </c>
      <c r="H54" s="12">
        <f>SUM(Oct!H54,Nov!H54,Dec!H54)</f>
        <v>0</v>
      </c>
      <c r="I54" s="12">
        <f>SUM(Oct!I54, Nov!I54, Dec!I54)</f>
        <v>0</v>
      </c>
      <c r="J54" s="13" t="str">
        <f t="shared" si="5"/>
        <v/>
      </c>
    </row>
    <row r="55" spans="1:10" ht="15.6">
      <c r="A55" s="26" t="str">
        <v>Q229</v>
      </c>
      <c r="B55" s="27" t="str">
        <v>NY</v>
      </c>
      <c r="C55" s="27" t="str">
        <f>Sites[[#This Row],[SOL'#]]</f>
        <v>SOL-10408</v>
      </c>
      <c r="D55" s="9">
        <f>SUM(Oct!D55, Nov!D55, Dec!D55)</f>
        <v>0</v>
      </c>
      <c r="E55" s="14">
        <f>SUM(Oct!E55, Nov!E55, Dec!E55)</f>
        <v>0</v>
      </c>
      <c r="F55" s="14">
        <f t="shared" si="3"/>
        <v>0</v>
      </c>
      <c r="G55" s="15" t="str">
        <f t="shared" si="4"/>
        <v/>
      </c>
      <c r="H55" s="16">
        <f>SUM(Oct!H55,Nov!H55,Dec!H55)</f>
        <v>0</v>
      </c>
      <c r="I55" s="16">
        <f>SUM(Oct!I55, Nov!I55, Dec!I55)</f>
        <v>0</v>
      </c>
      <c r="J55" s="15" t="str">
        <f t="shared" si="5"/>
        <v/>
      </c>
    </row>
    <row r="56" spans="1:10" ht="15.6">
      <c r="A56" s="24" t="str">
        <v>Q231</v>
      </c>
      <c r="B56" s="25" t="str">
        <v>NY</v>
      </c>
      <c r="C56" s="25" t="str">
        <f>Sites[[#This Row],[SOL'#]]</f>
        <v>SOL-10870</v>
      </c>
      <c r="D56" s="20">
        <f>SUM(Oct!D56, Nov!D56, Dec!D56)</f>
        <v>0</v>
      </c>
      <c r="E56" s="10">
        <f>SUM(Oct!E56, Nov!E56, Dec!E56)</f>
        <v>0</v>
      </c>
      <c r="F56" s="10">
        <f t="shared" si="3"/>
        <v>0</v>
      </c>
      <c r="G56" s="11" t="str">
        <f t="shared" si="4"/>
        <v/>
      </c>
      <c r="H56" s="12">
        <f>SUM(Oct!H56,Nov!H56,Dec!H56)</f>
        <v>0</v>
      </c>
      <c r="I56" s="12">
        <f>SUM(Oct!I56, Nov!I56, Dec!I56)</f>
        <v>0</v>
      </c>
      <c r="J56" s="13" t="str">
        <f t="shared" si="5"/>
        <v/>
      </c>
    </row>
    <row r="57" spans="1:10" ht="15.6">
      <c r="A57" s="26" t="str">
        <v>Q405</v>
      </c>
      <c r="B57" s="27" t="str">
        <v>NY</v>
      </c>
      <c r="C57" s="27" t="str">
        <f>Sites[[#This Row],[SOL'#]]</f>
        <v>SOL-10409</v>
      </c>
      <c r="D57" s="9">
        <f>SUM(Oct!D57, Nov!D57, Dec!D57)</f>
        <v>0</v>
      </c>
      <c r="E57" s="14">
        <f>SUM(Oct!E57, Nov!E57, Dec!E57)</f>
        <v>0</v>
      </c>
      <c r="F57" s="14">
        <f t="shared" si="3"/>
        <v>0</v>
      </c>
      <c r="G57" s="15" t="str">
        <f t="shared" si="4"/>
        <v/>
      </c>
      <c r="H57" s="16">
        <f>SUM(Oct!H57,Nov!H57,Dec!H57)</f>
        <v>0</v>
      </c>
      <c r="I57" s="16">
        <f>SUM(Oct!I57, Nov!I57, Dec!I57)</f>
        <v>0</v>
      </c>
      <c r="J57" s="15" t="str">
        <f t="shared" si="5"/>
        <v/>
      </c>
    </row>
    <row r="58" spans="1:10" ht="15.6">
      <c r="A58" s="24" t="str">
        <v>Q435</v>
      </c>
      <c r="B58" s="25" t="str">
        <v>NY</v>
      </c>
      <c r="C58" s="25" t="str">
        <f>Sites[[#This Row],[SOL'#]]</f>
        <v>SOL-10923</v>
      </c>
      <c r="D58" s="20">
        <f>SUM(Oct!D58, Nov!D58, Dec!D58)</f>
        <v>0</v>
      </c>
      <c r="E58" s="10">
        <f>SUM(Oct!E58, Nov!E58, Dec!E58)</f>
        <v>0</v>
      </c>
      <c r="F58" s="10">
        <f t="shared" si="3"/>
        <v>0</v>
      </c>
      <c r="G58" s="11" t="str">
        <f t="shared" si="4"/>
        <v/>
      </c>
      <c r="H58" s="12">
        <f>SUM(Oct!H58,Nov!H58,Dec!H58)</f>
        <v>0</v>
      </c>
      <c r="I58" s="12">
        <f>SUM(Oct!I58, Nov!I58, Dec!I58)</f>
        <v>0</v>
      </c>
      <c r="J58" s="13" t="str">
        <f t="shared" si="5"/>
        <v/>
      </c>
    </row>
    <row r="59" spans="1:10" ht="15.6">
      <c r="A59" s="26" t="str">
        <v>Q485</v>
      </c>
      <c r="B59" s="27" t="str">
        <v>NY</v>
      </c>
      <c r="C59" s="27" t="str">
        <f>Sites[[#This Row],[SOL'#]]</f>
        <v>SOL-10869</v>
      </c>
      <c r="D59" s="9">
        <f>SUM(Oct!D59, Nov!D59, Dec!D59)</f>
        <v>0</v>
      </c>
      <c r="E59" s="14">
        <f>SUM(Oct!E59, Nov!E59, Dec!E59)</f>
        <v>0</v>
      </c>
      <c r="F59" s="14">
        <f t="shared" si="3"/>
        <v>0</v>
      </c>
      <c r="G59" s="15" t="str">
        <f t="shared" si="4"/>
        <v/>
      </c>
      <c r="H59" s="16">
        <f>SUM(Oct!H59,Nov!H59,Dec!H59)</f>
        <v>0</v>
      </c>
      <c r="I59" s="16">
        <f>SUM(Oct!I59, Nov!I59, Dec!I59)</f>
        <v>0</v>
      </c>
      <c r="J59" s="15" t="str">
        <f t="shared" si="5"/>
        <v/>
      </c>
    </row>
    <row r="60" spans="1:10" ht="15.6">
      <c r="A60" s="24" t="str">
        <v>Q490</v>
      </c>
      <c r="B60" s="25" t="str">
        <v>NY</v>
      </c>
      <c r="C60" s="25" t="str">
        <f>Sites[[#This Row],[SOL'#]]</f>
        <v>SOL-10411</v>
      </c>
      <c r="D60" s="20">
        <f>SUM(Oct!D60, Nov!D60, Dec!D60)</f>
        <v>0</v>
      </c>
      <c r="E60" s="10">
        <f>SUM(Oct!E60, Nov!E60, Dec!E60)</f>
        <v>0</v>
      </c>
      <c r="F60" s="10">
        <f t="shared" si="3"/>
        <v>0</v>
      </c>
      <c r="G60" s="11" t="str">
        <f t="shared" si="4"/>
        <v/>
      </c>
      <c r="H60" s="12">
        <f>SUM(Oct!H60,Nov!H60,Dec!H60)</f>
        <v>0</v>
      </c>
      <c r="I60" s="12">
        <f>SUM(Oct!I60, Nov!I60, Dec!I60)</f>
        <v>0</v>
      </c>
      <c r="J60" s="13" t="str">
        <f t="shared" si="5"/>
        <v/>
      </c>
    </row>
    <row r="61" spans="1:10" ht="15.6">
      <c r="A61" s="26" t="str">
        <v>Q620</v>
      </c>
      <c r="B61" s="27" t="str">
        <v>NY</v>
      </c>
      <c r="C61" s="27" t="str">
        <f>Sites[[#This Row],[SOL'#]]</f>
        <v>SOL-10867</v>
      </c>
      <c r="D61" s="9">
        <f>SUM(Oct!D61, Nov!D61, Dec!D61)</f>
        <v>0</v>
      </c>
      <c r="E61" s="14">
        <f>SUM(Oct!E61, Nov!E61, Dec!E61)</f>
        <v>0</v>
      </c>
      <c r="F61" s="14">
        <f t="shared" si="3"/>
        <v>0</v>
      </c>
      <c r="G61" s="15" t="str">
        <f t="shared" si="4"/>
        <v/>
      </c>
      <c r="H61" s="16">
        <f>SUM(Oct!H61,Nov!H61,Dec!H61)</f>
        <v>0</v>
      </c>
      <c r="I61" s="16">
        <f>SUM(Oct!I61, Nov!I61, Dec!I61)</f>
        <v>0</v>
      </c>
      <c r="J61" s="15" t="str">
        <f t="shared" si="5"/>
        <v/>
      </c>
    </row>
    <row r="62" spans="1:10" ht="15.6">
      <c r="A62" s="24" t="str">
        <v>QMOA</v>
      </c>
      <c r="B62" s="25" t="str">
        <v>NY</v>
      </c>
      <c r="C62" s="25" t="str">
        <f>Sites[[#This Row],[SOL'#]]</f>
        <v>SOL-10415</v>
      </c>
      <c r="D62" s="20">
        <f>SUM(Oct!D62, Nov!D62, Dec!D62)</f>
        <v>0</v>
      </c>
      <c r="E62" s="10">
        <f>SUM(Oct!E62, Nov!E62, Dec!E62)</f>
        <v>0</v>
      </c>
      <c r="F62" s="10">
        <f t="shared" si="3"/>
        <v>0</v>
      </c>
      <c r="G62" s="11" t="str">
        <f t="shared" si="4"/>
        <v/>
      </c>
      <c r="H62" s="12">
        <f>SUM(Oct!H62,Nov!H62,Dec!H62)</f>
        <v>0</v>
      </c>
      <c r="I62" s="12">
        <f>SUM(Oct!I62, Nov!I62, Dec!I62)</f>
        <v>0</v>
      </c>
      <c r="J62" s="13" t="str">
        <f t="shared" si="5"/>
        <v/>
      </c>
    </row>
    <row r="63" spans="1:10" ht="15.6">
      <c r="A63" s="26" t="str">
        <v>X024</v>
      </c>
      <c r="B63" s="27" t="str">
        <v>NY</v>
      </c>
      <c r="C63" s="27" t="str">
        <f>Sites[[#This Row],[SOL'#]]</f>
        <v>SOL-10419</v>
      </c>
      <c r="D63" s="9">
        <f>SUM(Oct!D63, Nov!D63, Dec!D63)</f>
        <v>0</v>
      </c>
      <c r="E63" s="14">
        <f>SUM(Oct!E63, Nov!E63, Dec!E63)</f>
        <v>0</v>
      </c>
      <c r="F63" s="14">
        <f t="shared" si="3"/>
        <v>0</v>
      </c>
      <c r="G63" s="15" t="str">
        <f t="shared" si="4"/>
        <v/>
      </c>
      <c r="H63" s="16">
        <f>SUM(Oct!H63,Nov!H63,Dec!H63)</f>
        <v>0</v>
      </c>
      <c r="I63" s="16">
        <f>SUM(Oct!I63, Nov!I63, Dec!I63)</f>
        <v>0</v>
      </c>
      <c r="J63" s="15" t="str">
        <f t="shared" si="5"/>
        <v/>
      </c>
    </row>
    <row r="64" spans="1:10" ht="15.6">
      <c r="A64" s="24" t="str">
        <v>X026</v>
      </c>
      <c r="B64" s="25" t="str">
        <v>NY</v>
      </c>
      <c r="C64" s="25" t="str">
        <f>Sites[[#This Row],[SOL'#]]</f>
        <v>SOL-10420</v>
      </c>
      <c r="D64" s="20">
        <f>SUM(Oct!D64, Nov!D64, Dec!D64)</f>
        <v>0</v>
      </c>
      <c r="E64" s="10">
        <f>SUM(Oct!E64, Nov!E64, Dec!E64)</f>
        <v>0</v>
      </c>
      <c r="F64" s="10">
        <f t="shared" si="3"/>
        <v>0</v>
      </c>
      <c r="G64" s="11" t="str">
        <f t="shared" si="4"/>
        <v/>
      </c>
      <c r="H64" s="12">
        <f>SUM(Oct!H64,Nov!H64,Dec!H64)</f>
        <v>0</v>
      </c>
      <c r="I64" s="12">
        <f>SUM(Oct!I64, Nov!I64, Dec!I64)</f>
        <v>0</v>
      </c>
      <c r="J64" s="13" t="str">
        <f t="shared" si="5"/>
        <v/>
      </c>
    </row>
    <row r="65" spans="1:10" ht="15.6">
      <c r="A65" s="26" t="str">
        <v>X090</v>
      </c>
      <c r="B65" s="27" t="str">
        <v>NY</v>
      </c>
      <c r="C65" s="27" t="str">
        <f>Sites[[#This Row],[SOL'#]]</f>
        <v>SOL-10925</v>
      </c>
      <c r="D65" s="9">
        <f>SUM(Oct!D65, Nov!D65, Dec!D65)</f>
        <v>0</v>
      </c>
      <c r="E65" s="14">
        <f>SUM(Oct!E65, Nov!E65, Dec!E65)</f>
        <v>0</v>
      </c>
      <c r="F65" s="14">
        <f t="shared" si="3"/>
        <v>0</v>
      </c>
      <c r="G65" s="15" t="str">
        <f t="shared" si="4"/>
        <v/>
      </c>
      <c r="H65" s="16">
        <f>SUM(Oct!H65,Nov!H65,Dec!H65)</f>
        <v>0</v>
      </c>
      <c r="I65" s="16">
        <f>SUM(Oct!I65, Nov!I65, Dec!I65)</f>
        <v>0</v>
      </c>
      <c r="J65" s="15" t="str">
        <f t="shared" si="5"/>
        <v/>
      </c>
    </row>
    <row r="66" spans="1:10" ht="15.6">
      <c r="A66" s="24" t="str">
        <v>X117</v>
      </c>
      <c r="B66" s="25" t="str">
        <v>NY</v>
      </c>
      <c r="C66" s="25" t="str">
        <f>Sites[[#This Row],[SOL'#]]</f>
        <v>SOL-10422</v>
      </c>
      <c r="D66" s="20">
        <f>SUM(Oct!D66, Nov!D66, Dec!D66)</f>
        <v>0</v>
      </c>
      <c r="E66" s="10">
        <f>SUM(Oct!E66, Nov!E66, Dec!E66)</f>
        <v>0</v>
      </c>
      <c r="F66" s="10">
        <f t="shared" si="3"/>
        <v>0</v>
      </c>
      <c r="G66" s="11" t="str">
        <f t="shared" si="4"/>
        <v/>
      </c>
      <c r="H66" s="12">
        <f>SUM(Oct!H66,Nov!H66,Dec!H66)</f>
        <v>0</v>
      </c>
      <c r="I66" s="12">
        <f>SUM(Oct!I66, Nov!I66, Dec!I66)</f>
        <v>0</v>
      </c>
      <c r="J66" s="13" t="str">
        <f t="shared" si="5"/>
        <v/>
      </c>
    </row>
    <row r="67" spans="1:10" ht="15.6">
      <c r="A67" s="26" t="str">
        <v>X125</v>
      </c>
      <c r="B67" s="27" t="str">
        <v>NY</v>
      </c>
      <c r="C67" s="27" t="str">
        <f>Sites[[#This Row],[SOL'#]]</f>
        <v>SOL-10423</v>
      </c>
      <c r="D67" s="9">
        <f>SUM(Oct!D67, Nov!D67, Dec!D67)</f>
        <v>0</v>
      </c>
      <c r="E67" s="14">
        <f>SUM(Oct!E67, Nov!E67, Dec!E67)</f>
        <v>0</v>
      </c>
      <c r="F67" s="14">
        <f t="shared" si="3"/>
        <v>0</v>
      </c>
      <c r="G67" s="15" t="str">
        <f t="shared" si="4"/>
        <v/>
      </c>
      <c r="H67" s="16">
        <f>SUM(Oct!H67,Nov!H67,Dec!H67)</f>
        <v>0</v>
      </c>
      <c r="I67" s="16">
        <f>SUM(Oct!I67, Nov!I67, Dec!I67)</f>
        <v>0</v>
      </c>
      <c r="J67" s="15" t="str">
        <f t="shared" si="5"/>
        <v/>
      </c>
    </row>
    <row r="68" spans="1:10" ht="15.6">
      <c r="A68" s="24" t="str">
        <v>X134</v>
      </c>
      <c r="B68" s="25" t="str">
        <v>NY</v>
      </c>
      <c r="C68" s="25" t="str">
        <f>Sites[[#This Row],[SOL'#]]</f>
        <v>SOL-10424</v>
      </c>
      <c r="D68" s="20">
        <f>SUM(Oct!D68, Nov!D68, Dec!D68)</f>
        <v>0</v>
      </c>
      <c r="E68" s="10">
        <f>SUM(Oct!E68, Nov!E68, Dec!E68)</f>
        <v>0</v>
      </c>
      <c r="F68" s="10">
        <f t="shared" si="3"/>
        <v>0</v>
      </c>
      <c r="G68" s="11" t="str">
        <f t="shared" si="4"/>
        <v/>
      </c>
      <c r="H68" s="12">
        <f>SUM(Oct!H68,Nov!H68,Dec!H68)</f>
        <v>0</v>
      </c>
      <c r="I68" s="12">
        <f>SUM(Oct!I68, Nov!I68, Dec!I68)</f>
        <v>0</v>
      </c>
      <c r="J68" s="13" t="str">
        <f t="shared" si="5"/>
        <v/>
      </c>
    </row>
    <row r="69" spans="1:10" ht="15.6">
      <c r="A69" s="26" t="str">
        <v>X135</v>
      </c>
      <c r="B69" s="27" t="str">
        <v>NY</v>
      </c>
      <c r="C69" s="27" t="str">
        <f>Sites[[#This Row],[SOL'#]]</f>
        <v>SOL-10425</v>
      </c>
      <c r="D69" s="9">
        <f>SUM(Oct!D69, Nov!D69, Dec!D69)</f>
        <v>0</v>
      </c>
      <c r="E69" s="14">
        <f>SUM(Oct!E69, Nov!E69, Dec!E69)</f>
        <v>0</v>
      </c>
      <c r="F69" s="14">
        <f t="shared" si="3"/>
        <v>0</v>
      </c>
      <c r="G69" s="15" t="str">
        <f t="shared" si="4"/>
        <v/>
      </c>
      <c r="H69" s="16">
        <f>SUM(Oct!H69,Nov!H69,Dec!H69)</f>
        <v>0</v>
      </c>
      <c r="I69" s="16">
        <f>SUM(Oct!I69, Nov!I69, Dec!I69)</f>
        <v>0</v>
      </c>
      <c r="J69" s="15" t="str">
        <f t="shared" si="5"/>
        <v/>
      </c>
    </row>
    <row r="70" spans="1:10" ht="15.6">
      <c r="A70" s="24" t="str">
        <v>X139 JHS 222</v>
      </c>
      <c r="B70" s="25" t="str">
        <v>NY</v>
      </c>
      <c r="C70" s="25" t="str">
        <f>Sites[[#This Row],[SOL'#]]</f>
        <v>SOL-10426</v>
      </c>
      <c r="D70" s="20">
        <f>SUM(Oct!D70, Nov!D70, Dec!D70)</f>
        <v>0</v>
      </c>
      <c r="E70" s="10">
        <f>SUM(Oct!E70, Nov!E70, Dec!E70)</f>
        <v>0</v>
      </c>
      <c r="F70" s="10">
        <f t="shared" si="3"/>
        <v>0</v>
      </c>
      <c r="G70" s="11" t="str">
        <f t="shared" si="4"/>
        <v/>
      </c>
      <c r="H70" s="12">
        <f>SUM(Oct!H70,Nov!H70,Dec!H70)</f>
        <v>0</v>
      </c>
      <c r="I70" s="12">
        <f>SUM(Oct!I70, Nov!I70, Dec!I70)</f>
        <v>0</v>
      </c>
      <c r="J70" s="13" t="str">
        <f t="shared" si="5"/>
        <v/>
      </c>
    </row>
    <row r="71" spans="1:10" ht="15.6">
      <c r="A71" s="26" t="str">
        <v>X140</v>
      </c>
      <c r="B71" s="27" t="str">
        <v>NY</v>
      </c>
      <c r="C71" s="27" t="str">
        <f>Sites[[#This Row],[SOL'#]]</f>
        <v>SOL-10926</v>
      </c>
      <c r="D71" s="9">
        <f>SUM(Oct!D71, Nov!D71, Dec!D71)</f>
        <v>0</v>
      </c>
      <c r="E71" s="14">
        <f>SUM(Oct!E71, Nov!E71, Dec!E71)</f>
        <v>0</v>
      </c>
      <c r="F71" s="14">
        <f t="shared" si="3"/>
        <v>0</v>
      </c>
      <c r="G71" s="15" t="str">
        <f t="shared" si="4"/>
        <v/>
      </c>
      <c r="H71" s="16">
        <f>SUM(Oct!H71,Nov!H71,Dec!H71)</f>
        <v>0</v>
      </c>
      <c r="I71" s="16">
        <f>SUM(Oct!I71, Nov!I71, Dec!I71)</f>
        <v>0</v>
      </c>
      <c r="J71" s="15" t="str">
        <f t="shared" si="5"/>
        <v/>
      </c>
    </row>
    <row r="72" spans="1:10" ht="15.6">
      <c r="A72" s="24" t="str">
        <v>X166</v>
      </c>
      <c r="B72" s="25" t="str">
        <v>NY</v>
      </c>
      <c r="C72" s="25" t="str">
        <f>Sites[[#This Row],[SOL'#]]</f>
        <v>SOL-10427</v>
      </c>
      <c r="D72" s="20">
        <f>SUM(Oct!D72, Nov!D72, Dec!D72)</f>
        <v>0</v>
      </c>
      <c r="E72" s="10">
        <f>SUM(Oct!E72, Nov!E72, Dec!E72)</f>
        <v>0</v>
      </c>
      <c r="F72" s="10">
        <f t="shared" si="3"/>
        <v>0</v>
      </c>
      <c r="G72" s="11" t="str">
        <f t="shared" si="4"/>
        <v/>
      </c>
      <c r="H72" s="12">
        <f>SUM(Oct!H72,Nov!H72,Dec!H72)</f>
        <v>0</v>
      </c>
      <c r="I72" s="12">
        <f>SUM(Oct!I72, Nov!I72, Dec!I72)</f>
        <v>0</v>
      </c>
      <c r="J72" s="13" t="str">
        <f t="shared" si="5"/>
        <v/>
      </c>
    </row>
    <row r="73" spans="1:10" ht="15.6">
      <c r="A73" s="26" t="str">
        <v>Murphy</v>
      </c>
      <c r="B73" s="27" t="str">
        <v>MN</v>
      </c>
      <c r="C73" s="27" t="str">
        <f>Sites[[#This Row],[SOL'#]]</f>
        <v>SOL-10094</v>
      </c>
      <c r="D73" s="9">
        <f>SUM(Oct!D73, Nov!D73, Dec!D73)</f>
        <v>0</v>
      </c>
      <c r="E73" s="14">
        <f>SUM(Oct!E73, Nov!E73, Dec!E73)</f>
        <v>0</v>
      </c>
      <c r="F73" s="14">
        <f t="shared" si="3"/>
        <v>0</v>
      </c>
      <c r="G73" s="15" t="str">
        <f t="shared" si="4"/>
        <v/>
      </c>
      <c r="H73" s="16">
        <f>SUM(Oct!H73,Nov!H73,Dec!H73)</f>
        <v>0</v>
      </c>
      <c r="I73" s="16">
        <f>SUM(Oct!I73, Nov!I73, Dec!I73)</f>
        <v>0</v>
      </c>
      <c r="J73" s="15" t="str">
        <f t="shared" si="5"/>
        <v/>
      </c>
    </row>
    <row r="74" spans="1:10" ht="15.6">
      <c r="A74" s="24" t="str">
        <v>Terning</v>
      </c>
      <c r="B74" s="25" t="str">
        <v>MN</v>
      </c>
      <c r="C74" s="25" t="str">
        <f>Sites[[#This Row],[SOL'#]]</f>
        <v>SOL-10093</v>
      </c>
      <c r="D74" s="20">
        <f>SUM(Oct!D74, Nov!D74, Dec!D74)</f>
        <v>0</v>
      </c>
      <c r="E74" s="10">
        <f>SUM(Oct!E74, Nov!E74, Dec!E74)</f>
        <v>0</v>
      </c>
      <c r="F74" s="10">
        <f t="shared" si="3"/>
        <v>0</v>
      </c>
      <c r="G74" s="11" t="str">
        <f t="shared" si="4"/>
        <v/>
      </c>
      <c r="H74" s="12">
        <f>SUM(Oct!H74,Nov!H74,Dec!H74)</f>
        <v>0</v>
      </c>
      <c r="I74" s="12">
        <f>SUM(Oct!I74, Nov!I74, Dec!I74)</f>
        <v>0</v>
      </c>
      <c r="J74" s="13" t="str">
        <f t="shared" si="5"/>
        <v/>
      </c>
    </row>
    <row r="75" spans="1:10" ht="15.6">
      <c r="A75" s="26" t="str">
        <v>Boas Road 04</v>
      </c>
      <c r="B75" s="27" t="str">
        <v>NY</v>
      </c>
      <c r="C75" s="27" t="str">
        <f>Sites[[#This Row],[SOL'#]]</f>
        <v>SOL-10908</v>
      </c>
      <c r="D75" s="9">
        <f>SUM(Oct!D75, Nov!D75, Dec!D75)</f>
        <v>0</v>
      </c>
      <c r="E75" s="14">
        <f>SUM(Oct!E75, Nov!E75, Dec!E75)</f>
        <v>0</v>
      </c>
      <c r="F75" s="14">
        <f t="shared" si="3"/>
        <v>0</v>
      </c>
      <c r="G75" s="15" t="str">
        <f t="shared" si="4"/>
        <v/>
      </c>
      <c r="H75" s="16">
        <f>SUM(Oct!H75,Nov!H75,Dec!H75)</f>
        <v>0</v>
      </c>
      <c r="I75" s="16">
        <f>SUM(Oct!I75, Nov!I75, Dec!I75)</f>
        <v>0</v>
      </c>
      <c r="J75" s="15" t="str">
        <f t="shared" si="5"/>
        <v/>
      </c>
    </row>
    <row r="76" spans="1:10" ht="15.6">
      <c r="A76" s="24" t="str">
        <v>Kelly Bridge Farm</v>
      </c>
      <c r="B76" s="25" t="str">
        <v>NY</v>
      </c>
      <c r="C76" s="25" t="str">
        <f>Sites[[#This Row],[SOL'#]]</f>
        <v>SOL-10911</v>
      </c>
      <c r="D76" s="20">
        <f>SUM(Oct!D76, Nov!D76, Dec!D76)</f>
        <v>0</v>
      </c>
      <c r="E76" s="10">
        <f>SUM(Oct!E76, Nov!E76, Dec!E76)</f>
        <v>0</v>
      </c>
      <c r="F76" s="10">
        <f t="shared" si="3"/>
        <v>0</v>
      </c>
      <c r="G76" s="11" t="str">
        <f t="shared" si="4"/>
        <v/>
      </c>
      <c r="H76" s="12">
        <f>SUM(Oct!H76,Nov!H76,Dec!H76)</f>
        <v>0</v>
      </c>
      <c r="I76" s="12">
        <f>SUM(Oct!I76, Nov!I76, Dec!I76)</f>
        <v>0</v>
      </c>
      <c r="J76" s="13" t="str">
        <f t="shared" si="5"/>
        <v/>
      </c>
    </row>
    <row r="77" spans="1:10" ht="15.6">
      <c r="A77" s="26" t="str">
        <v>Pool Brook Road</v>
      </c>
      <c r="B77" s="27" t="str">
        <v>NY</v>
      </c>
      <c r="C77" s="27" t="str">
        <f>Sites[[#This Row],[SOL'#]]</f>
        <v>SOL-10909</v>
      </c>
      <c r="D77" s="9">
        <f>SUM(Oct!D77, Nov!D77, Dec!D77)</f>
        <v>0</v>
      </c>
      <c r="E77" s="14">
        <f>SUM(Oct!E77, Nov!E77, Dec!E77)</f>
        <v>0</v>
      </c>
      <c r="F77" s="14">
        <f t="shared" si="3"/>
        <v>0</v>
      </c>
      <c r="G77" s="15" t="str">
        <f t="shared" si="4"/>
        <v/>
      </c>
      <c r="H77" s="16">
        <f>SUM(Oct!H77,Nov!H77,Dec!H77)</f>
        <v>0</v>
      </c>
      <c r="I77" s="16">
        <f>SUM(Oct!I77, Nov!I77, Dec!I77)</f>
        <v>0</v>
      </c>
      <c r="J77" s="15" t="str">
        <f t="shared" si="5"/>
        <v/>
      </c>
    </row>
    <row r="78" spans="1:10" ht="15.6">
      <c r="A78" s="24" t="str">
        <v>Sackett Lake</v>
      </c>
      <c r="B78" s="25" t="str">
        <v>NY</v>
      </c>
      <c r="C78" s="25" t="str">
        <f>Sites[[#This Row],[SOL'#]]</f>
        <v>SOL-10910</v>
      </c>
      <c r="D78" s="20">
        <f>SUM(Oct!D78, Nov!D78, Dec!D78)</f>
        <v>0</v>
      </c>
      <c r="E78" s="10">
        <f>SUM(Oct!E78, Nov!E78, Dec!E78)</f>
        <v>0</v>
      </c>
      <c r="F78" s="10">
        <f t="shared" si="3"/>
        <v>0</v>
      </c>
      <c r="G78" s="11" t="str">
        <f t="shared" si="4"/>
        <v/>
      </c>
      <c r="H78" s="12">
        <f>SUM(Oct!H78,Nov!H78,Dec!H78)</f>
        <v>0</v>
      </c>
      <c r="I78" s="12">
        <f>SUM(Oct!I78, Nov!I78, Dec!I78)</f>
        <v>0</v>
      </c>
      <c r="J78" s="13" t="str">
        <f t="shared" si="5"/>
        <v/>
      </c>
    </row>
    <row r="79" spans="1:10" ht="15.6">
      <c r="A79" s="26" t="str">
        <v>Burritt Road</v>
      </c>
      <c r="B79" s="27" t="str">
        <v>NY</v>
      </c>
      <c r="C79" s="27" t="str">
        <f>Sites[[#This Row],[SOL'#]]</f>
        <v>SOL-10913</v>
      </c>
      <c r="D79" s="9">
        <f>SUM(Oct!D79, Nov!D79, Dec!D79)</f>
        <v>0</v>
      </c>
      <c r="E79" s="14">
        <f>SUM(Oct!E79, Nov!E79, Dec!E79)</f>
        <v>0</v>
      </c>
      <c r="F79" s="14">
        <f t="shared" si="3"/>
        <v>0</v>
      </c>
      <c r="G79" s="15" t="str">
        <f t="shared" si="4"/>
        <v/>
      </c>
      <c r="H79" s="16">
        <f>SUM(Oct!H79,Nov!H79,Dec!H79)</f>
        <v>0</v>
      </c>
      <c r="I79" s="16">
        <f>SUM(Oct!I79, Nov!I79, Dec!I79)</f>
        <v>0</v>
      </c>
      <c r="J79" s="15" t="str">
        <f t="shared" si="5"/>
        <v/>
      </c>
    </row>
    <row r="80" spans="1:10" ht="15.6">
      <c r="A80" s="24" t="str">
        <v>Villa Roma 1</v>
      </c>
      <c r="B80" s="25" t="str">
        <v>NY</v>
      </c>
      <c r="C80" s="25" t="str">
        <f>Sites[[#This Row],[SOL'#]]</f>
        <v>SOL-10914</v>
      </c>
      <c r="D80" s="20">
        <f>SUM(Oct!D80, Nov!D80, Dec!D80)</f>
        <v>0</v>
      </c>
      <c r="E80" s="10">
        <f>SUM(Oct!E80, Nov!E80, Dec!E80)</f>
        <v>0</v>
      </c>
      <c r="F80" s="10">
        <f t="shared" ref="F80:F143" si="6">IF(AND(ISNUMBER(D80),ISNUMBER(E80)), D80-E80, "")</f>
        <v>0</v>
      </c>
      <c r="G80" s="11" t="str">
        <f t="shared" ref="G80:G143" si="7">IFERROR(F80/E80, "")</f>
        <v/>
      </c>
      <c r="H80" s="12">
        <f>SUM(Oct!H80,Nov!H80,Dec!H80)</f>
        <v>0</v>
      </c>
      <c r="I80" s="12">
        <f>SUM(Oct!I80, Nov!I80, Dec!I80)</f>
        <v>0</v>
      </c>
      <c r="J80" s="13" t="str">
        <f t="shared" ref="J80:J143" si="8">IFERROR(I80/H80, "")</f>
        <v/>
      </c>
    </row>
    <row r="81" spans="1:10" ht="15.6">
      <c r="A81" s="26" t="str">
        <v>Villa Roma 2</v>
      </c>
      <c r="B81" s="27" t="str">
        <v>NY</v>
      </c>
      <c r="C81" s="27" t="str">
        <f>Sites[[#This Row],[SOL'#]]</f>
        <v>SOL-10915</v>
      </c>
      <c r="D81" s="9">
        <f>SUM(Oct!D81, Nov!D81, Dec!D81)</f>
        <v>0</v>
      </c>
      <c r="E81" s="14">
        <f>SUM(Oct!E81, Nov!E81, Dec!E81)</f>
        <v>0</v>
      </c>
      <c r="F81" s="14">
        <f t="shared" si="6"/>
        <v>0</v>
      </c>
      <c r="G81" s="15" t="str">
        <f t="shared" si="7"/>
        <v/>
      </c>
      <c r="H81" s="16">
        <f>SUM(Oct!H81,Nov!H81,Dec!H81)</f>
        <v>0</v>
      </c>
      <c r="I81" s="16">
        <f>SUM(Oct!I81, Nov!I81, Dec!I81)</f>
        <v>0</v>
      </c>
      <c r="J81" s="15" t="str">
        <f t="shared" si="8"/>
        <v/>
      </c>
    </row>
    <row r="82" spans="1:10" ht="15.6">
      <c r="A82" s="24" t="str">
        <v>Washington 1</v>
      </c>
      <c r="B82" s="25" t="str">
        <v>NY</v>
      </c>
      <c r="C82" s="25" t="str">
        <f>Sites[[#This Row],[SOL'#]]</f>
        <v>SOL-10912</v>
      </c>
      <c r="D82" s="20">
        <f>SUM(Oct!D82, Nov!D82, Dec!D82)</f>
        <v>0</v>
      </c>
      <c r="E82" s="10">
        <f>SUM(Oct!E82, Nov!E82, Dec!E82)</f>
        <v>0</v>
      </c>
      <c r="F82" s="10">
        <f t="shared" si="6"/>
        <v>0</v>
      </c>
      <c r="G82" s="11" t="str">
        <f t="shared" si="7"/>
        <v/>
      </c>
      <c r="H82" s="12">
        <f>SUM(Oct!H82,Nov!H82,Dec!H82)</f>
        <v>0</v>
      </c>
      <c r="I82" s="12">
        <f>SUM(Oct!I82, Nov!I82, Dec!I82)</f>
        <v>0</v>
      </c>
      <c r="J82" s="13" t="str">
        <f t="shared" si="8"/>
        <v/>
      </c>
    </row>
    <row r="83" spans="1:10" ht="15.6">
      <c r="A83" s="26" t="str">
        <v>Washington 3</v>
      </c>
      <c r="B83" s="27" t="str">
        <v>NY</v>
      </c>
      <c r="C83" s="27" t="str">
        <f>Sites[[#This Row],[SOL'#]]</f>
        <v>SOL-10828</v>
      </c>
      <c r="D83" s="9">
        <f>SUM(Oct!D83, Nov!D83, Dec!D83)</f>
        <v>0</v>
      </c>
      <c r="E83" s="14">
        <f>SUM(Oct!E83, Nov!E83, Dec!E83)</f>
        <v>0</v>
      </c>
      <c r="F83" s="14">
        <f t="shared" si="6"/>
        <v>0</v>
      </c>
      <c r="G83" s="15" t="str">
        <f t="shared" si="7"/>
        <v/>
      </c>
      <c r="H83" s="16">
        <f>SUM(Oct!H83,Nov!H83,Dec!H83)</f>
        <v>0</v>
      </c>
      <c r="I83" s="16">
        <f>SUM(Oct!I83, Nov!I83, Dec!I83)</f>
        <v>0</v>
      </c>
      <c r="J83" s="15" t="str">
        <f t="shared" si="8"/>
        <v/>
      </c>
    </row>
    <row r="84" spans="1:10" ht="15.6">
      <c r="A84" s="24" t="str">
        <v>Washington 4</v>
      </c>
      <c r="B84" s="25" t="str">
        <v>NY</v>
      </c>
      <c r="C84" s="25" t="str">
        <f>Sites[[#This Row],[SOL'#]]</f>
        <v>SOL-10829</v>
      </c>
      <c r="D84" s="20">
        <f>SUM(Oct!D84, Nov!D84, Dec!D84)</f>
        <v>0</v>
      </c>
      <c r="E84" s="10">
        <f>SUM(Oct!E84, Nov!E84, Dec!E84)</f>
        <v>0</v>
      </c>
      <c r="F84" s="10">
        <f t="shared" si="6"/>
        <v>0</v>
      </c>
      <c r="G84" s="11" t="str">
        <f t="shared" si="7"/>
        <v/>
      </c>
      <c r="H84" s="12">
        <f>SUM(Oct!H84,Nov!H84,Dec!H84)</f>
        <v>0</v>
      </c>
      <c r="I84" s="12">
        <f>SUM(Oct!I84, Nov!I84, Dec!I84)</f>
        <v>0</v>
      </c>
      <c r="J84" s="13" t="str">
        <f t="shared" si="8"/>
        <v/>
      </c>
    </row>
    <row r="85" spans="1:10" ht="15.6">
      <c r="A85" s="26" t="str">
        <v>Big Tree</v>
      </c>
      <c r="B85" s="27" t="str">
        <v>NY</v>
      </c>
      <c r="C85" s="27" t="str">
        <f>Sites[[#This Row],[SOL'#]]</f>
        <v>SOL-10966</v>
      </c>
      <c r="D85" s="9">
        <f>SUM(Oct!D85, Nov!D85, Dec!D85)</f>
        <v>0</v>
      </c>
      <c r="E85" s="14">
        <f>SUM(Oct!E85, Nov!E85, Dec!E85)</f>
        <v>0</v>
      </c>
      <c r="F85" s="14">
        <f t="shared" si="6"/>
        <v>0</v>
      </c>
      <c r="G85" s="15" t="str">
        <f t="shared" si="7"/>
        <v/>
      </c>
      <c r="H85" s="16">
        <f>SUM(Oct!H85,Nov!H85,Dec!H85)</f>
        <v>0</v>
      </c>
      <c r="I85" s="16">
        <f>SUM(Oct!I85, Nov!I85, Dec!I85)</f>
        <v>0</v>
      </c>
      <c r="J85" s="15" t="str">
        <f t="shared" si="8"/>
        <v/>
      </c>
    </row>
    <row r="86" spans="1:10" ht="15.6">
      <c r="A86" s="24" t="str">
        <v>Canoga</v>
      </c>
      <c r="B86" s="25" t="str">
        <v>NY</v>
      </c>
      <c r="C86" s="25" t="str">
        <f>Sites[[#This Row],[SOL'#]]</f>
        <v>SOL-10965</v>
      </c>
      <c r="D86" s="20">
        <f>SUM(Oct!D86, Nov!D86, Dec!D86)</f>
        <v>0</v>
      </c>
      <c r="E86" s="10">
        <f>SUM(Oct!E86, Nov!E86, Dec!E86)</f>
        <v>0</v>
      </c>
      <c r="F86" s="10">
        <f t="shared" si="6"/>
        <v>0</v>
      </c>
      <c r="G86" s="11" t="str">
        <f t="shared" si="7"/>
        <v/>
      </c>
      <c r="H86" s="12">
        <f>SUM(Oct!H86,Nov!H86,Dec!H86)</f>
        <v>0</v>
      </c>
      <c r="I86" s="12">
        <f>SUM(Oct!I86, Nov!I86, Dec!I86)</f>
        <v>0</v>
      </c>
      <c r="J86" s="13" t="str">
        <f t="shared" si="8"/>
        <v/>
      </c>
    </row>
    <row r="87" spans="1:10" ht="15.6">
      <c r="A87" s="26" t="str">
        <v>County Route 84</v>
      </c>
      <c r="B87" s="27" t="str">
        <v>NY</v>
      </c>
      <c r="C87" s="27" t="str">
        <f>Sites[[#This Row],[SOL'#]]</f>
        <v>SOL-10967</v>
      </c>
      <c r="D87" s="9">
        <f>SUM(Oct!D87, Nov!D87, Dec!D87)</f>
        <v>0</v>
      </c>
      <c r="E87" s="14">
        <f>SUM(Oct!E87, Nov!E87, Dec!E87)</f>
        <v>0</v>
      </c>
      <c r="F87" s="14">
        <f t="shared" si="6"/>
        <v>0</v>
      </c>
      <c r="G87" s="15" t="str">
        <f t="shared" si="7"/>
        <v/>
      </c>
      <c r="H87" s="16">
        <f>SUM(Oct!H87,Nov!H87,Dec!H87)</f>
        <v>0</v>
      </c>
      <c r="I87" s="16">
        <f>SUM(Oct!I87, Nov!I87, Dec!I87)</f>
        <v>0</v>
      </c>
      <c r="J87" s="15" t="str">
        <f t="shared" si="8"/>
        <v/>
      </c>
    </row>
    <row r="88" spans="1:10" ht="15.6">
      <c r="A88" s="24" t="str">
        <v>Donati</v>
      </c>
      <c r="B88" s="25" t="str">
        <v>NY</v>
      </c>
      <c r="C88" s="25" t="str">
        <f>Sites[[#This Row],[SOL'#]]</f>
        <v>SOL-10968</v>
      </c>
      <c r="D88" s="20">
        <f>SUM(Oct!D88, Nov!D88, Dec!D88)</f>
        <v>0</v>
      </c>
      <c r="E88" s="10">
        <f>SUM(Oct!E88, Nov!E88, Dec!E88)</f>
        <v>0</v>
      </c>
      <c r="F88" s="10">
        <f t="shared" si="6"/>
        <v>0</v>
      </c>
      <c r="G88" s="11" t="str">
        <f t="shared" si="7"/>
        <v/>
      </c>
      <c r="H88" s="12">
        <f>SUM(Oct!H88,Nov!H88,Dec!H88)</f>
        <v>0</v>
      </c>
      <c r="I88" s="12">
        <f>SUM(Oct!I88, Nov!I88, Dec!I88)</f>
        <v>0</v>
      </c>
      <c r="J88" s="13" t="str">
        <f t="shared" si="8"/>
        <v/>
      </c>
    </row>
    <row r="89" spans="1:10" ht="15.6">
      <c r="A89" s="26" t="str">
        <v>Henrietta</v>
      </c>
      <c r="B89" s="27" t="str">
        <v>NY</v>
      </c>
      <c r="C89" s="27" t="str">
        <f>Sites[[#This Row],[SOL'#]]</f>
        <v>SOL-10972</v>
      </c>
      <c r="D89" s="9">
        <f>SUM(Oct!D89, Nov!D89, Dec!D89)</f>
        <v>0</v>
      </c>
      <c r="E89" s="14">
        <f>SUM(Oct!E89, Nov!E89, Dec!E89)</f>
        <v>0</v>
      </c>
      <c r="F89" s="14">
        <f t="shared" si="6"/>
        <v>0</v>
      </c>
      <c r="G89" s="15" t="str">
        <f t="shared" si="7"/>
        <v/>
      </c>
      <c r="H89" s="16">
        <f>SUM(Oct!H89,Nov!H89,Dec!H89)</f>
        <v>0</v>
      </c>
      <c r="I89" s="16">
        <f>SUM(Oct!I89, Nov!I89, Dec!I89)</f>
        <v>0</v>
      </c>
      <c r="J89" s="15" t="str">
        <f t="shared" si="8"/>
        <v/>
      </c>
    </row>
    <row r="90" spans="1:10" ht="15.6">
      <c r="A90" s="24" t="str">
        <v>NY 70</v>
      </c>
      <c r="B90" s="25" t="str">
        <v>NY</v>
      </c>
      <c r="C90" s="25" t="str">
        <f>Sites[[#This Row],[SOL'#]]</f>
        <v>SOL-10970</v>
      </c>
      <c r="D90" s="20">
        <f>SUM(Oct!D90, Nov!D90, Dec!D90)</f>
        <v>0</v>
      </c>
      <c r="E90" s="10">
        <f>SUM(Oct!E90, Nov!E90, Dec!E90)</f>
        <v>0</v>
      </c>
      <c r="F90" s="10">
        <f t="shared" si="6"/>
        <v>0</v>
      </c>
      <c r="G90" s="11" t="str">
        <f t="shared" si="7"/>
        <v/>
      </c>
      <c r="H90" s="12">
        <f>SUM(Oct!H90,Nov!H90,Dec!H90)</f>
        <v>0</v>
      </c>
      <c r="I90" s="12">
        <f>SUM(Oct!I90, Nov!I90, Dec!I90)</f>
        <v>0</v>
      </c>
      <c r="J90" s="13" t="str">
        <f t="shared" si="8"/>
        <v/>
      </c>
    </row>
    <row r="91" spans="1:10" ht="15.6">
      <c r="A91" s="26" t="str">
        <v>Reid</v>
      </c>
      <c r="B91" s="27" t="str">
        <v>NY</v>
      </c>
      <c r="C91" s="27" t="str">
        <f>Sites[[#This Row],[SOL'#]]</f>
        <v>SOL-10991</v>
      </c>
      <c r="D91" s="9">
        <f>SUM(Oct!D91, Nov!D91, Dec!D91)</f>
        <v>0</v>
      </c>
      <c r="E91" s="14">
        <f>SUM(Oct!E91, Nov!E91, Dec!E91)</f>
        <v>0</v>
      </c>
      <c r="F91" s="14">
        <f t="shared" si="6"/>
        <v>0</v>
      </c>
      <c r="G91" s="15" t="str">
        <f t="shared" si="7"/>
        <v/>
      </c>
      <c r="H91" s="16">
        <f>SUM(Oct!H91,Nov!H91,Dec!H91)</f>
        <v>0</v>
      </c>
      <c r="I91" s="16">
        <f>SUM(Oct!I91, Nov!I91, Dec!I91)</f>
        <v>0</v>
      </c>
      <c r="J91" s="15" t="str">
        <f t="shared" si="8"/>
        <v/>
      </c>
    </row>
    <row r="92" spans="1:10" ht="15.6">
      <c r="A92" s="24" t="str">
        <v>Sangolqui</v>
      </c>
      <c r="B92" s="25" t="str">
        <v>NY</v>
      </c>
      <c r="C92" s="25" t="str">
        <f>Sites[[#This Row],[SOL'#]]</f>
        <v>SOL-10975</v>
      </c>
      <c r="D92" s="20">
        <f>SUM(Oct!D92, Nov!D92, Dec!D92)</f>
        <v>0</v>
      </c>
      <c r="E92" s="10">
        <f>SUM(Oct!E92, Nov!E92, Dec!E92)</f>
        <v>0</v>
      </c>
      <c r="F92" s="10">
        <f t="shared" si="6"/>
        <v>0</v>
      </c>
      <c r="G92" s="11" t="str">
        <f t="shared" si="7"/>
        <v/>
      </c>
      <c r="H92" s="12">
        <f>SUM(Oct!H92,Nov!H92,Dec!H92)</f>
        <v>0</v>
      </c>
      <c r="I92" s="12">
        <f>SUM(Oct!I92, Nov!I92, Dec!I92)</f>
        <v>0</v>
      </c>
      <c r="J92" s="13" t="str">
        <f t="shared" si="8"/>
        <v/>
      </c>
    </row>
    <row r="93" spans="1:10" ht="15.6">
      <c r="A93" s="26" t="str">
        <v>State Highway 17B</v>
      </c>
      <c r="B93" s="27" t="str">
        <v>NY</v>
      </c>
      <c r="C93" s="27" t="str">
        <f>Sites[[#This Row],[SOL'#]]</f>
        <v>SOL-10988</v>
      </c>
      <c r="D93" s="9">
        <f>SUM(Oct!D93, Nov!D93, Dec!D93)</f>
        <v>0</v>
      </c>
      <c r="E93" s="14">
        <f>SUM(Oct!E93, Nov!E93, Dec!E93)</f>
        <v>0</v>
      </c>
      <c r="F93" s="14">
        <f t="shared" si="6"/>
        <v>0</v>
      </c>
      <c r="G93" s="15" t="str">
        <f t="shared" si="7"/>
        <v/>
      </c>
      <c r="H93" s="16">
        <f>SUM(Oct!H93,Nov!H93,Dec!H93)</f>
        <v>0</v>
      </c>
      <c r="I93" s="16">
        <f>SUM(Oct!I93, Nov!I93, Dec!I93)</f>
        <v>0</v>
      </c>
      <c r="J93" s="15" t="str">
        <f t="shared" si="8"/>
        <v/>
      </c>
    </row>
    <row r="94" spans="1:10" ht="15.6">
      <c r="A94" s="24" t="str">
        <v>State Route 14A</v>
      </c>
      <c r="B94" s="25" t="str">
        <v>NY</v>
      </c>
      <c r="C94" s="25" t="str">
        <f>Sites[[#This Row],[SOL'#]]</f>
        <v>SOL-10997</v>
      </c>
      <c r="D94" s="20">
        <f>SUM(Oct!D94, Nov!D94, Dec!D94)</f>
        <v>0</v>
      </c>
      <c r="E94" s="10">
        <f>SUM(Oct!E94, Nov!E94, Dec!E94)</f>
        <v>0</v>
      </c>
      <c r="F94" s="10">
        <f t="shared" si="6"/>
        <v>0</v>
      </c>
      <c r="G94" s="11" t="str">
        <f t="shared" si="7"/>
        <v/>
      </c>
      <c r="H94" s="12">
        <f>SUM(Oct!H94,Nov!H94,Dec!H94)</f>
        <v>0</v>
      </c>
      <c r="I94" s="12">
        <f>SUM(Oct!I94, Nov!I94, Dec!I94)</f>
        <v>0</v>
      </c>
      <c r="J94" s="13" t="str">
        <f t="shared" si="8"/>
        <v/>
      </c>
    </row>
    <row r="95" spans="1:10" ht="15.6">
      <c r="A95" s="26" t="str">
        <v>West Creek</v>
      </c>
      <c r="B95" s="27" t="str">
        <v>NY</v>
      </c>
      <c r="C95" s="27" t="str">
        <f>Sites[[#This Row],[SOL'#]]</f>
        <v>SOL-10995</v>
      </c>
      <c r="D95" s="9">
        <f>SUM(Oct!D95, Nov!D95, Dec!D95)</f>
        <v>0</v>
      </c>
      <c r="E95" s="14">
        <f>SUM(Oct!E95, Nov!E95, Dec!E95)</f>
        <v>0</v>
      </c>
      <c r="F95" s="14">
        <f t="shared" si="6"/>
        <v>0</v>
      </c>
      <c r="G95" s="15" t="str">
        <f t="shared" si="7"/>
        <v/>
      </c>
      <c r="H95" s="16">
        <f>SUM(Oct!H95,Nov!H95,Dec!H95)</f>
        <v>0</v>
      </c>
      <c r="I95" s="16">
        <f>SUM(Oct!I95, Nov!I95, Dec!I95)</f>
        <v>0</v>
      </c>
      <c r="J95" s="15" t="str">
        <f t="shared" si="8"/>
        <v/>
      </c>
    </row>
    <row r="96" spans="1:10" ht="15.6">
      <c r="A96" s="24" t="str">
        <v>Wildflower</v>
      </c>
      <c r="B96" s="25" t="str">
        <v>NY</v>
      </c>
      <c r="C96" s="25" t="str">
        <f>Sites[[#This Row],[SOL'#]]</f>
        <v>SOL-10982</v>
      </c>
      <c r="D96" s="20">
        <f>SUM(Oct!D96, Nov!D96, Dec!D96)</f>
        <v>0</v>
      </c>
      <c r="E96" s="10">
        <f>SUM(Oct!E96, Nov!E96, Dec!E96)</f>
        <v>0</v>
      </c>
      <c r="F96" s="10">
        <f t="shared" si="6"/>
        <v>0</v>
      </c>
      <c r="G96" s="11" t="str">
        <f t="shared" si="7"/>
        <v/>
      </c>
      <c r="H96" s="12">
        <f>SUM(Oct!H96,Nov!H96,Dec!H96)</f>
        <v>0</v>
      </c>
      <c r="I96" s="12">
        <f>SUM(Oct!I96, Nov!I96, Dec!I96)</f>
        <v>0</v>
      </c>
      <c r="J96" s="13" t="str">
        <f t="shared" si="8"/>
        <v/>
      </c>
    </row>
    <row r="97" spans="1:10" ht="15.6">
      <c r="A97" s="26" t="str">
        <v>Glen Mary 1</v>
      </c>
      <c r="B97" s="27" t="str">
        <v>NY</v>
      </c>
      <c r="C97" s="27" t="str">
        <f>Sites[[#This Row],[SOL'#]]</f>
        <v>SOL-10993</v>
      </c>
      <c r="D97" s="9">
        <f>SUM(Oct!D97, Nov!D97, Dec!D97)</f>
        <v>0</v>
      </c>
      <c r="E97" s="14">
        <f>SUM(Oct!E97, Nov!E97, Dec!E97)</f>
        <v>0</v>
      </c>
      <c r="F97" s="14">
        <f t="shared" si="6"/>
        <v>0</v>
      </c>
      <c r="G97" s="15" t="str">
        <f t="shared" si="7"/>
        <v/>
      </c>
      <c r="H97" s="16">
        <f>SUM(Oct!H97,Nov!H97,Dec!H97)</f>
        <v>0</v>
      </c>
      <c r="I97" s="16">
        <f>SUM(Oct!I97, Nov!I97, Dec!I97)</f>
        <v>0</v>
      </c>
      <c r="J97" s="15" t="str">
        <f t="shared" si="8"/>
        <v/>
      </c>
    </row>
    <row r="98" spans="1:10" ht="15.6">
      <c r="A98" s="24" t="str">
        <v>Glen Mary 2</v>
      </c>
      <c r="B98" s="25" t="str">
        <v>NY</v>
      </c>
      <c r="C98" s="25" t="str">
        <f>Sites[[#This Row],[SOL'#]]</f>
        <v>SOL-10994</v>
      </c>
      <c r="D98" s="20">
        <f>SUM(Oct!D98, Nov!D98, Dec!D98)</f>
        <v>0</v>
      </c>
      <c r="E98" s="10">
        <f>SUM(Oct!E98, Nov!E98, Dec!E98)</f>
        <v>0</v>
      </c>
      <c r="F98" s="10">
        <f t="shared" si="6"/>
        <v>0</v>
      </c>
      <c r="G98" s="11" t="str">
        <f t="shared" si="7"/>
        <v/>
      </c>
      <c r="H98" s="12">
        <f>SUM(Oct!H98,Nov!H98,Dec!H98)</f>
        <v>0</v>
      </c>
      <c r="I98" s="12">
        <f>SUM(Oct!I98, Nov!I98, Dec!I98)</f>
        <v>0</v>
      </c>
      <c r="J98" s="13" t="str">
        <f t="shared" si="8"/>
        <v/>
      </c>
    </row>
    <row r="99" spans="1:10" ht="15.6">
      <c r="A99" s="26" t="str">
        <v>Telegraph 1</v>
      </c>
      <c r="B99" s="27" t="str">
        <v>NY</v>
      </c>
      <c r="C99" s="27" t="str">
        <f>Sites[[#This Row],[SOL'#]]</f>
        <v>SOL-11003</v>
      </c>
      <c r="D99" s="9">
        <f>SUM(Oct!D99, Nov!D99, Dec!D99)</f>
        <v>0</v>
      </c>
      <c r="E99" s="14">
        <f>SUM(Oct!E99, Nov!E99, Dec!E99)</f>
        <v>0</v>
      </c>
      <c r="F99" s="14">
        <f t="shared" si="6"/>
        <v>0</v>
      </c>
      <c r="G99" s="15" t="str">
        <f t="shared" si="7"/>
        <v/>
      </c>
      <c r="H99" s="16">
        <f>SUM(Oct!H99,Nov!H99,Dec!H99)</f>
        <v>0</v>
      </c>
      <c r="I99" s="16">
        <f>SUM(Oct!I99, Nov!I99, Dec!I99)</f>
        <v>0</v>
      </c>
      <c r="J99" s="15" t="str">
        <f t="shared" si="8"/>
        <v/>
      </c>
    </row>
    <row r="100" spans="1:10" ht="15.6">
      <c r="A100" s="24" t="str">
        <v>Telegraph 2</v>
      </c>
      <c r="B100" s="25" t="str">
        <v>NY</v>
      </c>
      <c r="C100" s="25" t="str">
        <f>Sites[[#This Row],[SOL'#]]</f>
        <v>SOL-11004</v>
      </c>
      <c r="D100" s="20">
        <f>SUM(Oct!D100, Nov!D100, Dec!D100)</f>
        <v>0</v>
      </c>
      <c r="E100" s="10">
        <f>SUM(Oct!E100, Nov!E100, Dec!E100)</f>
        <v>0</v>
      </c>
      <c r="F100" s="10">
        <f t="shared" si="6"/>
        <v>0</v>
      </c>
      <c r="G100" s="11" t="str">
        <f t="shared" si="7"/>
        <v/>
      </c>
      <c r="H100" s="12">
        <f>SUM(Oct!H100,Nov!H100,Dec!H100)</f>
        <v>0</v>
      </c>
      <c r="I100" s="12">
        <f>SUM(Oct!I100, Nov!I100, Dec!I100)</f>
        <v>0</v>
      </c>
      <c r="J100" s="13" t="str">
        <f t="shared" si="8"/>
        <v/>
      </c>
    </row>
    <row r="101" spans="1:10" ht="15.6">
      <c r="A101" s="26" t="str">
        <v>Cafferty Hill</v>
      </c>
      <c r="B101" s="27" t="str">
        <v>NY</v>
      </c>
      <c r="C101" s="27" t="str">
        <f>Sites[[#This Row],[SOL'#]]</f>
        <v>SOL-10996</v>
      </c>
      <c r="D101" s="9">
        <f>SUM(Oct!D101, Nov!D101, Dec!D101)</f>
        <v>0</v>
      </c>
      <c r="E101" s="14">
        <f>SUM(Oct!E101, Nov!E101, Dec!E101)</f>
        <v>0</v>
      </c>
      <c r="F101" s="14">
        <f t="shared" si="6"/>
        <v>0</v>
      </c>
      <c r="G101" s="15" t="str">
        <f t="shared" si="7"/>
        <v/>
      </c>
      <c r="H101" s="16">
        <f>SUM(Oct!H101,Nov!H101,Dec!H101)</f>
        <v>0</v>
      </c>
      <c r="I101" s="16">
        <f>SUM(Oct!I101, Nov!I101, Dec!I101)</f>
        <v>0</v>
      </c>
      <c r="J101" s="15" t="str">
        <f t="shared" si="8"/>
        <v/>
      </c>
    </row>
    <row r="102" spans="1:10" ht="15.6">
      <c r="A102" s="24" t="str">
        <v>Dunkleman</v>
      </c>
      <c r="B102" s="25" t="str">
        <v>NY</v>
      </c>
      <c r="C102" s="25" t="str">
        <f>Sites[[#This Row],[SOL'#]]</f>
        <v>SOL-11008</v>
      </c>
      <c r="D102" s="20">
        <f>SUM(Oct!D102, Nov!D102, Dec!D102)</f>
        <v>0</v>
      </c>
      <c r="E102" s="10">
        <f>SUM(Oct!E102, Nov!E102, Dec!E102)</f>
        <v>0</v>
      </c>
      <c r="F102" s="10">
        <f t="shared" si="6"/>
        <v>0</v>
      </c>
      <c r="G102" s="11" t="str">
        <f t="shared" si="7"/>
        <v/>
      </c>
      <c r="H102" s="12">
        <f>SUM(Oct!H102,Nov!H102,Dec!H102)</f>
        <v>0</v>
      </c>
      <c r="I102" s="12">
        <f>SUM(Oct!I102, Nov!I102, Dec!I102)</f>
        <v>0</v>
      </c>
      <c r="J102" s="13" t="str">
        <f t="shared" si="8"/>
        <v/>
      </c>
    </row>
    <row r="103" spans="1:10" ht="15.6">
      <c r="A103" s="26" t="str">
        <v>Route 19 1</v>
      </c>
      <c r="B103" s="27" t="str">
        <v>NY</v>
      </c>
      <c r="C103" s="27" t="str">
        <f>Sites[[#This Row],[SOL'#]]</f>
        <v>SOL-11001</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8"/>
        <v/>
      </c>
    </row>
    <row r="104" spans="1:10" ht="15.6">
      <c r="A104" s="24" t="str">
        <v>Route 19 2</v>
      </c>
      <c r="B104" s="25" t="str">
        <v>NY</v>
      </c>
      <c r="C104" s="25" t="str">
        <f>Sites[[#This Row],[SOL'#]]</f>
        <v>SOL-11002</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8"/>
        <v/>
      </c>
    </row>
    <row r="105" spans="1:10" ht="15.6">
      <c r="A105" s="26" t="str">
        <v>Yellow Mills 1</v>
      </c>
      <c r="B105" s="27" t="str">
        <v>NY</v>
      </c>
      <c r="C105" s="27" t="str">
        <f>Sites[[#This Row],[SOL'#]]</f>
        <v>SOL-11006</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8"/>
        <v/>
      </c>
    </row>
    <row r="106" spans="1:10" ht="15.6">
      <c r="A106" s="24" t="str">
        <v>Yellow Mills 2</v>
      </c>
      <c r="B106" s="25" t="str">
        <v>NY</v>
      </c>
      <c r="C106" s="25" t="str">
        <f>Sites[[#This Row],[SOL'#]]</f>
        <v>SOL-11005</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8"/>
        <v/>
      </c>
    </row>
    <row r="107" spans="1:10" ht="15.6">
      <c r="A107" s="26" t="str">
        <v>Yellow Mills 3</v>
      </c>
      <c r="B107" s="27" t="str">
        <v>NY</v>
      </c>
      <c r="C107" s="27" t="str">
        <f>Sites[[#This Row],[SOL'#]]</f>
        <v>SOL-11007</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8"/>
        <v/>
      </c>
    </row>
    <row r="108" spans="1:10" ht="15.6">
      <c r="A108" s="24" t="str">
        <v>Catskill</v>
      </c>
      <c r="B108" s="25" t="str">
        <v>NY</v>
      </c>
      <c r="C108" s="25" t="str">
        <f>Sites[[#This Row],[SOL'#]]</f>
        <v>SOL-11021</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8"/>
        <v/>
      </c>
    </row>
    <row r="109" spans="1:10" ht="15.6">
      <c r="A109" s="26" t="str">
        <v>Eddy Ridge</v>
      </c>
      <c r="B109" s="27" t="str">
        <v>NY</v>
      </c>
      <c r="C109" s="27" t="str">
        <f>Sites[[#This Row],[SOL'#]]</f>
        <v>SOL-11054</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8"/>
        <v/>
      </c>
    </row>
    <row r="110" spans="1:10" ht="15.6">
      <c r="A110" s="24" t="str">
        <v>Ridgeway #1</v>
      </c>
      <c r="B110" s="25" t="str">
        <v>NY</v>
      </c>
      <c r="C110" s="25" t="str">
        <f>Sites[[#This Row],[SOL'#]]</f>
        <v>SOL-11018</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8"/>
        <v/>
      </c>
    </row>
    <row r="111" spans="1:10" ht="15.6">
      <c r="A111" s="26" t="str">
        <v>Rivard 1</v>
      </c>
      <c r="B111" s="27" t="str">
        <v>NY</v>
      </c>
      <c r="C111" s="27" t="str">
        <f>Sites[[#This Row],[SOL'#]]</f>
        <v>SOL-11011</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8"/>
        <v/>
      </c>
    </row>
    <row r="112" spans="1:10" ht="15.6">
      <c r="A112" s="24" t="str">
        <v>Rivard 2</v>
      </c>
      <c r="B112" s="25" t="str">
        <v>NY</v>
      </c>
      <c r="C112" s="25" t="str">
        <f>Sites[[#This Row],[SOL'#]]</f>
        <v>SOL-11012</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8"/>
        <v/>
      </c>
    </row>
    <row r="113" spans="1:10" ht="15.6">
      <c r="A113" s="26" t="str">
        <v>Essex</v>
      </c>
      <c r="B113" s="27" t="str">
        <v>DC</v>
      </c>
      <c r="C113" s="27" t="str">
        <f>Sites[[#This Row],[SOL'#]]</f>
        <v>SOL-10036</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8"/>
        <v/>
      </c>
    </row>
    <row r="114" spans="1:10" ht="15.6">
      <c r="A114" s="24" t="str">
        <v>Temple Sinai</v>
      </c>
      <c r="B114" s="25" t="str">
        <v>DC</v>
      </c>
      <c r="C114" s="25" t="str">
        <f>Sites[[#This Row],[SOL'#]]</f>
        <v>SOL-10028</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8"/>
        <v/>
      </c>
    </row>
    <row r="115" spans="1:10" ht="15.6">
      <c r="A115" s="26" t="str">
        <v>Weinberg Commons #1</v>
      </c>
      <c r="B115" s="27" t="str">
        <v>DC</v>
      </c>
      <c r="C115" s="27" t="str">
        <f>Sites[[#This Row],[SOL'#]]</f>
        <v>SOL-10039</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8"/>
        <v/>
      </c>
    </row>
    <row r="116" spans="1:10" ht="15.6">
      <c r="A116" s="24" t="str">
        <v>Weinberg Commons #2</v>
      </c>
      <c r="B116" s="25" t="str">
        <v>DC</v>
      </c>
      <c r="C116" s="25" t="str">
        <f>Sites[[#This Row],[SOL'#]]</f>
        <v>SOL-10045</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8"/>
        <v/>
      </c>
    </row>
    <row r="117" spans="1:10" ht="15.6">
      <c r="A117" s="26" t="str">
        <v>Weinberg Commons #3</v>
      </c>
      <c r="B117" s="27" t="str">
        <v>DC</v>
      </c>
      <c r="C117" s="27" t="str">
        <f>Sites[[#This Row],[SOL'#]]</f>
        <v>SOL-10042</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8"/>
        <v/>
      </c>
    </row>
    <row r="118" spans="1:10" ht="15.6">
      <c r="A118" s="24" t="str">
        <v>Clayton Hall</v>
      </c>
      <c r="B118" s="25" t="str">
        <v>DE</v>
      </c>
      <c r="C118" s="25" t="str">
        <f>Sites[[#This Row],[SOL'#]]</f>
        <v>SOL-10820</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8"/>
        <v/>
      </c>
    </row>
    <row r="119" spans="1:10" ht="15.6">
      <c r="A119" s="26" t="str">
        <v>Field House</v>
      </c>
      <c r="B119" s="27" t="str">
        <v>DE</v>
      </c>
      <c r="C119" s="27" t="str">
        <f>Sites[[#This Row],[SOL'#]]</f>
        <v>SOL-10821</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8"/>
        <v/>
      </c>
    </row>
    <row r="120" spans="1:10" ht="15.6">
      <c r="A120" s="24" t="str">
        <v>Wyoming Road</v>
      </c>
      <c r="B120" s="25" t="str">
        <v>DE</v>
      </c>
      <c r="C120" s="25" t="str">
        <f>Sites[[#This Row],[SOL'#]]</f>
        <v>SOL-10819</v>
      </c>
      <c r="D120" s="20">
        <f>SUM(Oct!D120, Nov!D120, Dec!D120)</f>
        <v>0</v>
      </c>
      <c r="E120" s="10">
        <f>SUM(Oct!E120, Nov!E120, Dec!E120)</f>
        <v>0</v>
      </c>
      <c r="F120" s="10">
        <f t="shared" si="6"/>
        <v>0</v>
      </c>
      <c r="G120" s="11" t="str">
        <f t="shared" si="7"/>
        <v/>
      </c>
      <c r="H120" s="12">
        <f>SUM(Oct!H120,Nov!H120,Dec!H120)</f>
        <v>0</v>
      </c>
      <c r="I120" s="12">
        <f>SUM(Oct!I120, Nov!I120, Dec!I120)</f>
        <v>0</v>
      </c>
      <c r="J120" s="13" t="str">
        <f t="shared" si="8"/>
        <v/>
      </c>
    </row>
    <row r="121" spans="1:10" ht="15.6">
      <c r="A121" s="26" t="str">
        <v>94-246 Leoku St. - PV Bldg E, F, G</v>
      </c>
      <c r="B121" s="27" t="str">
        <v>HI</v>
      </c>
      <c r="C121" s="27" t="str">
        <f>Sites[[#This Row],[SOL'#]]</f>
        <v>SOL-10071</v>
      </c>
      <c r="D121" s="9">
        <f>SUM(Oct!D121, Nov!D121, Dec!D121)</f>
        <v>0</v>
      </c>
      <c r="E121" s="14">
        <f>SUM(Oct!E121, Nov!E121, Dec!E121)</f>
        <v>0</v>
      </c>
      <c r="F121" s="14">
        <f t="shared" si="6"/>
        <v>0</v>
      </c>
      <c r="G121" s="15" t="str">
        <f t="shared" si="7"/>
        <v/>
      </c>
      <c r="H121" s="16">
        <f>SUM(Oct!H121,Nov!H121,Dec!H121)</f>
        <v>0</v>
      </c>
      <c r="I121" s="16">
        <f>SUM(Oct!I121, Nov!I121, Dec!I121)</f>
        <v>0</v>
      </c>
      <c r="J121" s="15" t="str">
        <f t="shared" si="8"/>
        <v/>
      </c>
    </row>
    <row r="122" spans="1:10" ht="15.6">
      <c r="A122" s="24" t="str">
        <v>94-099 Waipahu St - PV</v>
      </c>
      <c r="B122" s="25" t="str">
        <v>HI</v>
      </c>
      <c r="C122" s="25" t="str">
        <f>Sites[[#This Row],[SOL'#]]</f>
        <v>SOL-10068</v>
      </c>
      <c r="D122" s="20">
        <f>SUM(Oct!D122, Nov!D122, Dec!D122)</f>
        <v>0</v>
      </c>
      <c r="E122" s="10">
        <f>SUM(Oct!E122, Nov!E122, Dec!E122)</f>
        <v>0</v>
      </c>
      <c r="F122" s="10">
        <f t="shared" si="6"/>
        <v>0</v>
      </c>
      <c r="G122" s="11" t="str">
        <f t="shared" si="7"/>
        <v/>
      </c>
      <c r="H122" s="12">
        <f>SUM(Oct!H122,Nov!H122,Dec!H122)</f>
        <v>0</v>
      </c>
      <c r="I122" s="12">
        <f>SUM(Oct!I122, Nov!I122, Dec!I122)</f>
        <v>0</v>
      </c>
      <c r="J122" s="13" t="str">
        <f t="shared" si="8"/>
        <v/>
      </c>
    </row>
    <row r="123" spans="1:10" ht="15.6">
      <c r="A123" s="26" t="str">
        <v>TES Bird in Hand</v>
      </c>
      <c r="B123" s="27" t="str">
        <v>MD</v>
      </c>
      <c r="C123" s="27" t="str">
        <f>Sites[[#This Row],[SOL'#]]</f>
        <v>SOL-10092</v>
      </c>
      <c r="D123" s="9">
        <f>SUM(Oct!D123, Nov!D123, Dec!D123)</f>
        <v>0</v>
      </c>
      <c r="E123" s="14">
        <f>SUM(Oct!E123, Nov!E123, Dec!E123)</f>
        <v>0</v>
      </c>
      <c r="F123" s="14">
        <f t="shared" si="6"/>
        <v>0</v>
      </c>
      <c r="G123" s="15" t="str">
        <f t="shared" si="7"/>
        <v/>
      </c>
      <c r="H123" s="16">
        <f>SUM(Oct!H123,Nov!H123,Dec!H123)</f>
        <v>0</v>
      </c>
      <c r="I123" s="16">
        <f>SUM(Oct!I123, Nov!I123, Dec!I123)</f>
        <v>0</v>
      </c>
      <c r="J123" s="15" t="str">
        <f t="shared" si="8"/>
        <v/>
      </c>
    </row>
    <row r="124" spans="1:10" ht="15.6">
      <c r="A124" s="24" t="str">
        <v>TES Shortal Solar LLC</v>
      </c>
      <c r="B124" s="25" t="str">
        <v>MD</v>
      </c>
      <c r="C124" s="25" t="str">
        <f>Sites[[#This Row],[SOL'#]]</f>
        <v>SOL-10091</v>
      </c>
      <c r="D124" s="20">
        <f>SUM(Oct!D124, Nov!D124, Dec!D124)</f>
        <v>0</v>
      </c>
      <c r="E124" s="10">
        <f>SUM(Oct!E124, Nov!E124, Dec!E124)</f>
        <v>0</v>
      </c>
      <c r="F124" s="10">
        <f t="shared" si="6"/>
        <v>0</v>
      </c>
      <c r="G124" s="11" t="str">
        <f t="shared" si="7"/>
        <v/>
      </c>
      <c r="H124" s="12">
        <f>SUM(Oct!H124,Nov!H124,Dec!H124)</f>
        <v>0</v>
      </c>
      <c r="I124" s="12">
        <f>SUM(Oct!I124, Nov!I124, Dec!I124)</f>
        <v>0</v>
      </c>
      <c r="J124" s="13" t="str">
        <f t="shared" si="8"/>
        <v/>
      </c>
    </row>
    <row r="125" spans="1:10" ht="15.6">
      <c r="A125" s="26" t="str">
        <v>Coca Cola Aguadilla</v>
      </c>
      <c r="B125" s="27" t="str">
        <v>PR</v>
      </c>
      <c r="C125" s="27" t="str">
        <f>Sites[[#This Row],[SOL'#]]</f>
        <v>SOL-10072</v>
      </c>
      <c r="D125" s="9">
        <f>SUM(Oct!D125, Nov!D125, Dec!D125)</f>
        <v>0</v>
      </c>
      <c r="E125" s="14">
        <f>SUM(Oct!E125, Nov!E125, Dec!E125)</f>
        <v>0</v>
      </c>
      <c r="F125" s="14">
        <f t="shared" si="6"/>
        <v>0</v>
      </c>
      <c r="G125" s="15" t="str">
        <f t="shared" si="7"/>
        <v/>
      </c>
      <c r="H125" s="16">
        <f>SUM(Oct!H125,Nov!H125,Dec!H125)</f>
        <v>0</v>
      </c>
      <c r="I125" s="16">
        <f>SUM(Oct!I125, Nov!I125, Dec!I125)</f>
        <v>0</v>
      </c>
      <c r="J125" s="15" t="str">
        <f t="shared" si="8"/>
        <v/>
      </c>
    </row>
    <row r="126" spans="1:10" ht="15.6">
      <c r="A126" s="24" t="str">
        <v>Coca Cola Bayamon</v>
      </c>
      <c r="B126" s="25" t="str">
        <v>PR</v>
      </c>
      <c r="C126" s="25" t="str">
        <f>Sites[[#This Row],[SOL'#]]</f>
        <v>SOL-10073</v>
      </c>
      <c r="D126" s="20">
        <f>SUM(Oct!D126, Nov!D126, Dec!D126)</f>
        <v>0</v>
      </c>
      <c r="E126" s="10">
        <f>SUM(Oct!E126, Nov!E126, Dec!E126)</f>
        <v>0</v>
      </c>
      <c r="F126" s="10">
        <f t="shared" si="6"/>
        <v>0</v>
      </c>
      <c r="G126" s="11" t="str">
        <f t="shared" si="7"/>
        <v/>
      </c>
      <c r="H126" s="12">
        <f>SUM(Oct!H126,Nov!H126,Dec!H126)</f>
        <v>0</v>
      </c>
      <c r="I126" s="12">
        <f>SUM(Oct!I126, Nov!I126, Dec!I126)</f>
        <v>0</v>
      </c>
      <c r="J126" s="13" t="str">
        <f t="shared" si="8"/>
        <v/>
      </c>
    </row>
    <row r="127" spans="1:10" ht="15.6">
      <c r="A127" s="26" t="str">
        <v>St Francis School</v>
      </c>
      <c r="B127" s="27" t="str">
        <v>PR</v>
      </c>
      <c r="C127" s="27" t="str">
        <f>Sites[[#This Row],[SOL'#]]</f>
        <v>SOL-10034</v>
      </c>
      <c r="D127" s="9">
        <f>SUM(Oct!D127, Nov!D127, Dec!D127)</f>
        <v>0</v>
      </c>
      <c r="E127" s="14">
        <f>SUM(Oct!E127, Nov!E127, Dec!E127)</f>
        <v>0</v>
      </c>
      <c r="F127" s="14">
        <f t="shared" si="6"/>
        <v>0</v>
      </c>
      <c r="G127" s="15" t="str">
        <f t="shared" si="7"/>
        <v/>
      </c>
      <c r="H127" s="16">
        <f>SUM(Oct!H127,Nov!H127,Dec!H127)</f>
        <v>0</v>
      </c>
      <c r="I127" s="16">
        <f>SUM(Oct!I127, Nov!I127, Dec!I127)</f>
        <v>0</v>
      </c>
      <c r="J127" s="15" t="str">
        <f t="shared" si="8"/>
        <v/>
      </c>
    </row>
    <row r="128" spans="1:10" ht="15.6">
      <c r="A128" s="24" t="str">
        <v>645 Summer Street - (Seaport Solar)</v>
      </c>
      <c r="B128" s="25" t="str">
        <v>MA</v>
      </c>
      <c r="C128" s="25" t="str">
        <f>Sites[[#This Row],[SOL'#]]</f>
        <v>SOL-10772</v>
      </c>
      <c r="D128" s="20">
        <f>SUM(Oct!D128, Nov!D128, Dec!D128)</f>
        <v>0</v>
      </c>
      <c r="E128" s="10">
        <f>SUM(Oct!E128, Nov!E128, Dec!E128)</f>
        <v>0</v>
      </c>
      <c r="F128" s="10">
        <f t="shared" si="6"/>
        <v>0</v>
      </c>
      <c r="G128" s="11" t="str">
        <f t="shared" si="7"/>
        <v/>
      </c>
      <c r="H128" s="12">
        <f>SUM(Oct!H128,Nov!H128,Dec!H128)</f>
        <v>0</v>
      </c>
      <c r="I128" s="12">
        <f>SUM(Oct!I128, Nov!I128, Dec!I128)</f>
        <v>0</v>
      </c>
      <c r="J128" s="13" t="str">
        <f t="shared" si="8"/>
        <v/>
      </c>
    </row>
    <row r="129" spans="1:10" ht="15.6">
      <c r="A129" s="26" t="str">
        <v>480 Sprague St</v>
      </c>
      <c r="B129" s="27" t="str">
        <v>MA</v>
      </c>
      <c r="C129" s="27" t="str">
        <f>Sites[[#This Row],[SOL'#]]</f>
        <v>SOL-10773</v>
      </c>
      <c r="D129" s="9">
        <f>SUM(Oct!D129, Nov!D129, Dec!D129)</f>
        <v>0</v>
      </c>
      <c r="E129" s="14">
        <f>SUM(Oct!E129, Nov!E129, Dec!E129)</f>
        <v>0</v>
      </c>
      <c r="F129" s="14">
        <f t="shared" si="6"/>
        <v>0</v>
      </c>
      <c r="G129" s="15" t="str">
        <f t="shared" si="7"/>
        <v/>
      </c>
      <c r="H129" s="16">
        <f>SUM(Oct!H129,Nov!H129,Dec!H129)</f>
        <v>0</v>
      </c>
      <c r="I129" s="16">
        <f>SUM(Oct!I129, Nov!I129, Dec!I129)</f>
        <v>0</v>
      </c>
      <c r="J129" s="15" t="str">
        <f t="shared" si="8"/>
        <v/>
      </c>
    </row>
    <row r="130" spans="1:10" ht="15.6">
      <c r="A130" s="24" t="str">
        <v>647 Summer Street - (Summer Street Solar)</v>
      </c>
      <c r="B130" s="25" t="str">
        <v>MA</v>
      </c>
      <c r="C130" s="25" t="str">
        <f>Sites[[#This Row],[SOL'#]]</f>
        <v>SOL-10764</v>
      </c>
      <c r="D130" s="20">
        <f>SUM(Oct!D130, Nov!D130, Dec!D130)</f>
        <v>0</v>
      </c>
      <c r="E130" s="10">
        <f>SUM(Oct!E130, Nov!E130, Dec!E130)</f>
        <v>0</v>
      </c>
      <c r="F130" s="10">
        <f t="shared" si="6"/>
        <v>0</v>
      </c>
      <c r="G130" s="11" t="str">
        <f t="shared" si="7"/>
        <v/>
      </c>
      <c r="H130" s="12">
        <f>SUM(Oct!H130,Nov!H130,Dec!H130)</f>
        <v>0</v>
      </c>
      <c r="I130" s="12">
        <f>SUM(Oct!I130, Nov!I130, Dec!I130)</f>
        <v>0</v>
      </c>
      <c r="J130" s="13" t="str">
        <f t="shared" si="8"/>
        <v/>
      </c>
    </row>
    <row r="131" spans="1:10" ht="15.6">
      <c r="A131" s="26" t="str">
        <v>Rochester Technical School (Wakefield Street)</v>
      </c>
      <c r="B131" s="27" t="str">
        <v>NH</v>
      </c>
      <c r="C131" s="27" t="str">
        <f>Sites[[#This Row],[SOL'#]]</f>
        <v>SOL-10768</v>
      </c>
      <c r="D131" s="9">
        <f>SUM(Oct!D131, Nov!D131, Dec!D131)</f>
        <v>0</v>
      </c>
      <c r="E131" s="14">
        <f>SUM(Oct!E131, Nov!E131, Dec!E131)</f>
        <v>0</v>
      </c>
      <c r="F131" s="14">
        <f t="shared" si="6"/>
        <v>0</v>
      </c>
      <c r="G131" s="15" t="str">
        <f t="shared" si="7"/>
        <v/>
      </c>
      <c r="H131" s="16">
        <f>SUM(Oct!H131,Nov!H131,Dec!H131)</f>
        <v>0</v>
      </c>
      <c r="I131" s="16">
        <f>SUM(Oct!I131, Nov!I131, Dec!I131)</f>
        <v>0</v>
      </c>
      <c r="J131" s="15" t="str">
        <f t="shared" si="8"/>
        <v/>
      </c>
    </row>
    <row r="132" spans="1:10" ht="15.6">
      <c r="A132" s="24" t="str">
        <v>McClelland ES</v>
      </c>
      <c r="B132" s="25" t="str">
        <v>NH</v>
      </c>
      <c r="C132" s="25" t="str">
        <f>Sites[[#This Row],[SOL'#]]</f>
        <v>SOL-10766</v>
      </c>
      <c r="D132" s="20">
        <f>SUM(Oct!D132, Nov!D132, Dec!D132)</f>
        <v>0</v>
      </c>
      <c r="E132" s="10">
        <f>SUM(Oct!E132, Nov!E132, Dec!E132)</f>
        <v>0</v>
      </c>
      <c r="F132" s="10">
        <f t="shared" si="6"/>
        <v>0</v>
      </c>
      <c r="G132" s="11" t="str">
        <f t="shared" si="7"/>
        <v/>
      </c>
      <c r="H132" s="12">
        <f>SUM(Oct!H132,Nov!H132,Dec!H132)</f>
        <v>0</v>
      </c>
      <c r="I132" s="12">
        <f>SUM(Oct!I132, Nov!I132, Dec!I132)</f>
        <v>0</v>
      </c>
      <c r="J132" s="13" t="str">
        <f t="shared" si="8"/>
        <v/>
      </c>
    </row>
    <row r="133" spans="1:10" ht="15.6">
      <c r="A133" s="26" t="str">
        <v>Portland St</v>
      </c>
      <c r="B133" s="27" t="str">
        <v>NH</v>
      </c>
      <c r="C133" s="27" t="str">
        <f>Sites[[#This Row],[SOL'#]]</f>
        <v>SOL-10771</v>
      </c>
      <c r="D133" s="9">
        <f>SUM(Oct!D133, Nov!D133, Dec!D133)</f>
        <v>0</v>
      </c>
      <c r="E133" s="14">
        <f>SUM(Oct!E133, Nov!E133, Dec!E133)</f>
        <v>0</v>
      </c>
      <c r="F133" s="14">
        <f t="shared" si="6"/>
        <v>0</v>
      </c>
      <c r="G133" s="15" t="str">
        <f t="shared" si="7"/>
        <v/>
      </c>
      <c r="H133" s="16">
        <f>SUM(Oct!H133,Nov!H133,Dec!H133)</f>
        <v>0</v>
      </c>
      <c r="I133" s="16">
        <f>SUM(Oct!I133, Nov!I133, Dec!I133)</f>
        <v>0</v>
      </c>
      <c r="J133" s="15" t="str">
        <f t="shared" si="8"/>
        <v/>
      </c>
    </row>
    <row r="134" spans="1:10" ht="15.6">
      <c r="A134" s="24" t="str">
        <v>Freshet Road -PHS</v>
      </c>
      <c r="B134" s="25" t="str">
        <v>NH</v>
      </c>
      <c r="C134" s="25" t="str">
        <f>Sites[[#This Row],[SOL'#]]</f>
        <v>SOL-10769</v>
      </c>
      <c r="D134" s="20">
        <f>SUM(Oct!D134, Nov!D134, Dec!D134)</f>
        <v>0</v>
      </c>
      <c r="E134" s="10">
        <f>SUM(Oct!E134, Nov!E134, Dec!E134)</f>
        <v>0</v>
      </c>
      <c r="F134" s="10">
        <f t="shared" si="6"/>
        <v>0</v>
      </c>
      <c r="G134" s="11" t="str">
        <f t="shared" si="7"/>
        <v/>
      </c>
      <c r="H134" s="12">
        <f>SUM(Oct!H134,Nov!H134,Dec!H134)</f>
        <v>0</v>
      </c>
      <c r="I134" s="12">
        <f>SUM(Oct!I134, Nov!I134, Dec!I134)</f>
        <v>0</v>
      </c>
      <c r="J134" s="13" t="str">
        <f t="shared" si="8"/>
        <v/>
      </c>
    </row>
    <row r="135" spans="1:10" ht="15.6">
      <c r="A135" s="26" t="str">
        <v>Freshet Road - PWTP</v>
      </c>
      <c r="B135" s="27" t="str">
        <v>NH</v>
      </c>
      <c r="C135" s="27" t="str">
        <f>Sites[[#This Row],[SOL'#]]</f>
        <v>SOL-10770</v>
      </c>
      <c r="D135" s="9">
        <f>SUM(Oct!D135, Nov!D135, Dec!D135)</f>
        <v>0</v>
      </c>
      <c r="E135" s="14">
        <f>SUM(Oct!E135, Nov!E135, Dec!E135)</f>
        <v>0</v>
      </c>
      <c r="F135" s="14">
        <f t="shared" si="6"/>
        <v>0</v>
      </c>
      <c r="G135" s="15" t="str">
        <f t="shared" si="7"/>
        <v/>
      </c>
      <c r="H135" s="16">
        <f>SUM(Oct!H135,Nov!H135,Dec!H135)</f>
        <v>0</v>
      </c>
      <c r="I135" s="16">
        <f>SUM(Oct!I135, Nov!I135, Dec!I135)</f>
        <v>0</v>
      </c>
      <c r="J135" s="15" t="str">
        <f t="shared" si="8"/>
        <v/>
      </c>
    </row>
    <row r="136" spans="1:10" ht="15.6">
      <c r="A136" s="24" t="str">
        <v>Rochester Middle School (Brock Street)</v>
      </c>
      <c r="B136" s="25" t="str">
        <v>NH</v>
      </c>
      <c r="C136" s="25" t="str">
        <f>Sites[[#This Row],[SOL'#]]</f>
        <v>SOL-10765</v>
      </c>
      <c r="D136" s="20">
        <f>SUM(Oct!D136, Nov!D136, Dec!D136)</f>
        <v>0</v>
      </c>
      <c r="E136" s="10">
        <f>SUM(Oct!E136, Nov!E136, Dec!E136)</f>
        <v>0</v>
      </c>
      <c r="F136" s="10">
        <f t="shared" si="6"/>
        <v>0</v>
      </c>
      <c r="G136" s="11" t="str">
        <f t="shared" si="7"/>
        <v/>
      </c>
      <c r="H136" s="12">
        <f>SUM(Oct!H136,Nov!H136,Dec!H136)</f>
        <v>0</v>
      </c>
      <c r="I136" s="12">
        <f>SUM(Oct!I136, Nov!I136, Dec!I136)</f>
        <v>0</v>
      </c>
      <c r="J136" s="13" t="str">
        <f t="shared" si="8"/>
        <v/>
      </c>
    </row>
    <row r="137" spans="1:10" ht="15.6">
      <c r="A137" s="26" t="str">
        <v>Spaulding High School (Wakefield Street)</v>
      </c>
      <c r="B137" s="27" t="str">
        <v>NH</v>
      </c>
      <c r="C137" s="27" t="str">
        <f>Sites[[#This Row],[SOL'#]]</f>
        <v>SOL-10767</v>
      </c>
      <c r="D137" s="9">
        <f>SUM(Oct!D137, Nov!D137, Dec!D137)</f>
        <v>0</v>
      </c>
      <c r="E137" s="14">
        <f>SUM(Oct!E137, Nov!E137, Dec!E137)</f>
        <v>0</v>
      </c>
      <c r="F137" s="14">
        <f t="shared" si="6"/>
        <v>0</v>
      </c>
      <c r="G137" s="15" t="str">
        <f t="shared" si="7"/>
        <v/>
      </c>
      <c r="H137" s="16">
        <f>SUM(Oct!H137,Nov!H137,Dec!H137)</f>
        <v>0</v>
      </c>
      <c r="I137" s="16">
        <f>SUM(Oct!I137, Nov!I137, Dec!I137)</f>
        <v>0</v>
      </c>
      <c r="J137" s="15" t="str">
        <f t="shared" si="8"/>
        <v/>
      </c>
    </row>
    <row r="138" spans="1:10" ht="15.6">
      <c r="A138" s="24" t="str">
        <v>Ridgeway #2</v>
      </c>
      <c r="B138" s="25" t="str">
        <v>NY</v>
      </c>
      <c r="C138" s="25" t="str">
        <f>Sites[[#This Row],[SOL'#]]</f>
        <v>SOL-11027</v>
      </c>
      <c r="D138" s="20">
        <f>SUM(Oct!D138, Nov!D138, Dec!D138)</f>
        <v>0</v>
      </c>
      <c r="E138" s="10">
        <f>SUM(Oct!E138, Nov!E138, Dec!E138)</f>
        <v>0</v>
      </c>
      <c r="F138" s="10">
        <f t="shared" si="6"/>
        <v>0</v>
      </c>
      <c r="G138" s="11" t="str">
        <f t="shared" si="7"/>
        <v/>
      </c>
      <c r="H138" s="12">
        <f>SUM(Oct!H138,Nov!H138,Dec!H138)</f>
        <v>0</v>
      </c>
      <c r="I138" s="12">
        <f>SUM(Oct!I138, Nov!I138, Dec!I138)</f>
        <v>0</v>
      </c>
      <c r="J138" s="13" t="str">
        <f t="shared" si="8"/>
        <v/>
      </c>
    </row>
    <row r="139" spans="1:10" ht="15.6">
      <c r="A139" s="26" t="str">
        <v>Spencer</v>
      </c>
      <c r="B139" s="27" t="str">
        <v>NY</v>
      </c>
      <c r="C139" s="27" t="str">
        <f>Sites[[#This Row],[SOL'#]]</f>
        <v>SOL-11017</v>
      </c>
      <c r="D139" s="9">
        <f>SUM(Oct!D139, Nov!D139, Dec!D139)</f>
        <v>0</v>
      </c>
      <c r="E139" s="14">
        <f>SUM(Oct!E139, Nov!E139, Dec!E139)</f>
        <v>0</v>
      </c>
      <c r="F139" s="14">
        <f t="shared" si="6"/>
        <v>0</v>
      </c>
      <c r="G139" s="15" t="str">
        <f t="shared" si="7"/>
        <v/>
      </c>
      <c r="H139" s="16">
        <f>SUM(Oct!H139,Nov!H139,Dec!H139)</f>
        <v>0</v>
      </c>
      <c r="I139" s="16">
        <f>SUM(Oct!I139, Nov!I139, Dec!I139)</f>
        <v>0</v>
      </c>
      <c r="J139" s="15" t="str">
        <f t="shared" si="8"/>
        <v/>
      </c>
    </row>
    <row r="140" spans="1:10" ht="15.6">
      <c r="A140" s="24" t="str">
        <v>Reisender</v>
      </c>
      <c r="B140" s="25" t="str">
        <v>NY</v>
      </c>
      <c r="C140" s="25" t="str">
        <f>Sites[[#This Row],[SOL'#]]</f>
        <v>SOL-10886</v>
      </c>
      <c r="D140" s="20">
        <f>SUM(Oct!D140, Nov!D140, Dec!D140)</f>
        <v>0</v>
      </c>
      <c r="E140" s="10">
        <f>SUM(Oct!E140, Nov!E140, Dec!E140)</f>
        <v>0</v>
      </c>
      <c r="F140" s="10">
        <f t="shared" si="6"/>
        <v>0</v>
      </c>
      <c r="G140" s="11" t="str">
        <f t="shared" si="7"/>
        <v/>
      </c>
      <c r="H140" s="12">
        <f>SUM(Oct!H140,Nov!H140,Dec!H140)</f>
        <v>0</v>
      </c>
      <c r="I140" s="12">
        <f>SUM(Oct!I140, Nov!I140, Dec!I140)</f>
        <v>0</v>
      </c>
      <c r="J140" s="13" t="str">
        <f t="shared" si="8"/>
        <v/>
      </c>
    </row>
    <row r="141" spans="1:10" ht="15.6">
      <c r="A141" s="26" t="str">
        <v>Finney</v>
      </c>
      <c r="B141" s="27" t="str">
        <v>NY</v>
      </c>
      <c r="C141" s="27" t="str">
        <f>Sites[[#This Row],[SOL'#]]</f>
        <v>SOL-10999</v>
      </c>
      <c r="D141" s="9">
        <f>SUM(Oct!D141, Nov!D141, Dec!D141)</f>
        <v>0</v>
      </c>
      <c r="E141" s="14">
        <f>SUM(Oct!E141, Nov!E141, Dec!E141)</f>
        <v>0</v>
      </c>
      <c r="F141" s="14">
        <f t="shared" si="6"/>
        <v>0</v>
      </c>
      <c r="G141" s="15" t="str">
        <f t="shared" si="7"/>
        <v/>
      </c>
      <c r="H141" s="16">
        <f>SUM(Oct!H141,Nov!H141,Dec!H141)</f>
        <v>0</v>
      </c>
      <c r="I141" s="16">
        <f>SUM(Oct!I141, Nov!I141, Dec!I141)</f>
        <v>0</v>
      </c>
      <c r="J141" s="15" t="str">
        <f t="shared" si="8"/>
        <v/>
      </c>
    </row>
    <row r="142" spans="1:10" ht="15.6">
      <c r="A142" s="24" t="str">
        <v>Davis Solar</v>
      </c>
      <c r="B142" s="25" t="str">
        <v>NY</v>
      </c>
      <c r="C142" s="25" t="str">
        <f>Sites[[#This Row],[SOL'#]]</f>
        <v>SOL-10958</v>
      </c>
      <c r="D142" s="20">
        <f>SUM(Oct!D142, Nov!D142, Dec!D142)</f>
        <v>0</v>
      </c>
      <c r="E142" s="10">
        <f>SUM(Oct!E142, Nov!E142, Dec!E142)</f>
        <v>0</v>
      </c>
      <c r="F142" s="10">
        <f t="shared" si="6"/>
        <v>0</v>
      </c>
      <c r="G142" s="11" t="str">
        <f t="shared" si="7"/>
        <v/>
      </c>
      <c r="H142" s="12">
        <f>SUM(Oct!H142,Nov!H142,Dec!H142)</f>
        <v>0</v>
      </c>
      <c r="I142" s="12">
        <f>SUM(Oct!I142, Nov!I142, Dec!I142)</f>
        <v>0</v>
      </c>
      <c r="J142" s="13" t="str">
        <f t="shared" si="8"/>
        <v/>
      </c>
    </row>
    <row r="143" spans="1:10" ht="15.6">
      <c r="A143" s="26" t="str">
        <v>Genesee</v>
      </c>
      <c r="B143" s="27" t="str">
        <v>NY</v>
      </c>
      <c r="C143" s="27" t="str">
        <f>Sites[[#This Row],[SOL'#]]</f>
        <v>SOL-10951</v>
      </c>
      <c r="D143" s="9">
        <f>SUM(Oct!D143, Nov!D143, Dec!D143)</f>
        <v>0</v>
      </c>
      <c r="E143" s="14">
        <f>SUM(Oct!E143, Nov!E143, Dec!E143)</f>
        <v>0</v>
      </c>
      <c r="F143" s="14">
        <f t="shared" si="6"/>
        <v>0</v>
      </c>
      <c r="G143" s="15" t="str">
        <f t="shared" si="7"/>
        <v/>
      </c>
      <c r="H143" s="16">
        <f>SUM(Oct!H143,Nov!H143,Dec!H143)</f>
        <v>0</v>
      </c>
      <c r="I143" s="16">
        <f>SUM(Oct!I143, Nov!I143, Dec!I143)</f>
        <v>0</v>
      </c>
      <c r="J143" s="15" t="str">
        <f t="shared" si="8"/>
        <v/>
      </c>
    </row>
    <row r="144" spans="1:10" ht="15.6">
      <c r="A144" s="24" t="str">
        <v>Landau I</v>
      </c>
      <c r="B144" s="25" t="str">
        <v>NY</v>
      </c>
      <c r="C144" s="25" t="str">
        <f>Sites[[#This Row],[SOL'#]]</f>
        <v>SOL-10891</v>
      </c>
      <c r="D144" s="20">
        <f>SUM(Oct!D144, Nov!D144, Dec!D144)</f>
        <v>0</v>
      </c>
      <c r="E144" s="10">
        <f>SUM(Oct!E144, Nov!E144, Dec!E144)</f>
        <v>0</v>
      </c>
      <c r="F144" s="10">
        <f t="shared" ref="F144:F161" si="9">IF(AND(ISNUMBER(D144),ISNUMBER(E144)), D144-E144, "")</f>
        <v>0</v>
      </c>
      <c r="G144" s="11" t="str">
        <f t="shared" ref="G144:G161" si="10">IFERROR(F144/E144, "")</f>
        <v/>
      </c>
      <c r="H144" s="12">
        <f>SUM(Oct!H144,Nov!H144,Dec!H144)</f>
        <v>0</v>
      </c>
      <c r="I144" s="12">
        <f>SUM(Oct!I144, Nov!I144, Dec!I144)</f>
        <v>0</v>
      </c>
      <c r="J144" s="13" t="str">
        <f t="shared" ref="J144:J161" si="11">IFERROR(I144/H144, "")</f>
        <v/>
      </c>
    </row>
    <row r="145" spans="1:10" ht="15.6">
      <c r="A145" s="26" t="str">
        <v>Landau II</v>
      </c>
      <c r="B145" s="27" t="str">
        <v>NY</v>
      </c>
      <c r="C145" s="27" t="str">
        <f>Sites[[#This Row],[SOL'#]]</f>
        <v>SOL-10895</v>
      </c>
      <c r="D145" s="9">
        <f>SUM(Oct!D145, Nov!D145, Dec!D145)</f>
        <v>0</v>
      </c>
      <c r="E145" s="14">
        <f>SUM(Oct!E145, Nov!E145, Dec!E145)</f>
        <v>0</v>
      </c>
      <c r="F145" s="14">
        <f t="shared" si="9"/>
        <v>0</v>
      </c>
      <c r="G145" s="15" t="str">
        <f t="shared" si="10"/>
        <v/>
      </c>
      <c r="H145" s="16">
        <f>SUM(Oct!H145,Nov!H145,Dec!H145)</f>
        <v>0</v>
      </c>
      <c r="I145" s="16">
        <f>SUM(Oct!I145, Nov!I145, Dec!I145)</f>
        <v>0</v>
      </c>
      <c r="J145" s="15" t="str">
        <f t="shared" si="11"/>
        <v/>
      </c>
    </row>
    <row r="146" spans="1:10" ht="15.6">
      <c r="A146" s="24" t="str">
        <v>New Beginnings</v>
      </c>
      <c r="B146" s="25" t="str">
        <v>NY</v>
      </c>
      <c r="C146" s="25" t="str">
        <f>Sites[[#This Row],[SOL'#]]</f>
        <v>SOL-10890</v>
      </c>
      <c r="D146" s="20">
        <f>SUM(Oct!D146, Nov!D146, Dec!D146)</f>
        <v>0</v>
      </c>
      <c r="E146" s="10">
        <f>SUM(Oct!E146, Nov!E146, Dec!E146)</f>
        <v>0</v>
      </c>
      <c r="F146" s="10">
        <f t="shared" si="9"/>
        <v>0</v>
      </c>
      <c r="G146" s="11" t="str">
        <f t="shared" si="10"/>
        <v/>
      </c>
      <c r="H146" s="12">
        <f>SUM(Oct!H146,Nov!H146,Dec!H146)</f>
        <v>0</v>
      </c>
      <c r="I146" s="12">
        <f>SUM(Oct!I146, Nov!I146, Dec!I146)</f>
        <v>0</v>
      </c>
      <c r="J146" s="13" t="str">
        <f t="shared" si="11"/>
        <v/>
      </c>
    </row>
    <row r="147" spans="1:10" ht="15.6">
      <c r="A147" s="26" t="str">
        <v>Bullitt Farm Solar, LLC</v>
      </c>
      <c r="B147" s="27" t="str">
        <v>NY</v>
      </c>
      <c r="C147" s="27" t="str">
        <f>Sites[[#This Row],[SOL'#]]</f>
        <v>SOL-10998</v>
      </c>
      <c r="D147" s="9">
        <f>SUM(Oct!D147, Nov!D147, Dec!D147)</f>
        <v>0</v>
      </c>
      <c r="E147" s="14">
        <f>SUM(Oct!E147, Nov!E147, Dec!E147)</f>
        <v>0</v>
      </c>
      <c r="F147" s="14">
        <f t="shared" si="9"/>
        <v>0</v>
      </c>
      <c r="G147" s="15" t="str">
        <f t="shared" si="10"/>
        <v/>
      </c>
      <c r="H147" s="16">
        <f>SUM(Oct!H147,Nov!H147,Dec!H147)</f>
        <v>0</v>
      </c>
      <c r="I147" s="16">
        <f>SUM(Oct!I147, Nov!I147, Dec!I147)</f>
        <v>0</v>
      </c>
      <c r="J147" s="15" t="str">
        <f t="shared" si="11"/>
        <v/>
      </c>
    </row>
    <row r="148" spans="1:10" ht="15.6">
      <c r="A148" s="24" t="str">
        <v>Brodhead Solar, LLC</v>
      </c>
      <c r="B148" s="25" t="str">
        <v>NY</v>
      </c>
      <c r="C148" s="25" t="str">
        <f>Sites[[#This Row],[SOL'#]]</f>
        <v>SOL-10899</v>
      </c>
      <c r="D148" s="20">
        <f>SUM(Oct!D148, Nov!D148, Dec!D148)</f>
        <v>0</v>
      </c>
      <c r="E148" s="10">
        <f>SUM(Oct!E148, Nov!E148, Dec!E148)</f>
        <v>0</v>
      </c>
      <c r="F148" s="10">
        <f t="shared" si="9"/>
        <v>0</v>
      </c>
      <c r="G148" s="11" t="str">
        <f t="shared" si="10"/>
        <v/>
      </c>
      <c r="H148" s="12">
        <f>SUM(Oct!H148,Nov!H148,Dec!H148)</f>
        <v>0</v>
      </c>
      <c r="I148" s="12">
        <f>SUM(Oct!I148, Nov!I148, Dec!I148)</f>
        <v>0</v>
      </c>
      <c r="J148" s="13" t="str">
        <f t="shared" si="11"/>
        <v/>
      </c>
    </row>
    <row r="149" spans="1:10" ht="15.6">
      <c r="A149" s="26" t="str">
        <v>Svenski</v>
      </c>
      <c r="B149" s="27" t="str">
        <v>NY</v>
      </c>
      <c r="C149" s="27" t="str">
        <f>Sites[[#This Row],[SOL'#]]</f>
        <v>SOL-10894</v>
      </c>
      <c r="D149" s="9">
        <f>SUM(Oct!D149, Nov!D149, Dec!D149)</f>
        <v>0</v>
      </c>
      <c r="E149" s="14">
        <f>SUM(Oct!E149, Nov!E149, Dec!E149)</f>
        <v>0</v>
      </c>
      <c r="F149" s="14">
        <f t="shared" si="9"/>
        <v>0</v>
      </c>
      <c r="G149" s="15" t="str">
        <f t="shared" si="10"/>
        <v/>
      </c>
      <c r="H149" s="16">
        <f>SUM(Oct!H149,Nov!H149,Dec!H149)</f>
        <v>0</v>
      </c>
      <c r="I149" s="16">
        <f>SUM(Oct!I149, Nov!I149, Dec!I149)</f>
        <v>0</v>
      </c>
      <c r="J149" s="15" t="str">
        <f t="shared" si="11"/>
        <v/>
      </c>
    </row>
    <row r="150" spans="1:10" ht="15.6">
      <c r="A150" s="24" t="str">
        <v>Bantam</v>
      </c>
      <c r="B150" s="25" t="str">
        <v>NY</v>
      </c>
      <c r="C150" s="25" t="str">
        <f>Sites[[#This Row],[SOL'#]]</f>
        <v>SOL-10986</v>
      </c>
      <c r="D150" s="20">
        <f>SUM(Oct!D150, Nov!D150, Dec!D150)</f>
        <v>0</v>
      </c>
      <c r="E150" s="10">
        <f>SUM(Oct!E150, Nov!E150, Dec!E150)</f>
        <v>0</v>
      </c>
      <c r="F150" s="10">
        <f t="shared" si="9"/>
        <v>0</v>
      </c>
      <c r="G150" s="11" t="str">
        <f t="shared" si="10"/>
        <v/>
      </c>
      <c r="H150" s="12">
        <f>SUM(Oct!H150,Nov!H150,Dec!H150)</f>
        <v>0</v>
      </c>
      <c r="I150" s="12">
        <f>SUM(Oct!I150, Nov!I150, Dec!I150)</f>
        <v>0</v>
      </c>
      <c r="J150" s="13" t="str">
        <f t="shared" si="11"/>
        <v/>
      </c>
    </row>
    <row r="151" spans="1:10" ht="15.6">
      <c r="A151" s="26" t="str">
        <v>Bogart</v>
      </c>
      <c r="B151" s="27" t="str">
        <v>NY</v>
      </c>
      <c r="C151" s="27" t="str">
        <f>Sites[[#This Row],[SOL'#]]</f>
        <v>SOL-10887</v>
      </c>
      <c r="D151" s="9">
        <f>SUM(Oct!D151, Nov!D151, Dec!D151)</f>
        <v>0</v>
      </c>
      <c r="E151" s="14">
        <f>SUM(Oct!E151, Nov!E151, Dec!E151)</f>
        <v>0</v>
      </c>
      <c r="F151" s="14">
        <f t="shared" si="9"/>
        <v>0</v>
      </c>
      <c r="G151" s="15" t="str">
        <f t="shared" si="10"/>
        <v/>
      </c>
      <c r="H151" s="16">
        <f>SUM(Oct!H151,Nov!H151,Dec!H151)</f>
        <v>0</v>
      </c>
      <c r="I151" s="16">
        <f>SUM(Oct!I151, Nov!I151, Dec!I151)</f>
        <v>0</v>
      </c>
      <c r="J151" s="15" t="str">
        <f t="shared" si="11"/>
        <v/>
      </c>
    </row>
    <row r="152" spans="1:10" ht="15.6">
      <c r="A152" s="24" t="str">
        <v>Dubois</v>
      </c>
      <c r="B152" s="25" t="str">
        <v>NY</v>
      </c>
      <c r="C152" s="25" t="str">
        <f>Sites[[#This Row],[SOL'#]]</f>
        <v>SOL-10892</v>
      </c>
      <c r="D152" s="20">
        <f>SUM(Oct!D152, Nov!D152, Dec!D152)</f>
        <v>0</v>
      </c>
      <c r="E152" s="10">
        <f>SUM(Oct!E152, Nov!E152, Dec!E152)</f>
        <v>0</v>
      </c>
      <c r="F152" s="10">
        <f t="shared" si="9"/>
        <v>0</v>
      </c>
      <c r="G152" s="11" t="str">
        <f t="shared" si="10"/>
        <v/>
      </c>
      <c r="H152" s="12">
        <f>SUM(Oct!H152,Nov!H152,Dec!H152)</f>
        <v>0</v>
      </c>
      <c r="I152" s="12">
        <f>SUM(Oct!I152, Nov!I152, Dec!I152)</f>
        <v>0</v>
      </c>
      <c r="J152" s="13" t="str">
        <f t="shared" si="11"/>
        <v/>
      </c>
    </row>
    <row r="153" spans="1:10" ht="15.6">
      <c r="A153" s="26" t="str">
        <v>Salt Point</v>
      </c>
      <c r="B153" s="27" t="str">
        <v>NY</v>
      </c>
      <c r="C153" s="27" t="str">
        <f>Sites[[#This Row],[SOL'#]]</f>
        <v>SOL-10888</v>
      </c>
      <c r="D153" s="9">
        <f>SUM(Oct!D153, Nov!D153, Dec!D153)</f>
        <v>0</v>
      </c>
      <c r="E153" s="14">
        <f>SUM(Oct!E153, Nov!E153, Dec!E153)</f>
        <v>0</v>
      </c>
      <c r="F153" s="14">
        <f t="shared" si="9"/>
        <v>0</v>
      </c>
      <c r="G153" s="15" t="str">
        <f t="shared" si="10"/>
        <v/>
      </c>
      <c r="H153" s="16">
        <f>SUM(Oct!H153,Nov!H153,Dec!H153)</f>
        <v>0</v>
      </c>
      <c r="I153" s="16">
        <f>SUM(Oct!I153, Nov!I153, Dec!I153)</f>
        <v>0</v>
      </c>
      <c r="J153" s="15" t="str">
        <f t="shared" si="11"/>
        <v/>
      </c>
    </row>
    <row r="154" spans="1:10" ht="15.6">
      <c r="A154" s="24" t="str">
        <v>Wheatland 2A</v>
      </c>
      <c r="B154" s="25" t="str">
        <v>NY</v>
      </c>
      <c r="C154" s="25" t="str">
        <f>Sites[[#This Row],[SOL'#]]</f>
        <v>SOL-10971</v>
      </c>
      <c r="D154" s="20">
        <f>SUM(Oct!D154, Nov!D154, Dec!D154)</f>
        <v>0</v>
      </c>
      <c r="E154" s="10">
        <f>SUM(Oct!E154, Nov!E154, Dec!E154)</f>
        <v>0</v>
      </c>
      <c r="F154" s="10">
        <f t="shared" si="9"/>
        <v>0</v>
      </c>
      <c r="G154" s="11" t="str">
        <f t="shared" si="10"/>
        <v/>
      </c>
      <c r="H154" s="12">
        <f>SUM(Oct!H154,Nov!H154,Dec!H154)</f>
        <v>0</v>
      </c>
      <c r="I154" s="12">
        <f>SUM(Oct!I154, Nov!I154, Dec!I154)</f>
        <v>0</v>
      </c>
      <c r="J154" s="13" t="str">
        <f t="shared" si="11"/>
        <v/>
      </c>
    </row>
    <row r="155" spans="1:10" ht="15.6">
      <c r="A155" s="26" t="str">
        <v>Wheatland 2B</v>
      </c>
      <c r="B155" s="27" t="str">
        <v>NY</v>
      </c>
      <c r="C155" s="27" t="str">
        <f>Sites[[#This Row],[SOL'#]]</f>
        <v>SOL-10961</v>
      </c>
      <c r="D155" s="9">
        <f>SUM(Oct!D155, Nov!D155, Dec!D155)</f>
        <v>0</v>
      </c>
      <c r="E155" s="14">
        <f>SUM(Oct!E155, Nov!E155, Dec!E155)</f>
        <v>0</v>
      </c>
      <c r="F155" s="14">
        <f t="shared" si="9"/>
        <v>0</v>
      </c>
      <c r="G155" s="15" t="str">
        <f t="shared" si="10"/>
        <v/>
      </c>
      <c r="H155" s="16">
        <f>SUM(Oct!H155,Nov!H155,Dec!H155)</f>
        <v>0</v>
      </c>
      <c r="I155" s="16">
        <f>SUM(Oct!I155, Nov!I155, Dec!I155)</f>
        <v>0</v>
      </c>
      <c r="J155" s="15" t="str">
        <f t="shared" si="11"/>
        <v/>
      </c>
    </row>
    <row r="156" spans="1:10" ht="15.6">
      <c r="A156" s="24" t="str">
        <v>Brickchurch</v>
      </c>
      <c r="B156" s="25" t="str">
        <v>NY</v>
      </c>
      <c r="C156" s="25" t="str">
        <f>Sites[[#This Row],[SOL'#]]</f>
        <v>SOL-10889</v>
      </c>
      <c r="D156" s="20">
        <f>SUM(Oct!D156, Nov!D156, Dec!D156)</f>
        <v>0</v>
      </c>
      <c r="E156" s="10">
        <f>SUM(Oct!E156, Nov!E156, Dec!E156)</f>
        <v>0</v>
      </c>
      <c r="F156" s="10">
        <f t="shared" si="9"/>
        <v>0</v>
      </c>
      <c r="G156" s="11" t="str">
        <f t="shared" si="10"/>
        <v/>
      </c>
      <c r="H156" s="12">
        <f>SUM(Oct!H156,Nov!H156,Dec!H156)</f>
        <v>0</v>
      </c>
      <c r="I156" s="12">
        <f>SUM(Oct!I156, Nov!I156, Dec!I156)</f>
        <v>0</v>
      </c>
      <c r="J156" s="13" t="str">
        <f t="shared" si="11"/>
        <v/>
      </c>
    </row>
    <row r="157" spans="1:10" ht="15.6">
      <c r="A157" s="26" t="str">
        <v>McCarthy Solar</v>
      </c>
      <c r="B157" s="27" t="str">
        <v>NY</v>
      </c>
      <c r="C157" s="27" t="str">
        <f>Sites[[#This Row],[SOL'#]]</f>
        <v>SOL-10992</v>
      </c>
      <c r="D157" s="9">
        <f>SUM(Oct!D157, Nov!D157, Dec!D157)</f>
        <v>0</v>
      </c>
      <c r="E157" s="14">
        <f>SUM(Oct!E157, Nov!E157, Dec!E157)</f>
        <v>0</v>
      </c>
      <c r="F157" s="14">
        <f t="shared" si="9"/>
        <v>0</v>
      </c>
      <c r="G157" s="15" t="str">
        <f t="shared" si="10"/>
        <v/>
      </c>
      <c r="H157" s="16">
        <f>SUM(Oct!H157,Nov!H157,Dec!H157)</f>
        <v>0</v>
      </c>
      <c r="I157" s="16">
        <f>SUM(Oct!I157, Nov!I157, Dec!I157)</f>
        <v>0</v>
      </c>
      <c r="J157" s="15" t="str">
        <f t="shared" si="11"/>
        <v/>
      </c>
    </row>
    <row r="158" spans="1:10" ht="15.6">
      <c r="A158" s="24" t="str">
        <v>Costanza</v>
      </c>
      <c r="B158" s="25" t="str">
        <v>NY</v>
      </c>
      <c r="C158" s="25" t="str">
        <f>Sites[[#This Row],[SOL'#]]</f>
        <v>SOL-10907</v>
      </c>
      <c r="D158" s="20">
        <f>SUM(Oct!D158, Nov!D158, Dec!D158)</f>
        <v>0</v>
      </c>
      <c r="E158" s="10">
        <f>SUM(Oct!E158, Nov!E158, Dec!E158)</f>
        <v>0</v>
      </c>
      <c r="F158" s="10">
        <f t="shared" si="9"/>
        <v>0</v>
      </c>
      <c r="G158" s="11" t="str">
        <f t="shared" si="10"/>
        <v/>
      </c>
      <c r="H158" s="12">
        <f>SUM(Oct!H158,Nov!H158,Dec!H158)</f>
        <v>0</v>
      </c>
      <c r="I158" s="12">
        <f>SUM(Oct!I158, Nov!I158, Dec!I158)</f>
        <v>0</v>
      </c>
      <c r="J158" s="13" t="str">
        <f t="shared" si="11"/>
        <v/>
      </c>
    </row>
    <row r="159" spans="1:10" ht="15.6">
      <c r="A159" s="26" t="str">
        <v>Lockenhurst Pond</v>
      </c>
      <c r="B159" s="27" t="str">
        <v>NY</v>
      </c>
      <c r="C159" s="27" t="str">
        <f>Sites[[#This Row],[SOL'#]]</f>
        <v>SOL-11000</v>
      </c>
      <c r="D159" s="9">
        <f>SUM(Oct!D159, Nov!D159, Dec!D159)</f>
        <v>0</v>
      </c>
      <c r="E159" s="14">
        <f>SUM(Oct!E159, Nov!E159, Dec!E159)</f>
        <v>0</v>
      </c>
      <c r="F159" s="14">
        <f t="shared" si="9"/>
        <v>0</v>
      </c>
      <c r="G159" s="15" t="str">
        <f t="shared" si="10"/>
        <v/>
      </c>
      <c r="H159" s="16">
        <f>SUM(Oct!H159,Nov!H159,Dec!H159)</f>
        <v>0</v>
      </c>
      <c r="I159" s="16">
        <f>SUM(Oct!I159, Nov!I159, Dec!I159)</f>
        <v>0</v>
      </c>
      <c r="J159" s="15" t="str">
        <f t="shared" si="11"/>
        <v/>
      </c>
    </row>
    <row r="160" spans="1:10" ht="15.6">
      <c r="A160" s="24" t="str">
        <v>Drinkwater</v>
      </c>
      <c r="B160" s="25" t="str">
        <v>NY</v>
      </c>
      <c r="C160" s="25" t="str">
        <f>Sites[[#This Row],[SOL'#]]</f>
        <v>SOL-10896</v>
      </c>
      <c r="D160" s="20">
        <f>SUM(Oct!D160, Nov!D160, Dec!D160)</f>
        <v>0</v>
      </c>
      <c r="E160" s="10">
        <f>SUM(Oct!E160, Nov!E160, Dec!E160)</f>
        <v>0</v>
      </c>
      <c r="F160" s="10">
        <f t="shared" si="9"/>
        <v>0</v>
      </c>
      <c r="G160" s="11" t="str">
        <f t="shared" si="10"/>
        <v/>
      </c>
      <c r="H160" s="12">
        <f>SUM(Oct!H160,Nov!H160,Dec!H160)</f>
        <v>0</v>
      </c>
      <c r="I160" s="12">
        <f>SUM(Oct!I160, Nov!I160, Dec!I160)</f>
        <v>0</v>
      </c>
      <c r="J160" s="13" t="str">
        <f t="shared" si="11"/>
        <v/>
      </c>
    </row>
    <row r="161" spans="1:10" ht="15.6">
      <c r="A161" s="26" t="str">
        <v>Altamont</v>
      </c>
      <c r="B161" s="27" t="str">
        <v>NY</v>
      </c>
      <c r="C161" s="27" t="str">
        <f>Sites[[#This Row],[SOL'#]]</f>
        <v>SOL-11085</v>
      </c>
      <c r="D161" s="9">
        <f>SUM(Oct!D161, Nov!D161, Dec!D161)</f>
        <v>0</v>
      </c>
      <c r="E161" s="14">
        <f>SUM(Oct!E161, Nov!E161, Dec!E161)</f>
        <v>0</v>
      </c>
      <c r="F161" s="14">
        <f t="shared" si="9"/>
        <v>0</v>
      </c>
      <c r="G161" s="15" t="str">
        <f t="shared" si="10"/>
        <v/>
      </c>
      <c r="H161" s="16">
        <f>SUM(Oct!H161,Nov!H161,Dec!H161)</f>
        <v>0</v>
      </c>
      <c r="I161" s="16">
        <f>SUM(Oct!I161, Nov!I161, Dec!I161)</f>
        <v>0</v>
      </c>
      <c r="J161" s="15" t="str">
        <f t="shared" si="11"/>
        <v/>
      </c>
    </row>
    <row r="162" spans="1:10" ht="15.6">
      <c r="A162" s="24" t="str">
        <v>Krumkill North</v>
      </c>
      <c r="B162" s="25" t="str">
        <v>NY</v>
      </c>
      <c r="C162" s="25" t="str">
        <f>Sites[[#This Row],[SOL'#]]</f>
        <v>SOL-11086</v>
      </c>
      <c r="D162" s="20">
        <f>SUM(Oct!D162, Nov!D162, Dec!D162)</f>
        <v>0</v>
      </c>
      <c r="E162" s="10">
        <f>SUM(Oct!E162, Nov!E162, Dec!E162)</f>
        <v>0</v>
      </c>
      <c r="F162" s="10">
        <f t="shared" ref="F162:F185" si="12">IF(AND(ISNUMBER(D162),ISNUMBER(E162)), D162-E162, "")</f>
        <v>0</v>
      </c>
      <c r="G162" s="11" t="str">
        <f t="shared" ref="G162:G185" si="13">IFERROR(F162/E162, "")</f>
        <v/>
      </c>
      <c r="H162" s="12">
        <f>SUM(Oct!H162,Nov!H162,Dec!H162)</f>
        <v>0</v>
      </c>
      <c r="I162" s="12">
        <f>SUM(Oct!I162, Nov!I162, Dec!I162)</f>
        <v>0</v>
      </c>
      <c r="J162" s="13" t="str">
        <f t="shared" ref="J162:J185" si="14">IFERROR(I162/H162, "")</f>
        <v/>
      </c>
    </row>
    <row r="163" spans="1:10" ht="15.6">
      <c r="A163" s="26" t="str">
        <v>Krumkill South</v>
      </c>
      <c r="B163" s="27" t="str">
        <v>NY</v>
      </c>
      <c r="C163" s="27" t="str">
        <f>Sites[[#This Row],[SOL'#]]</f>
        <v>SOL-11087</v>
      </c>
      <c r="D163" s="9">
        <f>SUM(Oct!D163, Nov!D163, Dec!D163)</f>
        <v>0</v>
      </c>
      <c r="E163" s="14">
        <f>SUM(Oct!E163, Nov!E163, Dec!E163)</f>
        <v>0</v>
      </c>
      <c r="F163" s="14">
        <f t="shared" si="12"/>
        <v>0</v>
      </c>
      <c r="G163" s="15" t="str">
        <f t="shared" si="13"/>
        <v/>
      </c>
      <c r="H163" s="16">
        <f>SUM(Oct!H163,Nov!H163,Dec!H163)</f>
        <v>0</v>
      </c>
      <c r="I163" s="16">
        <f>SUM(Oct!I163, Nov!I163, Dec!I163)</f>
        <v>0</v>
      </c>
      <c r="J163" s="15" t="str">
        <f t="shared" si="14"/>
        <v/>
      </c>
    </row>
    <row r="164" spans="1:10" ht="15.6">
      <c r="A164" s="24" t="str">
        <v>X092</v>
      </c>
      <c r="B164" s="25" t="str">
        <v>NY</v>
      </c>
      <c r="C164" s="25" t="str">
        <f>Sites[[#This Row],[SOL'#]]</f>
        <v>SOL-11189</v>
      </c>
      <c r="D164" s="20">
        <f>SUM(Oct!D164, Nov!D164, Dec!D164)</f>
        <v>0</v>
      </c>
      <c r="E164" s="10">
        <f>SUM(Oct!E164, Nov!E164, Dec!E164)</f>
        <v>0</v>
      </c>
      <c r="F164" s="10">
        <f t="shared" si="12"/>
        <v>0</v>
      </c>
      <c r="G164" s="11" t="str">
        <f t="shared" si="13"/>
        <v/>
      </c>
      <c r="H164" s="12">
        <f>SUM(Oct!H164,Nov!H164,Dec!H164)</f>
        <v>0</v>
      </c>
      <c r="I164" s="12">
        <f>SUM(Oct!I164, Nov!I164, Dec!I164)</f>
        <v>0</v>
      </c>
      <c r="J164" s="13" t="str">
        <f t="shared" si="14"/>
        <v/>
      </c>
    </row>
    <row r="165" spans="1:10" ht="15.6">
      <c r="A165" s="26" t="str">
        <v>X093</v>
      </c>
      <c r="B165" s="27" t="str">
        <v>NY</v>
      </c>
      <c r="C165" s="27" t="str">
        <f>Sites[[#This Row],[SOL'#]]</f>
        <v>SOL-10932</v>
      </c>
      <c r="D165" s="9">
        <f>SUM(Oct!D165, Nov!D165, Dec!D165)</f>
        <v>0</v>
      </c>
      <c r="E165" s="14">
        <f>SUM(Oct!E165, Nov!E165, Dec!E165)</f>
        <v>0</v>
      </c>
      <c r="F165" s="14">
        <f t="shared" si="12"/>
        <v>0</v>
      </c>
      <c r="G165" s="15" t="str">
        <f t="shared" si="13"/>
        <v/>
      </c>
      <c r="H165" s="16">
        <f>SUM(Oct!H165,Nov!H165,Dec!H165)</f>
        <v>0</v>
      </c>
      <c r="I165" s="16">
        <f>SUM(Oct!I165, Nov!I165, Dec!I165)</f>
        <v>0</v>
      </c>
      <c r="J165" s="15" t="str">
        <f t="shared" si="14"/>
        <v/>
      </c>
    </row>
    <row r="166" spans="1:10" ht="15.6">
      <c r="A166" s="24" t="str">
        <v>X095</v>
      </c>
      <c r="B166" s="25" t="str">
        <v>NY</v>
      </c>
      <c r="C166" s="25" t="str">
        <f>Sites[[#This Row],[SOL'#]]</f>
        <v>SOL-10929</v>
      </c>
      <c r="D166" s="20">
        <f>SUM(Oct!D166, Nov!D166, Dec!D166)</f>
        <v>0</v>
      </c>
      <c r="E166" s="10">
        <f>SUM(Oct!E166, Nov!E166, Dec!E166)</f>
        <v>0</v>
      </c>
      <c r="F166" s="10">
        <f t="shared" si="12"/>
        <v>0</v>
      </c>
      <c r="G166" s="11" t="str">
        <f t="shared" si="13"/>
        <v/>
      </c>
      <c r="H166" s="12">
        <f>SUM(Oct!H166,Nov!H166,Dec!H166)</f>
        <v>0</v>
      </c>
      <c r="I166" s="12">
        <f>SUM(Oct!I166, Nov!I166, Dec!I166)</f>
        <v>0</v>
      </c>
      <c r="J166" s="13" t="str">
        <f t="shared" si="14"/>
        <v/>
      </c>
    </row>
    <row r="167" spans="1:10" ht="15.6">
      <c r="A167" s="26" t="str">
        <v>X181</v>
      </c>
      <c r="B167" s="27" t="str">
        <v>NY</v>
      </c>
      <c r="C167" s="27" t="str">
        <f>Sites[[#This Row],[SOL'#]]</f>
        <v>SOL-10428</v>
      </c>
      <c r="D167" s="9">
        <f>SUM(Oct!D167, Nov!D167, Dec!D167)</f>
        <v>0</v>
      </c>
      <c r="E167" s="14">
        <f>SUM(Oct!E167, Nov!E167, Dec!E167)</f>
        <v>0</v>
      </c>
      <c r="F167" s="14">
        <f t="shared" si="12"/>
        <v>0</v>
      </c>
      <c r="G167" s="15" t="str">
        <f t="shared" si="13"/>
        <v/>
      </c>
      <c r="H167" s="16">
        <f>SUM(Oct!H167,Nov!H167,Dec!H167)</f>
        <v>0</v>
      </c>
      <c r="I167" s="16">
        <f>SUM(Oct!I167, Nov!I167, Dec!I167)</f>
        <v>0</v>
      </c>
      <c r="J167" s="15" t="str">
        <f t="shared" si="14"/>
        <v/>
      </c>
    </row>
    <row r="168" spans="1:10" ht="15.6">
      <c r="A168" s="24" t="str">
        <v>X415</v>
      </c>
      <c r="B168" s="25" t="str">
        <v>NY</v>
      </c>
      <c r="C168" s="25" t="str">
        <f>Sites[[#This Row],[SOL'#]]</f>
        <v>SOL-10429</v>
      </c>
      <c r="D168" s="20">
        <f>SUM(Oct!D168, Nov!D168, Dec!D168)</f>
        <v>0</v>
      </c>
      <c r="E168" s="10">
        <f>SUM(Oct!E168, Nov!E168, Dec!E168)</f>
        <v>0</v>
      </c>
      <c r="F168" s="10">
        <f t="shared" si="12"/>
        <v>0</v>
      </c>
      <c r="G168" s="11" t="str">
        <f t="shared" si="13"/>
        <v/>
      </c>
      <c r="H168" s="12">
        <f>SUM(Oct!H168,Nov!H168,Dec!H168)</f>
        <v>0</v>
      </c>
      <c r="I168" s="12">
        <f>SUM(Oct!I168, Nov!I168, Dec!I168)</f>
        <v>0</v>
      </c>
      <c r="J168" s="13" t="str">
        <f t="shared" si="14"/>
        <v/>
      </c>
    </row>
    <row r="169" spans="1:10" ht="15.6">
      <c r="A169" s="26" t="str">
        <v>K198</v>
      </c>
      <c r="B169" s="27" t="str">
        <v>NY</v>
      </c>
      <c r="C169" s="27" t="str">
        <f>Sites[[#This Row],[SOL'#]]</f>
        <v>SOL-10930</v>
      </c>
      <c r="D169" s="9">
        <f>SUM(Oct!D169, Nov!D169, Dec!D169)</f>
        <v>0</v>
      </c>
      <c r="E169" s="14">
        <f>SUM(Oct!E169, Nov!E169, Dec!E169)</f>
        <v>0</v>
      </c>
      <c r="F169" s="14">
        <f t="shared" si="12"/>
        <v>0</v>
      </c>
      <c r="G169" s="15" t="str">
        <f t="shared" si="13"/>
        <v/>
      </c>
      <c r="H169" s="16">
        <f>SUM(Oct!H169,Nov!H169,Dec!H169)</f>
        <v>0</v>
      </c>
      <c r="I169" s="16">
        <f>SUM(Oct!I169, Nov!I169, Dec!I169)</f>
        <v>0</v>
      </c>
      <c r="J169" s="15" t="str">
        <f t="shared" si="14"/>
        <v/>
      </c>
    </row>
    <row r="170" spans="1:10" ht="15.6">
      <c r="A170" s="24" t="str">
        <v>K203</v>
      </c>
      <c r="B170" s="25" t="str">
        <v>NY</v>
      </c>
      <c r="C170" s="25" t="str">
        <f>Sites[[#This Row],[SOL'#]]</f>
        <v>SOL-11190</v>
      </c>
      <c r="D170" s="20">
        <f>SUM(Oct!D170, Nov!D170, Dec!D170)</f>
        <v>0</v>
      </c>
      <c r="E170" s="10">
        <f>SUM(Oct!E170, Nov!E170, Dec!E170)</f>
        <v>0</v>
      </c>
      <c r="F170" s="10">
        <f t="shared" si="12"/>
        <v>0</v>
      </c>
      <c r="G170" s="11" t="str">
        <f t="shared" si="13"/>
        <v/>
      </c>
      <c r="H170" s="12">
        <f>SUM(Oct!H170,Nov!H170,Dec!H170)</f>
        <v>0</v>
      </c>
      <c r="I170" s="12">
        <f>SUM(Oct!I170, Nov!I170, Dec!I170)</f>
        <v>0</v>
      </c>
      <c r="J170" s="13" t="str">
        <f t="shared" si="14"/>
        <v/>
      </c>
    </row>
    <row r="171" spans="1:10" ht="15.6">
      <c r="A171" s="26" t="str">
        <v>K213</v>
      </c>
      <c r="B171" s="27" t="str">
        <v>NY</v>
      </c>
      <c r="C171" s="27" t="str">
        <f>Sites[[#This Row],[SOL'#]]</f>
        <v>SOL-11191</v>
      </c>
      <c r="D171" s="9">
        <f>SUM(Oct!D171, Nov!D171, Dec!D171)</f>
        <v>0</v>
      </c>
      <c r="E171" s="14">
        <f>SUM(Oct!E171, Nov!E171, Dec!E171)</f>
        <v>0</v>
      </c>
      <c r="F171" s="14">
        <f t="shared" si="12"/>
        <v>0</v>
      </c>
      <c r="G171" s="15" t="str">
        <f t="shared" si="13"/>
        <v/>
      </c>
      <c r="H171" s="16">
        <f>SUM(Oct!H171,Nov!H171,Dec!H171)</f>
        <v>0</v>
      </c>
      <c r="I171" s="16">
        <f>SUM(Oct!I171, Nov!I171, Dec!I171)</f>
        <v>0</v>
      </c>
      <c r="J171" s="15" t="str">
        <f t="shared" si="14"/>
        <v/>
      </c>
    </row>
    <row r="172" spans="1:10" ht="15.6">
      <c r="A172" s="24" t="str">
        <v>K217</v>
      </c>
      <c r="B172" s="25" t="str">
        <v>NY</v>
      </c>
      <c r="C172" s="25" t="str">
        <f>Sites[[#This Row],[SOL'#]]</f>
        <v>SOL-10933</v>
      </c>
      <c r="D172" s="20">
        <f>SUM(Oct!D172, Nov!D172, Dec!D172)</f>
        <v>0</v>
      </c>
      <c r="E172" s="10">
        <f>SUM(Oct!E172, Nov!E172, Dec!E172)</f>
        <v>0</v>
      </c>
      <c r="F172" s="10">
        <f t="shared" si="12"/>
        <v>0</v>
      </c>
      <c r="G172" s="11" t="str">
        <f t="shared" si="13"/>
        <v/>
      </c>
      <c r="H172" s="12">
        <f>SUM(Oct!H172,Nov!H172,Dec!H172)</f>
        <v>0</v>
      </c>
      <c r="I172" s="12">
        <f>SUM(Oct!I172, Nov!I172, Dec!I172)</f>
        <v>0</v>
      </c>
      <c r="J172" s="13" t="str">
        <f t="shared" si="14"/>
        <v/>
      </c>
    </row>
    <row r="173" spans="1:10" ht="15.6">
      <c r="A173" s="26" t="str">
        <v>K307</v>
      </c>
      <c r="B173" s="27" t="str">
        <v>NY</v>
      </c>
      <c r="C173" s="27" t="str">
        <f>Sites[[#This Row],[SOL'#]]</f>
        <v>SOL-10876</v>
      </c>
      <c r="D173" s="9">
        <f>SUM(Oct!D173, Nov!D173, Dec!D173)</f>
        <v>0</v>
      </c>
      <c r="E173" s="14">
        <f>SUM(Oct!E173, Nov!E173, Dec!E173)</f>
        <v>0</v>
      </c>
      <c r="F173" s="14">
        <f t="shared" si="12"/>
        <v>0</v>
      </c>
      <c r="G173" s="15" t="str">
        <f t="shared" si="13"/>
        <v/>
      </c>
      <c r="H173" s="16">
        <f>SUM(Oct!H173,Nov!H173,Dec!H173)</f>
        <v>0</v>
      </c>
      <c r="I173" s="16">
        <f>SUM(Oct!I173, Nov!I173, Dec!I173)</f>
        <v>0</v>
      </c>
      <c r="J173" s="15" t="str">
        <f t="shared" si="14"/>
        <v/>
      </c>
    </row>
    <row r="174" spans="1:10" ht="15.6">
      <c r="A174" s="24" t="str">
        <v>K610</v>
      </c>
      <c r="B174" s="25" t="str">
        <v>NY</v>
      </c>
      <c r="C174" s="25" t="str">
        <f>Sites[[#This Row],[SOL'#]]</f>
        <v>SOL-11158</v>
      </c>
      <c r="D174" s="20">
        <f>SUM(Oct!D174, Nov!D174, Dec!D174)</f>
        <v>0</v>
      </c>
      <c r="E174" s="10">
        <f>SUM(Oct!E174, Nov!E174, Dec!E174)</f>
        <v>0</v>
      </c>
      <c r="F174" s="10">
        <f t="shared" si="12"/>
        <v>0</v>
      </c>
      <c r="G174" s="11" t="str">
        <f t="shared" si="13"/>
        <v/>
      </c>
      <c r="H174" s="12">
        <f>SUM(Oct!H174,Nov!H174,Dec!H174)</f>
        <v>0</v>
      </c>
      <c r="I174" s="12">
        <f>SUM(Oct!I174, Nov!I174, Dec!I174)</f>
        <v>0</v>
      </c>
      <c r="J174" s="13" t="str">
        <f t="shared" si="14"/>
        <v/>
      </c>
    </row>
    <row r="175" spans="1:10" ht="15.6">
      <c r="A175" s="26" t="str">
        <v>M025</v>
      </c>
      <c r="B175" s="27" t="str">
        <v>NY</v>
      </c>
      <c r="C175" s="27" t="str">
        <f>Sites[[#This Row],[SOL'#]]</f>
        <v>SOL-10392</v>
      </c>
      <c r="D175" s="9">
        <f>SUM(Oct!D175, Nov!D175, Dec!D175)</f>
        <v>0</v>
      </c>
      <c r="E175" s="14">
        <f>SUM(Oct!E175, Nov!E175, Dec!E175)</f>
        <v>0</v>
      </c>
      <c r="F175" s="14">
        <f t="shared" si="12"/>
        <v>0</v>
      </c>
      <c r="G175" s="15" t="str">
        <f t="shared" si="13"/>
        <v/>
      </c>
      <c r="H175" s="16">
        <f>SUM(Oct!H175,Nov!H175,Dec!H175)</f>
        <v>0</v>
      </c>
      <c r="I175" s="16">
        <f>SUM(Oct!I175, Nov!I175, Dec!I175)</f>
        <v>0</v>
      </c>
      <c r="J175" s="15" t="str">
        <f t="shared" si="14"/>
        <v/>
      </c>
    </row>
    <row r="176" spans="1:10" ht="15.6">
      <c r="A176" s="24" t="str">
        <v>M028</v>
      </c>
      <c r="B176" s="25" t="str">
        <v>NY</v>
      </c>
      <c r="C176" s="25" t="str">
        <f>Sites[[#This Row],[SOL'#]]</f>
        <v>SOL-10381</v>
      </c>
      <c r="D176" s="20">
        <f>SUM(Oct!D176, Nov!D176, Dec!D176)</f>
        <v>0</v>
      </c>
      <c r="E176" s="10">
        <f>SUM(Oct!E176, Nov!E176, Dec!E176)</f>
        <v>0</v>
      </c>
      <c r="F176" s="10">
        <f t="shared" si="12"/>
        <v>0</v>
      </c>
      <c r="G176" s="11" t="str">
        <f t="shared" si="13"/>
        <v/>
      </c>
      <c r="H176" s="12">
        <f>SUM(Oct!H176,Nov!H176,Dec!H176)</f>
        <v>0</v>
      </c>
      <c r="I176" s="12">
        <f>SUM(Oct!I176, Nov!I176, Dec!I176)</f>
        <v>0</v>
      </c>
      <c r="J176" s="13" t="str">
        <f t="shared" si="14"/>
        <v/>
      </c>
    </row>
    <row r="177" spans="1:10" ht="15.6">
      <c r="A177" s="26" t="str">
        <v>Q030</v>
      </c>
      <c r="B177" s="27" t="str">
        <v>NY</v>
      </c>
      <c r="C177" s="27" t="str">
        <f>Sites[[#This Row],[SOL'#]]</f>
        <v>SOL-10878</v>
      </c>
      <c r="D177" s="9">
        <f>SUM(Oct!D177, Nov!D177, Dec!D177)</f>
        <v>0</v>
      </c>
      <c r="E177" s="14">
        <f>SUM(Oct!E177, Nov!E177, Dec!E177)</f>
        <v>0</v>
      </c>
      <c r="F177" s="14">
        <f t="shared" si="12"/>
        <v>0</v>
      </c>
      <c r="G177" s="15" t="str">
        <f t="shared" si="13"/>
        <v/>
      </c>
      <c r="H177" s="16">
        <f>SUM(Oct!H177,Nov!H177,Dec!H177)</f>
        <v>0</v>
      </c>
      <c r="I177" s="16">
        <f>SUM(Oct!I177, Nov!I177, Dec!I177)</f>
        <v>0</v>
      </c>
      <c r="J177" s="15" t="str">
        <f t="shared" si="14"/>
        <v/>
      </c>
    </row>
    <row r="178" spans="1:10" ht="15.6">
      <c r="A178" s="24" t="str">
        <v>Q130</v>
      </c>
      <c r="B178" s="25" t="str">
        <v>NY</v>
      </c>
      <c r="C178" s="25" t="str">
        <f>Sites[[#This Row],[SOL'#]]</f>
        <v>SOL-10877</v>
      </c>
      <c r="D178" s="20">
        <f>SUM(Oct!D178, Nov!D178, Dec!D178)</f>
        <v>0</v>
      </c>
      <c r="E178" s="10">
        <f>SUM(Oct!E178, Nov!E178, Dec!E178)</f>
        <v>0</v>
      </c>
      <c r="F178" s="10">
        <f t="shared" si="12"/>
        <v>0</v>
      </c>
      <c r="G178" s="11" t="str">
        <f t="shared" si="13"/>
        <v/>
      </c>
      <c r="H178" s="12">
        <f>SUM(Oct!H178,Nov!H178,Dec!H178)</f>
        <v>0</v>
      </c>
      <c r="I178" s="12">
        <f>SUM(Oct!I178, Nov!I178, Dec!I178)</f>
        <v>0</v>
      </c>
      <c r="J178" s="13" t="str">
        <f t="shared" si="14"/>
        <v/>
      </c>
    </row>
    <row r="179" spans="1:10" ht="15.6">
      <c r="A179" s="26" t="str">
        <v>Q196</v>
      </c>
      <c r="B179" s="27" t="str">
        <v>NY</v>
      </c>
      <c r="C179" s="27" t="str">
        <f>Sites[[#This Row],[SOL'#]]</f>
        <v>SOL-10879</v>
      </c>
      <c r="D179" s="9">
        <f>SUM(Oct!D179, Nov!D179, Dec!D179)</f>
        <v>0</v>
      </c>
      <c r="E179" s="14">
        <f>SUM(Oct!E179, Nov!E179, Dec!E179)</f>
        <v>0</v>
      </c>
      <c r="F179" s="14">
        <f t="shared" si="12"/>
        <v>0</v>
      </c>
      <c r="G179" s="15" t="str">
        <f t="shared" si="13"/>
        <v/>
      </c>
      <c r="H179" s="16">
        <f>SUM(Oct!H179,Nov!H179,Dec!H179)</f>
        <v>0</v>
      </c>
      <c r="I179" s="16">
        <f>SUM(Oct!I179, Nov!I179, Dec!I179)</f>
        <v>0</v>
      </c>
      <c r="J179" s="15" t="str">
        <f t="shared" si="14"/>
        <v/>
      </c>
    </row>
    <row r="180" spans="1:10" ht="15.6">
      <c r="A180" s="24" t="str">
        <v>Q220</v>
      </c>
      <c r="B180" s="25" t="str">
        <v>NY</v>
      </c>
      <c r="C180" s="25" t="str">
        <f>Sites[[#This Row],[SOL'#]]</f>
        <v>SOL-10873</v>
      </c>
      <c r="D180" s="20">
        <f>SUM(Oct!D180, Nov!D180, Dec!D180)</f>
        <v>0</v>
      </c>
      <c r="E180" s="10">
        <f>SUM(Oct!E180, Nov!E180, Dec!E180)</f>
        <v>0</v>
      </c>
      <c r="F180" s="10">
        <f t="shared" si="12"/>
        <v>0</v>
      </c>
      <c r="G180" s="11" t="str">
        <f t="shared" si="13"/>
        <v/>
      </c>
      <c r="H180" s="12">
        <f>SUM(Oct!H180,Nov!H180,Dec!H180)</f>
        <v>0</v>
      </c>
      <c r="I180" s="12">
        <f>SUM(Oct!I180, Nov!I180, Dec!I180)</f>
        <v>0</v>
      </c>
      <c r="J180" s="13" t="str">
        <f t="shared" si="14"/>
        <v/>
      </c>
    </row>
    <row r="181" spans="1:10" ht="15.6">
      <c r="A181" s="26" t="str">
        <v>Q205</v>
      </c>
      <c r="B181" s="27" t="str">
        <v>NY</v>
      </c>
      <c r="C181" s="27" t="str">
        <f>Sites[[#This Row],[SOL'#]]</f>
        <v>SOL-10922</v>
      </c>
      <c r="D181" s="9">
        <f>SUM(Oct!D181, Nov!D181, Dec!D181)</f>
        <v>0</v>
      </c>
      <c r="E181" s="14">
        <f>SUM(Oct!E181, Nov!E181, Dec!E181)</f>
        <v>0</v>
      </c>
      <c r="F181" s="14">
        <f t="shared" si="12"/>
        <v>0</v>
      </c>
      <c r="G181" s="15" t="str">
        <f t="shared" si="13"/>
        <v/>
      </c>
      <c r="H181" s="16">
        <f>SUM(Oct!H181,Nov!H181,Dec!H181)</f>
        <v>0</v>
      </c>
      <c r="I181" s="16">
        <f>SUM(Oct!I181, Nov!I181, Dec!I181)</f>
        <v>0</v>
      </c>
      <c r="J181" s="15" t="str">
        <f t="shared" si="14"/>
        <v/>
      </c>
    </row>
    <row r="182" spans="1:10" ht="15.6">
      <c r="A182" s="24" t="str">
        <v>Q400</v>
      </c>
      <c r="B182" s="25" t="str">
        <v>NY</v>
      </c>
      <c r="C182" s="25" t="str">
        <f>Sites[[#This Row],[SOL'#]]</f>
        <v>SOL-10871</v>
      </c>
      <c r="D182" s="20">
        <f>SUM(Oct!D182, Nov!D182, Dec!D182)</f>
        <v>0</v>
      </c>
      <c r="E182" s="10">
        <f>SUM(Oct!E182, Nov!E182, Dec!E182)</f>
        <v>0</v>
      </c>
      <c r="F182" s="10">
        <f t="shared" si="12"/>
        <v>0</v>
      </c>
      <c r="G182" s="11" t="str">
        <f t="shared" si="13"/>
        <v/>
      </c>
      <c r="H182" s="12">
        <f>SUM(Oct!H182,Nov!H182,Dec!H182)</f>
        <v>0</v>
      </c>
      <c r="I182" s="12">
        <f>SUM(Oct!I182, Nov!I182, Dec!I182)</f>
        <v>0</v>
      </c>
      <c r="J182" s="13" t="str">
        <f t="shared" si="14"/>
        <v/>
      </c>
    </row>
    <row r="183" spans="1:10" ht="15.6">
      <c r="A183" s="26" t="str">
        <v>R003</v>
      </c>
      <c r="B183" s="27" t="str">
        <v>NY</v>
      </c>
      <c r="C183" s="27" t="str">
        <f>Sites[[#This Row],[SOL'#]]</f>
        <v>SOL-10416</v>
      </c>
      <c r="D183" s="9">
        <f>SUM(Oct!D183, Nov!D183, Dec!D183)</f>
        <v>0</v>
      </c>
      <c r="E183" s="14">
        <f>SUM(Oct!E183, Nov!E183, Dec!E183)</f>
        <v>0</v>
      </c>
      <c r="F183" s="14">
        <f t="shared" si="12"/>
        <v>0</v>
      </c>
      <c r="G183" s="15" t="str">
        <f t="shared" si="13"/>
        <v/>
      </c>
      <c r="H183" s="16">
        <f>SUM(Oct!H183,Nov!H183,Dec!H183)</f>
        <v>0</v>
      </c>
      <c r="I183" s="16">
        <f>SUM(Oct!I183, Nov!I183, Dec!I183)</f>
        <v>0</v>
      </c>
      <c r="J183" s="15" t="str">
        <f t="shared" si="14"/>
        <v/>
      </c>
    </row>
    <row r="184" spans="1:10" ht="15.6">
      <c r="A184" s="24" t="str">
        <v>R007</v>
      </c>
      <c r="B184" s="25" t="str">
        <v>NY</v>
      </c>
      <c r="C184" s="25" t="str">
        <f>Sites[[#This Row],[SOL'#]]</f>
        <v>SOL-10417</v>
      </c>
      <c r="D184" s="20">
        <f>SUM(Oct!D184, Nov!D184, Dec!D184)</f>
        <v>0</v>
      </c>
      <c r="E184" s="10">
        <f>SUM(Oct!E184, Nov!E184, Dec!E184)</f>
        <v>0</v>
      </c>
      <c r="F184" s="10">
        <f t="shared" si="12"/>
        <v>0</v>
      </c>
      <c r="G184" s="11" t="str">
        <f t="shared" si="13"/>
        <v/>
      </c>
      <c r="H184" s="12">
        <f>SUM(Oct!H184,Nov!H184,Dec!H184)</f>
        <v>0</v>
      </c>
      <c r="I184" s="12">
        <f>SUM(Oct!I184, Nov!I184, Dec!I184)</f>
        <v>0</v>
      </c>
      <c r="J184" s="13" t="str">
        <f t="shared" si="14"/>
        <v/>
      </c>
    </row>
    <row r="185" spans="1:10" ht="15.6">
      <c r="A185" s="26" t="str">
        <v>BK16</v>
      </c>
      <c r="B185" s="27" t="str">
        <v>NY</v>
      </c>
      <c r="C185" s="27" t="str">
        <f>Sites[[#This Row],[SOL'#]]</f>
        <v>SOL-11093</v>
      </c>
      <c r="D185" s="9">
        <f>SUM(Oct!D185, Nov!D185, Dec!D185)</f>
        <v>0</v>
      </c>
      <c r="E185" s="14">
        <f>SUM(Oct!E185, Nov!E185, Dec!E185)</f>
        <v>0</v>
      </c>
      <c r="F185" s="14">
        <f t="shared" si="12"/>
        <v>0</v>
      </c>
      <c r="G185" s="15" t="str">
        <f t="shared" si="13"/>
        <v/>
      </c>
      <c r="H185" s="16">
        <f>SUM(Oct!H185,Nov!H185,Dec!H185)</f>
        <v>0</v>
      </c>
      <c r="I185" s="16">
        <f>SUM(Oct!I185, Nov!I185, Dec!I185)</f>
        <v>0</v>
      </c>
      <c r="J185" s="15" t="str">
        <f t="shared" si="14"/>
        <v/>
      </c>
    </row>
    <row r="186" spans="1:10" ht="15.6">
      <c r="A186" s="24" t="str">
        <v>Trenton - Trenton East</v>
      </c>
      <c r="B186" s="25" t="str">
        <v>IL</v>
      </c>
      <c r="C186" s="25" t="str">
        <f>Sites[[#This Row],[SOL'#]]</f>
        <v>SOL-11060</v>
      </c>
      <c r="D186" s="60">
        <f>SUM(Oct!D186, Nov!D186, Dec!D186)</f>
        <v>0</v>
      </c>
      <c r="E186" s="10">
        <f>SUM(Oct!E186, Nov!E186, Dec!E186)</f>
        <v>0</v>
      </c>
      <c r="F186" s="10">
        <f>IF(AND(ISNUMBER(D186),ISNUMBER(E186)), D186-E186, "")</f>
        <v>0</v>
      </c>
      <c r="G186" s="11"/>
      <c r="H186" s="75">
        <f>SUM(Oct!H186,Nov!H186,Dec!H186)</f>
        <v>0</v>
      </c>
      <c r="I186" s="75">
        <f>SUM(Oct!I186, Nov!I186, Dec!I186)</f>
        <v>0</v>
      </c>
      <c r="J186" s="13"/>
    </row>
    <row r="187" spans="1:10" ht="15.6">
      <c r="A187" s="26" t="str">
        <v>Trenton - Trenton West</v>
      </c>
      <c r="B187" s="27" t="str">
        <v>IL</v>
      </c>
      <c r="C187" s="27" t="str">
        <f>Sites[[#This Row],[SOL'#]]</f>
        <v>SOL-11061</v>
      </c>
      <c r="D187" s="74">
        <f>SUM(Oct!D187, Nov!D187, Dec!D187)</f>
        <v>0</v>
      </c>
      <c r="E187" s="14">
        <f>SUM(Oct!E187, Nov!E187, Dec!E187)</f>
        <v>0</v>
      </c>
      <c r="F187" s="14">
        <f>IF(AND(ISNUMBER(D187),ISNUMBER(E187)), D187-E187, "")</f>
        <v>0</v>
      </c>
      <c r="G187" s="15"/>
      <c r="H187" s="77">
        <f>SUM(Oct!H187,Nov!H187,Dec!H187)</f>
        <v>0</v>
      </c>
      <c r="I187" s="77">
        <f>SUM(Oct!I187, Nov!I187, Dec!I187)</f>
        <v>0</v>
      </c>
      <c r="J187" s="15"/>
    </row>
    <row r="188" spans="1:10" ht="15.6">
      <c r="A188" s="24" t="str">
        <v>Dakota - Dakota Solar 1</v>
      </c>
      <c r="B188" s="25" t="str">
        <v>IL</v>
      </c>
      <c r="C188" s="25" t="str">
        <f>Sites[[#This Row],[SOL'#]]</f>
        <v>SOL-11113</v>
      </c>
      <c r="D188" s="60">
        <f>SUM(Oct!D188, Nov!D188, Dec!D188)</f>
        <v>0</v>
      </c>
      <c r="E188" s="10">
        <f>SUM(Oct!E188, Nov!E188, Dec!E188)</f>
        <v>0</v>
      </c>
      <c r="F188" s="10">
        <f>IF(AND(ISNUMBER(D188),ISNUMBER(E188)), D188-E188, "")</f>
        <v>0</v>
      </c>
      <c r="G188" s="11"/>
      <c r="H188" s="75">
        <f>SUM(Oct!H188,Nov!H188,Dec!H188)</f>
        <v>0</v>
      </c>
      <c r="I188" s="75">
        <f>SUM(Oct!I188, Nov!I188, Dec!I188)</f>
        <v>0</v>
      </c>
      <c r="J188" s="13"/>
    </row>
    <row r="189" spans="1:10" ht="15.6">
      <c r="A189" s="26" t="str">
        <v>X018</v>
      </c>
      <c r="B189" s="27" t="str">
        <v>NY</v>
      </c>
      <c r="C189" s="27" t="str">
        <f>Sites[[#This Row],[SOL'#]]</f>
        <v>SOL-10418</v>
      </c>
      <c r="D189" s="74">
        <f>SUM(Oct!D189, Nov!D189, Dec!D189)</f>
        <v>0</v>
      </c>
      <c r="E189" s="14">
        <f>SUM(Oct!E189, Nov!E189, Dec!E189)</f>
        <v>0</v>
      </c>
      <c r="F189" s="14">
        <f>IF(AND(ISNUMBER(D189),ISNUMBER(E189)), D189-E189, "")</f>
        <v>0</v>
      </c>
      <c r="G189" s="15"/>
      <c r="H189" s="77">
        <f>SUM(Oct!H189,Nov!H189,Dec!H189)</f>
        <v>0</v>
      </c>
      <c r="I189" s="77">
        <f>SUM(Oct!I189, Nov!I189, Dec!I189)</f>
        <v>0</v>
      </c>
      <c r="J189" s="15"/>
    </row>
    <row r="190" spans="1:10" ht="15.6">
      <c r="A190" s="24" t="str">
        <v>Janiak Solar</v>
      </c>
      <c r="B190" s="25" t="str">
        <v>NY</v>
      </c>
      <c r="C190" s="25" t="str">
        <f>Sites[[#This Row],[SOL'#]]</f>
        <v>SOL-10898</v>
      </c>
      <c r="D190" s="60">
        <f>SUM(Oct!D190, Nov!D190, Dec!D190)</f>
        <v>0</v>
      </c>
      <c r="E190" s="10">
        <f>SUM(Oct!E190, Nov!E190, Dec!E190)</f>
        <v>0</v>
      </c>
      <c r="F190" s="10">
        <f t="shared" ref="F190:F200" si="15">IF(AND(ISNUMBER(D190),ISNUMBER(E190)), D190-E190, "")</f>
        <v>0</v>
      </c>
      <c r="G190" s="11"/>
      <c r="H190" s="75">
        <f>SUM(Oct!H190,Nov!H190,Dec!H190)</f>
        <v>0</v>
      </c>
      <c r="I190" s="75">
        <f>SUM(Oct!I190, Nov!I190, Dec!I190)</f>
        <v>0</v>
      </c>
      <c r="J190" s="13"/>
    </row>
    <row r="191" spans="1:10" ht="15.6">
      <c r="A191" s="26" t="str">
        <v>County Route 11B</v>
      </c>
      <c r="B191" s="27" t="str">
        <v>NY</v>
      </c>
      <c r="C191" s="27" t="str">
        <f>Sites[[#This Row],[SOL'#]]</f>
        <v>SOL-10983</v>
      </c>
      <c r="D191" s="74">
        <f>SUM(Oct!D191, Nov!D191, Dec!D191)</f>
        <v>0</v>
      </c>
      <c r="E191" s="14">
        <f>SUM(Oct!E191, Nov!E191, Dec!E191)</f>
        <v>0</v>
      </c>
      <c r="F191" s="14">
        <f t="shared" si="15"/>
        <v>0</v>
      </c>
      <c r="G191" s="15"/>
      <c r="H191" s="77">
        <f>SUM(Oct!H191,Nov!H191,Dec!H191)</f>
        <v>0</v>
      </c>
      <c r="I191" s="77">
        <f>SUM(Oct!I191, Nov!I191, Dec!I191)</f>
        <v>0</v>
      </c>
      <c r="J191" s="15"/>
    </row>
    <row r="192" spans="1:10" ht="15.6">
      <c r="A192" s="24" t="str">
        <v>Barone</v>
      </c>
      <c r="B192" s="25" t="str">
        <v>NY</v>
      </c>
      <c r="C192" s="25" t="str">
        <f>Sites[[#This Row],[SOL'#]]</f>
        <v>SOL-11034</v>
      </c>
      <c r="D192" s="60">
        <f>SUM(Oct!D192, Nov!D192, Dec!D192)</f>
        <v>0</v>
      </c>
      <c r="E192" s="10">
        <f>SUM(Oct!E192, Nov!E192, Dec!E192)</f>
        <v>0</v>
      </c>
      <c r="F192" s="10">
        <f t="shared" si="15"/>
        <v>0</v>
      </c>
      <c r="G192" s="11"/>
      <c r="H192" s="75">
        <f>SUM(Oct!H192,Nov!H192,Dec!H192)</f>
        <v>0</v>
      </c>
      <c r="I192" s="75">
        <f>SUM(Oct!I192, Nov!I192, Dec!I192)</f>
        <v>0</v>
      </c>
      <c r="J192" s="13"/>
    </row>
    <row r="193" spans="1:10" ht="15.6">
      <c r="A193" s="26" t="str">
        <v>Cedarville</v>
      </c>
      <c r="B193" s="27" t="str">
        <v>IL</v>
      </c>
      <c r="C193" s="27" t="str">
        <f>Sites[[#This Row],[SOL'#]]</f>
        <v>SOL-11069</v>
      </c>
      <c r="D193" s="74">
        <f>SUM(Oct!D193, Nov!D193, Dec!D193)</f>
        <v>0</v>
      </c>
      <c r="E193" s="14">
        <f>SUM(Oct!E193, Nov!E193, Dec!E193)</f>
        <v>0</v>
      </c>
      <c r="F193" s="14">
        <f t="shared" si="15"/>
        <v>0</v>
      </c>
      <c r="G193" s="15"/>
      <c r="H193" s="77">
        <f>SUM(Oct!H193,Nov!H193,Dec!H193)</f>
        <v>0</v>
      </c>
      <c r="I193" s="77">
        <f>SUM(Oct!I193, Nov!I193, Dec!I193)</f>
        <v>0</v>
      </c>
      <c r="J193" s="15"/>
    </row>
    <row r="194" spans="1:10" ht="15.6">
      <c r="A194" s="24" t="str">
        <v xml:space="preserve"> O'Brien Hill #1</v>
      </c>
      <c r="B194" s="25" t="str">
        <v>NY</v>
      </c>
      <c r="C194" s="25" t="str">
        <f>Sites[[#This Row],[SOL'#]]</f>
        <v>SOL-11098</v>
      </c>
      <c r="D194" s="60">
        <f>SUM(Oct!D194, Nov!D194, Dec!D194)</f>
        <v>0</v>
      </c>
      <c r="E194" s="10">
        <f>SUM(Oct!E194, Nov!E194, Dec!E194)</f>
        <v>0</v>
      </c>
      <c r="F194" s="10">
        <f t="shared" si="15"/>
        <v>0</v>
      </c>
      <c r="G194" s="11"/>
      <c r="H194" s="75">
        <f>SUM(Oct!H194,Nov!H194,Dec!H194)</f>
        <v>0</v>
      </c>
      <c r="I194" s="75">
        <f>SUM(Oct!I194, Nov!I194, Dec!I194)</f>
        <v>0</v>
      </c>
      <c r="J194" s="13"/>
    </row>
    <row r="195" spans="1:10" ht="15.6">
      <c r="A195" s="26" t="str">
        <v xml:space="preserve"> O'Brien Hill #2</v>
      </c>
      <c r="B195" s="27" t="str">
        <v>NY</v>
      </c>
      <c r="C195" s="27" t="str">
        <f>Sites[[#This Row],[SOL'#]]</f>
        <v>SOL-11099</v>
      </c>
      <c r="D195" s="74">
        <f>SUM(Oct!D195, Nov!D195, Dec!D195)</f>
        <v>0</v>
      </c>
      <c r="E195" s="14">
        <f>SUM(Oct!E195, Nov!E195, Dec!E195)</f>
        <v>0</v>
      </c>
      <c r="F195" s="14">
        <f t="shared" si="15"/>
        <v>0</v>
      </c>
      <c r="G195" s="15"/>
      <c r="H195" s="77">
        <f>SUM(Oct!H195,Nov!H195,Dec!H195)</f>
        <v>0</v>
      </c>
      <c r="I195" s="77">
        <f>SUM(Oct!I195, Nov!I195, Dec!I195)</f>
        <v>0</v>
      </c>
      <c r="J195" s="15"/>
    </row>
    <row r="196" spans="1:10" ht="15.6">
      <c r="A196" s="24" t="str">
        <v>Trinity - Freeport</v>
      </c>
      <c r="B196" s="25" t="str">
        <v>IL</v>
      </c>
      <c r="C196" s="25" t="str">
        <f>Sites[[#This Row],[SOL'#]]</f>
        <v>SOL-11057</v>
      </c>
      <c r="D196" s="60">
        <f>SUM(Oct!D196, Nov!D196, Dec!D196)</f>
        <v>0</v>
      </c>
      <c r="E196" s="10">
        <f>SUM(Oct!E196, Nov!E196, Dec!E196)</f>
        <v>0</v>
      </c>
      <c r="F196" s="10">
        <f t="shared" si="15"/>
        <v>0</v>
      </c>
      <c r="G196" s="11"/>
      <c r="H196" s="75">
        <f>SUM(Oct!H196,Nov!H196,Dec!H196)</f>
        <v>0</v>
      </c>
      <c r="I196" s="75">
        <f>SUM(Oct!I196, Nov!I196, Dec!I196)</f>
        <v>0</v>
      </c>
      <c r="J196" s="13"/>
    </row>
    <row r="197" spans="1:10" ht="15.6">
      <c r="A197" s="26" t="str">
        <v>Ransom</v>
      </c>
      <c r="B197" s="27" t="str">
        <v>NY</v>
      </c>
      <c r="C197" s="27" t="str">
        <f>Sites[[#This Row],[SOL'#]]</f>
        <v>SOL-11157</v>
      </c>
      <c r="D197" s="74">
        <f>SUM(Oct!D197, Nov!D197, Dec!D197)</f>
        <v>0</v>
      </c>
      <c r="E197" s="14">
        <f>SUM(Oct!E197, Nov!E197, Dec!E197)</f>
        <v>0</v>
      </c>
      <c r="F197" s="14">
        <f t="shared" si="15"/>
        <v>0</v>
      </c>
      <c r="G197" s="15"/>
      <c r="H197" s="77">
        <f>SUM(Oct!H197,Nov!H197,Dec!H197)</f>
        <v>0</v>
      </c>
      <c r="I197" s="77">
        <f>SUM(Oct!I197, Nov!I197, Dec!I197)</f>
        <v>0</v>
      </c>
      <c r="J197" s="15"/>
    </row>
    <row r="198" spans="1:10" ht="15.6">
      <c r="A198" s="24" t="str">
        <v>Horseheads - Wedge</v>
      </c>
      <c r="B198" s="25" t="str">
        <v>NY</v>
      </c>
      <c r="C198" s="25" t="str">
        <f>Sites[[#This Row],[SOL'#]]</f>
        <v>SOL-11160</v>
      </c>
      <c r="D198" s="60">
        <f>SUM(Oct!D198, Nov!D198, Dec!D198)</f>
        <v>0</v>
      </c>
      <c r="E198" s="10">
        <f>SUM(Oct!E198, Nov!E198, Dec!E198)</f>
        <v>0</v>
      </c>
      <c r="F198" s="10">
        <f t="shared" si="15"/>
        <v>0</v>
      </c>
      <c r="G198" s="11"/>
      <c r="H198" s="75">
        <f>SUM(Oct!H198,Nov!H198,Dec!H198)</f>
        <v>0</v>
      </c>
      <c r="I198" s="75">
        <f>SUM(Oct!I198, Nov!I198, Dec!I198)</f>
        <v>0</v>
      </c>
      <c r="J198" s="13"/>
    </row>
    <row r="199" spans="1:10" ht="15.6">
      <c r="A199" s="26" t="str">
        <v>Otisville - Shoddy Hollow</v>
      </c>
      <c r="B199" s="27" t="str">
        <v>NY</v>
      </c>
      <c r="C199" s="27" t="str">
        <f>Sites[[#This Row],[SOL'#]]</f>
        <v>SOL-11185</v>
      </c>
      <c r="D199" s="74">
        <f>SUM(Oct!D199, Nov!D199, Dec!D199)</f>
        <v>0</v>
      </c>
      <c r="E199" s="14">
        <f>SUM(Oct!E199, Nov!E199, Dec!E199)</f>
        <v>0</v>
      </c>
      <c r="F199" s="14">
        <f t="shared" si="15"/>
        <v>0</v>
      </c>
      <c r="G199" s="15"/>
      <c r="H199" s="77">
        <f>SUM(Oct!H199,Nov!H199,Dec!H199)</f>
        <v>0</v>
      </c>
      <c r="I199" s="77">
        <f>SUM(Oct!I199, Nov!I199, Dec!I199)</f>
        <v>0</v>
      </c>
      <c r="J199" s="15"/>
    </row>
    <row r="200" spans="1:10" ht="15.6">
      <c r="A200" s="24" t="str">
        <v>Wellsville - Chenunda Creek</v>
      </c>
      <c r="B200" s="25" t="str">
        <v>NY</v>
      </c>
      <c r="C200" s="25" t="str">
        <f>Sites[[#This Row],[SOL'#]]</f>
        <v>SOL-11187</v>
      </c>
      <c r="D200" s="60">
        <f>SUM(Oct!D200, Nov!D200, Dec!D200)</f>
        <v>0</v>
      </c>
      <c r="E200" s="10">
        <f>SUM(Oct!E200, Nov!E200, Dec!E200)</f>
        <v>0</v>
      </c>
      <c r="F200" s="10">
        <f t="shared" si="15"/>
        <v>0</v>
      </c>
      <c r="G200" s="11"/>
      <c r="H200" s="75">
        <f>SUM(Oct!H200,Nov!H200,Dec!H200)</f>
        <v>0</v>
      </c>
      <c r="I200" s="75">
        <f>SUM(Oct!I200, Nov!I200, Dec!I200)</f>
        <v>0</v>
      </c>
      <c r="J200" s="13"/>
    </row>
  </sheetData>
  <mergeCells count="4">
    <mergeCell ref="H1:J1"/>
    <mergeCell ref="A1:D1"/>
    <mergeCell ref="E1:G1"/>
    <mergeCell ref="A2:B2"/>
  </mergeCells>
  <conditionalFormatting sqref="G2 J2">
    <cfRule type="cellIs" dxfId="60" priority="23" stopIfTrue="1" operator="lessThanOrEqual">
      <formula>-0.1</formula>
    </cfRule>
    <cfRule type="expression" dxfId="59" priority="24">
      <formula>AND(ISNUMBER(G2), G2&gt;=0.1)</formula>
    </cfRule>
  </conditionalFormatting>
  <conditionalFormatting sqref="G4:G200 J4:J200">
    <cfRule type="cellIs" dxfId="58" priority="1" stopIfTrue="1" operator="lessThanOrEqual">
      <formula>-0.1</formula>
    </cfRule>
    <cfRule type="expression" dxfId="57"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200"/>
  <sheetViews>
    <sheetView zoomScale="73" zoomScaleNormal="50" workbookViewId="0">
      <pane xSplit="2" ySplit="3" topLeftCell="C181" activePane="bottomRight" state="frozen"/>
      <selection pane="bottomRight" activeCell="H194" sqref="H194"/>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65" t="str" cm="1">
        <f t="array" ref="A1">portfolio</f>
        <v>Generate Capital</v>
      </c>
      <c r="B1" s="165"/>
      <c r="C1" s="165"/>
      <c r="D1" s="165"/>
      <c r="E1" s="166" t="s">
        <v>19</v>
      </c>
      <c r="F1" s="166"/>
      <c r="G1" s="166"/>
      <c r="H1" s="164" t="s">
        <v>20</v>
      </c>
      <c r="I1" s="164"/>
      <c r="J1" s="164"/>
      <c r="K1" s="4"/>
      <c r="L1" s="4"/>
    </row>
    <row r="2" spans="1:20" ht="19.5" customHeight="1">
      <c r="A2" s="167" t="s">
        <v>2</v>
      </c>
      <c r="B2" s="167"/>
      <c r="C2" s="65"/>
      <c r="D2" s="5">
        <f>SUM(D4:D137)</f>
        <v>9234212.2868879009</v>
      </c>
      <c r="E2" s="5">
        <f>SUM(E4:E137)</f>
        <v>5144511.8000000007</v>
      </c>
      <c r="F2" s="5">
        <f>D2-E2</f>
        <v>4089700.4868879002</v>
      </c>
      <c r="G2" s="6">
        <f>IFERROR(F2/E2, 0)</f>
        <v>0.79496376835755334</v>
      </c>
      <c r="H2" s="5">
        <f>SUM(H4:H137)</f>
        <v>11492435.575800002</v>
      </c>
      <c r="I2" s="7">
        <f>D2-H2</f>
        <v>-2258223.2889121007</v>
      </c>
      <c r="J2" s="6">
        <f>IFERROR(I2/H2, 0)</f>
        <v>-0.19649649319482074</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10022.647341772101</v>
      </c>
      <c r="E4" s="10">
        <v>7832.1040000000003</v>
      </c>
      <c r="F4" s="10">
        <f>IF(AND(ISNUMBER(D4),ISNUMBER(E4)), D4-E4, "")</f>
        <v>2190.5433417721006</v>
      </c>
      <c r="G4" s="11">
        <f>IFERROR(F4/E4, "")</f>
        <v>0.27968772398478114</v>
      </c>
      <c r="H4" s="12">
        <v>8961.4670000000006</v>
      </c>
      <c r="I4" s="12">
        <f>IF(AND(ISNUMBER(D4),ISNUMBER(H4)), D4-H4, "")</f>
        <v>1061.1803417721003</v>
      </c>
      <c r="J4" s="13">
        <f>IFERROR(I4/H4, "")</f>
        <v>0.11841591803798421</v>
      </c>
      <c r="K4" s="37"/>
      <c r="L4" s="59"/>
      <c r="M4" s="116"/>
      <c r="N4" s="116"/>
      <c r="O4" s="116"/>
      <c r="P4" s="116"/>
      <c r="Q4" s="116"/>
      <c r="R4" s="116"/>
      <c r="S4" s="116"/>
      <c r="T4" s="116"/>
    </row>
    <row r="5" spans="1:20" ht="15.6">
      <c r="A5" s="26" t="str">
        <v>Fulton</v>
      </c>
      <c r="B5" s="27" t="str">
        <v>AZ</v>
      </c>
      <c r="C5" s="27" t="str">
        <f>Sites[[#This Row],[SOL'#]]</f>
        <v>SOL-10749</v>
      </c>
      <c r="D5" s="9">
        <v>27358.25</v>
      </c>
      <c r="E5" s="14">
        <v>36174.120000000003</v>
      </c>
      <c r="F5" s="14">
        <f t="shared" ref="F5:F15" si="0">IF(AND(ISNUMBER(D5),ISNUMBER(E5)), D5-E5, "")</f>
        <v>-8815.8700000000026</v>
      </c>
      <c r="G5" s="15">
        <f>IFERROR(F5/E5, "")</f>
        <v>-0.24370655042887021</v>
      </c>
      <c r="H5" s="16">
        <v>36985.040000000001</v>
      </c>
      <c r="I5" s="16">
        <f t="shared" ref="I5:I6" si="1">IF(AND(ISNUMBER(D5),ISNUMBER(H5)), D5-H5, "")</f>
        <v>-9626.7900000000009</v>
      </c>
      <c r="J5" s="15">
        <f t="shared" ref="J5:J6" si="2">IFERROR(I5/H5, "")</f>
        <v>-0.26028875458834166</v>
      </c>
      <c r="K5" s="56" t="s">
        <v>23</v>
      </c>
      <c r="L5" s="57"/>
      <c r="M5" s="116"/>
      <c r="N5" s="116"/>
      <c r="O5" s="116"/>
      <c r="P5" s="116"/>
      <c r="Q5" s="116"/>
      <c r="R5" s="116"/>
      <c r="S5" s="116"/>
      <c r="T5" s="116"/>
    </row>
    <row r="6" spans="1:20" ht="15.6">
      <c r="A6" s="24" t="str">
        <v>JFK Elementary</v>
      </c>
      <c r="B6" s="25" t="str">
        <v>AZ</v>
      </c>
      <c r="C6" s="25" t="str">
        <f>Sites[[#This Row],[SOL'#]]</f>
        <v>SOL-10758</v>
      </c>
      <c r="D6" s="20">
        <v>17013.968749261501</v>
      </c>
      <c r="E6" s="10">
        <v>0</v>
      </c>
      <c r="F6" s="10">
        <f t="shared" si="0"/>
        <v>17013.968749261501</v>
      </c>
      <c r="G6" s="11" t="str">
        <f t="shared" ref="G6:G15" si="3">IFERROR(F6/E6, "")</f>
        <v/>
      </c>
      <c r="H6" s="12">
        <v>15355</v>
      </c>
      <c r="I6" s="12">
        <f t="shared" si="1"/>
        <v>1658.9687492615012</v>
      </c>
      <c r="J6" s="13">
        <f t="shared" si="2"/>
        <v>0.1080409475259851</v>
      </c>
      <c r="K6" s="37"/>
      <c r="L6" s="59"/>
      <c r="M6" s="116"/>
      <c r="N6" s="116"/>
      <c r="O6" s="116"/>
      <c r="P6" s="116"/>
      <c r="Q6" s="116"/>
      <c r="R6" s="116"/>
      <c r="S6" s="116"/>
      <c r="T6" s="116"/>
    </row>
    <row r="7" spans="1:20" ht="15.6">
      <c r="A7" s="26" t="str">
        <v>Noble</v>
      </c>
      <c r="B7" s="27" t="str">
        <v>AZ</v>
      </c>
      <c r="C7" s="27" t="str">
        <f>Sites[[#This Row],[SOL'#]]</f>
        <v>SOL-10750</v>
      </c>
      <c r="D7" s="9">
        <v>9682.2103991950898</v>
      </c>
      <c r="E7" s="14">
        <v>13203.51</v>
      </c>
      <c r="F7" s="14">
        <f t="shared" si="0"/>
        <v>-3521.2996008049104</v>
      </c>
      <c r="G7" s="15">
        <f t="shared" si="3"/>
        <v>-0.26669420485953432</v>
      </c>
      <c r="H7" s="16">
        <v>10458.620000000001</v>
      </c>
      <c r="I7" s="16">
        <f t="shared" ref="I7:I15" si="4">IF(AND(ISNUMBER(D7),ISNUMBER(H7)), D7-H7, "")</f>
        <v>-776.40960080491095</v>
      </c>
      <c r="J7" s="15">
        <f t="shared" ref="J7:J15" si="5">IFERROR(I7/H7, "")</f>
        <v>-7.4236333359937623E-2</v>
      </c>
      <c r="K7" s="56"/>
      <c r="L7" s="58"/>
      <c r="M7" s="116"/>
      <c r="N7" s="116"/>
      <c r="O7" s="116"/>
      <c r="P7" s="116"/>
      <c r="Q7" s="116"/>
      <c r="R7" s="116"/>
      <c r="S7" s="116"/>
      <c r="T7" s="116"/>
    </row>
    <row r="8" spans="1:20" ht="15.6">
      <c r="A8" s="24" t="str">
        <v>Parking 3</v>
      </c>
      <c r="B8" s="25" t="str">
        <v>AZ</v>
      </c>
      <c r="C8" s="25" t="str">
        <f>Sites[[#This Row],[SOL'#]]</f>
        <v>SOL-10751</v>
      </c>
      <c r="D8" s="20">
        <v>25936.075000000201</v>
      </c>
      <c r="E8" s="10">
        <v>17329.39</v>
      </c>
      <c r="F8" s="10">
        <f t="shared" si="0"/>
        <v>8606.6850000002014</v>
      </c>
      <c r="G8" s="11">
        <f t="shared" si="3"/>
        <v>0.49665250767627722</v>
      </c>
      <c r="H8" s="12">
        <v>21447.37</v>
      </c>
      <c r="I8" s="12">
        <f t="shared" si="4"/>
        <v>4488.7050000002018</v>
      </c>
      <c r="J8" s="13">
        <f t="shared" si="5"/>
        <v>0.20928929747564395</v>
      </c>
      <c r="K8" s="37"/>
      <c r="L8" s="59"/>
      <c r="M8" s="116"/>
      <c r="N8" s="116"/>
      <c r="O8" s="116"/>
      <c r="P8" s="116"/>
      <c r="Q8" s="116"/>
      <c r="R8" s="116"/>
      <c r="S8" s="116"/>
      <c r="T8" s="116"/>
    </row>
    <row r="9" spans="1:20" ht="15.6">
      <c r="A9" s="26" t="str">
        <v>PE East</v>
      </c>
      <c r="B9" s="27" t="str">
        <v>AZ</v>
      </c>
      <c r="C9" s="27" t="str">
        <f>Sites[[#This Row],[SOL'#]]</f>
        <v>SOL-10752</v>
      </c>
      <c r="D9" s="9">
        <v>21756.534644440701</v>
      </c>
      <c r="E9" s="14">
        <v>13878.13</v>
      </c>
      <c r="F9" s="14">
        <f t="shared" si="0"/>
        <v>7878.4046444407013</v>
      </c>
      <c r="G9" s="15">
        <f t="shared" si="3"/>
        <v>0.56768488581968191</v>
      </c>
      <c r="H9" s="16">
        <v>22716.21</v>
      </c>
      <c r="I9" s="16">
        <f t="shared" si="4"/>
        <v>-959.67535555929862</v>
      </c>
      <c r="J9" s="15">
        <f t="shared" si="5"/>
        <v>-4.2246279443591106E-2</v>
      </c>
      <c r="K9" s="56"/>
      <c r="L9" s="58"/>
      <c r="M9" s="116"/>
      <c r="N9" s="116"/>
      <c r="O9" s="116"/>
      <c r="P9" s="116"/>
      <c r="Q9" s="116"/>
      <c r="R9" s="116"/>
      <c r="S9" s="116"/>
      <c r="T9" s="116"/>
    </row>
    <row r="10" spans="1:20" ht="15.6">
      <c r="A10" s="24" t="str">
        <v>Schwada</v>
      </c>
      <c r="B10" s="25" t="str">
        <v>AZ</v>
      </c>
      <c r="C10" s="25" t="str">
        <f>Sites[[#This Row],[SOL'#]]</f>
        <v>SOL-10753</v>
      </c>
      <c r="D10" s="20">
        <v>10137.009</v>
      </c>
      <c r="E10" s="10">
        <v>5713.7309999999998</v>
      </c>
      <c r="F10" s="10">
        <f t="shared" si="0"/>
        <v>4423.2780000000002</v>
      </c>
      <c r="G10" s="11">
        <f t="shared" si="3"/>
        <v>0.77414880049480805</v>
      </c>
      <c r="H10" s="12">
        <v>10042</v>
      </c>
      <c r="I10" s="12">
        <f t="shared" si="4"/>
        <v>95.009000000000015</v>
      </c>
      <c r="J10" s="13">
        <f t="shared" si="5"/>
        <v>9.4611631149173481E-3</v>
      </c>
      <c r="K10" s="37" t="s">
        <v>24</v>
      </c>
      <c r="L10" s="111" t="s">
        <v>25</v>
      </c>
      <c r="M10" s="116"/>
      <c r="N10" s="116"/>
      <c r="O10" s="116"/>
      <c r="P10" s="116"/>
      <c r="Q10" s="116"/>
      <c r="R10" s="116"/>
      <c r="S10" s="116"/>
      <c r="T10" s="116"/>
    </row>
    <row r="11" spans="1:20" ht="15.6">
      <c r="A11" s="26" t="str">
        <v>Starshine</v>
      </c>
      <c r="B11" s="27" t="str">
        <v>AZ</v>
      </c>
      <c r="C11" s="27" t="str">
        <f>Sites[[#This Row],[SOL'#]]</f>
        <v>SOL-10757</v>
      </c>
      <c r="D11" s="9">
        <v>4693.2999999999902</v>
      </c>
      <c r="E11" s="14">
        <v>0</v>
      </c>
      <c r="F11" s="14">
        <f t="shared" si="0"/>
        <v>4693.2999999999902</v>
      </c>
      <c r="G11" s="15" t="str">
        <f t="shared" si="3"/>
        <v/>
      </c>
      <c r="H11" s="16">
        <v>5668</v>
      </c>
      <c r="I11" s="16">
        <f t="shared" si="4"/>
        <v>-974.70000000000982</v>
      </c>
      <c r="J11" s="15">
        <f t="shared" si="5"/>
        <v>-0.17196541990120146</v>
      </c>
      <c r="K11" s="56" t="s">
        <v>26</v>
      </c>
      <c r="L11" s="112" t="s">
        <v>27</v>
      </c>
      <c r="M11" s="116"/>
      <c r="N11" s="116"/>
      <c r="O11" s="116"/>
      <c r="P11" s="116"/>
      <c r="Q11" s="116"/>
      <c r="R11" s="116"/>
      <c r="S11" s="116"/>
      <c r="T11" s="116"/>
    </row>
    <row r="12" spans="1:20" ht="15.6">
      <c r="A12" s="24" t="str">
        <v>Yuma Airport</v>
      </c>
      <c r="B12" s="25" t="str">
        <v>AZ</v>
      </c>
      <c r="C12" s="25" t="str">
        <f>Sites[[#This Row],[SOL'#]]</f>
        <v>SOL-10754</v>
      </c>
      <c r="D12" s="20">
        <v>60094</v>
      </c>
      <c r="E12" s="10">
        <v>80477.88</v>
      </c>
      <c r="F12" s="10">
        <f t="shared" si="0"/>
        <v>-20383.880000000005</v>
      </c>
      <c r="G12" s="11">
        <f t="shared" si="3"/>
        <v>-0.25328549907129766</v>
      </c>
      <c r="H12" s="12">
        <v>62836</v>
      </c>
      <c r="I12" s="12">
        <f t="shared" si="4"/>
        <v>-2742</v>
      </c>
      <c r="J12" s="13">
        <f t="shared" si="5"/>
        <v>-4.3637405309058498E-2</v>
      </c>
      <c r="K12" s="37"/>
      <c r="L12" s="59"/>
      <c r="M12" s="116"/>
      <c r="N12" s="116"/>
      <c r="O12" s="116"/>
      <c r="P12" s="116"/>
      <c r="Q12" s="116"/>
      <c r="R12" s="116"/>
      <c r="S12" s="116"/>
      <c r="T12" s="116"/>
    </row>
    <row r="13" spans="1:20" ht="68.25" customHeight="1">
      <c r="A13" s="26" t="str">
        <v>Kinsman</v>
      </c>
      <c r="B13" s="27" t="str">
        <v>OH</v>
      </c>
      <c r="C13" s="27" t="str">
        <f>Sites[[#This Row],[SOL'#]]</f>
        <v>SOL-10762</v>
      </c>
      <c r="D13" s="9">
        <v>16786.8671875</v>
      </c>
      <c r="E13" s="14">
        <v>52112.79</v>
      </c>
      <c r="F13" s="14">
        <f t="shared" si="0"/>
        <v>-35325.922812500001</v>
      </c>
      <c r="G13" s="15">
        <f t="shared" si="3"/>
        <v>-0.67787433396868602</v>
      </c>
      <c r="H13" s="16">
        <v>52574</v>
      </c>
      <c r="I13" s="16">
        <f t="shared" si="4"/>
        <v>-35787.1328125</v>
      </c>
      <c r="J13" s="15">
        <f t="shared" si="5"/>
        <v>-0.68070020946665655</v>
      </c>
      <c r="K13" s="56" t="s">
        <v>28</v>
      </c>
      <c r="L13" s="112" t="s">
        <v>29</v>
      </c>
      <c r="M13" s="115" t="s">
        <v>30</v>
      </c>
      <c r="N13" s="115" t="s">
        <v>31</v>
      </c>
      <c r="O13" s="116"/>
      <c r="P13" s="116"/>
      <c r="Q13" s="116"/>
      <c r="R13" s="116"/>
      <c r="S13" s="116"/>
      <c r="T13" s="116"/>
    </row>
    <row r="14" spans="1:20" ht="40.5" customHeight="1">
      <c r="A14" s="24" t="str">
        <v>Wooster</v>
      </c>
      <c r="B14" s="25" t="str">
        <v>OH</v>
      </c>
      <c r="C14" s="25" t="str">
        <f>Sites[[#This Row],[SOL'#]]</f>
        <v>SOL-10763</v>
      </c>
      <c r="D14" s="20">
        <v>6035.75</v>
      </c>
      <c r="E14" s="10">
        <v>0</v>
      </c>
      <c r="F14" s="10">
        <f t="shared" si="0"/>
        <v>6035.75</v>
      </c>
      <c r="G14" s="11" t="str">
        <f t="shared" si="3"/>
        <v/>
      </c>
      <c r="H14" s="12">
        <v>11652</v>
      </c>
      <c r="I14" s="12">
        <f t="shared" si="4"/>
        <v>-5616.25</v>
      </c>
      <c r="J14" s="13">
        <f t="shared" si="5"/>
        <v>-0.4819987984895297</v>
      </c>
      <c r="K14" s="37" t="s">
        <v>32</v>
      </c>
      <c r="L14" s="111" t="s">
        <v>33</v>
      </c>
      <c r="M14" s="116"/>
      <c r="N14" s="116"/>
      <c r="O14" s="116"/>
      <c r="P14" s="116"/>
      <c r="Q14" s="116"/>
      <c r="R14" s="116"/>
      <c r="S14" s="116"/>
      <c r="T14" s="116"/>
    </row>
    <row r="15" spans="1:20" ht="54" customHeight="1">
      <c r="A15" s="26" t="str">
        <v>Globe Gila CC</v>
      </c>
      <c r="B15" s="27" t="str">
        <v>AZ</v>
      </c>
      <c r="C15" s="27" t="str">
        <f>Sites[[#This Row],[SOL'#]]</f>
        <v>SOL-10755</v>
      </c>
      <c r="D15" s="9">
        <v>10938.7724047223</v>
      </c>
      <c r="E15" s="14">
        <v>0</v>
      </c>
      <c r="F15" s="14">
        <f t="shared" si="0"/>
        <v>10938.7724047223</v>
      </c>
      <c r="G15" s="15" t="str">
        <f t="shared" si="3"/>
        <v/>
      </c>
      <c r="H15" s="16">
        <v>11007</v>
      </c>
      <c r="I15" s="16">
        <f t="shared" si="4"/>
        <v>-68.227595277699947</v>
      </c>
      <c r="J15" s="15">
        <f t="shared" si="5"/>
        <v>-6.1985641208049374E-3</v>
      </c>
      <c r="K15" s="56" t="s">
        <v>34</v>
      </c>
      <c r="L15" s="112" t="s">
        <v>35</v>
      </c>
      <c r="M15" s="116"/>
      <c r="N15" s="116"/>
      <c r="O15" s="116"/>
      <c r="P15" s="116"/>
      <c r="Q15" s="116"/>
      <c r="R15" s="116"/>
      <c r="S15" s="116"/>
      <c r="T15" s="116"/>
    </row>
    <row r="16" spans="1:20" ht="46.5" customHeight="1">
      <c r="A16" s="24" t="str">
        <v>Payson Gila CC</v>
      </c>
      <c r="B16" s="25" t="str">
        <v>AZ</v>
      </c>
      <c r="C16" s="25" t="str">
        <f>Sites[[#This Row],[SOL'#]]</f>
        <v>SOL-10756</v>
      </c>
      <c r="D16" s="20">
        <v>8485.4826627329494</v>
      </c>
      <c r="E16" s="10">
        <v>4084.471</v>
      </c>
      <c r="F16" s="10">
        <f t="shared" ref="F16:F79" si="6">IF(AND(ISNUMBER(D16),ISNUMBER(E16)), D16-E16, "")</f>
        <v>4401.0116627329498</v>
      </c>
      <c r="G16" s="11">
        <f t="shared" ref="G16:G79" si="7">IFERROR(F16/E16, "")</f>
        <v>1.0774985702513129</v>
      </c>
      <c r="H16" s="12">
        <v>8158</v>
      </c>
      <c r="I16" s="12">
        <f t="shared" ref="I16:I17" si="8">IF(AND(ISNUMBER(D16),ISNUMBER(H16)), D16-H16, "")</f>
        <v>327.48266273294939</v>
      </c>
      <c r="J16" s="13">
        <f t="shared" ref="J16:J17" si="9">IFERROR(I16/H16, "")</f>
        <v>4.0142518108966581E-2</v>
      </c>
      <c r="K16" s="37" t="s">
        <v>36</v>
      </c>
      <c r="L16" s="111" t="s">
        <v>37</v>
      </c>
      <c r="M16" s="116"/>
      <c r="N16" s="116"/>
      <c r="O16" s="116"/>
      <c r="P16" s="116"/>
      <c r="Q16" s="116"/>
      <c r="R16" s="116"/>
      <c r="S16" s="116"/>
      <c r="T16" s="116"/>
    </row>
    <row r="17" spans="1:20" ht="82.5" customHeight="1">
      <c r="A17" s="26" t="str">
        <v>SCNM</v>
      </c>
      <c r="B17" s="27" t="str">
        <v>AZ</v>
      </c>
      <c r="C17" s="27" t="str">
        <f>Sites[[#This Row],[SOL'#]]</f>
        <v>SOL-10760</v>
      </c>
      <c r="D17" s="9">
        <v>55904.5</v>
      </c>
      <c r="E17" s="14">
        <v>28084.05</v>
      </c>
      <c r="F17" s="14">
        <f t="shared" si="6"/>
        <v>27820.45</v>
      </c>
      <c r="G17" s="15">
        <f t="shared" si="7"/>
        <v>0.99061388937849071</v>
      </c>
      <c r="H17" s="16">
        <v>54453</v>
      </c>
      <c r="I17" s="16">
        <f t="shared" si="8"/>
        <v>1451.5</v>
      </c>
      <c r="J17" s="15">
        <f t="shared" si="9"/>
        <v>2.6656015279231633E-2</v>
      </c>
      <c r="K17" s="56" t="s">
        <v>38</v>
      </c>
      <c r="L17" s="112" t="s">
        <v>39</v>
      </c>
      <c r="M17" s="115" t="s">
        <v>40</v>
      </c>
      <c r="N17" s="116"/>
      <c r="O17" s="116"/>
      <c r="P17" s="116"/>
      <c r="Q17" s="116"/>
      <c r="R17" s="116"/>
      <c r="S17" s="116"/>
      <c r="T17" s="116"/>
    </row>
    <row r="18" spans="1:20" ht="39" customHeight="1">
      <c r="A18" s="24" t="str">
        <v>Sequoia Charter School</v>
      </c>
      <c r="B18" s="25" t="str">
        <v>AZ</v>
      </c>
      <c r="C18" s="25" t="str">
        <f>Sites[[#This Row],[SOL'#]]</f>
        <v>SOL-10759</v>
      </c>
      <c r="D18" s="20">
        <v>17436.379999999899</v>
      </c>
      <c r="E18" s="10">
        <v>0</v>
      </c>
      <c r="F18" s="10">
        <f t="shared" si="6"/>
        <v>17436.379999999899</v>
      </c>
      <c r="G18" s="11" t="str">
        <f t="shared" si="7"/>
        <v/>
      </c>
      <c r="H18" s="12">
        <v>32604</v>
      </c>
      <c r="I18" s="12">
        <f t="shared" ref="I18:I81" si="10">IF(AND(ISNUMBER(D18),ISNUMBER(H18)), D18-H18, "")</f>
        <v>-15167.620000000101</v>
      </c>
      <c r="J18" s="13">
        <f t="shared" ref="J18:J81" si="11">IFERROR(I18/H18, "")</f>
        <v>-0.46520733652312907</v>
      </c>
      <c r="K18" s="37" t="s">
        <v>41</v>
      </c>
      <c r="L18" s="111" t="s">
        <v>42</v>
      </c>
      <c r="M18" s="116"/>
      <c r="N18" s="116"/>
      <c r="O18" s="116"/>
      <c r="P18" s="116"/>
      <c r="Q18" s="116"/>
      <c r="R18" s="116"/>
      <c r="S18" s="116"/>
      <c r="T18" s="116"/>
    </row>
    <row r="19" spans="1:20" ht="15.6">
      <c r="A19" s="26" t="str">
        <v>RCAB</v>
      </c>
      <c r="B19" s="27" t="str">
        <v>MA</v>
      </c>
      <c r="C19" s="27" t="str">
        <f>Sites[[#This Row],[SOL'#]]</f>
        <v>SOL-10838</v>
      </c>
      <c r="D19" s="9">
        <v>31671</v>
      </c>
      <c r="E19" s="14">
        <v>60562.239999999998</v>
      </c>
      <c r="F19" s="14">
        <f t="shared" si="6"/>
        <v>-28891.239999999998</v>
      </c>
      <c r="G19" s="15">
        <f t="shared" si="7"/>
        <v>-0.47705038651146325</v>
      </c>
      <c r="H19" s="16">
        <v>46121.62</v>
      </c>
      <c r="I19" s="16">
        <f t="shared" si="10"/>
        <v>-14450.620000000003</v>
      </c>
      <c r="J19" s="15">
        <f t="shared" si="11"/>
        <v>-0.31331553401636808</v>
      </c>
      <c r="K19" s="56" t="s">
        <v>43</v>
      </c>
      <c r="L19" s="112" t="s">
        <v>44</v>
      </c>
      <c r="M19" s="116"/>
      <c r="N19" s="116"/>
      <c r="O19" s="116"/>
      <c r="P19" s="116"/>
      <c r="Q19" s="116"/>
      <c r="R19" s="116"/>
      <c r="S19" s="116"/>
      <c r="T19" s="116"/>
    </row>
    <row r="20" spans="1:20" ht="15.6">
      <c r="A20" s="24" t="str">
        <v>Spectro Coatings</v>
      </c>
      <c r="B20" s="25" t="str">
        <v>MA</v>
      </c>
      <c r="C20" s="25" t="str">
        <f>Sites[[#This Row],[SOL'#]]</f>
        <v>SOL-10074</v>
      </c>
      <c r="D20" s="20">
        <v>9236.5</v>
      </c>
      <c r="E20" s="10">
        <v>18734.62</v>
      </c>
      <c r="F20" s="10">
        <f t="shared" si="6"/>
        <v>-9498.119999999999</v>
      </c>
      <c r="G20" s="11">
        <f t="shared" si="7"/>
        <v>-0.50698226064900165</v>
      </c>
      <c r="H20" s="12">
        <v>11364.41</v>
      </c>
      <c r="I20" s="12">
        <f t="shared" si="10"/>
        <v>-2127.91</v>
      </c>
      <c r="J20" s="13">
        <f t="shared" si="11"/>
        <v>-0.18724333247392516</v>
      </c>
      <c r="K20" s="37" t="s">
        <v>45</v>
      </c>
      <c r="L20" s="111" t="s">
        <v>46</v>
      </c>
      <c r="M20" s="116"/>
      <c r="N20" s="116"/>
      <c r="O20" s="116"/>
      <c r="P20" s="116"/>
      <c r="Q20" s="116"/>
      <c r="R20" s="116"/>
      <c r="S20" s="116"/>
      <c r="T20" s="116"/>
    </row>
    <row r="21" spans="1:20" ht="15.6">
      <c r="A21" s="26" t="str">
        <v>K026</v>
      </c>
      <c r="B21" s="27" t="str">
        <v>NY</v>
      </c>
      <c r="C21" s="27" t="str">
        <f>Sites[[#This Row],[SOL'#]]</f>
        <v>SOL-10356</v>
      </c>
      <c r="D21" s="9">
        <v>11980.125</v>
      </c>
      <c r="E21" s="14">
        <v>18586.79</v>
      </c>
      <c r="F21" s="14">
        <f t="shared" si="6"/>
        <v>-6606.6650000000009</v>
      </c>
      <c r="G21" s="15">
        <f t="shared" si="7"/>
        <v>-0.3554494885884007</v>
      </c>
      <c r="H21" s="16">
        <v>11111.47</v>
      </c>
      <c r="I21" s="16">
        <f t="shared" si="10"/>
        <v>868.65500000000065</v>
      </c>
      <c r="J21" s="15">
        <f t="shared" si="11"/>
        <v>7.817642490147575E-2</v>
      </c>
      <c r="K21" s="56"/>
      <c r="L21" s="58"/>
      <c r="M21" s="116"/>
      <c r="N21" s="116"/>
      <c r="O21" s="116"/>
      <c r="P21" s="116"/>
      <c r="Q21" s="116"/>
      <c r="R21" s="116"/>
      <c r="S21" s="116"/>
      <c r="T21" s="116"/>
    </row>
    <row r="22" spans="1:20" ht="15.6">
      <c r="A22" s="24" t="str">
        <v>K041</v>
      </c>
      <c r="B22" s="25" t="str">
        <v>NY</v>
      </c>
      <c r="C22" s="25" t="str">
        <f>Sites[[#This Row],[SOL'#]]</f>
        <v>SOL-10357</v>
      </c>
      <c r="D22" s="20">
        <v>8842.546875</v>
      </c>
      <c r="E22" s="10">
        <v>13490.72</v>
      </c>
      <c r="F22" s="10">
        <f t="shared" si="6"/>
        <v>-4648.1731249999993</v>
      </c>
      <c r="G22" s="11">
        <f t="shared" si="7"/>
        <v>-0.34454596381809122</v>
      </c>
      <c r="H22" s="12">
        <v>9924</v>
      </c>
      <c r="I22" s="12">
        <f t="shared" si="10"/>
        <v>-1081.453125</v>
      </c>
      <c r="J22" s="13">
        <f t="shared" si="11"/>
        <v>-0.10897351118500605</v>
      </c>
      <c r="K22" s="37"/>
      <c r="L22" s="59"/>
      <c r="M22" s="116"/>
      <c r="N22" s="116"/>
      <c r="O22" s="116"/>
      <c r="P22" s="116"/>
      <c r="Q22" s="116"/>
      <c r="R22" s="116"/>
      <c r="S22" s="116"/>
      <c r="T22" s="116"/>
    </row>
    <row r="23" spans="1:20" ht="15.6">
      <c r="A23" s="26" t="str">
        <v>K043</v>
      </c>
      <c r="B23" s="27" t="str">
        <v>NY</v>
      </c>
      <c r="C23" s="27" t="str">
        <f>Sites[[#This Row],[SOL'#]]</f>
        <v>SOL-10358</v>
      </c>
      <c r="D23" s="9">
        <v>10563.6875</v>
      </c>
      <c r="E23" s="14">
        <v>15508.68</v>
      </c>
      <c r="F23" s="14">
        <f t="shared" si="6"/>
        <v>-4944.9925000000003</v>
      </c>
      <c r="G23" s="15">
        <f t="shared" si="7"/>
        <v>-0.31885321639236869</v>
      </c>
      <c r="H23" s="16">
        <v>2303</v>
      </c>
      <c r="I23" s="16">
        <f t="shared" si="10"/>
        <v>8260.6875</v>
      </c>
      <c r="J23" s="15">
        <f t="shared" si="11"/>
        <v>3.5869246634824141</v>
      </c>
      <c r="K23" s="56" t="s">
        <v>47</v>
      </c>
      <c r="L23" s="58"/>
      <c r="M23" s="116"/>
      <c r="N23" s="116"/>
      <c r="O23" s="116"/>
      <c r="P23" s="116"/>
      <c r="Q23" s="116"/>
      <c r="R23" s="116"/>
      <c r="S23" s="116"/>
      <c r="T23" s="116"/>
    </row>
    <row r="24" spans="1:20" ht="15.6">
      <c r="A24" s="24" t="str">
        <v>K058</v>
      </c>
      <c r="B24" s="25" t="str">
        <v>NY</v>
      </c>
      <c r="C24" s="25" t="str">
        <f>Sites[[#This Row],[SOL'#]]</f>
        <v>SOL-10360</v>
      </c>
      <c r="D24" s="20">
        <v>8472.1875</v>
      </c>
      <c r="E24" s="10">
        <v>12896.51</v>
      </c>
      <c r="F24" s="10">
        <f t="shared" si="6"/>
        <v>-4424.3225000000002</v>
      </c>
      <c r="G24" s="11">
        <f t="shared" si="7"/>
        <v>-0.34306354975105668</v>
      </c>
      <c r="H24" s="12">
        <v>9147.0290000000005</v>
      </c>
      <c r="I24" s="12">
        <f t="shared" si="10"/>
        <v>-674.84150000000045</v>
      </c>
      <c r="J24" s="13">
        <f t="shared" si="11"/>
        <v>-7.3777124791011423E-2</v>
      </c>
      <c r="K24" s="55"/>
      <c r="L24" s="53"/>
      <c r="M24" s="116"/>
      <c r="N24" s="116"/>
      <c r="O24" s="116"/>
      <c r="P24" s="116"/>
      <c r="Q24" s="116"/>
      <c r="R24" s="116"/>
      <c r="S24" s="116"/>
      <c r="T24" s="116"/>
    </row>
    <row r="25" spans="1:20" ht="15.6">
      <c r="A25" s="26" t="str">
        <v>K115</v>
      </c>
      <c r="B25" s="27" t="str">
        <v>NY</v>
      </c>
      <c r="C25" s="27" t="str">
        <f>Sites[[#This Row],[SOL'#]]</f>
        <v>SOL-10361</v>
      </c>
      <c r="D25" s="9">
        <v>2497.5194140624999</v>
      </c>
      <c r="E25" s="14">
        <v>7565.8450000000003</v>
      </c>
      <c r="F25" s="14">
        <f t="shared" si="6"/>
        <v>-5068.3255859375004</v>
      </c>
      <c r="G25" s="15">
        <f t="shared" si="7"/>
        <v>-0.66989550882122229</v>
      </c>
      <c r="H25" s="16">
        <v>5593.8329999999996</v>
      </c>
      <c r="I25" s="16">
        <f t="shared" si="10"/>
        <v>-3096.3135859374997</v>
      </c>
      <c r="J25" s="15">
        <f t="shared" si="11"/>
        <v>-0.55352270722731622</v>
      </c>
      <c r="K25" s="157" t="s">
        <v>48</v>
      </c>
      <c r="L25" s="112" t="s">
        <v>49</v>
      </c>
      <c r="M25" s="116"/>
      <c r="N25" s="116"/>
      <c r="O25" s="116"/>
      <c r="P25" s="116"/>
      <c r="Q25" s="116"/>
      <c r="R25" s="116"/>
      <c r="S25" s="116"/>
      <c r="T25" s="116"/>
    </row>
    <row r="26" spans="1:20" ht="15.6">
      <c r="A26" s="24" t="str">
        <v>K152</v>
      </c>
      <c r="B26" s="25" t="str">
        <v>NY</v>
      </c>
      <c r="C26" s="25" t="str">
        <f>Sites[[#This Row],[SOL'#]]</f>
        <v>SOL-10362</v>
      </c>
      <c r="D26" s="20">
        <v>3001</v>
      </c>
      <c r="E26" s="10">
        <v>4499.1469999999999</v>
      </c>
      <c r="F26" s="10">
        <f t="shared" si="6"/>
        <v>-1498.1469999999999</v>
      </c>
      <c r="G26" s="11">
        <f t="shared" si="7"/>
        <v>-0.33298467465055043</v>
      </c>
      <c r="H26" s="12">
        <v>3567</v>
      </c>
      <c r="I26" s="12">
        <f t="shared" si="10"/>
        <v>-566</v>
      </c>
      <c r="J26" s="13">
        <f t="shared" si="11"/>
        <v>-0.15867675918138491</v>
      </c>
      <c r="K26" s="37" t="s">
        <v>50</v>
      </c>
      <c r="L26" s="59"/>
      <c r="M26" s="116"/>
      <c r="N26" s="116"/>
      <c r="O26" s="116"/>
      <c r="P26" s="116"/>
      <c r="Q26" s="116"/>
      <c r="R26" s="116"/>
      <c r="S26" s="116"/>
      <c r="T26" s="116"/>
    </row>
    <row r="27" spans="1:20" ht="15.6">
      <c r="A27" s="26" t="str">
        <v>K166</v>
      </c>
      <c r="B27" s="27" t="str">
        <v>NY</v>
      </c>
      <c r="C27" s="27" t="str">
        <f>Sites[[#This Row],[SOL'#]]</f>
        <v>SOL-10363</v>
      </c>
      <c r="D27" s="9">
        <v>10743.5</v>
      </c>
      <c r="E27" s="14">
        <v>17382.57</v>
      </c>
      <c r="F27" s="14">
        <f t="shared" si="6"/>
        <v>-6639.07</v>
      </c>
      <c r="G27" s="15">
        <f t="shared" si="7"/>
        <v>-0.38193834398480775</v>
      </c>
      <c r="H27" s="16">
        <v>12125.14</v>
      </c>
      <c r="I27" s="16">
        <f t="shared" si="10"/>
        <v>-1381.6399999999994</v>
      </c>
      <c r="J27" s="15">
        <f t="shared" si="11"/>
        <v>-0.11394837502907179</v>
      </c>
      <c r="K27" s="56" t="s">
        <v>50</v>
      </c>
      <c r="L27" s="58"/>
      <c r="M27" s="116"/>
      <c r="N27" s="116"/>
      <c r="O27" s="116"/>
      <c r="P27" s="116"/>
      <c r="Q27" s="116"/>
      <c r="R27" s="116"/>
      <c r="S27" s="116"/>
      <c r="T27" s="116"/>
    </row>
    <row r="28" spans="1:20" ht="15.6">
      <c r="A28" s="24" t="str">
        <v>K206</v>
      </c>
      <c r="B28" s="25" t="str">
        <v>NY</v>
      </c>
      <c r="C28" s="25" t="str">
        <f>Sites[[#This Row],[SOL'#]]</f>
        <v>SOL-10927</v>
      </c>
      <c r="D28" s="20">
        <v>7155.197649576</v>
      </c>
      <c r="E28" s="10">
        <v>11256.59</v>
      </c>
      <c r="F28" s="10">
        <f t="shared" si="6"/>
        <v>-4101.3923504240001</v>
      </c>
      <c r="G28" s="11">
        <f t="shared" si="7"/>
        <v>-0.36435477799440152</v>
      </c>
      <c r="H28" s="12">
        <v>6894</v>
      </c>
      <c r="I28" s="12">
        <f t="shared" si="10"/>
        <v>261.197649576</v>
      </c>
      <c r="J28" s="13">
        <f t="shared" si="11"/>
        <v>3.7887677629242819E-2</v>
      </c>
      <c r="K28" s="37"/>
      <c r="L28" s="59"/>
      <c r="M28" s="116"/>
      <c r="N28" s="116"/>
      <c r="O28" s="116"/>
      <c r="P28" s="116"/>
      <c r="Q28" s="116"/>
      <c r="R28" s="116"/>
      <c r="S28" s="116"/>
      <c r="T28" s="116"/>
    </row>
    <row r="29" spans="1:20" ht="21" customHeight="1">
      <c r="A29" s="26" t="str">
        <v>K251</v>
      </c>
      <c r="B29" s="27" t="str">
        <v>NY</v>
      </c>
      <c r="C29" s="27" t="str">
        <f>Sites[[#This Row],[SOL'#]]</f>
        <v>SOL-10365</v>
      </c>
      <c r="D29" s="9">
        <v>7964.375</v>
      </c>
      <c r="E29" s="14">
        <v>0</v>
      </c>
      <c r="F29" s="14">
        <f t="shared" si="6"/>
        <v>7964.375</v>
      </c>
      <c r="G29" s="15" t="str">
        <f t="shared" si="7"/>
        <v/>
      </c>
      <c r="H29" s="16">
        <v>8525.6919999999991</v>
      </c>
      <c r="I29" s="16">
        <f t="shared" si="10"/>
        <v>-561.3169999999991</v>
      </c>
      <c r="J29" s="15">
        <f t="shared" si="11"/>
        <v>-6.5838292070602503E-2</v>
      </c>
      <c r="K29" s="110" t="s">
        <v>51</v>
      </c>
      <c r="L29" s="112" t="s">
        <v>52</v>
      </c>
      <c r="M29" s="116"/>
      <c r="N29" s="116"/>
      <c r="O29" s="116"/>
      <c r="P29" s="116"/>
      <c r="Q29" s="116"/>
      <c r="R29" s="116"/>
      <c r="S29" s="116"/>
      <c r="T29" s="116"/>
    </row>
    <row r="30" spans="1:20" ht="15.6">
      <c r="A30" s="24" t="str">
        <v>K269</v>
      </c>
      <c r="B30" s="25" t="str">
        <v>NY</v>
      </c>
      <c r="C30" s="25" t="str">
        <f>Sites[[#This Row],[SOL'#]]</f>
        <v>SOL-10366</v>
      </c>
      <c r="D30" s="20">
        <v>6631</v>
      </c>
      <c r="E30" s="10">
        <v>11493.23</v>
      </c>
      <c r="F30" s="10">
        <f t="shared" si="6"/>
        <v>-4862.2299999999996</v>
      </c>
      <c r="G30" s="11">
        <f t="shared" si="7"/>
        <v>-0.42305165736698908</v>
      </c>
      <c r="H30" s="12">
        <v>7761.9319999999998</v>
      </c>
      <c r="I30" s="12">
        <f t="shared" si="10"/>
        <v>-1130.9319999999998</v>
      </c>
      <c r="J30" s="13">
        <f t="shared" si="11"/>
        <v>-0.14570238440635655</v>
      </c>
      <c r="K30" s="37"/>
      <c r="L30" s="59"/>
      <c r="M30" s="116"/>
      <c r="N30" s="116"/>
      <c r="O30" s="116"/>
      <c r="P30" s="116"/>
      <c r="Q30" s="116"/>
      <c r="R30" s="116"/>
      <c r="S30" s="116"/>
      <c r="T30" s="116"/>
    </row>
    <row r="31" spans="1:20" ht="28.9">
      <c r="A31" s="26" t="str">
        <v>K273</v>
      </c>
      <c r="B31" s="27" t="str">
        <v>NY</v>
      </c>
      <c r="C31" s="27" t="str">
        <f>Sites[[#This Row],[SOL'#]]</f>
        <v>SOL-10367</v>
      </c>
      <c r="D31" s="9">
        <v>6884.75</v>
      </c>
      <c r="E31" s="14">
        <v>0</v>
      </c>
      <c r="F31" s="14">
        <f t="shared" si="6"/>
        <v>6884.75</v>
      </c>
      <c r="G31" s="15" t="str">
        <f t="shared" si="7"/>
        <v/>
      </c>
      <c r="H31" s="16">
        <v>9546</v>
      </c>
      <c r="I31" s="16">
        <f t="shared" si="10"/>
        <v>-2661.25</v>
      </c>
      <c r="J31" s="15">
        <f t="shared" si="11"/>
        <v>-0.27878168866540959</v>
      </c>
      <c r="K31" s="56" t="s">
        <v>53</v>
      </c>
      <c r="L31" s="112" t="s">
        <v>54</v>
      </c>
      <c r="M31" s="115" t="s">
        <v>55</v>
      </c>
      <c r="N31" s="116"/>
      <c r="O31" s="116"/>
      <c r="P31" s="116"/>
      <c r="Q31" s="116"/>
      <c r="R31" s="116"/>
      <c r="S31" s="116"/>
      <c r="T31" s="116"/>
    </row>
    <row r="32" spans="1:20" ht="15.6">
      <c r="A32" s="24" t="str">
        <v>K287</v>
      </c>
      <c r="B32" s="25" t="str">
        <v>NY</v>
      </c>
      <c r="C32" s="25" t="str">
        <f>Sites[[#This Row],[SOL'#]]</f>
        <v>SOL-10919</v>
      </c>
      <c r="D32" s="20">
        <v>6469.90625</v>
      </c>
      <c r="E32" s="10">
        <v>8103.8879999999999</v>
      </c>
      <c r="F32" s="10">
        <f t="shared" si="6"/>
        <v>-1633.9817499999999</v>
      </c>
      <c r="G32" s="11">
        <f t="shared" si="7"/>
        <v>-0.201629359882565</v>
      </c>
      <c r="H32" s="12">
        <v>7303</v>
      </c>
      <c r="I32" s="12">
        <f t="shared" si="10"/>
        <v>-833.09375</v>
      </c>
      <c r="J32" s="13">
        <f t="shared" si="11"/>
        <v>-0.11407555114336573</v>
      </c>
      <c r="K32" s="37"/>
      <c r="L32" s="59"/>
      <c r="M32" s="116"/>
      <c r="N32" s="116"/>
      <c r="O32" s="116"/>
      <c r="P32" s="116"/>
      <c r="Q32" s="116"/>
      <c r="R32" s="116"/>
      <c r="S32" s="116"/>
      <c r="T32" s="116"/>
    </row>
    <row r="33" spans="1:20" ht="18" customHeight="1">
      <c r="A33" s="26" t="str">
        <v>K298</v>
      </c>
      <c r="B33" s="27" t="str">
        <v>NY</v>
      </c>
      <c r="C33" s="27" t="str">
        <f>Sites[[#This Row],[SOL'#]]</f>
        <v>SOL-10368</v>
      </c>
      <c r="D33" s="9">
        <v>4878.34375</v>
      </c>
      <c r="E33" s="14">
        <v>10470.4</v>
      </c>
      <c r="F33" s="14">
        <f t="shared" si="6"/>
        <v>-5592.0562499999996</v>
      </c>
      <c r="G33" s="15">
        <f t="shared" si="7"/>
        <v>-0.53408238940250607</v>
      </c>
      <c r="H33" s="16">
        <v>6119</v>
      </c>
      <c r="I33" s="16">
        <f t="shared" si="10"/>
        <v>-1240.65625</v>
      </c>
      <c r="J33" s="15">
        <f t="shared" si="11"/>
        <v>-0.20275473933649288</v>
      </c>
      <c r="K33" s="152" t="s">
        <v>50</v>
      </c>
      <c r="L33" s="58"/>
      <c r="M33" s="116"/>
      <c r="N33" s="116"/>
      <c r="O33" s="116"/>
      <c r="P33" s="116"/>
      <c r="Q33" s="116"/>
      <c r="R33" s="116"/>
      <c r="S33" s="116"/>
      <c r="T33" s="116"/>
    </row>
    <row r="34" spans="1:20" ht="15.6">
      <c r="A34" s="24" t="str">
        <v>K335</v>
      </c>
      <c r="B34" s="25" t="str">
        <v>NY</v>
      </c>
      <c r="C34" s="25" t="str">
        <f>Sites[[#This Row],[SOL'#]]</f>
        <v>SOL-10370</v>
      </c>
      <c r="D34" s="20">
        <v>6585.9375</v>
      </c>
      <c r="E34" s="10">
        <v>11111.72</v>
      </c>
      <c r="F34" s="10">
        <f t="shared" si="6"/>
        <v>-4525.7824999999993</v>
      </c>
      <c r="G34" s="11">
        <f t="shared" si="7"/>
        <v>-0.40729810506384245</v>
      </c>
      <c r="H34" s="12">
        <v>8179</v>
      </c>
      <c r="I34" s="12">
        <f t="shared" si="10"/>
        <v>-1593.0625</v>
      </c>
      <c r="J34" s="13">
        <f t="shared" si="11"/>
        <v>-0.19477472796185352</v>
      </c>
      <c r="K34" s="37"/>
      <c r="L34" s="59"/>
      <c r="M34" s="116"/>
      <c r="N34" s="116"/>
      <c r="O34" s="116"/>
      <c r="P34" s="116"/>
      <c r="Q34" s="116"/>
      <c r="R34" s="116"/>
      <c r="S34" s="116"/>
      <c r="T34" s="116"/>
    </row>
    <row r="35" spans="1:20" ht="15.6">
      <c r="A35" s="26" t="str">
        <v>K345</v>
      </c>
      <c r="B35" s="27" t="str">
        <v>NY</v>
      </c>
      <c r="C35" s="27" t="str">
        <f>Sites[[#This Row],[SOL'#]]</f>
        <v>SOL-10920</v>
      </c>
      <c r="D35" s="9">
        <v>7617.6813281250097</v>
      </c>
      <c r="E35" s="14">
        <v>8115.26</v>
      </c>
      <c r="F35" s="14">
        <f t="shared" si="6"/>
        <v>-497.5786718749905</v>
      </c>
      <c r="G35" s="15">
        <f t="shared" si="7"/>
        <v>-6.1313953203593043E-2</v>
      </c>
      <c r="H35" s="16">
        <v>6910</v>
      </c>
      <c r="I35" s="16">
        <f t="shared" si="10"/>
        <v>707.68132812500971</v>
      </c>
      <c r="J35" s="15">
        <f t="shared" si="11"/>
        <v>0.1024140851121577</v>
      </c>
      <c r="K35" s="56"/>
      <c r="L35" s="58"/>
      <c r="M35" s="116"/>
      <c r="N35" s="116"/>
      <c r="O35" s="116"/>
      <c r="P35" s="116"/>
      <c r="Q35" s="116"/>
      <c r="R35" s="116"/>
      <c r="S35" s="116"/>
      <c r="T35" s="116"/>
    </row>
    <row r="36" spans="1:20" ht="15.6">
      <c r="A36" s="24" t="str">
        <v>K445</v>
      </c>
      <c r="B36" s="25" t="str">
        <v>NY</v>
      </c>
      <c r="C36" s="25" t="str">
        <f>Sites[[#This Row],[SOL'#]]</f>
        <v>SOL-10373</v>
      </c>
      <c r="D36" s="20">
        <v>7247.96875</v>
      </c>
      <c r="E36" s="10">
        <v>11595.77</v>
      </c>
      <c r="F36" s="10">
        <f t="shared" si="6"/>
        <v>-4347.8012500000004</v>
      </c>
      <c r="G36" s="11">
        <f t="shared" si="7"/>
        <v>-0.37494717901441649</v>
      </c>
      <c r="H36" s="12">
        <v>6816.6750000000002</v>
      </c>
      <c r="I36" s="12">
        <f t="shared" si="10"/>
        <v>431.29374999999982</v>
      </c>
      <c r="J36" s="13">
        <f t="shared" si="11"/>
        <v>6.3270399424939547E-2</v>
      </c>
      <c r="K36" s="37"/>
      <c r="L36" s="59"/>
      <c r="M36" s="116"/>
      <c r="N36" s="116"/>
      <c r="O36" s="116"/>
      <c r="P36" s="116"/>
      <c r="Q36" s="116"/>
      <c r="R36" s="116"/>
      <c r="S36" s="116"/>
      <c r="T36" s="116"/>
    </row>
    <row r="37" spans="1:20" ht="15.6">
      <c r="A37" s="26" t="str">
        <v>K495</v>
      </c>
      <c r="B37" s="27" t="str">
        <v>NY</v>
      </c>
      <c r="C37" s="27" t="str">
        <f>Sites[[#This Row],[SOL'#]]</f>
        <v>SOL-10374</v>
      </c>
      <c r="D37" s="9">
        <v>0</v>
      </c>
      <c r="E37" s="14">
        <v>32841.14</v>
      </c>
      <c r="F37" s="14">
        <f t="shared" si="6"/>
        <v>-32841.14</v>
      </c>
      <c r="G37" s="15">
        <f t="shared" si="7"/>
        <v>-1</v>
      </c>
      <c r="H37" s="16">
        <v>33557</v>
      </c>
      <c r="I37" s="16">
        <f t="shared" si="10"/>
        <v>-33557</v>
      </c>
      <c r="J37" s="15">
        <f t="shared" si="11"/>
        <v>-1</v>
      </c>
      <c r="K37" s="56" t="s">
        <v>56</v>
      </c>
      <c r="L37" s="112" t="s">
        <v>57</v>
      </c>
      <c r="M37" s="116"/>
      <c r="N37" s="116"/>
      <c r="O37" s="116"/>
      <c r="P37" s="116"/>
      <c r="Q37" s="116"/>
      <c r="R37" s="116"/>
      <c r="S37" s="116"/>
      <c r="T37" s="116"/>
    </row>
    <row r="38" spans="1:20" ht="15.6">
      <c r="A38" s="24" t="str">
        <v>M020</v>
      </c>
      <c r="B38" s="25" t="str">
        <v>NY</v>
      </c>
      <c r="C38" s="25" t="str">
        <f>Sites[[#This Row],[SOL'#]]</f>
        <v>SOL-10380</v>
      </c>
      <c r="D38" s="20">
        <v>7114.65625</v>
      </c>
      <c r="E38" s="10">
        <v>10428.83</v>
      </c>
      <c r="F38" s="10">
        <f t="shared" si="6"/>
        <v>-3314.1737499999999</v>
      </c>
      <c r="G38" s="11">
        <f t="shared" si="7"/>
        <v>-0.31778960343585999</v>
      </c>
      <c r="H38" s="12">
        <v>9125</v>
      </c>
      <c r="I38" s="12">
        <f t="shared" si="10"/>
        <v>-2010.34375</v>
      </c>
      <c r="J38" s="13">
        <f t="shared" si="11"/>
        <v>-0.22031164383561644</v>
      </c>
      <c r="K38" s="37" t="s">
        <v>50</v>
      </c>
      <c r="L38" s="59"/>
      <c r="M38" s="116"/>
      <c r="N38" s="116"/>
      <c r="O38" s="116"/>
      <c r="P38" s="116"/>
      <c r="Q38" s="116"/>
      <c r="R38" s="116"/>
      <c r="S38" s="116"/>
      <c r="T38" s="116"/>
    </row>
    <row r="39" spans="1:20" ht="15.6">
      <c r="A39" s="26" t="str">
        <v>M092</v>
      </c>
      <c r="B39" s="27" t="str">
        <v>NY</v>
      </c>
      <c r="C39" s="27" t="str">
        <f>Sites[[#This Row],[SOL'#]]</f>
        <v>SOL-10383</v>
      </c>
      <c r="D39" s="9">
        <v>7110.6875000001201</v>
      </c>
      <c r="E39" s="14">
        <v>11229.76</v>
      </c>
      <c r="F39" s="14">
        <f t="shared" si="6"/>
        <v>-4119.0724999998802</v>
      </c>
      <c r="G39" s="15">
        <f t="shared" si="7"/>
        <v>-0.36679969117771705</v>
      </c>
      <c r="H39" s="16">
        <v>8178.46</v>
      </c>
      <c r="I39" s="16">
        <f t="shared" si="10"/>
        <v>-1067.77249999988</v>
      </c>
      <c r="J39" s="15">
        <f t="shared" si="11"/>
        <v>-0.13055911504120335</v>
      </c>
      <c r="K39" s="56" t="s">
        <v>50</v>
      </c>
      <c r="L39" s="58"/>
      <c r="M39" s="116"/>
      <c r="N39" s="116"/>
      <c r="O39" s="116"/>
      <c r="P39" s="116"/>
      <c r="Q39" s="116"/>
      <c r="R39" s="116"/>
      <c r="S39" s="116"/>
      <c r="T39" s="116"/>
    </row>
    <row r="40" spans="1:20" ht="15.6">
      <c r="A40" s="24" t="str">
        <v>M143</v>
      </c>
      <c r="B40" s="25" t="str">
        <v>NY</v>
      </c>
      <c r="C40" s="25" t="str">
        <f>Sites[[#This Row],[SOL'#]]</f>
        <v>SOL-10384</v>
      </c>
      <c r="D40" s="20">
        <v>7303.28125</v>
      </c>
      <c r="E40" s="10">
        <v>10937.18</v>
      </c>
      <c r="F40" s="10">
        <f t="shared" si="6"/>
        <v>-3633.8987500000003</v>
      </c>
      <c r="G40" s="11">
        <f t="shared" si="7"/>
        <v>-0.33225189216964524</v>
      </c>
      <c r="H40" s="12">
        <v>8702.7440000000006</v>
      </c>
      <c r="I40" s="12">
        <f t="shared" si="10"/>
        <v>-1399.4627500000006</v>
      </c>
      <c r="J40" s="13">
        <f t="shared" si="11"/>
        <v>-0.16080706843726536</v>
      </c>
      <c r="K40" s="37" t="s">
        <v>50</v>
      </c>
      <c r="L40" s="59"/>
      <c r="M40" s="116"/>
      <c r="N40" s="116"/>
      <c r="O40" s="116"/>
      <c r="P40" s="116"/>
      <c r="Q40" s="116"/>
      <c r="R40" s="116"/>
      <c r="S40" s="116"/>
      <c r="T40" s="116"/>
    </row>
    <row r="41" spans="1:20" ht="15.6">
      <c r="A41" s="26" t="str">
        <v>M144</v>
      </c>
      <c r="B41" s="27" t="str">
        <v>NY</v>
      </c>
      <c r="C41" s="27" t="str">
        <f>Sites[[#This Row],[SOL'#]]</f>
        <v>SOL-10385</v>
      </c>
      <c r="D41" s="9">
        <v>12171.125</v>
      </c>
      <c r="E41" s="14">
        <v>0</v>
      </c>
      <c r="F41" s="14">
        <f t="shared" si="6"/>
        <v>12171.125</v>
      </c>
      <c r="G41" s="15" t="str">
        <f t="shared" si="7"/>
        <v/>
      </c>
      <c r="H41" s="16">
        <v>13644</v>
      </c>
      <c r="I41" s="16">
        <f t="shared" si="10"/>
        <v>-1472.875</v>
      </c>
      <c r="J41" s="15">
        <f t="shared" si="11"/>
        <v>-0.10795038111990618</v>
      </c>
      <c r="K41" s="56" t="s">
        <v>50</v>
      </c>
      <c r="L41" s="57"/>
      <c r="M41" s="116"/>
      <c r="N41" s="116"/>
      <c r="O41" s="116"/>
      <c r="P41" s="116"/>
      <c r="Q41" s="116"/>
      <c r="R41" s="116"/>
      <c r="S41" s="116"/>
      <c r="T41" s="116"/>
    </row>
    <row r="42" spans="1:20" ht="15.6">
      <c r="A42" s="24" t="str">
        <v>M167</v>
      </c>
      <c r="B42" s="25" t="str">
        <v>NY</v>
      </c>
      <c r="C42" s="25" t="str">
        <f>Sites[[#This Row],[SOL'#]]</f>
        <v>SOL-10386</v>
      </c>
      <c r="D42" s="20">
        <v>6736.5</v>
      </c>
      <c r="E42" s="10">
        <v>8426.0560000000005</v>
      </c>
      <c r="F42" s="10">
        <f t="shared" si="6"/>
        <v>-1689.5560000000005</v>
      </c>
      <c r="G42" s="11">
        <f t="shared" si="7"/>
        <v>-0.20051563863330607</v>
      </c>
      <c r="H42" s="12">
        <v>8106.2110000000002</v>
      </c>
      <c r="I42" s="12">
        <f t="shared" si="10"/>
        <v>-1369.7110000000002</v>
      </c>
      <c r="J42" s="13">
        <f t="shared" si="11"/>
        <v>-0.16897055850137632</v>
      </c>
      <c r="K42" s="37" t="s">
        <v>50</v>
      </c>
      <c r="L42" s="59"/>
      <c r="M42" s="116"/>
      <c r="N42" s="116"/>
      <c r="O42" s="116"/>
      <c r="P42" s="116"/>
      <c r="Q42" s="116"/>
      <c r="R42" s="116"/>
      <c r="S42" s="116"/>
      <c r="T42" s="116"/>
    </row>
    <row r="43" spans="1:20" ht="15.6">
      <c r="A43" s="26" t="str">
        <v>M188</v>
      </c>
      <c r="B43" s="27" t="str">
        <v>NY</v>
      </c>
      <c r="C43" s="27" t="str">
        <f>Sites[[#This Row],[SOL'#]]</f>
        <v>SOL-10387</v>
      </c>
      <c r="D43" s="9">
        <v>6676.81249999994</v>
      </c>
      <c r="E43" s="14">
        <v>0</v>
      </c>
      <c r="F43" s="14">
        <f t="shared" si="6"/>
        <v>6676.81249999994</v>
      </c>
      <c r="G43" s="15" t="str">
        <f t="shared" si="7"/>
        <v/>
      </c>
      <c r="H43" s="16">
        <v>6981</v>
      </c>
      <c r="I43" s="16">
        <f t="shared" si="10"/>
        <v>-304.18750000006003</v>
      </c>
      <c r="J43" s="15">
        <f t="shared" si="11"/>
        <v>-4.3573628420005735E-2</v>
      </c>
      <c r="K43" s="56"/>
      <c r="L43" s="58"/>
      <c r="M43" s="116"/>
      <c r="N43" s="116"/>
      <c r="O43" s="116"/>
      <c r="P43" s="116"/>
      <c r="Q43" s="116"/>
      <c r="R43" s="116"/>
      <c r="S43" s="116"/>
      <c r="T43" s="116"/>
    </row>
    <row r="44" spans="1:20" ht="15.6">
      <c r="A44" s="24" t="str">
        <v>EMHC</v>
      </c>
      <c r="B44" s="25" t="str">
        <v>NY</v>
      </c>
      <c r="C44" s="25" t="str">
        <f>Sites[[#This Row],[SOL'#]]</f>
        <v>SOL-10351</v>
      </c>
      <c r="D44" s="20">
        <v>1958.046875</v>
      </c>
      <c r="E44" s="10">
        <v>2171.0189999999998</v>
      </c>
      <c r="F44" s="10">
        <f t="shared" si="6"/>
        <v>-212.97212499999978</v>
      </c>
      <c r="G44" s="11">
        <f t="shared" si="7"/>
        <v>-9.8097771138806161E-2</v>
      </c>
      <c r="H44" s="12">
        <v>2319.395</v>
      </c>
      <c r="I44" s="12">
        <f t="shared" si="10"/>
        <v>-361.34812499999998</v>
      </c>
      <c r="J44" s="13">
        <f t="shared" si="11"/>
        <v>-0.155794129503599</v>
      </c>
      <c r="K44" s="37"/>
      <c r="L44" s="59"/>
      <c r="M44" s="116"/>
      <c r="N44" s="116"/>
      <c r="O44" s="116"/>
      <c r="P44" s="116"/>
      <c r="Q44" s="116"/>
      <c r="R44" s="116"/>
      <c r="S44" s="116"/>
      <c r="T44" s="116"/>
    </row>
    <row r="45" spans="1:20" ht="15.6">
      <c r="A45" s="26" t="str">
        <v>Q008</v>
      </c>
      <c r="B45" s="27" t="str">
        <v>NY</v>
      </c>
      <c r="C45" s="27" t="str">
        <f>Sites[[#This Row],[SOL'#]]</f>
        <v>SOL-10397</v>
      </c>
      <c r="D45" s="9">
        <v>11304.46875</v>
      </c>
      <c r="E45" s="14">
        <v>16377.23</v>
      </c>
      <c r="F45" s="14">
        <f t="shared" si="6"/>
        <v>-5072.7612499999996</v>
      </c>
      <c r="G45" s="15">
        <f t="shared" si="7"/>
        <v>-0.30974476452977701</v>
      </c>
      <c r="H45" s="16">
        <v>10992</v>
      </c>
      <c r="I45" s="16">
        <f t="shared" si="10"/>
        <v>312.46875</v>
      </c>
      <c r="J45" s="15">
        <f t="shared" si="11"/>
        <v>2.8426924126637554E-2</v>
      </c>
      <c r="K45" s="56" t="s">
        <v>50</v>
      </c>
      <c r="L45" s="58"/>
      <c r="M45" s="116"/>
      <c r="N45" s="116"/>
      <c r="O45" s="116"/>
      <c r="P45" s="116"/>
      <c r="Q45" s="116"/>
      <c r="R45" s="116"/>
      <c r="S45" s="116"/>
      <c r="T45" s="116"/>
    </row>
    <row r="46" spans="1:20" ht="15.6">
      <c r="A46" s="24" t="str">
        <v>Q018</v>
      </c>
      <c r="B46" s="25" t="str">
        <v>NY</v>
      </c>
      <c r="C46" s="25" t="str">
        <f>Sites[[#This Row],[SOL'#]]</f>
        <v>SOL-10398</v>
      </c>
      <c r="D46" s="20">
        <v>6700.6875</v>
      </c>
      <c r="E46" s="10">
        <v>8361.3019999999997</v>
      </c>
      <c r="F46" s="10">
        <f t="shared" si="6"/>
        <v>-1660.6144999999997</v>
      </c>
      <c r="G46" s="11">
        <f t="shared" si="7"/>
        <v>-0.19860716668289219</v>
      </c>
      <c r="H46" s="12">
        <v>6682.3109999999997</v>
      </c>
      <c r="I46" s="12">
        <f t="shared" si="10"/>
        <v>18.376500000000306</v>
      </c>
      <c r="J46" s="13">
        <f t="shared" si="11"/>
        <v>2.7500216616676934E-3</v>
      </c>
      <c r="K46" s="37" t="s">
        <v>50</v>
      </c>
      <c r="L46" s="59"/>
      <c r="M46" s="116"/>
      <c r="N46" s="116"/>
      <c r="O46" s="116"/>
      <c r="P46" s="116"/>
      <c r="Q46" s="116"/>
      <c r="R46" s="116"/>
      <c r="S46" s="116"/>
      <c r="T46" s="116"/>
    </row>
    <row r="47" spans="1:20" ht="15.6">
      <c r="A47" s="26" t="str">
        <v>Q021</v>
      </c>
      <c r="B47" s="27" t="str">
        <v>NY</v>
      </c>
      <c r="C47" s="27" t="str">
        <f>Sites[[#This Row],[SOL'#]]</f>
        <v>SOL-10399</v>
      </c>
      <c r="D47" s="9">
        <v>5780.40625</v>
      </c>
      <c r="E47" s="14">
        <v>9454.2549999999992</v>
      </c>
      <c r="F47" s="14">
        <f t="shared" si="6"/>
        <v>-3673.8487499999992</v>
      </c>
      <c r="G47" s="15">
        <f t="shared" si="7"/>
        <v>-0.38859209424751073</v>
      </c>
      <c r="H47" s="16">
        <v>5223.6469999999999</v>
      </c>
      <c r="I47" s="16">
        <f t="shared" si="10"/>
        <v>556.75925000000007</v>
      </c>
      <c r="J47" s="15">
        <f t="shared" si="11"/>
        <v>0.10658439400671602</v>
      </c>
      <c r="K47" s="56" t="s">
        <v>50</v>
      </c>
      <c r="L47" s="57"/>
      <c r="M47" s="116"/>
      <c r="N47" s="116"/>
      <c r="O47" s="116"/>
      <c r="P47" s="116"/>
      <c r="Q47" s="116"/>
      <c r="R47" s="116"/>
      <c r="S47" s="116"/>
      <c r="T47" s="116"/>
    </row>
    <row r="48" spans="1:20" ht="15.6">
      <c r="A48" s="24" t="str">
        <v>Q025</v>
      </c>
      <c r="B48" s="25" t="str">
        <v>NY</v>
      </c>
      <c r="C48" s="25" t="str">
        <f>Sites[[#This Row],[SOL'#]]</f>
        <v>SOL-10400</v>
      </c>
      <c r="D48" s="20">
        <v>9494.875</v>
      </c>
      <c r="E48" s="10">
        <v>13415.23</v>
      </c>
      <c r="F48" s="10">
        <f t="shared" si="6"/>
        <v>-3920.3549999999996</v>
      </c>
      <c r="G48" s="11">
        <f t="shared" si="7"/>
        <v>-0.29223166505531395</v>
      </c>
      <c r="H48" s="12">
        <v>7767</v>
      </c>
      <c r="I48" s="12">
        <f t="shared" si="10"/>
        <v>1727.875</v>
      </c>
      <c r="J48" s="13">
        <f t="shared" si="11"/>
        <v>0.22246362817046478</v>
      </c>
      <c r="K48" s="37" t="s">
        <v>50</v>
      </c>
      <c r="L48" s="59"/>
      <c r="M48" s="116"/>
      <c r="N48" s="116"/>
      <c r="O48" s="116"/>
      <c r="P48" s="116"/>
      <c r="Q48" s="116"/>
      <c r="R48" s="116"/>
      <c r="S48" s="116"/>
      <c r="T48" s="116"/>
    </row>
    <row r="49" spans="1:20" ht="15.6">
      <c r="A49" s="26" t="str">
        <v>Q074</v>
      </c>
      <c r="B49" s="27" t="str">
        <v>NY</v>
      </c>
      <c r="C49" s="27" t="str">
        <f>Sites[[#This Row],[SOL'#]]</f>
        <v>SOL-10402</v>
      </c>
      <c r="D49" s="9">
        <v>5694.625</v>
      </c>
      <c r="E49" s="14">
        <v>7433.2870000000003</v>
      </c>
      <c r="F49" s="14">
        <f t="shared" si="6"/>
        <v>-1738.6620000000003</v>
      </c>
      <c r="G49" s="15">
        <f t="shared" si="7"/>
        <v>-0.23390217544405326</v>
      </c>
      <c r="H49" s="16">
        <v>6035.1019999999999</v>
      </c>
      <c r="I49" s="16">
        <f t="shared" si="10"/>
        <v>-340.47699999999986</v>
      </c>
      <c r="J49" s="15">
        <f t="shared" si="11"/>
        <v>-5.6416113596754434E-2</v>
      </c>
      <c r="K49" s="56" t="s">
        <v>58</v>
      </c>
      <c r="L49" s="112" t="s">
        <v>59</v>
      </c>
      <c r="M49" s="116"/>
      <c r="N49" s="116"/>
      <c r="O49" s="116"/>
      <c r="P49" s="116"/>
      <c r="Q49" s="116"/>
      <c r="R49" s="116"/>
      <c r="S49" s="116"/>
      <c r="T49" s="116"/>
    </row>
    <row r="50" spans="1:20" ht="15.6">
      <c r="A50" s="24" t="str">
        <v>Q115</v>
      </c>
      <c r="B50" s="25" t="str">
        <v>NY</v>
      </c>
      <c r="C50" s="25" t="str">
        <f>Sites[[#This Row],[SOL'#]]</f>
        <v>SOL-10872</v>
      </c>
      <c r="D50" s="20">
        <v>7869.5625</v>
      </c>
      <c r="E50" s="10">
        <v>12376.31</v>
      </c>
      <c r="F50" s="10">
        <f t="shared" si="6"/>
        <v>-4506.7474999999995</v>
      </c>
      <c r="G50" s="11">
        <f t="shared" si="7"/>
        <v>-0.36414306849133543</v>
      </c>
      <c r="H50" s="12">
        <v>8154.5069999999996</v>
      </c>
      <c r="I50" s="12">
        <f t="shared" si="10"/>
        <v>-284.94449999999961</v>
      </c>
      <c r="J50" s="13">
        <f t="shared" si="11"/>
        <v>-3.494319153812727E-2</v>
      </c>
      <c r="K50" s="37"/>
      <c r="L50" s="59"/>
      <c r="M50" s="116"/>
      <c r="N50" s="116"/>
      <c r="O50" s="116"/>
      <c r="P50" s="116"/>
      <c r="Q50" s="116"/>
      <c r="R50" s="116"/>
      <c r="S50" s="116"/>
      <c r="T50" s="116"/>
    </row>
    <row r="51" spans="1:20" ht="15.6">
      <c r="A51" s="26" t="str">
        <v>Q139</v>
      </c>
      <c r="B51" s="27" t="str">
        <v>NY</v>
      </c>
      <c r="C51" s="27" t="str">
        <f>Sites[[#This Row],[SOL'#]]</f>
        <v>SOL-10403</v>
      </c>
      <c r="D51" s="9">
        <v>5074.71874999994</v>
      </c>
      <c r="E51" s="14">
        <v>6806.3190000000004</v>
      </c>
      <c r="F51" s="14">
        <f t="shared" si="6"/>
        <v>-1731.6002500000604</v>
      </c>
      <c r="G51" s="15">
        <f t="shared" si="7"/>
        <v>-0.25441068072184986</v>
      </c>
      <c r="H51" s="16">
        <v>5168</v>
      </c>
      <c r="I51" s="16">
        <f t="shared" si="10"/>
        <v>-93.281250000060027</v>
      </c>
      <c r="J51" s="15">
        <f t="shared" si="11"/>
        <v>-1.80497774767918E-2</v>
      </c>
      <c r="K51" s="56"/>
      <c r="L51" s="58"/>
      <c r="M51" s="116"/>
      <c r="N51" s="116"/>
      <c r="O51" s="116"/>
      <c r="P51" s="116"/>
      <c r="Q51" s="116"/>
      <c r="R51" s="116"/>
      <c r="S51" s="116"/>
      <c r="T51" s="116"/>
    </row>
    <row r="52" spans="1:20" ht="39.6">
      <c r="A52" s="24" t="str">
        <v>Q157</v>
      </c>
      <c r="B52" s="25" t="str">
        <v>NY</v>
      </c>
      <c r="C52" s="25" t="str">
        <f>Sites[[#This Row],[SOL'#]]</f>
        <v>SOL-10404</v>
      </c>
      <c r="D52" s="20">
        <v>7985.125</v>
      </c>
      <c r="E52" s="10">
        <v>13511.83</v>
      </c>
      <c r="F52" s="10">
        <f t="shared" si="6"/>
        <v>-5526.7049999999999</v>
      </c>
      <c r="G52" s="11">
        <f t="shared" si="7"/>
        <v>-0.40902712659943175</v>
      </c>
      <c r="H52" s="12">
        <v>9200.2710000000006</v>
      </c>
      <c r="I52" s="12">
        <f t="shared" si="10"/>
        <v>-1215.1460000000006</v>
      </c>
      <c r="J52" s="13">
        <f t="shared" si="11"/>
        <v>-0.13207719642171417</v>
      </c>
      <c r="K52" s="37" t="s">
        <v>60</v>
      </c>
      <c r="L52" s="111" t="s">
        <v>61</v>
      </c>
      <c r="M52" s="115" t="s">
        <v>62</v>
      </c>
      <c r="N52" s="116"/>
      <c r="O52" s="116"/>
      <c r="P52" s="116"/>
      <c r="Q52" s="116"/>
      <c r="R52" s="116"/>
      <c r="S52" s="116"/>
      <c r="T52" s="116"/>
    </row>
    <row r="53" spans="1:20" ht="15.6">
      <c r="A53" s="26" t="str">
        <v>Q192</v>
      </c>
      <c r="B53" s="27" t="str">
        <v>NY</v>
      </c>
      <c r="C53" s="27" t="str">
        <f>Sites[[#This Row],[SOL'#]]</f>
        <v>SOL-10406</v>
      </c>
      <c r="D53" s="9">
        <v>13490.125</v>
      </c>
      <c r="E53" s="14">
        <v>19580.54</v>
      </c>
      <c r="F53" s="14">
        <f t="shared" si="6"/>
        <v>-6090.4150000000009</v>
      </c>
      <c r="G53" s="15">
        <f t="shared" si="7"/>
        <v>-0.31104428172052462</v>
      </c>
      <c r="H53" s="16">
        <v>13910.41</v>
      </c>
      <c r="I53" s="16">
        <f t="shared" si="10"/>
        <v>-420.28499999999985</v>
      </c>
      <c r="J53" s="15">
        <f t="shared" si="11"/>
        <v>-3.0213703262520649E-2</v>
      </c>
      <c r="K53" s="56"/>
      <c r="L53" s="57"/>
      <c r="M53" s="116"/>
      <c r="N53" s="116"/>
      <c r="O53" s="116"/>
      <c r="P53" s="116"/>
      <c r="Q53" s="116"/>
      <c r="R53" s="116"/>
      <c r="S53" s="116"/>
      <c r="T53" s="116"/>
    </row>
    <row r="54" spans="1:20" ht="15.6">
      <c r="A54" s="24" t="str">
        <v>Q210</v>
      </c>
      <c r="B54" s="25" t="str">
        <v>NY</v>
      </c>
      <c r="C54" s="25" t="str">
        <f>Sites[[#This Row],[SOL'#]]</f>
        <v>SOL-10407</v>
      </c>
      <c r="D54" s="20">
        <v>11766.375</v>
      </c>
      <c r="E54" s="10">
        <v>14293.21</v>
      </c>
      <c r="F54" s="10">
        <f t="shared" si="6"/>
        <v>-2526.8349999999991</v>
      </c>
      <c r="G54" s="11">
        <f t="shared" si="7"/>
        <v>-0.17678569054816934</v>
      </c>
      <c r="H54" s="12">
        <v>11622</v>
      </c>
      <c r="I54" s="12">
        <f t="shared" si="10"/>
        <v>144.375</v>
      </c>
      <c r="J54" s="13">
        <f t="shared" si="11"/>
        <v>1.2422560660815695E-2</v>
      </c>
      <c r="K54" s="37"/>
      <c r="L54" s="59"/>
      <c r="M54" s="116"/>
      <c r="N54" s="116"/>
      <c r="O54" s="116"/>
      <c r="P54" s="116"/>
      <c r="Q54" s="116"/>
      <c r="R54" s="116"/>
      <c r="S54" s="116"/>
      <c r="T54" s="116"/>
    </row>
    <row r="55" spans="1:20" ht="15.6">
      <c r="A55" s="26" t="str">
        <v>Q229</v>
      </c>
      <c r="B55" s="27" t="str">
        <v>NY</v>
      </c>
      <c r="C55" s="27" t="str">
        <f>Sites[[#This Row],[SOL'#]]</f>
        <v>SOL-10408</v>
      </c>
      <c r="D55" s="9">
        <v>4152.53125</v>
      </c>
      <c r="E55" s="14">
        <v>7352.509</v>
      </c>
      <c r="F55" s="14">
        <f t="shared" si="6"/>
        <v>-3199.97775</v>
      </c>
      <c r="G55" s="15">
        <f t="shared" si="7"/>
        <v>-0.43522255464087156</v>
      </c>
      <c r="H55" s="16">
        <v>3687.114</v>
      </c>
      <c r="I55" s="16">
        <f t="shared" si="10"/>
        <v>465.41724999999997</v>
      </c>
      <c r="J55" s="15">
        <f t="shared" si="11"/>
        <v>0.12622806075429183</v>
      </c>
      <c r="K55" s="56"/>
      <c r="L55" s="58"/>
      <c r="M55" s="116"/>
      <c r="N55" s="116"/>
      <c r="O55" s="116"/>
      <c r="P55" s="116"/>
      <c r="Q55" s="116"/>
      <c r="R55" s="116"/>
      <c r="S55" s="116"/>
      <c r="T55" s="116"/>
    </row>
    <row r="56" spans="1:20" ht="15.6">
      <c r="A56" s="24" t="str">
        <v>Q231</v>
      </c>
      <c r="B56" s="25" t="str">
        <v>NY</v>
      </c>
      <c r="C56" s="25" t="str">
        <f>Sites[[#This Row],[SOL'#]]</f>
        <v>SOL-10870</v>
      </c>
      <c r="D56" s="20">
        <v>17624.25</v>
      </c>
      <c r="E56" s="10">
        <v>30638.85</v>
      </c>
      <c r="F56" s="10">
        <f t="shared" si="6"/>
        <v>-13014.599999999999</v>
      </c>
      <c r="G56" s="11">
        <f t="shared" si="7"/>
        <v>-0.42477442854415226</v>
      </c>
      <c r="H56" s="12">
        <v>16899</v>
      </c>
      <c r="I56" s="12">
        <f t="shared" si="10"/>
        <v>725.25</v>
      </c>
      <c r="J56" s="13">
        <f t="shared" si="11"/>
        <v>4.2916740635540566E-2</v>
      </c>
      <c r="K56" s="37"/>
      <c r="L56" s="59"/>
      <c r="M56" s="116"/>
      <c r="N56" s="116"/>
      <c r="O56" s="116"/>
      <c r="P56" s="116"/>
      <c r="Q56" s="116"/>
      <c r="R56" s="116"/>
      <c r="S56" s="116"/>
      <c r="T56" s="116"/>
    </row>
    <row r="57" spans="1:20" ht="15.6">
      <c r="A57" s="26" t="str">
        <v>Q405</v>
      </c>
      <c r="B57" s="27" t="str">
        <v>NY</v>
      </c>
      <c r="C57" s="27" t="str">
        <f>Sites[[#This Row],[SOL'#]]</f>
        <v>SOL-10409</v>
      </c>
      <c r="D57" s="9">
        <v>21223.625</v>
      </c>
      <c r="E57" s="14">
        <v>28842.48</v>
      </c>
      <c r="F57" s="14">
        <f t="shared" si="6"/>
        <v>-7618.8549999999996</v>
      </c>
      <c r="G57" s="15">
        <f t="shared" si="7"/>
        <v>-0.26415394931365122</v>
      </c>
      <c r="H57" s="16">
        <v>20777.84</v>
      </c>
      <c r="I57" s="16">
        <f t="shared" si="10"/>
        <v>445.78499999999985</v>
      </c>
      <c r="J57" s="15">
        <f t="shared" si="11"/>
        <v>2.1454828798373644E-2</v>
      </c>
      <c r="K57" s="56"/>
      <c r="L57" s="58"/>
      <c r="M57" s="116"/>
      <c r="N57" s="116"/>
      <c r="O57" s="116"/>
      <c r="P57" s="116"/>
      <c r="Q57" s="116"/>
      <c r="R57" s="116"/>
      <c r="S57" s="116"/>
      <c r="T57" s="116"/>
    </row>
    <row r="58" spans="1:20" ht="15.6">
      <c r="A58" s="24" t="str">
        <v>Q435</v>
      </c>
      <c r="B58" s="25" t="str">
        <v>NY</v>
      </c>
      <c r="C58" s="25" t="str">
        <f>Sites[[#This Row],[SOL'#]]</f>
        <v>SOL-10923</v>
      </c>
      <c r="D58" s="20">
        <v>27409.75</v>
      </c>
      <c r="E58" s="10">
        <v>28681.61</v>
      </c>
      <c r="F58" s="10">
        <f t="shared" si="6"/>
        <v>-1271.8600000000006</v>
      </c>
      <c r="G58" s="11">
        <f t="shared" si="7"/>
        <v>-4.4344093654435736E-2</v>
      </c>
      <c r="H58" s="12">
        <v>25692</v>
      </c>
      <c r="I58" s="12">
        <f t="shared" si="10"/>
        <v>1717.75</v>
      </c>
      <c r="J58" s="13">
        <f t="shared" si="11"/>
        <v>6.6859333644714303E-2</v>
      </c>
      <c r="K58" s="37"/>
      <c r="L58" s="59"/>
      <c r="M58" s="116"/>
      <c r="N58" s="116"/>
      <c r="O58" s="116"/>
      <c r="P58" s="116"/>
      <c r="Q58" s="116"/>
      <c r="R58" s="116"/>
      <c r="S58" s="116"/>
      <c r="T58" s="116"/>
    </row>
    <row r="59" spans="1:20" ht="28.9">
      <c r="A59" s="26" t="str">
        <v>Q485</v>
      </c>
      <c r="B59" s="27" t="str">
        <v>NY</v>
      </c>
      <c r="C59" s="27" t="str">
        <f>Sites[[#This Row],[SOL'#]]</f>
        <v>SOL-10869</v>
      </c>
      <c r="D59" s="9">
        <v>25454.25</v>
      </c>
      <c r="E59" s="14">
        <v>27297.56</v>
      </c>
      <c r="F59" s="14">
        <f t="shared" si="6"/>
        <v>-1843.3100000000013</v>
      </c>
      <c r="G59" s="15">
        <f t="shared" si="7"/>
        <v>-6.7526548160348449E-2</v>
      </c>
      <c r="H59" s="16">
        <v>23827.9</v>
      </c>
      <c r="I59" s="16">
        <f t="shared" si="10"/>
        <v>1626.3499999999985</v>
      </c>
      <c r="J59" s="15">
        <f t="shared" si="11"/>
        <v>6.8254021546170607E-2</v>
      </c>
      <c r="K59" s="56" t="s">
        <v>63</v>
      </c>
      <c r="L59" s="112" t="s">
        <v>64</v>
      </c>
      <c r="M59" s="116"/>
      <c r="N59" s="116"/>
      <c r="O59" s="116"/>
      <c r="P59" s="116"/>
      <c r="Q59" s="116"/>
      <c r="R59" s="116"/>
      <c r="S59" s="116"/>
      <c r="T59" s="116"/>
    </row>
    <row r="60" spans="1:20" ht="57.6">
      <c r="A60" s="24" t="str">
        <v>Q490</v>
      </c>
      <c r="B60" s="25" t="str">
        <v>NY</v>
      </c>
      <c r="C60" s="25" t="str">
        <f>Sites[[#This Row],[SOL'#]]</f>
        <v>SOL-10411</v>
      </c>
      <c r="D60" s="20">
        <v>17658.5577889448</v>
      </c>
      <c r="E60" s="10">
        <v>0</v>
      </c>
      <c r="F60" s="10">
        <f t="shared" si="6"/>
        <v>17658.5577889448</v>
      </c>
      <c r="G60" s="11" t="str">
        <f t="shared" si="7"/>
        <v/>
      </c>
      <c r="H60" s="12">
        <v>16846.57</v>
      </c>
      <c r="I60" s="12">
        <f t="shared" si="10"/>
        <v>811.98778894479983</v>
      </c>
      <c r="J60" s="13">
        <f t="shared" si="11"/>
        <v>4.8198997715546837E-2</v>
      </c>
      <c r="K60" s="37" t="s">
        <v>65</v>
      </c>
      <c r="L60" s="111" t="s">
        <v>66</v>
      </c>
      <c r="M60" s="116"/>
      <c r="N60" s="116"/>
      <c r="O60" s="116"/>
      <c r="P60" s="116"/>
      <c r="Q60" s="116"/>
      <c r="R60" s="116"/>
      <c r="S60" s="116"/>
      <c r="T60" s="116"/>
    </row>
    <row r="61" spans="1:20" ht="15.6">
      <c r="A61" s="26" t="str">
        <v>Q620</v>
      </c>
      <c r="B61" s="27" t="str">
        <v>NY</v>
      </c>
      <c r="C61" s="27" t="str">
        <f>Sites[[#This Row],[SOL'#]]</f>
        <v>SOL-10867</v>
      </c>
      <c r="D61" s="9">
        <v>26364.625</v>
      </c>
      <c r="E61" s="14">
        <v>35204.15</v>
      </c>
      <c r="F61" s="14">
        <f t="shared" si="6"/>
        <v>-8839.5250000000015</v>
      </c>
      <c r="G61" s="15">
        <f t="shared" si="7"/>
        <v>-0.25109326599278781</v>
      </c>
      <c r="H61" s="16">
        <v>27281.47</v>
      </c>
      <c r="I61" s="16">
        <f t="shared" si="10"/>
        <v>-916.84500000000116</v>
      </c>
      <c r="J61" s="15">
        <f t="shared" si="11"/>
        <v>-3.3606876755541443E-2</v>
      </c>
      <c r="K61" s="56"/>
      <c r="L61" s="58"/>
      <c r="M61" s="116"/>
      <c r="N61" s="116"/>
      <c r="O61" s="116"/>
      <c r="P61" s="116"/>
      <c r="Q61" s="116"/>
      <c r="R61" s="116"/>
      <c r="S61" s="116"/>
      <c r="T61" s="116"/>
    </row>
    <row r="62" spans="1:20" ht="15.6">
      <c r="A62" s="24" t="str">
        <v>QMOA</v>
      </c>
      <c r="B62" s="25" t="str">
        <v>NY</v>
      </c>
      <c r="C62" s="25" t="str">
        <f>Sites[[#This Row],[SOL'#]]</f>
        <v>SOL-10415</v>
      </c>
      <c r="D62" s="20">
        <v>2696.5</v>
      </c>
      <c r="E62" s="10">
        <v>0</v>
      </c>
      <c r="F62" s="10">
        <f t="shared" si="6"/>
        <v>2696.5</v>
      </c>
      <c r="G62" s="11" t="str">
        <f t="shared" si="7"/>
        <v/>
      </c>
      <c r="H62" s="12">
        <v>2932.0630000000001</v>
      </c>
      <c r="I62" s="12">
        <f t="shared" si="10"/>
        <v>-235.5630000000001</v>
      </c>
      <c r="J62" s="13">
        <f t="shared" si="11"/>
        <v>-8.0340361035898644E-2</v>
      </c>
      <c r="K62" s="37"/>
      <c r="L62" s="59"/>
      <c r="M62" s="116"/>
      <c r="N62" s="116"/>
      <c r="O62" s="116"/>
      <c r="P62" s="116"/>
      <c r="Q62" s="116"/>
      <c r="R62" s="116"/>
      <c r="S62" s="116"/>
      <c r="T62" s="116"/>
    </row>
    <row r="63" spans="1:20" ht="15.6">
      <c r="A63" s="26" t="str">
        <v>X024</v>
      </c>
      <c r="B63" s="27" t="str">
        <v>NY</v>
      </c>
      <c r="C63" s="27" t="str">
        <f>Sites[[#This Row],[SOL'#]]</f>
        <v>SOL-10419</v>
      </c>
      <c r="D63" s="9">
        <v>7807.09375</v>
      </c>
      <c r="E63" s="14">
        <v>15291.95</v>
      </c>
      <c r="F63" s="14">
        <f t="shared" si="6"/>
        <v>-7484.8562500000007</v>
      </c>
      <c r="G63" s="15">
        <f t="shared" si="7"/>
        <v>-0.48946381919899035</v>
      </c>
      <c r="H63" s="16">
        <v>8671</v>
      </c>
      <c r="I63" s="16">
        <f t="shared" si="10"/>
        <v>-863.90625</v>
      </c>
      <c r="J63" s="15">
        <f t="shared" si="11"/>
        <v>-9.9631674547341717E-2</v>
      </c>
      <c r="K63" s="56"/>
      <c r="L63" s="58"/>
      <c r="M63" s="116"/>
      <c r="N63" s="116"/>
      <c r="O63" s="116"/>
      <c r="P63" s="116"/>
      <c r="Q63" s="116"/>
      <c r="R63" s="116"/>
      <c r="S63" s="116"/>
      <c r="T63" s="116"/>
    </row>
    <row r="64" spans="1:20" ht="15.6">
      <c r="A64" s="24" t="str">
        <v>X026</v>
      </c>
      <c r="B64" s="25" t="str">
        <v>NY</v>
      </c>
      <c r="C64" s="25" t="str">
        <f>Sites[[#This Row],[SOL'#]]</f>
        <v>SOL-10420</v>
      </c>
      <c r="D64" s="60">
        <v>6588.3</v>
      </c>
      <c r="E64" s="10">
        <v>11626.77</v>
      </c>
      <c r="F64" s="10">
        <f t="shared" ref="F64:F69" si="12">IF(AND(ISNUMBER(D64),ISNUMBER(E64)), D64-E64, "")</f>
        <v>-5038.47</v>
      </c>
      <c r="G64" s="11">
        <f t="shared" si="7"/>
        <v>-0.43335079304054352</v>
      </c>
      <c r="H64" s="12">
        <v>11127.49</v>
      </c>
      <c r="I64" s="12">
        <f t="shared" ref="I64:I69" si="13">IF(AND(ISNUMBER(D64),ISNUMBER(H64)), D64-H64, "")</f>
        <v>-4539.1899999999996</v>
      </c>
      <c r="J64" s="13">
        <f t="shared" si="11"/>
        <v>-0.40792577661269519</v>
      </c>
      <c r="K64" s="37" t="s">
        <v>67</v>
      </c>
      <c r="L64" s="111" t="s">
        <v>68</v>
      </c>
      <c r="M64" s="116"/>
      <c r="N64" s="116"/>
      <c r="O64" s="116"/>
      <c r="P64" s="116"/>
      <c r="Q64" s="116"/>
      <c r="R64" s="116"/>
      <c r="S64" s="116"/>
      <c r="T64" s="116"/>
    </row>
    <row r="65" spans="1:20" ht="15.6">
      <c r="A65" s="26" t="str">
        <v>X090</v>
      </c>
      <c r="B65" s="27" t="str">
        <v>NY</v>
      </c>
      <c r="C65" s="27" t="str">
        <f>Sites[[#This Row],[SOL'#]]</f>
        <v>SOL-10925</v>
      </c>
      <c r="D65" s="74">
        <v>7675.09375</v>
      </c>
      <c r="E65" s="14">
        <v>6852.3220000000001</v>
      </c>
      <c r="F65" s="14">
        <f t="shared" si="12"/>
        <v>822.77174999999988</v>
      </c>
      <c r="G65" s="15">
        <f t="shared" si="7"/>
        <v>0.12007196246761315</v>
      </c>
      <c r="H65" s="16">
        <v>7353</v>
      </c>
      <c r="I65" s="16">
        <f t="shared" si="13"/>
        <v>322.09375</v>
      </c>
      <c r="J65" s="15">
        <f t="shared" si="11"/>
        <v>4.3804399564803483E-2</v>
      </c>
      <c r="K65" s="56"/>
      <c r="L65" s="57"/>
      <c r="M65" s="116"/>
      <c r="N65" s="116"/>
      <c r="O65" s="116"/>
      <c r="P65" s="116"/>
      <c r="Q65" s="116"/>
      <c r="R65" s="116"/>
      <c r="S65" s="116"/>
      <c r="T65" s="116"/>
    </row>
    <row r="66" spans="1:20" ht="15.6">
      <c r="A66" s="24" t="str">
        <v>X117</v>
      </c>
      <c r="B66" s="25" t="str">
        <v>NY</v>
      </c>
      <c r="C66" s="25" t="str">
        <f>Sites[[#This Row],[SOL'#]]</f>
        <v>SOL-10422</v>
      </c>
      <c r="D66" s="20">
        <v>5524.7</v>
      </c>
      <c r="E66" s="10">
        <v>9713.0370000000003</v>
      </c>
      <c r="F66" s="10">
        <f t="shared" si="12"/>
        <v>-4188.3370000000004</v>
      </c>
      <c r="G66" s="11">
        <f t="shared" si="7"/>
        <v>-0.43120776745728451</v>
      </c>
      <c r="H66" s="12">
        <v>6534.0249999999996</v>
      </c>
      <c r="I66" s="12">
        <f t="shared" si="13"/>
        <v>-1009.3249999999998</v>
      </c>
      <c r="J66" s="13">
        <f t="shared" si="11"/>
        <v>-0.15447216684968298</v>
      </c>
      <c r="K66" s="37" t="s">
        <v>50</v>
      </c>
      <c r="L66" s="59"/>
      <c r="M66" s="116"/>
      <c r="N66" s="116"/>
      <c r="O66" s="116"/>
      <c r="P66" s="116"/>
      <c r="Q66" s="116"/>
      <c r="R66" s="116"/>
      <c r="S66" s="116"/>
      <c r="T66" s="116"/>
    </row>
    <row r="67" spans="1:20" ht="15.6">
      <c r="A67" s="26" t="str">
        <v>X125</v>
      </c>
      <c r="B67" s="27" t="str">
        <v>NY</v>
      </c>
      <c r="C67" s="27" t="str">
        <f>Sites[[#This Row],[SOL'#]]</f>
        <v>SOL-10423</v>
      </c>
      <c r="D67" s="9">
        <v>12077.875</v>
      </c>
      <c r="E67" s="14">
        <v>16953.080000000002</v>
      </c>
      <c r="F67" s="14">
        <f t="shared" si="12"/>
        <v>-4875.2050000000017</v>
      </c>
      <c r="G67" s="15">
        <f t="shared" si="7"/>
        <v>-0.28757045917320045</v>
      </c>
      <c r="H67" s="16">
        <v>11985.79</v>
      </c>
      <c r="I67" s="16">
        <f t="shared" si="13"/>
        <v>92.084999999999127</v>
      </c>
      <c r="J67" s="15">
        <f t="shared" si="11"/>
        <v>7.6828477722368843E-3</v>
      </c>
      <c r="K67" s="56" t="s">
        <v>50</v>
      </c>
      <c r="L67" s="58"/>
      <c r="M67" s="116"/>
      <c r="N67" s="116"/>
      <c r="O67" s="116"/>
      <c r="P67" s="116"/>
      <c r="Q67" s="116"/>
      <c r="R67" s="116"/>
      <c r="S67" s="116"/>
      <c r="T67" s="116"/>
    </row>
    <row r="68" spans="1:20" ht="15.6">
      <c r="A68" s="24" t="str">
        <v>X134</v>
      </c>
      <c r="B68" s="25" t="str">
        <v>NY</v>
      </c>
      <c r="C68" s="25" t="str">
        <f>Sites[[#This Row],[SOL'#]]</f>
        <v>SOL-10424</v>
      </c>
      <c r="D68" s="20">
        <v>10465.15625</v>
      </c>
      <c r="E68" s="10">
        <v>0</v>
      </c>
      <c r="F68" s="10">
        <f t="shared" si="12"/>
        <v>10465.15625</v>
      </c>
      <c r="G68" s="11" t="str">
        <f t="shared" si="7"/>
        <v/>
      </c>
      <c r="H68" s="12">
        <v>10182</v>
      </c>
      <c r="I68" s="12">
        <f t="shared" si="13"/>
        <v>283.15625</v>
      </c>
      <c r="J68" s="13">
        <f t="shared" si="11"/>
        <v>2.7809492241209977E-2</v>
      </c>
      <c r="K68" s="37"/>
      <c r="L68" s="59"/>
      <c r="M68" s="116"/>
      <c r="N68" s="116"/>
      <c r="O68" s="116"/>
      <c r="P68" s="116"/>
      <c r="Q68" s="116"/>
      <c r="R68" s="116"/>
      <c r="S68" s="116"/>
      <c r="T68" s="116"/>
    </row>
    <row r="69" spans="1:20" ht="15.6">
      <c r="A69" s="26" t="str">
        <v>X135</v>
      </c>
      <c r="B69" s="27" t="str">
        <v>NY</v>
      </c>
      <c r="C69" s="27" t="str">
        <f>Sites[[#This Row],[SOL'#]]</f>
        <v>SOL-10425</v>
      </c>
      <c r="D69" s="9">
        <v>9755.1875</v>
      </c>
      <c r="E69" s="14">
        <v>14564.38</v>
      </c>
      <c r="F69" s="14">
        <f t="shared" si="12"/>
        <v>-4809.1924999999992</v>
      </c>
      <c r="G69" s="15">
        <f t="shared" si="7"/>
        <v>-0.33020234984256108</v>
      </c>
      <c r="H69" s="16">
        <v>9790</v>
      </c>
      <c r="I69" s="16">
        <f t="shared" si="13"/>
        <v>-34.8125</v>
      </c>
      <c r="J69" s="15">
        <f t="shared" si="11"/>
        <v>-3.5559244126659858E-3</v>
      </c>
      <c r="K69" s="56" t="s">
        <v>50</v>
      </c>
      <c r="L69" s="58"/>
      <c r="M69" s="116"/>
      <c r="N69" s="116"/>
      <c r="O69" s="116"/>
      <c r="P69" s="116"/>
      <c r="Q69" s="116"/>
      <c r="R69" s="116"/>
      <c r="S69" s="116"/>
      <c r="T69" s="116"/>
    </row>
    <row r="70" spans="1:20" ht="15.6">
      <c r="A70" s="24" t="str">
        <v>X139 JHS 222</v>
      </c>
      <c r="B70" s="25" t="str">
        <v>NY</v>
      </c>
      <c r="C70" s="25" t="str">
        <f>Sites[[#This Row],[SOL'#]]</f>
        <v>SOL-10426</v>
      </c>
      <c r="D70" s="20">
        <v>12809.0209026512</v>
      </c>
      <c r="E70" s="10">
        <v>16768.060000000001</v>
      </c>
      <c r="F70" s="10">
        <f t="shared" si="6"/>
        <v>-3959.0390973488011</v>
      </c>
      <c r="G70" s="11">
        <f t="shared" si="7"/>
        <v>-0.23610597155239191</v>
      </c>
      <c r="H70" s="12">
        <v>12346</v>
      </c>
      <c r="I70" s="12">
        <f t="shared" si="10"/>
        <v>463.02090265120023</v>
      </c>
      <c r="J70" s="13">
        <f t="shared" si="11"/>
        <v>3.7503718018078745E-2</v>
      </c>
      <c r="K70" s="37" t="s">
        <v>50</v>
      </c>
      <c r="L70" s="59"/>
      <c r="M70" s="116"/>
      <c r="N70" s="116"/>
      <c r="O70" s="116"/>
      <c r="P70" s="116"/>
      <c r="Q70" s="116"/>
      <c r="R70" s="116"/>
      <c r="S70" s="116"/>
      <c r="T70" s="116"/>
    </row>
    <row r="71" spans="1:20" ht="15.6">
      <c r="A71" s="26" t="str">
        <v>X140</v>
      </c>
      <c r="B71" s="27" t="str">
        <v>NY</v>
      </c>
      <c r="C71" s="27" t="str">
        <f>Sites[[#This Row],[SOL'#]]</f>
        <v>SOL-10926</v>
      </c>
      <c r="D71" s="9">
        <v>8890.625</v>
      </c>
      <c r="E71" s="14">
        <v>8929.9140000000007</v>
      </c>
      <c r="F71" s="14">
        <f t="shared" si="6"/>
        <v>-39.289000000000669</v>
      </c>
      <c r="G71" s="15">
        <f t="shared" si="7"/>
        <v>-4.3997064249443685E-3</v>
      </c>
      <c r="H71" s="16">
        <v>8234</v>
      </c>
      <c r="I71" s="16">
        <f t="shared" si="10"/>
        <v>656.625</v>
      </c>
      <c r="J71" s="15">
        <f t="shared" si="11"/>
        <v>7.9745567160553796E-2</v>
      </c>
      <c r="K71" s="56"/>
      <c r="L71" s="58"/>
      <c r="M71" s="116"/>
      <c r="N71" s="116"/>
      <c r="O71" s="116"/>
      <c r="P71" s="116"/>
      <c r="Q71" s="116"/>
      <c r="R71" s="116"/>
      <c r="S71" s="116"/>
      <c r="T71" s="116"/>
    </row>
    <row r="72" spans="1:20" ht="15.6">
      <c r="A72" s="24" t="str">
        <v>X166</v>
      </c>
      <c r="B72" s="25" t="str">
        <v>NY</v>
      </c>
      <c r="C72" s="25" t="str">
        <f>Sites[[#This Row],[SOL'#]]</f>
        <v>SOL-10427</v>
      </c>
      <c r="D72" s="20">
        <v>8246.6</v>
      </c>
      <c r="E72" s="10">
        <v>13090.03</v>
      </c>
      <c r="F72" s="10">
        <f t="shared" si="6"/>
        <v>-4843.43</v>
      </c>
      <c r="G72" s="11">
        <f t="shared" si="7"/>
        <v>-0.37000908324885429</v>
      </c>
      <c r="H72" s="12">
        <v>7246</v>
      </c>
      <c r="I72" s="12">
        <f t="shared" si="10"/>
        <v>1000.6000000000004</v>
      </c>
      <c r="J72" s="13">
        <f t="shared" si="11"/>
        <v>0.13808998067899536</v>
      </c>
      <c r="K72" s="37" t="s">
        <v>50</v>
      </c>
      <c r="L72" s="59"/>
      <c r="M72" s="116"/>
      <c r="N72" s="116"/>
      <c r="O72" s="116"/>
      <c r="P72" s="116"/>
      <c r="Q72" s="116"/>
      <c r="R72" s="116"/>
      <c r="S72" s="116"/>
      <c r="T72" s="116"/>
    </row>
    <row r="73" spans="1:20" ht="114" customHeight="1">
      <c r="A73" s="26" t="str">
        <v>Murphy</v>
      </c>
      <c r="B73" s="27" t="str">
        <v>MN</v>
      </c>
      <c r="C73" s="27" t="str">
        <f>Sites[[#This Row],[SOL'#]]</f>
        <v>SOL-10094</v>
      </c>
      <c r="D73" s="9">
        <v>512400</v>
      </c>
      <c r="E73" s="14">
        <v>650404.30000000005</v>
      </c>
      <c r="F73" s="14">
        <f t="shared" si="6"/>
        <v>-138004.30000000005</v>
      </c>
      <c r="G73" s="15">
        <f t="shared" si="7"/>
        <v>-0.21218233028287181</v>
      </c>
      <c r="H73" s="16">
        <v>514855.4</v>
      </c>
      <c r="I73" s="16">
        <f t="shared" si="10"/>
        <v>-2455.4000000000233</v>
      </c>
      <c r="J73" s="15">
        <f t="shared" si="11"/>
        <v>-4.7691060441437012E-3</v>
      </c>
      <c r="K73" s="56" t="s">
        <v>69</v>
      </c>
      <c r="L73" s="112" t="s">
        <v>70</v>
      </c>
      <c r="M73" s="115" t="s">
        <v>71</v>
      </c>
      <c r="N73" s="115" t="s">
        <v>72</v>
      </c>
      <c r="O73" s="115" t="s">
        <v>73</v>
      </c>
      <c r="P73" s="115" t="s">
        <v>74</v>
      </c>
      <c r="Q73" s="115" t="s">
        <v>73</v>
      </c>
      <c r="R73" s="116"/>
      <c r="S73" s="116"/>
      <c r="T73" s="116"/>
    </row>
    <row r="74" spans="1:20" ht="15.6">
      <c r="A74" s="24" t="str">
        <v>Terning</v>
      </c>
      <c r="B74" s="25" t="str">
        <v>MN</v>
      </c>
      <c r="C74" s="25" t="str">
        <f>Sites[[#This Row],[SOL'#]]</f>
        <v>SOL-10093</v>
      </c>
      <c r="D74" s="20">
        <v>526233</v>
      </c>
      <c r="E74" s="10">
        <v>640284.30000000005</v>
      </c>
      <c r="F74" s="10">
        <f t="shared" si="6"/>
        <v>-114051.30000000005</v>
      </c>
      <c r="G74" s="11">
        <f t="shared" si="7"/>
        <v>-0.17812602932790955</v>
      </c>
      <c r="H74" s="12">
        <v>466507.1</v>
      </c>
      <c r="I74" s="12">
        <f t="shared" si="10"/>
        <v>59725.900000000023</v>
      </c>
      <c r="J74" s="13">
        <f t="shared" si="11"/>
        <v>0.12802784780767543</v>
      </c>
      <c r="K74" s="37" t="s">
        <v>50</v>
      </c>
      <c r="L74" s="59"/>
      <c r="M74" s="116"/>
      <c r="N74" s="116"/>
      <c r="O74" s="116"/>
      <c r="P74" s="116"/>
      <c r="Q74" s="116"/>
      <c r="R74" s="116"/>
      <c r="S74" s="116"/>
      <c r="T74" s="116"/>
    </row>
    <row r="75" spans="1:20" ht="15.6">
      <c r="A75" s="26" t="str">
        <v>Boas Road 04</v>
      </c>
      <c r="B75" s="27" t="str">
        <v>NY</v>
      </c>
      <c r="C75" s="27" t="str">
        <f>Sites[[#This Row],[SOL'#]]</f>
        <v>SOL-10908</v>
      </c>
      <c r="D75" s="9">
        <v>139690</v>
      </c>
      <c r="E75" s="14">
        <v>195502.94699999999</v>
      </c>
      <c r="F75" s="14">
        <f t="shared" si="6"/>
        <v>-55812.946999999986</v>
      </c>
      <c r="G75" s="15">
        <f t="shared" si="7"/>
        <v>-0.28548391651610239</v>
      </c>
      <c r="H75" s="16">
        <v>155064.5</v>
      </c>
      <c r="I75" s="16">
        <f t="shared" si="10"/>
        <v>-15374.5</v>
      </c>
      <c r="J75" s="15">
        <f t="shared" si="11"/>
        <v>-9.9149063776686475E-2</v>
      </c>
      <c r="K75" s="56" t="s">
        <v>50</v>
      </c>
      <c r="L75" s="58"/>
      <c r="M75" s="116"/>
      <c r="N75" s="116"/>
      <c r="O75" s="116"/>
      <c r="P75" s="116"/>
      <c r="Q75" s="116"/>
      <c r="R75" s="116"/>
      <c r="S75" s="116"/>
      <c r="T75" s="116"/>
    </row>
    <row r="76" spans="1:20" ht="126" customHeight="1">
      <c r="A76" s="24" t="str">
        <v>Kelly Bridge Farm</v>
      </c>
      <c r="B76" s="25" t="str">
        <v>NY</v>
      </c>
      <c r="C76" s="25" t="str">
        <f>Sites[[#This Row],[SOL'#]]</f>
        <v>SOL-10911</v>
      </c>
      <c r="D76" s="20">
        <v>105630</v>
      </c>
      <c r="E76" s="10">
        <v>192097.42800000001</v>
      </c>
      <c r="F76" s="10">
        <f t="shared" si="6"/>
        <v>-86467.428000000014</v>
      </c>
      <c r="G76" s="11">
        <f t="shared" si="7"/>
        <v>-0.45012277832267494</v>
      </c>
      <c r="H76" s="12">
        <v>144336.79999999999</v>
      </c>
      <c r="I76" s="12">
        <f t="shared" si="10"/>
        <v>-38706.799999999988</v>
      </c>
      <c r="J76" s="13">
        <f t="shared" si="11"/>
        <v>-0.26817000238331451</v>
      </c>
      <c r="K76" s="37" t="s">
        <v>75</v>
      </c>
      <c r="L76" s="111" t="s">
        <v>76</v>
      </c>
      <c r="M76" s="115" t="s">
        <v>77</v>
      </c>
      <c r="N76" s="115" t="s">
        <v>78</v>
      </c>
      <c r="O76" s="115" t="s">
        <v>79</v>
      </c>
      <c r="P76" s="115" t="s">
        <v>80</v>
      </c>
      <c r="Q76" s="116"/>
      <c r="R76" s="116"/>
      <c r="S76" s="116"/>
      <c r="T76" s="116"/>
    </row>
    <row r="77" spans="1:20" ht="15.6">
      <c r="A77" s="26" t="str">
        <v>Pool Brook Road</v>
      </c>
      <c r="B77" s="27" t="str">
        <v>NY</v>
      </c>
      <c r="C77" s="27" t="str">
        <f>Sites[[#This Row],[SOL'#]]</f>
        <v>SOL-10909</v>
      </c>
      <c r="D77" s="9">
        <v>55489</v>
      </c>
      <c r="E77" s="14">
        <v>160091.75200000001</v>
      </c>
      <c r="F77" s="14">
        <f t="shared" si="6"/>
        <v>-104602.75200000001</v>
      </c>
      <c r="G77" s="15">
        <f t="shared" si="7"/>
        <v>-0.65339251206395699</v>
      </c>
      <c r="H77" s="16">
        <v>143824.5</v>
      </c>
      <c r="I77" s="16">
        <f t="shared" si="10"/>
        <v>-88335.5</v>
      </c>
      <c r="J77" s="15">
        <f t="shared" si="11"/>
        <v>-0.61418951569447489</v>
      </c>
      <c r="K77" s="119" t="s">
        <v>50</v>
      </c>
      <c r="L77" s="57"/>
      <c r="M77" s="116"/>
      <c r="N77" s="116"/>
      <c r="O77" s="116"/>
      <c r="P77" s="116"/>
      <c r="Q77" s="116"/>
      <c r="R77" s="116"/>
      <c r="S77" s="116"/>
      <c r="T77" s="116"/>
    </row>
    <row r="78" spans="1:20" ht="46.5" customHeight="1">
      <c r="A78" s="24" t="str">
        <v>Sackett Lake</v>
      </c>
      <c r="B78" s="25" t="str">
        <v>NY</v>
      </c>
      <c r="C78" s="25" t="str">
        <f>Sites[[#This Row],[SOL'#]]</f>
        <v>SOL-10910</v>
      </c>
      <c r="D78" s="20">
        <v>132347</v>
      </c>
      <c r="E78" s="10">
        <v>200740.75399999999</v>
      </c>
      <c r="F78" s="10">
        <f t="shared" si="6"/>
        <v>-68393.753999999986</v>
      </c>
      <c r="G78" s="11">
        <f t="shared" si="7"/>
        <v>-0.34070687011567163</v>
      </c>
      <c r="H78" s="12">
        <v>168308.5</v>
      </c>
      <c r="I78" s="12">
        <f t="shared" si="10"/>
        <v>-35961.5</v>
      </c>
      <c r="J78" s="13">
        <f t="shared" si="11"/>
        <v>-0.21366419402466305</v>
      </c>
      <c r="K78" s="37" t="s">
        <v>81</v>
      </c>
      <c r="L78" s="111" t="s">
        <v>82</v>
      </c>
      <c r="M78" s="116"/>
      <c r="N78" s="116"/>
      <c r="O78" s="116"/>
      <c r="P78" s="116"/>
      <c r="Q78" s="116"/>
      <c r="R78" s="116"/>
      <c r="S78" s="116"/>
      <c r="T78" s="116"/>
    </row>
    <row r="79" spans="1:20" ht="43.5" customHeight="1">
      <c r="A79" s="26" t="str">
        <v>Burritt Road</v>
      </c>
      <c r="B79" s="27" t="str">
        <v>NY</v>
      </c>
      <c r="C79" s="27" t="str">
        <f>Sites[[#This Row],[SOL'#]]</f>
        <v>SOL-10913</v>
      </c>
      <c r="D79" s="9">
        <v>72290</v>
      </c>
      <c r="E79" s="14">
        <v>0</v>
      </c>
      <c r="F79" s="14">
        <f t="shared" si="6"/>
        <v>72290</v>
      </c>
      <c r="G79" s="15" t="str">
        <f t="shared" si="7"/>
        <v/>
      </c>
      <c r="H79" s="16">
        <v>111972.4</v>
      </c>
      <c r="I79" s="16">
        <f t="shared" si="10"/>
        <v>-39682.399999999994</v>
      </c>
      <c r="J79" s="15">
        <f t="shared" si="11"/>
        <v>-0.35439447578153183</v>
      </c>
      <c r="K79" s="56" t="s">
        <v>83</v>
      </c>
      <c r="L79" s="112" t="s">
        <v>84</v>
      </c>
      <c r="M79" s="116"/>
      <c r="N79" s="116"/>
      <c r="O79" s="116"/>
      <c r="P79" s="116"/>
      <c r="Q79" s="116"/>
      <c r="R79" s="116"/>
      <c r="S79" s="116"/>
      <c r="T79" s="116"/>
    </row>
    <row r="80" spans="1:20" ht="132" customHeight="1">
      <c r="A80" s="24" t="str">
        <v>Villa Roma 1</v>
      </c>
      <c r="B80" s="25" t="str">
        <v>NY</v>
      </c>
      <c r="C80" s="25" t="str">
        <f>Sites[[#This Row],[SOL'#]]</f>
        <v>SOL-10914</v>
      </c>
      <c r="D80" s="20">
        <v>75089</v>
      </c>
      <c r="E80" s="10">
        <v>234497.34599999999</v>
      </c>
      <c r="F80" s="10">
        <f t="shared" ref="F80:F143" si="14">IF(AND(ISNUMBER(D80),ISNUMBER(E80)), D80-E80, "")</f>
        <v>-159408.34599999999</v>
      </c>
      <c r="G80" s="11">
        <f t="shared" ref="G80:G143" si="15">IFERROR(F80/E80, "")</f>
        <v>-0.6797874207070983</v>
      </c>
      <c r="H80" s="12">
        <v>119197</v>
      </c>
      <c r="I80" s="12">
        <f t="shared" si="10"/>
        <v>-44108</v>
      </c>
      <c r="J80" s="13">
        <f t="shared" si="11"/>
        <v>-0.37004287020646492</v>
      </c>
      <c r="K80" s="37" t="s">
        <v>85</v>
      </c>
      <c r="L80" s="111" t="s">
        <v>86</v>
      </c>
      <c r="M80" s="115" t="s">
        <v>87</v>
      </c>
      <c r="N80" s="115" t="s">
        <v>88</v>
      </c>
      <c r="O80" s="115" t="s">
        <v>89</v>
      </c>
      <c r="P80" s="115" t="s">
        <v>90</v>
      </c>
      <c r="Q80" s="116"/>
      <c r="R80" s="116"/>
      <c r="S80" s="116"/>
      <c r="T80" s="116"/>
    </row>
    <row r="81" spans="1:20" ht="15.6">
      <c r="A81" s="26" t="str">
        <v>Villa Roma 2</v>
      </c>
      <c r="B81" s="27" t="str">
        <v>NY</v>
      </c>
      <c r="C81" s="27" t="str">
        <f>Sites[[#This Row],[SOL'#]]</f>
        <v>SOL-10915</v>
      </c>
      <c r="D81" s="9">
        <v>94660</v>
      </c>
      <c r="E81" s="14">
        <v>158029.45499999999</v>
      </c>
      <c r="F81" s="14">
        <f t="shared" si="14"/>
        <v>-63369.454999999987</v>
      </c>
      <c r="G81" s="15">
        <f t="shared" si="15"/>
        <v>-0.40099774437619867</v>
      </c>
      <c r="H81" s="16">
        <v>116241.7</v>
      </c>
      <c r="I81" s="16">
        <f t="shared" si="10"/>
        <v>-21581.699999999997</v>
      </c>
      <c r="J81" s="15">
        <f t="shared" si="11"/>
        <v>-0.18566228814616439</v>
      </c>
      <c r="K81" s="56" t="s">
        <v>91</v>
      </c>
      <c r="L81" s="112" t="s">
        <v>92</v>
      </c>
      <c r="M81" s="116"/>
      <c r="N81" s="116"/>
      <c r="O81" s="116"/>
      <c r="P81" s="116"/>
      <c r="Q81" s="116"/>
      <c r="R81" s="116"/>
      <c r="S81" s="116"/>
      <c r="T81" s="116"/>
    </row>
    <row r="82" spans="1:20" ht="39" customHeight="1">
      <c r="A82" s="24" t="str">
        <v>Washington 1</v>
      </c>
      <c r="B82" s="25" t="str">
        <v>NY</v>
      </c>
      <c r="C82" s="25" t="str">
        <f>Sites[[#This Row],[SOL'#]]</f>
        <v>SOL-10912</v>
      </c>
      <c r="D82" s="20">
        <v>106440</v>
      </c>
      <c r="E82" s="10">
        <v>159121.52600000001</v>
      </c>
      <c r="F82" s="10">
        <f t="shared" si="14"/>
        <v>-52681.526000000013</v>
      </c>
      <c r="G82" s="11">
        <f t="shared" si="15"/>
        <v>-0.33107730502785654</v>
      </c>
      <c r="H82" s="12">
        <v>107375.8</v>
      </c>
      <c r="I82" s="12">
        <f t="shared" ref="I82:I145" si="16">IF(AND(ISNUMBER(D82),ISNUMBER(H82)), D82-H82, "")</f>
        <v>-935.80000000000291</v>
      </c>
      <c r="J82" s="13">
        <f t="shared" ref="J82:J145" si="17">IFERROR(I82/H82, "")</f>
        <v>-8.7151853583396152E-3</v>
      </c>
      <c r="K82" s="37" t="s">
        <v>93</v>
      </c>
      <c r="L82" s="111" t="s">
        <v>94</v>
      </c>
      <c r="M82" s="116"/>
      <c r="N82" s="116"/>
      <c r="O82" s="116"/>
      <c r="P82" s="116"/>
      <c r="Q82" s="116"/>
      <c r="R82" s="116"/>
      <c r="S82" s="116"/>
      <c r="T82" s="116"/>
    </row>
    <row r="83" spans="1:20" ht="100.5" customHeight="1">
      <c r="A83" s="26" t="str">
        <v>Washington 3</v>
      </c>
      <c r="B83" s="27" t="str">
        <v>NY</v>
      </c>
      <c r="C83" s="27" t="str">
        <f>Sites[[#This Row],[SOL'#]]</f>
        <v>SOL-10828</v>
      </c>
      <c r="D83" s="9">
        <v>126003</v>
      </c>
      <c r="E83" s="14">
        <v>96875.183000000005</v>
      </c>
      <c r="F83" s="14">
        <f t="shared" si="14"/>
        <v>29127.816999999995</v>
      </c>
      <c r="G83" s="15">
        <f t="shared" si="15"/>
        <v>0.30067367201773437</v>
      </c>
      <c r="H83" s="16">
        <v>132253.79999999999</v>
      </c>
      <c r="I83" s="16">
        <f t="shared" si="16"/>
        <v>-6250.7999999999884</v>
      </c>
      <c r="J83" s="15">
        <f t="shared" si="17"/>
        <v>-4.7263670306637605E-2</v>
      </c>
      <c r="K83" s="56" t="s">
        <v>95</v>
      </c>
      <c r="L83" s="112" t="s">
        <v>96</v>
      </c>
      <c r="M83" s="115" t="s">
        <v>97</v>
      </c>
      <c r="N83" s="116"/>
      <c r="O83" s="116"/>
      <c r="P83" s="116"/>
      <c r="Q83" s="116"/>
      <c r="R83" s="116"/>
      <c r="S83" s="116"/>
      <c r="T83" s="116"/>
    </row>
    <row r="84" spans="1:20" ht="15.6">
      <c r="A84" s="24" t="str">
        <v>Washington 4</v>
      </c>
      <c r="B84" s="25" t="str">
        <v>NY</v>
      </c>
      <c r="C84" s="25" t="str">
        <f>Sites[[#This Row],[SOL'#]]</f>
        <v>SOL-10829</v>
      </c>
      <c r="D84" s="20">
        <v>91589</v>
      </c>
      <c r="E84" s="10">
        <v>0</v>
      </c>
      <c r="F84" s="10">
        <f t="shared" si="14"/>
        <v>91589</v>
      </c>
      <c r="G84" s="11" t="str">
        <f t="shared" si="15"/>
        <v/>
      </c>
      <c r="H84" s="12">
        <v>132064.4</v>
      </c>
      <c r="I84" s="12">
        <f t="shared" si="16"/>
        <v>-40475.399999999994</v>
      </c>
      <c r="J84" s="13">
        <f t="shared" si="17"/>
        <v>-0.30648229197270421</v>
      </c>
      <c r="K84" s="59" t="s">
        <v>50</v>
      </c>
      <c r="L84" s="59"/>
      <c r="M84" s="116"/>
      <c r="N84" s="116"/>
      <c r="O84" s="116"/>
      <c r="P84" s="116"/>
      <c r="Q84" s="116"/>
      <c r="R84" s="116"/>
      <c r="S84" s="116"/>
      <c r="T84" s="116"/>
    </row>
    <row r="85" spans="1:20" ht="15.6">
      <c r="A85" s="26" t="str">
        <v>Big Tree</v>
      </c>
      <c r="B85" s="27" t="str">
        <v>NY</v>
      </c>
      <c r="C85" s="27" t="str">
        <f>Sites[[#This Row],[SOL'#]]</f>
        <v>SOL-10966</v>
      </c>
      <c r="D85" s="9">
        <v>23918</v>
      </c>
      <c r="E85" s="14">
        <v>0</v>
      </c>
      <c r="F85" s="14">
        <f t="shared" si="14"/>
        <v>23918</v>
      </c>
      <c r="G85" s="15" t="str">
        <f t="shared" si="15"/>
        <v/>
      </c>
      <c r="H85" s="16">
        <v>116825.9</v>
      </c>
      <c r="I85" s="16">
        <f t="shared" si="16"/>
        <v>-92907.9</v>
      </c>
      <c r="J85" s="15">
        <f t="shared" si="17"/>
        <v>-0.79526800135928766</v>
      </c>
      <c r="K85" s="119" t="s">
        <v>50</v>
      </c>
      <c r="L85" s="58"/>
      <c r="M85" s="116"/>
      <c r="N85" s="116"/>
      <c r="O85" s="116"/>
      <c r="P85" s="116"/>
      <c r="Q85" s="116"/>
      <c r="R85" s="116"/>
      <c r="S85" s="116"/>
      <c r="T85" s="116"/>
    </row>
    <row r="86" spans="1:20" ht="130.5" customHeight="1">
      <c r="A86" s="24" t="str">
        <v>Canoga</v>
      </c>
      <c r="B86" s="25" t="str">
        <v>NY</v>
      </c>
      <c r="C86" s="25" t="str">
        <f>Sites[[#This Row],[SOL'#]]</f>
        <v>SOL-10965</v>
      </c>
      <c r="D86" s="20">
        <v>314990</v>
      </c>
      <c r="E86" s="10">
        <v>0</v>
      </c>
      <c r="F86" s="10">
        <f t="shared" si="14"/>
        <v>314990</v>
      </c>
      <c r="G86" s="11" t="str">
        <f t="shared" si="15"/>
        <v/>
      </c>
      <c r="H86" s="12"/>
      <c r="I86" s="12" t="str">
        <f t="shared" si="16"/>
        <v/>
      </c>
      <c r="J86" s="13" t="str">
        <f t="shared" si="17"/>
        <v/>
      </c>
      <c r="K86" s="37" t="s">
        <v>98</v>
      </c>
      <c r="L86" s="111" t="s">
        <v>99</v>
      </c>
      <c r="M86" s="115" t="s">
        <v>100</v>
      </c>
      <c r="N86" s="115" t="s">
        <v>101</v>
      </c>
      <c r="O86" s="115" t="s">
        <v>102</v>
      </c>
      <c r="P86" s="115" t="s">
        <v>101</v>
      </c>
      <c r="Q86" s="116"/>
      <c r="R86" s="116"/>
      <c r="S86" s="116"/>
      <c r="T86" s="116"/>
    </row>
    <row r="87" spans="1:20" ht="15.6">
      <c r="A87" s="26" t="str">
        <v>County Route 84</v>
      </c>
      <c r="B87" s="27" t="str">
        <v>NY</v>
      </c>
      <c r="C87" s="27" t="str">
        <f>Sites[[#This Row],[SOL'#]]</f>
        <v>SOL-10967</v>
      </c>
      <c r="D87" s="9">
        <v>423990</v>
      </c>
      <c r="E87" s="14">
        <v>0</v>
      </c>
      <c r="F87" s="14">
        <f t="shared" si="14"/>
        <v>423990</v>
      </c>
      <c r="G87" s="15" t="str">
        <f t="shared" si="15"/>
        <v/>
      </c>
      <c r="H87" s="16">
        <v>472285.7</v>
      </c>
      <c r="I87" s="16">
        <f t="shared" si="16"/>
        <v>-48295.700000000012</v>
      </c>
      <c r="J87" s="15"/>
      <c r="K87" s="56" t="s">
        <v>103</v>
      </c>
      <c r="L87" s="112" t="s">
        <v>104</v>
      </c>
      <c r="M87" s="116"/>
      <c r="N87" s="116"/>
      <c r="O87" s="116"/>
      <c r="P87" s="116"/>
      <c r="Q87" s="116"/>
      <c r="R87" s="116"/>
      <c r="S87" s="116"/>
      <c r="T87" s="116"/>
    </row>
    <row r="88" spans="1:20" ht="43.15">
      <c r="A88" s="24" t="str">
        <v>Donati</v>
      </c>
      <c r="B88" s="25" t="str">
        <v>NY</v>
      </c>
      <c r="C88" s="25" t="str">
        <f>Sites[[#This Row],[SOL'#]]</f>
        <v>SOL-10968</v>
      </c>
      <c r="D88" s="20">
        <v>127357</v>
      </c>
      <c r="E88" s="10">
        <v>0</v>
      </c>
      <c r="F88" s="10">
        <f t="shared" si="14"/>
        <v>127357</v>
      </c>
      <c r="G88" s="11" t="str">
        <f t="shared" si="15"/>
        <v/>
      </c>
      <c r="H88" s="12">
        <v>156570.4</v>
      </c>
      <c r="I88" s="12">
        <f t="shared" si="16"/>
        <v>-29213.399999999994</v>
      </c>
      <c r="J88" s="13">
        <f t="shared" si="17"/>
        <v>-0.18658316003535785</v>
      </c>
      <c r="K88" s="37" t="s">
        <v>105</v>
      </c>
      <c r="L88" s="111" t="s">
        <v>106</v>
      </c>
      <c r="M88" s="115" t="s">
        <v>107</v>
      </c>
      <c r="N88" s="116"/>
      <c r="O88" s="116"/>
      <c r="P88" s="116"/>
      <c r="Q88" s="116"/>
      <c r="R88" s="116"/>
      <c r="S88" s="116"/>
      <c r="T88" s="116"/>
    </row>
    <row r="89" spans="1:20" ht="15.6">
      <c r="A89" s="26" t="str">
        <v>Henrietta</v>
      </c>
      <c r="B89" s="27" t="str">
        <v>NY</v>
      </c>
      <c r="C89" s="27" t="str">
        <f>Sites[[#This Row],[SOL'#]]</f>
        <v>SOL-10972</v>
      </c>
      <c r="D89" s="9">
        <v>200110</v>
      </c>
      <c r="E89" s="14">
        <v>0</v>
      </c>
      <c r="F89" s="14">
        <f t="shared" si="14"/>
        <v>200110</v>
      </c>
      <c r="G89" s="15" t="str">
        <f t="shared" si="15"/>
        <v/>
      </c>
      <c r="H89" s="16">
        <v>268925.40000000002</v>
      </c>
      <c r="I89" s="16">
        <f t="shared" si="16"/>
        <v>-68815.400000000023</v>
      </c>
      <c r="J89" s="15">
        <f t="shared" si="17"/>
        <v>-0.2558902952268548</v>
      </c>
      <c r="K89" s="56" t="s">
        <v>23</v>
      </c>
      <c r="L89" s="57"/>
      <c r="M89" s="116"/>
      <c r="N89" s="116"/>
      <c r="O89" s="116"/>
      <c r="P89" s="116"/>
      <c r="Q89" s="116"/>
      <c r="R89" s="116"/>
      <c r="S89" s="116"/>
      <c r="T89" s="116"/>
    </row>
    <row r="90" spans="1:20" ht="28.9">
      <c r="A90" s="24" t="str">
        <v>NY 70</v>
      </c>
      <c r="B90" s="25" t="str">
        <v>NY</v>
      </c>
      <c r="C90" s="25" t="str">
        <f>Sites[[#This Row],[SOL'#]]</f>
        <v>SOL-10970</v>
      </c>
      <c r="D90" s="20">
        <v>284620</v>
      </c>
      <c r="E90" s="10">
        <v>0</v>
      </c>
      <c r="F90" s="10">
        <f t="shared" si="14"/>
        <v>284620</v>
      </c>
      <c r="G90" s="11" t="str">
        <f t="shared" si="15"/>
        <v/>
      </c>
      <c r="H90" s="12">
        <v>386450</v>
      </c>
      <c r="I90" s="12">
        <f t="shared" si="16"/>
        <v>-101830</v>
      </c>
      <c r="J90" s="13">
        <f t="shared" si="17"/>
        <v>-0.26350109975417257</v>
      </c>
      <c r="K90" s="37" t="s">
        <v>108</v>
      </c>
      <c r="L90" s="111" t="s">
        <v>109</v>
      </c>
      <c r="M90" s="116"/>
      <c r="N90" s="116"/>
      <c r="O90" s="116"/>
      <c r="P90" s="116"/>
      <c r="Q90" s="116"/>
      <c r="R90" s="116"/>
      <c r="S90" s="116"/>
      <c r="T90" s="116"/>
    </row>
    <row r="91" spans="1:20" ht="15.6">
      <c r="A91" s="26" t="str">
        <v>Reid</v>
      </c>
      <c r="B91" s="27" t="str">
        <v>NY</v>
      </c>
      <c r="C91" s="27" t="str">
        <f>Sites[[#This Row],[SOL'#]]</f>
        <v>SOL-10991</v>
      </c>
      <c r="D91" s="9">
        <v>165884.98926101299</v>
      </c>
      <c r="E91" s="14">
        <v>348144.2</v>
      </c>
      <c r="F91" s="14">
        <f t="shared" si="14"/>
        <v>-182259.21073898702</v>
      </c>
      <c r="G91" s="15">
        <f t="shared" si="15"/>
        <v>-0.52351643583028817</v>
      </c>
      <c r="H91" s="16">
        <v>265223</v>
      </c>
      <c r="I91" s="16">
        <f t="shared" si="16"/>
        <v>-99338.01073898701</v>
      </c>
      <c r="J91" s="15">
        <f t="shared" si="17"/>
        <v>-0.37454523453466332</v>
      </c>
      <c r="K91" s="56" t="s">
        <v>110</v>
      </c>
      <c r="L91" s="112" t="s">
        <v>111</v>
      </c>
      <c r="M91" s="116"/>
      <c r="N91" s="116"/>
      <c r="O91" s="116"/>
      <c r="P91" s="116"/>
      <c r="Q91" s="116"/>
      <c r="R91" s="116"/>
      <c r="S91" s="116"/>
      <c r="T91" s="116"/>
    </row>
    <row r="92" spans="1:20" ht="15.6">
      <c r="A92" s="24" t="str">
        <v>Sangolqui</v>
      </c>
      <c r="B92" s="25" t="str">
        <v>NY</v>
      </c>
      <c r="C92" s="25" t="str">
        <f>Sites[[#This Row],[SOL'#]]</f>
        <v>SOL-10975</v>
      </c>
      <c r="D92" s="20">
        <v>129267</v>
      </c>
      <c r="E92" s="10">
        <v>0</v>
      </c>
      <c r="F92" s="10">
        <f t="shared" si="14"/>
        <v>129267</v>
      </c>
      <c r="G92" s="11" t="str">
        <f t="shared" si="15"/>
        <v/>
      </c>
      <c r="H92" s="12">
        <v>151974.9</v>
      </c>
      <c r="I92" s="12">
        <f t="shared" si="16"/>
        <v>-22707.899999999994</v>
      </c>
      <c r="J92" s="13">
        <f t="shared" si="17"/>
        <v>-0.14941875270192639</v>
      </c>
      <c r="K92" s="37" t="s">
        <v>112</v>
      </c>
      <c r="L92" s="111" t="s">
        <v>113</v>
      </c>
      <c r="M92" s="116"/>
      <c r="N92" s="116"/>
      <c r="O92" s="116"/>
      <c r="P92" s="116"/>
      <c r="Q92" s="116"/>
      <c r="R92" s="116"/>
      <c r="S92" s="116"/>
      <c r="T92" s="116"/>
    </row>
    <row r="93" spans="1:20" ht="57.6">
      <c r="A93" s="26" t="str">
        <v>State Highway 17B</v>
      </c>
      <c r="B93" s="27" t="str">
        <v>NY</v>
      </c>
      <c r="C93" s="27" t="str">
        <f>Sites[[#This Row],[SOL'#]]</f>
        <v>SOL-10988</v>
      </c>
      <c r="D93" s="9">
        <v>242020</v>
      </c>
      <c r="E93" s="14">
        <v>0</v>
      </c>
      <c r="F93" s="14">
        <f t="shared" si="14"/>
        <v>242020</v>
      </c>
      <c r="G93" s="15" t="str">
        <f t="shared" si="15"/>
        <v/>
      </c>
      <c r="H93" s="16">
        <v>384984</v>
      </c>
      <c r="I93" s="16">
        <f t="shared" si="16"/>
        <v>-142964</v>
      </c>
      <c r="J93" s="15">
        <f t="shared" si="17"/>
        <v>-0.37135049768302059</v>
      </c>
      <c r="K93" s="56" t="s">
        <v>114</v>
      </c>
      <c r="L93" s="112" t="s">
        <v>115</v>
      </c>
      <c r="M93" s="115" t="s">
        <v>116</v>
      </c>
      <c r="N93" s="116"/>
      <c r="O93" s="116"/>
      <c r="P93" s="116"/>
      <c r="Q93" s="116"/>
      <c r="R93" s="116"/>
      <c r="S93" s="116"/>
      <c r="T93" s="116"/>
    </row>
    <row r="94" spans="1:20" ht="130.5" customHeight="1">
      <c r="A94" s="24" t="str">
        <v>State Route 14A</v>
      </c>
      <c r="B94" s="25" t="str">
        <v>NY</v>
      </c>
      <c r="C94" s="25" t="str">
        <f>Sites[[#This Row],[SOL'#]]</f>
        <v>SOL-10997</v>
      </c>
      <c r="D94" s="20">
        <v>331004</v>
      </c>
      <c r="E94" s="10">
        <v>0</v>
      </c>
      <c r="F94" s="10">
        <f t="shared" si="14"/>
        <v>331004</v>
      </c>
      <c r="G94" s="11" t="str">
        <f t="shared" si="15"/>
        <v/>
      </c>
      <c r="H94" s="12">
        <v>427147.4</v>
      </c>
      <c r="I94" s="12">
        <f t="shared" si="16"/>
        <v>-96143.400000000023</v>
      </c>
      <c r="J94" s="13">
        <f t="shared" si="17"/>
        <v>-0.22508248908924652</v>
      </c>
      <c r="K94" s="37" t="s">
        <v>117</v>
      </c>
      <c r="L94" s="111" t="s">
        <v>118</v>
      </c>
      <c r="M94" s="116"/>
      <c r="N94" s="116"/>
      <c r="O94" s="116"/>
      <c r="P94" s="116"/>
      <c r="Q94" s="116"/>
      <c r="R94" s="116"/>
      <c r="S94" s="116"/>
      <c r="T94" s="116"/>
    </row>
    <row r="95" spans="1:20" ht="15.6">
      <c r="A95" s="26" t="str">
        <v>West Creek</v>
      </c>
      <c r="B95" s="27" t="str">
        <v>NY</v>
      </c>
      <c r="C95" s="27" t="str">
        <f>Sites[[#This Row],[SOL'#]]</f>
        <v>SOL-10995</v>
      </c>
      <c r="D95" s="9">
        <v>376140</v>
      </c>
      <c r="E95" s="14">
        <v>0</v>
      </c>
      <c r="F95" s="14">
        <f t="shared" si="14"/>
        <v>376140</v>
      </c>
      <c r="G95" s="15" t="str">
        <f t="shared" si="15"/>
        <v/>
      </c>
      <c r="H95" s="16">
        <v>397925.5</v>
      </c>
      <c r="I95" s="16">
        <f t="shared" si="16"/>
        <v>-21785.5</v>
      </c>
      <c r="J95" s="15">
        <f t="shared" si="17"/>
        <v>-5.474768518227658E-2</v>
      </c>
      <c r="K95" s="56"/>
      <c r="L95" s="57"/>
      <c r="M95" s="116"/>
      <c r="N95" s="116"/>
      <c r="O95" s="116"/>
      <c r="P95" s="116"/>
      <c r="Q95" s="116"/>
      <c r="R95" s="116"/>
      <c r="S95" s="116"/>
      <c r="T95" s="116"/>
    </row>
    <row r="96" spans="1:20" ht="135" customHeight="1">
      <c r="A96" s="24" t="str">
        <v>Wildflower</v>
      </c>
      <c r="B96" s="25" t="str">
        <v>NY</v>
      </c>
      <c r="C96" s="25" t="str">
        <f>Sites[[#This Row],[SOL'#]]</f>
        <v>SOL-10982</v>
      </c>
      <c r="D96" s="20">
        <v>324291.40000000002</v>
      </c>
      <c r="E96" s="10">
        <v>0</v>
      </c>
      <c r="F96" s="10">
        <f t="shared" si="14"/>
        <v>324291.40000000002</v>
      </c>
      <c r="G96" s="11" t="str">
        <f t="shared" si="15"/>
        <v/>
      </c>
      <c r="H96" s="12">
        <v>433603.2</v>
      </c>
      <c r="I96" s="12">
        <f t="shared" si="16"/>
        <v>-109311.79999999999</v>
      </c>
      <c r="J96" s="13">
        <f t="shared" si="17"/>
        <v>-0.25210099925461804</v>
      </c>
      <c r="K96" s="63" t="s">
        <v>119</v>
      </c>
      <c r="L96" s="113" t="s">
        <v>120</v>
      </c>
      <c r="M96" s="115" t="s">
        <v>121</v>
      </c>
      <c r="N96" s="115" t="s">
        <v>122</v>
      </c>
      <c r="O96" s="116"/>
      <c r="P96" s="116"/>
      <c r="Q96" s="116"/>
      <c r="R96" s="116"/>
      <c r="S96" s="116"/>
      <c r="T96" s="116"/>
    </row>
    <row r="97" spans="1:20" ht="15.6">
      <c r="A97" s="26" t="str">
        <v>Glen Mary 1</v>
      </c>
      <c r="B97" s="27" t="str">
        <v>NY</v>
      </c>
      <c r="C97" s="27" t="str">
        <f>Sites[[#This Row],[SOL'#]]</f>
        <v>SOL-10993</v>
      </c>
      <c r="D97" s="9">
        <v>396140</v>
      </c>
      <c r="E97" s="14">
        <v>0</v>
      </c>
      <c r="F97" s="14">
        <f t="shared" si="14"/>
        <v>396140</v>
      </c>
      <c r="G97" s="15" t="str">
        <f t="shared" si="15"/>
        <v/>
      </c>
      <c r="H97" s="16">
        <v>420494.8</v>
      </c>
      <c r="I97" s="16">
        <f t="shared" si="16"/>
        <v>-24354.799999999988</v>
      </c>
      <c r="J97" s="15">
        <f t="shared" si="17"/>
        <v>-5.7919384496550229E-2</v>
      </c>
      <c r="K97" s="56"/>
      <c r="L97" s="58"/>
      <c r="M97" s="116"/>
      <c r="N97" s="116"/>
      <c r="O97" s="116"/>
      <c r="P97" s="116"/>
      <c r="Q97" s="116"/>
      <c r="R97" s="116"/>
      <c r="S97" s="116"/>
      <c r="T97" s="116"/>
    </row>
    <row r="98" spans="1:20" ht="57.6">
      <c r="A98" s="24" t="str">
        <v>Glen Mary 2</v>
      </c>
      <c r="B98" s="25" t="str">
        <v>NY</v>
      </c>
      <c r="C98" s="25" t="str">
        <f>Sites[[#This Row],[SOL'#]]</f>
        <v>SOL-10994</v>
      </c>
      <c r="D98" s="20">
        <v>63710</v>
      </c>
      <c r="E98" s="10">
        <v>0</v>
      </c>
      <c r="F98" s="10">
        <f t="shared" si="14"/>
        <v>63710</v>
      </c>
      <c r="G98" s="11" t="str">
        <f t="shared" si="15"/>
        <v/>
      </c>
      <c r="H98" s="12">
        <v>171573.9</v>
      </c>
      <c r="I98" s="12">
        <f t="shared" si="16"/>
        <v>-107863.9</v>
      </c>
      <c r="J98" s="13">
        <f t="shared" si="17"/>
        <v>-0.62867312569102873</v>
      </c>
      <c r="K98" s="37" t="s">
        <v>123</v>
      </c>
      <c r="L98" s="111" t="s">
        <v>124</v>
      </c>
      <c r="M98" s="116"/>
      <c r="N98" s="116"/>
      <c r="O98" s="116"/>
      <c r="P98" s="116"/>
      <c r="Q98" s="116"/>
      <c r="R98" s="116"/>
      <c r="S98" s="116"/>
      <c r="T98" s="116"/>
    </row>
    <row r="99" spans="1:20" ht="43.15">
      <c r="A99" s="26" t="str">
        <v>Telegraph 1</v>
      </c>
      <c r="B99" s="27" t="str">
        <v>NY</v>
      </c>
      <c r="C99" s="27" t="str">
        <f>Sites[[#This Row],[SOL'#]]</f>
        <v>SOL-11003</v>
      </c>
      <c r="D99" s="9">
        <v>136202</v>
      </c>
      <c r="E99" s="14">
        <v>0</v>
      </c>
      <c r="F99" s="14">
        <f t="shared" si="14"/>
        <v>136202</v>
      </c>
      <c r="G99" s="15" t="str">
        <f t="shared" si="15"/>
        <v/>
      </c>
      <c r="H99" s="16">
        <v>286022.2</v>
      </c>
      <c r="I99" s="16">
        <f t="shared" si="16"/>
        <v>-149820.20000000001</v>
      </c>
      <c r="J99" s="15">
        <f t="shared" si="17"/>
        <v>-0.52380619406465656</v>
      </c>
      <c r="K99" s="56" t="s">
        <v>125</v>
      </c>
      <c r="L99" s="112" t="s">
        <v>126</v>
      </c>
      <c r="M99" s="115" t="s">
        <v>127</v>
      </c>
      <c r="N99" s="115" t="s">
        <v>128</v>
      </c>
      <c r="O99" s="116"/>
      <c r="P99" s="116"/>
      <c r="Q99" s="116"/>
      <c r="R99" s="116"/>
      <c r="S99" s="116"/>
      <c r="T99" s="116"/>
    </row>
    <row r="100" spans="1:20" ht="57.6">
      <c r="A100" s="24" t="str">
        <v>Telegraph 2</v>
      </c>
      <c r="B100" s="25" t="str">
        <v>NY</v>
      </c>
      <c r="C100" s="25" t="str">
        <f>Sites[[#This Row],[SOL'#]]</f>
        <v>SOL-11004</v>
      </c>
      <c r="D100" s="20">
        <v>87233</v>
      </c>
      <c r="E100" s="10">
        <v>0</v>
      </c>
      <c r="F100" s="10">
        <f t="shared" si="14"/>
        <v>87233</v>
      </c>
      <c r="G100" s="11" t="str">
        <f t="shared" si="15"/>
        <v/>
      </c>
      <c r="H100" s="12">
        <v>146627.1</v>
      </c>
      <c r="I100" s="12">
        <f t="shared" si="16"/>
        <v>-59394.100000000006</v>
      </c>
      <c r="J100" s="13">
        <f t="shared" si="17"/>
        <v>-0.40506904930943871</v>
      </c>
      <c r="K100" s="37" t="s">
        <v>129</v>
      </c>
      <c r="L100" s="111" t="s">
        <v>130</v>
      </c>
      <c r="M100" s="115" t="s">
        <v>131</v>
      </c>
      <c r="N100" s="115" t="s">
        <v>132</v>
      </c>
      <c r="O100" s="116"/>
      <c r="P100" s="116"/>
      <c r="Q100" s="116"/>
      <c r="R100" s="116"/>
      <c r="S100" s="116"/>
      <c r="T100" s="116"/>
    </row>
    <row r="101" spans="1:20" ht="43.15">
      <c r="A101" s="26" t="str">
        <v>Cafferty Hill</v>
      </c>
      <c r="B101" s="27" t="str">
        <v>NY</v>
      </c>
      <c r="C101" s="27" t="str">
        <f>Sites[[#This Row],[SOL'#]]</f>
        <v>SOL-10996</v>
      </c>
      <c r="D101" s="9">
        <v>349660</v>
      </c>
      <c r="E101" s="14">
        <v>0</v>
      </c>
      <c r="F101" s="14">
        <f t="shared" si="14"/>
        <v>349660</v>
      </c>
      <c r="G101" s="15" t="str">
        <f t="shared" si="15"/>
        <v/>
      </c>
      <c r="H101" s="16">
        <v>373143.4</v>
      </c>
      <c r="I101" s="16">
        <f t="shared" si="16"/>
        <v>-23483.400000000023</v>
      </c>
      <c r="J101" s="15">
        <f t="shared" si="17"/>
        <v>-6.2933981949030909E-2</v>
      </c>
      <c r="K101" s="56" t="s">
        <v>133</v>
      </c>
      <c r="L101" s="112" t="s">
        <v>134</v>
      </c>
      <c r="M101" s="115" t="s">
        <v>135</v>
      </c>
      <c r="N101" s="116"/>
      <c r="O101" s="116"/>
      <c r="P101" s="116"/>
      <c r="Q101" s="116"/>
      <c r="R101" s="116"/>
      <c r="S101" s="116"/>
      <c r="T101" s="116"/>
    </row>
    <row r="102" spans="1:20" ht="129.6">
      <c r="A102" s="24" t="str">
        <v>Dunkleman</v>
      </c>
      <c r="B102" s="25" t="str">
        <v>NY</v>
      </c>
      <c r="C102" s="25" t="str">
        <f>Sites[[#This Row],[SOL'#]]</f>
        <v>SOL-11008</v>
      </c>
      <c r="D102" s="20">
        <v>142060</v>
      </c>
      <c r="E102" s="10">
        <v>0</v>
      </c>
      <c r="F102" s="10">
        <f t="shared" si="14"/>
        <v>142060</v>
      </c>
      <c r="G102" s="11" t="str">
        <f t="shared" si="15"/>
        <v/>
      </c>
      <c r="H102" s="12">
        <v>369715.7</v>
      </c>
      <c r="I102" s="12">
        <f t="shared" si="16"/>
        <v>-227655.7</v>
      </c>
      <c r="J102" s="13">
        <f t="shared" si="17"/>
        <v>-0.61575881143267652</v>
      </c>
      <c r="K102" s="37" t="s">
        <v>136</v>
      </c>
      <c r="L102" s="111" t="s">
        <v>137</v>
      </c>
      <c r="M102" s="115" t="s">
        <v>138</v>
      </c>
      <c r="N102" s="116"/>
      <c r="O102" s="116"/>
      <c r="P102" s="116"/>
      <c r="Q102" s="116"/>
      <c r="R102" s="116"/>
      <c r="S102" s="116"/>
      <c r="T102" s="116"/>
    </row>
    <row r="103" spans="1:20" ht="28.9">
      <c r="A103" s="26" t="str">
        <v>Route 19 1</v>
      </c>
      <c r="B103" s="27" t="str">
        <v>NY</v>
      </c>
      <c r="C103" s="27" t="str">
        <f>Sites[[#This Row],[SOL'#]]</f>
        <v>SOL-11001</v>
      </c>
      <c r="D103" s="9">
        <v>100050</v>
      </c>
      <c r="E103" s="14">
        <v>0</v>
      </c>
      <c r="F103" s="14">
        <f t="shared" si="14"/>
        <v>100050</v>
      </c>
      <c r="G103" s="15" t="str">
        <f t="shared" si="15"/>
        <v/>
      </c>
      <c r="H103" s="16">
        <v>154567.79999999999</v>
      </c>
      <c r="I103" s="16">
        <f t="shared" si="16"/>
        <v>-54517.799999999988</v>
      </c>
      <c r="J103" s="15">
        <f t="shared" si="17"/>
        <v>-0.35271123739873372</v>
      </c>
      <c r="K103" s="56" t="s">
        <v>139</v>
      </c>
      <c r="L103" s="112" t="s">
        <v>140</v>
      </c>
      <c r="M103" s="116"/>
      <c r="N103" s="116"/>
      <c r="O103" s="116"/>
      <c r="P103" s="116"/>
      <c r="Q103" s="116"/>
      <c r="R103" s="116"/>
      <c r="S103" s="116"/>
      <c r="T103" s="116"/>
    </row>
    <row r="104" spans="1:20" ht="72">
      <c r="A104" s="24" t="str">
        <v>Route 19 2</v>
      </c>
      <c r="B104" s="25" t="str">
        <v>NY</v>
      </c>
      <c r="C104" s="25" t="str">
        <f>Sites[[#This Row],[SOL'#]]</f>
        <v>SOL-11002</v>
      </c>
      <c r="D104" s="20">
        <v>273860</v>
      </c>
      <c r="E104" s="10">
        <v>0</v>
      </c>
      <c r="F104" s="10">
        <f t="shared" si="14"/>
        <v>273860</v>
      </c>
      <c r="G104" s="11" t="str">
        <f t="shared" si="15"/>
        <v/>
      </c>
      <c r="H104" s="12">
        <v>409574.6</v>
      </c>
      <c r="I104" s="12">
        <f t="shared" si="16"/>
        <v>-135714.59999999998</v>
      </c>
      <c r="J104" s="13">
        <f t="shared" si="17"/>
        <v>-0.33135502055059074</v>
      </c>
      <c r="K104" s="37" t="s">
        <v>141</v>
      </c>
      <c r="L104" s="111" t="s">
        <v>142</v>
      </c>
      <c r="M104" s="115" t="s">
        <v>143</v>
      </c>
      <c r="N104" s="116"/>
      <c r="O104" s="116"/>
      <c r="P104" s="116"/>
      <c r="Q104" s="116"/>
      <c r="R104" s="116"/>
      <c r="S104" s="116"/>
      <c r="T104" s="116"/>
    </row>
    <row r="105" spans="1:20" ht="28.9">
      <c r="A105" s="26" t="str">
        <v>Yellow Mills 1</v>
      </c>
      <c r="B105" s="27" t="str">
        <v>NY</v>
      </c>
      <c r="C105" s="27" t="str">
        <f>Sites[[#This Row],[SOL'#]]</f>
        <v>SOL-11006</v>
      </c>
      <c r="D105" s="9">
        <v>43612</v>
      </c>
      <c r="E105" s="14">
        <v>0</v>
      </c>
      <c r="F105" s="14">
        <f t="shared" si="14"/>
        <v>43612</v>
      </c>
      <c r="G105" s="15" t="str">
        <f t="shared" si="15"/>
        <v/>
      </c>
      <c r="H105" s="16">
        <v>123508.6</v>
      </c>
      <c r="I105" s="16">
        <f t="shared" si="16"/>
        <v>-79896.600000000006</v>
      </c>
      <c r="J105" s="15">
        <f t="shared" si="17"/>
        <v>-0.646890985728929</v>
      </c>
      <c r="K105" s="56" t="s">
        <v>144</v>
      </c>
      <c r="L105" s="112" t="s">
        <v>145</v>
      </c>
      <c r="M105" s="115" t="s">
        <v>146</v>
      </c>
      <c r="N105" s="115" t="s">
        <v>147</v>
      </c>
      <c r="O105" s="116"/>
      <c r="P105" s="116"/>
      <c r="Q105" s="116"/>
      <c r="R105" s="116"/>
      <c r="S105" s="116"/>
      <c r="T105" s="116"/>
    </row>
    <row r="106" spans="1:20" ht="15.6">
      <c r="A106" s="24" t="str">
        <v>Yellow Mills 2</v>
      </c>
      <c r="B106" s="25" t="str">
        <v>NY</v>
      </c>
      <c r="C106" s="25" t="str">
        <f>Sites[[#This Row],[SOL'#]]</f>
        <v>SOL-11005</v>
      </c>
      <c r="D106" s="20">
        <v>133771</v>
      </c>
      <c r="E106" s="10">
        <v>0</v>
      </c>
      <c r="F106" s="10">
        <f t="shared" si="14"/>
        <v>133771</v>
      </c>
      <c r="G106" s="11" t="str">
        <f t="shared" si="15"/>
        <v/>
      </c>
      <c r="H106" s="12">
        <v>126216.1</v>
      </c>
      <c r="I106" s="12">
        <f t="shared" si="16"/>
        <v>7554.8999999999942</v>
      </c>
      <c r="J106" s="13">
        <f t="shared" si="17"/>
        <v>5.9856864536299202E-2</v>
      </c>
      <c r="K106" s="37" t="s">
        <v>148</v>
      </c>
      <c r="L106" s="111" t="s">
        <v>149</v>
      </c>
      <c r="M106" s="116"/>
      <c r="N106" s="116"/>
      <c r="O106" s="116"/>
      <c r="P106" s="116"/>
      <c r="Q106" s="116"/>
      <c r="R106" s="116"/>
      <c r="S106" s="116"/>
      <c r="T106" s="116"/>
    </row>
    <row r="107" spans="1:20" ht="15.6">
      <c r="A107" s="26" t="str">
        <v>Yellow Mills 3</v>
      </c>
      <c r="B107" s="27" t="str">
        <v>NY</v>
      </c>
      <c r="C107" s="27" t="str">
        <f>Sites[[#This Row],[SOL'#]]</f>
        <v>SOL-11007</v>
      </c>
      <c r="D107" s="9">
        <v>125120</v>
      </c>
      <c r="E107" s="14">
        <v>0</v>
      </c>
      <c r="F107" s="14">
        <f t="shared" si="14"/>
        <v>125120</v>
      </c>
      <c r="G107" s="15" t="str">
        <f t="shared" si="15"/>
        <v/>
      </c>
      <c r="H107" s="16">
        <v>111400.8</v>
      </c>
      <c r="I107" s="16">
        <f t="shared" si="16"/>
        <v>13719.199999999997</v>
      </c>
      <c r="J107" s="15">
        <f t="shared" si="17"/>
        <v>0.12315171883864386</v>
      </c>
      <c r="K107" s="56" t="s">
        <v>150</v>
      </c>
      <c r="L107" s="112" t="s">
        <v>151</v>
      </c>
      <c r="M107" s="116"/>
      <c r="N107" s="116"/>
      <c r="O107" s="116"/>
      <c r="P107" s="116"/>
      <c r="Q107" s="116"/>
      <c r="R107" s="116"/>
      <c r="S107" s="116"/>
      <c r="T107" s="116"/>
    </row>
    <row r="108" spans="1:20" ht="28.9">
      <c r="A108" s="24" t="str">
        <v>Catskill</v>
      </c>
      <c r="B108" s="25" t="str">
        <v>NY</v>
      </c>
      <c r="C108" s="25" t="str">
        <f>Sites[[#This Row],[SOL'#]]</f>
        <v>SOL-11021</v>
      </c>
      <c r="D108" s="20">
        <v>203760</v>
      </c>
      <c r="E108" s="10">
        <v>0</v>
      </c>
      <c r="F108" s="10">
        <f t="shared" si="14"/>
        <v>203760</v>
      </c>
      <c r="G108" s="11" t="str">
        <f t="shared" si="15"/>
        <v/>
      </c>
      <c r="H108" s="12">
        <v>295119.3</v>
      </c>
      <c r="I108" s="12">
        <f t="shared" si="16"/>
        <v>-91359.299999999988</v>
      </c>
      <c r="J108" s="13">
        <f t="shared" si="17"/>
        <v>-0.30956735123727924</v>
      </c>
      <c r="K108" s="37" t="s">
        <v>152</v>
      </c>
      <c r="L108" s="111" t="s">
        <v>153</v>
      </c>
      <c r="M108" s="115" t="s">
        <v>154</v>
      </c>
      <c r="N108" s="116"/>
      <c r="O108" s="116"/>
      <c r="P108" s="116"/>
      <c r="Q108" s="116"/>
      <c r="R108" s="116"/>
      <c r="S108" s="116"/>
      <c r="T108" s="116"/>
    </row>
    <row r="109" spans="1:20" ht="15.6">
      <c r="A109" s="26" t="str">
        <v>Eddy Ridge</v>
      </c>
      <c r="B109" s="27" t="str">
        <v>NY</v>
      </c>
      <c r="C109" s="27" t="str">
        <f>Sites[[#This Row],[SOL'#]]</f>
        <v>SOL-11054</v>
      </c>
      <c r="D109" s="9">
        <v>142318.1</v>
      </c>
      <c r="E109" s="14">
        <v>0</v>
      </c>
      <c r="F109" s="14">
        <f t="shared" si="14"/>
        <v>142318.1</v>
      </c>
      <c r="G109" s="15" t="str">
        <f t="shared" si="15"/>
        <v/>
      </c>
      <c r="H109" s="16">
        <v>176115</v>
      </c>
      <c r="I109" s="16">
        <f t="shared" si="16"/>
        <v>-33796.899999999994</v>
      </c>
      <c r="J109" s="15">
        <f t="shared" si="17"/>
        <v>-0.19190245010362544</v>
      </c>
      <c r="K109" s="56" t="s">
        <v>155</v>
      </c>
      <c r="L109" s="112" t="s">
        <v>156</v>
      </c>
      <c r="M109" s="116"/>
      <c r="N109" s="116"/>
      <c r="O109" s="116"/>
      <c r="P109" s="116"/>
      <c r="Q109" s="116"/>
      <c r="R109" s="116"/>
      <c r="S109" s="116"/>
      <c r="T109" s="116"/>
    </row>
    <row r="110" spans="1:20" ht="15.6">
      <c r="A110" s="24" t="str">
        <v>Ridgeway #1</v>
      </c>
      <c r="B110" s="25" t="str">
        <v>NY</v>
      </c>
      <c r="C110" s="25" t="str">
        <f>Sites[[#This Row],[SOL'#]]</f>
        <v>SOL-11018</v>
      </c>
      <c r="D110" s="20">
        <v>278224</v>
      </c>
      <c r="E110" s="10">
        <v>0</v>
      </c>
      <c r="F110" s="10">
        <f t="shared" si="14"/>
        <v>278224</v>
      </c>
      <c r="G110" s="11" t="str">
        <f t="shared" si="15"/>
        <v/>
      </c>
      <c r="H110" s="12">
        <v>426059</v>
      </c>
      <c r="I110" s="12">
        <f t="shared" si="16"/>
        <v>-147835</v>
      </c>
      <c r="J110" s="13">
        <f t="shared" si="17"/>
        <v>-0.34698246017570339</v>
      </c>
      <c r="K110" s="59" t="s">
        <v>50</v>
      </c>
      <c r="L110" s="59"/>
      <c r="M110" s="116"/>
      <c r="N110" s="116"/>
      <c r="O110" s="116"/>
      <c r="P110" s="116"/>
      <c r="Q110" s="116"/>
      <c r="R110" s="116"/>
      <c r="S110" s="116"/>
      <c r="T110" s="116"/>
    </row>
    <row r="111" spans="1:20" ht="15.6">
      <c r="A111" s="26" t="str">
        <v>Rivard 1</v>
      </c>
      <c r="B111" s="27" t="str">
        <v>NY</v>
      </c>
      <c r="C111" s="27" t="str">
        <f>Sites[[#This Row],[SOL'#]]</f>
        <v>SOL-11011</v>
      </c>
      <c r="D111" s="9">
        <v>179839.57894736901</v>
      </c>
      <c r="E111" s="14">
        <v>270917.40000000002</v>
      </c>
      <c r="F111" s="14">
        <f t="shared" si="14"/>
        <v>-91077.821052631014</v>
      </c>
      <c r="G111" s="15">
        <f t="shared" si="15"/>
        <v>-0.33618298807175545</v>
      </c>
      <c r="H111" s="16">
        <v>258355.8</v>
      </c>
      <c r="I111" s="16">
        <f t="shared" si="16"/>
        <v>-78516.221052630979</v>
      </c>
      <c r="J111" s="15">
        <f t="shared" si="17"/>
        <v>-0.30390732877926868</v>
      </c>
      <c r="K111" s="119" t="s">
        <v>50</v>
      </c>
      <c r="L111" s="58"/>
      <c r="M111" s="116"/>
      <c r="N111" s="116"/>
      <c r="O111" s="116"/>
      <c r="P111" s="116"/>
      <c r="Q111" s="116"/>
      <c r="R111" s="116"/>
      <c r="S111" s="116"/>
      <c r="T111" s="116"/>
    </row>
    <row r="112" spans="1:20" ht="28.9">
      <c r="A112" s="24" t="str">
        <v>Rivard 2</v>
      </c>
      <c r="B112" s="25" t="str">
        <v>NY</v>
      </c>
      <c r="C112" s="25" t="str">
        <f>Sites[[#This Row],[SOL'#]]</f>
        <v>SOL-11012</v>
      </c>
      <c r="D112" s="20">
        <v>181084.28598953399</v>
      </c>
      <c r="E112" s="10">
        <v>212124.1</v>
      </c>
      <c r="F112" s="10">
        <f t="shared" si="14"/>
        <v>-31039.814010466012</v>
      </c>
      <c r="G112" s="11">
        <f t="shared" si="15"/>
        <v>-0.14632855960480687</v>
      </c>
      <c r="H112" s="12">
        <v>246477.3</v>
      </c>
      <c r="I112" s="12">
        <f t="shared" si="16"/>
        <v>-65393.014010465995</v>
      </c>
      <c r="J112" s="13">
        <f t="shared" si="17"/>
        <v>-0.26531049313858113</v>
      </c>
      <c r="K112" s="37" t="s">
        <v>157</v>
      </c>
      <c r="L112" s="111" t="s">
        <v>158</v>
      </c>
      <c r="M112" s="116"/>
      <c r="N112" s="116"/>
      <c r="O112" s="116"/>
      <c r="P112" s="116"/>
      <c r="Q112" s="116"/>
      <c r="R112" s="116"/>
      <c r="S112" s="116"/>
      <c r="T112" s="116"/>
    </row>
    <row r="113" spans="1:20" ht="15.6">
      <c r="A113" s="26" t="str">
        <v>Essex</v>
      </c>
      <c r="B113" s="27" t="str">
        <v>DC</v>
      </c>
      <c r="C113" s="27" t="str">
        <f>Sites[[#This Row],[SOL'#]]</f>
        <v>SOL-10036</v>
      </c>
      <c r="D113" s="9">
        <v>1103</v>
      </c>
      <c r="E113" s="14">
        <v>1699.8030000000001</v>
      </c>
      <c r="F113" s="14">
        <f t="shared" si="14"/>
        <v>-596.80300000000011</v>
      </c>
      <c r="G113" s="15">
        <f t="shared" si="15"/>
        <v>-0.35110127467712438</v>
      </c>
      <c r="H113" s="16">
        <v>2153.1579999999999</v>
      </c>
      <c r="I113" s="16">
        <f t="shared" si="16"/>
        <v>-1050.1579999999999</v>
      </c>
      <c r="J113" s="15">
        <f t="shared" si="17"/>
        <v>-0.48772918661798159</v>
      </c>
      <c r="K113" s="119" t="s">
        <v>50</v>
      </c>
      <c r="L113" s="57"/>
      <c r="M113" s="116"/>
      <c r="N113" s="116"/>
      <c r="O113" s="116"/>
      <c r="P113" s="116"/>
      <c r="Q113" s="116"/>
      <c r="R113" s="116"/>
      <c r="S113" s="116"/>
      <c r="T113" s="116"/>
    </row>
    <row r="114" spans="1:20" ht="15.6">
      <c r="A114" s="24" t="str">
        <v>Temple Sinai</v>
      </c>
      <c r="B114" s="25" t="str">
        <v>DC</v>
      </c>
      <c r="C114" s="25" t="str">
        <f>Sites[[#This Row],[SOL'#]]</f>
        <v>SOL-10028</v>
      </c>
      <c r="D114" s="20">
        <v>2552.3199999999501</v>
      </c>
      <c r="E114" s="10">
        <v>6182.4269999999997</v>
      </c>
      <c r="F114" s="10">
        <f t="shared" si="14"/>
        <v>-3630.1070000000495</v>
      </c>
      <c r="G114" s="11">
        <f t="shared" si="15"/>
        <v>-0.58716536402290709</v>
      </c>
      <c r="H114" s="12">
        <v>5021.5619999999999</v>
      </c>
      <c r="I114" s="12">
        <f t="shared" si="16"/>
        <v>-2469.2420000000498</v>
      </c>
      <c r="J114" s="13">
        <f t="shared" si="17"/>
        <v>-0.49172787272168494</v>
      </c>
      <c r="K114" s="59" t="s">
        <v>50</v>
      </c>
      <c r="L114" s="59"/>
      <c r="M114" s="116"/>
      <c r="N114" s="116"/>
      <c r="O114" s="116"/>
      <c r="P114" s="116"/>
      <c r="Q114" s="116"/>
      <c r="R114" s="116"/>
      <c r="S114" s="116"/>
      <c r="T114" s="116"/>
    </row>
    <row r="115" spans="1:20" ht="15.6">
      <c r="A115" s="26" t="str">
        <v>Weinberg Commons #1</v>
      </c>
      <c r="B115" s="27" t="str">
        <v>DC</v>
      </c>
      <c r="C115" s="27" t="str">
        <f>Sites[[#This Row],[SOL'#]]</f>
        <v>SOL-10039</v>
      </c>
      <c r="D115" s="9">
        <v>423</v>
      </c>
      <c r="E115" s="14">
        <v>770.59780000000001</v>
      </c>
      <c r="F115" s="14">
        <f t="shared" si="14"/>
        <v>-347.59780000000001</v>
      </c>
      <c r="G115" s="15">
        <f t="shared" si="15"/>
        <v>-0.45107551565810339</v>
      </c>
      <c r="H115" s="16">
        <v>777.08339999999998</v>
      </c>
      <c r="I115" s="16">
        <f t="shared" si="16"/>
        <v>-354.08339999999998</v>
      </c>
      <c r="J115" s="15">
        <f t="shared" si="17"/>
        <v>-0.45565688316080361</v>
      </c>
      <c r="K115" s="119" t="s">
        <v>50</v>
      </c>
      <c r="L115" s="58"/>
      <c r="M115" s="116"/>
      <c r="N115" s="116"/>
      <c r="O115" s="116"/>
      <c r="P115" s="116"/>
      <c r="Q115" s="116"/>
      <c r="R115" s="116"/>
      <c r="S115" s="116"/>
      <c r="T115" s="116"/>
    </row>
    <row r="116" spans="1:20" ht="15.6">
      <c r="A116" s="24" t="str">
        <v>Weinberg Commons #2</v>
      </c>
      <c r="B116" s="25" t="str">
        <v>DC</v>
      </c>
      <c r="C116" s="25" t="str">
        <f>Sites[[#This Row],[SOL'#]]</f>
        <v>SOL-10045</v>
      </c>
      <c r="D116" s="20">
        <v>493</v>
      </c>
      <c r="E116" s="10">
        <v>791.80420000000004</v>
      </c>
      <c r="F116" s="10">
        <f t="shared" si="14"/>
        <v>-298.80420000000004</v>
      </c>
      <c r="G116" s="11">
        <f t="shared" si="15"/>
        <v>-0.37737132488057024</v>
      </c>
      <c r="H116" s="12">
        <v>827.99239999999998</v>
      </c>
      <c r="I116" s="12">
        <f t="shared" si="16"/>
        <v>-334.99239999999998</v>
      </c>
      <c r="J116" s="13">
        <f t="shared" si="17"/>
        <v>-0.40458390680880646</v>
      </c>
      <c r="K116" s="59" t="s">
        <v>50</v>
      </c>
      <c r="L116" s="59"/>
      <c r="M116" s="116"/>
      <c r="N116" s="116"/>
      <c r="O116" s="116"/>
      <c r="P116" s="116"/>
      <c r="Q116" s="116"/>
      <c r="R116" s="116"/>
      <c r="S116" s="116"/>
      <c r="T116" s="116"/>
    </row>
    <row r="117" spans="1:20" ht="15.6">
      <c r="A117" s="26" t="str">
        <v>Weinberg Commons #3</v>
      </c>
      <c r="B117" s="27" t="str">
        <v>DC</v>
      </c>
      <c r="C117" s="27" t="str">
        <f>Sites[[#This Row],[SOL'#]]</f>
        <v>SOL-10042</v>
      </c>
      <c r="D117" s="9">
        <v>579</v>
      </c>
      <c r="E117" s="14">
        <v>894.06949999999995</v>
      </c>
      <c r="F117" s="14">
        <f t="shared" si="14"/>
        <v>-315.06949999999995</v>
      </c>
      <c r="G117" s="15">
        <f t="shared" si="15"/>
        <v>-0.35239933808277762</v>
      </c>
      <c r="H117" s="16">
        <v>862</v>
      </c>
      <c r="I117" s="16">
        <f t="shared" si="16"/>
        <v>-283</v>
      </c>
      <c r="J117" s="15">
        <f t="shared" si="17"/>
        <v>-0.32830626450116007</v>
      </c>
      <c r="K117" s="119" t="s">
        <v>50</v>
      </c>
      <c r="L117" s="58"/>
      <c r="M117" s="116"/>
      <c r="N117" s="116"/>
      <c r="O117" s="116"/>
      <c r="P117" s="116"/>
      <c r="Q117" s="116"/>
      <c r="R117" s="116"/>
      <c r="S117" s="116"/>
      <c r="T117" s="116"/>
    </row>
    <row r="118" spans="1:20" ht="15.6">
      <c r="A118" s="24" t="str">
        <v>Clayton Hall</v>
      </c>
      <c r="B118" s="25" t="str">
        <v>DE</v>
      </c>
      <c r="C118" s="25" t="str">
        <f>Sites[[#This Row],[SOL'#]]</f>
        <v>SOL-10820</v>
      </c>
      <c r="D118" s="20">
        <v>5787</v>
      </c>
      <c r="E118" s="10">
        <v>9888.4</v>
      </c>
      <c r="F118" s="10">
        <f t="shared" si="14"/>
        <v>-4101.3999999999996</v>
      </c>
      <c r="G118" s="11">
        <f t="shared" si="15"/>
        <v>-0.41476882003155208</v>
      </c>
      <c r="H118" s="12">
        <v>8468.0300000000007</v>
      </c>
      <c r="I118" s="12">
        <f t="shared" si="16"/>
        <v>-2681.0300000000007</v>
      </c>
      <c r="J118" s="13">
        <f t="shared" si="17"/>
        <v>-0.31660610555229496</v>
      </c>
      <c r="K118" s="59" t="s">
        <v>50</v>
      </c>
      <c r="L118" s="59"/>
      <c r="M118" s="116"/>
      <c r="N118" s="116"/>
      <c r="O118" s="116"/>
      <c r="P118" s="116"/>
      <c r="Q118" s="116"/>
      <c r="R118" s="116"/>
      <c r="S118" s="116"/>
      <c r="T118" s="116"/>
    </row>
    <row r="119" spans="1:20" ht="15.6">
      <c r="A119" s="26" t="str">
        <v>Field House</v>
      </c>
      <c r="B119" s="27" t="str">
        <v>DE</v>
      </c>
      <c r="C119" s="27" t="str">
        <f>Sites[[#This Row],[SOL'#]]</f>
        <v>SOL-10821</v>
      </c>
      <c r="D119" s="9">
        <v>30447</v>
      </c>
      <c r="E119" s="14">
        <v>0</v>
      </c>
      <c r="F119" s="14">
        <f t="shared" si="14"/>
        <v>30447</v>
      </c>
      <c r="G119" s="15" t="str">
        <f t="shared" si="15"/>
        <v/>
      </c>
      <c r="H119" s="16">
        <v>26938</v>
      </c>
      <c r="I119" s="16">
        <f t="shared" si="16"/>
        <v>3509</v>
      </c>
      <c r="J119" s="15">
        <f t="shared" si="17"/>
        <v>0.13026208330239811</v>
      </c>
      <c r="K119" s="56"/>
      <c r="L119" s="58"/>
      <c r="M119" s="116"/>
      <c r="N119" s="116"/>
      <c r="O119" s="116"/>
      <c r="P119" s="116"/>
      <c r="Q119" s="116"/>
      <c r="R119" s="116"/>
      <c r="S119" s="116"/>
      <c r="T119" s="116"/>
    </row>
    <row r="120" spans="1:20" ht="15.6">
      <c r="A120" s="24" t="str">
        <v>Wyoming Road</v>
      </c>
      <c r="B120" s="25" t="str">
        <v>DE</v>
      </c>
      <c r="C120" s="25" t="str">
        <f>Sites[[#This Row],[SOL'#]]</f>
        <v>SOL-10819</v>
      </c>
      <c r="D120" s="20">
        <v>0</v>
      </c>
      <c r="E120" s="10">
        <v>15379.655000000001</v>
      </c>
      <c r="F120" s="10">
        <f t="shared" si="14"/>
        <v>-15379.655000000001</v>
      </c>
      <c r="G120" s="11">
        <f t="shared" si="15"/>
        <v>-1</v>
      </c>
      <c r="H120" s="12">
        <v>15716.125</v>
      </c>
      <c r="I120" s="12">
        <f t="shared" si="16"/>
        <v>-15716.125</v>
      </c>
      <c r="J120" s="13">
        <f t="shared" si="17"/>
        <v>-1</v>
      </c>
      <c r="K120" s="37" t="s">
        <v>159</v>
      </c>
      <c r="L120" s="111" t="s">
        <v>160</v>
      </c>
      <c r="M120" s="116"/>
      <c r="N120" s="116"/>
      <c r="O120" s="116"/>
      <c r="P120" s="116"/>
      <c r="Q120" s="116"/>
      <c r="R120" s="116"/>
      <c r="S120" s="116"/>
      <c r="T120" s="116"/>
    </row>
    <row r="121" spans="1:20" ht="15.6">
      <c r="A121" s="26" t="str">
        <v>94-246 Leoku St. - PV Bldg E, F, G</v>
      </c>
      <c r="B121" s="27" t="str">
        <v>HI</v>
      </c>
      <c r="C121" s="27" t="str">
        <f>Sites[[#This Row],[SOL'#]]</f>
        <v>SOL-10071</v>
      </c>
      <c r="D121" s="9">
        <v>7974</v>
      </c>
      <c r="E121" s="14">
        <v>8441.8950000000004</v>
      </c>
      <c r="F121" s="14">
        <f t="shared" si="14"/>
        <v>-467.89500000000044</v>
      </c>
      <c r="G121" s="15">
        <f t="shared" si="15"/>
        <v>-5.5425351772321309E-2</v>
      </c>
      <c r="H121" s="16">
        <v>9806.3279999999995</v>
      </c>
      <c r="I121" s="16">
        <f t="shared" si="16"/>
        <v>-1832.3279999999995</v>
      </c>
      <c r="J121" s="15">
        <f t="shared" si="17"/>
        <v>-0.18685159215559582</v>
      </c>
      <c r="K121" s="56" t="s">
        <v>161</v>
      </c>
      <c r="L121" s="112" t="s">
        <v>162</v>
      </c>
      <c r="M121" s="116"/>
      <c r="N121" s="116"/>
      <c r="O121" s="116"/>
      <c r="P121" s="116"/>
      <c r="Q121" s="116"/>
      <c r="R121" s="116"/>
      <c r="S121" s="116"/>
      <c r="T121" s="116"/>
    </row>
    <row r="122" spans="1:20" ht="15.6">
      <c r="A122" s="24" t="str">
        <v>94-099 Waipahu St - PV</v>
      </c>
      <c r="B122" s="25" t="str">
        <v>HI</v>
      </c>
      <c r="C122" s="25" t="str">
        <f>Sites[[#This Row],[SOL'#]]</f>
        <v>SOL-10068</v>
      </c>
      <c r="D122" s="20">
        <v>10130</v>
      </c>
      <c r="E122" s="10">
        <v>8193.3529999999992</v>
      </c>
      <c r="F122" s="10">
        <f t="shared" si="14"/>
        <v>1936.6470000000008</v>
      </c>
      <c r="G122" s="11">
        <f t="shared" si="15"/>
        <v>0.23636806567470009</v>
      </c>
      <c r="H122" s="12">
        <v>9801.0810000000001</v>
      </c>
      <c r="I122" s="12">
        <f t="shared" si="16"/>
        <v>328.91899999999987</v>
      </c>
      <c r="J122" s="13">
        <f t="shared" si="17"/>
        <v>3.3559461451241945E-2</v>
      </c>
      <c r="K122" s="37"/>
      <c r="L122" s="59"/>
      <c r="M122" s="116"/>
      <c r="N122" s="116"/>
      <c r="O122" s="116"/>
      <c r="P122" s="116"/>
      <c r="Q122" s="116"/>
      <c r="R122" s="116"/>
      <c r="S122" s="116"/>
      <c r="T122" s="116"/>
    </row>
    <row r="123" spans="1:20" ht="15.6">
      <c r="A123" s="26" t="str">
        <v>TES Bird in Hand</v>
      </c>
      <c r="B123" s="27" t="str">
        <v>MD</v>
      </c>
      <c r="C123" s="27" t="str">
        <f>Sites[[#This Row],[SOL'#]]</f>
        <v>SOL-10092</v>
      </c>
      <c r="D123" s="9">
        <v>98611</v>
      </c>
      <c r="E123" s="14">
        <v>125140.9</v>
      </c>
      <c r="F123" s="14">
        <f t="shared" si="14"/>
        <v>-26529.899999999994</v>
      </c>
      <c r="G123" s="15">
        <f t="shared" si="15"/>
        <v>-0.21200023333698251</v>
      </c>
      <c r="H123" s="16">
        <v>80822.61</v>
      </c>
      <c r="I123" s="16">
        <f t="shared" si="16"/>
        <v>17788.39</v>
      </c>
      <c r="J123" s="15">
        <f t="shared" si="17"/>
        <v>0.2200917540277405</v>
      </c>
      <c r="K123" s="56" t="s">
        <v>50</v>
      </c>
      <c r="L123" s="58"/>
      <c r="M123" s="116"/>
      <c r="N123" s="116"/>
      <c r="O123" s="116"/>
      <c r="P123" s="116"/>
      <c r="Q123" s="116"/>
      <c r="R123" s="116"/>
      <c r="S123" s="116"/>
      <c r="T123" s="116"/>
    </row>
    <row r="124" spans="1:20" ht="15.6">
      <c r="A124" s="24" t="str">
        <v>TES Shortal Solar LLC</v>
      </c>
      <c r="B124" s="25" t="str">
        <v>MD</v>
      </c>
      <c r="C124" s="25" t="str">
        <f>Sites[[#This Row],[SOL'#]]</f>
        <v>SOL-10091</v>
      </c>
      <c r="D124" s="20">
        <v>102004</v>
      </c>
      <c r="E124" s="10">
        <v>83606.8</v>
      </c>
      <c r="F124" s="10">
        <f t="shared" si="14"/>
        <v>18397.199999999997</v>
      </c>
      <c r="G124" s="11">
        <f t="shared" si="15"/>
        <v>0.22004430261653354</v>
      </c>
      <c r="H124" s="12">
        <v>129786.5</v>
      </c>
      <c r="I124" s="12">
        <f t="shared" si="16"/>
        <v>-27782.5</v>
      </c>
      <c r="J124" s="13">
        <f t="shared" si="17"/>
        <v>-0.21406309593062453</v>
      </c>
      <c r="K124" s="59" t="s">
        <v>50</v>
      </c>
      <c r="L124" s="59"/>
      <c r="M124" s="116"/>
      <c r="N124" s="116"/>
      <c r="O124" s="116"/>
      <c r="P124" s="116"/>
      <c r="Q124" s="116"/>
      <c r="R124" s="116"/>
      <c r="S124" s="116"/>
      <c r="T124" s="116"/>
    </row>
    <row r="125" spans="1:20" ht="28.9">
      <c r="A125" s="26" t="str">
        <v>Coca Cola Aguadilla</v>
      </c>
      <c r="B125" s="27" t="str">
        <v>PR</v>
      </c>
      <c r="C125" s="27" t="str">
        <f>Sites[[#This Row],[SOL'#]]</f>
        <v>SOL-10072</v>
      </c>
      <c r="D125" s="9">
        <v>12842</v>
      </c>
      <c r="E125" s="14">
        <v>15178.37</v>
      </c>
      <c r="F125" s="14">
        <f t="shared" si="14"/>
        <v>-2336.3700000000008</v>
      </c>
      <c r="G125" s="15">
        <f t="shared" si="15"/>
        <v>-0.15392759565091646</v>
      </c>
      <c r="H125" s="16">
        <v>17574</v>
      </c>
      <c r="I125" s="16">
        <f t="shared" si="16"/>
        <v>-4732</v>
      </c>
      <c r="J125" s="15">
        <f t="shared" si="17"/>
        <v>-0.26926140889951067</v>
      </c>
      <c r="K125" s="56" t="s">
        <v>163</v>
      </c>
      <c r="L125" s="112" t="s">
        <v>164</v>
      </c>
      <c r="M125" s="115" t="s">
        <v>165</v>
      </c>
      <c r="N125" s="116"/>
      <c r="O125" s="116"/>
      <c r="P125" s="116"/>
      <c r="Q125" s="116"/>
      <c r="R125" s="116"/>
      <c r="S125" s="116"/>
      <c r="T125" s="116"/>
    </row>
    <row r="126" spans="1:20" ht="123.75" customHeight="1">
      <c r="A126" s="24" t="str">
        <v>Coca Cola Bayamon</v>
      </c>
      <c r="B126" s="25" t="str">
        <v>PR</v>
      </c>
      <c r="C126" s="25" t="str">
        <f>Sites[[#This Row],[SOL'#]]</f>
        <v>SOL-10073</v>
      </c>
      <c r="D126" s="20">
        <v>48400</v>
      </c>
      <c r="E126" s="10">
        <v>61566.34</v>
      </c>
      <c r="F126" s="10">
        <f t="shared" si="14"/>
        <v>-13166.339999999997</v>
      </c>
      <c r="G126" s="11">
        <f t="shared" si="15"/>
        <v>-0.21385614282089851</v>
      </c>
      <c r="H126" s="12">
        <v>71395</v>
      </c>
      <c r="I126" s="12">
        <f t="shared" si="16"/>
        <v>-22995</v>
      </c>
      <c r="J126" s="13">
        <f t="shared" si="17"/>
        <v>-0.32208137824777644</v>
      </c>
      <c r="K126" s="37" t="s">
        <v>166</v>
      </c>
      <c r="L126" s="111" t="s">
        <v>167</v>
      </c>
      <c r="M126" s="115" t="s">
        <v>168</v>
      </c>
      <c r="N126" s="115" t="s">
        <v>169</v>
      </c>
      <c r="O126" s="115" t="s">
        <v>170</v>
      </c>
      <c r="P126" s="115" t="s">
        <v>171</v>
      </c>
      <c r="Q126" s="116"/>
      <c r="R126" s="116"/>
      <c r="S126" s="116"/>
      <c r="T126" s="116"/>
    </row>
    <row r="127" spans="1:20" ht="158.25" customHeight="1">
      <c r="A127" s="26" t="str">
        <v>St Francis School</v>
      </c>
      <c r="B127" s="27" t="str">
        <v>PR</v>
      </c>
      <c r="C127" s="27" t="str">
        <f>Sites[[#This Row],[SOL'#]]</f>
        <v>SOL-10034</v>
      </c>
      <c r="D127" s="9">
        <v>16576</v>
      </c>
      <c r="E127" s="14">
        <v>34340.120000000003</v>
      </c>
      <c r="F127" s="14">
        <f t="shared" si="14"/>
        <v>-17764.120000000003</v>
      </c>
      <c r="G127" s="15">
        <f t="shared" si="15"/>
        <v>-0.51729929889586879</v>
      </c>
      <c r="H127" s="16">
        <v>32478</v>
      </c>
      <c r="I127" s="16">
        <f t="shared" si="16"/>
        <v>-15902</v>
      </c>
      <c r="J127" s="15">
        <f t="shared" si="17"/>
        <v>-0.4896237453045138</v>
      </c>
      <c r="K127" s="57" t="s">
        <v>172</v>
      </c>
      <c r="L127" s="126" t="s">
        <v>173</v>
      </c>
      <c r="M127" s="126" t="s">
        <v>174</v>
      </c>
      <c r="N127" s="115" t="s">
        <v>175</v>
      </c>
      <c r="O127" s="115" t="s">
        <v>176</v>
      </c>
      <c r="P127" s="115" t="s">
        <v>177</v>
      </c>
      <c r="Q127" s="115" t="s">
        <v>178</v>
      </c>
      <c r="R127" s="115" t="s">
        <v>179</v>
      </c>
      <c r="S127" s="115" t="s">
        <v>180</v>
      </c>
      <c r="T127" s="115" t="s">
        <v>181</v>
      </c>
    </row>
    <row r="128" spans="1:20" ht="28.9">
      <c r="A128" s="24" t="str">
        <v>645 Summer Street - (Seaport Solar)</v>
      </c>
      <c r="B128" s="25" t="str">
        <v>MA</v>
      </c>
      <c r="C128" s="25" t="str">
        <f>Sites[[#This Row],[SOL'#]]</f>
        <v>SOL-10772</v>
      </c>
      <c r="D128" s="20">
        <v>26369.5</v>
      </c>
      <c r="E128" s="10">
        <v>785.40150000000006</v>
      </c>
      <c r="F128" s="10">
        <f t="shared" si="14"/>
        <v>25584.0985</v>
      </c>
      <c r="G128" s="11">
        <f t="shared" si="15"/>
        <v>32.574547540334464</v>
      </c>
      <c r="H128" s="12">
        <v>22961.7</v>
      </c>
      <c r="I128" s="12">
        <f t="shared" si="16"/>
        <v>3407.7999999999993</v>
      </c>
      <c r="J128" s="13">
        <f t="shared" si="17"/>
        <v>0.1484123562279796</v>
      </c>
      <c r="K128" s="37" t="s">
        <v>182</v>
      </c>
      <c r="L128" s="111" t="s">
        <v>183</v>
      </c>
      <c r="M128" s="116"/>
      <c r="N128" s="116"/>
      <c r="O128" s="116"/>
      <c r="P128" s="116"/>
      <c r="Q128" s="116"/>
      <c r="R128" s="116"/>
      <c r="S128" s="116"/>
      <c r="T128" s="116"/>
    </row>
    <row r="129" spans="1:20" ht="15.6">
      <c r="A129" s="26" t="str">
        <v>480 Sprague St</v>
      </c>
      <c r="B129" s="27" t="str">
        <v>MA</v>
      </c>
      <c r="C129" s="27" t="str">
        <f>Sites[[#This Row],[SOL'#]]</f>
        <v>SOL-10773</v>
      </c>
      <c r="D129" s="9">
        <v>51260</v>
      </c>
      <c r="E129" s="14">
        <v>71386.84</v>
      </c>
      <c r="F129" s="14">
        <f t="shared" si="14"/>
        <v>-20126.839999999997</v>
      </c>
      <c r="G129" s="15">
        <f t="shared" si="15"/>
        <v>-0.28194048090656482</v>
      </c>
      <c r="H129" s="16">
        <v>51080.3</v>
      </c>
      <c r="I129" s="16">
        <f t="shared" si="16"/>
        <v>179.69999999999709</v>
      </c>
      <c r="J129" s="15">
        <f t="shared" si="17"/>
        <v>3.5179903015447652E-3</v>
      </c>
      <c r="K129" s="56" t="s">
        <v>50</v>
      </c>
      <c r="L129" s="58"/>
      <c r="M129" s="116"/>
      <c r="N129" s="116"/>
      <c r="O129" s="116"/>
      <c r="P129" s="116"/>
      <c r="Q129" s="116"/>
      <c r="R129" s="116"/>
      <c r="S129" s="116"/>
      <c r="T129" s="116"/>
    </row>
    <row r="130" spans="1:20" ht="15.6">
      <c r="A130" s="24" t="str">
        <v>647 Summer Street - (Summer Street Solar)</v>
      </c>
      <c r="B130" s="25" t="str">
        <v>MA</v>
      </c>
      <c r="C130" s="25" t="str">
        <f>Sites[[#This Row],[SOL'#]]</f>
        <v>SOL-10764</v>
      </c>
      <c r="D130" s="20">
        <v>133768</v>
      </c>
      <c r="E130" s="10">
        <v>150485.9</v>
      </c>
      <c r="F130" s="10">
        <f t="shared" si="14"/>
        <v>-16717.899999999994</v>
      </c>
      <c r="G130" s="11">
        <f t="shared" si="15"/>
        <v>-0.11109280005635076</v>
      </c>
      <c r="H130" s="12">
        <v>127039.2</v>
      </c>
      <c r="I130" s="12">
        <f t="shared" si="16"/>
        <v>6728.8000000000029</v>
      </c>
      <c r="J130" s="13">
        <f t="shared" si="17"/>
        <v>5.2966328503328129E-2</v>
      </c>
      <c r="K130" s="37" t="s">
        <v>50</v>
      </c>
      <c r="L130" s="59"/>
      <c r="M130" s="116"/>
      <c r="N130" s="116"/>
      <c r="O130" s="116"/>
      <c r="P130" s="116"/>
      <c r="Q130" s="116"/>
      <c r="R130" s="116"/>
      <c r="S130" s="116"/>
      <c r="T130" s="116"/>
    </row>
    <row r="131" spans="1:20" ht="15.6">
      <c r="A131" s="26" t="str">
        <v>Rochester Technical School (Wakefield Street)</v>
      </c>
      <c r="B131" s="27" t="str">
        <v>NH</v>
      </c>
      <c r="C131" s="27" t="str">
        <f>Sites[[#This Row],[SOL'#]]</f>
        <v>SOL-10768</v>
      </c>
      <c r="D131" s="9">
        <v>2926.0042360000002</v>
      </c>
      <c r="E131" s="14">
        <v>6829.9709999999995</v>
      </c>
      <c r="F131" s="14">
        <f t="shared" si="14"/>
        <v>-3903.9667639999993</v>
      </c>
      <c r="G131" s="15">
        <f t="shared" si="15"/>
        <v>-0.57159346123138732</v>
      </c>
      <c r="H131" s="16">
        <v>4611.1369999999997</v>
      </c>
      <c r="I131" s="16">
        <f t="shared" si="16"/>
        <v>-1685.1327639999995</v>
      </c>
      <c r="J131" s="15">
        <f t="shared" si="17"/>
        <v>-0.36544842714497522</v>
      </c>
      <c r="K131" s="119" t="s">
        <v>50</v>
      </c>
      <c r="L131" s="58"/>
      <c r="M131" s="116"/>
      <c r="N131" s="116"/>
      <c r="O131" s="116"/>
      <c r="P131" s="116"/>
      <c r="Q131" s="116"/>
      <c r="R131" s="116"/>
      <c r="S131" s="116"/>
      <c r="T131" s="116"/>
    </row>
    <row r="132" spans="1:20" ht="15.6">
      <c r="A132" s="24" t="str">
        <v>McClelland ES</v>
      </c>
      <c r="B132" s="25" t="str">
        <v>NH</v>
      </c>
      <c r="C132" s="25" t="str">
        <f>Sites[[#This Row],[SOL'#]]</f>
        <v>SOL-10766</v>
      </c>
      <c r="D132" s="20">
        <v>3766.438564</v>
      </c>
      <c r="E132" s="10">
        <v>6708.2079999999996</v>
      </c>
      <c r="F132" s="10">
        <f t="shared" si="14"/>
        <v>-2941.7694359999996</v>
      </c>
      <c r="G132" s="11">
        <f t="shared" si="15"/>
        <v>-0.43853282963199708</v>
      </c>
      <c r="H132" s="12">
        <v>3403.4430000000002</v>
      </c>
      <c r="I132" s="12">
        <f t="shared" si="16"/>
        <v>362.99556399999983</v>
      </c>
      <c r="J132" s="13">
        <f t="shared" si="17"/>
        <v>0.10665539690248957</v>
      </c>
      <c r="K132" s="37"/>
      <c r="L132" s="59"/>
      <c r="M132" s="116"/>
      <c r="N132" s="116"/>
      <c r="O132" s="116"/>
      <c r="P132" s="116"/>
      <c r="Q132" s="116"/>
      <c r="R132" s="116"/>
      <c r="S132" s="116"/>
      <c r="T132" s="116"/>
    </row>
    <row r="133" spans="1:20" ht="15.6">
      <c r="A133" s="26" t="str">
        <v>Portland St</v>
      </c>
      <c r="B133" s="27" t="str">
        <v>NH</v>
      </c>
      <c r="C133" s="27" t="str">
        <f>Sites[[#This Row],[SOL'#]]</f>
        <v>SOL-10771</v>
      </c>
      <c r="D133" s="9">
        <v>2419</v>
      </c>
      <c r="E133" s="14">
        <v>3961.7660000000001</v>
      </c>
      <c r="F133" s="14">
        <f t="shared" si="14"/>
        <v>-1542.7660000000001</v>
      </c>
      <c r="G133" s="15">
        <f t="shared" si="15"/>
        <v>-0.38941371095617461</v>
      </c>
      <c r="H133" s="16">
        <v>4214.4799999999996</v>
      </c>
      <c r="I133" s="16">
        <f t="shared" si="16"/>
        <v>-1795.4799999999996</v>
      </c>
      <c r="J133" s="15">
        <f t="shared" si="17"/>
        <v>-0.42602646115297732</v>
      </c>
      <c r="K133" s="119" t="s">
        <v>50</v>
      </c>
      <c r="L133" s="58"/>
      <c r="M133" s="116"/>
      <c r="N133" s="116"/>
      <c r="O133" s="116"/>
      <c r="P133" s="116"/>
      <c r="Q133" s="116"/>
      <c r="R133" s="116"/>
      <c r="S133" s="116"/>
      <c r="T133" s="116"/>
    </row>
    <row r="134" spans="1:20" ht="15.6">
      <c r="A134" s="24" t="str">
        <v>Freshet Road -PHS</v>
      </c>
      <c r="B134" s="25" t="str">
        <v>NH</v>
      </c>
      <c r="C134" s="25" t="str">
        <f>Sites[[#This Row],[SOL'#]]</f>
        <v>SOL-10769</v>
      </c>
      <c r="D134" s="20">
        <v>11278.625</v>
      </c>
      <c r="E134" s="10">
        <v>5673.085</v>
      </c>
      <c r="F134" s="10">
        <f t="shared" si="14"/>
        <v>5605.54</v>
      </c>
      <c r="G134" s="11">
        <f t="shared" si="15"/>
        <v>0.98809377966309331</v>
      </c>
      <c r="H134" s="12">
        <v>16344.56</v>
      </c>
      <c r="I134" s="12">
        <f t="shared" si="16"/>
        <v>-5065.9349999999995</v>
      </c>
      <c r="J134" s="13">
        <f t="shared" si="17"/>
        <v>-0.3099462451115233</v>
      </c>
      <c r="K134" s="37" t="s">
        <v>184</v>
      </c>
      <c r="L134" s="111" t="s">
        <v>185</v>
      </c>
      <c r="M134" s="116"/>
      <c r="N134" s="116"/>
      <c r="O134" s="116"/>
      <c r="P134" s="116"/>
      <c r="Q134" s="116"/>
      <c r="R134" s="116"/>
      <c r="S134" s="116"/>
      <c r="T134" s="116"/>
    </row>
    <row r="135" spans="1:20" ht="28.9">
      <c r="A135" s="26" t="str">
        <v>Freshet Road - PWTP</v>
      </c>
      <c r="B135" s="27" t="str">
        <v>NH</v>
      </c>
      <c r="C135" s="27" t="str">
        <f>Sites[[#This Row],[SOL'#]]</f>
        <v>SOL-10770</v>
      </c>
      <c r="D135" s="9">
        <v>4993.5</v>
      </c>
      <c r="E135" s="14">
        <v>7501.5919999999996</v>
      </c>
      <c r="F135" s="14">
        <f t="shared" si="14"/>
        <v>-2508.0919999999996</v>
      </c>
      <c r="G135" s="15">
        <f t="shared" si="15"/>
        <v>-0.33434129715399075</v>
      </c>
      <c r="H135" s="16">
        <v>14242.65</v>
      </c>
      <c r="I135" s="16">
        <f t="shared" si="16"/>
        <v>-9249.15</v>
      </c>
      <c r="J135" s="15">
        <f t="shared" si="17"/>
        <v>-0.64939811060441699</v>
      </c>
      <c r="K135" s="56" t="s">
        <v>186</v>
      </c>
      <c r="L135" s="112" t="s">
        <v>187</v>
      </c>
      <c r="M135" s="116"/>
      <c r="N135" s="116"/>
      <c r="O135" s="116"/>
      <c r="P135" s="116"/>
      <c r="Q135" s="116"/>
      <c r="R135" s="116"/>
      <c r="S135" s="116"/>
      <c r="T135" s="116"/>
    </row>
    <row r="136" spans="1:20" ht="15.6">
      <c r="A136" s="24" t="str">
        <v>Rochester Middle School (Brock Street)</v>
      </c>
      <c r="B136" s="25" t="str">
        <v>NH</v>
      </c>
      <c r="C136" s="25" t="str">
        <f>Sites[[#This Row],[SOL'#]]</f>
        <v>SOL-10765</v>
      </c>
      <c r="D136" s="20">
        <v>9500.2462109999997</v>
      </c>
      <c r="E136" s="10">
        <v>23441.63</v>
      </c>
      <c r="F136" s="10">
        <f t="shared" si="14"/>
        <v>-13941.383789000001</v>
      </c>
      <c r="G136" s="11">
        <f t="shared" si="15"/>
        <v>-0.59472757606872906</v>
      </c>
      <c r="H136" s="12">
        <v>10978.35</v>
      </c>
      <c r="I136" s="12">
        <f t="shared" si="16"/>
        <v>-1478.1037890000007</v>
      </c>
      <c r="J136" s="13">
        <f t="shared" si="17"/>
        <v>-0.13463806391670885</v>
      </c>
      <c r="K136" s="37" t="s">
        <v>50</v>
      </c>
      <c r="L136" s="59"/>
      <c r="M136" s="116"/>
      <c r="N136" s="116"/>
      <c r="O136" s="116"/>
      <c r="P136" s="116"/>
      <c r="Q136" s="116"/>
      <c r="R136" s="116"/>
      <c r="S136" s="116"/>
      <c r="T136" s="116"/>
    </row>
    <row r="137" spans="1:20" ht="15.6">
      <c r="A137" s="26" t="str">
        <v>Spaulding High School (Wakefield Street)</v>
      </c>
      <c r="B137" s="27" t="str">
        <v>NH</v>
      </c>
      <c r="C137" s="27" t="str">
        <f>Sites[[#This Row],[SOL'#]]</f>
        <v>SOL-10767</v>
      </c>
      <c r="D137" s="9">
        <v>4532.5054559999999</v>
      </c>
      <c r="E137" s="14">
        <v>7117.8249999999998</v>
      </c>
      <c r="F137" s="14">
        <f t="shared" si="14"/>
        <v>-2585.319544</v>
      </c>
      <c r="G137" s="15">
        <f t="shared" si="15"/>
        <v>-0.36321763235257964</v>
      </c>
      <c r="H137" s="16">
        <v>5230.7579999999998</v>
      </c>
      <c r="I137" s="16">
        <f t="shared" si="16"/>
        <v>-698.25254399999994</v>
      </c>
      <c r="J137" s="15">
        <f t="shared" si="17"/>
        <v>-0.13348974355150819</v>
      </c>
      <c r="K137" s="56" t="s">
        <v>50</v>
      </c>
      <c r="L137" s="58"/>
      <c r="M137" s="116"/>
      <c r="N137" s="116"/>
      <c r="O137" s="116"/>
      <c r="P137" s="116"/>
      <c r="Q137" s="116"/>
      <c r="R137" s="116"/>
      <c r="S137" s="116"/>
      <c r="T137" s="116"/>
    </row>
    <row r="138" spans="1:20" ht="28.9">
      <c r="A138" s="24" t="str">
        <v>Ridgeway #2</v>
      </c>
      <c r="B138" s="25" t="str">
        <v>NY</v>
      </c>
      <c r="C138" s="25" t="str">
        <f>Sites[[#This Row],[SOL'#]]</f>
        <v>SOL-11027</v>
      </c>
      <c r="D138" s="20">
        <v>79273</v>
      </c>
      <c r="E138" s="10">
        <v>0</v>
      </c>
      <c r="F138" s="10">
        <f t="shared" si="14"/>
        <v>79273</v>
      </c>
      <c r="G138" s="11" t="str">
        <f t="shared" si="15"/>
        <v/>
      </c>
      <c r="H138" s="12">
        <v>219945.2</v>
      </c>
      <c r="I138" s="12">
        <f t="shared" si="16"/>
        <v>-140672.20000000001</v>
      </c>
      <c r="J138" s="13">
        <f t="shared" si="17"/>
        <v>-0.63957840407519695</v>
      </c>
      <c r="K138" s="37" t="s">
        <v>188</v>
      </c>
      <c r="L138" s="111" t="s">
        <v>189</v>
      </c>
      <c r="M138" s="115" t="s">
        <v>190</v>
      </c>
      <c r="N138" s="116"/>
      <c r="O138" s="116"/>
      <c r="P138" s="116"/>
      <c r="Q138" s="116"/>
      <c r="R138" s="116"/>
      <c r="S138" s="116"/>
      <c r="T138" s="116"/>
    </row>
    <row r="139" spans="1:20" ht="15.6">
      <c r="A139" s="26" t="str">
        <v>Spencer</v>
      </c>
      <c r="B139" s="27" t="str">
        <v>NY</v>
      </c>
      <c r="C139" s="27" t="str">
        <f>Sites[[#This Row],[SOL'#]]</f>
        <v>SOL-11017</v>
      </c>
      <c r="D139" s="9">
        <v>414005</v>
      </c>
      <c r="E139" s="14">
        <v>0</v>
      </c>
      <c r="F139" s="14">
        <f t="shared" si="14"/>
        <v>414005</v>
      </c>
      <c r="G139" s="15" t="str">
        <f t="shared" si="15"/>
        <v/>
      </c>
      <c r="H139" s="16">
        <v>306010.59999999998</v>
      </c>
      <c r="I139" s="16">
        <f t="shared" si="16"/>
        <v>107994.40000000002</v>
      </c>
      <c r="J139" s="15">
        <f t="shared" si="17"/>
        <v>0.35291065080752115</v>
      </c>
      <c r="K139" s="56" t="s">
        <v>191</v>
      </c>
      <c r="L139" s="112" t="s">
        <v>192</v>
      </c>
      <c r="M139" s="116"/>
      <c r="N139" s="116"/>
      <c r="O139" s="116"/>
      <c r="P139" s="116"/>
      <c r="Q139" s="116"/>
      <c r="R139" s="116"/>
      <c r="S139" s="116"/>
      <c r="T139" s="116"/>
    </row>
    <row r="140" spans="1:20" ht="15.6">
      <c r="A140" s="28" t="str">
        <v>Reisender</v>
      </c>
      <c r="B140" s="25" t="str">
        <v>NY</v>
      </c>
      <c r="C140" s="25" t="str">
        <f>Sites[[#This Row],[SOL'#]]</f>
        <v>SOL-10886</v>
      </c>
      <c r="D140" s="60">
        <v>103860</v>
      </c>
      <c r="E140" s="10">
        <v>170531.49299999999</v>
      </c>
      <c r="F140" s="10">
        <f t="shared" si="14"/>
        <v>-66671.492999999988</v>
      </c>
      <c r="G140" s="11">
        <f t="shared" si="15"/>
        <v>-0.39096293492252482</v>
      </c>
      <c r="H140" s="75">
        <v>141381.5</v>
      </c>
      <c r="I140" s="12">
        <f t="shared" si="16"/>
        <v>-37521.5</v>
      </c>
      <c r="J140" s="13">
        <f t="shared" si="17"/>
        <v>-0.26539186527233055</v>
      </c>
      <c r="K140" s="119" t="s">
        <v>50</v>
      </c>
      <c r="L140" s="59"/>
      <c r="M140" s="116"/>
      <c r="N140" s="116"/>
      <c r="O140" s="116"/>
      <c r="P140" s="116"/>
      <c r="Q140" s="116"/>
      <c r="R140" s="116"/>
      <c r="S140" s="116"/>
      <c r="T140" s="116"/>
    </row>
    <row r="141" spans="1:20" ht="15.6">
      <c r="A141" s="26" t="str">
        <v>Finney</v>
      </c>
      <c r="B141" s="27" t="str">
        <v>NY</v>
      </c>
      <c r="C141" s="27" t="str">
        <f>Sites[[#This Row],[SOL'#]]</f>
        <v>SOL-10999</v>
      </c>
      <c r="D141" s="74">
        <v>454350</v>
      </c>
      <c r="E141" s="14">
        <v>0</v>
      </c>
      <c r="F141" s="14">
        <f t="shared" si="14"/>
        <v>454350</v>
      </c>
      <c r="G141" s="15" t="str">
        <f t="shared" si="15"/>
        <v/>
      </c>
      <c r="H141" s="77">
        <v>423916.4</v>
      </c>
      <c r="I141" s="16">
        <f t="shared" si="16"/>
        <v>30433.599999999977</v>
      </c>
      <c r="J141" s="15">
        <f t="shared" si="17"/>
        <v>7.1791513609758842E-2</v>
      </c>
      <c r="K141" s="56"/>
      <c r="L141" s="82"/>
      <c r="M141" s="116"/>
      <c r="N141" s="116"/>
      <c r="O141" s="116"/>
      <c r="P141" s="116"/>
      <c r="Q141" s="116"/>
      <c r="R141" s="116"/>
      <c r="S141" s="116"/>
      <c r="T141" s="116"/>
    </row>
    <row r="142" spans="1:20" ht="28.9">
      <c r="A142" s="24" t="str">
        <v>Davis Solar</v>
      </c>
      <c r="B142" s="25" t="str">
        <v>NY</v>
      </c>
      <c r="C142" s="25" t="str">
        <f>Sites[[#This Row],[SOL'#]]</f>
        <v>SOL-10958</v>
      </c>
      <c r="D142" s="60">
        <v>113022</v>
      </c>
      <c r="E142" s="10">
        <v>215455</v>
      </c>
      <c r="F142" s="10">
        <f t="shared" si="14"/>
        <v>-102433</v>
      </c>
      <c r="G142" s="11">
        <f t="shared" si="15"/>
        <v>-0.47542642315100603</v>
      </c>
      <c r="H142" s="75">
        <v>182746</v>
      </c>
      <c r="I142" s="12">
        <f t="shared" si="16"/>
        <v>-69724</v>
      </c>
      <c r="J142" s="13">
        <f t="shared" si="17"/>
        <v>-0.38153502675845163</v>
      </c>
      <c r="K142" s="63" t="s">
        <v>193</v>
      </c>
      <c r="L142" s="111" t="s">
        <v>194</v>
      </c>
      <c r="M142" s="116"/>
      <c r="N142" s="116"/>
      <c r="O142" s="116"/>
      <c r="P142" s="116"/>
      <c r="Q142" s="116"/>
      <c r="R142" s="116"/>
      <c r="S142" s="116"/>
      <c r="T142" s="116"/>
    </row>
    <row r="143" spans="1:20" ht="57.6">
      <c r="A143" s="26" t="str">
        <v>Genesee</v>
      </c>
      <c r="B143" s="27" t="str">
        <v>NY</v>
      </c>
      <c r="C143" s="27" t="str">
        <f>Sites[[#This Row],[SOL'#]]</f>
        <v>SOL-10951</v>
      </c>
      <c r="D143" s="74">
        <v>195743</v>
      </c>
      <c r="E143" s="14">
        <v>0</v>
      </c>
      <c r="F143" s="14">
        <f t="shared" si="14"/>
        <v>195743</v>
      </c>
      <c r="G143" s="15" t="str">
        <f t="shared" si="15"/>
        <v/>
      </c>
      <c r="H143" s="77">
        <v>223003.4</v>
      </c>
      <c r="I143" s="16">
        <f t="shared" si="16"/>
        <v>-27260.399999999994</v>
      </c>
      <c r="J143" s="15">
        <f t="shared" si="17"/>
        <v>-0.12224208240771214</v>
      </c>
      <c r="K143" s="56" t="s">
        <v>195</v>
      </c>
      <c r="L143" s="114" t="s">
        <v>196</v>
      </c>
      <c r="M143" s="115" t="s">
        <v>197</v>
      </c>
      <c r="N143" s="116"/>
      <c r="O143" s="116"/>
      <c r="P143" s="116"/>
      <c r="Q143" s="116"/>
      <c r="R143" s="116"/>
      <c r="S143" s="116"/>
      <c r="T143" s="116"/>
    </row>
    <row r="144" spans="1:20" ht="15.6">
      <c r="A144" s="24" t="str">
        <v>Landau I</v>
      </c>
      <c r="B144" s="25" t="str">
        <v>NY</v>
      </c>
      <c r="C144" s="25" t="str">
        <f>Sites[[#This Row],[SOL'#]]</f>
        <v>SOL-10891</v>
      </c>
      <c r="D144" s="60">
        <v>128600</v>
      </c>
      <c r="E144" s="10">
        <v>0</v>
      </c>
      <c r="F144" s="10">
        <f t="shared" ref="F144:F185" si="18">IF(AND(ISNUMBER(D144),ISNUMBER(E144)), D144-E144, "")</f>
        <v>128600</v>
      </c>
      <c r="G144" s="11" t="str">
        <f t="shared" ref="G144:G185" si="19">IFERROR(F144/E144, "")</f>
        <v/>
      </c>
      <c r="H144" s="75">
        <v>183280</v>
      </c>
      <c r="I144" s="12">
        <f t="shared" si="16"/>
        <v>-54680</v>
      </c>
      <c r="J144" s="13">
        <f t="shared" si="17"/>
        <v>-0.29834133566128329</v>
      </c>
      <c r="K144" s="59" t="s">
        <v>50</v>
      </c>
      <c r="L144" s="59"/>
      <c r="M144" s="116"/>
      <c r="N144" s="116"/>
      <c r="O144" s="116"/>
      <c r="P144" s="116"/>
      <c r="Q144" s="116"/>
      <c r="R144" s="116"/>
      <c r="S144" s="116"/>
      <c r="T144" s="116"/>
    </row>
    <row r="145" spans="1:20" ht="55.5" customHeight="1">
      <c r="A145" s="26" t="str">
        <v>Landau II</v>
      </c>
      <c r="B145" s="27" t="str">
        <v>NY</v>
      </c>
      <c r="C145" s="27" t="str">
        <f>Sites[[#This Row],[SOL'#]]</f>
        <v>SOL-10895</v>
      </c>
      <c r="D145" s="74">
        <v>273640</v>
      </c>
      <c r="E145" s="14">
        <v>0</v>
      </c>
      <c r="F145" s="14">
        <f t="shared" si="18"/>
        <v>273640</v>
      </c>
      <c r="G145" s="15" t="str">
        <f t="shared" si="19"/>
        <v/>
      </c>
      <c r="H145" s="77">
        <v>345100.3</v>
      </c>
      <c r="I145" s="16">
        <f t="shared" si="16"/>
        <v>-71460.299999999988</v>
      </c>
      <c r="J145" s="15">
        <f t="shared" si="17"/>
        <v>-0.20707110367623555</v>
      </c>
      <c r="K145" s="56" t="s">
        <v>198</v>
      </c>
      <c r="L145" s="114" t="s">
        <v>199</v>
      </c>
      <c r="M145" s="115" t="s">
        <v>200</v>
      </c>
      <c r="N145" s="116"/>
      <c r="O145" s="116"/>
      <c r="P145" s="116"/>
      <c r="Q145" s="116"/>
      <c r="R145" s="116"/>
      <c r="S145" s="116"/>
      <c r="T145" s="116"/>
    </row>
    <row r="146" spans="1:20" ht="28.9">
      <c r="A146" s="24" t="str">
        <v>New Beginnings</v>
      </c>
      <c r="B146" s="25" t="str">
        <v>NY</v>
      </c>
      <c r="C146" s="25" t="str">
        <f>Sites[[#This Row],[SOL'#]]</f>
        <v>SOL-10890</v>
      </c>
      <c r="D146" s="60">
        <v>139570</v>
      </c>
      <c r="E146" s="10">
        <v>236173.087</v>
      </c>
      <c r="F146" s="10">
        <f t="shared" si="18"/>
        <v>-96603.087</v>
      </c>
      <c r="G146" s="11">
        <f t="shared" si="19"/>
        <v>-0.40903512007699677</v>
      </c>
      <c r="H146" s="75">
        <v>183796</v>
      </c>
      <c r="I146" s="12">
        <f t="shared" ref="I146:I163" si="20">IF(AND(ISNUMBER(D146),ISNUMBER(H146)), D146-H146, "")</f>
        <v>-44226</v>
      </c>
      <c r="J146" s="13">
        <f t="shared" ref="J146:J163" si="21">IFERROR(I146/H146, "")</f>
        <v>-0.24062547607129645</v>
      </c>
      <c r="K146" s="63" t="s">
        <v>201</v>
      </c>
      <c r="L146" s="111" t="s">
        <v>202</v>
      </c>
      <c r="M146" s="116"/>
      <c r="N146" s="116"/>
      <c r="O146" s="116"/>
      <c r="P146" s="116"/>
      <c r="Q146" s="116"/>
      <c r="R146" s="116"/>
      <c r="S146" s="116"/>
      <c r="T146" s="116"/>
    </row>
    <row r="147" spans="1:20" ht="15.6">
      <c r="A147" s="26" t="str">
        <v>Bullitt Farm Solar, LLC</v>
      </c>
      <c r="B147" s="27" t="str">
        <v>NY</v>
      </c>
      <c r="C147" s="27" t="str">
        <f>Sites[[#This Row],[SOL'#]]</f>
        <v>SOL-10998</v>
      </c>
      <c r="D147" s="74">
        <v>233704</v>
      </c>
      <c r="E147" s="14">
        <v>370127.43</v>
      </c>
      <c r="F147" s="14">
        <f t="shared" si="18"/>
        <v>-136423.43</v>
      </c>
      <c r="G147" s="15">
        <f t="shared" si="19"/>
        <v>-0.36858503029618744</v>
      </c>
      <c r="H147" s="77">
        <v>381120.6</v>
      </c>
      <c r="I147" s="16">
        <f t="shared" si="20"/>
        <v>-147416.59999999998</v>
      </c>
      <c r="J147" s="15">
        <f t="shared" si="21"/>
        <v>-0.38679777477260474</v>
      </c>
      <c r="K147" s="56" t="s">
        <v>203</v>
      </c>
      <c r="L147" s="115" t="s">
        <v>204</v>
      </c>
      <c r="M147" s="116"/>
      <c r="N147" s="116"/>
      <c r="O147" s="116"/>
      <c r="P147" s="116"/>
      <c r="Q147" s="116"/>
      <c r="R147" s="116"/>
      <c r="S147" s="116"/>
      <c r="T147" s="116"/>
    </row>
    <row r="148" spans="1:20" ht="28.9">
      <c r="A148" s="24" t="str">
        <v>Brodhead Solar, LLC</v>
      </c>
      <c r="B148" s="25" t="str">
        <v>NY</v>
      </c>
      <c r="C148" s="25" t="str">
        <f>Sites[[#This Row],[SOL'#]]</f>
        <v>SOL-10899</v>
      </c>
      <c r="D148" s="60">
        <v>199162</v>
      </c>
      <c r="E148" s="10">
        <v>235454.7</v>
      </c>
      <c r="F148" s="10">
        <f t="shared" si="18"/>
        <v>-36292.700000000012</v>
      </c>
      <c r="G148" s="11">
        <f t="shared" si="19"/>
        <v>-0.1541387791367087</v>
      </c>
      <c r="H148" s="75">
        <v>225874.51</v>
      </c>
      <c r="I148" s="12">
        <f t="shared" si="20"/>
        <v>-26712.510000000009</v>
      </c>
      <c r="J148" s="13">
        <f t="shared" si="21"/>
        <v>-0.11826261405060716</v>
      </c>
      <c r="K148" s="63" t="s">
        <v>205</v>
      </c>
      <c r="L148" s="111" t="s">
        <v>206</v>
      </c>
      <c r="M148" s="115" t="s">
        <v>207</v>
      </c>
      <c r="N148" s="116"/>
      <c r="O148" s="116"/>
      <c r="P148" s="116"/>
      <c r="Q148" s="116"/>
      <c r="R148" s="116"/>
      <c r="S148" s="116"/>
      <c r="T148" s="116"/>
    </row>
    <row r="149" spans="1:20" ht="15.6">
      <c r="A149" s="26" t="str">
        <v>Svenski</v>
      </c>
      <c r="B149" s="27" t="str">
        <v>NY</v>
      </c>
      <c r="C149" s="27" t="str">
        <f>Sites[[#This Row],[SOL'#]]</f>
        <v>SOL-10894</v>
      </c>
      <c r="D149" s="74">
        <v>110333</v>
      </c>
      <c r="E149" s="14">
        <v>0</v>
      </c>
      <c r="F149" s="14">
        <f t="shared" si="18"/>
        <v>110333</v>
      </c>
      <c r="G149" s="15" t="str">
        <f t="shared" si="19"/>
        <v/>
      </c>
      <c r="H149" s="77">
        <v>143761.4</v>
      </c>
      <c r="I149" s="16">
        <f t="shared" si="20"/>
        <v>-33428.399999999994</v>
      </c>
      <c r="J149" s="15">
        <f t="shared" si="21"/>
        <v>-0.23252695090615419</v>
      </c>
      <c r="K149" s="119" t="s">
        <v>50</v>
      </c>
      <c r="L149" s="82"/>
      <c r="M149" s="116"/>
      <c r="N149" s="116"/>
      <c r="O149" s="116"/>
      <c r="P149" s="116"/>
      <c r="Q149" s="116"/>
      <c r="R149" s="116"/>
      <c r="S149" s="116"/>
      <c r="T149" s="116"/>
    </row>
    <row r="150" spans="1:20" ht="15.6">
      <c r="A150" s="24" t="str">
        <v>Bantam</v>
      </c>
      <c r="B150" s="25" t="str">
        <v>NY</v>
      </c>
      <c r="C150" s="25" t="str">
        <f>Sites[[#This Row],[SOL'#]]</f>
        <v>SOL-10986</v>
      </c>
      <c r="D150" s="60">
        <v>106590</v>
      </c>
      <c r="E150" s="10">
        <v>0</v>
      </c>
      <c r="F150" s="10">
        <f t="shared" si="18"/>
        <v>106590</v>
      </c>
      <c r="G150" s="11" t="str">
        <f t="shared" si="19"/>
        <v/>
      </c>
      <c r="H150" s="75"/>
      <c r="I150" s="12" t="str">
        <f t="shared" si="20"/>
        <v/>
      </c>
      <c r="J150" s="13" t="str">
        <f t="shared" si="21"/>
        <v/>
      </c>
      <c r="K150" s="63" t="s">
        <v>208</v>
      </c>
      <c r="L150" s="111" t="s">
        <v>209</v>
      </c>
      <c r="M150" s="116"/>
      <c r="N150" s="116"/>
      <c r="O150" s="116"/>
      <c r="P150" s="116"/>
      <c r="Q150" s="116"/>
      <c r="R150" s="116"/>
      <c r="S150" s="116"/>
      <c r="T150" s="116"/>
    </row>
    <row r="151" spans="1:20" ht="15.6">
      <c r="A151" s="26" t="str">
        <v>Bogart</v>
      </c>
      <c r="B151" s="27" t="str">
        <v>NY</v>
      </c>
      <c r="C151" s="27" t="str">
        <f>Sites[[#This Row],[SOL'#]]</f>
        <v>SOL-10887</v>
      </c>
      <c r="D151" s="74">
        <v>163390</v>
      </c>
      <c r="E151" s="14">
        <v>224512.07800000001</v>
      </c>
      <c r="F151" s="14">
        <f t="shared" si="18"/>
        <v>-61122.078000000009</v>
      </c>
      <c r="G151" s="15">
        <f t="shared" si="19"/>
        <v>-0.27224405272307894</v>
      </c>
      <c r="H151" s="77">
        <v>167525.6</v>
      </c>
      <c r="I151" s="16">
        <f t="shared" si="20"/>
        <v>-4135.6000000000058</v>
      </c>
      <c r="J151" s="15">
        <f t="shared" si="21"/>
        <v>-2.4686376291145985E-2</v>
      </c>
      <c r="K151" s="56" t="s">
        <v>210</v>
      </c>
      <c r="L151" s="115" t="s">
        <v>211</v>
      </c>
      <c r="M151" s="116"/>
      <c r="N151" s="116"/>
      <c r="O151" s="116"/>
      <c r="P151" s="116"/>
      <c r="Q151" s="116"/>
      <c r="R151" s="116"/>
      <c r="S151" s="116"/>
      <c r="T151" s="116"/>
    </row>
    <row r="152" spans="1:20" ht="15.6">
      <c r="A152" s="24" t="str">
        <v>Dubois</v>
      </c>
      <c r="B152" s="25" t="str">
        <v>NY</v>
      </c>
      <c r="C152" s="25" t="str">
        <f>Sites[[#This Row],[SOL'#]]</f>
        <v>SOL-10892</v>
      </c>
      <c r="D152" s="60">
        <v>121698.49</v>
      </c>
      <c r="E152" s="10">
        <v>0</v>
      </c>
      <c r="F152" s="10">
        <f t="shared" si="18"/>
        <v>121698.49</v>
      </c>
      <c r="G152" s="11" t="str">
        <f t="shared" si="19"/>
        <v/>
      </c>
      <c r="H152" s="75"/>
      <c r="I152" s="12" t="str">
        <f t="shared" si="20"/>
        <v/>
      </c>
      <c r="J152" s="13" t="str">
        <f t="shared" si="21"/>
        <v/>
      </c>
      <c r="K152" s="63" t="s">
        <v>212</v>
      </c>
      <c r="L152" s="111" t="s">
        <v>213</v>
      </c>
      <c r="M152" s="116"/>
      <c r="N152" s="116"/>
      <c r="O152" s="116"/>
      <c r="P152" s="116"/>
      <c r="Q152" s="116"/>
      <c r="R152" s="116"/>
      <c r="S152" s="116"/>
      <c r="T152" s="116"/>
    </row>
    <row r="153" spans="1:20" ht="15.6">
      <c r="A153" s="26" t="str">
        <v>Salt Point</v>
      </c>
      <c r="B153" s="27" t="str">
        <v>NY</v>
      </c>
      <c r="C153" s="27" t="str">
        <f>Sites[[#This Row],[SOL'#]]</f>
        <v>SOL-10888</v>
      </c>
      <c r="D153" s="74">
        <v>169980</v>
      </c>
      <c r="E153" s="14">
        <v>0</v>
      </c>
      <c r="F153" s="14">
        <f t="shared" si="18"/>
        <v>169980</v>
      </c>
      <c r="G153" s="15" t="str">
        <f t="shared" si="19"/>
        <v/>
      </c>
      <c r="H153" s="77">
        <v>135218.20000000001</v>
      </c>
      <c r="I153" s="16">
        <f t="shared" si="20"/>
        <v>34761.799999999988</v>
      </c>
      <c r="J153" s="15">
        <f t="shared" si="21"/>
        <v>0.25707929849679989</v>
      </c>
      <c r="K153" s="157" t="s">
        <v>214</v>
      </c>
      <c r="L153" s="115" t="s">
        <v>215</v>
      </c>
      <c r="M153" s="116"/>
      <c r="N153" s="116"/>
      <c r="O153" s="116"/>
      <c r="P153" s="116"/>
      <c r="Q153" s="116"/>
      <c r="R153" s="116"/>
      <c r="S153" s="116"/>
      <c r="T153" s="116"/>
    </row>
    <row r="154" spans="1:20" ht="36" customHeight="1">
      <c r="A154" s="24" t="str">
        <v>Wheatland 2A</v>
      </c>
      <c r="B154" s="25" t="str">
        <v>NY</v>
      </c>
      <c r="C154" s="25" t="str">
        <f>Sites[[#This Row],[SOL'#]]</f>
        <v>SOL-10971</v>
      </c>
      <c r="D154" s="60">
        <v>294880</v>
      </c>
      <c r="E154" s="10">
        <v>0</v>
      </c>
      <c r="F154" s="10">
        <f t="shared" si="18"/>
        <v>294880</v>
      </c>
      <c r="G154" s="11" t="str">
        <f t="shared" si="19"/>
        <v/>
      </c>
      <c r="H154" s="75">
        <v>282852.59999999998</v>
      </c>
      <c r="I154" s="12">
        <f t="shared" si="20"/>
        <v>12027.400000000023</v>
      </c>
      <c r="J154" s="13">
        <f t="shared" si="21"/>
        <v>4.2521794036894212E-2</v>
      </c>
      <c r="K154" s="63" t="s">
        <v>216</v>
      </c>
      <c r="L154" s="111" t="s">
        <v>217</v>
      </c>
      <c r="M154" s="116"/>
      <c r="N154" s="116"/>
      <c r="O154" s="116"/>
      <c r="P154" s="116"/>
      <c r="Q154" s="116"/>
      <c r="R154" s="116"/>
      <c r="S154" s="116"/>
      <c r="T154" s="116"/>
    </row>
    <row r="155" spans="1:20" ht="28.9">
      <c r="A155" s="26" t="str">
        <v>Wheatland 2B</v>
      </c>
      <c r="B155" s="27" t="str">
        <v>NY</v>
      </c>
      <c r="C155" s="27" t="str">
        <f>Sites[[#This Row],[SOL'#]]</f>
        <v>SOL-10961</v>
      </c>
      <c r="D155" s="74">
        <v>283280</v>
      </c>
      <c r="E155" s="14">
        <v>0</v>
      </c>
      <c r="F155" s="14">
        <f t="shared" si="18"/>
        <v>283280</v>
      </c>
      <c r="G155" s="15" t="str">
        <f t="shared" si="19"/>
        <v/>
      </c>
      <c r="H155" s="77">
        <v>279044.7</v>
      </c>
      <c r="I155" s="16">
        <f t="shared" si="20"/>
        <v>4235.2999999999884</v>
      </c>
      <c r="J155" s="15">
        <f t="shared" si="21"/>
        <v>1.5177855017493571E-2</v>
      </c>
      <c r="K155" s="56" t="s">
        <v>218</v>
      </c>
      <c r="L155" s="115" t="s">
        <v>219</v>
      </c>
      <c r="M155" s="116"/>
      <c r="N155" s="116"/>
      <c r="O155" s="116"/>
      <c r="P155" s="116"/>
      <c r="Q155" s="116"/>
      <c r="R155" s="116"/>
      <c r="S155" s="116"/>
      <c r="T155" s="116"/>
    </row>
    <row r="156" spans="1:20" ht="15.6">
      <c r="A156" s="24" t="str">
        <v>Brickchurch</v>
      </c>
      <c r="B156" s="25" t="str">
        <v>NY</v>
      </c>
      <c r="C156" s="25" t="str">
        <f>Sites[[#This Row],[SOL'#]]</f>
        <v>SOL-10889</v>
      </c>
      <c r="D156" s="60">
        <v>69810</v>
      </c>
      <c r="E156" s="10">
        <v>119057.518</v>
      </c>
      <c r="F156" s="10">
        <f t="shared" si="18"/>
        <v>-49247.517999999996</v>
      </c>
      <c r="G156" s="11">
        <f t="shared" si="19"/>
        <v>-0.41364475614215307</v>
      </c>
      <c r="H156" s="75">
        <v>79341.5</v>
      </c>
      <c r="I156" s="12">
        <f t="shared" si="20"/>
        <v>-9531.5</v>
      </c>
      <c r="J156" s="13">
        <f t="shared" si="21"/>
        <v>-0.12013259139290283</v>
      </c>
      <c r="K156" s="63" t="s">
        <v>220</v>
      </c>
      <c r="L156" s="111" t="s">
        <v>221</v>
      </c>
      <c r="M156" s="116"/>
      <c r="N156" s="116"/>
      <c r="O156" s="116"/>
      <c r="P156" s="116"/>
      <c r="Q156" s="116"/>
      <c r="R156" s="116"/>
      <c r="S156" s="116"/>
      <c r="T156" s="116"/>
    </row>
    <row r="157" spans="1:20" ht="15.6">
      <c r="A157" s="26" t="str">
        <v>McCarthy Solar</v>
      </c>
      <c r="B157" s="27" t="str">
        <v>NY</v>
      </c>
      <c r="C157" s="27" t="str">
        <f>Sites[[#This Row],[SOL'#]]</f>
        <v>SOL-10992</v>
      </c>
      <c r="D157" s="74">
        <v>140810</v>
      </c>
      <c r="E157" s="14">
        <v>0</v>
      </c>
      <c r="F157" s="14">
        <f t="shared" si="18"/>
        <v>140810</v>
      </c>
      <c r="G157" s="15" t="str">
        <f t="shared" si="19"/>
        <v/>
      </c>
      <c r="H157" s="77">
        <v>199506</v>
      </c>
      <c r="I157" s="16">
        <f t="shared" si="20"/>
        <v>-58696</v>
      </c>
      <c r="J157" s="15">
        <f t="shared" si="21"/>
        <v>-0.29420669052559822</v>
      </c>
      <c r="K157" s="56" t="s">
        <v>222</v>
      </c>
      <c r="L157" s="115" t="s">
        <v>223</v>
      </c>
      <c r="M157" s="116"/>
      <c r="N157" s="116"/>
      <c r="O157" s="116"/>
      <c r="P157" s="116"/>
      <c r="Q157" s="116"/>
      <c r="R157" s="116"/>
      <c r="S157" s="116"/>
      <c r="T157" s="116"/>
    </row>
    <row r="158" spans="1:20" ht="43.15">
      <c r="A158" s="24" t="str">
        <v>Costanza</v>
      </c>
      <c r="B158" s="25" t="str">
        <v>NY</v>
      </c>
      <c r="C158" s="25" t="str">
        <f>Sites[[#This Row],[SOL'#]]</f>
        <v>SOL-10907</v>
      </c>
      <c r="D158" s="60">
        <v>128370</v>
      </c>
      <c r="E158" s="10">
        <v>0</v>
      </c>
      <c r="F158" s="10">
        <f t="shared" si="18"/>
        <v>128370</v>
      </c>
      <c r="G158" s="11" t="str">
        <f t="shared" si="19"/>
        <v/>
      </c>
      <c r="H158" s="75">
        <v>161660.6</v>
      </c>
      <c r="I158" s="12">
        <f t="shared" si="20"/>
        <v>-33290.600000000006</v>
      </c>
      <c r="J158" s="13">
        <f t="shared" si="21"/>
        <v>-0.20592896475702802</v>
      </c>
      <c r="K158" s="63" t="s">
        <v>224</v>
      </c>
      <c r="L158" s="111" t="s">
        <v>225</v>
      </c>
      <c r="M158" s="115" t="s">
        <v>226</v>
      </c>
      <c r="N158" s="115" t="s">
        <v>227</v>
      </c>
      <c r="O158" s="116"/>
      <c r="P158" s="116"/>
      <c r="Q158" s="116"/>
      <c r="R158" s="116"/>
      <c r="S158" s="116"/>
      <c r="T158" s="116"/>
    </row>
    <row r="159" spans="1:20" ht="15.6">
      <c r="A159" s="26" t="str">
        <v>Lockenhurst Pond</v>
      </c>
      <c r="B159" s="27" t="str">
        <v>NY</v>
      </c>
      <c r="C159" s="27" t="str">
        <f>Sites[[#This Row],[SOL'#]]</f>
        <v>SOL-11000</v>
      </c>
      <c r="D159" s="74">
        <v>175059</v>
      </c>
      <c r="E159" s="14">
        <v>204006.8</v>
      </c>
      <c r="F159" s="14">
        <f t="shared" si="18"/>
        <v>-28947.799999999988</v>
      </c>
      <c r="G159" s="15">
        <f t="shared" si="19"/>
        <v>-0.14189625051713958</v>
      </c>
      <c r="H159" s="77">
        <v>160367</v>
      </c>
      <c r="I159" s="16">
        <f t="shared" si="20"/>
        <v>14692</v>
      </c>
      <c r="J159" s="15">
        <f t="shared" si="21"/>
        <v>9.1614858418502559E-2</v>
      </c>
      <c r="K159" s="56"/>
      <c r="L159" s="82"/>
      <c r="M159" s="116"/>
      <c r="N159" s="116"/>
      <c r="O159" s="116"/>
      <c r="P159" s="116"/>
      <c r="Q159" s="116"/>
      <c r="R159" s="116"/>
      <c r="S159" s="116"/>
      <c r="T159" s="116"/>
    </row>
    <row r="160" spans="1:20" ht="15.6">
      <c r="A160" s="24" t="str">
        <v>Drinkwater</v>
      </c>
      <c r="B160" s="25" t="str">
        <v>NY</v>
      </c>
      <c r="C160" s="25" t="str">
        <f>Sites[[#This Row],[SOL'#]]</f>
        <v>SOL-10896</v>
      </c>
      <c r="D160" s="60">
        <v>124560</v>
      </c>
      <c r="E160" s="10">
        <v>0</v>
      </c>
      <c r="F160" s="10">
        <f t="shared" si="18"/>
        <v>124560</v>
      </c>
      <c r="G160" s="11" t="str">
        <f t="shared" si="19"/>
        <v/>
      </c>
      <c r="H160" s="75">
        <v>167148</v>
      </c>
      <c r="I160" s="12">
        <f t="shared" si="20"/>
        <v>-42588</v>
      </c>
      <c r="J160" s="13">
        <f t="shared" si="21"/>
        <v>-0.25479216024122336</v>
      </c>
      <c r="K160" s="59" t="s">
        <v>50</v>
      </c>
      <c r="L160" s="59"/>
      <c r="M160" s="116"/>
      <c r="N160" s="116"/>
      <c r="O160" s="116"/>
      <c r="P160" s="116"/>
      <c r="Q160" s="116"/>
      <c r="R160" s="116"/>
      <c r="S160" s="116"/>
      <c r="T160" s="116"/>
    </row>
    <row r="161" spans="1:20" ht="15.6">
      <c r="A161" s="26" t="str">
        <v>Altamont</v>
      </c>
      <c r="B161" s="27" t="str">
        <v>NY</v>
      </c>
      <c r="C161" s="27" t="s">
        <v>228</v>
      </c>
      <c r="D161" s="74">
        <v>265275</v>
      </c>
      <c r="E161" s="14">
        <v>472996.8</v>
      </c>
      <c r="F161" s="14">
        <f t="shared" si="18"/>
        <v>-207721.8</v>
      </c>
      <c r="G161" s="15">
        <f t="shared" si="19"/>
        <v>-0.4391611106037081</v>
      </c>
      <c r="H161" s="77">
        <v>348142.2</v>
      </c>
      <c r="I161" s="16">
        <f t="shared" si="20"/>
        <v>-82867.200000000012</v>
      </c>
      <c r="J161" s="15">
        <f t="shared" si="21"/>
        <v>-0.23802687522512356</v>
      </c>
      <c r="K161" s="119" t="s">
        <v>50</v>
      </c>
      <c r="L161" s="82"/>
      <c r="M161" s="116"/>
      <c r="N161" s="116"/>
      <c r="O161" s="116"/>
      <c r="P161" s="116"/>
      <c r="Q161" s="116"/>
      <c r="R161" s="116"/>
      <c r="S161" s="116"/>
      <c r="T161" s="116"/>
    </row>
    <row r="162" spans="1:20" ht="15.6">
      <c r="A162" s="24" t="str">
        <v>Krumkill North</v>
      </c>
      <c r="B162" s="25" t="str">
        <v>NY</v>
      </c>
      <c r="C162" s="25" t="str">
        <f>Sites[[#This Row],[SOL'#]]</f>
        <v>SOL-11086</v>
      </c>
      <c r="D162" s="60">
        <v>203628</v>
      </c>
      <c r="E162" s="10">
        <v>375941</v>
      </c>
      <c r="F162" s="10">
        <f t="shared" si="18"/>
        <v>-172313</v>
      </c>
      <c r="G162" s="11">
        <f t="shared" si="19"/>
        <v>-0.458351177445397</v>
      </c>
      <c r="H162" s="75">
        <v>466230.1</v>
      </c>
      <c r="I162" s="12">
        <f t="shared" si="20"/>
        <v>-262602.09999999998</v>
      </c>
      <c r="J162" s="13">
        <f t="shared" si="21"/>
        <v>-0.56324570206857083</v>
      </c>
      <c r="K162" s="59" t="s">
        <v>50</v>
      </c>
      <c r="L162" s="59"/>
      <c r="M162" s="116"/>
      <c r="N162" s="116"/>
      <c r="O162" s="116"/>
      <c r="P162" s="116"/>
      <c r="Q162" s="116"/>
      <c r="R162" s="116"/>
      <c r="S162" s="116"/>
      <c r="T162" s="116"/>
    </row>
    <row r="163" spans="1:20" ht="15.6">
      <c r="A163" s="26" t="str">
        <v>Krumkill South</v>
      </c>
      <c r="B163" s="27" t="str">
        <v>NY</v>
      </c>
      <c r="C163" s="27" t="str">
        <f>Sites[[#This Row],[SOL'#]]</f>
        <v>SOL-11087</v>
      </c>
      <c r="D163" s="74">
        <v>210392</v>
      </c>
      <c r="E163" s="14">
        <v>367457.4</v>
      </c>
      <c r="F163" s="14">
        <f t="shared" si="18"/>
        <v>-157065.40000000002</v>
      </c>
      <c r="G163" s="15">
        <f t="shared" si="19"/>
        <v>-0.42743839149789886</v>
      </c>
      <c r="H163" s="77">
        <v>365510.3</v>
      </c>
      <c r="I163" s="16">
        <f t="shared" si="20"/>
        <v>-155118.29999999999</v>
      </c>
      <c r="J163" s="15">
        <f t="shared" si="21"/>
        <v>-0.42438831409128552</v>
      </c>
      <c r="K163" s="119" t="s">
        <v>50</v>
      </c>
      <c r="L163" s="82"/>
      <c r="M163" s="116"/>
      <c r="N163" s="116"/>
      <c r="O163" s="116"/>
      <c r="P163" s="116"/>
      <c r="Q163" s="116"/>
      <c r="R163" s="116"/>
      <c r="S163" s="116"/>
      <c r="T163" s="116"/>
    </row>
    <row r="164" spans="1:20" ht="15.6">
      <c r="A164" s="24" t="str">
        <v>X092</v>
      </c>
      <c r="B164" s="25" t="str">
        <v>NY</v>
      </c>
      <c r="C164" s="25" t="str">
        <f>Sites[[#This Row],[SOL'#]]</f>
        <v>SOL-11189</v>
      </c>
      <c r="D164" s="60"/>
      <c r="E164" s="10"/>
      <c r="F164" s="10" t="str">
        <f t="shared" si="18"/>
        <v/>
      </c>
      <c r="G164" s="11" t="str">
        <f t="shared" si="19"/>
        <v/>
      </c>
      <c r="H164" s="75"/>
      <c r="I164" s="12" t="str">
        <f t="shared" ref="I164:I195" si="22">IF(AND(ISNUMBER(D164),ISNUMBER(H164)), D164-H164, "")</f>
        <v/>
      </c>
      <c r="J164" s="13" t="str">
        <f t="shared" ref="J164:J195" si="23">IFERROR(I164/H164, "")</f>
        <v/>
      </c>
      <c r="K164" s="63"/>
      <c r="L164" s="59"/>
      <c r="M164" s="116"/>
      <c r="N164" s="116"/>
      <c r="O164" s="116"/>
      <c r="P164" s="116"/>
      <c r="Q164" s="116"/>
      <c r="R164" s="116"/>
      <c r="S164" s="116"/>
      <c r="T164" s="116"/>
    </row>
    <row r="165" spans="1:20" ht="15.6">
      <c r="A165" s="26" t="str">
        <v>X093</v>
      </c>
      <c r="B165" s="27" t="str">
        <v>NY</v>
      </c>
      <c r="C165" s="27" t="str">
        <f>Sites[[#This Row],[SOL'#]]</f>
        <v>SOL-10932</v>
      </c>
      <c r="D165" s="74">
        <v>2111.48556738772</v>
      </c>
      <c r="E165" s="14">
        <v>0</v>
      </c>
      <c r="F165" s="14">
        <f t="shared" si="18"/>
        <v>2111.48556738772</v>
      </c>
      <c r="G165" s="15" t="str">
        <f t="shared" si="19"/>
        <v/>
      </c>
      <c r="H165" s="77">
        <v>0</v>
      </c>
      <c r="I165" s="16">
        <f t="shared" si="22"/>
        <v>2111.48556738772</v>
      </c>
      <c r="J165" s="15" t="str">
        <f t="shared" si="23"/>
        <v/>
      </c>
      <c r="K165" s="56" t="s">
        <v>229</v>
      </c>
      <c r="L165" s="115" t="s">
        <v>230</v>
      </c>
      <c r="M165" s="116"/>
      <c r="N165" s="116"/>
      <c r="O165" s="116"/>
      <c r="P165" s="116"/>
      <c r="Q165" s="116"/>
      <c r="R165" s="116"/>
      <c r="S165" s="116"/>
      <c r="T165" s="116"/>
    </row>
    <row r="166" spans="1:20" ht="15.6">
      <c r="A166" s="24" t="str">
        <v>X095</v>
      </c>
      <c r="B166" s="25" t="str">
        <v>NY</v>
      </c>
      <c r="C166" s="25" t="str">
        <f>Sites[[#This Row],[SOL'#]]</f>
        <v>SOL-10929</v>
      </c>
      <c r="D166" s="60">
        <v>5841.4006177607998</v>
      </c>
      <c r="E166" s="10">
        <v>0</v>
      </c>
      <c r="F166" s="10">
        <f t="shared" si="18"/>
        <v>5841.4006177607998</v>
      </c>
      <c r="G166" s="11" t="str">
        <f t="shared" si="19"/>
        <v/>
      </c>
      <c r="H166" s="75">
        <v>0</v>
      </c>
      <c r="I166" s="12">
        <f t="shared" si="22"/>
        <v>5841.4006177607998</v>
      </c>
      <c r="J166" s="13" t="str">
        <f t="shared" si="23"/>
        <v/>
      </c>
      <c r="K166" s="63" t="s">
        <v>231</v>
      </c>
      <c r="L166" s="111" t="s">
        <v>232</v>
      </c>
      <c r="M166" s="116"/>
      <c r="N166" s="116"/>
      <c r="O166" s="116"/>
      <c r="P166" s="116"/>
      <c r="Q166" s="116"/>
      <c r="R166" s="116"/>
      <c r="S166" s="116"/>
      <c r="T166" s="116"/>
    </row>
    <row r="167" spans="1:20" ht="15.6">
      <c r="A167" s="26" t="str">
        <v>X181</v>
      </c>
      <c r="B167" s="27" t="str">
        <v>NY</v>
      </c>
      <c r="C167" s="27" t="str">
        <f>Sites[[#This Row],[SOL'#]]</f>
        <v>SOL-10428</v>
      </c>
      <c r="D167" s="74">
        <v>4382.1068310000001</v>
      </c>
      <c r="E167" s="14">
        <v>0</v>
      </c>
      <c r="F167" s="14">
        <f t="shared" si="18"/>
        <v>4382.1068310000001</v>
      </c>
      <c r="G167" s="15" t="str">
        <f t="shared" si="19"/>
        <v/>
      </c>
      <c r="H167" s="77">
        <v>0</v>
      </c>
      <c r="I167" s="16">
        <f t="shared" si="22"/>
        <v>4382.1068310000001</v>
      </c>
      <c r="J167" s="15" t="str">
        <f t="shared" si="23"/>
        <v/>
      </c>
      <c r="K167" s="56" t="s">
        <v>233</v>
      </c>
      <c r="L167" s="115" t="s">
        <v>234</v>
      </c>
      <c r="M167" s="116"/>
      <c r="N167" s="116"/>
      <c r="O167" s="116"/>
      <c r="P167" s="116"/>
      <c r="Q167" s="116"/>
      <c r="R167" s="116"/>
      <c r="S167" s="116"/>
      <c r="T167" s="116"/>
    </row>
    <row r="168" spans="1:20" ht="15.6">
      <c r="A168" s="24" t="str">
        <v>X415</v>
      </c>
      <c r="B168" s="25" t="str">
        <v>NY</v>
      </c>
      <c r="C168" s="25" t="str">
        <f>Sites[[#This Row],[SOL'#]]</f>
        <v>SOL-10429</v>
      </c>
      <c r="D168" s="60">
        <v>7232.0394130000004</v>
      </c>
      <c r="E168" s="10">
        <v>0</v>
      </c>
      <c r="F168" s="10">
        <f t="shared" si="18"/>
        <v>7232.0394130000004</v>
      </c>
      <c r="G168" s="11" t="str">
        <f t="shared" si="19"/>
        <v/>
      </c>
      <c r="H168" s="75">
        <v>0</v>
      </c>
      <c r="I168" s="12">
        <f t="shared" si="22"/>
        <v>7232.0394130000004</v>
      </c>
      <c r="J168" s="13" t="str">
        <f t="shared" si="23"/>
        <v/>
      </c>
      <c r="K168" s="63" t="s">
        <v>235</v>
      </c>
      <c r="L168" s="111" t="s">
        <v>236</v>
      </c>
      <c r="M168" s="116"/>
      <c r="N168" s="116"/>
      <c r="O168" s="116"/>
      <c r="P168" s="116"/>
      <c r="Q168" s="116"/>
      <c r="R168" s="116"/>
      <c r="S168" s="116"/>
      <c r="T168" s="116"/>
    </row>
    <row r="169" spans="1:20" ht="15.6">
      <c r="A169" s="26" t="str">
        <v>K198</v>
      </c>
      <c r="B169" s="27" t="str">
        <v>NY</v>
      </c>
      <c r="C169" s="27" t="str">
        <f>Sites[[#This Row],[SOL'#]]</f>
        <v>SOL-10930</v>
      </c>
      <c r="D169" s="74">
        <v>5586.1181933593798</v>
      </c>
      <c r="E169" s="14">
        <v>0</v>
      </c>
      <c r="F169" s="14">
        <f t="shared" si="18"/>
        <v>5586.1181933593798</v>
      </c>
      <c r="G169" s="15" t="str">
        <f t="shared" si="19"/>
        <v/>
      </c>
      <c r="H169" s="77">
        <v>0</v>
      </c>
      <c r="I169" s="16">
        <f t="shared" si="22"/>
        <v>5586.1181933593798</v>
      </c>
      <c r="J169" s="15" t="str">
        <f t="shared" si="23"/>
        <v/>
      </c>
      <c r="K169" s="56" t="s">
        <v>237</v>
      </c>
      <c r="L169" s="115" t="s">
        <v>238</v>
      </c>
      <c r="M169" s="116"/>
      <c r="N169" s="116"/>
      <c r="O169" s="116"/>
      <c r="P169" s="116"/>
      <c r="Q169" s="116"/>
      <c r="R169" s="116"/>
      <c r="S169" s="116"/>
      <c r="T169" s="116"/>
    </row>
    <row r="170" spans="1:20" ht="15.6">
      <c r="A170" s="24" t="str">
        <v>K203</v>
      </c>
      <c r="B170" s="25" t="str">
        <v>NY</v>
      </c>
      <c r="C170" s="25" t="str">
        <f>Sites[[#This Row],[SOL'#]]</f>
        <v>SOL-11190</v>
      </c>
      <c r="D170" s="60"/>
      <c r="E170" s="10"/>
      <c r="F170" s="10" t="str">
        <f t="shared" si="18"/>
        <v/>
      </c>
      <c r="G170" s="11" t="str">
        <f t="shared" si="19"/>
        <v/>
      </c>
      <c r="H170" s="75"/>
      <c r="I170" s="12" t="str">
        <f t="shared" si="22"/>
        <v/>
      </c>
      <c r="J170" s="13" t="str">
        <f t="shared" si="23"/>
        <v/>
      </c>
      <c r="K170" s="63"/>
      <c r="L170" s="59"/>
      <c r="M170" s="116"/>
      <c r="N170" s="116"/>
      <c r="O170" s="116"/>
      <c r="P170" s="116"/>
      <c r="Q170" s="116"/>
      <c r="R170" s="116"/>
      <c r="S170" s="116"/>
      <c r="T170" s="116"/>
    </row>
    <row r="171" spans="1:20" ht="15.6">
      <c r="A171" s="26" t="str">
        <v>K213</v>
      </c>
      <c r="B171" s="27" t="str">
        <v>NY</v>
      </c>
      <c r="C171" s="27" t="str">
        <f>Sites[[#This Row],[SOL'#]]</f>
        <v>SOL-11191</v>
      </c>
      <c r="D171" s="74"/>
      <c r="E171" s="14"/>
      <c r="F171" s="14" t="str">
        <f t="shared" si="18"/>
        <v/>
      </c>
      <c r="G171" s="15" t="str">
        <f t="shared" si="19"/>
        <v/>
      </c>
      <c r="H171" s="77"/>
      <c r="I171" s="16" t="str">
        <f t="shared" si="22"/>
        <v/>
      </c>
      <c r="J171" s="15" t="str">
        <f t="shared" si="23"/>
        <v/>
      </c>
      <c r="K171" s="57"/>
      <c r="L171" s="84"/>
      <c r="M171" s="116"/>
      <c r="N171" s="116"/>
      <c r="O171" s="116"/>
      <c r="P171" s="116"/>
      <c r="Q171" s="116"/>
      <c r="R171" s="116"/>
      <c r="S171" s="116"/>
      <c r="T171" s="116"/>
    </row>
    <row r="172" spans="1:20" ht="15.6">
      <c r="A172" s="24" t="str">
        <v>K217</v>
      </c>
      <c r="B172" s="25" t="str">
        <v>NY</v>
      </c>
      <c r="C172" s="25" t="str">
        <f>Sites[[#This Row],[SOL'#]]</f>
        <v>SOL-10933</v>
      </c>
      <c r="D172" s="60">
        <v>3763.5269082227501</v>
      </c>
      <c r="E172" s="10">
        <v>0</v>
      </c>
      <c r="F172" s="10">
        <f t="shared" si="18"/>
        <v>3763.5269082227501</v>
      </c>
      <c r="G172" s="11" t="str">
        <f t="shared" si="19"/>
        <v/>
      </c>
      <c r="H172" s="75">
        <v>0</v>
      </c>
      <c r="I172" s="12">
        <f t="shared" si="22"/>
        <v>3763.5269082227501</v>
      </c>
      <c r="J172" s="13" t="str">
        <f t="shared" si="23"/>
        <v/>
      </c>
      <c r="K172" s="63" t="s">
        <v>237</v>
      </c>
      <c r="L172" s="111" t="s">
        <v>239</v>
      </c>
      <c r="M172" s="116"/>
      <c r="N172" s="116"/>
      <c r="O172" s="116"/>
      <c r="P172" s="116"/>
      <c r="Q172" s="116"/>
      <c r="R172" s="116"/>
      <c r="S172" s="116"/>
      <c r="T172" s="116"/>
    </row>
    <row r="173" spans="1:20" ht="15.6">
      <c r="A173" s="26" t="str">
        <v>K307</v>
      </c>
      <c r="B173" s="27" t="str">
        <v>NY</v>
      </c>
      <c r="C173" s="27" t="str">
        <f>Sites[[#This Row],[SOL'#]]</f>
        <v>SOL-10876</v>
      </c>
      <c r="D173" s="74">
        <v>6600.8426369999997</v>
      </c>
      <c r="E173" s="14">
        <v>0</v>
      </c>
      <c r="F173" s="14">
        <f t="shared" si="18"/>
        <v>6600.8426369999997</v>
      </c>
      <c r="G173" s="15" t="str">
        <f t="shared" si="19"/>
        <v/>
      </c>
      <c r="H173" s="77">
        <v>0</v>
      </c>
      <c r="I173" s="16">
        <f t="shared" si="22"/>
        <v>6600.8426369999997</v>
      </c>
      <c r="J173" s="15" t="str">
        <f t="shared" si="23"/>
        <v/>
      </c>
      <c r="K173" s="56"/>
      <c r="L173" s="82"/>
      <c r="M173" s="116"/>
      <c r="N173" s="116"/>
      <c r="O173" s="116"/>
      <c r="P173" s="116"/>
      <c r="Q173" s="116"/>
      <c r="R173" s="116"/>
      <c r="S173" s="116"/>
      <c r="T173" s="116"/>
    </row>
    <row r="174" spans="1:20" ht="15.6">
      <c r="A174" s="24" t="str">
        <v>K610</v>
      </c>
      <c r="B174" s="25" t="str">
        <v>NY</v>
      </c>
      <c r="C174" s="25" t="str">
        <f>Sites[[#This Row],[SOL'#]]</f>
        <v>SOL-11158</v>
      </c>
      <c r="D174" s="60"/>
      <c r="E174" s="10"/>
      <c r="F174" s="10" t="str">
        <f t="shared" si="18"/>
        <v/>
      </c>
      <c r="G174" s="11" t="str">
        <f t="shared" si="19"/>
        <v/>
      </c>
      <c r="H174" s="75"/>
      <c r="I174" s="12" t="str">
        <f t="shared" si="22"/>
        <v/>
      </c>
      <c r="J174" s="13" t="str">
        <f t="shared" si="23"/>
        <v/>
      </c>
      <c r="K174" s="63"/>
      <c r="L174" s="59"/>
      <c r="M174" s="116"/>
      <c r="N174" s="116"/>
      <c r="O174" s="116"/>
      <c r="P174" s="116"/>
      <c r="Q174" s="116"/>
      <c r="R174" s="116"/>
      <c r="S174" s="116"/>
      <c r="T174" s="116"/>
    </row>
    <row r="175" spans="1:20" ht="15.6">
      <c r="A175" s="26" t="str">
        <v>M025</v>
      </c>
      <c r="B175" s="27" t="str">
        <v>NY</v>
      </c>
      <c r="C175" s="27" t="str">
        <f>Sites[[#This Row],[SOL'#]]</f>
        <v>SOL-10392</v>
      </c>
      <c r="D175" s="74">
        <v>6835.8961179999997</v>
      </c>
      <c r="E175" s="14">
        <v>0</v>
      </c>
      <c r="F175" s="14">
        <f t="shared" si="18"/>
        <v>6835.8961179999997</v>
      </c>
      <c r="G175" s="15" t="str">
        <f t="shared" si="19"/>
        <v/>
      </c>
      <c r="H175" s="77">
        <v>0</v>
      </c>
      <c r="I175" s="16">
        <f t="shared" si="22"/>
        <v>6835.8961179999997</v>
      </c>
      <c r="J175" s="15" t="str">
        <f t="shared" si="23"/>
        <v/>
      </c>
      <c r="K175" s="56" t="s">
        <v>237</v>
      </c>
      <c r="L175" s="115" t="s">
        <v>240</v>
      </c>
      <c r="M175" s="116"/>
      <c r="N175" s="116"/>
      <c r="O175" s="116"/>
      <c r="P175" s="116"/>
      <c r="Q175" s="116"/>
      <c r="R175" s="116"/>
      <c r="S175" s="116"/>
      <c r="T175" s="116"/>
    </row>
    <row r="176" spans="1:20" ht="15.6">
      <c r="A176" s="24" t="str">
        <v>M028</v>
      </c>
      <c r="B176" s="25" t="str">
        <v>NY</v>
      </c>
      <c r="C176" s="25" t="str">
        <f>Sites[[#This Row],[SOL'#]]</f>
        <v>SOL-10381</v>
      </c>
      <c r="D176" s="60">
        <v>2615.2417190000001</v>
      </c>
      <c r="E176" s="10">
        <v>0</v>
      </c>
      <c r="F176" s="10">
        <f t="shared" si="18"/>
        <v>2615.2417190000001</v>
      </c>
      <c r="G176" s="11" t="str">
        <f t="shared" si="19"/>
        <v/>
      </c>
      <c r="H176" s="75">
        <v>0</v>
      </c>
      <c r="I176" s="12">
        <f t="shared" si="22"/>
        <v>2615.2417190000001</v>
      </c>
      <c r="J176" s="13" t="str">
        <f t="shared" si="23"/>
        <v/>
      </c>
      <c r="K176" s="63" t="s">
        <v>241</v>
      </c>
      <c r="L176" s="111" t="s">
        <v>242</v>
      </c>
      <c r="M176" s="116"/>
      <c r="N176" s="116"/>
      <c r="O176" s="116"/>
      <c r="P176" s="116"/>
      <c r="Q176" s="116"/>
      <c r="R176" s="116"/>
      <c r="S176" s="116"/>
      <c r="T176" s="116"/>
    </row>
    <row r="177" spans="1:20" ht="15.6">
      <c r="A177" s="26" t="str">
        <v>Q030</v>
      </c>
      <c r="B177" s="27" t="str">
        <v>NY</v>
      </c>
      <c r="C177" s="27" t="str">
        <f>Sites[[#This Row],[SOL'#]]</f>
        <v>SOL-10878</v>
      </c>
      <c r="D177" s="74">
        <v>8979.27</v>
      </c>
      <c r="E177" s="14">
        <v>0</v>
      </c>
      <c r="F177" s="14">
        <f t="shared" si="18"/>
        <v>8979.27</v>
      </c>
      <c r="G177" s="15" t="str">
        <f t="shared" si="19"/>
        <v/>
      </c>
      <c r="H177" s="77">
        <v>0</v>
      </c>
      <c r="I177" s="16">
        <f t="shared" si="22"/>
        <v>8979.27</v>
      </c>
      <c r="J177" s="15" t="str">
        <f t="shared" si="23"/>
        <v/>
      </c>
      <c r="K177" s="56"/>
      <c r="L177" s="82"/>
      <c r="M177" s="116"/>
      <c r="N177" s="116"/>
      <c r="O177" s="116"/>
      <c r="P177" s="116"/>
      <c r="Q177" s="116"/>
      <c r="R177" s="116"/>
      <c r="S177" s="116"/>
      <c r="T177" s="116"/>
    </row>
    <row r="178" spans="1:20" ht="15.6">
      <c r="A178" s="24" t="str">
        <v>Q130</v>
      </c>
      <c r="B178" s="25" t="str">
        <v>NY</v>
      </c>
      <c r="C178" s="25" t="str">
        <f>Sites[[#This Row],[SOL'#]]</f>
        <v>SOL-10877</v>
      </c>
      <c r="D178" s="60">
        <v>3425.5079999999998</v>
      </c>
      <c r="E178" s="10">
        <v>0</v>
      </c>
      <c r="F178" s="10">
        <f t="shared" si="18"/>
        <v>3425.5079999999998</v>
      </c>
      <c r="G178" s="11" t="str">
        <f t="shared" si="19"/>
        <v/>
      </c>
      <c r="H178" s="75">
        <v>0</v>
      </c>
      <c r="I178" s="12">
        <f t="shared" si="22"/>
        <v>3425.5079999999998</v>
      </c>
      <c r="J178" s="13" t="str">
        <f t="shared" si="23"/>
        <v/>
      </c>
      <c r="K178" s="63" t="s">
        <v>243</v>
      </c>
      <c r="L178" s="111" t="s">
        <v>244</v>
      </c>
      <c r="M178" s="116"/>
      <c r="N178" s="116"/>
      <c r="O178" s="116"/>
      <c r="P178" s="116"/>
      <c r="Q178" s="116"/>
      <c r="R178" s="116"/>
      <c r="S178" s="116"/>
      <c r="T178" s="116"/>
    </row>
    <row r="179" spans="1:20" ht="15.6">
      <c r="A179" s="26" t="str">
        <v>Q196</v>
      </c>
      <c r="B179" s="27" t="str">
        <v>NY</v>
      </c>
      <c r="C179" s="27" t="str">
        <f>Sites[[#This Row],[SOL'#]]</f>
        <v>SOL-10879</v>
      </c>
      <c r="D179" s="74">
        <v>3235.96</v>
      </c>
      <c r="E179" s="14">
        <v>0</v>
      </c>
      <c r="F179" s="14">
        <f t="shared" si="18"/>
        <v>3235.96</v>
      </c>
      <c r="G179" s="15" t="str">
        <f t="shared" si="19"/>
        <v/>
      </c>
      <c r="H179" s="77"/>
      <c r="I179" s="16" t="str">
        <f t="shared" si="22"/>
        <v/>
      </c>
      <c r="J179" s="15" t="str">
        <f t="shared" si="23"/>
        <v/>
      </c>
      <c r="K179" s="63" t="s">
        <v>243</v>
      </c>
      <c r="L179" s="115" t="s">
        <v>245</v>
      </c>
      <c r="M179" s="116"/>
      <c r="N179" s="116"/>
      <c r="O179" s="116"/>
      <c r="P179" s="116"/>
      <c r="Q179" s="116"/>
      <c r="R179" s="116"/>
      <c r="S179" s="116"/>
      <c r="T179" s="116"/>
    </row>
    <row r="180" spans="1:20" ht="15.6">
      <c r="A180" s="24" t="str">
        <v>Q220</v>
      </c>
      <c r="B180" s="25" t="str">
        <v>NY</v>
      </c>
      <c r="C180" s="25" t="str">
        <f>Sites[[#This Row],[SOL'#]]</f>
        <v>SOL-10873</v>
      </c>
      <c r="D180" s="60">
        <v>6469.201</v>
      </c>
      <c r="E180" s="10">
        <v>0</v>
      </c>
      <c r="F180" s="10">
        <f t="shared" si="18"/>
        <v>6469.201</v>
      </c>
      <c r="G180" s="11" t="str">
        <f t="shared" si="19"/>
        <v/>
      </c>
      <c r="H180" s="75"/>
      <c r="I180" s="12" t="str">
        <f t="shared" si="22"/>
        <v/>
      </c>
      <c r="J180" s="13" t="str">
        <f t="shared" si="23"/>
        <v/>
      </c>
      <c r="K180" s="63" t="s">
        <v>243</v>
      </c>
      <c r="L180" s="111" t="s">
        <v>246</v>
      </c>
      <c r="M180" s="116"/>
      <c r="N180" s="116"/>
      <c r="O180" s="116"/>
      <c r="P180" s="116"/>
      <c r="Q180" s="116"/>
      <c r="R180" s="116"/>
      <c r="S180" s="116"/>
      <c r="T180" s="116"/>
    </row>
    <row r="181" spans="1:20" ht="15.6">
      <c r="A181" s="26" t="str">
        <v>Q205</v>
      </c>
      <c r="B181" s="27" t="str">
        <v>NY</v>
      </c>
      <c r="C181" s="27" t="str">
        <f>Sites[[#This Row],[SOL'#]]</f>
        <v>SOL-10922</v>
      </c>
      <c r="D181" s="74"/>
      <c r="E181" s="14"/>
      <c r="F181" s="14" t="str">
        <f t="shared" si="18"/>
        <v/>
      </c>
      <c r="G181" s="15" t="str">
        <f t="shared" si="19"/>
        <v/>
      </c>
      <c r="H181" s="77"/>
      <c r="I181" s="16" t="str">
        <f t="shared" si="22"/>
        <v/>
      </c>
      <c r="J181" s="15" t="str">
        <f t="shared" si="23"/>
        <v/>
      </c>
      <c r="K181" s="56"/>
      <c r="L181" s="82"/>
      <c r="M181" s="116"/>
      <c r="N181" s="116"/>
      <c r="O181" s="116"/>
      <c r="P181" s="116"/>
      <c r="Q181" s="116"/>
      <c r="R181" s="116"/>
      <c r="S181" s="116"/>
      <c r="T181" s="116"/>
    </row>
    <row r="182" spans="1:20" ht="28.9">
      <c r="A182" s="24" t="str">
        <v>Q400</v>
      </c>
      <c r="B182" s="25" t="str">
        <v>NY</v>
      </c>
      <c r="C182" s="25" t="str">
        <f>Sites[[#This Row],[SOL'#]]</f>
        <v>SOL-10871</v>
      </c>
      <c r="D182" s="60">
        <v>8851.6523440000001</v>
      </c>
      <c r="E182" s="10">
        <v>0</v>
      </c>
      <c r="F182" s="10">
        <f t="shared" si="18"/>
        <v>8851.6523440000001</v>
      </c>
      <c r="G182" s="11" t="str">
        <f t="shared" si="19"/>
        <v/>
      </c>
      <c r="H182" s="75">
        <v>0</v>
      </c>
      <c r="I182" s="12">
        <f t="shared" si="22"/>
        <v>8851.6523440000001</v>
      </c>
      <c r="J182" s="13" t="str">
        <f t="shared" si="23"/>
        <v/>
      </c>
      <c r="K182" s="63" t="s">
        <v>247</v>
      </c>
      <c r="L182" s="111" t="s">
        <v>248</v>
      </c>
      <c r="M182" s="115" t="s">
        <v>249</v>
      </c>
      <c r="N182" s="116"/>
      <c r="O182" s="116"/>
      <c r="P182" s="116"/>
      <c r="Q182" s="116"/>
      <c r="R182" s="116"/>
      <c r="S182" s="116"/>
      <c r="T182" s="116"/>
    </row>
    <row r="183" spans="1:20" ht="15.6">
      <c r="A183" s="26" t="str">
        <v>R003</v>
      </c>
      <c r="B183" s="27" t="str">
        <v>NY</v>
      </c>
      <c r="C183" s="27" t="str">
        <f>Sites[[#This Row],[SOL'#]]</f>
        <v>SOL-10416</v>
      </c>
      <c r="D183" s="74"/>
      <c r="E183" s="14"/>
      <c r="F183" s="14" t="str">
        <f t="shared" si="18"/>
        <v/>
      </c>
      <c r="G183" s="15" t="str">
        <f t="shared" si="19"/>
        <v/>
      </c>
      <c r="H183" s="77"/>
      <c r="I183" s="16" t="str">
        <f t="shared" si="22"/>
        <v/>
      </c>
      <c r="J183" s="15" t="str">
        <f t="shared" si="23"/>
        <v/>
      </c>
      <c r="K183" s="56" t="s">
        <v>250</v>
      </c>
      <c r="L183" s="115" t="s">
        <v>251</v>
      </c>
      <c r="M183" s="116"/>
      <c r="N183" s="116"/>
      <c r="O183" s="116"/>
      <c r="P183" s="116"/>
      <c r="Q183" s="116"/>
      <c r="R183" s="116"/>
      <c r="S183" s="116"/>
      <c r="T183" s="116"/>
    </row>
    <row r="184" spans="1:20" ht="15.6">
      <c r="A184" s="24" t="str">
        <v>R007</v>
      </c>
      <c r="B184" s="25" t="str">
        <v>NY</v>
      </c>
      <c r="C184" s="25" t="str">
        <f>Sites[[#This Row],[SOL'#]]</f>
        <v>SOL-10417</v>
      </c>
      <c r="D184" s="60">
        <v>14021.9</v>
      </c>
      <c r="E184" s="10">
        <v>0</v>
      </c>
      <c r="F184" s="10">
        <f t="shared" si="18"/>
        <v>14021.9</v>
      </c>
      <c r="G184" s="11" t="str">
        <f t="shared" si="19"/>
        <v/>
      </c>
      <c r="H184" s="75">
        <v>0</v>
      </c>
      <c r="I184" s="12">
        <f t="shared" si="22"/>
        <v>14021.9</v>
      </c>
      <c r="J184" s="13" t="str">
        <f t="shared" si="23"/>
        <v/>
      </c>
      <c r="K184" s="63"/>
      <c r="L184" s="59"/>
      <c r="M184" s="116"/>
      <c r="N184" s="116"/>
      <c r="O184" s="116"/>
      <c r="P184" s="116"/>
      <c r="Q184" s="116"/>
      <c r="R184" s="116"/>
      <c r="S184" s="116"/>
      <c r="T184" s="116"/>
    </row>
    <row r="185" spans="1:20" ht="15.6">
      <c r="A185" s="26" t="str">
        <v>BK16</v>
      </c>
      <c r="B185" s="27" t="str">
        <v>NY</v>
      </c>
      <c r="C185" s="27" t="str">
        <f>Sites[[#This Row],[SOL'#]]</f>
        <v>SOL-11093</v>
      </c>
      <c r="D185" s="74">
        <v>14917.816421408599</v>
      </c>
      <c r="E185" s="14">
        <v>0</v>
      </c>
      <c r="F185" s="14">
        <f t="shared" si="18"/>
        <v>14917.816421408599</v>
      </c>
      <c r="G185" s="15" t="str">
        <f t="shared" si="19"/>
        <v/>
      </c>
      <c r="H185" s="77">
        <v>0</v>
      </c>
      <c r="I185" s="16">
        <f t="shared" si="22"/>
        <v>14917.816421408599</v>
      </c>
      <c r="J185" s="15" t="str">
        <f t="shared" si="23"/>
        <v/>
      </c>
      <c r="K185" s="56" t="s">
        <v>237</v>
      </c>
      <c r="L185" s="115" t="s">
        <v>252</v>
      </c>
      <c r="M185" s="116"/>
      <c r="N185" s="116"/>
      <c r="O185" s="116"/>
      <c r="P185" s="116"/>
      <c r="Q185" s="116"/>
      <c r="R185" s="116"/>
      <c r="S185" s="116"/>
      <c r="T185" s="116"/>
    </row>
    <row r="186" spans="1:20" ht="15.6">
      <c r="A186" s="24" t="str">
        <v>Trenton - Trenton East</v>
      </c>
      <c r="B186" s="25" t="str">
        <v>IL</v>
      </c>
      <c r="C186" s="25" t="str">
        <f>Sites[[#This Row],[SOL'#]]</f>
        <v>SOL-11060</v>
      </c>
      <c r="D186" s="60"/>
      <c r="E186" s="10"/>
      <c r="F186" s="10" t="str">
        <f t="shared" ref="F186:F195" si="24">IF(AND(ISNUMBER(D186),ISNUMBER(E186)), D186-E186, "")</f>
        <v/>
      </c>
      <c r="G186" s="11" t="str">
        <f t="shared" ref="G186:G195" si="25">IFERROR(F186/E186, "")</f>
        <v/>
      </c>
      <c r="H186" s="75"/>
      <c r="I186" s="12" t="str">
        <f t="shared" si="22"/>
        <v/>
      </c>
      <c r="J186" s="13" t="str">
        <f t="shared" si="23"/>
        <v/>
      </c>
      <c r="K186" s="63"/>
      <c r="L186" s="59"/>
      <c r="M186" s="116"/>
      <c r="N186" s="116"/>
      <c r="O186" s="116"/>
      <c r="P186" s="116"/>
      <c r="Q186" s="116"/>
      <c r="R186" s="116"/>
      <c r="S186" s="116"/>
      <c r="T186" s="116"/>
    </row>
    <row r="187" spans="1:20" ht="15.6">
      <c r="A187" s="26" t="str">
        <v>Trenton - Trenton West</v>
      </c>
      <c r="B187" s="27" t="str">
        <v>IL</v>
      </c>
      <c r="C187" s="27" t="str">
        <f>Sites[[#This Row],[SOL'#]]</f>
        <v>SOL-11061</v>
      </c>
      <c r="D187" s="74"/>
      <c r="E187" s="14"/>
      <c r="F187" s="14" t="str">
        <f t="shared" si="24"/>
        <v/>
      </c>
      <c r="G187" s="15" t="str">
        <f t="shared" si="25"/>
        <v/>
      </c>
      <c r="H187" s="77"/>
      <c r="I187" s="16" t="str">
        <f t="shared" si="22"/>
        <v/>
      </c>
      <c r="J187" s="15" t="str">
        <f t="shared" si="23"/>
        <v/>
      </c>
      <c r="K187" s="56"/>
      <c r="L187" s="115"/>
      <c r="M187" s="116"/>
      <c r="N187" s="116"/>
      <c r="O187" s="116"/>
      <c r="P187" s="116"/>
      <c r="Q187" s="116"/>
      <c r="R187" s="116"/>
      <c r="S187" s="116"/>
      <c r="T187" s="116"/>
    </row>
    <row r="188" spans="1:20" ht="15.6">
      <c r="A188" s="24" t="str">
        <v>Dakota - Dakota Solar 1</v>
      </c>
      <c r="B188" s="25" t="str">
        <v>IL</v>
      </c>
      <c r="C188" s="25" t="str">
        <f>Sites[[#This Row],[SOL'#]]</f>
        <v>SOL-11113</v>
      </c>
      <c r="D188" s="60"/>
      <c r="E188" s="10"/>
      <c r="F188" s="10" t="str">
        <f t="shared" si="24"/>
        <v/>
      </c>
      <c r="G188" s="11" t="str">
        <f t="shared" si="25"/>
        <v/>
      </c>
      <c r="H188" s="75"/>
      <c r="I188" s="12" t="str">
        <f t="shared" si="22"/>
        <v/>
      </c>
      <c r="J188" s="13" t="str">
        <f t="shared" si="23"/>
        <v/>
      </c>
      <c r="K188" s="63"/>
      <c r="L188" s="59"/>
      <c r="M188" s="116"/>
      <c r="N188" s="116"/>
      <c r="O188" s="116"/>
      <c r="P188" s="116"/>
      <c r="Q188" s="116"/>
      <c r="R188" s="116"/>
      <c r="S188" s="116"/>
      <c r="T188" s="116"/>
    </row>
    <row r="189" spans="1:20" ht="15.6">
      <c r="A189" s="26" t="str">
        <v>X018</v>
      </c>
      <c r="B189" s="27" t="str">
        <v>NY</v>
      </c>
      <c r="C189" s="27" t="str">
        <f>Sites[[#This Row],[SOL'#]]</f>
        <v>SOL-10418</v>
      </c>
      <c r="D189" s="74">
        <v>6974.78</v>
      </c>
      <c r="E189" s="14">
        <v>9491.5249999999996</v>
      </c>
      <c r="F189" s="14">
        <f t="shared" si="24"/>
        <v>-2516.7449999999999</v>
      </c>
      <c r="G189" s="15">
        <f t="shared" si="25"/>
        <v>-0.2651570743373694</v>
      </c>
      <c r="H189" s="77">
        <v>0</v>
      </c>
      <c r="I189" s="16">
        <f t="shared" si="22"/>
        <v>6974.78</v>
      </c>
      <c r="J189" s="15" t="str">
        <f t="shared" si="23"/>
        <v/>
      </c>
      <c r="K189" s="56" t="s">
        <v>50</v>
      </c>
      <c r="L189" s="115"/>
      <c r="M189" s="116"/>
      <c r="N189" s="116"/>
      <c r="O189" s="116"/>
      <c r="P189" s="116"/>
      <c r="Q189" s="116"/>
      <c r="R189" s="116"/>
      <c r="S189" s="116"/>
      <c r="T189" s="116"/>
    </row>
    <row r="190" spans="1:20" ht="15.6">
      <c r="A190" s="24" t="str">
        <v>Janiak Solar</v>
      </c>
      <c r="B190" s="25" t="str">
        <v>NY</v>
      </c>
      <c r="C190" s="25" t="str">
        <f>Sites[[#This Row],[SOL'#]]</f>
        <v>SOL-10898</v>
      </c>
      <c r="D190" s="60">
        <v>171787.774</v>
      </c>
      <c r="E190" s="10">
        <v>248610.101</v>
      </c>
      <c r="F190" s="10">
        <f t="shared" si="24"/>
        <v>-76822.32699999999</v>
      </c>
      <c r="G190" s="11">
        <f t="shared" si="25"/>
        <v>-0.30900726354638336</v>
      </c>
      <c r="H190" s="75">
        <v>209672.823</v>
      </c>
      <c r="I190" s="12">
        <f t="shared" si="22"/>
        <v>-37885.048999999999</v>
      </c>
      <c r="J190" s="13">
        <f t="shared" si="23"/>
        <v>-0.18068650222732965</v>
      </c>
      <c r="K190" s="59" t="s">
        <v>50</v>
      </c>
      <c r="L190" s="59"/>
    </row>
    <row r="191" spans="1:20" ht="28.9">
      <c r="A191" s="26" t="str">
        <v>County Route 11B</v>
      </c>
      <c r="B191" s="27" t="str">
        <v>NY</v>
      </c>
      <c r="C191" s="27" t="str">
        <f>Sites[[#This Row],[SOL'#]]</f>
        <v>SOL-10983</v>
      </c>
      <c r="D191" s="74">
        <v>314905</v>
      </c>
      <c r="E191" s="14">
        <v>0</v>
      </c>
      <c r="F191" s="14">
        <f t="shared" si="24"/>
        <v>314905</v>
      </c>
      <c r="G191" s="15" t="str">
        <f t="shared" si="25"/>
        <v/>
      </c>
      <c r="H191" s="77">
        <v>0</v>
      </c>
      <c r="I191" s="16">
        <f t="shared" si="22"/>
        <v>314905</v>
      </c>
      <c r="J191" s="15" t="str">
        <f t="shared" si="23"/>
        <v/>
      </c>
      <c r="K191" s="91" t="s">
        <v>253</v>
      </c>
      <c r="L191" s="114" t="s">
        <v>254</v>
      </c>
    </row>
    <row r="192" spans="1:20" ht="28.9">
      <c r="A192" s="24" t="str">
        <v>Barone</v>
      </c>
      <c r="B192" s="25" t="str">
        <v>NY</v>
      </c>
      <c r="C192" s="25" t="str">
        <f>Sites[[#This Row],[SOL'#]]</f>
        <v>SOL-11034</v>
      </c>
      <c r="D192" s="60">
        <v>246714</v>
      </c>
      <c r="E192" s="10">
        <v>0</v>
      </c>
      <c r="F192" s="10">
        <f t="shared" si="24"/>
        <v>246714</v>
      </c>
      <c r="G192" s="11" t="str">
        <f t="shared" si="25"/>
        <v/>
      </c>
      <c r="H192" s="75">
        <v>210690</v>
      </c>
      <c r="I192" s="12">
        <f t="shared" si="22"/>
        <v>36024</v>
      </c>
      <c r="J192" s="13">
        <f t="shared" si="23"/>
        <v>0.17098106222412074</v>
      </c>
      <c r="K192" s="63" t="s">
        <v>255</v>
      </c>
      <c r="L192" s="111" t="s">
        <v>256</v>
      </c>
      <c r="M192" s="126" t="s">
        <v>257</v>
      </c>
    </row>
    <row r="193" spans="1:20" ht="43.15">
      <c r="A193" s="26" t="str">
        <v>Cedarville</v>
      </c>
      <c r="B193" s="27" t="str">
        <v>IL</v>
      </c>
      <c r="C193" s="27" t="str">
        <f>Sites[[#This Row],[SOL'#]]</f>
        <v>SOL-11069</v>
      </c>
      <c r="D193" s="74">
        <v>192250.1</v>
      </c>
      <c r="E193" s="14">
        <v>230003.1</v>
      </c>
      <c r="F193" s="14">
        <f t="shared" si="24"/>
        <v>-37753</v>
      </c>
      <c r="G193" s="15">
        <f t="shared" si="25"/>
        <v>-0.16414126592206801</v>
      </c>
      <c r="H193" s="77">
        <v>193682.4</v>
      </c>
      <c r="I193" s="16">
        <f t="shared" si="22"/>
        <v>-1432.2999999999884</v>
      </c>
      <c r="J193" s="15">
        <f t="shared" si="23"/>
        <v>-7.395096301987111E-3</v>
      </c>
      <c r="K193" s="56" t="s">
        <v>258</v>
      </c>
      <c r="L193" s="114" t="s">
        <v>259</v>
      </c>
      <c r="M193" s="126" t="s">
        <v>260</v>
      </c>
    </row>
    <row r="194" spans="1:20" ht="28.9">
      <c r="A194" s="24" t="str">
        <v xml:space="preserve"> O'Brien Hill #1</v>
      </c>
      <c r="B194" s="25" t="str">
        <v>NY</v>
      </c>
      <c r="C194" s="25" t="str">
        <f>Sites[[#This Row],[SOL'#]]</f>
        <v>SOL-11098</v>
      </c>
      <c r="D194" s="60">
        <v>286395</v>
      </c>
      <c r="E194" s="10">
        <v>0</v>
      </c>
      <c r="F194" s="10">
        <f t="shared" si="24"/>
        <v>286395</v>
      </c>
      <c r="G194" s="11" t="str">
        <f t="shared" si="25"/>
        <v/>
      </c>
      <c r="H194" s="75">
        <v>0</v>
      </c>
      <c r="I194" s="12">
        <f t="shared" si="22"/>
        <v>286395</v>
      </c>
      <c r="J194" s="13" t="str">
        <f t="shared" si="23"/>
        <v/>
      </c>
      <c r="K194" s="63" t="s">
        <v>261</v>
      </c>
      <c r="L194" s="111" t="s">
        <v>262</v>
      </c>
      <c r="M194" s="126" t="s">
        <v>263</v>
      </c>
    </row>
    <row r="195" spans="1:20" ht="86.45">
      <c r="A195" s="26" t="str">
        <v xml:space="preserve"> O'Brien Hill #2</v>
      </c>
      <c r="B195" s="27" t="str">
        <v>NY</v>
      </c>
      <c r="C195" s="27" t="str">
        <f>Sites[[#This Row],[SOL'#]]</f>
        <v>SOL-11099</v>
      </c>
      <c r="D195" s="74">
        <v>286189</v>
      </c>
      <c r="E195" s="14">
        <v>0</v>
      </c>
      <c r="F195" s="14">
        <f t="shared" si="24"/>
        <v>286189</v>
      </c>
      <c r="G195" s="15" t="str">
        <f t="shared" si="25"/>
        <v/>
      </c>
      <c r="H195" s="77">
        <v>0</v>
      </c>
      <c r="I195" s="16">
        <f t="shared" si="22"/>
        <v>286189</v>
      </c>
      <c r="J195" s="15" t="str">
        <f t="shared" si="23"/>
        <v/>
      </c>
      <c r="K195" s="56" t="s">
        <v>264</v>
      </c>
      <c r="L195" s="114" t="s">
        <v>265</v>
      </c>
      <c r="M195" s="126" t="s">
        <v>266</v>
      </c>
      <c r="N195" s="126" t="s">
        <v>267</v>
      </c>
      <c r="O195" s="126" t="s">
        <v>263</v>
      </c>
    </row>
    <row r="196" spans="1:20" ht="15.6">
      <c r="A196" s="24" t="str">
        <v>Trinity - Freeport</v>
      </c>
      <c r="B196" s="25" t="str">
        <v>IL</v>
      </c>
      <c r="C196" s="25" t="str">
        <f>Sites[[#This Row],[SOL'#]]</f>
        <v>SOL-11057</v>
      </c>
      <c r="D196" s="60"/>
      <c r="E196" s="10"/>
      <c r="F196" s="10"/>
      <c r="G196" s="11"/>
      <c r="H196" s="75"/>
      <c r="I196" s="12"/>
      <c r="J196" s="13"/>
      <c r="K196" s="63"/>
      <c r="L196" s="59"/>
    </row>
    <row r="197" spans="1:20" ht="15.6">
      <c r="A197" s="26" t="str">
        <v>Ransom</v>
      </c>
      <c r="B197" s="27" t="str">
        <v>NY</v>
      </c>
      <c r="C197" s="27" t="str">
        <f>Sites[[#This Row],[SOL'#]]</f>
        <v>SOL-11157</v>
      </c>
      <c r="D197" s="74"/>
      <c r="E197" s="14"/>
      <c r="F197" s="14"/>
      <c r="G197" s="15"/>
      <c r="H197" s="77"/>
      <c r="I197" s="16"/>
      <c r="J197" s="15"/>
      <c r="K197" s="56"/>
      <c r="L197" s="114"/>
    </row>
    <row r="198" spans="1:20" ht="15.6">
      <c r="A198" s="24" t="str">
        <v>Horseheads - Wedge</v>
      </c>
      <c r="B198" s="25" t="str">
        <v>NY</v>
      </c>
      <c r="C198" s="25" t="str">
        <f>Sites[[#This Row],[SOL'#]]</f>
        <v>SOL-11160</v>
      </c>
      <c r="D198" s="60"/>
      <c r="E198" s="10"/>
      <c r="F198" s="10"/>
      <c r="G198" s="11"/>
      <c r="H198" s="75"/>
      <c r="I198" s="12"/>
      <c r="J198" s="13"/>
      <c r="K198" s="63"/>
      <c r="L198" s="59"/>
      <c r="M198" s="24"/>
      <c r="N198" s="25"/>
      <c r="O198" s="25"/>
      <c r="P198" s="60"/>
      <c r="Q198" s="10"/>
      <c r="R198" s="10"/>
      <c r="S198" s="11"/>
      <c r="T198" s="75"/>
    </row>
    <row r="199" spans="1:20" ht="15.6">
      <c r="A199" s="26" t="str">
        <v>Otisville - Shoddy Hollow</v>
      </c>
      <c r="B199" s="27" t="str">
        <v>NY</v>
      </c>
      <c r="C199" s="27" t="str">
        <f>Sites[[#This Row],[SOL'#]]</f>
        <v>SOL-11185</v>
      </c>
      <c r="D199" s="74"/>
      <c r="E199" s="14"/>
      <c r="F199" s="14"/>
      <c r="G199" s="15"/>
      <c r="H199" s="77"/>
      <c r="I199" s="16"/>
      <c r="J199" s="15"/>
      <c r="K199" s="56"/>
      <c r="L199" s="114"/>
      <c r="M199" s="26"/>
      <c r="N199" s="27"/>
      <c r="O199" s="27"/>
      <c r="P199" s="74"/>
      <c r="Q199" s="14"/>
      <c r="R199" s="14"/>
      <c r="S199" s="15"/>
      <c r="T199" s="77"/>
    </row>
    <row r="200" spans="1:20" ht="15.6">
      <c r="A200" s="24" t="str">
        <v>Wellsville - Chenunda Creek</v>
      </c>
      <c r="B200" s="25" t="str">
        <v>NY</v>
      </c>
      <c r="C200" s="25" t="str">
        <f>Sites[[#This Row],[SOL'#]]</f>
        <v>SOL-11187</v>
      </c>
      <c r="D200" s="60"/>
      <c r="E200" s="10"/>
      <c r="F200" s="10"/>
      <c r="G200" s="11"/>
      <c r="H200" s="75"/>
      <c r="I200" s="12"/>
      <c r="J200" s="13"/>
      <c r="K200" s="63"/>
      <c r="L200" s="59"/>
      <c r="M200" s="24"/>
      <c r="N200" s="25"/>
      <c r="O200" s="25"/>
      <c r="P200" s="60"/>
      <c r="Q200" s="10"/>
      <c r="R200" s="10"/>
      <c r="S200" s="11"/>
      <c r="T200" s="75"/>
    </row>
  </sheetData>
  <mergeCells count="4">
    <mergeCell ref="E1:G1"/>
    <mergeCell ref="A1:D1"/>
    <mergeCell ref="H1:J1"/>
    <mergeCell ref="A2:B2"/>
  </mergeCells>
  <phoneticPr fontId="40" type="noConversion"/>
  <conditionalFormatting sqref="G2 J2">
    <cfRule type="cellIs" dxfId="56" priority="18" stopIfTrue="1" operator="lessThanOrEqual">
      <formula>-0.1</formula>
    </cfRule>
    <cfRule type="expression" dxfId="55" priority="19">
      <formula>AND(ISNUMBER(G2), G2&gt;=0.1)</formula>
    </cfRule>
  </conditionalFormatting>
  <conditionalFormatting sqref="G4:G200 J4:J200 S198:S200 V198:V200 AE198:AE200 AH198:AH200">
    <cfRule type="cellIs" dxfId="54" priority="1" stopIfTrue="1" operator="lessThanOrEqual">
      <formula>-0.1</formula>
    </cfRule>
    <cfRule type="expression" dxfId="53" priority="2">
      <formula>AND(ISNUMBER(G4), G4&gt;=0.1)</formula>
    </cfRule>
  </conditionalFormatting>
  <hyperlinks>
    <hyperlink ref="L10" r:id="rId1" display="https://us3.assetplanner.com/service_request?ID=094057" xr:uid="{9E890019-19E1-42F8-8F1C-A69B5EFC8577}"/>
    <hyperlink ref="L11" r:id="rId2" display="https://us3.assetplanner.com/service_request?ID=091355" xr:uid="{CE385AB0-06BA-4CF8-A678-9C9CFD33854D}"/>
    <hyperlink ref="L13" r:id="rId3" display="https://us3.assetplanner.com/service_request?ID=082252" xr:uid="{B6435CD6-FF57-4870-BCD2-7518478146D3}"/>
    <hyperlink ref="M13" r:id="rId4" display="https://us3.assetplanner.com/service_request?ID=092555" xr:uid="{92BA630F-80D6-4D6D-99C9-DC395381D99B}"/>
    <hyperlink ref="N13" r:id="rId5" display="https://us3.assetplanner.com/service_request?ID=091903" xr:uid="{A4BD5BC5-95BC-4F91-BA76-E99EFD52D3F5}"/>
    <hyperlink ref="L14" r:id="rId6" display="https://us3.assetplanner.com/service_request?ID=092556" xr:uid="{3CF0933F-D04F-42F0-BB38-B35643BA085F}"/>
    <hyperlink ref="L15" r:id="rId7" display="https://us3.assetplanner.com/service_request?ID=095708" xr:uid="{F205834C-EA28-41D5-9E2C-5E7790641BFF}"/>
    <hyperlink ref="L16" r:id="rId8" display="https://us3.assetplanner.com/service_request?ID=093028" xr:uid="{4A5D5E5E-3D3A-42B4-B005-92A26A31D954}"/>
    <hyperlink ref="L17" r:id="rId9" display="https://us3.assetplanner.com/service_request?ID=091894" xr:uid="{B493A1A2-9BD6-461A-88BF-A325F7DE7EFC}"/>
    <hyperlink ref="M17" r:id="rId10" display="https://us3.assetplanner.com/service_request?ID=093029" xr:uid="{A472C5D0-C4A0-4252-BE90-D1B9E1EBED47}"/>
    <hyperlink ref="L18" r:id="rId11" display="https://us3.assetplanner.com/service_request?ID=093550" xr:uid="{02CD9A70-BE0C-4833-9C08-FE1DD83113CA}"/>
    <hyperlink ref="L19" r:id="rId12" display="https://us3.assetplanner.com/service_request?ID=093047" xr:uid="{FA2BFDA9-A873-46F5-A46E-3F6CD3C20DAD}"/>
    <hyperlink ref="L20" r:id="rId13" display="https://us3.assetplanner.com/service_request?ID=095619" xr:uid="{AEAFD5D9-1FA6-462C-9EFF-EEE15E1A63FE}"/>
    <hyperlink ref="L25" r:id="rId14" display="https://us3.assetplanner.com/service_request?ID=093291" xr:uid="{D3FC547A-1938-47E5-B0B8-62B79966D2E2}"/>
    <hyperlink ref="L29" r:id="rId15" display="https://us3.assetplanner.com/service_request?ID=093633" xr:uid="{B9FD353F-9224-4F83-BFAF-6575D1ACD8B0}"/>
    <hyperlink ref="L31" r:id="rId16" display="https://us3.assetplanner.com/service_request?ID=086842" xr:uid="{FD1A08EE-96AD-4AE1-8342-BF1593934659}"/>
    <hyperlink ref="M31" r:id="rId17" display="https://us3.assetplanner.com/service_request?ID=093294" xr:uid="{4F77AB07-05C5-44C8-B24F-93EECA0A0EC7}"/>
    <hyperlink ref="L37" r:id="rId18" display="https://us3.assetplanner.com/service_request?ID=093196" xr:uid="{47088777-606A-499F-A49D-80DA1A549998}"/>
    <hyperlink ref="L49" r:id="rId19" display="https://us3.assetplanner.com/service_request?ID=095201" xr:uid="{73A961E1-E1EC-49B7-92A5-D91C53289CF8}"/>
    <hyperlink ref="L52" r:id="rId20" display="https://us3.assetplanner.com/service_request?ID=094206" xr:uid="{F0313766-D685-4870-8AFD-F592D1F46251}"/>
    <hyperlink ref="M52" r:id="rId21" display="https://us3.assetplanner.com/service_request?ID=096202" xr:uid="{48AA792A-63FE-4B72-B537-035E9396FF46}"/>
    <hyperlink ref="L59" r:id="rId22" display="https://us3.assetplanner.com/service_request?ID=096130" xr:uid="{187E4470-A6C6-429A-8D4E-FA02790C4CBA}"/>
    <hyperlink ref="L60" r:id="rId23" display="https://us3.assetplanner.com/service_request?ID=093326" xr:uid="{58384811-ADA1-4705-B8D4-D7DC46106AEF}"/>
    <hyperlink ref="L64" r:id="rId24" display="https://us3.assetplanner.com/service_request?ID=095758" xr:uid="{5FD31C7A-CFDB-4703-9E55-449F92C27535}"/>
    <hyperlink ref="L73" r:id="rId25" display="https://us3.assetplanner.com/service_request?ID=095297" xr:uid="{C8F904A0-AF29-4518-9908-DC7ED350AF2F}"/>
    <hyperlink ref="M73" r:id="rId26" display="https://us3.assetplanner.com/service_request?ID=092042" xr:uid="{2E1327E9-975E-40FD-8DE0-F5BD0E70E324}"/>
    <hyperlink ref="N73" r:id="rId27" display="https://us3.assetplanner.com/service_request?ID=095706" xr:uid="{837AD8ED-478D-4B5F-A0C1-B1CFB970B6A3}"/>
    <hyperlink ref="O73" r:id="rId28" display="https://us3.assetplanner.com/service_request?ID=095899" xr:uid="{ADD5164F-1A8F-4240-8343-66B03207D0D8}"/>
    <hyperlink ref="P73" r:id="rId29" display="https://us3.assetplanner.com/service_request?ID=095707" xr:uid="{5566EF17-4D36-44CD-93B0-D1618747A9E1}"/>
    <hyperlink ref="Q73" r:id="rId30" display="https://us3.assetplanner.com/service_request?ID=095899" xr:uid="{A236D019-64D9-4A18-AD49-FF581C9FC272}"/>
    <hyperlink ref="L76" r:id="rId31" display="https://us3.assetplanner.com/service_request?ID=093285" xr:uid="{7CFF4066-BDF1-435C-B58E-0963FA68446B}"/>
    <hyperlink ref="M76" r:id="rId32" display="https://us3.assetplanner.com/service_request?ID=093470" xr:uid="{06EA6043-BAA6-4FC2-9C34-D54BE4371AB0}"/>
    <hyperlink ref="N76" r:id="rId33" display="https://us3.assetplanner.com/service_request?ID=095395" xr:uid="{7DD60125-C7A4-47A3-BC4B-D9C78FE76EC0}"/>
    <hyperlink ref="O76" r:id="rId34" display="https://us3.assetplanner.com/service_request?ID=095473" xr:uid="{9FEBD8D1-19DB-443C-9C85-A654EC38CC87}"/>
    <hyperlink ref="P76" r:id="rId35" display="https://us3.assetplanner.com/service_request?ID=096164" xr:uid="{B2E66D39-D15E-41B5-B0CD-08A095A1C225}"/>
    <hyperlink ref="L78" r:id="rId36" display="https://us3.assetplanner.com/service_request?ID=095433" xr:uid="{9462C75F-0602-4B61-B02F-C68D95FF9AD0}"/>
    <hyperlink ref="L79" r:id="rId37" display="https://us3.assetplanner.com/service_request?ID=093972" xr:uid="{CF5811F0-8907-446F-AD16-62B26F068D63}"/>
    <hyperlink ref="L80" r:id="rId38" display="https://us3.assetplanner.com/service_request?ID=095885" xr:uid="{7C4FDED6-D091-477B-99CA-D8C2DCFFB16D}"/>
    <hyperlink ref="M80" r:id="rId39" display="https://us3.assetplanner.com/service_request?ID=095919" xr:uid="{C3AC143A-3AC6-48B4-AF6D-A8678A1147B4}"/>
    <hyperlink ref="N80" r:id="rId40" display="https://us3.assetplanner.com/service_request?ID=095976" xr:uid="{DDA3DC22-BE20-4DFB-9FDB-110D643C802A}"/>
    <hyperlink ref="O80" r:id="rId41" display="https://us3.assetplanner.com/service_request?ID=096119" xr:uid="{B768D490-B385-4096-875B-E95199AAA243}"/>
    <hyperlink ref="P80" r:id="rId42" display="https://us3.assetplanner.com/service_request?ID=095645" xr:uid="{DF737316-AF3A-4EDB-A341-3245F02A9D9B}"/>
    <hyperlink ref="L81" r:id="rId43" display="https://us3.assetplanner.com/service_request?ID=095176" xr:uid="{254721B0-C332-47CB-A30F-1B64088F1EF3}"/>
    <hyperlink ref="L82" r:id="rId44" display="https://us3.assetplanner.com/service_request?ID=095483" xr:uid="{D352211A-40C8-4709-B68F-A5D8729A6087}"/>
    <hyperlink ref="L83" r:id="rId45" display="https://us3.assetplanner.com/service_request?ID=093024" xr:uid="{90ABA3A5-3C8E-4F39-9586-BF48CBC194E0}"/>
    <hyperlink ref="M83" r:id="rId46" display="https://us3.assetplanner.com/service_request?ID=095445" xr:uid="{5A0E22C5-CC2E-4F67-A0F5-AC5A396F0E67}"/>
    <hyperlink ref="L86" r:id="rId47" display="https://us3.assetplanner.com/service_request?ID=094278" xr:uid="{6DD839B7-29E0-4705-BD4D-E935773A22AA}"/>
    <hyperlink ref="M86" r:id="rId48" display="https://us3.assetplanner.com/service_request?ID=095604" xr:uid="{DA569BD6-8C5B-4C08-A900-D7AB6E4C7B37}"/>
    <hyperlink ref="N86" r:id="rId49" display="https://us3.assetplanner.com/service_request?ID=095991" xr:uid="{8EB903A6-B713-4CD8-860F-EF697AF71773}"/>
    <hyperlink ref="O86" r:id="rId50" display="https://us3.assetplanner.com/service_request?ID=096045" xr:uid="{9C21FD11-B00B-4B9B-AC8D-AD2925E16BD6}"/>
    <hyperlink ref="P86" r:id="rId51" display="https://us3.assetplanner.com/service_request?ID=095991" xr:uid="{DAF97875-A040-4AED-8935-E21820E51D67}"/>
    <hyperlink ref="L87" r:id="rId52" display="https://us3.assetplanner.com/service_request?ID=096126" xr:uid="{D1F497C9-92D0-4D9F-9676-3797310FA70C}"/>
    <hyperlink ref="L88" r:id="rId53" display="https://us3.assetplanner.com/service_request?ID=092964" xr:uid="{8B2C878C-C341-4D11-B0EF-89E2102D9AF5}"/>
    <hyperlink ref="M88" r:id="rId54" display="https://us3.assetplanner.com/service_request?ID=095253" xr:uid="{F1CBF450-F8E1-49D1-86CB-F83F059F0425}"/>
    <hyperlink ref="L90" r:id="rId55" display="https://us3.assetplanner.com/service_request?ID=095252" xr:uid="{F34ED4E8-DABF-42E0-99EA-02D97DDABA35}"/>
    <hyperlink ref="L91" r:id="rId56" display="https://us3.assetplanner.com/service_request?ID=093436" xr:uid="{BAB1D53D-E39C-4953-83B0-424DF5053619}"/>
    <hyperlink ref="L92" r:id="rId57" display="https://us3.assetplanner.com/service_request?ID=096100" xr:uid="{923E3B70-DCEE-4C9C-98AA-279E9DEAD01C}"/>
    <hyperlink ref="L93" r:id="rId58" display="https://us3.assetplanner.com/service_request?ID=095376" xr:uid="{0470E6E7-2FF9-4F22-9292-1104F9F905E5}"/>
    <hyperlink ref="M93" r:id="rId59" display="https://us3.assetplanner.com/service_request?ID=093375" xr:uid="{5317EE62-815F-4DD3-AA0A-C428609CF226}"/>
    <hyperlink ref="L94" r:id="rId60" display="https://us3.assetplanner.com/service_request?ID=095549" xr:uid="{4DC94617-F4C4-4D7E-9965-9FA0252EEB3A}"/>
    <hyperlink ref="L96" r:id="rId61" display="https://us3.assetplanner.com/service_request?ID=095496" xr:uid="{A5535048-2E9E-43A0-AD1C-99C312B14CDB}"/>
    <hyperlink ref="M96" r:id="rId62" display="https://us3.assetplanner.com/service_request?ID=095852" xr:uid="{013C48EC-6DB3-49ED-BA02-22038F933FDB}"/>
    <hyperlink ref="N96" r:id="rId63" display="https://us3.assetplanner.com/service_request?ID=096056" xr:uid="{93C07185-CE74-4731-B323-3F8E51342DD3}"/>
    <hyperlink ref="L98" r:id="rId64" display="https://us3.assetplanner.com/service_request?ID=095635" xr:uid="{6212380B-067A-42D6-8EF9-28331D0F362A}"/>
    <hyperlink ref="L99" r:id="rId65" display="https://us3.assetplanner.com/service_request?ID=095374" xr:uid="{F25351B3-08D3-42B5-8C02-C2E4102B8607}"/>
    <hyperlink ref="M99" r:id="rId66" display="https://us3.assetplanner.com/service_request?ID=095374" xr:uid="{91D091C4-B8F4-4C0B-8948-88537547D794}"/>
    <hyperlink ref="N99" r:id="rId67" display="https://us3.assetplanner.com/service_request?ID=096112" xr:uid="{75BACF64-E59A-4CE9-98FF-3D323399C01A}"/>
    <hyperlink ref="L100" r:id="rId68" display="https://us3.assetplanner.com/service_request?ID=095375" xr:uid="{A6EBEA0D-D06C-4721-9654-CD98622A9C1C}"/>
    <hyperlink ref="M100" r:id="rId69" display="https://us3.assetplanner.com/service_request?ID=095375" xr:uid="{82895C73-7744-427D-8CE7-9480762350F8}"/>
    <hyperlink ref="N100" r:id="rId70" display="https://us3.assetplanner.com/service_request?ID=096113" xr:uid="{814BA6C3-8AC1-4574-85C2-301151CC8573}"/>
    <hyperlink ref="L101" r:id="rId71" display="https://us3.assetplanner.com/service_request?ID=095917" xr:uid="{28491889-2B13-4C0C-815B-E484A58AD856}"/>
    <hyperlink ref="M101" r:id="rId72" display="https://us3.assetplanner.com/service_request?ID=094891" xr:uid="{F8B01938-BFF0-4911-BB76-B895DA9214D1}"/>
    <hyperlink ref="L102" r:id="rId73" display="https://us3.assetplanner.com/service_request?ID=095812" xr:uid="{5EAB772D-6EFA-448D-B792-D831778549D0}"/>
    <hyperlink ref="M102" r:id="rId74" display="https://us3.assetplanner.com/service_request?ID=095109" xr:uid="{14CC3FD5-5282-40A0-841F-FFA83E03E1C8}"/>
    <hyperlink ref="L103" r:id="rId75" display="https://us3.assetplanner.com/service_request?ID=095371" xr:uid="{77F67A5A-A200-4673-8AE2-F2F9E319698B}"/>
    <hyperlink ref="L104" r:id="rId76" display="https://us3.assetplanner.com/service_request?ID=095373" xr:uid="{668EA213-3FF0-4D66-852D-F748774E657A}"/>
    <hyperlink ref="M104" r:id="rId77" display="https://us3.assetplanner.com/service_request?ID=096177" xr:uid="{DE4DE3C2-1970-4EA4-917E-452D25857256}"/>
    <hyperlink ref="L105" r:id="rId78" display="https://us3.assetplanner.com/service_request?ID=096106" xr:uid="{12039072-8541-4CC9-BE3D-60F671708B99}"/>
    <hyperlink ref="M105" r:id="rId79" display="https://us3.assetplanner.com/service_request?ID=095599" xr:uid="{A59FEC0D-1157-46E2-80C3-3708F5F771AA}"/>
    <hyperlink ref="N105" r:id="rId80" display="https://us3.assetplanner.com/service_request?ID=095506" xr:uid="{CA7724CF-9EF4-4BE7-B44B-A5D1F79BAA62}"/>
    <hyperlink ref="L106" r:id="rId81" display="https://us3.assetplanner.com/service_request?ID=095508" xr:uid="{0200C59F-BE98-40C8-ABC5-864BE303079B}"/>
    <hyperlink ref="L107" r:id="rId82" display="https://us3.assetplanner.com/service_request?ID=095507" xr:uid="{7EC35A1F-2635-43AB-982C-E1BC62DD031C}"/>
    <hyperlink ref="L108" r:id="rId83" display="https://us3.assetplanner.com/service_request?ID=095211" xr:uid="{1EBDD19D-D200-4C42-8387-6EC483C053D8}"/>
    <hyperlink ref="M108" r:id="rId84" display="https://us3.assetplanner.com/service_request?ID=095865" xr:uid="{2FB47B26-CBE9-4322-A07E-3A87EE1AF006}"/>
    <hyperlink ref="L109" r:id="rId85" display="https://us3.assetplanner.com/service_request?ID=096147" xr:uid="{7BA93804-29D7-4A33-82F3-3D2C42BB6B15}"/>
    <hyperlink ref="L112" r:id="rId86" display="https://us3.assetplanner.com/service_request?ID=095073" xr:uid="{62BD2108-A9F2-4BD2-900A-11FC11E69E8A}"/>
    <hyperlink ref="L120" r:id="rId87" display="https://us3.assetplanner.com/service_request?ID=087641" xr:uid="{54D8C1AC-8196-4FD7-91FF-B71A88B92D4A}"/>
    <hyperlink ref="L121" r:id="rId88" display="https://us3.assetplanner.com/service_request?ID=095581" xr:uid="{99757C49-94E5-4B27-9082-CF038FF12A2C}"/>
    <hyperlink ref="L125" r:id="rId89" display="https://us3.assetplanner.com/service_request?ID=093354" xr:uid="{057FB542-7D7E-4ECA-8490-68D62BBC8EC2}"/>
    <hyperlink ref="M125" r:id="rId90" display="https://us3.assetplanner.com/service_request?ID=094955" xr:uid="{42FB4C47-875E-43EB-A1D5-C3BBC6EFC83D}"/>
    <hyperlink ref="L126" r:id="rId91" display="https://us3.assetplanner.com/service_request?ID=092332" xr:uid="{A914B5D5-8970-4EA6-88AC-557D7BDBD65E}"/>
    <hyperlink ref="M126" r:id="rId92" display="https://us3.assetplanner.com/service_request?ID=094825" xr:uid="{A2FC01A5-780B-4031-AB04-7F749B4A72E1}"/>
    <hyperlink ref="N126" r:id="rId93" display="https://us3.assetplanner.com/service_request?ID=095136" xr:uid="{4436ECC1-A3C0-4F7B-B4E1-8642D6A3BCDE}"/>
    <hyperlink ref="O126" r:id="rId94" display="https://us3.assetplanner.com/service_request?ID=095183" xr:uid="{68E4E033-55CB-4AB3-9DFE-993599F16080}"/>
    <hyperlink ref="P126" r:id="rId95" display="https://us3.assetplanner.com/service_request?ID=095649" xr:uid="{F07FC9E4-FBAC-455A-9C04-7123D3EFDC2F}"/>
    <hyperlink ref="L127" r:id="rId96" display="https://us3.assetplanner.com/service_request?ID=088869" xr:uid="{6EE1FA8F-0F17-4561-83D8-A6AFCD4567F3}"/>
    <hyperlink ref="M127" r:id="rId97" display="https://us3.assetplanner.com/service_request?ID=092095" xr:uid="{036FF5D5-8831-452E-AC28-5D0D848AB5FE}"/>
    <hyperlink ref="N127" r:id="rId98" display="https://us3.assetplanner.com/service_request?ID=092115" xr:uid="{2F5ED822-D4BB-4849-9C7B-BAE5FB277A73}"/>
    <hyperlink ref="O127" r:id="rId99" display="https://us3.assetplanner.com/service_request?ID=092209" xr:uid="{9C081BF3-7CC0-41BB-BBA4-3D3EDD1887D5}"/>
    <hyperlink ref="P127" r:id="rId100" display="https://us3.assetplanner.com/service_request?ID=092255" xr:uid="{065566CC-26E2-4AA0-830E-AF4BD09702BA}"/>
    <hyperlink ref="Q127" r:id="rId101" display="https://us3.assetplanner.com/service_request?ID=092751" xr:uid="{4727DBEB-92F0-4BF0-83CB-5F004BD6AB91}"/>
    <hyperlink ref="R127" r:id="rId102" display="https://us3.assetplanner.com/service_request?ID=095850" xr:uid="{4997B694-A5BC-4CFF-8A25-44317364C182}"/>
    <hyperlink ref="S127" r:id="rId103" display="https://us3.assetplanner.com/service_request?ID=092777" xr:uid="{FADC576D-C865-43A2-9760-D5E1E8AC5F60}"/>
    <hyperlink ref="T127" r:id="rId104" display="https://us3.assetplanner.com/service_request?ID=094998" xr:uid="{903933E8-1B8D-4D98-860E-95D1DB3529BF}"/>
    <hyperlink ref="L128" r:id="rId105" display="https://us3.assetplanner.com/service_request?ID=095305" xr:uid="{6A81D8C2-78D1-4EF0-AFF5-8C588F1748CB}"/>
    <hyperlink ref="L134" r:id="rId106" display="https://us3.assetplanner.com/service_request?ID=095643" xr:uid="{379967F2-1078-4F63-9F2A-F9BAB5201490}"/>
    <hyperlink ref="L135" r:id="rId107" display="https://us3.assetplanner.com/service_request?ID=095531" xr:uid="{CBD8D60F-30FA-4658-AF22-67B1BFCC5BB5}"/>
    <hyperlink ref="L138" r:id="rId108" display="https://us3.assetplanner.com/service_request?ID=095678" xr:uid="{C063B499-19C7-4C09-90A9-0AE3A89CA39F}"/>
    <hyperlink ref="M138" r:id="rId109" display="https://us3.assetplanner.com/service_request?ID=096054" xr:uid="{26261EC5-7A6C-4D43-9E89-417C80A3B858}"/>
    <hyperlink ref="L139" r:id="rId110" display="https://us3.assetplanner.com/service_request?ID=095821" xr:uid="{A8A7EF89-F323-4CBB-B686-563B2C813837}"/>
    <hyperlink ref="L142" r:id="rId111" display="https://us3.assetplanner.com/service_request?ID=095558" xr:uid="{7917C96C-EDB1-49C3-8818-27FC8042DA5A}"/>
    <hyperlink ref="L143" r:id="rId112" display="https://us3.assetplanner.com/service_request?ID=095213" xr:uid="{D491498D-4097-40B0-8A41-658FCB692639}"/>
    <hyperlink ref="M143" r:id="rId113" display="https://us3.assetplanner.com/service_request?ID=095794" xr:uid="{72C08130-72EE-40FB-BF7B-D569681BFA34}"/>
    <hyperlink ref="L145" r:id="rId114" display="https://us3.assetplanner.com/service_request?ID=094986" xr:uid="{2726F841-128C-4AEE-BF2A-20264C0D8069}"/>
    <hyperlink ref="M145" r:id="rId115" display="https://us3.assetplanner.com/service_request?ID=095304" xr:uid="{A386D09D-AFBD-473F-ABCC-49802DB421CB}"/>
    <hyperlink ref="L146" r:id="rId116" display="https://us3.assetplanner.com/service_request?ID=095185" xr:uid="{E0411EE9-AB02-4C24-AD97-66AC05E674C9}"/>
    <hyperlink ref="L147" r:id="rId117" display="https://us3.assetplanner.com/service_request?ID=094262" xr:uid="{27049285-34FE-4E1C-9A67-5AB5F5368FC4}"/>
    <hyperlink ref="L148" r:id="rId118" display="https://us3.assetplanner.com/service_request?ID=095624" xr:uid="{12869903-78E5-4123-935C-CC482FD59DFC}"/>
    <hyperlink ref="M148" r:id="rId119" display="https://us3.assetplanner.com/service_request?ID=093637" xr:uid="{BCD7853F-798A-4E61-A1AA-080CDC885D03}"/>
    <hyperlink ref="L150" r:id="rId120" display="https://us3.assetplanner.com/service_request?ID=096042" xr:uid="{49B7CFB9-90CA-4C3D-A48E-557CF724B70D}"/>
    <hyperlink ref="L151" r:id="rId121" display="https://us3.assetplanner.com/service_request?ID=096006" xr:uid="{C7A9A936-AD0A-4A0F-8522-76C7161D1257}"/>
    <hyperlink ref="L152" r:id="rId122" display="https://us3.assetplanner.com/service_request?ID=096107" xr:uid="{123B4ECC-BA32-466C-B864-FC68168B45C7}"/>
    <hyperlink ref="L153" r:id="rId123" display="https://us3.assetplanner.com/service_request?ID=095269" xr:uid="{37477B79-A19F-4D0A-B668-5ED2DCB455F5}"/>
    <hyperlink ref="L154" r:id="rId124" display="https://us3.assetplanner.com/service_request?ID=094820" xr:uid="{39CA499C-ACD5-46F9-91FE-32EF5CD0C4C4}"/>
    <hyperlink ref="L155" r:id="rId125" display="https://us3.assetplanner.com/service_request?ID=095759" xr:uid="{EBE5902D-BCA2-417E-906B-5A5E229585EA}"/>
    <hyperlink ref="L156" r:id="rId126" display="https://us3.assetplanner.com/service_request?ID=093842" xr:uid="{487CF483-8934-4A9C-A116-9CC1F72B032D}"/>
    <hyperlink ref="L157" r:id="rId127" display="https://us3.assetplanner.com/service_request?ID=095582" xr:uid="{569908FC-FD34-4EC7-8F6A-F9E266412A9C}"/>
    <hyperlink ref="L158" r:id="rId128" display="https://us3.assetplanner.com/service_request?ID=095886" xr:uid="{96654F8E-15F2-433C-A8DB-1C7358E476B5}"/>
    <hyperlink ref="M158" r:id="rId129" display="https://us3.assetplanner.com/service_request?ID=095986" xr:uid="{78803A7D-98FD-4A56-85DD-0EF4D1D83DF0}"/>
    <hyperlink ref="N158" r:id="rId130" display="https://us3.assetplanner.com/service_request?ID=096141" xr:uid="{6AD0B8C5-5D65-44E1-8E3D-5D5760447419}"/>
    <hyperlink ref="L165" r:id="rId131" display="https://us3.assetplanner.com/service_request?ID=095945" xr:uid="{104059F1-E8E9-48A8-823A-4106C1C5543B}"/>
    <hyperlink ref="L166" r:id="rId132" display="https://us3.assetplanner.com/service_request?ID=095946" xr:uid="{98B09824-BA03-4FDF-B25D-EC4FE1693D6C}"/>
    <hyperlink ref="L167" r:id="rId133" display="https://us3.assetplanner.com/service_request?ID=095948" xr:uid="{422BF582-EA79-4E58-B89F-606F960155B7}"/>
    <hyperlink ref="L168" r:id="rId134" display="https://us3.assetplanner.com/service_request?ID=095950" xr:uid="{0AE297A2-3812-4292-925B-E5E17F70CB4F}"/>
    <hyperlink ref="L169" r:id="rId135" display="https://us3.assetplanner.com/service_request?ID=095962" xr:uid="{D3CB2E36-9C6F-4FD1-B2A2-822FD62C051D}"/>
    <hyperlink ref="L172" r:id="rId136" display="https://us3.assetplanner.com/service_request?ID=095960" xr:uid="{AB5B116B-9B4C-4573-AF5D-F132ACF9DAE2}"/>
    <hyperlink ref="L175" r:id="rId137" display="https://us3.assetplanner.com/service_request?ID=095956" xr:uid="{0FC29F3C-0AB7-4D5A-A93B-0D5644313557}"/>
    <hyperlink ref="L176" r:id="rId138" display="https://us3.assetplanner.com/service_request?ID=095955" xr:uid="{0FFBB618-D4F7-48B6-B521-46ABC6443D56}"/>
    <hyperlink ref="L178" r:id="rId139" display="https://us3.assetplanner.com/service_request?ID=095937" xr:uid="{E7D82205-6B4F-4DFD-A34C-30ABD5E89F5B}"/>
    <hyperlink ref="L179" r:id="rId140" display="https://us3.assetplanner.com/service_request?ID=095938" xr:uid="{775DFD59-0C46-4597-B6CD-D4FD41EF5182}"/>
    <hyperlink ref="L180" r:id="rId141" display="https://us3.assetplanner.com/service_request?ID=095939" xr:uid="{1CF2F93D-3650-4BE1-A47F-733D2FFD5805}"/>
    <hyperlink ref="L182" r:id="rId142" display="https://us3.assetplanner.com/service_request?ID=095941" xr:uid="{E2251AC5-7F78-4573-8C7B-676C7A83E491}"/>
    <hyperlink ref="L183" r:id="rId143" display="https://us3.assetplanner.com/service_request?ID=095942" xr:uid="{D6705650-FAB3-4D91-8AA8-AE3E25C4118A}"/>
    <hyperlink ref="L185" r:id="rId144" display="https://us3.assetplanner.com/service_request?ID=095961" xr:uid="{EF159B5D-60D7-4FB6-BBA5-DDEFCFF927F3}"/>
    <hyperlink ref="M182" r:id="rId145" display="https://us3.assetplanner.com/service_request?ID=095940" xr:uid="{C40728E6-D481-49DA-B311-431BB8B68365}"/>
    <hyperlink ref="L191" r:id="rId146" display="https://us3.assetplanner.com/service_request?ID=095242" xr:uid="{1D6AEB8D-0554-4972-A2E5-8F6C04422332}"/>
    <hyperlink ref="L192" r:id="rId147" display="https://us3.assetplanner.com/service_request?ID=095500" xr:uid="{993ACFA8-13A5-4EEA-A0E6-6FF4C897C9AD}"/>
    <hyperlink ref="M192" r:id="rId148" display="https://us3.assetplanner.com/service_request?ID=096195" xr:uid="{277E1403-A3A3-4673-A706-BFD9CAC9B8DA}"/>
    <hyperlink ref="L193" r:id="rId149" display="https://us3.assetplanner.com/service_request?ID=095099" xr:uid="{DACCC72E-CC17-4932-9D6A-9B9F716B5C2C}"/>
    <hyperlink ref="M193" r:id="rId150" display="https://us3.assetplanner.com/service_request?ID=095797" xr:uid="{5362D73E-25B0-4E8B-8127-62FEFE852A03}"/>
    <hyperlink ref="L194" r:id="rId151" display="https://us3.assetplanner.com/service_request?ID=095644" xr:uid="{3FC9542F-C6DA-49D2-9233-4E475511EF34}"/>
    <hyperlink ref="M194" r:id="rId152" display="https://us3.assetplanner.com/service_request?ID=096127" xr:uid="{2A5FA0C5-CBC2-4075-B037-77587AAA22A5}"/>
    <hyperlink ref="L195" r:id="rId153" display="https://us3.assetplanner.com/service_request?ID=095284" xr:uid="{16732EB1-654F-4E23-B931-DFBB1F97452B}"/>
    <hyperlink ref="M195" r:id="rId154" display="https://us3.assetplanner.com/service_request?ID=095992" xr:uid="{F82D6D9A-EA35-48B4-BD0C-E901DE01D0DA}"/>
    <hyperlink ref="N195" r:id="rId155" display="https://us3.assetplanner.com/service_request?ID=095328" xr:uid="{21329873-FDF6-47E4-8590-7FC85203199F}"/>
    <hyperlink ref="O195" r:id="rId156" display="https://us3.assetplanner.com/service_request?ID=096127" xr:uid="{D7BDD732-5485-4475-87A7-783AC126756A}"/>
  </hyperlinks>
  <pageMargins left="0.4" right="0.7" top="0.25" bottom="0.25" header="0.3" footer="0.3"/>
  <pageSetup fitToHeight="99" orientation="landscape" r:id="rId157"/>
  <legacyDrawing r:id="rId15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200"/>
  <sheetViews>
    <sheetView zoomScale="60" zoomScaleNormal="60" workbookViewId="0">
      <pane xSplit="2" ySplit="3" topLeftCell="C180" activePane="bottomRight" state="frozen"/>
      <selection pane="bottomRight" activeCell="A4" sqref="A4:A20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54" customWidth="1"/>
    <col min="12" max="12" width="22.85546875" customWidth="1"/>
    <col min="13" max="15" width="22.85546875" style="116" customWidth="1"/>
    <col min="16" max="22" width="22.85546875" customWidth="1"/>
  </cols>
  <sheetData>
    <row r="1" spans="1:19" ht="15.6">
      <c r="A1" s="165" t="str" cm="1">
        <f t="array" ref="A1">portfolio</f>
        <v>Generate Capital</v>
      </c>
      <c r="B1" s="165"/>
      <c r="C1" s="165"/>
      <c r="D1" s="165"/>
      <c r="E1" s="166" t="s">
        <v>268</v>
      </c>
      <c r="F1" s="166"/>
      <c r="G1" s="166"/>
      <c r="H1" s="164" t="s">
        <v>269</v>
      </c>
      <c r="I1" s="164"/>
      <c r="J1" s="164"/>
      <c r="K1" s="50"/>
      <c r="L1" s="4"/>
    </row>
    <row r="2" spans="1:19" ht="15.6">
      <c r="A2" s="167" t="s">
        <v>2</v>
      </c>
      <c r="B2" s="167"/>
      <c r="C2" s="65"/>
      <c r="D2" s="5">
        <f>SUM(D4:D137)</f>
        <v>10860884.080126863</v>
      </c>
      <c r="E2" s="5">
        <f>SUM(E4:E137)</f>
        <v>5939387.2301999992</v>
      </c>
      <c r="F2" s="5">
        <f>D2-E2</f>
        <v>4921496.8499268638</v>
      </c>
      <c r="G2" s="6">
        <f>IFERROR(F2/E2, 0)</f>
        <v>0.82862030360683192</v>
      </c>
      <c r="H2" s="5">
        <f>SUM(H4:H137)</f>
        <v>16320688.2106</v>
      </c>
      <c r="I2" s="7">
        <f>D2-H2</f>
        <v>-5459804.1304731369</v>
      </c>
      <c r="J2" s="6">
        <f>IFERROR(I2/H2, 0)</f>
        <v>-0.33453271455348865</v>
      </c>
      <c r="K2" s="51"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9" ht="15.6">
      <c r="A3" s="8" t="s">
        <v>3</v>
      </c>
      <c r="B3" s="8" t="s">
        <v>4</v>
      </c>
      <c r="C3" s="8" t="s">
        <v>5</v>
      </c>
      <c r="D3" s="19" t="s">
        <v>6</v>
      </c>
      <c r="E3" s="31" t="s">
        <v>7</v>
      </c>
      <c r="F3" s="31" t="s">
        <v>8</v>
      </c>
      <c r="G3" s="32" t="s">
        <v>9</v>
      </c>
      <c r="H3" s="33" t="s">
        <v>10</v>
      </c>
      <c r="I3" s="34" t="s">
        <v>8</v>
      </c>
      <c r="J3" s="35" t="s">
        <v>9</v>
      </c>
      <c r="K3" s="52" t="s">
        <v>21</v>
      </c>
      <c r="L3" s="21" t="s">
        <v>22</v>
      </c>
    </row>
    <row r="4" spans="1:19" ht="15.6">
      <c r="A4" s="28" t="str" cm="1">
        <f t="array" ref="A4:A200">Sites[Site]</f>
        <v>Farmer</v>
      </c>
      <c r="B4" s="25" t="str" cm="1">
        <f t="array" ref="B4:B200">Sites[State]</f>
        <v>AZ</v>
      </c>
      <c r="C4" s="25" t="str">
        <f>Sites[[#This Row],[SOL'#]]</f>
        <v>SOL-10748</v>
      </c>
      <c r="D4" s="20">
        <v>10573.6521152202</v>
      </c>
      <c r="E4" s="10">
        <v>7409.32</v>
      </c>
      <c r="F4" s="10">
        <f>IF(AND(ISNUMBER(D4),ISNUMBER(E4)), D4-E4, "")</f>
        <v>3164.3321152202006</v>
      </c>
      <c r="G4" s="11">
        <f>IFERROR(F4/E4, "")</f>
        <v>0.42707456490206941</v>
      </c>
      <c r="H4" s="12">
        <v>9634.1610000000001</v>
      </c>
      <c r="I4" s="12">
        <f>IF(AND(ISNUMBER(D4),ISNUMBER(H4)), D4-H4, "")</f>
        <v>939.4911152202003</v>
      </c>
      <c r="J4" s="13">
        <f>IFERROR(I4/H4, "")</f>
        <v>9.751665092790128E-2</v>
      </c>
      <c r="K4" s="53"/>
      <c r="L4" s="37"/>
    </row>
    <row r="5" spans="1:19" ht="15.6">
      <c r="A5" s="26" t="str">
        <v>Fulton</v>
      </c>
      <c r="B5" s="27" t="str">
        <v>AZ</v>
      </c>
      <c r="C5" s="27" t="str">
        <f>Sites[[#This Row],[SOL'#]]</f>
        <v>SOL-10749</v>
      </c>
      <c r="D5" s="9">
        <v>29770.25</v>
      </c>
      <c r="E5" s="14">
        <v>39065.360000000001</v>
      </c>
      <c r="F5" s="14">
        <f t="shared" ref="F5:F15" si="0">IF(AND(ISNUMBER(D5),ISNUMBER(E5)), D5-E5, "")</f>
        <v>-9295.11</v>
      </c>
      <c r="G5" s="15">
        <f>IFERROR(F5/E5, "")</f>
        <v>-0.23793739517567483</v>
      </c>
      <c r="H5" s="16">
        <v>37543.32</v>
      </c>
      <c r="I5" s="16">
        <f t="shared" ref="I5:I15" si="1">IF(AND(ISNUMBER(D5),ISNUMBER(H5)), D5-H5, "")</f>
        <v>-7773.07</v>
      </c>
      <c r="J5" s="15">
        <f t="shared" ref="J5:J67" si="2">IFERROR(I5/H5, "")</f>
        <v>-0.20704269095008113</v>
      </c>
      <c r="K5" s="38" t="s">
        <v>50</v>
      </c>
      <c r="L5" s="155"/>
    </row>
    <row r="6" spans="1:19" ht="15.6">
      <c r="A6" s="24" t="str">
        <v>JFK Elementary</v>
      </c>
      <c r="B6" s="25" t="str">
        <v>AZ</v>
      </c>
      <c r="C6" s="25" t="str">
        <f>Sites[[#This Row],[SOL'#]]</f>
        <v>SOL-10758</v>
      </c>
      <c r="D6" s="20">
        <v>17693.229223399201</v>
      </c>
      <c r="E6" s="10">
        <v>0</v>
      </c>
      <c r="F6" s="10">
        <f t="shared" si="0"/>
        <v>17693.229223399201</v>
      </c>
      <c r="G6" s="11" t="str">
        <f t="shared" ref="G6:G15" si="3">IFERROR(F6/E6, "")</f>
        <v/>
      </c>
      <c r="H6" s="12">
        <v>15108</v>
      </c>
      <c r="I6" s="12">
        <f t="shared" si="1"/>
        <v>2585.2292233992011</v>
      </c>
      <c r="J6" s="13">
        <f t="shared" si="2"/>
        <v>0.17111657554932494</v>
      </c>
      <c r="K6" s="53"/>
      <c r="L6" s="55"/>
    </row>
    <row r="7" spans="1:19" ht="15.6">
      <c r="A7" s="26" t="str">
        <v>Noble</v>
      </c>
      <c r="B7" s="27" t="str">
        <v>AZ</v>
      </c>
      <c r="C7" s="27" t="str">
        <f>Sites[[#This Row],[SOL'#]]</f>
        <v>SOL-10750</v>
      </c>
      <c r="D7" s="9">
        <v>10180.275086780801</v>
      </c>
      <c r="E7" s="14">
        <v>12508.12</v>
      </c>
      <c r="F7" s="14">
        <f t="shared" si="0"/>
        <v>-2327.8449132192</v>
      </c>
      <c r="G7" s="15">
        <f t="shared" si="3"/>
        <v>-0.18610669814642006</v>
      </c>
      <c r="H7" s="16">
        <v>9846.6180000000004</v>
      </c>
      <c r="I7" s="16">
        <f t="shared" si="1"/>
        <v>333.65708678080046</v>
      </c>
      <c r="J7" s="15">
        <f t="shared" si="2"/>
        <v>3.388545049486031E-2</v>
      </c>
      <c r="K7" s="119" t="s">
        <v>23</v>
      </c>
      <c r="L7" s="158"/>
    </row>
    <row r="8" spans="1:19" ht="15.6">
      <c r="A8" s="24" t="str">
        <v>Parking 3</v>
      </c>
      <c r="B8" s="25" t="str">
        <v>AZ</v>
      </c>
      <c r="C8" s="25" t="str">
        <f>Sites[[#This Row],[SOL'#]]</f>
        <v>SOL-10751</v>
      </c>
      <c r="D8" s="20">
        <v>26696.3124999998</v>
      </c>
      <c r="E8" s="10">
        <v>19132.3</v>
      </c>
      <c r="F8" s="10">
        <f t="shared" si="0"/>
        <v>7564.0124999998006</v>
      </c>
      <c r="G8" s="11">
        <f t="shared" si="3"/>
        <v>0.39535301558097047</v>
      </c>
      <c r="H8" s="12">
        <v>23776.46</v>
      </c>
      <c r="I8" s="12">
        <f t="shared" si="1"/>
        <v>2919.8524999998008</v>
      </c>
      <c r="J8" s="13">
        <f t="shared" si="2"/>
        <v>0.12280434093215731</v>
      </c>
      <c r="K8" s="53" t="s">
        <v>23</v>
      </c>
      <c r="L8" s="55"/>
    </row>
    <row r="9" spans="1:19" ht="15.6">
      <c r="A9" s="26" t="str">
        <v>PE East</v>
      </c>
      <c r="B9" s="27" t="str">
        <v>AZ</v>
      </c>
      <c r="C9" s="27" t="str">
        <f>Sites[[#This Row],[SOL'#]]</f>
        <v>SOL-10752</v>
      </c>
      <c r="D9" s="9">
        <v>23496.912475236699</v>
      </c>
      <c r="E9" s="14">
        <v>14849.62</v>
      </c>
      <c r="F9" s="14">
        <f t="shared" si="0"/>
        <v>8647.292475236698</v>
      </c>
      <c r="G9" s="15">
        <f t="shared" si="3"/>
        <v>0.58232415881596278</v>
      </c>
      <c r="H9" s="16">
        <v>23143.43</v>
      </c>
      <c r="I9" s="16">
        <f t="shared" si="1"/>
        <v>353.48247523669852</v>
      </c>
      <c r="J9" s="15">
        <f t="shared" si="2"/>
        <v>1.5273556047513204E-2</v>
      </c>
      <c r="K9" s="119" t="s">
        <v>23</v>
      </c>
      <c r="L9" s="158"/>
    </row>
    <row r="10" spans="1:19" ht="28.9">
      <c r="A10" s="24" t="str">
        <v>Schwada</v>
      </c>
      <c r="B10" s="25" t="str">
        <v>AZ</v>
      </c>
      <c r="C10" s="25" t="str">
        <f>Sites[[#This Row],[SOL'#]]</f>
        <v>SOL-10753</v>
      </c>
      <c r="D10" s="20">
        <v>10611.011</v>
      </c>
      <c r="E10" s="10">
        <v>6113.7049999999999</v>
      </c>
      <c r="F10" s="10">
        <f t="shared" si="0"/>
        <v>4497.3060000000005</v>
      </c>
      <c r="G10" s="11">
        <f t="shared" si="3"/>
        <v>0.73561056675125813</v>
      </c>
      <c r="H10" s="12">
        <v>10204</v>
      </c>
      <c r="I10" s="12">
        <f t="shared" si="1"/>
        <v>407.01100000000042</v>
      </c>
      <c r="J10" s="13">
        <f t="shared" si="2"/>
        <v>3.9887397099176831E-2</v>
      </c>
      <c r="K10" s="53" t="s">
        <v>24</v>
      </c>
      <c r="L10" s="124" t="s">
        <v>270</v>
      </c>
    </row>
    <row r="11" spans="1:19" s="49" customFormat="1" ht="15.6">
      <c r="A11" s="43" t="str">
        <v>Starshine</v>
      </c>
      <c r="B11" s="44" t="str">
        <v>AZ</v>
      </c>
      <c r="C11" s="44" t="str">
        <f>Sites[[#This Row],[SOL'#]]</f>
        <v>SOL-10757</v>
      </c>
      <c r="D11" s="45">
        <v>6163.7907299861499</v>
      </c>
      <c r="E11" s="46">
        <v>0</v>
      </c>
      <c r="F11" s="46">
        <f t="shared" si="0"/>
        <v>6163.7907299861499</v>
      </c>
      <c r="G11" s="47" t="str">
        <f t="shared" si="3"/>
        <v/>
      </c>
      <c r="H11" s="48">
        <v>6328</v>
      </c>
      <c r="I11" s="48">
        <f t="shared" si="1"/>
        <v>-164.20927001385007</v>
      </c>
      <c r="J11" s="15">
        <f t="shared" si="2"/>
        <v>-2.5949631797384652E-2</v>
      </c>
      <c r="K11" s="159"/>
      <c r="L11" s="160"/>
      <c r="M11" s="132"/>
      <c r="N11" s="132"/>
      <c r="O11" s="132"/>
    </row>
    <row r="12" spans="1:19" ht="15.6">
      <c r="A12" s="24" t="str">
        <v>Yuma Airport</v>
      </c>
      <c r="B12" s="25" t="str">
        <v>AZ</v>
      </c>
      <c r="C12" s="25" t="str">
        <f>Sites[[#This Row],[SOL'#]]</f>
        <v>SOL-10754</v>
      </c>
      <c r="D12" s="20">
        <v>59009</v>
      </c>
      <c r="E12" s="10">
        <v>74020.27</v>
      </c>
      <c r="F12" s="10">
        <f t="shared" si="0"/>
        <v>-15011.270000000004</v>
      </c>
      <c r="G12" s="11">
        <f t="shared" si="3"/>
        <v>-0.20279944939406466</v>
      </c>
      <c r="H12" s="12">
        <v>59338</v>
      </c>
      <c r="I12" s="12">
        <f t="shared" si="1"/>
        <v>-329</v>
      </c>
      <c r="J12" s="13">
        <f t="shared" si="2"/>
        <v>-5.5445077353466583E-3</v>
      </c>
      <c r="K12" s="53" t="s">
        <v>23</v>
      </c>
      <c r="L12" s="55"/>
      <c r="P12" s="24"/>
      <c r="Q12" s="25"/>
      <c r="R12" s="25"/>
      <c r="S12" s="20"/>
    </row>
    <row r="13" spans="1:19" ht="43.15">
      <c r="A13" s="26" t="str">
        <v>Kinsman</v>
      </c>
      <c r="B13" s="27" t="str">
        <v>OH</v>
      </c>
      <c r="C13" s="27" t="str">
        <f>Sites[[#This Row],[SOL'#]]</f>
        <v>SOL-10762</v>
      </c>
      <c r="D13" s="9">
        <v>33971.8203125</v>
      </c>
      <c r="E13" s="14">
        <v>61160.25</v>
      </c>
      <c r="F13" s="14">
        <f t="shared" si="0"/>
        <v>-27188.4296875</v>
      </c>
      <c r="G13" s="15">
        <f t="shared" si="3"/>
        <v>-0.44454412281669875</v>
      </c>
      <c r="H13" s="16">
        <v>62296</v>
      </c>
      <c r="I13" s="16">
        <f t="shared" si="1"/>
        <v>-28324.1796875</v>
      </c>
      <c r="J13" s="15">
        <f t="shared" si="2"/>
        <v>-0.45467092088577116</v>
      </c>
      <c r="K13" s="155" t="s">
        <v>271</v>
      </c>
      <c r="L13" s="125" t="s">
        <v>272</v>
      </c>
      <c r="M13" s="115" t="s">
        <v>31</v>
      </c>
    </row>
    <row r="14" spans="1:19" ht="28.9">
      <c r="A14" s="24" t="str">
        <v>Wooster</v>
      </c>
      <c r="B14" s="25" t="str">
        <v>OH</v>
      </c>
      <c r="C14" s="25" t="str">
        <f>Sites[[#This Row],[SOL'#]]</f>
        <v>SOL-10763</v>
      </c>
      <c r="D14" s="20">
        <v>8951.25</v>
      </c>
      <c r="E14" s="10">
        <v>0</v>
      </c>
      <c r="F14" s="10">
        <f t="shared" si="0"/>
        <v>8951.25</v>
      </c>
      <c r="G14" s="11" t="str">
        <f t="shared" si="3"/>
        <v/>
      </c>
      <c r="H14" s="12">
        <v>13354</v>
      </c>
      <c r="I14" s="12">
        <f t="shared" si="1"/>
        <v>-4402.75</v>
      </c>
      <c r="J14" s="13">
        <f t="shared" si="2"/>
        <v>-0.32969522240527183</v>
      </c>
      <c r="K14" s="53" t="s">
        <v>273</v>
      </c>
      <c r="L14" s="124" t="s">
        <v>274</v>
      </c>
    </row>
    <row r="15" spans="1:19" ht="15.6">
      <c r="A15" s="26" t="str">
        <v>Globe Gila CC</v>
      </c>
      <c r="B15" s="27" t="str">
        <v>AZ</v>
      </c>
      <c r="C15" s="27" t="str">
        <f>Sites[[#This Row],[SOL'#]]</f>
        <v>SOL-10755</v>
      </c>
      <c r="D15" s="9">
        <v>14585.557857143</v>
      </c>
      <c r="E15" s="14">
        <v>0</v>
      </c>
      <c r="F15" s="14">
        <f t="shared" si="0"/>
        <v>14585.557857143</v>
      </c>
      <c r="G15" s="15" t="str">
        <f t="shared" si="3"/>
        <v/>
      </c>
      <c r="H15" s="16">
        <v>10665</v>
      </c>
      <c r="I15" s="16">
        <f t="shared" si="1"/>
        <v>3920.5578571429996</v>
      </c>
      <c r="J15" s="15">
        <f t="shared" si="2"/>
        <v>0.36760973812873882</v>
      </c>
      <c r="K15" s="155"/>
      <c r="L15" s="158"/>
    </row>
    <row r="16" spans="1:19" ht="45" customHeight="1">
      <c r="A16" s="24" t="str">
        <v>Payson Gila CC</v>
      </c>
      <c r="B16" s="25" t="str">
        <v>AZ</v>
      </c>
      <c r="C16" s="25" t="str">
        <f>Sites[[#This Row],[SOL'#]]</f>
        <v>SOL-10756</v>
      </c>
      <c r="D16" s="20">
        <v>9655.2561830065697</v>
      </c>
      <c r="E16" s="10">
        <v>4192.1620000000003</v>
      </c>
      <c r="F16" s="10">
        <f t="shared" ref="F16:F17" si="4">IF(AND(ISNUMBER(D16),ISNUMBER(E16)), D16-E16, "")</f>
        <v>5463.0941830065694</v>
      </c>
      <c r="G16" s="11">
        <f t="shared" ref="G16:G17" si="5">IFERROR(F16/E16, "")</f>
        <v>1.3031686712027277</v>
      </c>
      <c r="H16" s="12">
        <v>8752</v>
      </c>
      <c r="I16" s="12">
        <f t="shared" ref="I16:I17" si="6">IF(AND(ISNUMBER(D16),ISNUMBER(H16)), D16-H16, "")</f>
        <v>903.2561830065697</v>
      </c>
      <c r="J16" s="13">
        <f t="shared" si="2"/>
        <v>0.10320568818630824</v>
      </c>
      <c r="K16" s="53" t="s">
        <v>36</v>
      </c>
      <c r="L16" s="124" t="s">
        <v>275</v>
      </c>
    </row>
    <row r="17" spans="1:14" ht="77.25" customHeight="1">
      <c r="A17" s="26" t="str">
        <v>SCNM</v>
      </c>
      <c r="B17" s="27" t="str">
        <v>AZ</v>
      </c>
      <c r="C17" s="27" t="str">
        <f>Sites[[#This Row],[SOL'#]]</f>
        <v>SOL-10760</v>
      </c>
      <c r="D17" s="9">
        <v>60442.629999999903</v>
      </c>
      <c r="E17" s="14">
        <v>29263.08</v>
      </c>
      <c r="F17" s="14">
        <f t="shared" si="4"/>
        <v>31179.549999999901</v>
      </c>
      <c r="G17" s="15">
        <f t="shared" si="5"/>
        <v>1.0654910556236699</v>
      </c>
      <c r="H17" s="16">
        <v>54018</v>
      </c>
      <c r="I17" s="16">
        <f t="shared" si="6"/>
        <v>6424.6299999999028</v>
      </c>
      <c r="J17" s="15">
        <f t="shared" si="2"/>
        <v>0.11893498463474958</v>
      </c>
      <c r="K17" s="155" t="s">
        <v>38</v>
      </c>
      <c r="L17" s="125" t="s">
        <v>276</v>
      </c>
      <c r="M17" s="115" t="s">
        <v>40</v>
      </c>
      <c r="N17" s="115" t="s">
        <v>40</v>
      </c>
    </row>
    <row r="18" spans="1:14" ht="42" customHeight="1">
      <c r="A18" s="24" t="str">
        <v>Sequoia Charter School</v>
      </c>
      <c r="B18" s="25" t="str">
        <v>AZ</v>
      </c>
      <c r="C18" s="25" t="str">
        <f>Sites[[#This Row],[SOL'#]]</f>
        <v>SOL-10759</v>
      </c>
      <c r="D18" s="20">
        <v>20776.990000000202</v>
      </c>
      <c r="E18" s="10">
        <v>0</v>
      </c>
      <c r="F18" s="10">
        <f t="shared" ref="F18:F81" si="7">IF(AND(ISNUMBER(D18),ISNUMBER(E18)), D18-E18, "")</f>
        <v>20776.990000000202</v>
      </c>
      <c r="G18" s="11" t="str">
        <f t="shared" ref="G18:G81" si="8">IFERROR(F18/E18, "")</f>
        <v/>
      </c>
      <c r="H18" s="12">
        <v>34134</v>
      </c>
      <c r="I18" s="12">
        <f t="shared" ref="I18:I81" si="9">IF(AND(ISNUMBER(D18),ISNUMBER(H18)), D18-H18, "")</f>
        <v>-13357.009999999798</v>
      </c>
      <c r="J18" s="13">
        <f t="shared" ref="J18:J81" si="10">IFERROR(I18/H18, "")</f>
        <v>-0.39131100955058878</v>
      </c>
      <c r="K18" s="53" t="s">
        <v>41</v>
      </c>
      <c r="L18" s="124" t="s">
        <v>277</v>
      </c>
    </row>
    <row r="19" spans="1:14" ht="45.75" customHeight="1">
      <c r="A19" s="26" t="str">
        <v>RCAB</v>
      </c>
      <c r="B19" s="27" t="str">
        <v>MA</v>
      </c>
      <c r="C19" s="27" t="str">
        <f>Sites[[#This Row],[SOL'#]]</f>
        <v>SOL-10838</v>
      </c>
      <c r="D19" s="9">
        <v>34742.5</v>
      </c>
      <c r="E19" s="14">
        <v>71476.179999999993</v>
      </c>
      <c r="F19" s="14">
        <f t="shared" si="7"/>
        <v>-36733.679999999993</v>
      </c>
      <c r="G19" s="15">
        <f t="shared" si="8"/>
        <v>-0.51392897605887722</v>
      </c>
      <c r="H19" s="16">
        <v>62380.79</v>
      </c>
      <c r="I19" s="16">
        <f t="shared" si="9"/>
        <v>-27638.29</v>
      </c>
      <c r="J19" s="15">
        <f t="shared" si="2"/>
        <v>-0.44305771055480381</v>
      </c>
      <c r="K19" s="155" t="s">
        <v>278</v>
      </c>
      <c r="L19" s="112" t="s">
        <v>279</v>
      </c>
      <c r="M19" s="115" t="s">
        <v>280</v>
      </c>
    </row>
    <row r="20" spans="1:14" ht="15.6">
      <c r="A20" s="24" t="str">
        <v>Spectro Coatings</v>
      </c>
      <c r="B20" s="25" t="str">
        <v>MA</v>
      </c>
      <c r="C20" s="25" t="str">
        <f>Sites[[#This Row],[SOL'#]]</f>
        <v>SOL-10074</v>
      </c>
      <c r="D20" s="20">
        <v>2557.25</v>
      </c>
      <c r="E20" s="10">
        <v>23169.18</v>
      </c>
      <c r="F20" s="10">
        <f t="shared" si="7"/>
        <v>-20611.93</v>
      </c>
      <c r="G20" s="11">
        <f t="shared" si="8"/>
        <v>-0.88962708218417741</v>
      </c>
      <c r="H20" s="12">
        <v>16225.21</v>
      </c>
      <c r="I20" s="12">
        <f t="shared" si="9"/>
        <v>-13667.96</v>
      </c>
      <c r="J20" s="13">
        <f t="shared" si="10"/>
        <v>-0.84239032961668914</v>
      </c>
      <c r="K20" s="53" t="s">
        <v>23</v>
      </c>
      <c r="L20" s="55"/>
    </row>
    <row r="21" spans="1:14" ht="15.6">
      <c r="A21" s="26" t="str">
        <v>K026</v>
      </c>
      <c r="B21" s="27" t="str">
        <v>NY</v>
      </c>
      <c r="C21" s="27" t="str">
        <f>Sites[[#This Row],[SOL'#]]</f>
        <v>SOL-10356</v>
      </c>
      <c r="D21" s="9">
        <v>17315.75</v>
      </c>
      <c r="E21" s="14">
        <v>21363.42</v>
      </c>
      <c r="F21" s="14">
        <f t="shared" si="7"/>
        <v>-4047.6699999999983</v>
      </c>
      <c r="G21" s="15">
        <f t="shared" si="8"/>
        <v>-0.18946732311586809</v>
      </c>
      <c r="H21" s="16">
        <v>15170.88</v>
      </c>
      <c r="I21" s="16">
        <f t="shared" si="9"/>
        <v>2144.8700000000008</v>
      </c>
      <c r="J21" s="15">
        <f t="shared" si="2"/>
        <v>0.14138072412411151</v>
      </c>
      <c r="K21" s="38" t="s">
        <v>23</v>
      </c>
      <c r="L21" s="158"/>
    </row>
    <row r="22" spans="1:14" ht="15.6">
      <c r="A22" s="24" t="str">
        <v>K041</v>
      </c>
      <c r="B22" s="25" t="str">
        <v>NY</v>
      </c>
      <c r="C22" s="25" t="str">
        <f>Sites[[#This Row],[SOL'#]]</f>
        <v>SOL-10357</v>
      </c>
      <c r="D22" s="20">
        <v>13320.78125</v>
      </c>
      <c r="E22" s="10">
        <v>17186.990000000002</v>
      </c>
      <c r="F22" s="10">
        <f t="shared" si="7"/>
        <v>-3866.2087500000016</v>
      </c>
      <c r="G22" s="11">
        <f t="shared" si="8"/>
        <v>-0.22494972941742569</v>
      </c>
      <c r="H22" s="12">
        <v>13859</v>
      </c>
      <c r="I22" s="12">
        <f t="shared" si="9"/>
        <v>-538.21875</v>
      </c>
      <c r="J22" s="13">
        <f t="shared" si="10"/>
        <v>-3.8835323616422543E-2</v>
      </c>
      <c r="K22" s="53" t="s">
        <v>23</v>
      </c>
      <c r="L22" s="55"/>
    </row>
    <row r="23" spans="1:14" ht="15.6">
      <c r="A23" s="26" t="str">
        <v>K043</v>
      </c>
      <c r="B23" s="27" t="str">
        <v>NY</v>
      </c>
      <c r="C23" s="27" t="str">
        <f>Sites[[#This Row],[SOL'#]]</f>
        <v>SOL-10358</v>
      </c>
      <c r="D23" s="9">
        <v>15518.34375</v>
      </c>
      <c r="E23" s="14">
        <v>18500.95</v>
      </c>
      <c r="F23" s="14">
        <f t="shared" si="7"/>
        <v>-2982.6062500000007</v>
      </c>
      <c r="G23" s="15">
        <f t="shared" si="8"/>
        <v>-0.16121368091908797</v>
      </c>
      <c r="H23" s="16">
        <v>3061</v>
      </c>
      <c r="I23" s="16">
        <f t="shared" si="9"/>
        <v>12457.34375</v>
      </c>
      <c r="J23" s="15">
        <f t="shared" si="2"/>
        <v>4.0696974028095392</v>
      </c>
      <c r="K23" s="56" t="s">
        <v>47</v>
      </c>
      <c r="L23" s="158"/>
    </row>
    <row r="24" spans="1:14" ht="73.5" customHeight="1">
      <c r="A24" s="24" t="str">
        <v>K058</v>
      </c>
      <c r="B24" s="25" t="str">
        <v>NY</v>
      </c>
      <c r="C24" s="25" t="str">
        <f>Sites[[#This Row],[SOL'#]]</f>
        <v>SOL-10360</v>
      </c>
      <c r="D24" s="20">
        <v>4162.5625</v>
      </c>
      <c r="E24" s="10">
        <v>9281.1830000000009</v>
      </c>
      <c r="F24" s="10">
        <f t="shared" si="7"/>
        <v>-5118.6205000000009</v>
      </c>
      <c r="G24" s="11">
        <f t="shared" si="8"/>
        <v>-0.55150517988924475</v>
      </c>
      <c r="H24" s="12">
        <v>12005.22</v>
      </c>
      <c r="I24" s="12">
        <f t="shared" si="9"/>
        <v>-7842.6574999999993</v>
      </c>
      <c r="J24" s="13">
        <f t="shared" si="10"/>
        <v>-0.65327061894742455</v>
      </c>
      <c r="K24" s="53" t="s">
        <v>281</v>
      </c>
      <c r="L24" s="124" t="s">
        <v>282</v>
      </c>
    </row>
    <row r="25" spans="1:14" ht="28.9">
      <c r="A25" s="26" t="str">
        <v>K115</v>
      </c>
      <c r="B25" s="27" t="str">
        <v>NY</v>
      </c>
      <c r="C25" s="27" t="str">
        <f>Sites[[#This Row],[SOL'#]]</f>
        <v>SOL-10361</v>
      </c>
      <c r="D25" s="9">
        <v>3372.4180859375001</v>
      </c>
      <c r="E25" s="14">
        <v>7965.9009999999998</v>
      </c>
      <c r="F25" s="14">
        <f t="shared" si="7"/>
        <v>-4593.4829140624997</v>
      </c>
      <c r="G25" s="15">
        <f t="shared" si="8"/>
        <v>-0.57664323396217199</v>
      </c>
      <c r="H25" s="16">
        <v>7488.0910000000003</v>
      </c>
      <c r="I25" s="16">
        <f t="shared" si="9"/>
        <v>-4115.6729140625002</v>
      </c>
      <c r="J25" s="15">
        <f t="shared" si="2"/>
        <v>-0.54962912631036398</v>
      </c>
      <c r="K25" s="155" t="s">
        <v>283</v>
      </c>
      <c r="L25" s="127" t="s">
        <v>49</v>
      </c>
    </row>
    <row r="26" spans="1:14" ht="15.6">
      <c r="A26" s="24" t="str">
        <v>K152</v>
      </c>
      <c r="B26" s="25" t="str">
        <v>NY</v>
      </c>
      <c r="C26" s="25" t="str">
        <f>Sites[[#This Row],[SOL'#]]</f>
        <v>SOL-10362</v>
      </c>
      <c r="D26" s="20">
        <v>4885.59375</v>
      </c>
      <c r="E26" s="10">
        <v>5681.2479999999996</v>
      </c>
      <c r="F26" s="10">
        <f t="shared" si="7"/>
        <v>-795.65424999999959</v>
      </c>
      <c r="G26" s="11">
        <f t="shared" si="8"/>
        <v>-0.14004920221754089</v>
      </c>
      <c r="H26" s="12">
        <v>4676</v>
      </c>
      <c r="I26" s="12">
        <f t="shared" si="9"/>
        <v>209.59375</v>
      </c>
      <c r="J26" s="13">
        <f t="shared" si="10"/>
        <v>4.4823299828913601E-2</v>
      </c>
      <c r="K26" s="53" t="s">
        <v>50</v>
      </c>
      <c r="L26" s="55"/>
    </row>
    <row r="27" spans="1:14" ht="15.6">
      <c r="A27" s="26" t="str">
        <v>K166</v>
      </c>
      <c r="B27" s="27" t="str">
        <v>NY</v>
      </c>
      <c r="C27" s="27" t="str">
        <f>Sites[[#This Row],[SOL'#]]</f>
        <v>SOL-10363</v>
      </c>
      <c r="D27" s="9">
        <v>17203.5</v>
      </c>
      <c r="E27" s="14">
        <v>21280.06</v>
      </c>
      <c r="F27" s="14">
        <f t="shared" si="7"/>
        <v>-4076.5600000000013</v>
      </c>
      <c r="G27" s="15">
        <f t="shared" si="8"/>
        <v>-0.19156712904004974</v>
      </c>
      <c r="H27" s="16">
        <v>16417.23</v>
      </c>
      <c r="I27" s="16">
        <f t="shared" si="9"/>
        <v>786.27000000000044</v>
      </c>
      <c r="J27" s="15">
        <f t="shared" si="2"/>
        <v>4.7892975855244789E-2</v>
      </c>
      <c r="K27" s="155" t="s">
        <v>50</v>
      </c>
      <c r="L27" s="158"/>
    </row>
    <row r="28" spans="1:14" ht="15.6">
      <c r="A28" s="24" t="str">
        <v>K206</v>
      </c>
      <c r="B28" s="25" t="str">
        <v>NY</v>
      </c>
      <c r="C28" s="25" t="str">
        <f>Sites[[#This Row],[SOL'#]]</f>
        <v>SOL-10927</v>
      </c>
      <c r="D28" s="20">
        <v>10148.324069173999</v>
      </c>
      <c r="E28" s="10">
        <v>12619.81</v>
      </c>
      <c r="F28" s="10">
        <f t="shared" si="7"/>
        <v>-2471.4859308260002</v>
      </c>
      <c r="G28" s="11">
        <f t="shared" si="8"/>
        <v>-0.19584177026643035</v>
      </c>
      <c r="H28" s="12">
        <v>9232</v>
      </c>
      <c r="I28" s="12">
        <f t="shared" si="9"/>
        <v>916.32406917399931</v>
      </c>
      <c r="J28" s="13">
        <f t="shared" si="10"/>
        <v>9.9255206799609974E-2</v>
      </c>
      <c r="K28" s="53" t="s">
        <v>23</v>
      </c>
      <c r="L28" s="55"/>
    </row>
    <row r="29" spans="1:14" ht="15.6">
      <c r="A29" s="26" t="str">
        <v>K251</v>
      </c>
      <c r="B29" s="27" t="str">
        <v>NY</v>
      </c>
      <c r="C29" s="27" t="str">
        <f>Sites[[#This Row],[SOL'#]]</f>
        <v>SOL-10365</v>
      </c>
      <c r="D29" s="9">
        <v>11751.0625</v>
      </c>
      <c r="E29" s="14">
        <v>0</v>
      </c>
      <c r="F29" s="14">
        <f t="shared" si="7"/>
        <v>11751.0625</v>
      </c>
      <c r="G29" s="15" t="str">
        <f t="shared" si="8"/>
        <v/>
      </c>
      <c r="H29" s="16">
        <v>11033.06</v>
      </c>
      <c r="I29" s="16">
        <f t="shared" si="9"/>
        <v>718.00250000000051</v>
      </c>
      <c r="J29" s="15">
        <f t="shared" si="2"/>
        <v>6.5077367475568929E-2</v>
      </c>
      <c r="K29" s="110" t="s">
        <v>51</v>
      </c>
      <c r="L29" s="128" t="s">
        <v>284</v>
      </c>
    </row>
    <row r="30" spans="1:14" ht="15.6">
      <c r="A30" s="24" t="str">
        <v>K269</v>
      </c>
      <c r="B30" s="25" t="str">
        <v>NY</v>
      </c>
      <c r="C30" s="25" t="str">
        <f>Sites[[#This Row],[SOL'#]]</f>
        <v>SOL-10366</v>
      </c>
      <c r="D30" s="20">
        <v>10325.6875</v>
      </c>
      <c r="E30" s="10">
        <v>14133.12</v>
      </c>
      <c r="F30" s="10">
        <f t="shared" si="7"/>
        <v>-3807.4325000000008</v>
      </c>
      <c r="G30" s="11">
        <f t="shared" si="8"/>
        <v>-0.26939787534528825</v>
      </c>
      <c r="H30" s="12">
        <v>10722.85</v>
      </c>
      <c r="I30" s="12">
        <f t="shared" si="9"/>
        <v>-397.16250000000036</v>
      </c>
      <c r="J30" s="13">
        <f t="shared" si="10"/>
        <v>-3.7038893577733566E-2</v>
      </c>
      <c r="K30" s="53"/>
      <c r="L30" s="55"/>
    </row>
    <row r="31" spans="1:14" ht="52.5" customHeight="1">
      <c r="A31" s="26" t="str">
        <v>K273</v>
      </c>
      <c r="B31" s="27" t="str">
        <v>NY</v>
      </c>
      <c r="C31" s="27" t="str">
        <f>Sites[[#This Row],[SOL'#]]</f>
        <v>SOL-10367</v>
      </c>
      <c r="D31" s="9">
        <v>10878.625</v>
      </c>
      <c r="E31" s="14">
        <v>0</v>
      </c>
      <c r="F31" s="14">
        <f t="shared" si="7"/>
        <v>10878.625</v>
      </c>
      <c r="G31" s="15" t="str">
        <f t="shared" si="8"/>
        <v/>
      </c>
      <c r="H31" s="16">
        <v>12777</v>
      </c>
      <c r="I31" s="16">
        <f t="shared" si="9"/>
        <v>-1898.375</v>
      </c>
      <c r="J31" s="15">
        <f t="shared" si="2"/>
        <v>-0.14857752211004149</v>
      </c>
      <c r="K31" s="56" t="s">
        <v>53</v>
      </c>
      <c r="L31" s="125" t="s">
        <v>54</v>
      </c>
      <c r="M31" s="115" t="s">
        <v>55</v>
      </c>
    </row>
    <row r="32" spans="1:14" ht="15.6">
      <c r="A32" s="24" t="str">
        <v>K287</v>
      </c>
      <c r="B32" s="25" t="str">
        <v>NY</v>
      </c>
      <c r="C32" s="25" t="str">
        <f>Sites[[#This Row],[SOL'#]]</f>
        <v>SOL-10919</v>
      </c>
      <c r="D32" s="20">
        <v>9429.75</v>
      </c>
      <c r="E32" s="10">
        <v>9596.7870000000003</v>
      </c>
      <c r="F32" s="10">
        <f t="shared" si="7"/>
        <v>-167.03700000000026</v>
      </c>
      <c r="G32" s="11">
        <f t="shared" si="8"/>
        <v>-1.7405512907601291E-2</v>
      </c>
      <c r="H32" s="12">
        <v>9504</v>
      </c>
      <c r="I32" s="12">
        <f t="shared" si="9"/>
        <v>-74.25</v>
      </c>
      <c r="J32" s="13">
        <f t="shared" si="10"/>
        <v>-7.8125E-3</v>
      </c>
      <c r="K32" s="53"/>
      <c r="L32" s="55"/>
    </row>
    <row r="33" spans="1:19" ht="15.6">
      <c r="A33" s="26" t="str">
        <v>K298</v>
      </c>
      <c r="B33" s="27" t="str">
        <v>NY</v>
      </c>
      <c r="C33" s="27" t="str">
        <f>Sites[[#This Row],[SOL'#]]</f>
        <v>SOL-10368</v>
      </c>
      <c r="D33" s="9">
        <v>9181.5</v>
      </c>
      <c r="E33" s="14">
        <v>12211.43</v>
      </c>
      <c r="F33" s="14">
        <f t="shared" si="7"/>
        <v>-3029.9300000000003</v>
      </c>
      <c r="G33" s="15">
        <f t="shared" si="8"/>
        <v>-0.24812245576480399</v>
      </c>
      <c r="H33" s="16">
        <v>9465</v>
      </c>
      <c r="I33" s="16">
        <f t="shared" si="9"/>
        <v>-283.5</v>
      </c>
      <c r="J33" s="15">
        <f t="shared" si="2"/>
        <v>-2.9952456418383518E-2</v>
      </c>
      <c r="K33" s="119" t="s">
        <v>23</v>
      </c>
      <c r="L33" s="158"/>
    </row>
    <row r="34" spans="1:19" ht="15.6">
      <c r="A34" s="24" t="str">
        <v>K335</v>
      </c>
      <c r="B34" s="25" t="str">
        <v>NY</v>
      </c>
      <c r="C34" s="25" t="str">
        <f>Sites[[#This Row],[SOL'#]]</f>
        <v>SOL-10370</v>
      </c>
      <c r="D34" s="20">
        <v>9894.3125</v>
      </c>
      <c r="E34" s="10">
        <v>13143.68</v>
      </c>
      <c r="F34" s="10">
        <f t="shared" si="7"/>
        <v>-3249.3675000000003</v>
      </c>
      <c r="G34" s="11">
        <f t="shared" si="8"/>
        <v>-0.24721900563616889</v>
      </c>
      <c r="H34" s="12">
        <v>10841</v>
      </c>
      <c r="I34" s="12">
        <f t="shared" si="9"/>
        <v>-946.6875</v>
      </c>
      <c r="J34" s="13">
        <f t="shared" si="10"/>
        <v>-8.7324739415183095E-2</v>
      </c>
      <c r="K34" s="53" t="s">
        <v>23</v>
      </c>
      <c r="L34" s="55"/>
    </row>
    <row r="35" spans="1:19" ht="15.6">
      <c r="A35" s="26" t="str">
        <v>K345</v>
      </c>
      <c r="B35" s="27" t="str">
        <v>NY</v>
      </c>
      <c r="C35" s="27" t="str">
        <f>Sites[[#This Row],[SOL'#]]</f>
        <v>SOL-10920</v>
      </c>
      <c r="D35" s="9">
        <v>12057.631171875</v>
      </c>
      <c r="E35" s="14">
        <v>9026.366</v>
      </c>
      <c r="F35" s="14">
        <f t="shared" si="7"/>
        <v>3031.2651718750003</v>
      </c>
      <c r="G35" s="15">
        <f t="shared" si="8"/>
        <v>0.3358234279304651</v>
      </c>
      <c r="H35" s="16">
        <v>11577</v>
      </c>
      <c r="I35" s="16">
        <f t="shared" si="9"/>
        <v>480.63117187500029</v>
      </c>
      <c r="J35" s="15">
        <f t="shared" si="2"/>
        <v>4.1516037995594737E-2</v>
      </c>
      <c r="K35" s="155"/>
      <c r="L35" s="158"/>
    </row>
    <row r="36" spans="1:19" ht="15.6">
      <c r="A36" s="24" t="str">
        <v>K445</v>
      </c>
      <c r="B36" s="25" t="str">
        <v>NY</v>
      </c>
      <c r="C36" s="25" t="str">
        <f>Sites[[#This Row],[SOL'#]]</f>
        <v>SOL-10373</v>
      </c>
      <c r="D36" s="20">
        <v>9972.625</v>
      </c>
      <c r="E36" s="10">
        <v>13155.89</v>
      </c>
      <c r="F36" s="10">
        <f t="shared" si="7"/>
        <v>-3183.2649999999994</v>
      </c>
      <c r="G36" s="11">
        <f t="shared" si="8"/>
        <v>-0.24196500578828187</v>
      </c>
      <c r="H36" s="12">
        <v>9461.3119999999999</v>
      </c>
      <c r="I36" s="12">
        <f t="shared" si="9"/>
        <v>511.3130000000001</v>
      </c>
      <c r="J36" s="13">
        <f t="shared" si="10"/>
        <v>5.4042504887271463E-2</v>
      </c>
      <c r="K36" s="53" t="s">
        <v>23</v>
      </c>
      <c r="L36" s="55"/>
      <c r="P36" s="24"/>
      <c r="Q36" s="25"/>
      <c r="R36" s="25"/>
      <c r="S36" s="20"/>
    </row>
    <row r="37" spans="1:19" ht="66.75" customHeight="1">
      <c r="A37" s="26" t="str">
        <v>K495</v>
      </c>
      <c r="B37" s="27" t="str">
        <v>NY</v>
      </c>
      <c r="C37" s="27" t="str">
        <f>Sites[[#This Row],[SOL'#]]</f>
        <v>SOL-10374</v>
      </c>
      <c r="D37" s="9">
        <v>576</v>
      </c>
      <c r="E37" s="14">
        <v>39846.9</v>
      </c>
      <c r="F37" s="14">
        <f t="shared" si="7"/>
        <v>-39270.9</v>
      </c>
      <c r="G37" s="15">
        <f t="shared" si="8"/>
        <v>-0.98554467223297171</v>
      </c>
      <c r="H37" s="16">
        <v>42524</v>
      </c>
      <c r="I37" s="16">
        <f t="shared" si="9"/>
        <v>-41948</v>
      </c>
      <c r="J37" s="15">
        <f t="shared" si="2"/>
        <v>-0.98645470792963974</v>
      </c>
      <c r="K37" s="93" t="s">
        <v>285</v>
      </c>
      <c r="L37" s="125" t="s">
        <v>57</v>
      </c>
    </row>
    <row r="38" spans="1:19" ht="15.6">
      <c r="A38" s="24" t="str">
        <v>M020</v>
      </c>
      <c r="B38" s="25" t="str">
        <v>NY</v>
      </c>
      <c r="C38" s="25" t="str">
        <f>Sites[[#This Row],[SOL'#]]</f>
        <v>SOL-10380</v>
      </c>
      <c r="D38" s="20">
        <v>10867.53125</v>
      </c>
      <c r="E38" s="10">
        <v>12814.96</v>
      </c>
      <c r="F38" s="10">
        <f t="shared" si="7"/>
        <v>-1947.4287499999991</v>
      </c>
      <c r="G38" s="11">
        <f t="shared" si="8"/>
        <v>-0.1519652616941449</v>
      </c>
      <c r="H38" s="12">
        <v>11685</v>
      </c>
      <c r="I38" s="12">
        <f t="shared" si="9"/>
        <v>-817.46875</v>
      </c>
      <c r="J38" s="13">
        <f t="shared" si="10"/>
        <v>-6.9958814719726148E-2</v>
      </c>
      <c r="K38" s="53" t="s">
        <v>50</v>
      </c>
      <c r="L38" s="55"/>
    </row>
    <row r="39" spans="1:19" ht="15.6">
      <c r="A39" s="26" t="str">
        <v>M092</v>
      </c>
      <c r="B39" s="27" t="str">
        <v>NY</v>
      </c>
      <c r="C39" s="27" t="str">
        <f>Sites[[#This Row],[SOL'#]]</f>
        <v>SOL-10383</v>
      </c>
      <c r="D39" s="9">
        <v>10232.6874999999</v>
      </c>
      <c r="E39" s="14">
        <v>12943.67</v>
      </c>
      <c r="F39" s="14">
        <f t="shared" si="7"/>
        <v>-2710.9825000001001</v>
      </c>
      <c r="G39" s="15">
        <f t="shared" si="8"/>
        <v>-0.20944465518667427</v>
      </c>
      <c r="H39" s="16">
        <v>10669.36</v>
      </c>
      <c r="I39" s="16">
        <f t="shared" si="9"/>
        <v>-436.67250000010063</v>
      </c>
      <c r="J39" s="15">
        <f t="shared" si="2"/>
        <v>-4.0927712627570972E-2</v>
      </c>
      <c r="K39" s="38" t="s">
        <v>23</v>
      </c>
      <c r="L39" s="158"/>
    </row>
    <row r="40" spans="1:19" ht="15.6">
      <c r="A40" s="24" t="str">
        <v>M143</v>
      </c>
      <c r="B40" s="25" t="str">
        <v>NY</v>
      </c>
      <c r="C40" s="25" t="str">
        <f>Sites[[#This Row],[SOL'#]]</f>
        <v>SOL-10384</v>
      </c>
      <c r="D40" s="20">
        <v>11888.4375</v>
      </c>
      <c r="E40" s="10">
        <v>14631.46</v>
      </c>
      <c r="F40" s="10">
        <f t="shared" si="7"/>
        <v>-2743.0224999999991</v>
      </c>
      <c r="G40" s="11">
        <f t="shared" si="8"/>
        <v>-0.18747428486289128</v>
      </c>
      <c r="H40" s="12">
        <v>11479.42</v>
      </c>
      <c r="I40" s="12">
        <f t="shared" si="9"/>
        <v>409.01749999999993</v>
      </c>
      <c r="J40" s="13">
        <f t="shared" si="10"/>
        <v>3.5630502237917937E-2</v>
      </c>
      <c r="K40" s="53" t="s">
        <v>50</v>
      </c>
      <c r="L40" s="55"/>
    </row>
    <row r="41" spans="1:19" ht="15.6">
      <c r="A41" s="26" t="str">
        <v>M144</v>
      </c>
      <c r="B41" s="27" t="str">
        <v>NY</v>
      </c>
      <c r="C41" s="27" t="str">
        <f>Sites[[#This Row],[SOL'#]]</f>
        <v>SOL-10385</v>
      </c>
      <c r="D41" s="9">
        <v>17687.03125</v>
      </c>
      <c r="E41" s="14">
        <v>0</v>
      </c>
      <c r="F41" s="14">
        <f t="shared" si="7"/>
        <v>17687.03125</v>
      </c>
      <c r="G41" s="15" t="str">
        <f t="shared" si="8"/>
        <v/>
      </c>
      <c r="H41" s="16">
        <v>18132</v>
      </c>
      <c r="I41" s="16">
        <f t="shared" si="9"/>
        <v>-444.96875</v>
      </c>
      <c r="J41" s="15">
        <f t="shared" si="2"/>
        <v>-2.4540522281050078E-2</v>
      </c>
      <c r="K41" s="155"/>
      <c r="L41" s="158"/>
    </row>
    <row r="42" spans="1:19" ht="15.6">
      <c r="A42" s="24" t="str">
        <v>M167</v>
      </c>
      <c r="B42" s="25" t="str">
        <v>NY</v>
      </c>
      <c r="C42" s="25" t="str">
        <f>Sites[[#This Row],[SOL'#]]</f>
        <v>SOL-10386</v>
      </c>
      <c r="D42" s="20">
        <v>12276.0625</v>
      </c>
      <c r="E42" s="10">
        <v>12046.86</v>
      </c>
      <c r="F42" s="10">
        <f t="shared" si="7"/>
        <v>229.20249999999942</v>
      </c>
      <c r="G42" s="11">
        <f t="shared" si="8"/>
        <v>1.9025912146401584E-2</v>
      </c>
      <c r="H42" s="12">
        <v>13350.32</v>
      </c>
      <c r="I42" s="12">
        <f t="shared" si="9"/>
        <v>-1074.2574999999997</v>
      </c>
      <c r="J42" s="13">
        <f t="shared" si="10"/>
        <v>-8.0466797799603279E-2</v>
      </c>
      <c r="K42" s="53"/>
      <c r="L42" s="55"/>
    </row>
    <row r="43" spans="1:19" ht="15.6">
      <c r="A43" s="26" t="str">
        <v>M188</v>
      </c>
      <c r="B43" s="27" t="str">
        <v>NY</v>
      </c>
      <c r="C43" s="27" t="str">
        <f>Sites[[#This Row],[SOL'#]]</f>
        <v>SOL-10387</v>
      </c>
      <c r="D43" s="9">
        <v>9166.43750000006</v>
      </c>
      <c r="E43" s="14">
        <v>0</v>
      </c>
      <c r="F43" s="14">
        <f t="shared" si="7"/>
        <v>9166.43750000006</v>
      </c>
      <c r="G43" s="15" t="str">
        <f t="shared" si="8"/>
        <v/>
      </c>
      <c r="H43" s="16">
        <v>9611</v>
      </c>
      <c r="I43" s="16">
        <f t="shared" si="9"/>
        <v>-444.56249999993997</v>
      </c>
      <c r="J43" s="15">
        <f t="shared" si="2"/>
        <v>-4.625559255019665E-2</v>
      </c>
      <c r="K43" s="155"/>
      <c r="L43" s="158"/>
    </row>
    <row r="44" spans="1:19" ht="15.6">
      <c r="A44" s="24" t="str">
        <v>EMHC</v>
      </c>
      <c r="B44" s="25" t="str">
        <v>NY</v>
      </c>
      <c r="C44" s="25" t="str">
        <f>Sites[[#This Row],[SOL'#]]</f>
        <v>SOL-10351</v>
      </c>
      <c r="D44" s="20">
        <v>3579.109375</v>
      </c>
      <c r="E44" s="10">
        <v>2980.9180000000001</v>
      </c>
      <c r="F44" s="10">
        <f t="shared" si="7"/>
        <v>598.19137499999988</v>
      </c>
      <c r="G44" s="11">
        <f t="shared" si="8"/>
        <v>0.20067354251274266</v>
      </c>
      <c r="H44" s="12">
        <v>3438.4270000000001</v>
      </c>
      <c r="I44" s="12">
        <f t="shared" si="9"/>
        <v>140.68237499999987</v>
      </c>
      <c r="J44" s="13">
        <f t="shared" si="10"/>
        <v>4.0914748226441873E-2</v>
      </c>
      <c r="K44" s="53"/>
      <c r="L44" s="55"/>
    </row>
    <row r="45" spans="1:19" ht="78">
      <c r="A45" s="26" t="str">
        <v>Q008</v>
      </c>
      <c r="B45" s="27" t="str">
        <v>NY</v>
      </c>
      <c r="C45" s="27" t="str">
        <f>Sites[[#This Row],[SOL'#]]</f>
        <v>SOL-10397</v>
      </c>
      <c r="D45" s="9">
        <v>10602.4375</v>
      </c>
      <c r="E45" s="14">
        <v>13743.77</v>
      </c>
      <c r="F45" s="14">
        <f t="shared" si="7"/>
        <v>-3141.3325000000004</v>
      </c>
      <c r="G45" s="15">
        <f t="shared" si="8"/>
        <v>-0.22856410577301572</v>
      </c>
      <c r="H45" s="16">
        <v>14789</v>
      </c>
      <c r="I45" s="16">
        <f t="shared" si="9"/>
        <v>-4186.5625</v>
      </c>
      <c r="J45" s="15">
        <f t="shared" si="2"/>
        <v>-0.28308624653458653</v>
      </c>
      <c r="K45" s="97" t="s">
        <v>286</v>
      </c>
      <c r="L45" s="125" t="s">
        <v>287</v>
      </c>
      <c r="M45" s="115" t="s">
        <v>288</v>
      </c>
    </row>
    <row r="46" spans="1:19" ht="15.6">
      <c r="A46" s="24" t="str">
        <v>Q018</v>
      </c>
      <c r="B46" s="25" t="str">
        <v>NY</v>
      </c>
      <c r="C46" s="25" t="str">
        <f>Sites[[#This Row],[SOL'#]]</f>
        <v>SOL-10398</v>
      </c>
      <c r="D46" s="20">
        <v>10195.875</v>
      </c>
      <c r="E46" s="10">
        <v>10582.87</v>
      </c>
      <c r="F46" s="10">
        <f t="shared" si="7"/>
        <v>-386.9950000000008</v>
      </c>
      <c r="G46" s="11">
        <f t="shared" si="8"/>
        <v>-3.6568057625200046E-2</v>
      </c>
      <c r="H46" s="12">
        <v>8701.0149999999994</v>
      </c>
      <c r="I46" s="12">
        <f t="shared" si="9"/>
        <v>1494.8600000000006</v>
      </c>
      <c r="J46" s="13">
        <f t="shared" si="10"/>
        <v>0.1718029448288505</v>
      </c>
      <c r="K46" s="53"/>
      <c r="L46" s="55"/>
    </row>
    <row r="47" spans="1:19" ht="15.6">
      <c r="A47" s="26" t="str">
        <v>Q021</v>
      </c>
      <c r="B47" s="27" t="str">
        <v>NY</v>
      </c>
      <c r="C47" s="27" t="str">
        <f>Sites[[#This Row],[SOL'#]]</f>
        <v>SOL-10399</v>
      </c>
      <c r="D47" s="9">
        <v>7999.06250000006</v>
      </c>
      <c r="E47" s="14">
        <v>9770.4189999999999</v>
      </c>
      <c r="F47" s="14">
        <f t="shared" si="7"/>
        <v>-1771.3564999999398</v>
      </c>
      <c r="G47" s="15">
        <f t="shared" si="8"/>
        <v>-0.18129790544294364</v>
      </c>
      <c r="H47" s="16">
        <v>7091</v>
      </c>
      <c r="I47" s="16">
        <f t="shared" si="9"/>
        <v>908.06250000006003</v>
      </c>
      <c r="J47" s="15">
        <f t="shared" si="2"/>
        <v>0.12805845437879848</v>
      </c>
      <c r="K47" s="155" t="s">
        <v>50</v>
      </c>
      <c r="L47" s="158"/>
    </row>
    <row r="48" spans="1:19" ht="15.6">
      <c r="A48" s="24" t="str">
        <v>Q025</v>
      </c>
      <c r="B48" s="25" t="str">
        <v>NY</v>
      </c>
      <c r="C48" s="25" t="str">
        <f>Sites[[#This Row],[SOL'#]]</f>
        <v>SOL-10400</v>
      </c>
      <c r="D48" s="20">
        <v>13488.125</v>
      </c>
      <c r="E48" s="10">
        <v>15603.33</v>
      </c>
      <c r="F48" s="10">
        <f t="shared" si="7"/>
        <v>-2115.2049999999999</v>
      </c>
      <c r="G48" s="11">
        <f t="shared" si="8"/>
        <v>-0.13556112701583573</v>
      </c>
      <c r="H48" s="12">
        <v>9540</v>
      </c>
      <c r="I48" s="12">
        <f t="shared" si="9"/>
        <v>3948.125</v>
      </c>
      <c r="J48" s="13">
        <f t="shared" si="10"/>
        <v>0.41384958071278827</v>
      </c>
      <c r="K48" s="53" t="s">
        <v>50</v>
      </c>
      <c r="L48" s="55"/>
    </row>
    <row r="49" spans="1:12" ht="15.6">
      <c r="A49" s="26" t="str">
        <v>Q074</v>
      </c>
      <c r="B49" s="27" t="str">
        <v>NY</v>
      </c>
      <c r="C49" s="27" t="str">
        <f>Sites[[#This Row],[SOL'#]]</f>
        <v>SOL-10402</v>
      </c>
      <c r="D49" s="9">
        <v>8712.375</v>
      </c>
      <c r="E49" s="14">
        <v>9652.3340000000007</v>
      </c>
      <c r="F49" s="14">
        <f t="shared" si="7"/>
        <v>-939.95900000000074</v>
      </c>
      <c r="G49" s="15">
        <f t="shared" si="8"/>
        <v>-9.7381524510030487E-2</v>
      </c>
      <c r="H49" s="16">
        <v>8010.3040000000001</v>
      </c>
      <c r="I49" s="16">
        <f t="shared" si="9"/>
        <v>702.07099999999991</v>
      </c>
      <c r="J49" s="15">
        <f t="shared" si="2"/>
        <v>8.7645986968784201E-2</v>
      </c>
      <c r="K49" s="155"/>
      <c r="L49" s="155"/>
    </row>
    <row r="50" spans="1:12" ht="15.6">
      <c r="A50" s="24" t="str">
        <v>Q115</v>
      </c>
      <c r="B50" s="25" t="str">
        <v>NY</v>
      </c>
      <c r="C50" s="25" t="str">
        <f>Sites[[#This Row],[SOL'#]]</f>
        <v>SOL-10872</v>
      </c>
      <c r="D50" s="20">
        <v>11579.0625</v>
      </c>
      <c r="E50" s="10">
        <v>13986.53</v>
      </c>
      <c r="F50" s="10">
        <f t="shared" si="7"/>
        <v>-2407.4675000000007</v>
      </c>
      <c r="G50" s="11">
        <f t="shared" si="8"/>
        <v>-0.17212757560309816</v>
      </c>
      <c r="H50" s="12">
        <v>10682.2</v>
      </c>
      <c r="I50" s="12">
        <f t="shared" si="9"/>
        <v>896.86249999999927</v>
      </c>
      <c r="J50" s="13">
        <f t="shared" si="10"/>
        <v>8.395859467150954E-2</v>
      </c>
      <c r="K50" s="53" t="s">
        <v>50</v>
      </c>
      <c r="L50" s="55"/>
    </row>
    <row r="51" spans="1:12" ht="15.6">
      <c r="A51" s="26" t="str">
        <v>Q139</v>
      </c>
      <c r="B51" s="27" t="str">
        <v>NY</v>
      </c>
      <c r="C51" s="27" t="str">
        <f>Sites[[#This Row],[SOL'#]]</f>
        <v>SOL-10403</v>
      </c>
      <c r="D51" s="9">
        <v>6671.93750000006</v>
      </c>
      <c r="E51" s="14">
        <v>7652.4610000000002</v>
      </c>
      <c r="F51" s="14">
        <f t="shared" si="7"/>
        <v>-980.52349999994021</v>
      </c>
      <c r="G51" s="15">
        <f t="shared" si="8"/>
        <v>-0.12813178662392924</v>
      </c>
      <c r="H51" s="16">
        <v>6752</v>
      </c>
      <c r="I51" s="16">
        <f t="shared" si="9"/>
        <v>-80.062499999939973</v>
      </c>
      <c r="J51" s="15">
        <f t="shared" si="2"/>
        <v>-1.1857597748806275E-2</v>
      </c>
      <c r="K51" s="155" t="s">
        <v>50</v>
      </c>
      <c r="L51" s="158"/>
    </row>
    <row r="52" spans="1:12" ht="15.6">
      <c r="A52" s="24" t="str">
        <v>Q157</v>
      </c>
      <c r="B52" s="25" t="str">
        <v>NY</v>
      </c>
      <c r="C52" s="25" t="str">
        <f>Sites[[#This Row],[SOL'#]]</f>
        <v>SOL-10404</v>
      </c>
      <c r="D52" s="20">
        <v>11403.1875</v>
      </c>
      <c r="E52" s="10">
        <v>14877.12</v>
      </c>
      <c r="F52" s="10">
        <f t="shared" si="7"/>
        <v>-3473.9325000000008</v>
      </c>
      <c r="G52" s="11">
        <f t="shared" si="8"/>
        <v>-0.23350840081951349</v>
      </c>
      <c r="H52" s="12">
        <v>12206.92</v>
      </c>
      <c r="I52" s="12">
        <f t="shared" si="9"/>
        <v>-803.73250000000007</v>
      </c>
      <c r="J52" s="13">
        <f t="shared" si="10"/>
        <v>-6.5842366460990981E-2</v>
      </c>
      <c r="K52" s="53" t="s">
        <v>23</v>
      </c>
      <c r="L52" s="55"/>
    </row>
    <row r="53" spans="1:12" ht="15.6">
      <c r="A53" s="26" t="str">
        <v>Q192</v>
      </c>
      <c r="B53" s="27" t="str">
        <v>NY</v>
      </c>
      <c r="C53" s="27" t="str">
        <f>Sites[[#This Row],[SOL'#]]</f>
        <v>SOL-10406</v>
      </c>
      <c r="D53" s="9">
        <v>18821</v>
      </c>
      <c r="E53" s="14">
        <v>23040.39</v>
      </c>
      <c r="F53" s="14">
        <f t="shared" si="7"/>
        <v>-4219.3899999999994</v>
      </c>
      <c r="G53" s="15">
        <f t="shared" si="8"/>
        <v>-0.18313014666852426</v>
      </c>
      <c r="H53" s="16">
        <v>17990.990000000002</v>
      </c>
      <c r="I53" s="16">
        <f t="shared" si="9"/>
        <v>830.0099999999984</v>
      </c>
      <c r="J53" s="15">
        <f t="shared" si="2"/>
        <v>4.6134759676927081E-2</v>
      </c>
      <c r="K53" s="155" t="s">
        <v>50</v>
      </c>
      <c r="L53" s="158"/>
    </row>
    <row r="54" spans="1:12" ht="15.6">
      <c r="A54" s="24" t="str">
        <v>Q210</v>
      </c>
      <c r="B54" s="25" t="str">
        <v>NY</v>
      </c>
      <c r="C54" s="25" t="str">
        <f>Sites[[#This Row],[SOL'#]]</f>
        <v>SOL-10407</v>
      </c>
      <c r="D54" s="20">
        <v>15487.5</v>
      </c>
      <c r="E54" s="10">
        <v>16908.57</v>
      </c>
      <c r="F54" s="10">
        <f t="shared" si="7"/>
        <v>-1421.0699999999997</v>
      </c>
      <c r="G54" s="11">
        <f t="shared" si="8"/>
        <v>-8.404436330215978E-2</v>
      </c>
      <c r="H54" s="12">
        <v>15013</v>
      </c>
      <c r="I54" s="12">
        <f t="shared" si="9"/>
        <v>474.5</v>
      </c>
      <c r="J54" s="13">
        <f t="shared" si="10"/>
        <v>3.1605941517351625E-2</v>
      </c>
      <c r="K54" s="53"/>
      <c r="L54" s="55"/>
    </row>
    <row r="55" spans="1:12" ht="15.6">
      <c r="A55" s="26" t="str">
        <v>Q229</v>
      </c>
      <c r="B55" s="27" t="str">
        <v>NY</v>
      </c>
      <c r="C55" s="27" t="str">
        <f>Sites[[#This Row],[SOL'#]]</f>
        <v>SOL-10408</v>
      </c>
      <c r="D55" s="9">
        <v>6297.90625</v>
      </c>
      <c r="E55" s="14">
        <v>8488.41</v>
      </c>
      <c r="F55" s="14">
        <f t="shared" si="7"/>
        <v>-2190.5037499999999</v>
      </c>
      <c r="G55" s="15">
        <f t="shared" si="8"/>
        <v>-0.25805819346614972</v>
      </c>
      <c r="H55" s="16">
        <v>5292.6949999999997</v>
      </c>
      <c r="I55" s="16">
        <f t="shared" si="9"/>
        <v>1005.2112500000003</v>
      </c>
      <c r="J55" s="15">
        <f t="shared" si="2"/>
        <v>0.18992427298380132</v>
      </c>
      <c r="K55" s="38" t="s">
        <v>23</v>
      </c>
      <c r="L55" s="158"/>
    </row>
    <row r="56" spans="1:12" ht="15.6">
      <c r="A56" s="24" t="str">
        <v>Q231</v>
      </c>
      <c r="B56" s="25" t="str">
        <v>NY</v>
      </c>
      <c r="C56" s="25" t="str">
        <f>Sites[[#This Row],[SOL'#]]</f>
        <v>SOL-10870</v>
      </c>
      <c r="D56" s="20">
        <v>25056.625</v>
      </c>
      <c r="E56" s="10">
        <v>32973.33</v>
      </c>
      <c r="F56" s="10">
        <f t="shared" si="7"/>
        <v>-7916.7050000000017</v>
      </c>
      <c r="G56" s="11">
        <f t="shared" si="8"/>
        <v>-0.24009419127519124</v>
      </c>
      <c r="H56" s="12">
        <v>23657</v>
      </c>
      <c r="I56" s="12">
        <f t="shared" si="9"/>
        <v>1399.625</v>
      </c>
      <c r="J56" s="13">
        <f t="shared" si="10"/>
        <v>5.9163249778078367E-2</v>
      </c>
      <c r="K56" s="53" t="s">
        <v>23</v>
      </c>
      <c r="L56" s="55"/>
    </row>
    <row r="57" spans="1:12" ht="15.6">
      <c r="A57" s="26" t="str">
        <v>Q405</v>
      </c>
      <c r="B57" s="27" t="str">
        <v>NY</v>
      </c>
      <c r="C57" s="27" t="str">
        <f>Sites[[#This Row],[SOL'#]]</f>
        <v>SOL-10409</v>
      </c>
      <c r="D57" s="9">
        <v>28712.875</v>
      </c>
      <c r="E57" s="14">
        <v>33159.449999999997</v>
      </c>
      <c r="F57" s="14">
        <f t="shared" si="7"/>
        <v>-4446.5749999999971</v>
      </c>
      <c r="G57" s="15">
        <f t="shared" si="8"/>
        <v>-0.13409676577868443</v>
      </c>
      <c r="H57" s="16">
        <v>26589.46</v>
      </c>
      <c r="I57" s="16">
        <f t="shared" si="9"/>
        <v>2123.4150000000009</v>
      </c>
      <c r="J57" s="15">
        <f t="shared" si="2"/>
        <v>7.9859275066135257E-2</v>
      </c>
      <c r="K57" s="155" t="s">
        <v>50</v>
      </c>
      <c r="L57" s="158"/>
    </row>
    <row r="58" spans="1:12" ht="15.6">
      <c r="A58" s="24" t="str">
        <v>Q435</v>
      </c>
      <c r="B58" s="25" t="str">
        <v>NY</v>
      </c>
      <c r="C58" s="25" t="str">
        <f>Sites[[#This Row],[SOL'#]]</f>
        <v>SOL-10923</v>
      </c>
      <c r="D58" s="20">
        <v>38240.625</v>
      </c>
      <c r="E58" s="10">
        <v>33165.410000000003</v>
      </c>
      <c r="F58" s="10">
        <f t="shared" si="7"/>
        <v>5075.2149999999965</v>
      </c>
      <c r="G58" s="11">
        <f t="shared" si="8"/>
        <v>0.15302735591087208</v>
      </c>
      <c r="H58" s="12">
        <v>34507</v>
      </c>
      <c r="I58" s="12">
        <f t="shared" si="9"/>
        <v>3733.625</v>
      </c>
      <c r="J58" s="13">
        <f t="shared" si="10"/>
        <v>0.10819906106007476</v>
      </c>
      <c r="K58" s="53"/>
      <c r="L58" s="55"/>
    </row>
    <row r="59" spans="1:12" ht="28.9">
      <c r="A59" s="26" t="str">
        <v>Q485</v>
      </c>
      <c r="B59" s="27" t="str">
        <v>NY</v>
      </c>
      <c r="C59" s="27" t="str">
        <f>Sites[[#This Row],[SOL'#]]</f>
        <v>SOL-10869</v>
      </c>
      <c r="D59" s="9">
        <v>30533.75</v>
      </c>
      <c r="E59" s="14">
        <v>31458.799999999999</v>
      </c>
      <c r="F59" s="14">
        <f t="shared" si="7"/>
        <v>-925.04999999999927</v>
      </c>
      <c r="G59" s="15">
        <f t="shared" si="8"/>
        <v>-2.9405126705405141E-2</v>
      </c>
      <c r="H59" s="16">
        <v>32755.35</v>
      </c>
      <c r="I59" s="16">
        <f t="shared" si="9"/>
        <v>-2221.5999999999985</v>
      </c>
      <c r="J59" s="15">
        <f t="shared" si="2"/>
        <v>-6.7824034852321788E-2</v>
      </c>
      <c r="K59" s="155" t="s">
        <v>289</v>
      </c>
      <c r="L59" s="112" t="s">
        <v>290</v>
      </c>
    </row>
    <row r="60" spans="1:12" ht="43.15">
      <c r="A60" s="24" t="str">
        <v>Q490</v>
      </c>
      <c r="B60" s="25" t="str">
        <v>NY</v>
      </c>
      <c r="C60" s="25" t="str">
        <f>Sites[[#This Row],[SOL'#]]</f>
        <v>SOL-10411</v>
      </c>
      <c r="D60" s="20">
        <v>24146.5</v>
      </c>
      <c r="E60" s="10">
        <v>0</v>
      </c>
      <c r="F60" s="10">
        <f t="shared" si="7"/>
        <v>24146.5</v>
      </c>
      <c r="G60" s="11" t="str">
        <f t="shared" si="8"/>
        <v/>
      </c>
      <c r="H60" s="12">
        <v>22664.36</v>
      </c>
      <c r="I60" s="12">
        <f t="shared" si="9"/>
        <v>1482.1399999999994</v>
      </c>
      <c r="J60" s="13">
        <f t="shared" si="10"/>
        <v>6.5395184333464501E-2</v>
      </c>
      <c r="K60" s="53" t="s">
        <v>291</v>
      </c>
      <c r="L60" s="124" t="s">
        <v>292</v>
      </c>
    </row>
    <row r="61" spans="1:12" ht="15.6">
      <c r="A61" s="26" t="str">
        <v>Q620</v>
      </c>
      <c r="B61" s="27" t="str">
        <v>NY</v>
      </c>
      <c r="C61" s="27" t="str">
        <f>Sites[[#This Row],[SOL'#]]</f>
        <v>SOL-10867</v>
      </c>
      <c r="D61" s="9">
        <v>36470.75</v>
      </c>
      <c r="E61" s="14">
        <v>40130.17</v>
      </c>
      <c r="F61" s="14">
        <f t="shared" si="7"/>
        <v>-3659.4199999999983</v>
      </c>
      <c r="G61" s="15">
        <f t="shared" si="8"/>
        <v>-9.118874901352271E-2</v>
      </c>
      <c r="H61" s="16">
        <v>36602.33</v>
      </c>
      <c r="I61" s="16">
        <f t="shared" si="9"/>
        <v>-131.58000000000175</v>
      </c>
      <c r="J61" s="15">
        <f t="shared" si="2"/>
        <v>-3.5948531145422093E-3</v>
      </c>
      <c r="K61" s="155"/>
      <c r="L61" s="158"/>
    </row>
    <row r="62" spans="1:12" ht="15.6">
      <c r="A62" s="24" t="str">
        <v>QMOA</v>
      </c>
      <c r="B62" s="25" t="str">
        <v>NY</v>
      </c>
      <c r="C62" s="25" t="str">
        <f>Sites[[#This Row],[SOL'#]]</f>
        <v>SOL-10415</v>
      </c>
      <c r="D62" s="20">
        <v>3286.3</v>
      </c>
      <c r="E62" s="10">
        <v>0</v>
      </c>
      <c r="F62" s="10">
        <f t="shared" si="7"/>
        <v>3286.3</v>
      </c>
      <c r="G62" s="11" t="str">
        <f t="shared" si="8"/>
        <v/>
      </c>
      <c r="H62" s="12">
        <v>3713.027</v>
      </c>
      <c r="I62" s="12">
        <f t="shared" si="9"/>
        <v>-426.72699999999986</v>
      </c>
      <c r="J62" s="13">
        <f t="shared" si="10"/>
        <v>-0.11492698544879955</v>
      </c>
      <c r="K62" s="53"/>
      <c r="L62" s="55"/>
    </row>
    <row r="63" spans="1:12" ht="15.6">
      <c r="A63" s="26" t="str">
        <v>X024</v>
      </c>
      <c r="B63" s="27" t="str">
        <v>NY</v>
      </c>
      <c r="C63" s="27" t="str">
        <f>Sites[[#This Row],[SOL'#]]</f>
        <v>SOL-10419</v>
      </c>
      <c r="D63" s="9">
        <v>13357.03125</v>
      </c>
      <c r="E63" s="14">
        <v>17555.580000000002</v>
      </c>
      <c r="F63" s="14">
        <f t="shared" si="7"/>
        <v>-4198.5487500000017</v>
      </c>
      <c r="G63" s="15">
        <f t="shared" si="8"/>
        <v>-0.23915750718574957</v>
      </c>
      <c r="H63" s="16">
        <v>11514</v>
      </c>
      <c r="I63" s="16">
        <f t="shared" si="9"/>
        <v>1843.03125</v>
      </c>
      <c r="J63" s="15">
        <f t="shared" si="2"/>
        <v>0.16006872068785827</v>
      </c>
      <c r="K63" s="155" t="s">
        <v>293</v>
      </c>
      <c r="L63" s="127" t="s">
        <v>294</v>
      </c>
    </row>
    <row r="64" spans="1:12" ht="15.6">
      <c r="A64" s="24" t="str">
        <v>X026</v>
      </c>
      <c r="B64" s="25" t="str">
        <v>NY</v>
      </c>
      <c r="C64" s="25" t="str">
        <f>Sites[[#This Row],[SOL'#]]</f>
        <v>SOL-10420</v>
      </c>
      <c r="D64" s="20">
        <v>10799.6</v>
      </c>
      <c r="E64" s="10">
        <v>13459.43</v>
      </c>
      <c r="F64" s="10">
        <f t="shared" si="7"/>
        <v>-2659.83</v>
      </c>
      <c r="G64" s="11">
        <f t="shared" si="8"/>
        <v>-0.197618324104364</v>
      </c>
      <c r="H64" s="12">
        <v>15192.76</v>
      </c>
      <c r="I64" s="12">
        <f t="shared" si="9"/>
        <v>-4393.16</v>
      </c>
      <c r="J64" s="13">
        <f t="shared" si="10"/>
        <v>-0.28916141635884457</v>
      </c>
      <c r="K64" s="53" t="s">
        <v>295</v>
      </c>
      <c r="L64" s="124" t="s">
        <v>296</v>
      </c>
    </row>
    <row r="65" spans="1:16" ht="15.6">
      <c r="A65" s="26" t="str">
        <v>X090</v>
      </c>
      <c r="B65" s="27" t="str">
        <v>NY</v>
      </c>
      <c r="C65" s="27" t="str">
        <f>Sites[[#This Row],[SOL'#]]</f>
        <v>SOL-10925</v>
      </c>
      <c r="D65" s="9">
        <v>10677.875</v>
      </c>
      <c r="E65" s="14">
        <v>8915.4629999999997</v>
      </c>
      <c r="F65" s="14">
        <f t="shared" si="7"/>
        <v>1762.4120000000003</v>
      </c>
      <c r="G65" s="15">
        <f t="shared" si="8"/>
        <v>0.1976803672450887</v>
      </c>
      <c r="H65" s="16">
        <v>9953</v>
      </c>
      <c r="I65" s="16">
        <f t="shared" si="9"/>
        <v>724.875</v>
      </c>
      <c r="J65" s="15">
        <f t="shared" si="2"/>
        <v>7.2829800060283334E-2</v>
      </c>
      <c r="K65" s="155"/>
      <c r="L65" s="158"/>
    </row>
    <row r="66" spans="1:16" ht="15.6">
      <c r="A66" s="24" t="str">
        <v>X117</v>
      </c>
      <c r="B66" s="25" t="str">
        <v>NY</v>
      </c>
      <c r="C66" s="25" t="str">
        <f>Sites[[#This Row],[SOL'#]]</f>
        <v>SOL-10422</v>
      </c>
      <c r="D66" s="20">
        <v>8069</v>
      </c>
      <c r="E66" s="10">
        <v>11399.76</v>
      </c>
      <c r="F66" s="10">
        <f t="shared" si="7"/>
        <v>-3330.76</v>
      </c>
      <c r="G66" s="11">
        <f t="shared" si="8"/>
        <v>-0.29217808094205494</v>
      </c>
      <c r="H66" s="12">
        <v>8666.4240000000009</v>
      </c>
      <c r="I66" s="12">
        <f t="shared" si="9"/>
        <v>-597.42400000000089</v>
      </c>
      <c r="J66" s="13">
        <f t="shared" si="10"/>
        <v>-6.8935468654660881E-2</v>
      </c>
      <c r="K66" s="53" t="s">
        <v>23</v>
      </c>
      <c r="L66" s="124"/>
    </row>
    <row r="67" spans="1:16" ht="15.6">
      <c r="A67" s="26" t="str">
        <v>X125</v>
      </c>
      <c r="B67" s="27" t="str">
        <v>NY</v>
      </c>
      <c r="C67" s="27" t="str">
        <f>Sites[[#This Row],[SOL'#]]</f>
        <v>SOL-10423</v>
      </c>
      <c r="D67" s="9">
        <v>15785</v>
      </c>
      <c r="E67" s="14">
        <v>18886.62</v>
      </c>
      <c r="F67" s="14">
        <f t="shared" si="7"/>
        <v>-3101.619999999999</v>
      </c>
      <c r="G67" s="15">
        <f t="shared" si="8"/>
        <v>-0.16422313786161838</v>
      </c>
      <c r="H67" s="16">
        <v>15455.69</v>
      </c>
      <c r="I67" s="16">
        <f t="shared" si="9"/>
        <v>329.30999999999949</v>
      </c>
      <c r="J67" s="15">
        <f t="shared" si="2"/>
        <v>2.1306716167314398E-2</v>
      </c>
      <c r="K67" s="155" t="s">
        <v>50</v>
      </c>
      <c r="L67" s="158"/>
    </row>
    <row r="68" spans="1:16" ht="15.6">
      <c r="A68" s="24" t="str">
        <v>X134</v>
      </c>
      <c r="B68" s="25" t="str">
        <v>NY</v>
      </c>
      <c r="C68" s="25" t="str">
        <f>Sites[[#This Row],[SOL'#]]</f>
        <v>SOL-10424</v>
      </c>
      <c r="D68" s="20">
        <v>15055.5625</v>
      </c>
      <c r="E68" s="10">
        <v>0</v>
      </c>
      <c r="F68" s="10">
        <f t="shared" si="7"/>
        <v>15055.5625</v>
      </c>
      <c r="G68" s="11" t="str">
        <f t="shared" si="8"/>
        <v/>
      </c>
      <c r="H68" s="12">
        <v>15137</v>
      </c>
      <c r="I68" s="12">
        <f t="shared" si="9"/>
        <v>-81.4375</v>
      </c>
      <c r="J68" s="13">
        <f t="shared" si="10"/>
        <v>-5.3800290678469977E-3</v>
      </c>
      <c r="K68" s="53"/>
      <c r="L68" s="55"/>
    </row>
    <row r="69" spans="1:16" ht="15.6">
      <c r="A69" s="26" t="str">
        <v>X135</v>
      </c>
      <c r="B69" s="27" t="str">
        <v>NY</v>
      </c>
      <c r="C69" s="27" t="str">
        <f>Sites[[#This Row],[SOL'#]]</f>
        <v>SOL-10425</v>
      </c>
      <c r="D69" s="9">
        <v>12885.6875</v>
      </c>
      <c r="E69" s="14">
        <v>15852.51</v>
      </c>
      <c r="F69" s="14">
        <f t="shared" si="7"/>
        <v>-2966.8225000000002</v>
      </c>
      <c r="G69" s="15">
        <f t="shared" si="8"/>
        <v>-0.18715159302848572</v>
      </c>
      <c r="H69" s="16">
        <v>13152</v>
      </c>
      <c r="I69" s="16">
        <f t="shared" si="9"/>
        <v>-266.3125</v>
      </c>
      <c r="J69" s="15">
        <f t="shared" si="10"/>
        <v>-2.0248821472019465E-2</v>
      </c>
      <c r="K69" s="155"/>
      <c r="L69" s="158"/>
    </row>
    <row r="70" spans="1:16" ht="15.6">
      <c r="A70" s="24" t="str">
        <v>X139 JHS 222</v>
      </c>
      <c r="B70" s="25" t="str">
        <v>NY</v>
      </c>
      <c r="C70" s="25" t="str">
        <f>Sites[[#This Row],[SOL'#]]</f>
        <v>SOL-10426</v>
      </c>
      <c r="D70" s="20">
        <v>19027.021380983799</v>
      </c>
      <c r="E70" s="10">
        <v>21977.34</v>
      </c>
      <c r="F70" s="10">
        <f t="shared" si="7"/>
        <v>-2950.3186190162014</v>
      </c>
      <c r="G70" s="11">
        <f t="shared" si="8"/>
        <v>-0.13424366274609217</v>
      </c>
      <c r="H70" s="12">
        <v>17714</v>
      </c>
      <c r="I70" s="12">
        <f t="shared" si="9"/>
        <v>1313.0213809837987</v>
      </c>
      <c r="J70" s="13">
        <f t="shared" si="10"/>
        <v>7.4123370271186567E-2</v>
      </c>
      <c r="K70" s="53"/>
      <c r="L70" s="55"/>
    </row>
    <row r="71" spans="1:16" ht="15.6">
      <c r="A71" s="26" t="str">
        <v>X140</v>
      </c>
      <c r="B71" s="27" t="str">
        <v>NY</v>
      </c>
      <c r="C71" s="27" t="str">
        <f>Sites[[#This Row],[SOL'#]]</f>
        <v>SOL-10926</v>
      </c>
      <c r="D71" s="9">
        <v>11175.4375</v>
      </c>
      <c r="E71" s="14">
        <v>10393.82</v>
      </c>
      <c r="F71" s="14">
        <f t="shared" si="7"/>
        <v>781.61750000000029</v>
      </c>
      <c r="G71" s="15">
        <f t="shared" si="8"/>
        <v>7.5200215127835604E-2</v>
      </c>
      <c r="H71" s="16">
        <v>10945</v>
      </c>
      <c r="I71" s="16">
        <f t="shared" si="9"/>
        <v>230.4375</v>
      </c>
      <c r="J71" s="15">
        <f t="shared" si="10"/>
        <v>2.1054134307903153E-2</v>
      </c>
      <c r="K71" s="155"/>
      <c r="L71" s="155"/>
    </row>
    <row r="72" spans="1:16" ht="15.6">
      <c r="A72" s="24" t="str">
        <v>X166</v>
      </c>
      <c r="B72" s="25" t="str">
        <v>NY</v>
      </c>
      <c r="C72" s="25" t="str">
        <f>Sites[[#This Row],[SOL'#]]</f>
        <v>SOL-10427</v>
      </c>
      <c r="D72" s="20">
        <v>11556.1</v>
      </c>
      <c r="E72" s="10">
        <v>14445.19</v>
      </c>
      <c r="F72" s="10">
        <f t="shared" si="7"/>
        <v>-2889.09</v>
      </c>
      <c r="G72" s="11">
        <f t="shared" si="8"/>
        <v>-0.20000359981419422</v>
      </c>
      <c r="H72" s="12">
        <v>11066</v>
      </c>
      <c r="I72" s="12">
        <f t="shared" si="9"/>
        <v>490.10000000000036</v>
      </c>
      <c r="J72" s="13">
        <f t="shared" si="10"/>
        <v>4.4288812579071059E-2</v>
      </c>
      <c r="K72" s="53" t="s">
        <v>23</v>
      </c>
      <c r="L72" s="55"/>
    </row>
    <row r="73" spans="1:16" ht="15.6">
      <c r="A73" s="26" t="str">
        <v>Murphy</v>
      </c>
      <c r="B73" s="27" t="str">
        <v>MN</v>
      </c>
      <c r="C73" s="27" t="str">
        <f>Sites[[#This Row],[SOL'#]]</f>
        <v>SOL-10094</v>
      </c>
      <c r="D73" s="9">
        <v>460150</v>
      </c>
      <c r="E73" s="14">
        <v>753001.2</v>
      </c>
      <c r="F73" s="14">
        <f t="shared" si="7"/>
        <v>-292851.19999999995</v>
      </c>
      <c r="G73" s="15">
        <f t="shared" si="8"/>
        <v>-0.3889119964217852</v>
      </c>
      <c r="H73" s="16">
        <v>667564.9</v>
      </c>
      <c r="I73" s="16">
        <f t="shared" si="9"/>
        <v>-207414.90000000002</v>
      </c>
      <c r="J73" s="15">
        <f t="shared" si="10"/>
        <v>-0.3107037233383601</v>
      </c>
      <c r="K73" s="38" t="s">
        <v>23</v>
      </c>
      <c r="L73" s="155"/>
    </row>
    <row r="74" spans="1:16" ht="15.6">
      <c r="A74" s="24" t="str">
        <v>Terning</v>
      </c>
      <c r="B74" s="25" t="str">
        <v>MN</v>
      </c>
      <c r="C74" s="25" t="str">
        <f>Sites[[#This Row],[SOL'#]]</f>
        <v>SOL-10093</v>
      </c>
      <c r="D74" s="20">
        <v>350130</v>
      </c>
      <c r="E74" s="10">
        <v>749173.8</v>
      </c>
      <c r="F74" s="10">
        <f t="shared" si="7"/>
        <v>-399043.80000000005</v>
      </c>
      <c r="G74" s="11">
        <f t="shared" si="8"/>
        <v>-0.53264516191036049</v>
      </c>
      <c r="H74" s="12">
        <v>630205.69999999995</v>
      </c>
      <c r="I74" s="12">
        <f t="shared" si="9"/>
        <v>-280075.69999999995</v>
      </c>
      <c r="J74" s="13">
        <f t="shared" si="10"/>
        <v>-0.44441949668179764</v>
      </c>
      <c r="K74" s="53" t="s">
        <v>23</v>
      </c>
      <c r="L74" s="55"/>
    </row>
    <row r="75" spans="1:16" ht="40.5" customHeight="1">
      <c r="A75" s="26" t="str">
        <v>Boas Road 04</v>
      </c>
      <c r="B75" s="27" t="str">
        <v>NY</v>
      </c>
      <c r="C75" s="27" t="str">
        <f>Sites[[#This Row],[SOL'#]]</f>
        <v>SOL-10908</v>
      </c>
      <c r="D75" s="9">
        <v>126816</v>
      </c>
      <c r="E75" s="14">
        <v>236439.995</v>
      </c>
      <c r="F75" s="14">
        <f t="shared" si="7"/>
        <v>-109623.995</v>
      </c>
      <c r="G75" s="15">
        <f t="shared" si="8"/>
        <v>-0.46364404211732452</v>
      </c>
      <c r="H75" s="16">
        <v>221381.46</v>
      </c>
      <c r="I75" s="16">
        <f t="shared" si="9"/>
        <v>-94565.459999999992</v>
      </c>
      <c r="J75" s="15">
        <f t="shared" si="10"/>
        <v>-0.42716070261710259</v>
      </c>
      <c r="K75" s="155" t="s">
        <v>297</v>
      </c>
      <c r="L75" s="112" t="s">
        <v>298</v>
      </c>
    </row>
    <row r="76" spans="1:16" ht="71.25" customHeight="1">
      <c r="A76" s="24" t="str">
        <v>Kelly Bridge Farm</v>
      </c>
      <c r="B76" s="25" t="str">
        <v>NY</v>
      </c>
      <c r="C76" s="25" t="str">
        <f>Sites[[#This Row],[SOL'#]]</f>
        <v>SOL-10911</v>
      </c>
      <c r="D76" s="20">
        <v>129392</v>
      </c>
      <c r="E76" s="10">
        <v>222534.07699999999</v>
      </c>
      <c r="F76" s="10">
        <f t="shared" si="7"/>
        <v>-93142.07699999999</v>
      </c>
      <c r="G76" s="11">
        <f t="shared" si="8"/>
        <v>-0.41855197305354719</v>
      </c>
      <c r="H76" s="12">
        <v>209678.4</v>
      </c>
      <c r="I76" s="12">
        <f t="shared" si="9"/>
        <v>-80286.399999999994</v>
      </c>
      <c r="J76" s="13">
        <f t="shared" si="10"/>
        <v>-0.38290257842486397</v>
      </c>
      <c r="K76" s="53" t="s">
        <v>299</v>
      </c>
      <c r="L76" s="124" t="s">
        <v>300</v>
      </c>
      <c r="M76" s="115" t="s">
        <v>80</v>
      </c>
    </row>
    <row r="77" spans="1:16" ht="15.6">
      <c r="A77" s="26" t="str">
        <v>Pool Brook Road</v>
      </c>
      <c r="B77" s="27" t="str">
        <v>NY</v>
      </c>
      <c r="C77" s="27" t="str">
        <f>Sites[[#This Row],[SOL'#]]</f>
        <v>SOL-10909</v>
      </c>
      <c r="D77" s="9">
        <v>103676</v>
      </c>
      <c r="E77" s="14">
        <v>166624.15299999999</v>
      </c>
      <c r="F77" s="14">
        <f t="shared" si="7"/>
        <v>-62948.152999999991</v>
      </c>
      <c r="G77" s="15">
        <f t="shared" si="8"/>
        <v>-0.37778528422587088</v>
      </c>
      <c r="H77" s="16">
        <v>197019.95</v>
      </c>
      <c r="I77" s="16">
        <f t="shared" si="9"/>
        <v>-93343.950000000012</v>
      </c>
      <c r="J77" s="15">
        <f t="shared" si="10"/>
        <v>-0.47377917819997417</v>
      </c>
      <c r="K77" s="155" t="s">
        <v>301</v>
      </c>
      <c r="L77" s="127" t="s">
        <v>302</v>
      </c>
    </row>
    <row r="78" spans="1:16" ht="124.5" customHeight="1">
      <c r="A78" s="24" t="str">
        <v>Sackett Lake</v>
      </c>
      <c r="B78" s="25" t="str">
        <v>NY</v>
      </c>
      <c r="C78" s="25" t="str">
        <f>Sites[[#This Row],[SOL'#]]</f>
        <v>SOL-10910</v>
      </c>
      <c r="D78" s="20">
        <v>133417</v>
      </c>
      <c r="E78" s="10">
        <v>238769.59</v>
      </c>
      <c r="F78" s="10">
        <f t="shared" si="7"/>
        <v>-105352.59</v>
      </c>
      <c r="G78" s="11">
        <f t="shared" si="8"/>
        <v>-0.44123118861158156</v>
      </c>
      <c r="H78" s="12">
        <v>223751.3</v>
      </c>
      <c r="I78" s="12">
        <f t="shared" si="9"/>
        <v>-90334.299999999988</v>
      </c>
      <c r="J78" s="13">
        <f t="shared" si="10"/>
        <v>-0.40372636941103801</v>
      </c>
      <c r="K78" s="53" t="s">
        <v>303</v>
      </c>
      <c r="L78" s="124" t="s">
        <v>304</v>
      </c>
    </row>
    <row r="79" spans="1:16" ht="48" customHeight="1">
      <c r="A79" s="26" t="str">
        <v>Burritt Road</v>
      </c>
      <c r="B79" s="27" t="str">
        <v>NY</v>
      </c>
      <c r="C79" s="27" t="str">
        <f>Sites[[#This Row],[SOL'#]]</f>
        <v>SOL-10913</v>
      </c>
      <c r="D79" s="9">
        <v>70080</v>
      </c>
      <c r="E79" s="14">
        <v>0</v>
      </c>
      <c r="F79" s="14">
        <f t="shared" si="7"/>
        <v>70080</v>
      </c>
      <c r="G79" s="15" t="str">
        <f t="shared" si="8"/>
        <v/>
      </c>
      <c r="H79" s="16">
        <v>176195.64</v>
      </c>
      <c r="I79" s="16">
        <f t="shared" si="9"/>
        <v>-106115.64000000001</v>
      </c>
      <c r="J79" s="15">
        <f t="shared" si="10"/>
        <v>-0.60226030564660971</v>
      </c>
      <c r="K79" s="56" t="s">
        <v>305</v>
      </c>
      <c r="L79" s="112" t="s">
        <v>84</v>
      </c>
    </row>
    <row r="80" spans="1:16" ht="205.5" customHeight="1">
      <c r="A80" s="24" t="str">
        <v>Villa Roma 1</v>
      </c>
      <c r="B80" s="25" t="str">
        <v>NY</v>
      </c>
      <c r="C80" s="25" t="str">
        <f>Sites[[#This Row],[SOL'#]]</f>
        <v>SOL-10914</v>
      </c>
      <c r="D80" s="20">
        <v>108474</v>
      </c>
      <c r="E80" s="10">
        <v>143425.427</v>
      </c>
      <c r="F80" s="10">
        <f t="shared" si="7"/>
        <v>-34951.426999999996</v>
      </c>
      <c r="G80" s="11">
        <f t="shared" si="8"/>
        <v>-0.24369059051154157</v>
      </c>
      <c r="H80" s="12">
        <v>154660.6</v>
      </c>
      <c r="I80" s="12">
        <f t="shared" si="9"/>
        <v>-46186.600000000006</v>
      </c>
      <c r="J80" s="13">
        <f t="shared" si="10"/>
        <v>-0.29863197220235799</v>
      </c>
      <c r="K80" s="53" t="s">
        <v>306</v>
      </c>
      <c r="L80" s="124" t="s">
        <v>307</v>
      </c>
      <c r="M80" s="115" t="s">
        <v>308</v>
      </c>
      <c r="N80" s="115" t="s">
        <v>309</v>
      </c>
      <c r="O80" s="115" t="s">
        <v>310</v>
      </c>
      <c r="P80" s="126" t="s">
        <v>311</v>
      </c>
    </row>
    <row r="81" spans="1:17" ht="33" customHeight="1">
      <c r="A81" s="26" t="str">
        <v>Villa Roma 2</v>
      </c>
      <c r="B81" s="27" t="str">
        <v>NY</v>
      </c>
      <c r="C81" s="27" t="str">
        <f>Sites[[#This Row],[SOL'#]]</f>
        <v>SOL-10915</v>
      </c>
      <c r="D81" s="9">
        <v>116176</v>
      </c>
      <c r="E81" s="14">
        <v>202602.86199999999</v>
      </c>
      <c r="F81" s="14">
        <f t="shared" si="7"/>
        <v>-86426.861999999994</v>
      </c>
      <c r="G81" s="15">
        <f t="shared" si="8"/>
        <v>-0.42658263139441732</v>
      </c>
      <c r="H81" s="16">
        <v>149735.1</v>
      </c>
      <c r="I81" s="16">
        <f t="shared" si="9"/>
        <v>-33559.100000000006</v>
      </c>
      <c r="J81" s="15">
        <f t="shared" si="10"/>
        <v>-0.2241231347893714</v>
      </c>
      <c r="K81" s="155" t="s">
        <v>23</v>
      </c>
      <c r="L81" s="158"/>
    </row>
    <row r="82" spans="1:17" ht="98.25" customHeight="1">
      <c r="A82" s="24" t="str">
        <v>Washington 1</v>
      </c>
      <c r="B82" s="25" t="str">
        <v>NY</v>
      </c>
      <c r="C82" s="25" t="str">
        <f>Sites[[#This Row],[SOL'#]]</f>
        <v>SOL-10912</v>
      </c>
      <c r="D82" s="20">
        <v>91690</v>
      </c>
      <c r="E82" s="10">
        <v>180993.09899999999</v>
      </c>
      <c r="F82" s="10">
        <f t="shared" ref="F82:F145" si="11">IF(AND(ISNUMBER(D82),ISNUMBER(E82)), D82-E82, "")</f>
        <v>-89303.098999999987</v>
      </c>
      <c r="G82" s="11">
        <f t="shared" ref="G82:G145" si="12">IFERROR(F82/E82, "")</f>
        <v>-0.49340609942260832</v>
      </c>
      <c r="H82" s="12">
        <v>174362.65</v>
      </c>
      <c r="I82" s="12">
        <f t="shared" ref="I82:I137" si="13">IF(AND(ISNUMBER(D82),ISNUMBER(H82)), D82-H82, "")</f>
        <v>-82672.649999999994</v>
      </c>
      <c r="J82" s="13">
        <f t="shared" ref="J82:J145" si="14">IFERROR(I82/H82, "")</f>
        <v>-0.47414196790425012</v>
      </c>
      <c r="K82" s="53" t="s">
        <v>312</v>
      </c>
      <c r="L82" s="124" t="s">
        <v>313</v>
      </c>
      <c r="M82" s="115" t="s">
        <v>314</v>
      </c>
    </row>
    <row r="83" spans="1:17" ht="125.25" customHeight="1">
      <c r="A83" s="26" t="str">
        <v>Washington 3</v>
      </c>
      <c r="B83" s="27" t="str">
        <v>NY</v>
      </c>
      <c r="C83" s="27" t="str">
        <f>Sites[[#This Row],[SOL'#]]</f>
        <v>SOL-10828</v>
      </c>
      <c r="D83" s="9">
        <v>114033</v>
      </c>
      <c r="E83" s="14">
        <v>0</v>
      </c>
      <c r="F83" s="14">
        <f t="shared" si="11"/>
        <v>114033</v>
      </c>
      <c r="G83" s="15" t="str">
        <f t="shared" si="12"/>
        <v/>
      </c>
      <c r="H83" s="16">
        <v>213534.97</v>
      </c>
      <c r="I83" s="16">
        <f t="shared" si="13"/>
        <v>-99501.97</v>
      </c>
      <c r="J83" s="15">
        <f t="shared" si="14"/>
        <v>-0.46597505785586313</v>
      </c>
      <c r="K83" s="155" t="s">
        <v>315</v>
      </c>
      <c r="L83" s="112" t="s">
        <v>316</v>
      </c>
      <c r="M83" s="115" t="s">
        <v>97</v>
      </c>
      <c r="N83" s="115" t="s">
        <v>317</v>
      </c>
    </row>
    <row r="84" spans="1:17" ht="195.75" customHeight="1">
      <c r="A84" s="24" t="str">
        <v>Washington 4</v>
      </c>
      <c r="B84" s="25" t="str">
        <v>NY</v>
      </c>
      <c r="C84" s="25" t="str">
        <f>Sites[[#This Row],[SOL'#]]</f>
        <v>SOL-10829</v>
      </c>
      <c r="D84" s="20">
        <v>72393</v>
      </c>
      <c r="E84" s="10">
        <v>214328.826</v>
      </c>
      <c r="F84" s="10">
        <f t="shared" si="11"/>
        <v>-141935.826</v>
      </c>
      <c r="G84" s="11">
        <f t="shared" si="12"/>
        <v>-0.66223395447516709</v>
      </c>
      <c r="H84" s="12">
        <v>213201.1</v>
      </c>
      <c r="I84" s="12">
        <f t="shared" si="13"/>
        <v>-140808.1</v>
      </c>
      <c r="J84" s="13">
        <f t="shared" si="14"/>
        <v>-0.66044734290770546</v>
      </c>
      <c r="K84" s="53" t="s">
        <v>318</v>
      </c>
      <c r="L84" s="124" t="s">
        <v>319</v>
      </c>
      <c r="M84" s="115" t="s">
        <v>320</v>
      </c>
      <c r="N84" s="115" t="s">
        <v>321</v>
      </c>
      <c r="O84" s="115" t="s">
        <v>322</v>
      </c>
      <c r="P84" s="129" t="s">
        <v>323</v>
      </c>
      <c r="Q84" s="126" t="s">
        <v>324</v>
      </c>
    </row>
    <row r="85" spans="1:17" ht="15.6">
      <c r="A85" s="26" t="str">
        <v>Big Tree</v>
      </c>
      <c r="B85" s="27" t="str">
        <v>NY</v>
      </c>
      <c r="C85" s="27" t="str">
        <f>Sites[[#This Row],[SOL'#]]</f>
        <v>SOL-10966</v>
      </c>
      <c r="D85" s="9">
        <v>72637</v>
      </c>
      <c r="E85" s="14">
        <v>0</v>
      </c>
      <c r="F85" s="14">
        <f t="shared" si="11"/>
        <v>72637</v>
      </c>
      <c r="G85" s="15" t="str">
        <f t="shared" si="12"/>
        <v/>
      </c>
      <c r="H85" s="16">
        <v>174248.8</v>
      </c>
      <c r="I85" s="16">
        <f t="shared" si="13"/>
        <v>-101611.79999999999</v>
      </c>
      <c r="J85" s="15">
        <f t="shared" si="14"/>
        <v>-0.58314203598532666</v>
      </c>
      <c r="K85" s="155" t="s">
        <v>23</v>
      </c>
      <c r="L85" s="155"/>
    </row>
    <row r="86" spans="1:17" ht="115.15">
      <c r="A86" s="24" t="str">
        <v>Canoga</v>
      </c>
      <c r="B86" s="25" t="str">
        <v>NY</v>
      </c>
      <c r="C86" s="25" t="str">
        <f>Sites[[#This Row],[SOL'#]]</f>
        <v>SOL-10965</v>
      </c>
      <c r="D86" s="20">
        <v>371320</v>
      </c>
      <c r="E86" s="10">
        <v>0</v>
      </c>
      <c r="F86" s="10">
        <f t="shared" si="11"/>
        <v>371320</v>
      </c>
      <c r="G86" s="11" t="str">
        <f t="shared" si="12"/>
        <v/>
      </c>
      <c r="H86" s="12">
        <v>542311.13</v>
      </c>
      <c r="I86" s="12">
        <f t="shared" si="13"/>
        <v>-170991.13</v>
      </c>
      <c r="J86" s="13">
        <f t="shared" si="14"/>
        <v>-0.31530079421383073</v>
      </c>
      <c r="K86" s="53" t="s">
        <v>325</v>
      </c>
      <c r="L86" s="111" t="s">
        <v>326</v>
      </c>
      <c r="M86" s="115" t="s">
        <v>101</v>
      </c>
      <c r="N86" s="115" t="s">
        <v>327</v>
      </c>
    </row>
    <row r="87" spans="1:17" ht="41.25" customHeight="1">
      <c r="A87" s="26" t="str">
        <v>County Route 84</v>
      </c>
      <c r="B87" s="27" t="str">
        <v>NY</v>
      </c>
      <c r="C87" s="27" t="str">
        <f>Sites[[#This Row],[SOL'#]]</f>
        <v>SOL-10967</v>
      </c>
      <c r="D87" s="9">
        <v>490380</v>
      </c>
      <c r="E87" s="14">
        <v>0</v>
      </c>
      <c r="F87" s="14">
        <f t="shared" si="11"/>
        <v>490380</v>
      </c>
      <c r="G87" s="15" t="str">
        <f t="shared" si="12"/>
        <v/>
      </c>
      <c r="H87" s="16">
        <v>565014.13</v>
      </c>
      <c r="I87" s="16">
        <f t="shared" si="13"/>
        <v>-74634.13</v>
      </c>
      <c r="J87" s="15">
        <f t="shared" si="14"/>
        <v>-0.13209250182822863</v>
      </c>
      <c r="K87" s="155" t="s">
        <v>328</v>
      </c>
      <c r="L87" s="112" t="s">
        <v>329</v>
      </c>
    </row>
    <row r="88" spans="1:17" ht="93" customHeight="1">
      <c r="A88" s="24" t="str">
        <v>Donati</v>
      </c>
      <c r="B88" s="25" t="str">
        <v>NY</v>
      </c>
      <c r="C88" s="25" t="str">
        <f>Sites[[#This Row],[SOL'#]]</f>
        <v>SOL-10968</v>
      </c>
      <c r="D88" s="20">
        <v>145850</v>
      </c>
      <c r="E88" s="10">
        <v>0</v>
      </c>
      <c r="F88" s="10">
        <f t="shared" si="11"/>
        <v>145850</v>
      </c>
      <c r="G88" s="11" t="str">
        <f t="shared" si="12"/>
        <v/>
      </c>
      <c r="H88" s="12">
        <v>242335.08</v>
      </c>
      <c r="I88" s="12">
        <f t="shared" si="13"/>
        <v>-96485.079999999987</v>
      </c>
      <c r="J88" s="13">
        <f t="shared" si="14"/>
        <v>-0.39814739161990081</v>
      </c>
      <c r="K88" s="53" t="s">
        <v>330</v>
      </c>
      <c r="L88" s="111" t="s">
        <v>331</v>
      </c>
      <c r="M88" s="115" t="s">
        <v>332</v>
      </c>
      <c r="N88" s="115" t="s">
        <v>107</v>
      </c>
    </row>
    <row r="89" spans="1:17" ht="51.75" customHeight="1">
      <c r="A89" s="26" t="str">
        <v>Henrietta</v>
      </c>
      <c r="B89" s="27" t="str">
        <v>NY</v>
      </c>
      <c r="C89" s="27" t="str">
        <f>Sites[[#This Row],[SOL'#]]</f>
        <v>SOL-10972</v>
      </c>
      <c r="D89" s="9">
        <v>284330</v>
      </c>
      <c r="E89" s="14">
        <v>0</v>
      </c>
      <c r="F89" s="14">
        <f t="shared" si="11"/>
        <v>284330</v>
      </c>
      <c r="G89" s="15" t="str">
        <f t="shared" si="12"/>
        <v/>
      </c>
      <c r="H89" s="16">
        <v>435403</v>
      </c>
      <c r="I89" s="16">
        <f t="shared" si="13"/>
        <v>-151073</v>
      </c>
      <c r="J89" s="15">
        <f t="shared" si="14"/>
        <v>-0.34697280450525148</v>
      </c>
      <c r="K89" s="155" t="s">
        <v>333</v>
      </c>
      <c r="L89" s="112" t="s">
        <v>334</v>
      </c>
    </row>
    <row r="90" spans="1:17" ht="111" customHeight="1">
      <c r="A90" s="24" t="str">
        <v>NY 70</v>
      </c>
      <c r="B90" s="25" t="str">
        <v>NY</v>
      </c>
      <c r="C90" s="25" t="str">
        <f>Sites[[#This Row],[SOL'#]]</f>
        <v>SOL-10970</v>
      </c>
      <c r="D90" s="20">
        <v>381710</v>
      </c>
      <c r="E90" s="10">
        <v>0</v>
      </c>
      <c r="F90" s="10">
        <f t="shared" si="11"/>
        <v>381710</v>
      </c>
      <c r="G90" s="11" t="str">
        <f t="shared" si="12"/>
        <v/>
      </c>
      <c r="H90" s="12">
        <v>546198.4</v>
      </c>
      <c r="I90" s="12">
        <f t="shared" si="13"/>
        <v>-164488.40000000002</v>
      </c>
      <c r="J90" s="13">
        <f t="shared" si="14"/>
        <v>-0.30115137649615964</v>
      </c>
      <c r="K90" s="53" t="s">
        <v>335</v>
      </c>
      <c r="L90" s="111" t="s">
        <v>336</v>
      </c>
      <c r="M90" s="115" t="s">
        <v>337</v>
      </c>
      <c r="N90" s="115" t="s">
        <v>338</v>
      </c>
      <c r="O90" s="115" t="s">
        <v>339</v>
      </c>
      <c r="P90" s="126" t="s">
        <v>340</v>
      </c>
    </row>
    <row r="91" spans="1:17" ht="43.15">
      <c r="A91" s="26" t="str">
        <v>Reid</v>
      </c>
      <c r="B91" s="27" t="str">
        <v>NY</v>
      </c>
      <c r="C91" s="27" t="str">
        <f>Sites[[#This Row],[SOL'#]]</f>
        <v>SOL-10991</v>
      </c>
      <c r="D91" s="9">
        <v>100770.98203980199</v>
      </c>
      <c r="E91" s="14">
        <v>356493.2</v>
      </c>
      <c r="F91" s="14">
        <f t="shared" si="11"/>
        <v>-255722.217960198</v>
      </c>
      <c r="G91" s="15">
        <f t="shared" si="12"/>
        <v>-0.71732705689813436</v>
      </c>
      <c r="H91" s="16">
        <v>430708</v>
      </c>
      <c r="I91" s="16">
        <f t="shared" si="13"/>
        <v>-329937.01796019799</v>
      </c>
      <c r="J91" s="15">
        <f t="shared" si="14"/>
        <v>-0.76603410654131798</v>
      </c>
      <c r="K91" s="155" t="s">
        <v>341</v>
      </c>
      <c r="L91" s="112" t="s">
        <v>342</v>
      </c>
      <c r="M91" s="115" t="s">
        <v>343</v>
      </c>
    </row>
    <row r="92" spans="1:17" ht="100.5" customHeight="1">
      <c r="A92" s="24" t="str">
        <v>Sangolqui</v>
      </c>
      <c r="B92" s="25" t="str">
        <v>NY</v>
      </c>
      <c r="C92" s="25" t="str">
        <f>Sites[[#This Row],[SOL'#]]</f>
        <v>SOL-10975</v>
      </c>
      <c r="D92" s="20">
        <v>149355</v>
      </c>
      <c r="E92" s="10">
        <v>0</v>
      </c>
      <c r="F92" s="10">
        <f t="shared" si="11"/>
        <v>149355</v>
      </c>
      <c r="G92" s="11" t="str">
        <f t="shared" si="12"/>
        <v/>
      </c>
      <c r="H92" s="12">
        <v>234644.93</v>
      </c>
      <c r="I92" s="12">
        <f t="shared" si="13"/>
        <v>-85289.93</v>
      </c>
      <c r="J92" s="13">
        <f t="shared" si="14"/>
        <v>-0.36348507508770805</v>
      </c>
      <c r="K92" s="53" t="s">
        <v>344</v>
      </c>
      <c r="L92" s="124" t="s">
        <v>345</v>
      </c>
      <c r="M92" s="115" t="s">
        <v>346</v>
      </c>
      <c r="N92" s="115" t="s">
        <v>347</v>
      </c>
    </row>
    <row r="93" spans="1:17" ht="43.15">
      <c r="A93" s="26" t="str">
        <v>State Highway 17B</v>
      </c>
      <c r="B93" s="27" t="str">
        <v>NY</v>
      </c>
      <c r="C93" s="27" t="str">
        <f>Sites[[#This Row],[SOL'#]]</f>
        <v>SOL-10988</v>
      </c>
      <c r="D93" s="9">
        <v>360290</v>
      </c>
      <c r="E93" s="14">
        <v>0</v>
      </c>
      <c r="F93" s="14">
        <f t="shared" si="11"/>
        <v>360290</v>
      </c>
      <c r="G93" s="15" t="str">
        <f t="shared" si="12"/>
        <v/>
      </c>
      <c r="H93" s="16">
        <v>472300.06</v>
      </c>
      <c r="I93" s="16">
        <f t="shared" si="13"/>
        <v>-112010.06</v>
      </c>
      <c r="J93" s="15">
        <f t="shared" si="14"/>
        <v>-0.23715868255447606</v>
      </c>
      <c r="K93" s="155" t="s">
        <v>348</v>
      </c>
      <c r="L93" s="112" t="s">
        <v>349</v>
      </c>
    </row>
    <row r="94" spans="1:17" ht="28.9">
      <c r="A94" s="24" t="str">
        <v>State Route 14A</v>
      </c>
      <c r="B94" s="25" t="str">
        <v>NY</v>
      </c>
      <c r="C94" s="25" t="str">
        <f>Sites[[#This Row],[SOL'#]]</f>
        <v>SOL-10997</v>
      </c>
      <c r="D94" s="20">
        <v>403215</v>
      </c>
      <c r="E94" s="10">
        <v>0</v>
      </c>
      <c r="F94" s="10">
        <f t="shared" si="11"/>
        <v>403215</v>
      </c>
      <c r="G94" s="11" t="str">
        <f t="shared" si="12"/>
        <v/>
      </c>
      <c r="H94" s="12">
        <v>539717.54</v>
      </c>
      <c r="I94" s="12">
        <f t="shared" si="13"/>
        <v>-136502.54000000004</v>
      </c>
      <c r="J94" s="13">
        <f t="shared" si="14"/>
        <v>-0.25291477464304762</v>
      </c>
      <c r="K94" s="53" t="s">
        <v>350</v>
      </c>
      <c r="L94" s="124" t="s">
        <v>351</v>
      </c>
    </row>
    <row r="95" spans="1:17" ht="15.6">
      <c r="A95" s="26" t="str">
        <v>West Creek</v>
      </c>
      <c r="B95" s="27" t="str">
        <v>NY</v>
      </c>
      <c r="C95" s="27" t="str">
        <f>Sites[[#This Row],[SOL'#]]</f>
        <v>SOL-10995</v>
      </c>
      <c r="D95" s="9">
        <v>448900</v>
      </c>
      <c r="E95" s="14">
        <v>0</v>
      </c>
      <c r="F95" s="14">
        <f t="shared" si="11"/>
        <v>448900</v>
      </c>
      <c r="G95" s="15" t="str">
        <f t="shared" si="12"/>
        <v/>
      </c>
      <c r="H95" s="16">
        <v>504797.7</v>
      </c>
      <c r="I95" s="16">
        <f t="shared" si="13"/>
        <v>-55897.700000000012</v>
      </c>
      <c r="J95" s="15">
        <f t="shared" si="14"/>
        <v>-0.11073287378290354</v>
      </c>
      <c r="K95" s="155" t="s">
        <v>23</v>
      </c>
      <c r="L95" s="155"/>
    </row>
    <row r="96" spans="1:17" ht="187.15">
      <c r="A96" s="24" t="str">
        <v>Wildflower</v>
      </c>
      <c r="B96" s="25" t="str">
        <v>NY</v>
      </c>
      <c r="C96" s="25" t="str">
        <f>Sites[[#This Row],[SOL'#]]</f>
        <v>SOL-10982</v>
      </c>
      <c r="D96" s="20">
        <v>369846.5</v>
      </c>
      <c r="E96" s="10">
        <v>0</v>
      </c>
      <c r="F96" s="10">
        <f t="shared" si="11"/>
        <v>369846.5</v>
      </c>
      <c r="G96" s="11" t="str">
        <f t="shared" si="12"/>
        <v/>
      </c>
      <c r="H96" s="12">
        <v>608235.16</v>
      </c>
      <c r="I96" s="12">
        <f t="shared" si="13"/>
        <v>-238388.66000000003</v>
      </c>
      <c r="J96" s="13">
        <f t="shared" si="14"/>
        <v>-0.39193502065878599</v>
      </c>
      <c r="K96" s="53" t="s">
        <v>352</v>
      </c>
      <c r="L96" s="124" t="s">
        <v>353</v>
      </c>
      <c r="M96" s="115" t="s">
        <v>121</v>
      </c>
      <c r="N96" s="115" t="s">
        <v>354</v>
      </c>
    </row>
    <row r="97" spans="1:13" ht="15.6">
      <c r="A97" s="26" t="str">
        <v>Glen Mary 1</v>
      </c>
      <c r="B97" s="27" t="str">
        <v>NY</v>
      </c>
      <c r="C97" s="27" t="str">
        <f>Sites[[#This Row],[SOL'#]]</f>
        <v>SOL-10993</v>
      </c>
      <c r="D97" s="9">
        <v>474210</v>
      </c>
      <c r="E97" s="14">
        <v>0</v>
      </c>
      <c r="F97" s="14">
        <f t="shared" si="11"/>
        <v>474210</v>
      </c>
      <c r="G97" s="15" t="str">
        <f t="shared" si="12"/>
        <v/>
      </c>
      <c r="H97" s="16">
        <v>580930</v>
      </c>
      <c r="I97" s="16">
        <f t="shared" si="13"/>
        <v>-106720</v>
      </c>
      <c r="J97" s="15">
        <f t="shared" si="14"/>
        <v>-0.18370543783244109</v>
      </c>
      <c r="K97" s="118" t="s">
        <v>23</v>
      </c>
      <c r="L97" s="158"/>
    </row>
    <row r="98" spans="1:13" ht="43.15">
      <c r="A98" s="24" t="str">
        <v>Glen Mary 2</v>
      </c>
      <c r="B98" s="25" t="str">
        <v>NY</v>
      </c>
      <c r="C98" s="25" t="str">
        <f>Sites[[#This Row],[SOL'#]]</f>
        <v>SOL-10994</v>
      </c>
      <c r="D98" s="20">
        <v>15960</v>
      </c>
      <c r="E98" s="10">
        <v>0</v>
      </c>
      <c r="F98" s="10">
        <f t="shared" si="11"/>
        <v>15960</v>
      </c>
      <c r="G98" s="11" t="str">
        <f t="shared" si="12"/>
        <v/>
      </c>
      <c r="H98" s="12">
        <v>242369.3</v>
      </c>
      <c r="I98" s="12">
        <f t="shared" si="13"/>
        <v>-226409.3</v>
      </c>
      <c r="J98" s="13">
        <f t="shared" si="14"/>
        <v>-0.93415007593783539</v>
      </c>
      <c r="K98" s="53" t="s">
        <v>355</v>
      </c>
      <c r="L98" s="124" t="s">
        <v>124</v>
      </c>
    </row>
    <row r="99" spans="1:13" ht="28.9">
      <c r="A99" s="26" t="str">
        <v>Telegraph 1</v>
      </c>
      <c r="B99" s="27" t="str">
        <v>NY</v>
      </c>
      <c r="C99" s="27" t="str">
        <f>Sites[[#This Row],[SOL'#]]</f>
        <v>SOL-11003</v>
      </c>
      <c r="D99" s="9">
        <v>205099</v>
      </c>
      <c r="E99" s="14">
        <v>0</v>
      </c>
      <c r="F99" s="14">
        <f t="shared" si="11"/>
        <v>205099</v>
      </c>
      <c r="G99" s="15" t="str">
        <f t="shared" si="12"/>
        <v/>
      </c>
      <c r="H99" s="16">
        <v>385388.91</v>
      </c>
      <c r="I99" s="16">
        <f t="shared" si="13"/>
        <v>-180289.90999999997</v>
      </c>
      <c r="J99" s="15">
        <f t="shared" si="14"/>
        <v>-0.46781291656783791</v>
      </c>
      <c r="K99" s="155" t="s">
        <v>356</v>
      </c>
      <c r="L99" s="127" t="s">
        <v>357</v>
      </c>
    </row>
    <row r="100" spans="1:13" ht="28.9">
      <c r="A100" s="24" t="str">
        <v>Telegraph 2</v>
      </c>
      <c r="B100" s="25" t="str">
        <v>NY</v>
      </c>
      <c r="C100" s="25" t="str">
        <f>Sites[[#This Row],[SOL'#]]</f>
        <v>SOL-11004</v>
      </c>
      <c r="D100" s="20">
        <v>117513</v>
      </c>
      <c r="E100" s="10">
        <v>0</v>
      </c>
      <c r="F100" s="10">
        <f t="shared" si="11"/>
        <v>117513</v>
      </c>
      <c r="G100" s="11" t="str">
        <f t="shared" si="12"/>
        <v/>
      </c>
      <c r="H100" s="12">
        <v>199344.36</v>
      </c>
      <c r="I100" s="12">
        <f t="shared" si="13"/>
        <v>-81831.359999999986</v>
      </c>
      <c r="J100" s="13">
        <f t="shared" si="14"/>
        <v>-0.41050250932607268</v>
      </c>
      <c r="K100" s="53" t="s">
        <v>358</v>
      </c>
      <c r="L100" s="124" t="s">
        <v>359</v>
      </c>
      <c r="M100" s="133"/>
    </row>
    <row r="101" spans="1:13" ht="15.6">
      <c r="A101" s="26" t="str">
        <v>Cafferty Hill</v>
      </c>
      <c r="B101" s="27" t="str">
        <v>NY</v>
      </c>
      <c r="C101" s="27" t="str">
        <f>Sites[[#This Row],[SOL'#]]</f>
        <v>SOL-10996</v>
      </c>
      <c r="D101" s="9">
        <v>430610</v>
      </c>
      <c r="E101" s="14">
        <v>0</v>
      </c>
      <c r="F101" s="14">
        <f t="shared" si="11"/>
        <v>430610</v>
      </c>
      <c r="G101" s="15" t="str">
        <f t="shared" si="12"/>
        <v/>
      </c>
      <c r="H101" s="16">
        <v>487273.3</v>
      </c>
      <c r="I101" s="16">
        <f t="shared" si="13"/>
        <v>-56663.299999999988</v>
      </c>
      <c r="J101" s="15">
        <f t="shared" si="14"/>
        <v>-0.11628648645431627</v>
      </c>
      <c r="K101" s="155" t="s">
        <v>360</v>
      </c>
      <c r="L101" s="158"/>
    </row>
    <row r="102" spans="1:13" ht="75.75" customHeight="1">
      <c r="A102" s="24" t="str">
        <v>Dunkleman</v>
      </c>
      <c r="B102" s="25" t="str">
        <v>NY</v>
      </c>
      <c r="C102" s="25" t="str">
        <f>Sites[[#This Row],[SOL'#]]</f>
        <v>SOL-11008</v>
      </c>
      <c r="D102" s="20">
        <v>357280</v>
      </c>
      <c r="E102" s="10">
        <v>0</v>
      </c>
      <c r="F102" s="10">
        <f t="shared" si="11"/>
        <v>357280</v>
      </c>
      <c r="G102" s="11" t="str">
        <f t="shared" si="12"/>
        <v/>
      </c>
      <c r="H102" s="12">
        <v>577807.1</v>
      </c>
      <c r="I102" s="12">
        <f t="shared" si="13"/>
        <v>-220527.09999999998</v>
      </c>
      <c r="J102" s="13">
        <f t="shared" si="14"/>
        <v>-0.38166214987666297</v>
      </c>
      <c r="K102" s="53" t="s">
        <v>361</v>
      </c>
      <c r="L102" s="124" t="s">
        <v>362</v>
      </c>
    </row>
    <row r="103" spans="1:13" ht="15.6">
      <c r="A103" s="26" t="str">
        <v>Route 19 1</v>
      </c>
      <c r="B103" s="27" t="str">
        <v>NY</v>
      </c>
      <c r="C103" s="27" t="str">
        <f>Sites[[#This Row],[SOL'#]]</f>
        <v>SOL-11001</v>
      </c>
      <c r="D103" s="9">
        <v>153320</v>
      </c>
      <c r="E103" s="14">
        <v>0</v>
      </c>
      <c r="F103" s="14">
        <f t="shared" si="11"/>
        <v>153320</v>
      </c>
      <c r="G103" s="15" t="str">
        <f t="shared" si="12"/>
        <v/>
      </c>
      <c r="H103" s="16">
        <v>230848.08</v>
      </c>
      <c r="I103" s="16">
        <f t="shared" si="13"/>
        <v>-77528.079999999987</v>
      </c>
      <c r="J103" s="15">
        <f t="shared" si="14"/>
        <v>-0.33584026343212381</v>
      </c>
      <c r="K103" s="155" t="s">
        <v>363</v>
      </c>
      <c r="L103" s="112" t="s">
        <v>364</v>
      </c>
    </row>
    <row r="104" spans="1:13" ht="43.15">
      <c r="A104" s="24" t="str">
        <v>Route 19 2</v>
      </c>
      <c r="B104" s="25" t="str">
        <v>NY</v>
      </c>
      <c r="C104" s="25" t="str">
        <f>Sites[[#This Row],[SOL'#]]</f>
        <v>SOL-11002</v>
      </c>
      <c r="D104" s="20">
        <v>399420</v>
      </c>
      <c r="E104" s="10">
        <v>0</v>
      </c>
      <c r="F104" s="10">
        <f t="shared" si="11"/>
        <v>399420</v>
      </c>
      <c r="G104" s="11" t="str">
        <f t="shared" si="12"/>
        <v/>
      </c>
      <c r="H104" s="12">
        <v>591330.4</v>
      </c>
      <c r="I104" s="12">
        <f t="shared" si="13"/>
        <v>-191910.40000000002</v>
      </c>
      <c r="J104" s="13">
        <f t="shared" si="14"/>
        <v>-0.32454005408820519</v>
      </c>
      <c r="K104" s="53" t="s">
        <v>365</v>
      </c>
      <c r="L104" s="124" t="s">
        <v>366</v>
      </c>
      <c r="M104" s="115" t="s">
        <v>143</v>
      </c>
    </row>
    <row r="105" spans="1:13" ht="43.5" customHeight="1">
      <c r="A105" s="26" t="str">
        <v>Yellow Mills 1</v>
      </c>
      <c r="B105" s="27" t="str">
        <v>NY</v>
      </c>
      <c r="C105" s="27" t="str">
        <f>Sites[[#This Row],[SOL'#]]</f>
        <v>SOL-11006</v>
      </c>
      <c r="D105" s="9">
        <v>0</v>
      </c>
      <c r="E105" s="14">
        <v>0</v>
      </c>
      <c r="F105" s="14">
        <f t="shared" si="11"/>
        <v>0</v>
      </c>
      <c r="G105" s="15" t="str">
        <f t="shared" si="12"/>
        <v/>
      </c>
      <c r="H105" s="16">
        <v>176276.8</v>
      </c>
      <c r="I105" s="16">
        <f t="shared" si="13"/>
        <v>-176276.8</v>
      </c>
      <c r="J105" s="15">
        <f t="shared" si="14"/>
        <v>-1</v>
      </c>
      <c r="K105" s="155" t="s">
        <v>367</v>
      </c>
      <c r="L105" s="112" t="s">
        <v>368</v>
      </c>
      <c r="M105" s="115" t="s">
        <v>146</v>
      </c>
    </row>
    <row r="106" spans="1:13" ht="22.5" customHeight="1">
      <c r="A106" s="24" t="str">
        <v>Yellow Mills 2</v>
      </c>
      <c r="B106" s="25" t="str">
        <v>NY</v>
      </c>
      <c r="C106" s="25" t="str">
        <f>Sites[[#This Row],[SOL'#]]</f>
        <v>SOL-11005</v>
      </c>
      <c r="D106" s="20">
        <v>95037</v>
      </c>
      <c r="E106" s="10">
        <v>0</v>
      </c>
      <c r="F106" s="10">
        <f t="shared" si="11"/>
        <v>95037</v>
      </c>
      <c r="G106" s="11" t="str">
        <f t="shared" si="12"/>
        <v/>
      </c>
      <c r="H106" s="12">
        <v>181688.5</v>
      </c>
      <c r="I106" s="12">
        <f t="shared" si="13"/>
        <v>-86651.5</v>
      </c>
      <c r="J106" s="13">
        <f t="shared" si="14"/>
        <v>-0.47692341562619539</v>
      </c>
      <c r="K106" s="53" t="s">
        <v>23</v>
      </c>
      <c r="L106" s="55"/>
    </row>
    <row r="107" spans="1:13" ht="39.75" customHeight="1">
      <c r="A107" s="26" t="str">
        <v>Yellow Mills 3</v>
      </c>
      <c r="B107" s="27" t="str">
        <v>NY</v>
      </c>
      <c r="C107" s="27" t="str">
        <f>Sites[[#This Row],[SOL'#]]</f>
        <v>SOL-11007</v>
      </c>
      <c r="D107" s="9">
        <v>57876</v>
      </c>
      <c r="E107" s="14">
        <v>0</v>
      </c>
      <c r="F107" s="14">
        <f t="shared" si="11"/>
        <v>57876</v>
      </c>
      <c r="G107" s="15" t="str">
        <f t="shared" si="12"/>
        <v/>
      </c>
      <c r="H107" s="16">
        <v>169042.26</v>
      </c>
      <c r="I107" s="16">
        <f t="shared" si="13"/>
        <v>-111166.26000000001</v>
      </c>
      <c r="J107" s="15">
        <f t="shared" si="14"/>
        <v>-0.65762407577844739</v>
      </c>
      <c r="K107" s="155" t="s">
        <v>369</v>
      </c>
      <c r="L107" s="112" t="s">
        <v>370</v>
      </c>
    </row>
    <row r="108" spans="1:13" ht="68.25" customHeight="1">
      <c r="A108" s="24" t="str">
        <v>Catskill</v>
      </c>
      <c r="B108" s="25" t="str">
        <v>NY</v>
      </c>
      <c r="C108" s="25" t="str">
        <f>Sites[[#This Row],[SOL'#]]</f>
        <v>SOL-11021</v>
      </c>
      <c r="D108" s="20">
        <v>321660</v>
      </c>
      <c r="E108" s="10">
        <v>0</v>
      </c>
      <c r="F108" s="10">
        <f t="shared" si="11"/>
        <v>321660</v>
      </c>
      <c r="G108" s="11" t="str">
        <f t="shared" si="12"/>
        <v/>
      </c>
      <c r="H108" s="12">
        <v>378964.03</v>
      </c>
      <c r="I108" s="12">
        <f t="shared" si="13"/>
        <v>-57304.030000000028</v>
      </c>
      <c r="J108" s="13">
        <f t="shared" si="14"/>
        <v>-0.15121231954388922</v>
      </c>
      <c r="K108" s="53" t="s">
        <v>371</v>
      </c>
      <c r="L108" s="124" t="s">
        <v>372</v>
      </c>
      <c r="M108" s="115" t="s">
        <v>373</v>
      </c>
    </row>
    <row r="109" spans="1:13" ht="15.6">
      <c r="A109" s="26" t="str">
        <v>Eddy Ridge</v>
      </c>
      <c r="B109" s="27" t="str">
        <v>NY</v>
      </c>
      <c r="C109" s="27" t="str">
        <f>Sites[[#This Row],[SOL'#]]</f>
        <v>SOL-11054</v>
      </c>
      <c r="D109" s="9">
        <v>161167.29999999999</v>
      </c>
      <c r="E109" s="14">
        <v>0</v>
      </c>
      <c r="F109" s="14">
        <f t="shared" si="11"/>
        <v>161167.29999999999</v>
      </c>
      <c r="G109" s="15" t="str">
        <f t="shared" si="12"/>
        <v/>
      </c>
      <c r="H109" s="16">
        <v>261685</v>
      </c>
      <c r="I109" s="16">
        <f t="shared" si="13"/>
        <v>-100517.70000000001</v>
      </c>
      <c r="J109" s="15">
        <f t="shared" si="14"/>
        <v>-0.38411716376559607</v>
      </c>
      <c r="K109" s="155" t="s">
        <v>23</v>
      </c>
      <c r="L109" s="158"/>
    </row>
    <row r="110" spans="1:13" ht="33" customHeight="1">
      <c r="A110" s="24" t="str">
        <v>Ridgeway #1</v>
      </c>
      <c r="B110" s="25" t="str">
        <v>NY</v>
      </c>
      <c r="C110" s="25" t="str">
        <f>Sites[[#This Row],[SOL'#]]</f>
        <v>SOL-11018</v>
      </c>
      <c r="D110" s="20">
        <v>355256</v>
      </c>
      <c r="E110" s="10">
        <v>0</v>
      </c>
      <c r="F110" s="10">
        <f t="shared" si="11"/>
        <v>355256</v>
      </c>
      <c r="G110" s="11" t="str">
        <f t="shared" si="12"/>
        <v/>
      </c>
      <c r="H110" s="12">
        <v>585713.19999999995</v>
      </c>
      <c r="I110" s="12">
        <f t="shared" si="13"/>
        <v>-230457.19999999995</v>
      </c>
      <c r="J110" s="13">
        <f t="shared" si="14"/>
        <v>-0.39346424154347209</v>
      </c>
      <c r="K110" s="55" t="s">
        <v>374</v>
      </c>
      <c r="L110" s="124" t="s">
        <v>375</v>
      </c>
    </row>
    <row r="111" spans="1:13" ht="23.25" customHeight="1">
      <c r="A111" s="26" t="str">
        <v>Rivard 1</v>
      </c>
      <c r="B111" s="27" t="str">
        <v>NY</v>
      </c>
      <c r="C111" s="27" t="str">
        <f>Sites[[#This Row],[SOL'#]]</f>
        <v>SOL-11011</v>
      </c>
      <c r="D111" s="9">
        <v>309993.42105263</v>
      </c>
      <c r="E111" s="14">
        <v>396616.5</v>
      </c>
      <c r="F111" s="14">
        <f t="shared" si="11"/>
        <v>-86623.078947369999</v>
      </c>
      <c r="G111" s="15">
        <f t="shared" si="12"/>
        <v>-0.21840513177684237</v>
      </c>
      <c r="H111" s="16">
        <v>398747.4</v>
      </c>
      <c r="I111" s="16">
        <f t="shared" si="13"/>
        <v>-88753.978947370022</v>
      </c>
      <c r="J111" s="15">
        <f t="shared" si="14"/>
        <v>-0.2225819627848859</v>
      </c>
      <c r="K111" s="155" t="s">
        <v>23</v>
      </c>
      <c r="L111" s="155"/>
    </row>
    <row r="112" spans="1:13" ht="84.75" customHeight="1">
      <c r="A112" s="24" t="str">
        <v>Rivard 2</v>
      </c>
      <c r="B112" s="25" t="str">
        <v>NY</v>
      </c>
      <c r="C112" s="25" t="str">
        <f>Sites[[#This Row],[SOL'#]]</f>
        <v>SOL-11012</v>
      </c>
      <c r="D112" s="20">
        <v>313341.18134714902</v>
      </c>
      <c r="E112" s="10">
        <v>304931.09999999998</v>
      </c>
      <c r="F112" s="10">
        <f t="shared" si="11"/>
        <v>8410.0813471490401</v>
      </c>
      <c r="G112" s="11">
        <f t="shared" si="12"/>
        <v>2.7580267631438841E-2</v>
      </c>
      <c r="H112" s="12">
        <v>381926.8</v>
      </c>
      <c r="I112" s="12">
        <f t="shared" si="13"/>
        <v>-68585.618652850972</v>
      </c>
      <c r="J112" s="13">
        <f t="shared" si="14"/>
        <v>-0.17957791559233596</v>
      </c>
      <c r="K112" s="53" t="s">
        <v>376</v>
      </c>
      <c r="L112" s="124" t="s">
        <v>377</v>
      </c>
    </row>
    <row r="113" spans="1:19" ht="15.6">
      <c r="A113" s="26" t="str">
        <v>Essex</v>
      </c>
      <c r="B113" s="27" t="str">
        <v>DC</v>
      </c>
      <c r="C113" s="27" t="str">
        <f>Sites[[#This Row],[SOL'#]]</f>
        <v>SOL-10036</v>
      </c>
      <c r="D113" s="9">
        <v>2025</v>
      </c>
      <c r="E113" s="14">
        <v>2433.9580000000001</v>
      </c>
      <c r="F113" s="14">
        <f t="shared" si="11"/>
        <v>-408.95800000000008</v>
      </c>
      <c r="G113" s="15">
        <f t="shared" si="12"/>
        <v>-0.16802179823973959</v>
      </c>
      <c r="H113" s="16">
        <v>2639.58</v>
      </c>
      <c r="I113" s="16">
        <f t="shared" si="13"/>
        <v>-614.57999999999993</v>
      </c>
      <c r="J113" s="15">
        <f t="shared" si="14"/>
        <v>-0.23283249607892162</v>
      </c>
      <c r="K113" s="155" t="s">
        <v>23</v>
      </c>
      <c r="L113" s="158"/>
    </row>
    <row r="114" spans="1:19" ht="15.6">
      <c r="A114" s="24" t="str">
        <v>Temple Sinai</v>
      </c>
      <c r="B114" s="25" t="str">
        <v>DC</v>
      </c>
      <c r="C114" s="25" t="str">
        <f>Sites[[#This Row],[SOL'#]]</f>
        <v>SOL-10028</v>
      </c>
      <c r="D114" s="20">
        <v>5585.5</v>
      </c>
      <c r="E114" s="10">
        <v>7616.0110000000004</v>
      </c>
      <c r="F114" s="10">
        <f t="shared" si="11"/>
        <v>-2030.5110000000004</v>
      </c>
      <c r="G114" s="11">
        <f t="shared" si="12"/>
        <v>-0.26661082816188164</v>
      </c>
      <c r="H114" s="12">
        <v>6154.2349999999997</v>
      </c>
      <c r="I114" s="12">
        <f t="shared" si="13"/>
        <v>-568.73499999999967</v>
      </c>
      <c r="J114" s="13">
        <f t="shared" si="14"/>
        <v>-9.2413598115769005E-2</v>
      </c>
      <c r="K114" s="53" t="s">
        <v>23</v>
      </c>
      <c r="L114" s="55"/>
    </row>
    <row r="115" spans="1:19" ht="54.75" customHeight="1">
      <c r="A115" s="26" t="str">
        <v>Weinberg Commons #1</v>
      </c>
      <c r="B115" s="27" t="str">
        <v>DC</v>
      </c>
      <c r="C115" s="27" t="str">
        <f>Sites[[#This Row],[SOL'#]]</f>
        <v>SOL-10039</v>
      </c>
      <c r="D115" s="9">
        <v>131</v>
      </c>
      <c r="E115" s="14">
        <v>128.6403</v>
      </c>
      <c r="F115" s="14">
        <f t="shared" si="11"/>
        <v>2.3597000000000037</v>
      </c>
      <c r="G115" s="15">
        <f t="shared" si="12"/>
        <v>1.8343396276283588E-2</v>
      </c>
      <c r="H115" s="16">
        <v>949.5779</v>
      </c>
      <c r="I115" s="16">
        <f t="shared" si="13"/>
        <v>-818.5779</v>
      </c>
      <c r="J115" s="15">
        <f t="shared" si="14"/>
        <v>-0.86204396711423048</v>
      </c>
      <c r="K115" s="155" t="s">
        <v>378</v>
      </c>
      <c r="L115" s="125" t="s">
        <v>379</v>
      </c>
    </row>
    <row r="116" spans="1:19" ht="15.6">
      <c r="A116" s="24" t="str">
        <v>Weinberg Commons #2</v>
      </c>
      <c r="B116" s="25" t="str">
        <v>DC</v>
      </c>
      <c r="C116" s="25" t="str">
        <f>Sites[[#This Row],[SOL'#]]</f>
        <v>SOL-10045</v>
      </c>
      <c r="D116" s="20">
        <v>867</v>
      </c>
      <c r="E116" s="10">
        <v>862.54020000000003</v>
      </c>
      <c r="F116" s="10">
        <f t="shared" si="11"/>
        <v>4.4597999999999729</v>
      </c>
      <c r="G116" s="11">
        <f t="shared" si="12"/>
        <v>5.1705416164950606E-3</v>
      </c>
      <c r="H116" s="12">
        <v>988.94370000000004</v>
      </c>
      <c r="I116" s="12">
        <f t="shared" si="13"/>
        <v>-121.94370000000004</v>
      </c>
      <c r="J116" s="13">
        <f t="shared" si="14"/>
        <v>-0.12330701939857651</v>
      </c>
      <c r="K116" s="53"/>
      <c r="L116" s="55"/>
    </row>
    <row r="117" spans="1:19" ht="15.6">
      <c r="A117" s="26" t="str">
        <v>Weinberg Commons #3</v>
      </c>
      <c r="B117" s="27" t="str">
        <v>DC</v>
      </c>
      <c r="C117" s="27" t="str">
        <f>Sites[[#This Row],[SOL'#]]</f>
        <v>SOL-10042</v>
      </c>
      <c r="D117" s="9">
        <v>1003</v>
      </c>
      <c r="E117" s="14">
        <v>983.22370000000001</v>
      </c>
      <c r="F117" s="14">
        <f t="shared" si="11"/>
        <v>19.776299999999992</v>
      </c>
      <c r="G117" s="15">
        <f t="shared" si="12"/>
        <v>2.0113734036313398E-2</v>
      </c>
      <c r="H117" s="16">
        <v>1030</v>
      </c>
      <c r="I117" s="16">
        <f t="shared" si="13"/>
        <v>-27</v>
      </c>
      <c r="J117" s="15">
        <f t="shared" si="14"/>
        <v>-2.621359223300971E-2</v>
      </c>
      <c r="K117" s="155"/>
      <c r="L117" s="158"/>
    </row>
    <row r="118" spans="1:19" ht="15.6">
      <c r="A118" s="24" t="str">
        <v>Clayton Hall</v>
      </c>
      <c r="B118" s="25" t="str">
        <v>DE</v>
      </c>
      <c r="C118" s="25" t="str">
        <f>Sites[[#This Row],[SOL'#]]</f>
        <v>SOL-10820</v>
      </c>
      <c r="D118" s="20">
        <v>10376</v>
      </c>
      <c r="E118" s="10">
        <v>10688.18</v>
      </c>
      <c r="F118" s="10">
        <f t="shared" si="11"/>
        <v>-312.18000000000029</v>
      </c>
      <c r="G118" s="11">
        <f t="shared" si="12"/>
        <v>-2.9207966183204277E-2</v>
      </c>
      <c r="H118" s="12">
        <v>10721</v>
      </c>
      <c r="I118" s="12">
        <f t="shared" si="13"/>
        <v>-345</v>
      </c>
      <c r="J118" s="13">
        <f t="shared" si="14"/>
        <v>-3.217983397071169E-2</v>
      </c>
      <c r="K118" s="53"/>
      <c r="L118" s="55"/>
    </row>
    <row r="119" spans="1:19" ht="15.6">
      <c r="A119" s="26" t="str">
        <v>Field House</v>
      </c>
      <c r="B119" s="27" t="str">
        <v>DE</v>
      </c>
      <c r="C119" s="27" t="str">
        <f>Sites[[#This Row],[SOL'#]]</f>
        <v>SOL-10821</v>
      </c>
      <c r="D119" s="9">
        <v>33085</v>
      </c>
      <c r="E119" s="14">
        <v>0</v>
      </c>
      <c r="F119" s="14">
        <f t="shared" si="11"/>
        <v>33085</v>
      </c>
      <c r="G119" s="15" t="str">
        <f t="shared" si="12"/>
        <v/>
      </c>
      <c r="H119" s="16">
        <v>32706</v>
      </c>
      <c r="I119" s="16">
        <f t="shared" si="13"/>
        <v>379</v>
      </c>
      <c r="J119" s="15">
        <f t="shared" si="14"/>
        <v>1.1588087812633768E-2</v>
      </c>
      <c r="K119" s="155"/>
      <c r="L119" s="158"/>
    </row>
    <row r="120" spans="1:19" ht="43.15">
      <c r="A120" s="24" t="str">
        <v>Wyoming Road</v>
      </c>
      <c r="B120" s="25" t="str">
        <v>DE</v>
      </c>
      <c r="C120" s="25" t="str">
        <f>Sites[[#This Row],[SOL'#]]</f>
        <v>SOL-10819</v>
      </c>
      <c r="D120" s="20">
        <v>0</v>
      </c>
      <c r="E120" s="10">
        <v>16539.95</v>
      </c>
      <c r="F120" s="10">
        <f t="shared" si="11"/>
        <v>-16539.95</v>
      </c>
      <c r="G120" s="11">
        <f t="shared" si="12"/>
        <v>-1</v>
      </c>
      <c r="H120" s="12">
        <v>19771.8</v>
      </c>
      <c r="I120" s="12">
        <f t="shared" si="13"/>
        <v>-19771.8</v>
      </c>
      <c r="J120" s="13">
        <f t="shared" si="14"/>
        <v>-1</v>
      </c>
      <c r="K120" s="53" t="s">
        <v>380</v>
      </c>
      <c r="L120" s="124" t="s">
        <v>381</v>
      </c>
      <c r="M120" s="115" t="s">
        <v>382</v>
      </c>
    </row>
    <row r="121" spans="1:19" ht="15.6">
      <c r="A121" s="26" t="str">
        <v>94-246 Leoku St. - PV Bldg E, F, G</v>
      </c>
      <c r="B121" s="27" t="str">
        <v>HI</v>
      </c>
      <c r="C121" s="27" t="str">
        <f>Sites[[#This Row],[SOL'#]]</f>
        <v>SOL-10071</v>
      </c>
      <c r="D121" s="9">
        <v>8933</v>
      </c>
      <c r="E121" s="14">
        <v>9233.7610000000004</v>
      </c>
      <c r="F121" s="14">
        <f t="shared" si="11"/>
        <v>-300.76100000000042</v>
      </c>
      <c r="G121" s="15">
        <f t="shared" si="12"/>
        <v>-3.2571884847355306E-2</v>
      </c>
      <c r="H121" s="16">
        <v>10227.1</v>
      </c>
      <c r="I121" s="16">
        <f t="shared" si="13"/>
        <v>-1294.1000000000004</v>
      </c>
      <c r="J121" s="15">
        <f t="shared" si="14"/>
        <v>-0.12653635928073456</v>
      </c>
      <c r="K121" s="155"/>
      <c r="L121" s="158"/>
    </row>
    <row r="122" spans="1:19" ht="15.6">
      <c r="A122" s="24" t="str">
        <v>94-099 Waipahu St - PV</v>
      </c>
      <c r="B122" s="25" t="str">
        <v>HI</v>
      </c>
      <c r="C122" s="25" t="str">
        <f>Sites[[#This Row],[SOL'#]]</f>
        <v>SOL-10068</v>
      </c>
      <c r="D122" s="20">
        <v>10740</v>
      </c>
      <c r="E122" s="10">
        <v>8722.2450000000008</v>
      </c>
      <c r="F122" s="10">
        <f t="shared" si="11"/>
        <v>2017.7549999999992</v>
      </c>
      <c r="G122" s="11">
        <f t="shared" si="12"/>
        <v>0.23133436403127852</v>
      </c>
      <c r="H122" s="12">
        <v>10221.620000000001</v>
      </c>
      <c r="I122" s="12">
        <f t="shared" si="13"/>
        <v>518.3799999999992</v>
      </c>
      <c r="J122" s="13">
        <f t="shared" si="14"/>
        <v>5.0714074677008066E-2</v>
      </c>
      <c r="K122" s="53"/>
      <c r="L122" s="55"/>
    </row>
    <row r="123" spans="1:19" ht="15.6">
      <c r="A123" s="26" t="str">
        <v>TES Bird in Hand</v>
      </c>
      <c r="B123" s="27" t="str">
        <v>MD</v>
      </c>
      <c r="C123" s="27" t="str">
        <f>Sites[[#This Row],[SOL'#]]</f>
        <v>SOL-10092</v>
      </c>
      <c r="D123" s="9">
        <v>115692</v>
      </c>
      <c r="E123" s="14">
        <v>118500.2</v>
      </c>
      <c r="F123" s="14">
        <f>IF(AND(ISNUMBER(D123),ISNUMBER(E123)), D123-E123, "")</f>
        <v>-2808.1999999999971</v>
      </c>
      <c r="G123" s="15">
        <f t="shared" si="12"/>
        <v>-2.3697850298986814E-2</v>
      </c>
      <c r="H123" s="16">
        <v>101260.2</v>
      </c>
      <c r="I123" s="16">
        <f t="shared" si="13"/>
        <v>14431.800000000003</v>
      </c>
      <c r="J123" s="15">
        <f t="shared" si="14"/>
        <v>0.14252193853063694</v>
      </c>
      <c r="K123" s="155"/>
      <c r="L123" s="158"/>
    </row>
    <row r="124" spans="1:19" ht="15.6">
      <c r="A124" s="24" t="str">
        <v>TES Shortal Solar LLC</v>
      </c>
      <c r="B124" s="25" t="str">
        <v>MD</v>
      </c>
      <c r="C124" s="25" t="str">
        <f>Sites[[#This Row],[SOL'#]]</f>
        <v>SOL-10091</v>
      </c>
      <c r="D124" s="20">
        <v>121333</v>
      </c>
      <c r="E124" s="10">
        <v>89401.65</v>
      </c>
      <c r="F124" s="10">
        <f t="shared" si="11"/>
        <v>31931.350000000006</v>
      </c>
      <c r="G124" s="11">
        <f t="shared" si="12"/>
        <v>0.357167345345416</v>
      </c>
      <c r="H124" s="12">
        <v>137259.1</v>
      </c>
      <c r="I124" s="12">
        <f>IF(AND(ISNUMBER(D125),ISNUMBER(H124)), D125-H124, "")</f>
        <v>-123508.1</v>
      </c>
      <c r="J124" s="13">
        <f t="shared" si="14"/>
        <v>-0.89981720701942536</v>
      </c>
      <c r="K124" s="53" t="s">
        <v>23</v>
      </c>
      <c r="L124" s="55"/>
    </row>
    <row r="125" spans="1:19" ht="86.45">
      <c r="A125" s="26" t="str">
        <v>Coca Cola Aguadilla</v>
      </c>
      <c r="B125" s="27" t="str">
        <v>PR</v>
      </c>
      <c r="C125" s="27" t="str">
        <f>Sites[[#This Row],[SOL'#]]</f>
        <v>SOL-10072</v>
      </c>
      <c r="D125" s="9">
        <v>13751</v>
      </c>
      <c r="E125" s="14">
        <v>16023.16</v>
      </c>
      <c r="F125" s="14">
        <f>IF(AND(ISNUMBER(D125),ISNUMBER(E125)), D125-E125, "")</f>
        <v>-2272.16</v>
      </c>
      <c r="G125" s="15">
        <f t="shared" si="12"/>
        <v>-0.14180473764226281</v>
      </c>
      <c r="H125" s="16">
        <v>17587</v>
      </c>
      <c r="I125" s="16">
        <f>IF(AND(ISNUMBER(D125),ISNUMBER(H125)), D125-H125, "")</f>
        <v>-3836</v>
      </c>
      <c r="J125" s="15">
        <f t="shared" si="14"/>
        <v>-0.21811565360777846</v>
      </c>
      <c r="K125" s="155" t="s">
        <v>383</v>
      </c>
      <c r="L125" s="125" t="s">
        <v>384</v>
      </c>
      <c r="M125" s="115" t="s">
        <v>385</v>
      </c>
      <c r="N125" s="115" t="s">
        <v>386</v>
      </c>
      <c r="O125" s="115" t="s">
        <v>387</v>
      </c>
    </row>
    <row r="126" spans="1:19" ht="147.75" customHeight="1">
      <c r="A126" s="24" t="str">
        <v>Coca Cola Bayamon</v>
      </c>
      <c r="B126" s="25" t="str">
        <v>PR</v>
      </c>
      <c r="C126" s="25" t="str">
        <f>Sites[[#This Row],[SOL'#]]</f>
        <v>SOL-10073</v>
      </c>
      <c r="D126" s="20">
        <v>51547</v>
      </c>
      <c r="E126" s="10">
        <v>61693.16</v>
      </c>
      <c r="F126" s="10">
        <f t="shared" si="11"/>
        <v>-10146.160000000003</v>
      </c>
      <c r="G126" s="11">
        <f t="shared" si="12"/>
        <v>-0.16446166803580822</v>
      </c>
      <c r="H126" s="12">
        <v>67621</v>
      </c>
      <c r="I126" s="12">
        <f t="shared" si="13"/>
        <v>-16074</v>
      </c>
      <c r="J126" s="13">
        <f t="shared" si="14"/>
        <v>-0.23770722112953077</v>
      </c>
      <c r="K126" s="53" t="s">
        <v>388</v>
      </c>
      <c r="L126" s="124" t="s">
        <v>389</v>
      </c>
      <c r="M126" s="115" t="s">
        <v>168</v>
      </c>
      <c r="N126" s="115" t="s">
        <v>171</v>
      </c>
      <c r="O126" s="115" t="s">
        <v>390</v>
      </c>
      <c r="P126" s="126" t="s">
        <v>391</v>
      </c>
    </row>
    <row r="127" spans="1:19" ht="230.25" customHeight="1">
      <c r="A127" s="26" t="str">
        <v>St Francis School</v>
      </c>
      <c r="B127" s="27" t="str">
        <v>PR</v>
      </c>
      <c r="C127" s="27" t="str">
        <f>Sites[[#This Row],[SOL'#]]</f>
        <v>SOL-10034</v>
      </c>
      <c r="D127" s="9">
        <v>18916.75</v>
      </c>
      <c r="E127" s="14">
        <v>38308.879999999997</v>
      </c>
      <c r="F127" s="14">
        <f t="shared" si="11"/>
        <v>-19392.129999999997</v>
      </c>
      <c r="G127" s="15">
        <f t="shared" si="12"/>
        <v>-0.50620456666965985</v>
      </c>
      <c r="H127" s="16">
        <v>34141</v>
      </c>
      <c r="I127" s="16">
        <f t="shared" si="13"/>
        <v>-15224.25</v>
      </c>
      <c r="J127" s="15">
        <f t="shared" si="14"/>
        <v>-0.44592279077941477</v>
      </c>
      <c r="K127" s="155" t="s">
        <v>392</v>
      </c>
      <c r="L127" s="125" t="s">
        <v>393</v>
      </c>
      <c r="M127" s="115" t="s">
        <v>174</v>
      </c>
      <c r="N127" s="115" t="s">
        <v>175</v>
      </c>
      <c r="O127" s="115" t="s">
        <v>176</v>
      </c>
      <c r="P127" s="129" t="s">
        <v>177</v>
      </c>
      <c r="Q127" s="126" t="s">
        <v>178</v>
      </c>
      <c r="R127" s="126" t="s">
        <v>179</v>
      </c>
      <c r="S127" s="126" t="s">
        <v>181</v>
      </c>
    </row>
    <row r="128" spans="1:19" ht="36" customHeight="1">
      <c r="A128" s="24" t="str">
        <v>645 Summer Street - (Seaport Solar)</v>
      </c>
      <c r="B128" s="25" t="str">
        <v>MA</v>
      </c>
      <c r="C128" s="25" t="str">
        <f>Sites[[#This Row],[SOL'#]]</f>
        <v>SOL-10772</v>
      </c>
      <c r="D128" s="20">
        <v>25084</v>
      </c>
      <c r="E128" s="10">
        <v>1011.955</v>
      </c>
      <c r="F128" s="10">
        <f t="shared" si="11"/>
        <v>24072.044999999998</v>
      </c>
      <c r="G128" s="11">
        <f t="shared" si="12"/>
        <v>23.787663483060015</v>
      </c>
      <c r="H128" s="12">
        <v>34536.71</v>
      </c>
      <c r="I128" s="12">
        <f t="shared" si="13"/>
        <v>-9452.7099999999991</v>
      </c>
      <c r="J128" s="13">
        <f t="shared" si="14"/>
        <v>-0.27370036115194524</v>
      </c>
      <c r="K128" s="53" t="s">
        <v>182</v>
      </c>
      <c r="L128" s="124" t="s">
        <v>394</v>
      </c>
    </row>
    <row r="129" spans="1:14" ht="15.6">
      <c r="A129" s="26" t="str">
        <v>480 Sprague St</v>
      </c>
      <c r="B129" s="27" t="str">
        <v>MA</v>
      </c>
      <c r="C129" s="27" t="str">
        <f>Sites[[#This Row],[SOL'#]]</f>
        <v>SOL-10773</v>
      </c>
      <c r="D129" s="9">
        <v>47601</v>
      </c>
      <c r="E129" s="14">
        <v>83078.3</v>
      </c>
      <c r="F129" s="14">
        <f t="shared" si="11"/>
        <v>-35477.300000000003</v>
      </c>
      <c r="G129" s="15">
        <f t="shared" si="12"/>
        <v>-0.42703449637269902</v>
      </c>
      <c r="H129" s="16">
        <v>69078.28</v>
      </c>
      <c r="I129" s="16">
        <f t="shared" si="13"/>
        <v>-21477.279999999999</v>
      </c>
      <c r="J129" s="15">
        <f t="shared" si="14"/>
        <v>-0.31091219989843405</v>
      </c>
      <c r="K129" s="155" t="s">
        <v>23</v>
      </c>
      <c r="L129" s="158"/>
    </row>
    <row r="130" spans="1:14" ht="15.6">
      <c r="A130" s="24" t="str">
        <v>647 Summer Street - (Summer Street Solar)</v>
      </c>
      <c r="B130" s="25" t="str">
        <v>MA</v>
      </c>
      <c r="C130" s="25" t="str">
        <f>Sites[[#This Row],[SOL'#]]</f>
        <v>SOL-10764</v>
      </c>
      <c r="D130" s="20">
        <v>108656</v>
      </c>
      <c r="E130" s="10">
        <v>177508.6</v>
      </c>
      <c r="F130" s="10">
        <f t="shared" si="11"/>
        <v>-68852.600000000006</v>
      </c>
      <c r="G130" s="11">
        <f t="shared" si="12"/>
        <v>-0.38788317861782473</v>
      </c>
      <c r="H130" s="12">
        <v>165150.70000000001</v>
      </c>
      <c r="I130" s="12">
        <f t="shared" si="13"/>
        <v>-56494.700000000012</v>
      </c>
      <c r="J130" s="13">
        <f t="shared" si="14"/>
        <v>-0.34207968843002184</v>
      </c>
      <c r="K130" s="53" t="s">
        <v>23</v>
      </c>
      <c r="L130" s="55"/>
    </row>
    <row r="131" spans="1:14" ht="28.9">
      <c r="A131" s="26" t="str">
        <v>Rochester Technical School (Wakefield Street)</v>
      </c>
      <c r="B131" s="27" t="str">
        <v>NH</v>
      </c>
      <c r="C131" s="27" t="str">
        <f>Sites[[#This Row],[SOL'#]]</f>
        <v>SOL-10768</v>
      </c>
      <c r="D131" s="9">
        <v>11.875</v>
      </c>
      <c r="E131" s="14">
        <v>3731.25</v>
      </c>
      <c r="F131" s="14">
        <f t="shared" si="11"/>
        <v>-3719.375</v>
      </c>
      <c r="G131" s="15">
        <f t="shared" si="12"/>
        <v>-0.99681742043551091</v>
      </c>
      <c r="H131" s="16">
        <v>5983.02</v>
      </c>
      <c r="I131" s="16">
        <f t="shared" si="13"/>
        <v>-5971.1450000000004</v>
      </c>
      <c r="J131" s="15">
        <f t="shared" si="14"/>
        <v>-0.99801521639573321</v>
      </c>
      <c r="K131" s="155" t="s">
        <v>395</v>
      </c>
      <c r="L131" s="125" t="s">
        <v>396</v>
      </c>
    </row>
    <row r="132" spans="1:14" ht="15.6">
      <c r="A132" s="24" t="str">
        <v>McClelland ES</v>
      </c>
      <c r="B132" s="25" t="str">
        <v>NH</v>
      </c>
      <c r="C132" s="25" t="str">
        <f>Sites[[#This Row],[SOL'#]]</f>
        <v>SOL-10766</v>
      </c>
      <c r="D132" s="20">
        <v>230.28</v>
      </c>
      <c r="E132" s="10">
        <v>7317.84</v>
      </c>
      <c r="F132" s="10">
        <f t="shared" si="11"/>
        <v>-7087.56</v>
      </c>
      <c r="G132" s="11">
        <f t="shared" si="12"/>
        <v>-0.96853169787806237</v>
      </c>
      <c r="H132" s="12">
        <v>4468.46</v>
      </c>
      <c r="I132" s="12">
        <f t="shared" si="13"/>
        <v>-4238.18</v>
      </c>
      <c r="J132" s="13">
        <f t="shared" si="14"/>
        <v>-0.94846546684987676</v>
      </c>
      <c r="K132" s="120" t="s">
        <v>397</v>
      </c>
      <c r="L132" s="55"/>
    </row>
    <row r="133" spans="1:14" ht="15.6">
      <c r="A133" s="26" t="str">
        <v>Portland St</v>
      </c>
      <c r="B133" s="27" t="str">
        <v>NH</v>
      </c>
      <c r="C133" s="27" t="str">
        <f>Sites[[#This Row],[SOL'#]]</f>
        <v>SOL-10771</v>
      </c>
      <c r="D133" s="9">
        <v>11.065</v>
      </c>
      <c r="E133" s="14">
        <v>2981.48</v>
      </c>
      <c r="F133" s="14">
        <f t="shared" si="11"/>
        <v>-2970.415</v>
      </c>
      <c r="G133" s="15">
        <f t="shared" si="12"/>
        <v>-0.99628875591987875</v>
      </c>
      <c r="H133" s="16">
        <v>5298.56</v>
      </c>
      <c r="I133" s="16">
        <f t="shared" si="13"/>
        <v>-5287.4950000000008</v>
      </c>
      <c r="J133" s="15">
        <f t="shared" si="14"/>
        <v>-0.99791169676289415</v>
      </c>
      <c r="K133" s="155" t="s">
        <v>397</v>
      </c>
      <c r="L133" s="158"/>
    </row>
    <row r="134" spans="1:14" ht="28.9">
      <c r="A134" s="24" t="str">
        <v>Freshet Road -PHS</v>
      </c>
      <c r="B134" s="25" t="str">
        <v>NH</v>
      </c>
      <c r="C134" s="25" t="str">
        <f>Sites[[#This Row],[SOL'#]]</f>
        <v>SOL-10769</v>
      </c>
      <c r="D134" s="20">
        <v>722.75</v>
      </c>
      <c r="E134" s="10">
        <v>0</v>
      </c>
      <c r="F134" s="10">
        <f t="shared" si="11"/>
        <v>722.75</v>
      </c>
      <c r="G134" s="11" t="str">
        <f t="shared" si="12"/>
        <v/>
      </c>
      <c r="H134" s="12">
        <v>20375.439999999999</v>
      </c>
      <c r="I134" s="12">
        <f t="shared" si="13"/>
        <v>-19652.689999999999</v>
      </c>
      <c r="J134" s="13">
        <f t="shared" si="14"/>
        <v>-0.96452837337500441</v>
      </c>
      <c r="K134" s="53" t="s">
        <v>398</v>
      </c>
      <c r="L134" s="124" t="s">
        <v>399</v>
      </c>
    </row>
    <row r="135" spans="1:14" ht="28.9">
      <c r="A135" s="26" t="str">
        <v>Freshet Road - PWTP</v>
      </c>
      <c r="B135" s="27" t="str">
        <v>NH</v>
      </c>
      <c r="C135" s="27" t="str">
        <f>Sites[[#This Row],[SOL'#]]</f>
        <v>SOL-10770</v>
      </c>
      <c r="D135" s="9">
        <v>0</v>
      </c>
      <c r="E135" s="14">
        <v>0</v>
      </c>
      <c r="F135" s="14">
        <f t="shared" si="11"/>
        <v>0</v>
      </c>
      <c r="G135" s="15" t="str">
        <f t="shared" si="12"/>
        <v/>
      </c>
      <c r="H135" s="16">
        <v>15494</v>
      </c>
      <c r="I135" s="16">
        <f t="shared" si="13"/>
        <v>-15494</v>
      </c>
      <c r="J135" s="15">
        <f t="shared" si="14"/>
        <v>-1</v>
      </c>
      <c r="K135" s="155" t="s">
        <v>400</v>
      </c>
      <c r="L135" s="125" t="s">
        <v>187</v>
      </c>
    </row>
    <row r="136" spans="1:14" ht="28.9">
      <c r="A136" s="24" t="str">
        <v>Rochester Middle School (Brock Street)</v>
      </c>
      <c r="B136" s="25" t="str">
        <v>NH</v>
      </c>
      <c r="C136" s="25" t="str">
        <f>Sites[[#This Row],[SOL'#]]</f>
        <v>SOL-10765</v>
      </c>
      <c r="D136" s="20">
        <v>102.876</v>
      </c>
      <c r="E136" s="10">
        <v>19004.419999999998</v>
      </c>
      <c r="F136" s="10">
        <f t="shared" si="11"/>
        <v>-18901.543999999998</v>
      </c>
      <c r="G136" s="11">
        <f t="shared" si="12"/>
        <v>-0.99458673298106437</v>
      </c>
      <c r="H136" s="12">
        <v>14124.71</v>
      </c>
      <c r="I136" s="12">
        <f t="shared" si="13"/>
        <v>-14021.833999999999</v>
      </c>
      <c r="J136" s="13">
        <f t="shared" si="14"/>
        <v>-0.99271659382741306</v>
      </c>
      <c r="K136" s="53" t="s">
        <v>395</v>
      </c>
      <c r="L136" s="124" t="s">
        <v>396</v>
      </c>
    </row>
    <row r="137" spans="1:14" ht="28.9">
      <c r="A137" s="26" t="str">
        <v>Spaulding High School (Wakefield Street)</v>
      </c>
      <c r="B137" s="27" t="str">
        <v>NH</v>
      </c>
      <c r="C137" s="27" t="str">
        <f>Sites[[#This Row],[SOL'#]]</f>
        <v>SOL-10767</v>
      </c>
      <c r="D137" s="9">
        <v>40.939371039999997</v>
      </c>
      <c r="E137" s="14">
        <v>6833.77</v>
      </c>
      <c r="F137" s="14">
        <f t="shared" si="11"/>
        <v>-6792.8306289600005</v>
      </c>
      <c r="G137" s="15">
        <f t="shared" si="12"/>
        <v>-0.99400925535392615</v>
      </c>
      <c r="H137" s="16">
        <v>6078.35</v>
      </c>
      <c r="I137" s="16">
        <f t="shared" si="13"/>
        <v>-6037.4106289600004</v>
      </c>
      <c r="J137" s="15">
        <f t="shared" si="14"/>
        <v>-0.99326472298567869</v>
      </c>
      <c r="K137" s="155" t="s">
        <v>395</v>
      </c>
      <c r="L137" s="125" t="s">
        <v>401</v>
      </c>
    </row>
    <row r="138" spans="1:14" ht="57.6">
      <c r="A138" s="24" t="str">
        <v>Ridgeway #2</v>
      </c>
      <c r="B138" s="25" t="str">
        <v>NY</v>
      </c>
      <c r="C138" s="25" t="str">
        <f>Sites[[#This Row],[SOL'#]]</f>
        <v>SOL-11027</v>
      </c>
      <c r="D138" s="20">
        <v>178480</v>
      </c>
      <c r="E138" s="10">
        <v>0</v>
      </c>
      <c r="F138" s="10">
        <f t="shared" si="11"/>
        <v>178480</v>
      </c>
      <c r="G138" s="11" t="str">
        <f t="shared" si="12"/>
        <v/>
      </c>
      <c r="H138" s="12">
        <v>302945.3</v>
      </c>
      <c r="I138" s="12">
        <f t="shared" ref="I138:I169" si="15">IF(AND(ISNUMBER(D138),ISNUMBER(H138)), D138-H138, "")</f>
        <v>-124465.29999999999</v>
      </c>
      <c r="J138" s="13">
        <f t="shared" si="14"/>
        <v>-0.41085073774044356</v>
      </c>
      <c r="K138" s="53" t="s">
        <v>402</v>
      </c>
      <c r="L138" s="124" t="s">
        <v>403</v>
      </c>
      <c r="M138" s="115" t="s">
        <v>404</v>
      </c>
      <c r="N138" s="115" t="s">
        <v>405</v>
      </c>
    </row>
    <row r="139" spans="1:14" ht="43.15">
      <c r="A139" s="26" t="str">
        <v>Spencer</v>
      </c>
      <c r="B139" s="27" t="str">
        <v>NY</v>
      </c>
      <c r="C139" s="27" t="str">
        <f>Sites[[#This Row],[SOL'#]]</f>
        <v>SOL-11017</v>
      </c>
      <c r="D139" s="9">
        <v>506432</v>
      </c>
      <c r="E139" s="14">
        <v>0</v>
      </c>
      <c r="F139" s="14">
        <f t="shared" si="11"/>
        <v>506432</v>
      </c>
      <c r="G139" s="15" t="str">
        <f t="shared" si="12"/>
        <v/>
      </c>
      <c r="H139" s="16">
        <v>640780</v>
      </c>
      <c r="I139" s="16">
        <f t="shared" si="15"/>
        <v>-134348</v>
      </c>
      <c r="J139" s="15">
        <f t="shared" si="14"/>
        <v>-0.2096632229470333</v>
      </c>
      <c r="K139" s="155" t="s">
        <v>406</v>
      </c>
      <c r="L139" s="127" t="s">
        <v>407</v>
      </c>
      <c r="M139" s="115" t="s">
        <v>408</v>
      </c>
      <c r="N139" s="115" t="s">
        <v>409</v>
      </c>
    </row>
    <row r="140" spans="1:14" ht="15.6">
      <c r="A140" s="28" t="str">
        <v>Reisender</v>
      </c>
      <c r="B140" s="25" t="str">
        <v>NY</v>
      </c>
      <c r="C140" s="25" t="str">
        <f>Sites[[#This Row],[SOL'#]]</f>
        <v>SOL-10886</v>
      </c>
      <c r="D140" s="60">
        <v>164650</v>
      </c>
      <c r="E140" s="10">
        <v>227955.55900000001</v>
      </c>
      <c r="F140" s="10">
        <f t="shared" si="11"/>
        <v>-63305.559000000008</v>
      </c>
      <c r="G140" s="11">
        <f t="shared" si="12"/>
        <v>-0.27771009085152432</v>
      </c>
      <c r="H140" s="75">
        <v>200588.3</v>
      </c>
      <c r="I140" s="75">
        <f t="shared" si="15"/>
        <v>-35938.299999999988</v>
      </c>
      <c r="J140" s="13">
        <f t="shared" si="14"/>
        <v>-0.1791644876595494</v>
      </c>
      <c r="K140" s="63" t="s">
        <v>23</v>
      </c>
      <c r="L140" s="37"/>
    </row>
    <row r="141" spans="1:14" ht="15.6">
      <c r="A141" s="26" t="str">
        <v>Finney</v>
      </c>
      <c r="B141" s="27" t="str">
        <v>NY</v>
      </c>
      <c r="C141" s="27" t="str">
        <f>Sites[[#This Row],[SOL'#]]</f>
        <v>SOL-10999</v>
      </c>
      <c r="D141" s="74">
        <v>468670</v>
      </c>
      <c r="E141" s="14">
        <v>0</v>
      </c>
      <c r="F141" s="14">
        <f t="shared" si="11"/>
        <v>468670</v>
      </c>
      <c r="G141" s="15" t="str">
        <f t="shared" si="12"/>
        <v/>
      </c>
      <c r="H141" s="77">
        <v>630586.74</v>
      </c>
      <c r="I141" s="77">
        <f t="shared" si="15"/>
        <v>-161916.74</v>
      </c>
      <c r="J141" s="15">
        <f t="shared" si="14"/>
        <v>-0.25677155850121425</v>
      </c>
      <c r="K141" s="38" t="s">
        <v>23</v>
      </c>
      <c r="L141" s="17"/>
    </row>
    <row r="142" spans="1:14" ht="15.6">
      <c r="A142" s="24" t="str">
        <v>Davis Solar</v>
      </c>
      <c r="B142" s="25" t="str">
        <v>NY</v>
      </c>
      <c r="C142" s="25" t="str">
        <f>Sites[[#This Row],[SOL'#]]</f>
        <v>SOL-10958</v>
      </c>
      <c r="D142" s="20">
        <v>197368</v>
      </c>
      <c r="E142" s="10">
        <v>259655</v>
      </c>
      <c r="F142" s="10">
        <f t="shared" si="11"/>
        <v>-62287</v>
      </c>
      <c r="G142" s="11">
        <f t="shared" si="12"/>
        <v>-0.23988369182184052</v>
      </c>
      <c r="H142" s="12">
        <v>249300</v>
      </c>
      <c r="I142" s="12">
        <f t="shared" si="15"/>
        <v>-51932</v>
      </c>
      <c r="J142" s="13">
        <f t="shared" si="14"/>
        <v>-0.20831127156036902</v>
      </c>
      <c r="K142" s="53" t="s">
        <v>23</v>
      </c>
      <c r="L142" s="124"/>
      <c r="M142" s="115"/>
      <c r="N142" s="115"/>
    </row>
    <row r="143" spans="1:14" ht="15.6">
      <c r="A143" s="26" t="str">
        <v>Genesee</v>
      </c>
      <c r="B143" s="27" t="str">
        <v>NY</v>
      </c>
      <c r="C143" s="27" t="str">
        <f>Sites[[#This Row],[SOL'#]]</f>
        <v>SOL-10951</v>
      </c>
      <c r="D143" s="74">
        <v>203639.4</v>
      </c>
      <c r="E143" s="14">
        <v>0</v>
      </c>
      <c r="F143" s="14">
        <f t="shared" si="11"/>
        <v>203639.4</v>
      </c>
      <c r="G143" s="15" t="str">
        <f t="shared" si="12"/>
        <v/>
      </c>
      <c r="H143" s="77">
        <v>365270.6</v>
      </c>
      <c r="I143" s="77">
        <f t="shared" si="15"/>
        <v>-161631.19999999998</v>
      </c>
      <c r="J143" s="15">
        <f t="shared" si="14"/>
        <v>-0.4424971514269147</v>
      </c>
      <c r="K143" s="38" t="s">
        <v>410</v>
      </c>
      <c r="L143" s="129" t="s">
        <v>411</v>
      </c>
    </row>
    <row r="144" spans="1:14" ht="15.6">
      <c r="A144" s="24" t="str">
        <v>Landau I</v>
      </c>
      <c r="B144" s="25" t="str">
        <v>NY</v>
      </c>
      <c r="C144" s="25" t="str">
        <f>Sites[[#This Row],[SOL'#]]</f>
        <v>SOL-10891</v>
      </c>
      <c r="D144" s="60">
        <v>210150</v>
      </c>
      <c r="E144" s="10">
        <v>0</v>
      </c>
      <c r="F144" s="10">
        <f t="shared" si="11"/>
        <v>210150</v>
      </c>
      <c r="G144" s="11" t="str">
        <f t="shared" si="12"/>
        <v/>
      </c>
      <c r="H144" s="75">
        <v>248827.5</v>
      </c>
      <c r="I144" s="75">
        <f t="shared" si="15"/>
        <v>-38677.5</v>
      </c>
      <c r="J144" s="13">
        <f t="shared" si="14"/>
        <v>-0.15543900895198481</v>
      </c>
      <c r="K144" s="63"/>
      <c r="L144" s="37"/>
    </row>
    <row r="145" spans="1:14" ht="15.6">
      <c r="A145" s="26" t="str">
        <v>Landau II</v>
      </c>
      <c r="B145" s="27" t="str">
        <v>NY</v>
      </c>
      <c r="C145" s="27" t="str">
        <f>Sites[[#This Row],[SOL'#]]</f>
        <v>SOL-10895</v>
      </c>
      <c r="D145" s="74">
        <v>390900</v>
      </c>
      <c r="E145" s="14">
        <v>0</v>
      </c>
      <c r="F145" s="14">
        <f t="shared" si="11"/>
        <v>390900</v>
      </c>
      <c r="G145" s="15" t="str">
        <f t="shared" si="12"/>
        <v/>
      </c>
      <c r="H145" s="77">
        <v>529946.01</v>
      </c>
      <c r="I145" s="77">
        <f t="shared" si="15"/>
        <v>-139046.01</v>
      </c>
      <c r="J145" s="15">
        <f t="shared" si="14"/>
        <v>-0.26237769013488754</v>
      </c>
      <c r="K145" s="38" t="s">
        <v>23</v>
      </c>
      <c r="L145" s="17"/>
    </row>
    <row r="146" spans="1:14" ht="15.6">
      <c r="A146" s="24" t="str">
        <v>New Beginnings</v>
      </c>
      <c r="B146" s="25" t="str">
        <v>NY</v>
      </c>
      <c r="C146" s="25" t="str">
        <f>Sites[[#This Row],[SOL'#]]</f>
        <v>SOL-10890</v>
      </c>
      <c r="D146" s="60">
        <v>190730</v>
      </c>
      <c r="E146" s="10">
        <v>265677.15000000002</v>
      </c>
      <c r="F146" s="10">
        <f t="shared" ref="F146:F187" si="16">IF(AND(ISNUMBER(D146),ISNUMBER(E146)), D146-E146, "")</f>
        <v>-74947.150000000023</v>
      </c>
      <c r="G146" s="11">
        <f t="shared" ref="G146:G163" si="17">IFERROR(F146/E146, "")</f>
        <v>-0.28209859221991812</v>
      </c>
      <c r="H146" s="75">
        <v>247191.04000000001</v>
      </c>
      <c r="I146" s="75">
        <f t="shared" si="15"/>
        <v>-56461.040000000008</v>
      </c>
      <c r="J146" s="13">
        <f t="shared" ref="J146:J195" si="18">IFERROR(I146/H146, "")</f>
        <v>-0.22841054433040942</v>
      </c>
      <c r="K146" s="63" t="s">
        <v>23</v>
      </c>
      <c r="L146" s="37"/>
    </row>
    <row r="147" spans="1:14" ht="15.6">
      <c r="A147" s="26" t="str">
        <v>Bullitt Farm Solar, LLC</v>
      </c>
      <c r="B147" s="27" t="str">
        <v>NY</v>
      </c>
      <c r="C147" s="27" t="str">
        <f>Sites[[#This Row],[SOL'#]]</f>
        <v>SOL-10998</v>
      </c>
      <c r="D147" s="74">
        <v>239278</v>
      </c>
      <c r="E147" s="14">
        <v>412605.85</v>
      </c>
      <c r="F147" s="14">
        <f t="shared" si="16"/>
        <v>-173327.84999999998</v>
      </c>
      <c r="G147" s="15">
        <f t="shared" si="17"/>
        <v>-0.42008093195964136</v>
      </c>
      <c r="H147" s="77">
        <v>538628.5</v>
      </c>
      <c r="I147" s="77">
        <f t="shared" si="15"/>
        <v>-299350.5</v>
      </c>
      <c r="J147" s="15">
        <f t="shared" si="18"/>
        <v>-0.555764316221663</v>
      </c>
      <c r="K147" s="38" t="s">
        <v>23</v>
      </c>
      <c r="L147" s="17"/>
    </row>
    <row r="148" spans="1:14" ht="28.9">
      <c r="A148" s="24" t="str">
        <v>Brodhead Solar, LLC</v>
      </c>
      <c r="B148" s="25" t="str">
        <v>NY</v>
      </c>
      <c r="C148" s="25" t="str">
        <f>Sites[[#This Row],[SOL'#]]</f>
        <v>SOL-10899</v>
      </c>
      <c r="D148" s="60">
        <v>266505</v>
      </c>
      <c r="E148" s="10">
        <v>276256.89</v>
      </c>
      <c r="F148" s="10">
        <f t="shared" si="16"/>
        <v>-9751.890000000014</v>
      </c>
      <c r="G148" s="11">
        <f t="shared" si="17"/>
        <v>-3.530007885052211E-2</v>
      </c>
      <c r="H148" s="75">
        <v>258251.13</v>
      </c>
      <c r="I148" s="75">
        <f t="shared" si="15"/>
        <v>8253.8699999999953</v>
      </c>
      <c r="J148" s="13">
        <f t="shared" si="18"/>
        <v>3.1960634596255186E-2</v>
      </c>
      <c r="K148" s="63" t="s">
        <v>412</v>
      </c>
      <c r="L148" s="124" t="s">
        <v>413</v>
      </c>
      <c r="M148" s="115" t="s">
        <v>414</v>
      </c>
    </row>
    <row r="149" spans="1:14" ht="15.6">
      <c r="A149" s="26" t="str">
        <v>Svenski</v>
      </c>
      <c r="B149" s="27" t="str">
        <v>NY</v>
      </c>
      <c r="C149" s="27" t="str">
        <f>Sites[[#This Row],[SOL'#]]</f>
        <v>SOL-10894</v>
      </c>
      <c r="D149" s="74">
        <v>190306</v>
      </c>
      <c r="E149" s="14">
        <v>0</v>
      </c>
      <c r="F149" s="14">
        <f t="shared" si="16"/>
        <v>190306</v>
      </c>
      <c r="G149" s="15" t="str">
        <f t="shared" si="17"/>
        <v/>
      </c>
      <c r="H149" s="77">
        <v>239078.53</v>
      </c>
      <c r="I149" s="77">
        <f t="shared" si="15"/>
        <v>-48772.53</v>
      </c>
      <c r="J149" s="15">
        <f t="shared" si="18"/>
        <v>-0.20400213268836812</v>
      </c>
      <c r="K149" s="38" t="s">
        <v>23</v>
      </c>
      <c r="L149" s="17"/>
    </row>
    <row r="150" spans="1:14" ht="43.15">
      <c r="A150" s="24" t="str">
        <v>Bantam</v>
      </c>
      <c r="B150" s="25" t="str">
        <v>NY</v>
      </c>
      <c r="C150" s="25" t="str">
        <f>Sites[[#This Row],[SOL'#]]</f>
        <v>SOL-10986</v>
      </c>
      <c r="D150" s="60">
        <v>72770</v>
      </c>
      <c r="E150" s="10">
        <v>0</v>
      </c>
      <c r="F150" s="10">
        <f t="shared" si="16"/>
        <v>72770</v>
      </c>
      <c r="G150" s="11" t="str">
        <f t="shared" si="17"/>
        <v/>
      </c>
      <c r="H150" s="75">
        <v>574351.30000000005</v>
      </c>
      <c r="I150" s="75">
        <f t="shared" si="15"/>
        <v>-501581.30000000005</v>
      </c>
      <c r="J150" s="13">
        <f t="shared" si="18"/>
        <v>-0.87330053923443718</v>
      </c>
      <c r="K150" s="63" t="s">
        <v>415</v>
      </c>
      <c r="L150" s="124" t="s">
        <v>416</v>
      </c>
      <c r="M150" s="115" t="s">
        <v>417</v>
      </c>
    </row>
    <row r="151" spans="1:14" ht="15.6">
      <c r="A151" s="26" t="str">
        <v>Bogart</v>
      </c>
      <c r="B151" s="27" t="str">
        <v>NY</v>
      </c>
      <c r="C151" s="27" t="str">
        <f>Sites[[#This Row],[SOL'#]]</f>
        <v>SOL-10887</v>
      </c>
      <c r="D151" s="74">
        <v>212200</v>
      </c>
      <c r="E151" s="14">
        <v>234482.041</v>
      </c>
      <c r="F151" s="14">
        <f t="shared" si="16"/>
        <v>-22282.040999999997</v>
      </c>
      <c r="G151" s="15">
        <f t="shared" si="17"/>
        <v>-9.5026642146977897E-2</v>
      </c>
      <c r="H151" s="77">
        <v>227697.5</v>
      </c>
      <c r="I151" s="77">
        <f t="shared" si="15"/>
        <v>-15497.5</v>
      </c>
      <c r="J151" s="15">
        <f t="shared" si="18"/>
        <v>-6.8061792509799185E-2</v>
      </c>
      <c r="K151" s="38" t="s">
        <v>418</v>
      </c>
      <c r="L151" s="129" t="s">
        <v>211</v>
      </c>
    </row>
    <row r="152" spans="1:14" ht="28.9">
      <c r="A152" s="24" t="str">
        <v>Dubois</v>
      </c>
      <c r="B152" s="25" t="str">
        <v>NY</v>
      </c>
      <c r="C152" s="25" t="str">
        <f>Sites[[#This Row],[SOL'#]]</f>
        <v>SOL-10892</v>
      </c>
      <c r="D152" s="60">
        <v>180310</v>
      </c>
      <c r="E152" s="10">
        <v>0</v>
      </c>
      <c r="F152" s="10">
        <f t="shared" si="16"/>
        <v>180310</v>
      </c>
      <c r="G152" s="11" t="str">
        <f t="shared" si="17"/>
        <v/>
      </c>
      <c r="H152" s="75"/>
      <c r="I152" s="75" t="str">
        <f t="shared" si="15"/>
        <v/>
      </c>
      <c r="J152" s="13" t="str">
        <f t="shared" si="18"/>
        <v/>
      </c>
      <c r="K152" s="63" t="s">
        <v>419</v>
      </c>
      <c r="L152" s="124" t="s">
        <v>420</v>
      </c>
    </row>
    <row r="153" spans="1:14" ht="15.6">
      <c r="A153" s="26" t="str">
        <v>Salt Point</v>
      </c>
      <c r="B153" s="27" t="str">
        <v>NY</v>
      </c>
      <c r="C153" s="27" t="str">
        <f>Sites[[#This Row],[SOL'#]]</f>
        <v>SOL-10888</v>
      </c>
      <c r="D153" s="74">
        <v>218340</v>
      </c>
      <c r="E153" s="14">
        <v>0</v>
      </c>
      <c r="F153" s="14">
        <f t="shared" si="16"/>
        <v>218340</v>
      </c>
      <c r="G153" s="15" t="str">
        <f t="shared" si="17"/>
        <v/>
      </c>
      <c r="H153" s="77">
        <v>214083.4</v>
      </c>
      <c r="I153" s="77">
        <f t="shared" si="15"/>
        <v>4256.6000000000058</v>
      </c>
      <c r="J153" s="15">
        <f t="shared" si="18"/>
        <v>1.988290544712951E-2</v>
      </c>
      <c r="K153" s="155" t="s">
        <v>421</v>
      </c>
      <c r="L153" s="126" t="s">
        <v>422</v>
      </c>
    </row>
    <row r="154" spans="1:14" ht="40.5" customHeight="1">
      <c r="A154" s="24" t="str">
        <v>Wheatland 2A</v>
      </c>
      <c r="B154" s="25" t="str">
        <v>NY</v>
      </c>
      <c r="C154" s="25" t="str">
        <f>Sites[[#This Row],[SOL'#]]</f>
        <v>SOL-10971</v>
      </c>
      <c r="D154" s="60">
        <v>318700</v>
      </c>
      <c r="E154" s="10">
        <v>0</v>
      </c>
      <c r="F154" s="10">
        <f t="shared" si="16"/>
        <v>318700</v>
      </c>
      <c r="G154" s="11" t="str">
        <f t="shared" si="17"/>
        <v/>
      </c>
      <c r="H154" s="75">
        <v>408837.7</v>
      </c>
      <c r="I154" s="75">
        <f t="shared" si="15"/>
        <v>-90137.700000000012</v>
      </c>
      <c r="J154" s="13">
        <f t="shared" si="18"/>
        <v>-0.22047306302721106</v>
      </c>
      <c r="K154" s="63" t="s">
        <v>423</v>
      </c>
      <c r="L154" s="124" t="s">
        <v>217</v>
      </c>
    </row>
    <row r="155" spans="1:14" ht="53.25" customHeight="1">
      <c r="A155" s="26" t="str">
        <v>Wheatland 2B</v>
      </c>
      <c r="B155" s="27" t="str">
        <v>NY</v>
      </c>
      <c r="C155" s="27" t="str">
        <f>Sites[[#This Row],[SOL'#]]</f>
        <v>SOL-10961</v>
      </c>
      <c r="D155" s="74">
        <v>320430</v>
      </c>
      <c r="E155" s="14">
        <v>0</v>
      </c>
      <c r="F155" s="14">
        <f t="shared" si="16"/>
        <v>320430</v>
      </c>
      <c r="G155" s="15" t="str">
        <f t="shared" si="17"/>
        <v/>
      </c>
      <c r="H155" s="77">
        <v>403613.2</v>
      </c>
      <c r="I155" s="77">
        <f t="shared" si="15"/>
        <v>-83183.200000000012</v>
      </c>
      <c r="J155" s="15">
        <f t="shared" si="18"/>
        <v>-0.20609633183453863</v>
      </c>
      <c r="K155" s="38" t="s">
        <v>424</v>
      </c>
      <c r="L155" s="129" t="s">
        <v>425</v>
      </c>
    </row>
    <row r="156" spans="1:14" ht="61.5" customHeight="1">
      <c r="A156" s="24" t="str">
        <v>Brickchurch</v>
      </c>
      <c r="B156" s="25" t="str">
        <v>NY</v>
      </c>
      <c r="C156" s="25" t="str">
        <f>Sites[[#This Row],[SOL'#]]</f>
        <v>SOL-10889</v>
      </c>
      <c r="D156" s="60">
        <v>85870</v>
      </c>
      <c r="E156" s="10">
        <v>136599.924</v>
      </c>
      <c r="F156" s="10">
        <f t="shared" si="16"/>
        <v>-50729.923999999999</v>
      </c>
      <c r="G156" s="11">
        <f t="shared" si="17"/>
        <v>-0.37137593136581831</v>
      </c>
      <c r="H156" s="75">
        <v>119208.74</v>
      </c>
      <c r="I156" s="75">
        <f t="shared" si="15"/>
        <v>-33338.740000000005</v>
      </c>
      <c r="J156" s="13">
        <f t="shared" si="18"/>
        <v>-0.27966691032889035</v>
      </c>
      <c r="K156" s="63" t="s">
        <v>426</v>
      </c>
      <c r="L156" s="124" t="s">
        <v>427</v>
      </c>
      <c r="M156" s="115" t="s">
        <v>428</v>
      </c>
    </row>
    <row r="157" spans="1:14" ht="28.9">
      <c r="A157" s="26" t="str">
        <v>McCarthy Solar</v>
      </c>
      <c r="B157" s="27" t="str">
        <v>NY</v>
      </c>
      <c r="C157" s="27" t="str">
        <f>Sites[[#This Row],[SOL'#]]</f>
        <v>SOL-10992</v>
      </c>
      <c r="D157" s="74">
        <v>226670</v>
      </c>
      <c r="E157" s="14">
        <v>0</v>
      </c>
      <c r="F157" s="14">
        <f t="shared" si="16"/>
        <v>226670</v>
      </c>
      <c r="G157" s="15" t="str">
        <f t="shared" si="17"/>
        <v/>
      </c>
      <c r="H157" s="77">
        <v>243726.4</v>
      </c>
      <c r="I157" s="77">
        <f t="shared" si="15"/>
        <v>-17056.399999999994</v>
      </c>
      <c r="J157" s="15">
        <f t="shared" si="18"/>
        <v>-6.9981750027900108E-2</v>
      </c>
      <c r="K157" s="38" t="s">
        <v>429</v>
      </c>
      <c r="L157" s="129" t="s">
        <v>430</v>
      </c>
    </row>
    <row r="158" spans="1:14" ht="96.75" customHeight="1">
      <c r="A158" s="24" t="str">
        <v>Costanza</v>
      </c>
      <c r="B158" s="25" t="str">
        <v>NY</v>
      </c>
      <c r="C158" s="25" t="str">
        <f>Sites[[#This Row],[SOL'#]]</f>
        <v>SOL-10907</v>
      </c>
      <c r="D158" s="60">
        <v>160740</v>
      </c>
      <c r="E158" s="10">
        <v>0</v>
      </c>
      <c r="F158" s="10">
        <f t="shared" si="16"/>
        <v>160740</v>
      </c>
      <c r="G158" s="11" t="str">
        <f t="shared" si="17"/>
        <v/>
      </c>
      <c r="H158" s="75">
        <v>235079.29</v>
      </c>
      <c r="I158" s="75">
        <f t="shared" si="15"/>
        <v>-74339.290000000008</v>
      </c>
      <c r="J158" s="13">
        <f t="shared" si="18"/>
        <v>-0.31623070666922637</v>
      </c>
      <c r="K158" s="63" t="s">
        <v>431</v>
      </c>
      <c r="L158" s="124" t="s">
        <v>432</v>
      </c>
      <c r="M158" s="115" t="s">
        <v>433</v>
      </c>
      <c r="N158" s="115" t="s">
        <v>434</v>
      </c>
    </row>
    <row r="159" spans="1:14" ht="15.6">
      <c r="A159" s="26" t="str">
        <v>Lockenhurst Pond</v>
      </c>
      <c r="B159" s="27" t="str">
        <v>NY</v>
      </c>
      <c r="C159" s="27" t="str">
        <f>Sites[[#This Row],[SOL'#]]</f>
        <v>SOL-11000</v>
      </c>
      <c r="D159" s="74">
        <v>235272</v>
      </c>
      <c r="E159" s="14">
        <v>255015.6</v>
      </c>
      <c r="F159" s="14">
        <f t="shared" si="16"/>
        <v>-19743.600000000006</v>
      </c>
      <c r="G159" s="15">
        <f t="shared" si="17"/>
        <v>-7.7421146000479987E-2</v>
      </c>
      <c r="H159" s="77">
        <v>218702</v>
      </c>
      <c r="I159" s="77">
        <f t="shared" si="15"/>
        <v>16570</v>
      </c>
      <c r="J159" s="15">
        <f t="shared" si="18"/>
        <v>7.5765196477398475E-2</v>
      </c>
      <c r="K159" s="38"/>
      <c r="L159" s="17"/>
    </row>
    <row r="160" spans="1:14" ht="15.6">
      <c r="A160" s="24" t="str">
        <v>Drinkwater</v>
      </c>
      <c r="B160" s="25" t="str">
        <v>NY</v>
      </c>
      <c r="C160" s="25" t="str">
        <f>Sites[[#This Row],[SOL'#]]</f>
        <v>SOL-10896</v>
      </c>
      <c r="D160" s="60">
        <v>135100</v>
      </c>
      <c r="E160" s="10">
        <v>0</v>
      </c>
      <c r="F160" s="10">
        <f t="shared" si="16"/>
        <v>135100</v>
      </c>
      <c r="G160" s="11" t="str">
        <f t="shared" si="17"/>
        <v/>
      </c>
      <c r="H160" s="75">
        <v>227553.66</v>
      </c>
      <c r="I160" s="75">
        <f t="shared" si="15"/>
        <v>-92453.66</v>
      </c>
      <c r="J160" s="13">
        <f t="shared" si="18"/>
        <v>-0.40629388250665799</v>
      </c>
      <c r="K160" s="63" t="s">
        <v>23</v>
      </c>
      <c r="L160" s="37"/>
    </row>
    <row r="161" spans="1:13" ht="43.15">
      <c r="A161" s="26" t="str">
        <v>Altamont</v>
      </c>
      <c r="B161" s="27" t="str">
        <v>NY</v>
      </c>
      <c r="C161" s="27" t="str">
        <f>Sites[[#This Row],[SOL'#]]</f>
        <v>SOL-11085</v>
      </c>
      <c r="D161" s="74">
        <v>381372</v>
      </c>
      <c r="E161" s="14">
        <v>496237.5</v>
      </c>
      <c r="F161" s="14">
        <f t="shared" si="16"/>
        <v>-114865.5</v>
      </c>
      <c r="G161" s="15">
        <f t="shared" si="17"/>
        <v>-0.23147283306884303</v>
      </c>
      <c r="H161" s="77">
        <v>452003.8</v>
      </c>
      <c r="I161" s="77">
        <f t="shared" si="15"/>
        <v>-70631.799999999988</v>
      </c>
      <c r="J161" s="15">
        <f t="shared" si="18"/>
        <v>-0.15626373052615927</v>
      </c>
      <c r="K161" s="38" t="s">
        <v>435</v>
      </c>
      <c r="L161" s="130" t="s">
        <v>436</v>
      </c>
      <c r="M161" s="115" t="s">
        <v>437</v>
      </c>
    </row>
    <row r="162" spans="1:13" ht="15.6">
      <c r="A162" s="24" t="str">
        <v>Krumkill North</v>
      </c>
      <c r="B162" s="25" t="str">
        <v>NY</v>
      </c>
      <c r="C162" s="25" t="str">
        <f>Sites[[#This Row],[SOL'#]]</f>
        <v>SOL-11086</v>
      </c>
      <c r="D162" s="60">
        <v>331760</v>
      </c>
      <c r="E162" s="10">
        <v>482100.4</v>
      </c>
      <c r="F162" s="10">
        <f t="shared" si="16"/>
        <v>-150340.40000000002</v>
      </c>
      <c r="G162" s="11">
        <f t="shared" si="17"/>
        <v>-0.31184458672923737</v>
      </c>
      <c r="H162" s="75">
        <v>577126.69999999995</v>
      </c>
      <c r="I162" s="75">
        <f t="shared" si="15"/>
        <v>-245366.69999999995</v>
      </c>
      <c r="J162" s="13">
        <f t="shared" si="18"/>
        <v>-0.42515222393973451</v>
      </c>
      <c r="K162" s="63" t="s">
        <v>23</v>
      </c>
      <c r="L162" s="37"/>
    </row>
    <row r="163" spans="1:13" ht="15.6">
      <c r="A163" s="26" t="str">
        <v>Krumkill South</v>
      </c>
      <c r="B163" s="27" t="str">
        <v>NY</v>
      </c>
      <c r="C163" s="27" t="str">
        <f>Sites[[#This Row],[SOL'#]]</f>
        <v>SOL-11087</v>
      </c>
      <c r="D163" s="74">
        <v>308273</v>
      </c>
      <c r="E163" s="14">
        <v>399017.4</v>
      </c>
      <c r="F163" s="14">
        <f t="shared" si="16"/>
        <v>-90744.400000000023</v>
      </c>
      <c r="G163" s="15">
        <f t="shared" si="17"/>
        <v>-0.22741965638591205</v>
      </c>
      <c r="H163" s="77">
        <v>452450.3</v>
      </c>
      <c r="I163" s="77">
        <f t="shared" si="15"/>
        <v>-144177.29999999999</v>
      </c>
      <c r="J163" s="15">
        <f t="shared" si="18"/>
        <v>-0.31865886706230495</v>
      </c>
      <c r="K163" s="38" t="s">
        <v>23</v>
      </c>
      <c r="L163" s="17"/>
    </row>
    <row r="164" spans="1:13" ht="15.6">
      <c r="A164" s="24" t="str">
        <v>X092</v>
      </c>
      <c r="B164" s="25" t="str">
        <v>NY</v>
      </c>
      <c r="C164" s="25" t="str">
        <f>Sites[[#This Row],[SOL'#]]</f>
        <v>SOL-11189</v>
      </c>
      <c r="D164" s="60"/>
      <c r="E164" s="10"/>
      <c r="F164" s="10" t="str">
        <f t="shared" si="16"/>
        <v/>
      </c>
      <c r="G164" s="11" t="str">
        <f t="shared" ref="G164:G189" si="19">IFERROR(F164/E164, "")</f>
        <v/>
      </c>
      <c r="H164" s="75"/>
      <c r="I164" s="75" t="str">
        <f t="shared" si="15"/>
        <v/>
      </c>
      <c r="J164" s="13" t="str">
        <f t="shared" si="18"/>
        <v/>
      </c>
      <c r="K164" s="63"/>
      <c r="L164" s="37"/>
    </row>
    <row r="165" spans="1:13" ht="28.9">
      <c r="A165" s="26" t="str">
        <v>X093</v>
      </c>
      <c r="B165" s="27" t="str">
        <v>NY</v>
      </c>
      <c r="C165" s="27" t="str">
        <f>Sites[[#This Row],[SOL'#]]</f>
        <v>SOL-10932</v>
      </c>
      <c r="D165" s="74">
        <v>5962.3918886912597</v>
      </c>
      <c r="E165" s="14">
        <v>0</v>
      </c>
      <c r="F165" s="14">
        <f t="shared" si="16"/>
        <v>5962.3918886912597</v>
      </c>
      <c r="G165" s="15" t="str">
        <f t="shared" si="19"/>
        <v/>
      </c>
      <c r="H165" s="77">
        <v>0</v>
      </c>
      <c r="I165" s="77">
        <f t="shared" si="15"/>
        <v>5962.3918886912597</v>
      </c>
      <c r="J165" s="15" t="str">
        <f t="shared" si="18"/>
        <v/>
      </c>
      <c r="K165" s="38" t="s">
        <v>438</v>
      </c>
      <c r="L165" s="130" t="s">
        <v>439</v>
      </c>
      <c r="M165" s="115" t="s">
        <v>440</v>
      </c>
    </row>
    <row r="166" spans="1:13" ht="15.6">
      <c r="A166" s="24" t="str">
        <v>X095</v>
      </c>
      <c r="B166" s="25" t="str">
        <v>NY</v>
      </c>
      <c r="C166" s="25" t="str">
        <f>Sites[[#This Row],[SOL'#]]</f>
        <v>SOL-10929</v>
      </c>
      <c r="D166" s="60">
        <v>7581.9853172110597</v>
      </c>
      <c r="E166" s="10">
        <v>0</v>
      </c>
      <c r="F166" s="10">
        <f t="shared" si="16"/>
        <v>7581.9853172110597</v>
      </c>
      <c r="G166" s="11" t="str">
        <f t="shared" si="19"/>
        <v/>
      </c>
      <c r="H166" s="75">
        <v>0</v>
      </c>
      <c r="I166" s="75">
        <f t="shared" si="15"/>
        <v>7581.9853172110597</v>
      </c>
      <c r="J166" s="13" t="str">
        <f t="shared" si="18"/>
        <v/>
      </c>
      <c r="K166" s="63" t="s">
        <v>231</v>
      </c>
      <c r="L166" s="124" t="s">
        <v>232</v>
      </c>
    </row>
    <row r="167" spans="1:13" ht="15.6">
      <c r="A167" s="26" t="str">
        <v>X181</v>
      </c>
      <c r="B167" s="27" t="str">
        <v>NY</v>
      </c>
      <c r="C167" s="27" t="str">
        <f>Sites[[#This Row],[SOL'#]]</f>
        <v>SOL-10428</v>
      </c>
      <c r="D167" s="74">
        <v>12161.18685</v>
      </c>
      <c r="E167" s="14">
        <v>0</v>
      </c>
      <c r="F167" s="14">
        <f t="shared" si="16"/>
        <v>12161.18685</v>
      </c>
      <c r="G167" s="15" t="str">
        <f t="shared" si="19"/>
        <v/>
      </c>
      <c r="H167" s="77">
        <v>0</v>
      </c>
      <c r="I167" s="77">
        <f t="shared" si="15"/>
        <v>12161.18685</v>
      </c>
      <c r="J167" s="15" t="str">
        <f t="shared" si="18"/>
        <v/>
      </c>
      <c r="K167" s="38" t="s">
        <v>233</v>
      </c>
      <c r="L167" s="126" t="s">
        <v>234</v>
      </c>
    </row>
    <row r="168" spans="1:13" ht="15.6">
      <c r="A168" s="24" t="str">
        <v>X415</v>
      </c>
      <c r="B168" s="25" t="str">
        <v>NY</v>
      </c>
      <c r="C168" s="25" t="str">
        <f>Sites[[#This Row],[SOL'#]]</f>
        <v>SOL-10429</v>
      </c>
      <c r="D168" s="60">
        <v>6531.152341</v>
      </c>
      <c r="E168" s="10">
        <v>0</v>
      </c>
      <c r="F168" s="10">
        <f t="shared" si="16"/>
        <v>6531.152341</v>
      </c>
      <c r="G168" s="11" t="str">
        <f t="shared" si="19"/>
        <v/>
      </c>
      <c r="H168" s="75">
        <v>0</v>
      </c>
      <c r="I168" s="75">
        <f t="shared" si="15"/>
        <v>6531.152341</v>
      </c>
      <c r="J168" s="13" t="str">
        <f t="shared" si="18"/>
        <v/>
      </c>
      <c r="K168" s="63" t="s">
        <v>235</v>
      </c>
      <c r="L168" s="124" t="s">
        <v>236</v>
      </c>
    </row>
    <row r="169" spans="1:13" ht="15.6">
      <c r="A169" s="26" t="str">
        <v>K198</v>
      </c>
      <c r="B169" s="27" t="str">
        <v>NY</v>
      </c>
      <c r="C169" s="27" t="str">
        <f>Sites[[#This Row],[SOL'#]]</f>
        <v>SOL-10930</v>
      </c>
      <c r="D169" s="74">
        <v>8238.6279296875</v>
      </c>
      <c r="E169" s="14">
        <v>0</v>
      </c>
      <c r="F169" s="14">
        <f t="shared" si="16"/>
        <v>8238.6279296875</v>
      </c>
      <c r="G169" s="15" t="str">
        <f t="shared" si="19"/>
        <v/>
      </c>
      <c r="H169" s="77">
        <v>0</v>
      </c>
      <c r="I169" s="77">
        <f t="shared" si="15"/>
        <v>8238.6279296875</v>
      </c>
      <c r="J169" s="15" t="str">
        <f t="shared" si="18"/>
        <v/>
      </c>
      <c r="K169" s="38" t="s">
        <v>237</v>
      </c>
      <c r="L169" s="126" t="s">
        <v>238</v>
      </c>
    </row>
    <row r="170" spans="1:13" ht="15.6">
      <c r="A170" s="24" t="str">
        <v>K203</v>
      </c>
      <c r="B170" s="25" t="str">
        <v>NY</v>
      </c>
      <c r="C170" s="25" t="str">
        <f>Sites[[#This Row],[SOL'#]]</f>
        <v>SOL-11190</v>
      </c>
      <c r="D170" s="136"/>
      <c r="E170" s="10"/>
      <c r="F170" s="10" t="str">
        <f t="shared" si="16"/>
        <v/>
      </c>
      <c r="G170" s="11" t="str">
        <f t="shared" si="19"/>
        <v/>
      </c>
      <c r="H170" s="75"/>
      <c r="I170" s="75" t="str">
        <f t="shared" ref="I170:I188" si="20">IF(AND(ISNUMBER(D170),ISNUMBER(H170)), D170-H170, "")</f>
        <v/>
      </c>
      <c r="J170" s="13" t="str">
        <f t="shared" si="18"/>
        <v/>
      </c>
      <c r="K170" s="63" t="s">
        <v>237</v>
      </c>
      <c r="L170" s="124" t="s">
        <v>441</v>
      </c>
    </row>
    <row r="171" spans="1:13" ht="15.6">
      <c r="A171" s="26" t="str">
        <v>K213</v>
      </c>
      <c r="B171" s="27" t="str">
        <v>NY</v>
      </c>
      <c r="C171" s="27" t="str">
        <f>Sites[[#This Row],[SOL'#]]</f>
        <v>SOL-11191</v>
      </c>
      <c r="D171" s="74"/>
      <c r="E171" s="14"/>
      <c r="F171" s="14" t="str">
        <f t="shared" si="16"/>
        <v/>
      </c>
      <c r="G171" s="15" t="str">
        <f t="shared" si="19"/>
        <v/>
      </c>
      <c r="H171" s="77"/>
      <c r="I171" s="77" t="str">
        <f t="shared" si="20"/>
        <v/>
      </c>
      <c r="J171" s="15"/>
      <c r="K171" s="38"/>
      <c r="L171" s="17"/>
    </row>
    <row r="172" spans="1:13" ht="15.6">
      <c r="A172" s="24" t="str">
        <v>K217</v>
      </c>
      <c r="B172" s="25" t="str">
        <v>NY</v>
      </c>
      <c r="C172" s="25" t="str">
        <f>Sites[[#This Row],[SOL'#]]</f>
        <v>SOL-10933</v>
      </c>
      <c r="D172" s="60">
        <v>5661.9752832031199</v>
      </c>
      <c r="E172" s="10">
        <v>0</v>
      </c>
      <c r="F172" s="10">
        <f t="shared" si="16"/>
        <v>5661.9752832031199</v>
      </c>
      <c r="G172" s="11" t="str">
        <f t="shared" si="19"/>
        <v/>
      </c>
      <c r="H172" s="75">
        <v>0</v>
      </c>
      <c r="I172" s="75">
        <f t="shared" si="20"/>
        <v>5661.9752832031199</v>
      </c>
      <c r="J172" s="13" t="str">
        <f t="shared" si="18"/>
        <v/>
      </c>
      <c r="K172" s="63" t="s">
        <v>237</v>
      </c>
      <c r="L172" s="124" t="s">
        <v>239</v>
      </c>
    </row>
    <row r="173" spans="1:13" ht="15.6">
      <c r="A173" s="26" t="str">
        <v>K307</v>
      </c>
      <c r="B173" s="27" t="str">
        <v>NY</v>
      </c>
      <c r="C173" s="27" t="str">
        <f>Sites[[#This Row],[SOL'#]]</f>
        <v>SOL-10876</v>
      </c>
      <c r="D173" s="74">
        <v>12916.76168</v>
      </c>
      <c r="E173" s="14">
        <v>0</v>
      </c>
      <c r="F173" s="14">
        <f t="shared" si="16"/>
        <v>12916.76168</v>
      </c>
      <c r="G173" s="15" t="str">
        <f t="shared" si="19"/>
        <v/>
      </c>
      <c r="H173" s="77">
        <v>0</v>
      </c>
      <c r="I173" s="77">
        <f t="shared" si="20"/>
        <v>12916.76168</v>
      </c>
      <c r="J173" s="15" t="str">
        <f t="shared" si="18"/>
        <v/>
      </c>
      <c r="K173" s="38"/>
      <c r="L173" s="17"/>
    </row>
    <row r="174" spans="1:13" ht="15.6">
      <c r="A174" s="24" t="str">
        <v>K610</v>
      </c>
      <c r="B174" s="25" t="str">
        <v>NY</v>
      </c>
      <c r="C174" s="25" t="str">
        <f>Sites[[#This Row],[SOL'#]]</f>
        <v>SOL-11158</v>
      </c>
      <c r="D174" s="60"/>
      <c r="E174" s="10"/>
      <c r="F174" s="10" t="str">
        <f t="shared" si="16"/>
        <v/>
      </c>
      <c r="G174" s="11" t="str">
        <f t="shared" si="19"/>
        <v/>
      </c>
      <c r="H174" s="75"/>
      <c r="I174" s="75" t="str">
        <f t="shared" si="20"/>
        <v/>
      </c>
      <c r="J174" s="13" t="str">
        <f t="shared" si="18"/>
        <v/>
      </c>
      <c r="K174" s="63"/>
      <c r="L174" s="37"/>
    </row>
    <row r="175" spans="1:13" ht="28.9">
      <c r="A175" s="26" t="str">
        <v>M025</v>
      </c>
      <c r="B175" s="27" t="str">
        <v>NY</v>
      </c>
      <c r="C175" s="27" t="str">
        <f>Sites[[#This Row],[SOL'#]]</f>
        <v>SOL-10392</v>
      </c>
      <c r="D175" s="74">
        <v>11939.340819999999</v>
      </c>
      <c r="E175" s="14">
        <v>0</v>
      </c>
      <c r="F175" s="14">
        <f t="shared" si="16"/>
        <v>11939.340819999999</v>
      </c>
      <c r="G175" s="15" t="str">
        <f t="shared" si="19"/>
        <v/>
      </c>
      <c r="H175" s="77">
        <v>0</v>
      </c>
      <c r="I175" s="77">
        <f t="shared" si="20"/>
        <v>11939.340819999999</v>
      </c>
      <c r="J175" s="15" t="str">
        <f t="shared" si="18"/>
        <v/>
      </c>
      <c r="K175" s="38" t="s">
        <v>442</v>
      </c>
      <c r="L175" s="130" t="s">
        <v>443</v>
      </c>
      <c r="M175" s="115" t="s">
        <v>444</v>
      </c>
    </row>
    <row r="176" spans="1:13" ht="15.6">
      <c r="A176" s="24" t="str">
        <v>M028</v>
      </c>
      <c r="B176" s="25" t="str">
        <v>NY</v>
      </c>
      <c r="C176" s="25" t="str">
        <f>Sites[[#This Row],[SOL'#]]</f>
        <v>SOL-10381</v>
      </c>
      <c r="D176" s="60">
        <v>8250.1922969999996</v>
      </c>
      <c r="E176" s="10">
        <v>0</v>
      </c>
      <c r="F176" s="10">
        <f t="shared" si="16"/>
        <v>8250.1922969999996</v>
      </c>
      <c r="G176" s="11" t="str">
        <f t="shared" si="19"/>
        <v/>
      </c>
      <c r="H176" s="75">
        <v>0</v>
      </c>
      <c r="I176" s="75">
        <f t="shared" si="20"/>
        <v>8250.1922969999996</v>
      </c>
      <c r="J176" s="13" t="str">
        <f t="shared" si="18"/>
        <v/>
      </c>
      <c r="K176" s="63" t="s">
        <v>241</v>
      </c>
      <c r="L176" s="124" t="s">
        <v>242</v>
      </c>
    </row>
    <row r="177" spans="1:14" ht="15.6">
      <c r="A177" s="26" t="str">
        <v>Q030</v>
      </c>
      <c r="B177" s="27" t="str">
        <v>NY</v>
      </c>
      <c r="C177" s="27" t="str">
        <f>Sites[[#This Row],[SOL'#]]</f>
        <v>SOL-10878</v>
      </c>
      <c r="D177" s="74">
        <v>12842.908390000001</v>
      </c>
      <c r="E177" s="14">
        <v>0</v>
      </c>
      <c r="F177" s="14">
        <f t="shared" si="16"/>
        <v>12842.908390000001</v>
      </c>
      <c r="G177" s="15" t="str">
        <f t="shared" si="19"/>
        <v/>
      </c>
      <c r="H177" s="77">
        <v>0</v>
      </c>
      <c r="I177" s="77">
        <f t="shared" si="20"/>
        <v>12842.908390000001</v>
      </c>
      <c r="J177" s="15" t="str">
        <f t="shared" si="18"/>
        <v/>
      </c>
      <c r="K177" s="38"/>
      <c r="L177" s="17"/>
    </row>
    <row r="178" spans="1:14" ht="15.6">
      <c r="A178" s="24" t="str">
        <v>Q130</v>
      </c>
      <c r="B178" s="25" t="str">
        <v>NY</v>
      </c>
      <c r="C178" s="25" t="str">
        <f>Sites[[#This Row],[SOL'#]]</f>
        <v>SOL-10877</v>
      </c>
      <c r="D178" s="60">
        <v>6870.1664700000001</v>
      </c>
      <c r="E178" s="10">
        <v>0</v>
      </c>
      <c r="F178" s="10">
        <f t="shared" si="16"/>
        <v>6870.1664700000001</v>
      </c>
      <c r="G178" s="11" t="str">
        <f t="shared" si="19"/>
        <v/>
      </c>
      <c r="H178" s="75">
        <v>0</v>
      </c>
      <c r="I178" s="75">
        <f t="shared" si="20"/>
        <v>6870.1664700000001</v>
      </c>
      <c r="J178" s="13" t="str">
        <f t="shared" si="18"/>
        <v/>
      </c>
      <c r="K178" s="63" t="s">
        <v>243</v>
      </c>
      <c r="L178" s="124" t="s">
        <v>244</v>
      </c>
    </row>
    <row r="179" spans="1:14" ht="15.6">
      <c r="A179" s="26" t="str">
        <v>Q196</v>
      </c>
      <c r="B179" s="27" t="str">
        <v>NY</v>
      </c>
      <c r="C179" s="27" t="str">
        <f>Sites[[#This Row],[SOL'#]]</f>
        <v>SOL-10879</v>
      </c>
      <c r="D179" s="74">
        <v>8604.3924999999999</v>
      </c>
      <c r="E179" s="14">
        <v>0</v>
      </c>
      <c r="F179" s="14">
        <f t="shared" si="16"/>
        <v>8604.3924999999999</v>
      </c>
      <c r="G179" s="15" t="str">
        <f t="shared" si="19"/>
        <v/>
      </c>
      <c r="H179" s="77">
        <v>0</v>
      </c>
      <c r="I179" s="77">
        <f t="shared" si="20"/>
        <v>8604.3924999999999</v>
      </c>
      <c r="J179" s="15" t="str">
        <f t="shared" si="18"/>
        <v/>
      </c>
      <c r="K179" s="38" t="s">
        <v>243</v>
      </c>
      <c r="L179" s="126" t="s">
        <v>245</v>
      </c>
    </row>
    <row r="180" spans="1:14" ht="28.9">
      <c r="A180" s="24" t="str">
        <v>Q220</v>
      </c>
      <c r="B180" s="25" t="str">
        <v>NY</v>
      </c>
      <c r="C180" s="25" t="str">
        <f>Sites[[#This Row],[SOL'#]]</f>
        <v>SOL-10873</v>
      </c>
      <c r="D180" s="60">
        <v>10122.787410000001</v>
      </c>
      <c r="E180" s="10">
        <v>0</v>
      </c>
      <c r="F180" s="10">
        <f t="shared" si="16"/>
        <v>10122.787410000001</v>
      </c>
      <c r="G180" s="11" t="str">
        <f t="shared" si="19"/>
        <v/>
      </c>
      <c r="H180" s="75">
        <v>0</v>
      </c>
      <c r="I180" s="75">
        <f t="shared" si="20"/>
        <v>10122.787410000001</v>
      </c>
      <c r="J180" s="13" t="str">
        <f t="shared" si="18"/>
        <v/>
      </c>
      <c r="K180" s="63" t="s">
        <v>445</v>
      </c>
      <c r="L180" s="124" t="s">
        <v>246</v>
      </c>
    </row>
    <row r="181" spans="1:14" ht="15.6">
      <c r="A181" s="26" t="str">
        <v>Q205</v>
      </c>
      <c r="B181" s="27" t="str">
        <v>NY</v>
      </c>
      <c r="C181" s="27" t="str">
        <f>Sites[[#This Row],[SOL'#]]</f>
        <v>SOL-10922</v>
      </c>
      <c r="D181" s="74"/>
      <c r="E181" s="14"/>
      <c r="F181" s="14" t="str">
        <f t="shared" si="16"/>
        <v/>
      </c>
      <c r="G181" s="15" t="str">
        <f t="shared" si="19"/>
        <v/>
      </c>
      <c r="H181" s="77"/>
      <c r="I181" s="77" t="str">
        <f t="shared" si="20"/>
        <v/>
      </c>
      <c r="J181" s="15" t="str">
        <f t="shared" si="18"/>
        <v/>
      </c>
      <c r="K181" s="38"/>
      <c r="L181" s="17"/>
    </row>
    <row r="182" spans="1:14" ht="43.15">
      <c r="A182" s="24" t="str">
        <v>Q400</v>
      </c>
      <c r="B182" s="25" t="str">
        <v>NY</v>
      </c>
      <c r="C182" s="25" t="str">
        <f>Sites[[#This Row],[SOL'#]]</f>
        <v>SOL-10871</v>
      </c>
      <c r="D182" s="60">
        <v>6925.4609380000002</v>
      </c>
      <c r="E182" s="10">
        <v>0</v>
      </c>
      <c r="F182" s="10">
        <f t="shared" si="16"/>
        <v>6925.4609380000002</v>
      </c>
      <c r="G182" s="11" t="str">
        <f t="shared" si="19"/>
        <v/>
      </c>
      <c r="H182" s="75">
        <v>0</v>
      </c>
      <c r="I182" s="75">
        <f t="shared" si="20"/>
        <v>6925.4609380000002</v>
      </c>
      <c r="J182" s="13" t="str">
        <f t="shared" si="18"/>
        <v/>
      </c>
      <c r="K182" s="63" t="s">
        <v>446</v>
      </c>
      <c r="L182" s="124" t="s">
        <v>447</v>
      </c>
      <c r="M182" s="115" t="s">
        <v>249</v>
      </c>
      <c r="N182" s="115" t="s">
        <v>249</v>
      </c>
    </row>
    <row r="183" spans="1:14" ht="15.6">
      <c r="A183" s="26" t="str">
        <v>R003</v>
      </c>
      <c r="B183" s="27" t="str">
        <v>NY</v>
      </c>
      <c r="C183" s="27" t="str">
        <f>Sites[[#This Row],[SOL'#]]</f>
        <v>SOL-10416</v>
      </c>
      <c r="D183" s="74">
        <v>20656.632809999999</v>
      </c>
      <c r="E183" s="14"/>
      <c r="F183" s="14" t="str">
        <f t="shared" si="16"/>
        <v/>
      </c>
      <c r="G183" s="15" t="str">
        <f t="shared" si="19"/>
        <v/>
      </c>
      <c r="H183" s="77"/>
      <c r="I183" s="77" t="str">
        <f t="shared" si="20"/>
        <v/>
      </c>
      <c r="J183" s="15" t="str">
        <f t="shared" si="18"/>
        <v/>
      </c>
      <c r="K183" s="38" t="s">
        <v>250</v>
      </c>
      <c r="L183" s="126" t="s">
        <v>251</v>
      </c>
    </row>
    <row r="184" spans="1:14" ht="15.6">
      <c r="A184" s="24" t="str">
        <v>R007</v>
      </c>
      <c r="B184" s="25" t="str">
        <v>NY</v>
      </c>
      <c r="C184" s="25" t="str">
        <f>Sites[[#This Row],[SOL'#]]</f>
        <v>SOL-10417</v>
      </c>
      <c r="D184" s="60">
        <v>21665.457030000001</v>
      </c>
      <c r="E184" s="10">
        <v>0</v>
      </c>
      <c r="F184" s="10">
        <f t="shared" si="16"/>
        <v>21665.457030000001</v>
      </c>
      <c r="G184" s="11" t="str">
        <f t="shared" si="19"/>
        <v/>
      </c>
      <c r="H184" s="75">
        <v>0</v>
      </c>
      <c r="I184" s="75">
        <f t="shared" si="20"/>
        <v>21665.457030000001</v>
      </c>
      <c r="J184" s="13" t="str">
        <f t="shared" si="18"/>
        <v/>
      </c>
      <c r="K184" s="63"/>
      <c r="L184" s="37"/>
    </row>
    <row r="185" spans="1:14" ht="28.9">
      <c r="A185" s="26" t="str">
        <v>BK16</v>
      </c>
      <c r="B185" s="27" t="str">
        <v>NY</v>
      </c>
      <c r="C185" s="27" t="str">
        <f>Sites[[#This Row],[SOL'#]]</f>
        <v>SOL-11093</v>
      </c>
      <c r="D185" s="74">
        <v>19771.3448328669</v>
      </c>
      <c r="E185" s="14">
        <v>0</v>
      </c>
      <c r="F185" s="14">
        <f t="shared" si="16"/>
        <v>19771.3448328669</v>
      </c>
      <c r="G185" s="15" t="str">
        <f t="shared" si="19"/>
        <v/>
      </c>
      <c r="H185" s="77">
        <v>0</v>
      </c>
      <c r="I185" s="77">
        <f t="shared" si="20"/>
        <v>19771.3448328669</v>
      </c>
      <c r="J185" s="15" t="str">
        <f t="shared" si="18"/>
        <v/>
      </c>
      <c r="K185" s="38" t="s">
        <v>448</v>
      </c>
      <c r="L185" s="130" t="s">
        <v>449</v>
      </c>
      <c r="M185" s="115" t="s">
        <v>450</v>
      </c>
    </row>
    <row r="186" spans="1:14" ht="15.6">
      <c r="A186" s="24" t="str">
        <v>Trenton - Trenton East</v>
      </c>
      <c r="B186" s="25" t="str">
        <v>IL</v>
      </c>
      <c r="C186" s="25" t="str">
        <f>Sites[[#This Row],[SOL'#]]</f>
        <v>SOL-11060</v>
      </c>
      <c r="D186" s="60">
        <v>277433</v>
      </c>
      <c r="E186" s="10">
        <v>272748.7</v>
      </c>
      <c r="F186" s="10">
        <f t="shared" si="16"/>
        <v>4684.2999999999884</v>
      </c>
      <c r="G186" s="11">
        <f t="shared" si="19"/>
        <v>1.7174417329945069E-2</v>
      </c>
      <c r="H186" s="75">
        <v>250258</v>
      </c>
      <c r="I186" s="75">
        <f t="shared" si="20"/>
        <v>27175</v>
      </c>
      <c r="J186" s="13">
        <f t="shared" si="18"/>
        <v>0.10858793724875929</v>
      </c>
      <c r="K186" s="63" t="s">
        <v>451</v>
      </c>
      <c r="L186" s="131" t="s">
        <v>452</v>
      </c>
    </row>
    <row r="187" spans="1:14" ht="15.6">
      <c r="A187" s="26" t="str">
        <v>Trenton - Trenton West</v>
      </c>
      <c r="B187" s="27" t="str">
        <v>IL</v>
      </c>
      <c r="C187" s="27" t="str">
        <f>Sites[[#This Row],[SOL'#]]</f>
        <v>SOL-11061</v>
      </c>
      <c r="D187" s="74">
        <v>286335</v>
      </c>
      <c r="E187" s="14">
        <v>245107.1</v>
      </c>
      <c r="F187" s="14">
        <f t="shared" si="16"/>
        <v>41227.899999999994</v>
      </c>
      <c r="G187" s="76">
        <f t="shared" si="19"/>
        <v>0.1682036138488032</v>
      </c>
      <c r="H187" s="77">
        <v>252415.00399999999</v>
      </c>
      <c r="I187" s="77">
        <f t="shared" si="20"/>
        <v>33919.996000000014</v>
      </c>
      <c r="J187" s="15">
        <f t="shared" si="18"/>
        <v>0.13438185314847614</v>
      </c>
      <c r="K187" s="38"/>
      <c r="L187" s="117"/>
    </row>
    <row r="188" spans="1:14" ht="57.6">
      <c r="A188" s="24" t="str">
        <v>Dakota - Dakota Solar 1</v>
      </c>
      <c r="B188" s="25" t="str">
        <v>IL</v>
      </c>
      <c r="C188" s="25" t="str">
        <f>Sites[[#This Row],[SOL'#]]</f>
        <v>SOL-11113</v>
      </c>
      <c r="D188" s="60">
        <v>540549</v>
      </c>
      <c r="E188" s="10">
        <v>358197.96899999998</v>
      </c>
      <c r="F188" s="10">
        <f>IF(AND(ISNUMBER(D188),ISNUMBER(E188)), D188-E188, "")</f>
        <v>182351.03100000002</v>
      </c>
      <c r="G188" s="11">
        <f t="shared" si="19"/>
        <v>0.50907890826148161</v>
      </c>
      <c r="H188" s="75">
        <v>0</v>
      </c>
      <c r="I188" s="75">
        <f t="shared" si="20"/>
        <v>540549</v>
      </c>
      <c r="J188" s="13" t="str">
        <f t="shared" si="18"/>
        <v/>
      </c>
      <c r="K188" s="63" t="s">
        <v>453</v>
      </c>
      <c r="L188" s="131" t="s">
        <v>454</v>
      </c>
      <c r="M188" s="115" t="s">
        <v>455</v>
      </c>
    </row>
    <row r="189" spans="1:14" ht="43.15">
      <c r="A189" s="26" t="str">
        <v>X018</v>
      </c>
      <c r="B189" s="27" t="str">
        <v>NY</v>
      </c>
      <c r="C189" s="27" t="str">
        <f>Sites[[#This Row],[SOL'#]]</f>
        <v>SOL-10418</v>
      </c>
      <c r="D189" s="74">
        <v>8177</v>
      </c>
      <c r="E189" s="14">
        <v>11217.398999999999</v>
      </c>
      <c r="F189" s="14">
        <f>IF(AND(ISNUMBER(D189),ISNUMBER(E189)), D189-E189, "")</f>
        <v>-3040.3989999999994</v>
      </c>
      <c r="G189" s="76">
        <f t="shared" si="19"/>
        <v>-0.27104313575722855</v>
      </c>
      <c r="H189" s="77">
        <v>0</v>
      </c>
      <c r="I189" s="77">
        <f t="shared" ref="I189:I195" si="21">IF(AND(ISNUMBER(D189),ISNUMBER(H189)), D189-H189, "")</f>
        <v>8177</v>
      </c>
      <c r="J189" s="15" t="str">
        <f t="shared" si="18"/>
        <v/>
      </c>
      <c r="K189" s="92" t="s">
        <v>456</v>
      </c>
      <c r="L189" s="130" t="s">
        <v>457</v>
      </c>
    </row>
    <row r="190" spans="1:14" ht="15.6">
      <c r="A190" s="24" t="str">
        <v>Janiak Solar</v>
      </c>
      <c r="B190" s="25" t="str">
        <v>NY</v>
      </c>
      <c r="C190" s="25" t="str">
        <f>Sites[[#This Row],[SOL'#]]</f>
        <v>SOL-10898</v>
      </c>
      <c r="D190" s="60">
        <v>206037.052</v>
      </c>
      <c r="E190" s="10">
        <v>269225.69699999999</v>
      </c>
      <c r="F190" s="10">
        <f t="shared" ref="F190:F195" si="22">IF(AND(ISNUMBER(D190),ISNUMBER(E190)), D190-E190, "")</f>
        <v>-63188.64499999999</v>
      </c>
      <c r="G190" s="11">
        <f t="shared" ref="G190:G195" si="23">IFERROR(F190/E190, "")</f>
        <v>-0.23470510320565718</v>
      </c>
      <c r="H190" s="75">
        <v>256159.24600000001</v>
      </c>
      <c r="I190" s="75">
        <f t="shared" si="21"/>
        <v>-50122.194000000018</v>
      </c>
      <c r="J190" s="13">
        <f t="shared" si="18"/>
        <v>-0.19566810405118079</v>
      </c>
      <c r="K190" s="63" t="s">
        <v>23</v>
      </c>
      <c r="L190" s="131"/>
    </row>
    <row r="191" spans="1:14" ht="15.6">
      <c r="A191" s="26" t="str">
        <v>County Route 11B</v>
      </c>
      <c r="B191" s="27" t="str">
        <v>NY</v>
      </c>
      <c r="C191" s="27" t="str">
        <f>Sites[[#This Row],[SOL'#]]</f>
        <v>SOL-10983</v>
      </c>
      <c r="D191" s="74">
        <v>385858</v>
      </c>
      <c r="E191" s="14">
        <v>0</v>
      </c>
      <c r="F191" s="14">
        <f t="shared" si="22"/>
        <v>385858</v>
      </c>
      <c r="G191" s="76" t="str">
        <f t="shared" si="23"/>
        <v/>
      </c>
      <c r="H191" s="77">
        <v>0</v>
      </c>
      <c r="I191" s="77">
        <f t="shared" si="21"/>
        <v>385858</v>
      </c>
      <c r="J191" s="15" t="str">
        <f t="shared" si="18"/>
        <v/>
      </c>
      <c r="K191" s="54" t="s">
        <v>458</v>
      </c>
      <c r="L191" s="126" t="s">
        <v>459</v>
      </c>
    </row>
    <row r="192" spans="1:14" ht="43.15">
      <c r="A192" s="24" t="str">
        <v>Barone</v>
      </c>
      <c r="B192" s="25" t="str">
        <v>NY</v>
      </c>
      <c r="C192" s="25" t="str">
        <f>Sites[[#This Row],[SOL'#]]</f>
        <v>SOL-11034</v>
      </c>
      <c r="D192" s="60">
        <v>359132</v>
      </c>
      <c r="E192" s="10">
        <v>0</v>
      </c>
      <c r="F192" s="10">
        <f t="shared" si="22"/>
        <v>359132</v>
      </c>
      <c r="G192" s="11" t="str">
        <f t="shared" si="23"/>
        <v/>
      </c>
      <c r="H192" s="75">
        <v>314249.5</v>
      </c>
      <c r="I192" s="75">
        <f t="shared" si="21"/>
        <v>44882.5</v>
      </c>
      <c r="J192" s="13">
        <f t="shared" si="18"/>
        <v>0.14282441181290662</v>
      </c>
      <c r="K192" s="63" t="s">
        <v>460</v>
      </c>
      <c r="L192" s="131" t="s">
        <v>461</v>
      </c>
      <c r="M192" s="115" t="s">
        <v>462</v>
      </c>
    </row>
    <row r="193" spans="1:12" ht="28.9">
      <c r="A193" s="26" t="str">
        <v>Cedarville</v>
      </c>
      <c r="B193" s="27" t="str">
        <v>IL</v>
      </c>
      <c r="C193" s="27" t="str">
        <f>Sites[[#This Row],[SOL'#]]</f>
        <v>SOL-11069</v>
      </c>
      <c r="D193" s="74">
        <v>228799.9</v>
      </c>
      <c r="E193" s="14">
        <v>250182.1</v>
      </c>
      <c r="F193" s="14">
        <f t="shared" si="22"/>
        <v>-21382.200000000012</v>
      </c>
      <c r="G193" s="76">
        <f t="shared" si="23"/>
        <v>-8.546654616777144E-2</v>
      </c>
      <c r="H193" s="77">
        <v>248354.5</v>
      </c>
      <c r="I193" s="77">
        <f t="shared" si="21"/>
        <v>-19554.600000000006</v>
      </c>
      <c r="J193" s="15">
        <f t="shared" si="18"/>
        <v>-7.8736644594722488E-2</v>
      </c>
      <c r="K193" s="91" t="s">
        <v>463</v>
      </c>
      <c r="L193" s="130" t="s">
        <v>464</v>
      </c>
    </row>
    <row r="194" spans="1:12" ht="15.6">
      <c r="A194" s="24" t="str">
        <v xml:space="preserve"> O'Brien Hill #1</v>
      </c>
      <c r="B194" s="25" t="str">
        <v>NY</v>
      </c>
      <c r="C194" s="25" t="str">
        <f>Sites[[#This Row],[SOL'#]]</f>
        <v>SOL-11098</v>
      </c>
      <c r="D194" s="60">
        <v>416554</v>
      </c>
      <c r="E194" s="10">
        <v>0</v>
      </c>
      <c r="F194" s="10">
        <f t="shared" si="22"/>
        <v>416554</v>
      </c>
      <c r="G194" s="11" t="str">
        <f t="shared" si="23"/>
        <v/>
      </c>
      <c r="H194" s="75">
        <v>0</v>
      </c>
      <c r="I194" s="75">
        <f t="shared" si="21"/>
        <v>416554</v>
      </c>
      <c r="J194" s="13" t="str">
        <f t="shared" si="18"/>
        <v/>
      </c>
      <c r="K194" s="63"/>
      <c r="L194" s="131"/>
    </row>
    <row r="195" spans="1:12" ht="28.9">
      <c r="A195" s="26" t="str">
        <v xml:space="preserve"> O'Brien Hill #2</v>
      </c>
      <c r="B195" s="27" t="str">
        <v>NY</v>
      </c>
      <c r="C195" s="27" t="str">
        <f>Sites[[#This Row],[SOL'#]]</f>
        <v>SOL-11099</v>
      </c>
      <c r="D195" s="74">
        <v>392818</v>
      </c>
      <c r="E195" s="14">
        <v>0</v>
      </c>
      <c r="F195" s="14">
        <f t="shared" si="22"/>
        <v>392818</v>
      </c>
      <c r="G195" s="76" t="str">
        <f t="shared" si="23"/>
        <v/>
      </c>
      <c r="H195" s="77">
        <v>0</v>
      </c>
      <c r="I195" s="77">
        <f t="shared" si="21"/>
        <v>392818</v>
      </c>
      <c r="J195" s="15" t="str">
        <f t="shared" si="18"/>
        <v/>
      </c>
      <c r="K195" s="56" t="s">
        <v>465</v>
      </c>
      <c r="L195" s="130" t="s">
        <v>466</v>
      </c>
    </row>
    <row r="196" spans="1:12" ht="15.6">
      <c r="A196" s="24" t="str">
        <v>Trinity - Freeport</v>
      </c>
      <c r="B196" s="25" t="str">
        <v>IL</v>
      </c>
      <c r="C196" s="25" t="str">
        <f>Sites[[#This Row],[SOL'#]]</f>
        <v>SOL-11057</v>
      </c>
      <c r="D196" s="60"/>
      <c r="E196" s="10"/>
      <c r="F196" s="10"/>
      <c r="G196" s="11"/>
      <c r="H196" s="75"/>
      <c r="I196" s="75"/>
      <c r="J196" s="72"/>
      <c r="K196" s="63"/>
      <c r="L196" s="131"/>
    </row>
    <row r="197" spans="1:12" ht="15.6">
      <c r="A197" s="26" t="str">
        <v>Ransom</v>
      </c>
      <c r="B197" s="27" t="str">
        <v>NY</v>
      </c>
      <c r="C197" s="27" t="str">
        <f>Sites[[#This Row],[SOL'#]]</f>
        <v>SOL-11157</v>
      </c>
      <c r="D197" s="74"/>
      <c r="E197" s="14"/>
      <c r="F197" s="14"/>
      <c r="G197" s="76"/>
      <c r="H197" s="77"/>
      <c r="I197" s="77"/>
      <c r="J197" s="76"/>
      <c r="K197" s="56"/>
      <c r="L197" s="130"/>
    </row>
    <row r="198" spans="1:12" ht="15.6">
      <c r="A198" s="24" t="str">
        <v>Horseheads - Wedge</v>
      </c>
      <c r="B198" s="25" t="str">
        <v>NY</v>
      </c>
      <c r="C198" s="25" t="str">
        <f>Sites[[#This Row],[SOL'#]]</f>
        <v>SOL-11160</v>
      </c>
      <c r="D198" s="60"/>
      <c r="E198" s="10"/>
      <c r="F198" s="10"/>
      <c r="G198" s="11"/>
      <c r="H198" s="75"/>
      <c r="I198" s="75"/>
      <c r="J198" s="72"/>
      <c r="K198" s="63"/>
      <c r="L198" s="131"/>
    </row>
    <row r="199" spans="1:12" ht="15.6">
      <c r="A199" s="26" t="str">
        <v>Otisville - Shoddy Hollow</v>
      </c>
      <c r="B199" s="27" t="str">
        <v>NY</v>
      </c>
      <c r="C199" s="27" t="str">
        <f>Sites[[#This Row],[SOL'#]]</f>
        <v>SOL-11185</v>
      </c>
      <c r="D199" s="74"/>
      <c r="E199" s="14"/>
      <c r="F199" s="14"/>
      <c r="G199" s="76"/>
      <c r="H199" s="77"/>
      <c r="I199" s="77"/>
      <c r="J199" s="76"/>
      <c r="K199" s="56"/>
      <c r="L199" s="130"/>
    </row>
    <row r="200" spans="1:12" ht="15.6">
      <c r="A200" s="24" t="str">
        <v>Wellsville - Chenunda Creek</v>
      </c>
      <c r="B200" s="25" t="str">
        <v>NY</v>
      </c>
      <c r="C200" s="25" t="str">
        <f>Sites[[#This Row],[SOL'#]]</f>
        <v>SOL-11187</v>
      </c>
      <c r="D200" s="60"/>
      <c r="E200" s="10"/>
      <c r="F200" s="10"/>
      <c r="G200" s="11"/>
      <c r="H200" s="75"/>
      <c r="I200" s="75"/>
      <c r="J200" s="72"/>
      <c r="K200" s="63"/>
      <c r="L200" s="131"/>
    </row>
  </sheetData>
  <mergeCells count="4">
    <mergeCell ref="H1:J1"/>
    <mergeCell ref="A1:D1"/>
    <mergeCell ref="E1:G1"/>
    <mergeCell ref="A2:B2"/>
  </mergeCells>
  <phoneticPr fontId="40" type="noConversion"/>
  <conditionalFormatting sqref="G2 J2">
    <cfRule type="cellIs" dxfId="52" priority="17" stopIfTrue="1" operator="lessThanOrEqual">
      <formula>-0.1</formula>
    </cfRule>
    <cfRule type="expression" dxfId="51" priority="18">
      <formula>AND(ISNUMBER(G2), G2&gt;=0.1)</formula>
    </cfRule>
  </conditionalFormatting>
  <conditionalFormatting sqref="G4:G200 J4:J200">
    <cfRule type="cellIs" dxfId="50" priority="1" stopIfTrue="1" operator="lessThanOrEqual">
      <formula>-0.1</formula>
    </cfRule>
    <cfRule type="expression" dxfId="49" priority="2">
      <formula>AND(ISNUMBER(G4), G4&gt;=0.1)</formula>
    </cfRule>
  </conditionalFormatting>
  <hyperlinks>
    <hyperlink ref="L10" r:id="rId1" display="https://us3.assetplanner.com/service_request?ID=094057" xr:uid="{F45CA52A-3C52-4695-85DB-8740410F5C64}"/>
    <hyperlink ref="L13" r:id="rId2" display="https://us3.assetplanner.com/service_request?ID=092555" xr:uid="{9F0F6117-18A9-42DC-A17A-33CACFDAE1C8}"/>
    <hyperlink ref="M13" r:id="rId3" display="https://us3.assetplanner.com/service_request?ID=091903" xr:uid="{E6ACBF69-C07F-409A-ACDC-0C002AF05DFC}"/>
    <hyperlink ref="L14" r:id="rId4" display="https://us3.assetplanner.com/service_request?ID=092556" xr:uid="{5CAD2429-CA76-48EC-92B4-A7013286049E}"/>
    <hyperlink ref="L16" r:id="rId5" display="https://us3.assetplanner.com/service_request?ID=093028" xr:uid="{F983CFA3-9C4C-48F5-A6D0-FD30DF5B2555}"/>
    <hyperlink ref="N17" r:id="rId6" display="https://us3.assetplanner.com/service_request?ID=093029" xr:uid="{66DE21E1-D53F-46FB-A57B-D20713F97B0E}"/>
    <hyperlink ref="L18" r:id="rId7" display="https://us3.assetplanner.com/service_request?ID=093550" xr:uid="{A056E7EB-13E3-49BA-8785-8CFE9E4D2AE7}"/>
    <hyperlink ref="L19" r:id="rId8" display="https://us3.assetplanner.com/service_request?ID=093047" xr:uid="{7765B152-AD28-4378-BFC6-2D45E464079D}"/>
    <hyperlink ref="M19" r:id="rId9" display="https://us3.assetplanner.com/service_request?ID=097910" xr:uid="{1347AEAF-5197-4687-BF0B-E38CAFAE5A31}"/>
    <hyperlink ref="L24" r:id="rId10" display="https://us3.assetplanner.com/service_request?ID=097569" xr:uid="{43150C69-0D8C-4DC6-B584-53F31474AD31}"/>
    <hyperlink ref="L25" r:id="rId11" display="https://us3.assetplanner.com/service_request?ID=093291" xr:uid="{9FD58F21-690E-4426-BA47-159BFEC9551E}"/>
    <hyperlink ref="L29" r:id="rId12" display="https://us3.assetplanner.com/service_request?ID=093633" xr:uid="{0B3FC683-407A-430A-AB89-DD8541664F02}"/>
    <hyperlink ref="L31" r:id="rId13" display="https://us3.assetplanner.com/service_request?ID=086842" xr:uid="{4CBF9CCD-6789-4986-A2BB-C94F70296A83}"/>
    <hyperlink ref="M31" r:id="rId14" display="https://us3.assetplanner.com/service_request?ID=093294" xr:uid="{E95A5BA9-A08F-4FA1-A45B-F73D51495CD6}"/>
    <hyperlink ref="L37" r:id="rId15" display="https://us3.assetplanner.com/service_request?ID=093196" xr:uid="{34C008D0-D46E-4F25-954A-E6C4A5A56860}"/>
    <hyperlink ref="L45" r:id="rId16" display="https://us3.assetplanner.com/service_request?ID=097083" xr:uid="{E9048F56-B79F-4220-8FA4-243B7E980CF3}"/>
    <hyperlink ref="M45" r:id="rId17" display="https://us3.assetplanner.com/service_request?ID=097636" xr:uid="{4C78A41A-188D-4189-BE0E-D24CAABED05B}"/>
    <hyperlink ref="L59" r:id="rId18" display="https://us3.assetplanner.com/service_request?ID=096249" xr:uid="{54979C60-BDEF-45F2-B32F-C2AAAF0F63FB}"/>
    <hyperlink ref="L60" r:id="rId19" display="https://us3.assetplanner.com/service_request?ID=093326" xr:uid="{436574D1-3F05-4C87-839E-13D9D2A7576E}"/>
    <hyperlink ref="L63" r:id="rId20" display="https://us3.assetplanner.com/service_request?ID=096294" xr:uid="{F48D3BBE-8B7F-43E0-AEA9-EBED59E0118B}"/>
    <hyperlink ref="L64" r:id="rId21" display="https://us3.assetplanner.com/service_request?ID=095758" xr:uid="{294A8AE5-FA58-42F7-83E5-D86CD2C4D236}"/>
    <hyperlink ref="L75" r:id="rId22" display="https://us3.assetplanner.com/service_request?ID=096330" xr:uid="{0EC59678-6E88-4710-81EE-5AEE282A1E96}"/>
    <hyperlink ref="L76" r:id="rId23" display="https://us3.assetplanner.com/service_request?ID=095473" xr:uid="{1D40D33B-75F6-4D67-A3E9-9273C734E839}"/>
    <hyperlink ref="M76" r:id="rId24" display="https://us3.assetplanner.com/service_request?ID=096164" xr:uid="{0AC04F6D-2246-4F63-BBA1-75E2A46F8D09}"/>
    <hyperlink ref="L77" r:id="rId25" display="https://us3.assetplanner.com/service_request?ID=096701" xr:uid="{8A1B5B8E-72B3-4E58-89E2-B5A58BAF068B}"/>
    <hyperlink ref="L78" r:id="rId26" display="https://us3.assetplanner.com/service_request?ID=096750" xr:uid="{0D07CB3D-7FDE-4FDB-A1F0-97B4B5FC3A44}"/>
    <hyperlink ref="L79" r:id="rId27" display="https://us3.assetplanner.com/service_request?ID=093972" xr:uid="{D618F1EC-0DD7-4A66-A242-7EEA896B478D}"/>
    <hyperlink ref="L80" r:id="rId28" display="https://us3.assetplanner.com/service_request?ID=095919" xr:uid="{45BAEC9F-368E-4A52-8CD4-22A5C73E0431}"/>
    <hyperlink ref="M80" r:id="rId29" display="https://us3.assetplanner.com/service_request?ID=096726" xr:uid="{88EA7A51-D15B-47AD-8D63-7C1E0A0EE351}"/>
    <hyperlink ref="N80" r:id="rId30" display="https://us3.assetplanner.com/service_request?ID=096907" xr:uid="{E0A8607F-2636-465F-BBBE-899D32A578AD}"/>
    <hyperlink ref="O80" r:id="rId31" display="https://us3.assetplanner.com/service_request?ID=097233" xr:uid="{D5222E29-29F4-4C62-A654-E5FFCA8A1DD3}"/>
    <hyperlink ref="P80" r:id="rId32" display="https://us3.assetplanner.com/service_request?ID=097643" xr:uid="{6B6431AE-0D2F-492E-8B5C-0B335B4CF358}"/>
    <hyperlink ref="L82" r:id="rId33" display="https://us3.assetplanner.com/service_request?ID=095483" xr:uid="{4CEF951C-CB58-4978-AB98-541B69DEB4C6}"/>
    <hyperlink ref="M82" r:id="rId34" display="https://us3.assetplanner.com/service_request?ID=097935" xr:uid="{14A52287-97CA-4DA7-AF8E-264A07CF9B72}"/>
    <hyperlink ref="L83" r:id="rId35" display="https://us3.assetplanner.com/service_request?ID=093024" xr:uid="{C3917813-79C1-4FA8-959E-4E28026A5CC5}"/>
    <hyperlink ref="M83" r:id="rId36" display="https://us3.assetplanner.com/service_request?ID=095445" xr:uid="{D840C3C0-AEAA-4C2A-8787-C5543AC4B2F9}"/>
    <hyperlink ref="N83" r:id="rId37" display="https://us3.assetplanner.com/service_request?ID=097568" xr:uid="{A3F1ABAA-3890-4FEE-9BA5-00F1EB696579}"/>
    <hyperlink ref="L84" r:id="rId38" display="https://us3.assetplanner.com/service_request?ID=096121" xr:uid="{24E21FCA-C4D9-47C3-A602-A3135883F06C}"/>
    <hyperlink ref="M84" r:id="rId39" display="https://us3.assetplanner.com/service_request?ID=096150" xr:uid="{55202D9C-7522-4406-BC1D-A91B0DF1176B}"/>
    <hyperlink ref="N84" r:id="rId40" display="https://us3.assetplanner.com/service_request?ID=096230" xr:uid="{BDE2845D-67DD-4A04-A66A-F891ED46E343}"/>
    <hyperlink ref="O84" r:id="rId41" display="https://us3.assetplanner.com/service_request?ID=096525" xr:uid="{95F80024-2882-408C-B79F-22C690D01D2B}"/>
    <hyperlink ref="P84" r:id="rId42" display="https://us3.assetplanner.com/service_request?ID=097011" xr:uid="{D7E669F7-29CA-4E1A-8D1B-DB2C58E1B45D}"/>
    <hyperlink ref="Q84" r:id="rId43" display="https://us3.assetplanner.com/service_request?ID=097121" xr:uid="{FB3115F0-3A94-436E-9D2C-7F04D4DE5C68}"/>
    <hyperlink ref="L86" r:id="rId44" display="https://us3.assetplanner.com/service_request?ID=094278" xr:uid="{5DAA914C-6E7A-494D-9A71-1DA32FC3F663}"/>
    <hyperlink ref="M86" r:id="rId45" display="https://us3.assetplanner.com/service_request?ID=095991" xr:uid="{D5018612-C02C-409D-8B08-0E53BC37C00C}"/>
    <hyperlink ref="N86" r:id="rId46" display="https://us3.assetplanner.com/service_request?ID=096215" xr:uid="{49FCEB52-7C95-4711-B283-E5D207A932DD}"/>
    <hyperlink ref="L87" r:id="rId47" display="https://us3.assetplanner.com/service_request?ID=097025" xr:uid="{18C0C3FE-C7E7-4F3D-B9C3-1D43F3796470}"/>
    <hyperlink ref="L88" r:id="rId48" display="https://us3.assetplanner.com/service_request?ID=092964" xr:uid="{5AA6A5FF-84A9-4A99-BCB9-1B850A4A6E7F}"/>
    <hyperlink ref="M88" r:id="rId49" display="https://us3.assetplanner.com/service_request?ID=097169" xr:uid="{3C4DFF25-71A3-41CD-A2A1-499DE738BC0E}"/>
    <hyperlink ref="N88" r:id="rId50" display="https://us3.assetplanner.com/service_request?ID=095253" xr:uid="{A15D9542-266E-472F-81BB-6133EEC2B0DB}"/>
    <hyperlink ref="L89" r:id="rId51" display="https://us3.assetplanner.com/service_request?ID=097524" xr:uid="{37DA2F32-0DF0-4358-90C4-1C6FD15E6C13}"/>
    <hyperlink ref="L90" r:id="rId52" display="https://us3.assetplanner.com/service_request?ID=097010" xr:uid="{887E60D0-CA82-4591-9982-FD723C7FB910}"/>
    <hyperlink ref="M90" r:id="rId53" display="https://us3.assetplanner.com/service_request?ID=097162" xr:uid="{BD618824-50E6-42F5-AFCE-E1F785031AD5}"/>
    <hyperlink ref="N90" r:id="rId54" display="https://us3.assetplanner.com/service_request?ID=097599" xr:uid="{469C66D8-8E37-46ED-A8A8-2E00FDDD7E0B}"/>
    <hyperlink ref="O90" r:id="rId55" display="https://us3.assetplanner.com/service_request?ID=097684" xr:uid="{CAE138E1-F362-45A4-994F-A97D44381E83}"/>
    <hyperlink ref="P90" r:id="rId56" display="https://us3.assetplanner.com/service_request?ID=097701" xr:uid="{724E7FB7-3309-4E4A-B4E2-AE319FE29CC4}"/>
    <hyperlink ref="L91" r:id="rId57" display="https://us3.assetplanner.com/service_request?ID=097930" xr:uid="{7909C9B3-667E-4995-9B64-3FD8F76007C6}"/>
    <hyperlink ref="M91" r:id="rId58" display="https://us3.assetplanner.com/service_request?ID=093436" xr:uid="{BFE29071-A752-486C-ABAE-FE5F4AE26AA0}"/>
    <hyperlink ref="L92" r:id="rId59" display="https://us3.assetplanner.com/service_request?ID=096416" xr:uid="{E713E561-C306-49F3-9631-BE8E810C941F}"/>
    <hyperlink ref="M92" r:id="rId60" display="https://us3.assetplanner.com/service_request?ID=097158" xr:uid="{59485463-5BD0-41F6-99DB-083B314355BB}"/>
    <hyperlink ref="N92" r:id="rId61" display="https://us3.assetplanner.com/service_request?ID=097883" xr:uid="{5F2275C0-7253-4C3F-9FA0-3D3F07FC18E9}"/>
    <hyperlink ref="L93" r:id="rId62" display="https://us3.assetplanner.com/service_request?ID=093375" xr:uid="{7987716B-BDF1-4832-B002-266F9B4C5A0D}"/>
    <hyperlink ref="L94" r:id="rId63" display="https://us3.assetplanner.com/service_request?ID=096675" xr:uid="{3A68B2DA-2745-4220-8FC1-A602536EB74E}"/>
    <hyperlink ref="L96" r:id="rId64" display="https://us3.assetplanner.com/service_request?ID=096552" xr:uid="{B923C52D-FC5D-4E72-BEBA-CDE75F429154}"/>
    <hyperlink ref="M96" r:id="rId65" display="https://us3.assetplanner.com/service_request?ID=095852" xr:uid="{D5F1FBF0-38EC-43FA-975A-5FE6234205B9}"/>
    <hyperlink ref="N96" r:id="rId66" display="https://us3.assetplanner.com/service_request?ID=097526" xr:uid="{E8216ED1-1675-48C9-976A-F83C2694ED52}"/>
    <hyperlink ref="L98" r:id="rId67" display="https://us3.assetplanner.com/service_request?ID=095635" xr:uid="{F37A88A5-3C88-42F4-8A17-138BE889AB3D}"/>
    <hyperlink ref="L99" r:id="rId68" display="https://us3.assetplanner.com/service_request?ID=097667" xr:uid="{343F394C-7453-4EE1-A113-5F6513AB20BD}"/>
    <hyperlink ref="L100" r:id="rId69" display="https://us3.assetplanner.com/service_request?ID=097668" xr:uid="{710CF680-5B73-4CF3-B591-DC673C7410B0}"/>
    <hyperlink ref="L102" r:id="rId70" display="https://us3.assetplanner.com/service_request?ID=095109" xr:uid="{185D435D-C091-4D5A-800D-7157DEE4DDEE}"/>
    <hyperlink ref="L103" r:id="rId71" display="https://us3.assetplanner.com/service_request?ID=097685" xr:uid="{FECA3BD2-C9BE-4272-AFD4-2DDBBFC9FE62}"/>
    <hyperlink ref="L104" r:id="rId72" display="https://us3.assetplanner.com/service_request?ID=097686" xr:uid="{5F3B251D-8584-4AE1-A98A-440D0BDF6FD9}"/>
    <hyperlink ref="M104" r:id="rId73" display="https://us3.assetplanner.com/service_request?ID=096177" xr:uid="{BDE956A4-10B0-4D56-9693-B60B7465B413}"/>
    <hyperlink ref="L105" r:id="rId74" display="https://us3.assetplanner.com/service_request?ID=096106" xr:uid="{A788680A-1C46-4860-A1FD-B7BB41DFDEE5}"/>
    <hyperlink ref="M105" r:id="rId75" display="https://us3.assetplanner.com/service_request?ID=095599" xr:uid="{7F4A788E-0417-4E3C-AB97-7BA32EBAE136}"/>
    <hyperlink ref="L107" r:id="rId76" display="https://us3.assetplanner.com/service_request?ID=097829" xr:uid="{8341E7EB-E18B-44BB-9F35-9BB14F53175F}"/>
    <hyperlink ref="L108" r:id="rId77" display="https://us3.assetplanner.com/service_request?ID=094307" xr:uid="{8066982B-F896-4EAA-A400-223C8FC0F7C6}"/>
    <hyperlink ref="M108" r:id="rId78" display="https://us3.assetplanner.com/service_request?ID=096751" xr:uid="{E0909AFB-D6E8-4F05-87C2-1285E159ACF1}"/>
    <hyperlink ref="L110" r:id="rId79" display="https://us3.assetplanner.com/service_request?ID=097457" xr:uid="{35C62058-102D-4593-8CFB-AD7FBC6E8D2E}"/>
    <hyperlink ref="L112" r:id="rId80" display="https://us3.assetplanner.com/service_request?ID=095073" xr:uid="{75D6E89F-C36F-4171-9558-B6B5F7236F36}"/>
    <hyperlink ref="L115" r:id="rId81" display="https://us3.assetplanner.com/service_request?ID=096397" xr:uid="{2F491C18-410B-405D-B289-A5B79D19708B}"/>
    <hyperlink ref="L120" r:id="rId82" display="https://us3.assetplanner.com/service_request?ID=087641" xr:uid="{3F2CCC80-251F-44A6-AC65-8A1A294884C0}"/>
    <hyperlink ref="M120" r:id="rId83" display="https://us3.assetplanner.com/service_request?ID=097740" xr:uid="{C9FD79B2-AA22-438A-8D97-1F2188D32507}"/>
    <hyperlink ref="L125" r:id="rId84" display="https://us3.assetplanner.com/service_request?ID=093354" xr:uid="{7C50154C-E38A-4DC2-8F5E-5F28EB8DAEDB}"/>
    <hyperlink ref="M125" r:id="rId85" display="https://us3.assetplanner.com/service_request?ID=096413" xr:uid="{9154273C-C7A5-47F2-8F93-DE9954013A4C}"/>
    <hyperlink ref="N125" r:id="rId86" display="https://us3.assetplanner.com/service_request?ID=096870" xr:uid="{74F98C1B-42C0-49DD-8278-DDCD2ABC2DD8}"/>
    <hyperlink ref="O125" r:id="rId87" display="https://us3.assetplanner.com/service_request?ID=092301" xr:uid="{A574F120-4290-46BD-9CB5-FB88FBE6AE5E}"/>
    <hyperlink ref="L126" r:id="rId88" display="https://us3.assetplanner.com/service_request?ID=092332" xr:uid="{230FCAD2-A25C-45C5-82BD-1E9738952F1D}"/>
    <hyperlink ref="M126" r:id="rId89" display="https://us3.assetplanner.com/service_request?ID=094825" xr:uid="{3C4C5484-FB27-4DF0-A764-9D7B5980F976}"/>
    <hyperlink ref="N126" r:id="rId90" display="https://us3.assetplanner.com/service_request?ID=095649" xr:uid="{A67F95FA-2B98-49EE-84C1-A7B39AA27B5F}"/>
    <hyperlink ref="O126" r:id="rId91" display="https://us3.assetplanner.com/service_request?ID=096223" xr:uid="{3A55E682-10C2-44F6-A27D-7E1AD8FA6339}"/>
    <hyperlink ref="P126" r:id="rId92" display="https://us3.assetplanner.com/service_request?ID=097176" xr:uid="{C07CB3F6-58B4-454E-BF87-2B2762FA9481}"/>
    <hyperlink ref="L127" r:id="rId93" display="https://us3.assetplanner.com/service_request?ID=088869" xr:uid="{6A561C16-3C70-45ED-B4C5-270579D18D4F}"/>
    <hyperlink ref="M127" r:id="rId94" display="https://us3.assetplanner.com/service_request?ID=092095" xr:uid="{3D64F693-1893-4EEC-B03B-0D537DA3FA04}"/>
    <hyperlink ref="N127" r:id="rId95" display="https://us3.assetplanner.com/service_request?ID=092115" xr:uid="{421D642C-0B5B-4255-A693-8F99C24C55A0}"/>
    <hyperlink ref="O127" r:id="rId96" display="https://us3.assetplanner.com/service_request?ID=092209" xr:uid="{F1150A61-F10B-4A39-BC0A-AD11BDD8D2B4}"/>
    <hyperlink ref="P127" r:id="rId97" display="https://us3.assetplanner.com/service_request?ID=092255" xr:uid="{1CE3C0BE-A6C5-4FDF-87FE-0BEA804A973D}"/>
    <hyperlink ref="Q127" r:id="rId98" display="https://us3.assetplanner.com/service_request?ID=092751" xr:uid="{35EED30F-5AA3-4ACC-99C0-C4A91701224A}"/>
    <hyperlink ref="R127" r:id="rId99" display="https://us3.assetplanner.com/service_request?ID=095850" xr:uid="{2C775B93-2E63-4CF3-A8DE-7655147F3F33}"/>
    <hyperlink ref="S127" r:id="rId100" display="https://us3.assetplanner.com/service_request?ID=094998" xr:uid="{FAE49372-2AA4-4587-AC21-52F933529576}"/>
    <hyperlink ref="L128" r:id="rId101" display="https://us3.assetplanner.com/service_request?ID=095305" xr:uid="{56BE13EA-8705-4BB7-883A-E36013171CC7}"/>
    <hyperlink ref="L131" r:id="rId102" display="https://us3.assetplanner.com/service_request?ID=097968" xr:uid="{FC5AF8DF-6F72-4A0D-93E9-B6E6544860F0}"/>
    <hyperlink ref="L134" r:id="rId103" display="https://us3.assetplanner.com/service_request?ID=095643" xr:uid="{6FF88634-CEF2-40DA-BA3A-CAF5BEBDA2D9}"/>
    <hyperlink ref="L135" r:id="rId104" display="https://us3.assetplanner.com/service_request?ID=095531" xr:uid="{97B64642-3575-4EFC-8258-2453C955558C}"/>
    <hyperlink ref="L136" r:id="rId105" display="https://us3.assetplanner.com/service_request?ID=097968" xr:uid="{7A7FC0E7-7072-421F-B920-658C7B86951B}"/>
    <hyperlink ref="L137" r:id="rId106" display="https://us3.assetplanner.com/service_request?ID=097969" xr:uid="{82ECC1C8-B284-45E5-A08A-D2DC247EFE5E}"/>
    <hyperlink ref="L138" r:id="rId107" display="https://us3.assetplanner.com/service_request?ID=097015" xr:uid="{827FFEB3-5602-4B65-B6A7-A6DD4A19AC0C}"/>
    <hyperlink ref="M138" r:id="rId108" display="https://us3.assetplanner.com/service_request?ID=097436" xr:uid="{5D10A6FF-8313-4C2E-9E1D-192C1D56169C}"/>
    <hyperlink ref="N138" r:id="rId109" display="https://us3.assetplanner.com/service_request?ID=097751" xr:uid="{581984EE-F03E-4508-925B-01868A354E33}"/>
    <hyperlink ref="L139" r:id="rId110" display="https://us3.assetplanner.com/service_request?ID=095821" xr:uid="{86D120A6-A09B-458E-8E18-09050482DE4E}"/>
    <hyperlink ref="M139" r:id="rId111" display="https://us3.assetplanner.com/service_request?ID=097157" xr:uid="{47B232EF-FD33-4B93-80AB-BCACEB55965D}"/>
    <hyperlink ref="N139" r:id="rId112" display="https://us3.assetplanner.com/service_request?ID=097647" xr:uid="{007572A1-19AA-4209-A990-84E0F5B156DF}"/>
    <hyperlink ref="L143" r:id="rId113" display="https://us3.assetplanner.com/service_request?ID=097565" xr:uid="{C6FA95A9-134F-49A5-ABE5-DDA55EB9D5BF}"/>
    <hyperlink ref="L148" r:id="rId114" display="https://us3.assetplanner.com/service_request?ID=097725" xr:uid="{58EB8CFA-F2B6-4043-84A7-0F1F3F55A55D}"/>
    <hyperlink ref="M148" r:id="rId115" display="https://us3.assetplanner.com/service_request?ID=095624" xr:uid="{03FA786B-0367-4CDB-B00D-402775C87BF4}"/>
    <hyperlink ref="L150" r:id="rId116" display="https://us3.assetplanner.com/service_request?ID=096042" xr:uid="{FEC8B34E-414E-44D3-8B5A-0DF6F8784161}"/>
    <hyperlink ref="M150" r:id="rId117" display="https://us3.assetplanner.com/service_request?ID=096682" xr:uid="{19A1308A-466E-47A7-8CC7-6D714D679C31}"/>
    <hyperlink ref="L151" r:id="rId118" display="https://us3.assetplanner.com/service_request?ID=096006" xr:uid="{04D63025-A8D5-4415-9FD6-53A49A398D80}"/>
    <hyperlink ref="L152" r:id="rId119" display="https://us3.assetplanner.com/service_request?ID=096934" xr:uid="{B11EB8B8-F4E9-40D4-BA0F-A0E62003517A}"/>
    <hyperlink ref="L153" r:id="rId120" display="https://us3.assetplanner.com/service_request?ID=097471" xr:uid="{D239B350-D078-4F66-A626-C9AD5482D09E}"/>
    <hyperlink ref="L154" r:id="rId121" display="https://us3.assetplanner.com/service_request?ID=094820" xr:uid="{E136F58E-1474-416F-B463-DCBEEA158E3C}"/>
    <hyperlink ref="L155" r:id="rId122" display="https://us3.assetplanner.com/service_request?ID=095759" xr:uid="{9F758C21-7EB0-4942-A519-34CBE5E2CC8C}"/>
    <hyperlink ref="L156" r:id="rId123" display="https://us3.assetplanner.com/service_request?ID=096669" xr:uid="{3135662F-602E-483B-8E84-83F96D77DC1C}"/>
    <hyperlink ref="M156" r:id="rId124" display="https://us3.assetplanner.com/service_request?ID=097454" xr:uid="{BBADF497-8AEE-4A28-8E2E-625D713F5595}"/>
    <hyperlink ref="L157" r:id="rId125" display="https://us3.assetplanner.com/service_request?ID=096303" xr:uid="{ECD5B7A8-4ECF-415C-AB91-157AE7DEEFB7}"/>
    <hyperlink ref="L158" r:id="rId126" display="https://us3.assetplanner.com/service_request?ID=096906" xr:uid="{BE97AC9C-593A-41AF-B32E-7E6DEB1650B5}"/>
    <hyperlink ref="M158" r:id="rId127" display="https://us3.assetplanner.com/service_request?ID=097179" xr:uid="{8F6E7651-D52D-4624-8106-5AF8A6697204}"/>
    <hyperlink ref="N158" r:id="rId128" display="https://us3.assetplanner.com/service_request?ID=097913" xr:uid="{B22C5EC6-3C7E-4816-ABDA-165B249BEEC6}"/>
    <hyperlink ref="L161" r:id="rId129" display="https://us3.assetplanner.com/service_request?ID=097024" xr:uid="{A747A0B3-7397-4AFB-9C87-ACBA0B98897E}"/>
    <hyperlink ref="M161" r:id="rId130" display="https://us3.assetplanner.com/service_request?ID=097188" xr:uid="{ED3D5DFB-B1DE-48C5-A0C1-B8125EC02A3E}"/>
    <hyperlink ref="L165" r:id="rId131" display="https://us3.assetplanner.com/service_request?ID=095945" xr:uid="{3F958D16-A5EF-4BEB-A72F-867F889AA10D}"/>
    <hyperlink ref="M165" r:id="rId132" display="https://us3.assetplanner.com/service_request?ID=097637" xr:uid="{44FD2A6C-A7BA-48BA-BED0-AF0381838237}"/>
    <hyperlink ref="L166" r:id="rId133" display="https://us3.assetplanner.com/service_request?ID=095946" xr:uid="{62E2C2C2-144A-47D6-8319-F4EAA1768629}"/>
    <hyperlink ref="L167" r:id="rId134" display="https://us3.assetplanner.com/service_request?ID=095948" xr:uid="{BBA4067D-7C1D-4920-A2FE-73BCFFA9313C}"/>
    <hyperlink ref="L168" r:id="rId135" display="https://us3.assetplanner.com/service_request?ID=095950" xr:uid="{0032341E-BC70-44E9-B950-CAD0CEAB1A25}"/>
    <hyperlink ref="L169" r:id="rId136" display="https://us3.assetplanner.com/service_request?ID=095962" xr:uid="{73916FB1-DA8E-43D2-AE83-0334321E8960}"/>
    <hyperlink ref="L170" r:id="rId137" display="https://us3.assetplanner.com/service_request?ID=095954" xr:uid="{62D6BE75-A80A-4EDB-AF61-79F5054B104F}"/>
    <hyperlink ref="L172" r:id="rId138" display="https://us3.assetplanner.com/service_request?ID=095960" xr:uid="{A9B912D1-9078-4883-9180-C839DB7E0D28}"/>
    <hyperlink ref="L175" r:id="rId139" display="https://us3.assetplanner.com/service_request?ID=095956" xr:uid="{4A76B80E-E6F3-49C5-A9A3-663B6119D2DC}"/>
    <hyperlink ref="M175" r:id="rId140" display="https://us3.assetplanner.com/service_request?ID=096424" xr:uid="{0C8F83DB-46F4-469D-BBF2-07B796AD0854}"/>
    <hyperlink ref="L176" r:id="rId141" display="https://us3.assetplanner.com/service_request?ID=095955" xr:uid="{CFD519EE-201A-4DB5-A307-EB36882C8D3F}"/>
    <hyperlink ref="L178" r:id="rId142" display="https://us3.assetplanner.com/service_request?ID=095937" xr:uid="{30B7E966-812F-4C2A-994E-F787ADD22A04}"/>
    <hyperlink ref="L179" r:id="rId143" display="https://us3.assetplanner.com/service_request?ID=095938" xr:uid="{744D2E2B-2289-4C28-BFB4-DA1322B3BD6D}"/>
    <hyperlink ref="L180" r:id="rId144" display="https://us3.assetplanner.com/service_request?ID=095939" xr:uid="{383C6235-E490-4FFF-8952-5DA8C0BAF5EC}"/>
    <hyperlink ref="L182" r:id="rId145" display="https://us3.assetplanner.com/service_request?ID=095941" xr:uid="{F7B86361-D50A-47AF-8306-BB4CEDAE4957}"/>
    <hyperlink ref="M182" r:id="rId146" display="https://us3.assetplanner.com/service_request?ID=095940" xr:uid="{EDCC42B0-BE9E-49B5-895D-DBB00D5BDBA5}"/>
    <hyperlink ref="N182" r:id="rId147" display="https://us3.assetplanner.com/service_request?ID=095940" xr:uid="{216EE549-7641-44BE-8146-8C36A5821027}"/>
    <hyperlink ref="L183" r:id="rId148" display="https://us3.assetplanner.com/service_request?ID=095942" xr:uid="{A1EB3A98-C3BB-40E5-BA39-86F959CB67DE}"/>
    <hyperlink ref="L185" r:id="rId149" display="https://us3.assetplanner.com/service_request?ID=095961" xr:uid="{DF113FAA-4D39-4CCA-89B3-26E5F6109E52}"/>
    <hyperlink ref="M185" r:id="rId150" display="https://us3.assetplanner.com/service_request?ID=097620" xr:uid="{E5A4709E-AE01-4989-9FE3-394B0D414D33}"/>
    <hyperlink ref="L186" r:id="rId151" display="https://us3.assetplanner.com/service_request?ID=096931" xr:uid="{C37BD0B6-DD5D-4EB6-BE78-CA5BF2A26E0C}"/>
    <hyperlink ref="L188" r:id="rId152" display="https://us3.assetplanner.com/service_request?ID=097882" xr:uid="{6725B987-5F3E-4C36-8BAA-73C415249453}"/>
    <hyperlink ref="M188" r:id="rId153" display="https://us3.assetplanner.com/service_request?ID=097602" xr:uid="{117330A8-7D2C-4B60-82F2-127F592618B6}"/>
    <hyperlink ref="L189" r:id="rId154" display="https://us3.assetplanner.com/service_request?ID=096257" xr:uid="{EFA7577F-AA4F-4FDC-A802-449F4F4D1041}"/>
    <hyperlink ref="L17" r:id="rId155" display="https://us3.assetplanner.com/service_request?ID=091894" xr:uid="{B01433A3-04BB-4931-8304-91C6068A824A}"/>
    <hyperlink ref="M17" r:id="rId156" display="https://us3.assetplanner.com/service_request?ID=093029" xr:uid="{7E97F590-D9CF-4E7E-814B-EF4AB820D9C1}"/>
    <hyperlink ref="L191" r:id="rId157" display="https://us3.assetplanner.com/service_request?ID=095492" xr:uid="{86210244-81E4-4BFD-BF7C-18BE0AF3D6F9}"/>
    <hyperlink ref="L192" r:id="rId158" display="https://us3.assetplanner.com/service_request?ID=096195" xr:uid="{BDB2DCD1-B9F2-47CE-B84A-FE84C80620BE}"/>
    <hyperlink ref="M192" r:id="rId159" display="https://us3.assetplanner.com/service_request?ID=097168" xr:uid="{6EEAF20D-416D-4369-AE16-0F95CEAC1BF9}"/>
    <hyperlink ref="L193" r:id="rId160" display="https://us3.assetplanner.com/service_request?ID=095797" xr:uid="{E53B8073-EEFE-400B-BEC0-5114895F8CA1}"/>
    <hyperlink ref="L195" r:id="rId161" display="https://us3.assetplanner.com/service_request?ID=095284" xr:uid="{0F43DF4D-B38D-4F65-A301-98279AE06482}"/>
  </hyperlinks>
  <pageMargins left="0.4" right="0.7" top="0.25" bottom="0.25" header="0.3" footer="0.3"/>
  <pageSetup fitToHeight="99" orientation="landscape"/>
  <legacyDrawing r:id="rId16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200"/>
  <sheetViews>
    <sheetView zoomScale="70" zoomScaleNormal="70" workbookViewId="0">
      <pane xSplit="2" ySplit="3" topLeftCell="C38" activePane="bottomRight" state="frozen"/>
      <selection pane="bottomRight" activeCell="W83" sqref="W8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65" t="str" cm="1">
        <f t="array" ref="A1">portfolio</f>
        <v>Generate Capital</v>
      </c>
      <c r="B1" s="165"/>
      <c r="C1" s="165"/>
      <c r="D1" s="165"/>
      <c r="E1" s="166" t="s">
        <v>467</v>
      </c>
      <c r="F1" s="166"/>
      <c r="G1" s="166"/>
      <c r="H1" s="164" t="s">
        <v>468</v>
      </c>
      <c r="I1" s="164"/>
      <c r="J1" s="164"/>
      <c r="K1" s="4"/>
      <c r="L1" s="4"/>
    </row>
    <row r="2" spans="1:17" ht="19.5" customHeight="1">
      <c r="A2" s="167" t="s">
        <v>2</v>
      </c>
      <c r="B2" s="167"/>
      <c r="C2" s="65"/>
      <c r="D2" s="5">
        <f>SUM(D4:D138)</f>
        <v>23029420.243342992</v>
      </c>
      <c r="E2" s="5">
        <f>SUM(E4:E138)</f>
        <v>8611797.3079999983</v>
      </c>
      <c r="F2" s="5">
        <f>D2-E2</f>
        <v>14417622.935342994</v>
      </c>
      <c r="G2" s="6">
        <f>IFERROR(F2/E2, 0)</f>
        <v>1.6741711886262844</v>
      </c>
      <c r="H2" s="5">
        <f>SUM(H4:H138)</f>
        <v>23915626.092000004</v>
      </c>
      <c r="I2" s="7">
        <f>D2-H2</f>
        <v>-886205.84865701199</v>
      </c>
      <c r="J2" s="6">
        <f>IFERROR(I2/H2, 0)</f>
        <v>-3.7055515304006865E-2</v>
      </c>
      <c r="K2" s="22" t="str">
        <f ca="1">IF(AND(TODAY()&gt;DATE(2024, 3, 1), COUNTA(Sites[Site])&lt;&gt;(COUNT(D:D)-1)), "Some sites are missing actual data; if new sites were added, make sure they are aligned correctly (including prior months!)", "")</f>
        <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8" t="str" cm="1">
        <f t="array" ref="A4:A200">Sites[Site]</f>
        <v>Farmer</v>
      </c>
      <c r="B4" s="25" t="str" cm="1">
        <f t="array" ref="B4:B200">Sites[State]</f>
        <v>AZ</v>
      </c>
      <c r="C4" s="25" t="str">
        <f>Sites[[#This Row],[SOL'#]]</f>
        <v>SOL-10748</v>
      </c>
      <c r="D4" s="20">
        <v>13288.832299539899</v>
      </c>
      <c r="E4" s="10">
        <v>9711.973</v>
      </c>
      <c r="F4" s="10">
        <f>IF(AND(ISNUMBER(D4),ISNUMBER(E4)), D4-E4, "")</f>
        <v>3576.8592995398994</v>
      </c>
      <c r="G4" s="11">
        <f>IFERROR(F4/E4, "")</f>
        <v>0.36829378536574386</v>
      </c>
      <c r="H4" s="12">
        <v>12449.09</v>
      </c>
      <c r="I4" s="12">
        <f>IF(AND(ISNUMBER(D4),ISNUMBER(H4)), D4-H4, "")</f>
        <v>839.74229953989925</v>
      </c>
      <c r="J4" s="13">
        <f>IFERROR(I4/H4, "")</f>
        <v>6.7454111066744579E-2</v>
      </c>
      <c r="K4" s="37"/>
      <c r="L4" s="37"/>
      <c r="M4" s="116"/>
      <c r="N4" s="116"/>
      <c r="O4" s="116"/>
      <c r="P4" s="116"/>
      <c r="Q4" s="116"/>
    </row>
    <row r="5" spans="1:17" ht="15.6">
      <c r="A5" s="26" t="str">
        <v>Fulton</v>
      </c>
      <c r="B5" s="27" t="str">
        <v>AZ</v>
      </c>
      <c r="C5" s="27" t="str">
        <f>Sites[[#This Row],[SOL'#]]</f>
        <v>SOL-10749</v>
      </c>
      <c r="D5" s="9">
        <v>42221.5</v>
      </c>
      <c r="E5" s="14">
        <v>56582.81</v>
      </c>
      <c r="F5" s="14">
        <f t="shared" ref="F5:F13" si="0">IF(AND(ISNUMBER(D5),ISNUMBER(E5)), D5-E5, "")</f>
        <v>-14361.309999999998</v>
      </c>
      <c r="G5" s="15">
        <f>IFERROR(F5/E5, "")</f>
        <v>-0.25381047706891896</v>
      </c>
      <c r="H5" s="16">
        <v>54988.36</v>
      </c>
      <c r="I5" s="16">
        <f t="shared" ref="I5:I17" si="1">IF(AND(ISNUMBER(D5),ISNUMBER(H5)), D5-H5, "")</f>
        <v>-12766.86</v>
      </c>
      <c r="J5" s="15">
        <f t="shared" ref="J5:J17" si="2">IFERROR(I5/H5, "")</f>
        <v>-0.2321738637049732</v>
      </c>
      <c r="K5" s="38" t="s">
        <v>469</v>
      </c>
      <c r="L5" s="38"/>
      <c r="M5" s="116"/>
      <c r="N5" s="116"/>
      <c r="O5" s="116"/>
      <c r="P5" s="116"/>
      <c r="Q5" s="116"/>
    </row>
    <row r="6" spans="1:17" ht="15.6">
      <c r="A6" s="24" t="str">
        <v>JFK Elementary</v>
      </c>
      <c r="B6" s="25" t="str">
        <v>AZ</v>
      </c>
      <c r="C6" s="25" t="str">
        <f>Sites[[#This Row],[SOL'#]]</f>
        <v>SOL-10758</v>
      </c>
      <c r="D6" s="20">
        <v>20097.381575491399</v>
      </c>
      <c r="E6" s="10">
        <v>0</v>
      </c>
      <c r="F6" s="10">
        <f t="shared" si="0"/>
        <v>20097.381575491399</v>
      </c>
      <c r="G6" s="11" t="str">
        <f t="shared" ref="G6:G13" si="3">IFERROR(F6/E6, "")</f>
        <v/>
      </c>
      <c r="H6" s="12">
        <v>18325</v>
      </c>
      <c r="I6" s="12">
        <f t="shared" si="1"/>
        <v>1772.3815754913994</v>
      </c>
      <c r="J6" s="13">
        <f t="shared" si="2"/>
        <v>9.6719321991345128E-2</v>
      </c>
      <c r="K6" s="37"/>
      <c r="L6" s="37"/>
      <c r="M6" s="116"/>
      <c r="N6" s="116"/>
      <c r="O6" s="116"/>
      <c r="P6" s="116"/>
      <c r="Q6" s="116"/>
    </row>
    <row r="7" spans="1:17" ht="15.6">
      <c r="A7" s="26" t="str">
        <v>Noble</v>
      </c>
      <c r="B7" s="27" t="str">
        <v>AZ</v>
      </c>
      <c r="C7" s="27" t="str">
        <f>Sites[[#This Row],[SOL'#]]</f>
        <v>SOL-10750</v>
      </c>
      <c r="D7" s="9">
        <v>12692.9551332059</v>
      </c>
      <c r="E7" s="14">
        <v>16535.37</v>
      </c>
      <c r="F7" s="14">
        <f t="shared" si="0"/>
        <v>-3842.414866794099</v>
      </c>
      <c r="G7" s="15">
        <f t="shared" si="3"/>
        <v>-0.23237549971933494</v>
      </c>
      <c r="H7" s="16">
        <v>13885.41</v>
      </c>
      <c r="I7" s="16">
        <f t="shared" si="1"/>
        <v>-1192.4548667940999</v>
      </c>
      <c r="J7" s="15">
        <f t="shared" si="2"/>
        <v>-8.5878261196039571E-2</v>
      </c>
      <c r="K7" s="38" t="s">
        <v>470</v>
      </c>
      <c r="L7" s="39"/>
      <c r="M7" s="116"/>
      <c r="N7" s="116"/>
      <c r="O7" s="116"/>
      <c r="P7" s="116"/>
      <c r="Q7" s="116"/>
    </row>
    <row r="8" spans="1:17" ht="15.6">
      <c r="A8" s="24" t="str">
        <v>Parking 3</v>
      </c>
      <c r="B8" s="25" t="str">
        <v>AZ</v>
      </c>
      <c r="C8" s="25" t="str">
        <f>Sites[[#This Row],[SOL'#]]</f>
        <v>SOL-10751</v>
      </c>
      <c r="D8" s="20">
        <v>33035.537499999999</v>
      </c>
      <c r="E8" s="10">
        <v>27961.55</v>
      </c>
      <c r="F8" s="10">
        <f t="shared" si="0"/>
        <v>5073.9874999999993</v>
      </c>
      <c r="G8" s="11">
        <f t="shared" si="3"/>
        <v>0.18146302690659136</v>
      </c>
      <c r="H8" s="12">
        <v>30171.63</v>
      </c>
      <c r="I8" s="12">
        <f t="shared" si="1"/>
        <v>2863.9074999999975</v>
      </c>
      <c r="J8" s="13">
        <f t="shared" si="2"/>
        <v>9.4920542907360239E-2</v>
      </c>
      <c r="K8" s="37"/>
      <c r="L8" s="37"/>
      <c r="M8" s="116"/>
      <c r="N8" s="116"/>
      <c r="O8" s="116"/>
      <c r="P8" s="116"/>
      <c r="Q8" s="116"/>
    </row>
    <row r="9" spans="1:17" ht="15.6">
      <c r="A9" s="26" t="str">
        <v>PE East</v>
      </c>
      <c r="B9" s="27" t="str">
        <v>AZ</v>
      </c>
      <c r="C9" s="27" t="str">
        <f>Sites[[#This Row],[SOL'#]]</f>
        <v>SOL-10752</v>
      </c>
      <c r="D9" s="9">
        <v>29237.425248885502</v>
      </c>
      <c r="E9" s="14">
        <v>21855.16</v>
      </c>
      <c r="F9" s="14">
        <f t="shared" si="0"/>
        <v>7382.2652488855019</v>
      </c>
      <c r="G9" s="15">
        <f t="shared" si="3"/>
        <v>0.33778134083143302</v>
      </c>
      <c r="H9" s="16">
        <v>29448.2</v>
      </c>
      <c r="I9" s="16">
        <f t="shared" si="1"/>
        <v>-210.77475111449894</v>
      </c>
      <c r="J9" s="15">
        <f t="shared" si="2"/>
        <v>-7.1574748580388254E-3</v>
      </c>
      <c r="K9" s="38"/>
      <c r="L9" s="39"/>
      <c r="M9" s="116"/>
      <c r="N9" s="116"/>
      <c r="O9" s="116"/>
      <c r="P9" s="116"/>
      <c r="Q9" s="116"/>
    </row>
    <row r="10" spans="1:17" ht="48.75" customHeight="1">
      <c r="A10" s="24" t="str">
        <v>Schwada</v>
      </c>
      <c r="B10" s="25" t="str">
        <v>AZ</v>
      </c>
      <c r="C10" s="25" t="str">
        <f>Sites[[#This Row],[SOL'#]]</f>
        <v>SOL-10753</v>
      </c>
      <c r="D10" s="20">
        <v>13317.95</v>
      </c>
      <c r="E10" s="10">
        <v>8997.9380000000001</v>
      </c>
      <c r="F10" s="10">
        <f t="shared" si="0"/>
        <v>4320.0120000000006</v>
      </c>
      <c r="G10" s="11">
        <f t="shared" si="3"/>
        <v>0.48011133217410484</v>
      </c>
      <c r="H10" s="12">
        <v>12103</v>
      </c>
      <c r="I10" s="12">
        <f t="shared" si="1"/>
        <v>1214.9500000000007</v>
      </c>
      <c r="J10" s="13">
        <f t="shared" si="2"/>
        <v>0.10038420226390157</v>
      </c>
      <c r="K10" s="37" t="s">
        <v>471</v>
      </c>
      <c r="L10" s="124" t="s">
        <v>472</v>
      </c>
      <c r="M10" s="116"/>
      <c r="N10" s="116"/>
      <c r="O10" s="116"/>
      <c r="P10" s="116"/>
      <c r="Q10" s="116"/>
    </row>
    <row r="11" spans="1:17" ht="15.6">
      <c r="A11" s="26" t="str">
        <v>Starshine</v>
      </c>
      <c r="B11" s="27" t="str">
        <v>AZ</v>
      </c>
      <c r="C11" s="27" t="str">
        <f>Sites[[#This Row],[SOL'#]]</f>
        <v>SOL-10757</v>
      </c>
      <c r="D11" s="9">
        <v>7975.0934249080001</v>
      </c>
      <c r="E11" s="14">
        <v>0</v>
      </c>
      <c r="F11" s="14">
        <f t="shared" si="0"/>
        <v>7975.0934249080001</v>
      </c>
      <c r="G11" s="15" t="str">
        <f t="shared" si="3"/>
        <v/>
      </c>
      <c r="H11" s="16">
        <v>7972</v>
      </c>
      <c r="I11" s="16">
        <f t="shared" si="1"/>
        <v>3.0934249080000882</v>
      </c>
      <c r="J11" s="15">
        <f t="shared" si="2"/>
        <v>3.8803624034120524E-4</v>
      </c>
      <c r="K11" s="38"/>
      <c r="L11" s="56"/>
      <c r="M11" s="116"/>
      <c r="N11" s="116"/>
      <c r="O11" s="116"/>
      <c r="P11" s="116"/>
      <c r="Q11" s="116"/>
    </row>
    <row r="12" spans="1:17" ht="72">
      <c r="A12" s="24" t="str">
        <v>Yuma Airport</v>
      </c>
      <c r="B12" s="25" t="str">
        <v>AZ</v>
      </c>
      <c r="C12" s="25" t="str">
        <f>Sites[[#This Row],[SOL'#]]</f>
        <v>SOL-10754</v>
      </c>
      <c r="D12" s="20">
        <v>74110</v>
      </c>
      <c r="E12" s="10">
        <v>92036.91</v>
      </c>
      <c r="F12" s="10">
        <f t="shared" si="0"/>
        <v>-17926.910000000003</v>
      </c>
      <c r="G12" s="11">
        <f t="shared" si="3"/>
        <v>-0.19477957267361543</v>
      </c>
      <c r="H12" s="12">
        <v>84448</v>
      </c>
      <c r="I12" s="12">
        <f t="shared" si="1"/>
        <v>-10338</v>
      </c>
      <c r="J12" s="13">
        <f t="shared" si="2"/>
        <v>-0.12241852974611596</v>
      </c>
      <c r="K12" s="37" t="s">
        <v>473</v>
      </c>
      <c r="L12" s="124" t="s">
        <v>474</v>
      </c>
      <c r="M12" s="115" t="s">
        <v>475</v>
      </c>
      <c r="N12" s="115" t="s">
        <v>476</v>
      </c>
      <c r="O12" s="116"/>
      <c r="P12" s="116"/>
      <c r="Q12" s="116"/>
    </row>
    <row r="13" spans="1:17" ht="18.75" customHeight="1">
      <c r="A13" s="26" t="str">
        <v>Kinsman</v>
      </c>
      <c r="B13" s="27" t="str">
        <v>OH</v>
      </c>
      <c r="C13" s="27" t="str">
        <f>Sites[[#This Row],[SOL'#]]</f>
        <v>SOL-10762</v>
      </c>
      <c r="D13" s="9">
        <v>78227.25</v>
      </c>
      <c r="E13" s="14">
        <v>108563.3</v>
      </c>
      <c r="F13" s="14">
        <f t="shared" si="0"/>
        <v>-30336.050000000003</v>
      </c>
      <c r="G13" s="15">
        <f t="shared" si="3"/>
        <v>-0.2794319074678091</v>
      </c>
      <c r="H13" s="16">
        <v>90856</v>
      </c>
      <c r="I13" s="16">
        <f t="shared" si="1"/>
        <v>-12628.75</v>
      </c>
      <c r="J13" s="15">
        <f t="shared" si="2"/>
        <v>-0.1389974244959056</v>
      </c>
      <c r="K13" s="38" t="s">
        <v>477</v>
      </c>
      <c r="L13" s="39"/>
      <c r="M13" s="116"/>
      <c r="N13" s="116"/>
      <c r="O13" s="116"/>
      <c r="P13" s="116"/>
      <c r="Q13" s="116"/>
    </row>
    <row r="14" spans="1:17" ht="28.9">
      <c r="A14" s="24" t="str">
        <v>Wooster</v>
      </c>
      <c r="B14" s="25" t="str">
        <v>OH</v>
      </c>
      <c r="C14" s="25" t="str">
        <f>Sites[[#This Row],[SOL'#]]</f>
        <v>SOL-10763</v>
      </c>
      <c r="D14" s="20">
        <v>16955</v>
      </c>
      <c r="E14" s="10">
        <v>0</v>
      </c>
      <c r="F14" s="10">
        <f t="shared" ref="F14:F77" si="4">IF(AND(ISNUMBER(D14),ISNUMBER(E14)), D14-E14, "")</f>
        <v>16955</v>
      </c>
      <c r="G14" s="11" t="str">
        <f t="shared" ref="G14:G77" si="5">IFERROR(F14/E14, "")</f>
        <v/>
      </c>
      <c r="H14" s="12">
        <v>21245</v>
      </c>
      <c r="I14" s="12">
        <f t="shared" si="1"/>
        <v>-4290</v>
      </c>
      <c r="J14" s="13">
        <f t="shared" si="2"/>
        <v>-0.20192986585078843</v>
      </c>
      <c r="K14" s="37" t="s">
        <v>32</v>
      </c>
      <c r="L14" s="124" t="s">
        <v>274</v>
      </c>
      <c r="M14" s="116"/>
      <c r="N14" s="116"/>
      <c r="O14" s="116"/>
      <c r="P14" s="116"/>
      <c r="Q14" s="116"/>
    </row>
    <row r="15" spans="1:17" ht="43.15">
      <c r="A15" s="26" t="str">
        <v>Globe Gila CC</v>
      </c>
      <c r="B15" s="27" t="str">
        <v>AZ</v>
      </c>
      <c r="C15" s="27" t="str">
        <f>Sites[[#This Row],[SOL'#]]</f>
        <v>SOL-10755</v>
      </c>
      <c r="D15" s="9">
        <v>18296.189573258402</v>
      </c>
      <c r="E15" s="14">
        <v>0</v>
      </c>
      <c r="F15" s="14">
        <f t="shared" si="4"/>
        <v>18296.189573258402</v>
      </c>
      <c r="G15" s="15" t="str">
        <f t="shared" si="5"/>
        <v/>
      </c>
      <c r="H15" s="16">
        <v>16233</v>
      </c>
      <c r="I15" s="16">
        <f t="shared" si="1"/>
        <v>2063.1895732584017</v>
      </c>
      <c r="J15" s="15">
        <f t="shared" si="2"/>
        <v>0.12709847676082064</v>
      </c>
      <c r="K15" s="38" t="s">
        <v>478</v>
      </c>
      <c r="L15" s="125" t="s">
        <v>479</v>
      </c>
      <c r="M15" s="116"/>
      <c r="N15" s="116"/>
      <c r="O15" s="116"/>
      <c r="P15" s="116"/>
      <c r="Q15" s="116"/>
    </row>
    <row r="16" spans="1:17" ht="28.9">
      <c r="A16" s="24" t="str">
        <v>Payson Gila CC</v>
      </c>
      <c r="B16" s="25" t="str">
        <v>AZ</v>
      </c>
      <c r="C16" s="25" t="str">
        <f>Sites[[#This Row],[SOL'#]]</f>
        <v>SOL-10756</v>
      </c>
      <c r="D16" s="20">
        <v>11053.8825619249</v>
      </c>
      <c r="E16" s="10">
        <v>6175.991</v>
      </c>
      <c r="F16" s="10">
        <f t="shared" si="4"/>
        <v>4877.8915619249001</v>
      </c>
      <c r="G16" s="11">
        <f t="shared" si="5"/>
        <v>0.78981519920040366</v>
      </c>
      <c r="H16" s="12">
        <v>12175</v>
      </c>
      <c r="I16" s="12">
        <f t="shared" si="1"/>
        <v>-1121.1174380750999</v>
      </c>
      <c r="J16" s="13">
        <f t="shared" si="2"/>
        <v>-9.2083567809043115E-2</v>
      </c>
      <c r="K16" s="37" t="s">
        <v>36</v>
      </c>
      <c r="L16" s="124" t="s">
        <v>275</v>
      </c>
      <c r="M16" s="116"/>
      <c r="N16" s="116"/>
      <c r="O16" s="116"/>
      <c r="P16" s="116"/>
      <c r="Q16" s="116"/>
    </row>
    <row r="17" spans="1:17" ht="72">
      <c r="A17" s="26" t="str">
        <v>SCNM</v>
      </c>
      <c r="B17" s="27" t="str">
        <v>AZ</v>
      </c>
      <c r="C17" s="27" t="str">
        <f>Sites[[#This Row],[SOL'#]]</f>
        <v>SOL-10760</v>
      </c>
      <c r="D17" s="9">
        <v>81728.5</v>
      </c>
      <c r="E17" s="14">
        <v>44039.82</v>
      </c>
      <c r="F17" s="14">
        <f t="shared" si="4"/>
        <v>37688.68</v>
      </c>
      <c r="G17" s="15">
        <f t="shared" si="5"/>
        <v>0.85578642237865643</v>
      </c>
      <c r="H17" s="16">
        <v>79094</v>
      </c>
      <c r="I17" s="16">
        <f t="shared" si="1"/>
        <v>2634.5</v>
      </c>
      <c r="J17" s="15">
        <f t="shared" si="2"/>
        <v>3.3308468404683038E-2</v>
      </c>
      <c r="K17" s="155" t="s">
        <v>38</v>
      </c>
      <c r="L17" s="125" t="s">
        <v>480</v>
      </c>
      <c r="M17" s="115" t="s">
        <v>40</v>
      </c>
      <c r="N17" s="115" t="s">
        <v>40</v>
      </c>
      <c r="O17" s="116"/>
      <c r="P17" s="116"/>
      <c r="Q17" s="116"/>
    </row>
    <row r="18" spans="1:17" ht="19.5" customHeight="1">
      <c r="A18" s="24" t="str">
        <v>Sequoia Charter School</v>
      </c>
      <c r="B18" s="25" t="str">
        <v>AZ</v>
      </c>
      <c r="C18" s="25" t="str">
        <f>Sites[[#This Row],[SOL'#]]</f>
        <v>SOL-10759</v>
      </c>
      <c r="D18" s="20">
        <v>29264.439999999799</v>
      </c>
      <c r="E18" s="10">
        <v>0</v>
      </c>
      <c r="F18" s="10">
        <f t="shared" si="4"/>
        <v>29264.439999999799</v>
      </c>
      <c r="G18" s="11" t="str">
        <f t="shared" si="5"/>
        <v/>
      </c>
      <c r="H18" s="12">
        <v>44257</v>
      </c>
      <c r="I18" s="12">
        <f t="shared" ref="I18:I81" si="6">IF(AND(ISNUMBER(D18),ISNUMBER(H18)), D18-H18, "")</f>
        <v>-14992.560000000201</v>
      </c>
      <c r="J18" s="13">
        <f t="shared" ref="J18:J81" si="7">IFERROR(I18/H18, "")</f>
        <v>-0.33876132589195385</v>
      </c>
      <c r="K18" s="37" t="s">
        <v>481</v>
      </c>
      <c r="L18" s="37"/>
      <c r="M18" s="116"/>
      <c r="N18" s="116"/>
      <c r="O18" s="116"/>
      <c r="P18" s="116"/>
      <c r="Q18" s="116"/>
    </row>
    <row r="19" spans="1:17" ht="66" customHeight="1">
      <c r="A19" s="26" t="str">
        <v>RCAB</v>
      </c>
      <c r="B19" s="27" t="str">
        <v>MA</v>
      </c>
      <c r="C19" s="27" t="str">
        <f>Sites[[#This Row],[SOL'#]]</f>
        <v>SOL-10838</v>
      </c>
      <c r="D19" s="9">
        <v>96858.5</v>
      </c>
      <c r="E19" s="14">
        <v>110706.1</v>
      </c>
      <c r="F19" s="14">
        <f t="shared" si="4"/>
        <v>-13847.600000000006</v>
      </c>
      <c r="G19" s="15">
        <f t="shared" si="5"/>
        <v>-0.12508434494576184</v>
      </c>
      <c r="H19" s="16">
        <v>95014.76</v>
      </c>
      <c r="I19" s="16">
        <f t="shared" si="6"/>
        <v>1843.7400000000052</v>
      </c>
      <c r="J19" s="15">
        <f t="shared" si="7"/>
        <v>1.9404774584496191E-2</v>
      </c>
      <c r="K19" s="38" t="s">
        <v>482</v>
      </c>
      <c r="L19" s="125" t="s">
        <v>483</v>
      </c>
      <c r="M19" s="115" t="s">
        <v>484</v>
      </c>
      <c r="N19" s="116"/>
      <c r="O19" s="116"/>
      <c r="P19" s="116"/>
      <c r="Q19" s="116"/>
    </row>
    <row r="20" spans="1:17" ht="15.6">
      <c r="A20" s="24" t="str">
        <v>Spectro Coatings</v>
      </c>
      <c r="B20" s="25" t="str">
        <v>MA</v>
      </c>
      <c r="C20" s="25" t="str">
        <f>Sites[[#This Row],[SOL'#]]</f>
        <v>SOL-10074</v>
      </c>
      <c r="D20" s="20">
        <v>29497.125</v>
      </c>
      <c r="E20" s="10">
        <v>30344.75</v>
      </c>
      <c r="F20" s="10">
        <f t="shared" si="4"/>
        <v>-847.625</v>
      </c>
      <c r="G20" s="11">
        <f t="shared" si="5"/>
        <v>-2.7933168010940937E-2</v>
      </c>
      <c r="H20" s="12">
        <v>26271.08</v>
      </c>
      <c r="I20" s="12">
        <f t="shared" si="6"/>
        <v>3226.0449999999983</v>
      </c>
      <c r="J20" s="13">
        <f t="shared" si="7"/>
        <v>0.12279833946682048</v>
      </c>
      <c r="K20" s="37"/>
      <c r="L20" s="37"/>
      <c r="M20" s="116"/>
      <c r="N20" s="116"/>
      <c r="O20" s="116"/>
      <c r="P20" s="116"/>
      <c r="Q20" s="116"/>
    </row>
    <row r="21" spans="1:17" ht="15.6">
      <c r="A21" s="26" t="str">
        <v>K026</v>
      </c>
      <c r="B21" s="27" t="str">
        <v>NY</v>
      </c>
      <c r="C21" s="27" t="str">
        <f>Sites[[#This Row],[SOL'#]]</f>
        <v>SOL-10356</v>
      </c>
      <c r="D21" s="9">
        <v>30245.6249999998</v>
      </c>
      <c r="E21" s="14">
        <v>32051.82</v>
      </c>
      <c r="F21" s="14">
        <f t="shared" si="4"/>
        <v>-1806.1950000001998</v>
      </c>
      <c r="G21" s="15">
        <f t="shared" si="5"/>
        <v>-5.6352338182362183E-2</v>
      </c>
      <c r="H21" s="16">
        <v>24603.88</v>
      </c>
      <c r="I21" s="16">
        <f t="shared" si="6"/>
        <v>5641.7449999997989</v>
      </c>
      <c r="J21" s="15">
        <f t="shared" si="7"/>
        <v>0.22930306114319363</v>
      </c>
      <c r="K21" s="38"/>
      <c r="L21" s="39"/>
      <c r="M21" s="116"/>
      <c r="N21" s="116"/>
      <c r="O21" s="116"/>
      <c r="P21" s="116"/>
      <c r="Q21" s="116"/>
    </row>
    <row r="22" spans="1:17" ht="15.6">
      <c r="A22" s="24" t="str">
        <v>K041</v>
      </c>
      <c r="B22" s="25" t="str">
        <v>NY</v>
      </c>
      <c r="C22" s="25" t="str">
        <f>Sites[[#This Row],[SOL'#]]</f>
        <v>SOL-10357</v>
      </c>
      <c r="D22" s="20">
        <v>22872.640625</v>
      </c>
      <c r="E22" s="10">
        <v>25521.62</v>
      </c>
      <c r="F22" s="10">
        <f t="shared" si="4"/>
        <v>-2648.979374999999</v>
      </c>
      <c r="G22" s="11">
        <f t="shared" si="5"/>
        <v>-0.10379354347412112</v>
      </c>
      <c r="H22" s="12">
        <v>22285</v>
      </c>
      <c r="I22" s="12">
        <f t="shared" si="6"/>
        <v>587.640625</v>
      </c>
      <c r="J22" s="13">
        <f t="shared" si="7"/>
        <v>2.6369334754319049E-2</v>
      </c>
      <c r="K22" s="37" t="s">
        <v>485</v>
      </c>
      <c r="L22" s="37"/>
      <c r="M22" s="116"/>
      <c r="N22" s="116"/>
      <c r="O22" s="116"/>
      <c r="P22" s="116"/>
      <c r="Q22" s="116"/>
    </row>
    <row r="23" spans="1:17" ht="66.75" customHeight="1">
      <c r="A23" s="26" t="str">
        <v>K043</v>
      </c>
      <c r="B23" s="27" t="str">
        <v>NY</v>
      </c>
      <c r="C23" s="27" t="str">
        <f>Sites[[#This Row],[SOL'#]]</f>
        <v>SOL-10358</v>
      </c>
      <c r="D23" s="9">
        <v>26995.0625</v>
      </c>
      <c r="E23" s="14">
        <v>28403.98</v>
      </c>
      <c r="F23" s="14">
        <f t="shared" si="4"/>
        <v>-1408.9174999999996</v>
      </c>
      <c r="G23" s="15">
        <f t="shared" si="5"/>
        <v>-4.9602819745683514E-2</v>
      </c>
      <c r="H23" s="16">
        <v>4961</v>
      </c>
      <c r="I23" s="16">
        <f t="shared" si="6"/>
        <v>22034.0625</v>
      </c>
      <c r="J23" s="15">
        <f t="shared" si="7"/>
        <v>4.4414558556742589</v>
      </c>
      <c r="K23" s="56" t="s">
        <v>486</v>
      </c>
      <c r="L23" s="127" t="s">
        <v>487</v>
      </c>
      <c r="M23" s="116"/>
      <c r="N23" s="116"/>
      <c r="O23" s="116"/>
      <c r="P23" s="116"/>
      <c r="Q23" s="116"/>
    </row>
    <row r="24" spans="1:17" ht="17.25" customHeight="1">
      <c r="A24" s="24" t="str">
        <v>K058</v>
      </c>
      <c r="B24" s="25" t="str">
        <v>NY</v>
      </c>
      <c r="C24" s="25" t="str">
        <f>Sites[[#This Row],[SOL'#]]</f>
        <v>SOL-10360</v>
      </c>
      <c r="D24" s="20">
        <v>0</v>
      </c>
      <c r="E24" s="10">
        <v>0</v>
      </c>
      <c r="F24" s="10">
        <f t="shared" si="4"/>
        <v>0</v>
      </c>
      <c r="G24" s="11" t="str">
        <f t="shared" si="5"/>
        <v/>
      </c>
      <c r="H24" s="12">
        <v>18804</v>
      </c>
      <c r="I24" s="12">
        <f t="shared" si="6"/>
        <v>-18804</v>
      </c>
      <c r="J24" s="13">
        <f t="shared" si="7"/>
        <v>-1</v>
      </c>
      <c r="K24" s="37" t="s">
        <v>488</v>
      </c>
      <c r="L24" s="124" t="s">
        <v>282</v>
      </c>
      <c r="M24" s="116"/>
      <c r="N24" s="116"/>
      <c r="O24" s="116"/>
      <c r="P24" s="116"/>
      <c r="Q24" s="116"/>
    </row>
    <row r="25" spans="1:17" ht="15.6">
      <c r="A25" s="26" t="str">
        <v>K115</v>
      </c>
      <c r="B25" s="27" t="str">
        <v>NY</v>
      </c>
      <c r="C25" s="27" t="str">
        <f>Sites[[#This Row],[SOL'#]]</f>
        <v>SOL-10361</v>
      </c>
      <c r="D25" s="9">
        <v>5929.1796875</v>
      </c>
      <c r="E25" s="14">
        <v>10638.23</v>
      </c>
      <c r="F25" s="14">
        <f t="shared" si="4"/>
        <v>-4709.0503124999996</v>
      </c>
      <c r="G25" s="15">
        <f t="shared" si="5"/>
        <v>-0.44265355350467134</v>
      </c>
      <c r="H25" s="16">
        <v>12280.17</v>
      </c>
      <c r="I25" s="16">
        <f t="shared" si="6"/>
        <v>-6350.9903125000001</v>
      </c>
      <c r="J25" s="15">
        <f t="shared" si="7"/>
        <v>-0.51717446195777417</v>
      </c>
      <c r="K25" s="38" t="s">
        <v>489</v>
      </c>
      <c r="L25" s="127" t="s">
        <v>49</v>
      </c>
      <c r="M25" s="116"/>
      <c r="N25" s="116"/>
      <c r="O25" s="116"/>
      <c r="P25" s="116"/>
      <c r="Q25" s="116"/>
    </row>
    <row r="26" spans="1:17" ht="15.6">
      <c r="A26" s="24" t="str">
        <v>K152</v>
      </c>
      <c r="B26" s="25" t="str">
        <v>NY</v>
      </c>
      <c r="C26" s="25" t="str">
        <f>Sites[[#This Row],[SOL'#]]</f>
        <v>SOL-10362</v>
      </c>
      <c r="D26" s="20">
        <v>8515.59375</v>
      </c>
      <c r="E26" s="10">
        <v>8763.652</v>
      </c>
      <c r="F26" s="10">
        <f t="shared" si="4"/>
        <v>-248.05825000000004</v>
      </c>
      <c r="G26" s="11">
        <f t="shared" si="5"/>
        <v>-2.8305351467630167E-2</v>
      </c>
      <c r="H26" s="12">
        <v>7172</v>
      </c>
      <c r="I26" s="12">
        <f t="shared" si="6"/>
        <v>1343.59375</v>
      </c>
      <c r="J26" s="13">
        <f t="shared" si="7"/>
        <v>0.18733878276631344</v>
      </c>
      <c r="K26" s="37"/>
      <c r="L26" s="37"/>
      <c r="M26" s="116"/>
      <c r="N26" s="116"/>
      <c r="O26" s="116"/>
      <c r="P26" s="116"/>
      <c r="Q26" s="116"/>
    </row>
    <row r="27" spans="1:17" ht="15.6">
      <c r="A27" s="26" t="str">
        <v>K166</v>
      </c>
      <c r="B27" s="27" t="str">
        <v>NY</v>
      </c>
      <c r="C27" s="27" t="str">
        <f>Sites[[#This Row],[SOL'#]]</f>
        <v>SOL-10363</v>
      </c>
      <c r="D27" s="9">
        <v>30869.625</v>
      </c>
      <c r="E27" s="14">
        <v>32488.02</v>
      </c>
      <c r="F27" s="14">
        <f t="shared" si="4"/>
        <v>-1618.3950000000004</v>
      </c>
      <c r="G27" s="15">
        <f t="shared" si="5"/>
        <v>-4.9815131854757548E-2</v>
      </c>
      <c r="H27" s="16">
        <v>25933.759999999998</v>
      </c>
      <c r="I27" s="16">
        <f t="shared" si="6"/>
        <v>4935.8650000000016</v>
      </c>
      <c r="J27" s="15">
        <f t="shared" si="7"/>
        <v>0.1903258532507435</v>
      </c>
      <c r="K27" s="38"/>
      <c r="L27" s="39"/>
      <c r="M27" s="116"/>
      <c r="N27" s="116"/>
      <c r="O27" s="116"/>
      <c r="P27" s="116"/>
      <c r="Q27" s="116"/>
    </row>
    <row r="28" spans="1:17" ht="15.6">
      <c r="A28" s="24" t="str">
        <v>K206</v>
      </c>
      <c r="B28" s="25" t="str">
        <v>NY</v>
      </c>
      <c r="C28" s="25" t="str">
        <f>Sites[[#This Row],[SOL'#]]</f>
        <v>SOL-10927</v>
      </c>
      <c r="D28" s="20">
        <v>17927.302265625</v>
      </c>
      <c r="E28" s="10">
        <v>18527.810000000001</v>
      </c>
      <c r="F28" s="10">
        <f t="shared" si="4"/>
        <v>-600.50773437500175</v>
      </c>
      <c r="G28" s="11">
        <f t="shared" si="5"/>
        <v>-3.2411155682997704E-2</v>
      </c>
      <c r="H28" s="12">
        <v>15907</v>
      </c>
      <c r="I28" s="12">
        <f t="shared" si="6"/>
        <v>2020.3022656249996</v>
      </c>
      <c r="J28" s="13">
        <f t="shared" si="7"/>
        <v>0.12700712048940715</v>
      </c>
      <c r="K28" s="37"/>
      <c r="L28" s="37"/>
      <c r="M28" s="116"/>
      <c r="N28" s="116"/>
      <c r="O28" s="116"/>
      <c r="P28" s="116"/>
      <c r="Q28" s="116"/>
    </row>
    <row r="29" spans="1:17" ht="15.6">
      <c r="A29" s="26" t="str">
        <v>K251</v>
      </c>
      <c r="B29" s="27" t="str">
        <v>NY</v>
      </c>
      <c r="C29" s="27" t="str">
        <f>Sites[[#This Row],[SOL'#]]</f>
        <v>SOL-10365</v>
      </c>
      <c r="D29" s="9">
        <v>19829.9375</v>
      </c>
      <c r="E29" s="14">
        <v>0</v>
      </c>
      <c r="F29" s="14">
        <f t="shared" si="4"/>
        <v>19829.9375</v>
      </c>
      <c r="G29" s="15" t="str">
        <f t="shared" si="5"/>
        <v/>
      </c>
      <c r="H29" s="16">
        <v>16761.96</v>
      </c>
      <c r="I29" s="16">
        <f t="shared" si="6"/>
        <v>3067.9775000000009</v>
      </c>
      <c r="J29" s="15">
        <f t="shared" si="7"/>
        <v>0.18303214540542997</v>
      </c>
      <c r="K29" s="38" t="s">
        <v>490</v>
      </c>
      <c r="L29" s="127" t="s">
        <v>284</v>
      </c>
      <c r="M29" s="116"/>
      <c r="N29" s="116"/>
      <c r="O29" s="116"/>
      <c r="P29" s="116"/>
      <c r="Q29" s="116"/>
    </row>
    <row r="30" spans="1:17" ht="15.6">
      <c r="A30" s="24" t="str">
        <v>K269</v>
      </c>
      <c r="B30" s="25" t="str">
        <v>NY</v>
      </c>
      <c r="C30" s="25" t="str">
        <f>Sites[[#This Row],[SOL'#]]</f>
        <v>SOL-10366</v>
      </c>
      <c r="D30" s="20">
        <v>18251.1875</v>
      </c>
      <c r="E30" s="10">
        <v>21299.75</v>
      </c>
      <c r="F30" s="10">
        <f t="shared" si="4"/>
        <v>-3048.5625</v>
      </c>
      <c r="G30" s="11">
        <f t="shared" si="5"/>
        <v>-0.14312667989060904</v>
      </c>
      <c r="H30" s="12">
        <v>17272.78</v>
      </c>
      <c r="I30" s="12">
        <f t="shared" si="6"/>
        <v>978.40750000000116</v>
      </c>
      <c r="J30" s="13">
        <f t="shared" si="7"/>
        <v>5.664447182213872E-2</v>
      </c>
      <c r="K30" s="37" t="s">
        <v>491</v>
      </c>
      <c r="L30" s="37"/>
      <c r="M30" s="116"/>
      <c r="N30" s="116"/>
      <c r="O30" s="116"/>
      <c r="P30" s="116"/>
      <c r="Q30" s="116"/>
    </row>
    <row r="31" spans="1:17" ht="57.6">
      <c r="A31" s="26" t="str">
        <v>K273</v>
      </c>
      <c r="B31" s="27" t="str">
        <v>NY</v>
      </c>
      <c r="C31" s="27" t="str">
        <f>Sites[[#This Row],[SOL'#]]</f>
        <v>SOL-10367</v>
      </c>
      <c r="D31" s="9">
        <v>19471.3125</v>
      </c>
      <c r="E31" s="14">
        <v>0</v>
      </c>
      <c r="F31" s="14">
        <f t="shared" si="4"/>
        <v>19471.3125</v>
      </c>
      <c r="G31" s="15" t="str">
        <f t="shared" si="5"/>
        <v/>
      </c>
      <c r="H31" s="16">
        <v>19892</v>
      </c>
      <c r="I31" s="16">
        <f t="shared" si="6"/>
        <v>-420.6875</v>
      </c>
      <c r="J31" s="15">
        <f t="shared" si="7"/>
        <v>-2.1148577317514579E-2</v>
      </c>
      <c r="K31" s="38" t="s">
        <v>492</v>
      </c>
      <c r="L31" s="127" t="s">
        <v>493</v>
      </c>
      <c r="M31" s="115" t="s">
        <v>55</v>
      </c>
      <c r="N31" s="115" t="s">
        <v>494</v>
      </c>
      <c r="O31" s="116"/>
      <c r="P31" s="116"/>
      <c r="Q31" s="116"/>
    </row>
    <row r="32" spans="1:17" ht="15.6">
      <c r="A32" s="24" t="str">
        <v>K287</v>
      </c>
      <c r="B32" s="25" t="str">
        <v>NY</v>
      </c>
      <c r="C32" s="25" t="str">
        <f>Sites[[#This Row],[SOL'#]]</f>
        <v>SOL-10919</v>
      </c>
      <c r="D32" s="20">
        <v>15894.4375</v>
      </c>
      <c r="E32" s="10">
        <v>14108.52</v>
      </c>
      <c r="F32" s="10">
        <f t="shared" si="4"/>
        <v>1785.9174999999996</v>
      </c>
      <c r="G32" s="11">
        <f t="shared" si="5"/>
        <v>0.12658432635031877</v>
      </c>
      <c r="H32" s="12">
        <v>15141</v>
      </c>
      <c r="I32" s="12">
        <f t="shared" si="6"/>
        <v>753.4375</v>
      </c>
      <c r="J32" s="13">
        <f t="shared" si="7"/>
        <v>4.9761409418136185E-2</v>
      </c>
      <c r="K32" s="37"/>
      <c r="L32" s="37"/>
      <c r="M32" s="116"/>
      <c r="N32" s="116"/>
      <c r="O32" s="116"/>
      <c r="P32" s="116"/>
      <c r="Q32" s="116"/>
    </row>
    <row r="33" spans="1:17" ht="43.15">
      <c r="A33" s="26" t="str">
        <v>K298</v>
      </c>
      <c r="B33" s="27" t="str">
        <v>NY</v>
      </c>
      <c r="C33" s="27" t="str">
        <f>Sites[[#This Row],[SOL'#]]</f>
        <v>SOL-10368</v>
      </c>
      <c r="D33" s="9">
        <v>16928.46875</v>
      </c>
      <c r="E33" s="14">
        <v>18337.650000000001</v>
      </c>
      <c r="F33" s="14">
        <f t="shared" si="4"/>
        <v>-1409.1812500000015</v>
      </c>
      <c r="G33" s="15">
        <f t="shared" si="5"/>
        <v>-7.6846337998598579E-2</v>
      </c>
      <c r="H33" s="16">
        <v>16617</v>
      </c>
      <c r="I33" s="16">
        <f t="shared" si="6"/>
        <v>311.46875</v>
      </c>
      <c r="J33" s="15">
        <f t="shared" si="7"/>
        <v>1.8743982066558345E-2</v>
      </c>
      <c r="K33" s="38" t="s">
        <v>495</v>
      </c>
      <c r="L33" s="127" t="s">
        <v>496</v>
      </c>
      <c r="M33" s="115" t="s">
        <v>497</v>
      </c>
      <c r="N33" s="116"/>
      <c r="O33" s="116"/>
      <c r="P33" s="116"/>
      <c r="Q33" s="116"/>
    </row>
    <row r="34" spans="1:17" ht="15.6">
      <c r="A34" s="24" t="str">
        <v>K335</v>
      </c>
      <c r="B34" s="25" t="str">
        <v>NY</v>
      </c>
      <c r="C34" s="25" t="str">
        <f>Sites[[#This Row],[SOL'#]]</f>
        <v>SOL-10370</v>
      </c>
      <c r="D34" s="20">
        <v>18093.6875</v>
      </c>
      <c r="E34" s="10">
        <v>19835.330000000002</v>
      </c>
      <c r="F34" s="10">
        <f t="shared" si="4"/>
        <v>-1741.6425000000017</v>
      </c>
      <c r="G34" s="11">
        <f t="shared" si="5"/>
        <v>-8.7805068027605362E-2</v>
      </c>
      <c r="H34" s="12">
        <v>16751</v>
      </c>
      <c r="I34" s="12">
        <f t="shared" si="6"/>
        <v>1342.6875</v>
      </c>
      <c r="J34" s="13">
        <f t="shared" si="7"/>
        <v>8.015566234851651E-2</v>
      </c>
      <c r="K34" s="37"/>
      <c r="L34" s="37"/>
      <c r="M34" s="116"/>
      <c r="N34" s="116"/>
      <c r="O34" s="116"/>
      <c r="P34" s="116"/>
      <c r="Q34" s="116"/>
    </row>
    <row r="35" spans="1:17" ht="15.6">
      <c r="A35" s="26" t="str">
        <v>K345</v>
      </c>
      <c r="B35" s="27" t="str">
        <v>NY</v>
      </c>
      <c r="C35" s="27" t="str">
        <f>Sites[[#This Row],[SOL'#]]</f>
        <v>SOL-10920</v>
      </c>
      <c r="D35" s="9">
        <v>21064.03125</v>
      </c>
      <c r="E35" s="14">
        <v>13042.92</v>
      </c>
      <c r="F35" s="14">
        <f t="shared" si="4"/>
        <v>8021.1112499999999</v>
      </c>
      <c r="G35" s="15">
        <f t="shared" si="5"/>
        <v>0.61497818356625666</v>
      </c>
      <c r="H35" s="16">
        <v>19934</v>
      </c>
      <c r="I35" s="16">
        <f t="shared" si="6"/>
        <v>1130.03125</v>
      </c>
      <c r="J35" s="15">
        <f t="shared" si="7"/>
        <v>5.6688634995485099E-2</v>
      </c>
      <c r="K35" s="38"/>
      <c r="L35" s="39"/>
      <c r="M35" s="116"/>
      <c r="N35" s="116"/>
      <c r="O35" s="116"/>
      <c r="P35" s="116"/>
      <c r="Q35" s="116"/>
    </row>
    <row r="36" spans="1:17" ht="15.6">
      <c r="A36" s="24" t="str">
        <v>K445</v>
      </c>
      <c r="B36" s="25" t="str">
        <v>NY</v>
      </c>
      <c r="C36" s="25" t="str">
        <f>Sites[[#This Row],[SOL'#]]</f>
        <v>SOL-10373</v>
      </c>
      <c r="D36" s="20">
        <v>17147.265625</v>
      </c>
      <c r="E36" s="10">
        <v>19226.169999999998</v>
      </c>
      <c r="F36" s="10">
        <f t="shared" si="4"/>
        <v>-2078.9043749999983</v>
      </c>
      <c r="G36" s="11">
        <f t="shared" si="5"/>
        <v>-0.10812888760475947</v>
      </c>
      <c r="H36" s="12">
        <v>15923.85</v>
      </c>
      <c r="I36" s="12">
        <f t="shared" si="6"/>
        <v>1223.4156249999996</v>
      </c>
      <c r="J36" s="13">
        <f t="shared" si="7"/>
        <v>7.6829135227975617E-2</v>
      </c>
      <c r="K36" s="37" t="s">
        <v>498</v>
      </c>
      <c r="L36" s="37"/>
      <c r="M36" s="116"/>
      <c r="N36" s="116"/>
      <c r="O36" s="116"/>
      <c r="P36" s="116"/>
      <c r="Q36" s="116"/>
    </row>
    <row r="37" spans="1:17" ht="51" customHeight="1">
      <c r="A37" s="26" t="str">
        <v>K495</v>
      </c>
      <c r="B37" s="27" t="str">
        <v>NY</v>
      </c>
      <c r="C37" s="27" t="str">
        <f>Sites[[#This Row],[SOL'#]]</f>
        <v>SOL-10374</v>
      </c>
      <c r="D37" s="9">
        <v>0</v>
      </c>
      <c r="E37" s="14">
        <v>61161.43</v>
      </c>
      <c r="F37" s="14">
        <f t="shared" si="4"/>
        <v>-61161.43</v>
      </c>
      <c r="G37" s="15">
        <f t="shared" si="5"/>
        <v>-1</v>
      </c>
      <c r="H37" s="16">
        <v>69499</v>
      </c>
      <c r="I37" s="16">
        <f t="shared" si="6"/>
        <v>-69499</v>
      </c>
      <c r="J37" s="15">
        <f t="shared" si="7"/>
        <v>-1</v>
      </c>
      <c r="K37" s="57" t="s">
        <v>285</v>
      </c>
      <c r="L37" s="112" t="s">
        <v>57</v>
      </c>
      <c r="M37" s="116"/>
      <c r="N37" s="116"/>
      <c r="O37" s="116"/>
      <c r="P37" s="116"/>
      <c r="Q37" s="116"/>
    </row>
    <row r="38" spans="1:17" ht="15.6">
      <c r="A38" s="24" t="str">
        <v>M020</v>
      </c>
      <c r="B38" s="25" t="str">
        <v>NY</v>
      </c>
      <c r="C38" s="25" t="str">
        <f>Sites[[#This Row],[SOL'#]]</f>
        <v>SOL-10380</v>
      </c>
      <c r="D38" s="20">
        <v>18159.5</v>
      </c>
      <c r="E38" s="10">
        <v>19883.75</v>
      </c>
      <c r="F38" s="10">
        <f t="shared" si="4"/>
        <v>-1724.25</v>
      </c>
      <c r="G38" s="11">
        <f t="shared" si="5"/>
        <v>-8.6716539888099575E-2</v>
      </c>
      <c r="H38" s="12">
        <v>18985</v>
      </c>
      <c r="I38" s="12">
        <f t="shared" si="6"/>
        <v>-825.5</v>
      </c>
      <c r="J38" s="13">
        <f t="shared" si="7"/>
        <v>-4.3481696075849355E-2</v>
      </c>
      <c r="K38" s="37"/>
      <c r="L38" s="37"/>
      <c r="M38" s="116"/>
      <c r="N38" s="116"/>
      <c r="O38" s="116"/>
      <c r="P38" s="116"/>
      <c r="Q38" s="116"/>
    </row>
    <row r="39" spans="1:17" ht="15.6">
      <c r="A39" s="26" t="str">
        <v>M092</v>
      </c>
      <c r="B39" s="27" t="str">
        <v>NY</v>
      </c>
      <c r="C39" s="27" t="str">
        <f>Sites[[#This Row],[SOL'#]]</f>
        <v>SOL-10383</v>
      </c>
      <c r="D39" s="9">
        <v>18077.375</v>
      </c>
      <c r="E39" s="14">
        <v>19419.650000000001</v>
      </c>
      <c r="F39" s="14">
        <f t="shared" si="4"/>
        <v>-1342.2750000000015</v>
      </c>
      <c r="G39" s="15">
        <f t="shared" si="5"/>
        <v>-6.911942285262615E-2</v>
      </c>
      <c r="H39" s="16">
        <v>17567.240000000002</v>
      </c>
      <c r="I39" s="16">
        <f t="shared" si="6"/>
        <v>510.1349999999984</v>
      </c>
      <c r="J39" s="15">
        <f t="shared" si="7"/>
        <v>2.9038995311727874E-2</v>
      </c>
      <c r="K39" s="38"/>
      <c r="L39" s="39"/>
      <c r="M39" s="116"/>
      <c r="N39" s="116"/>
      <c r="O39" s="116"/>
      <c r="P39" s="116"/>
      <c r="Q39" s="116"/>
    </row>
    <row r="40" spans="1:17" ht="15.6">
      <c r="A40" s="24" t="str">
        <v>M143</v>
      </c>
      <c r="B40" s="25" t="str">
        <v>NY</v>
      </c>
      <c r="C40" s="25" t="str">
        <f>Sites[[#This Row],[SOL'#]]</f>
        <v>SOL-10384</v>
      </c>
      <c r="D40" s="20">
        <v>21360.3125</v>
      </c>
      <c r="E40" s="10">
        <v>23405.1</v>
      </c>
      <c r="F40" s="10">
        <f t="shared" si="4"/>
        <v>-2044.7874999999985</v>
      </c>
      <c r="G40" s="11">
        <f t="shared" si="5"/>
        <v>-8.7365040098098215E-2</v>
      </c>
      <c r="H40" s="12">
        <v>19950.93</v>
      </c>
      <c r="I40" s="12">
        <f t="shared" si="6"/>
        <v>1409.3824999999997</v>
      </c>
      <c r="J40" s="13">
        <f t="shared" si="7"/>
        <v>7.0642446241854367E-2</v>
      </c>
      <c r="K40" s="37"/>
      <c r="L40" s="37"/>
      <c r="M40" s="116"/>
      <c r="N40" s="116"/>
      <c r="O40" s="116"/>
      <c r="P40" s="116"/>
      <c r="Q40" s="116"/>
    </row>
    <row r="41" spans="1:17" ht="15.6">
      <c r="A41" s="26" t="str">
        <v>M144</v>
      </c>
      <c r="B41" s="27" t="str">
        <v>NY</v>
      </c>
      <c r="C41" s="27" t="str">
        <f>Sites[[#This Row],[SOL'#]]</f>
        <v>SOL-10385</v>
      </c>
      <c r="D41" s="9">
        <v>30927.96875</v>
      </c>
      <c r="E41" s="14">
        <v>0</v>
      </c>
      <c r="F41" s="14">
        <f t="shared" si="4"/>
        <v>30927.96875</v>
      </c>
      <c r="G41" s="15" t="str">
        <f t="shared" si="5"/>
        <v/>
      </c>
      <c r="H41" s="16">
        <v>29347</v>
      </c>
      <c r="I41" s="16">
        <f t="shared" si="6"/>
        <v>1580.96875</v>
      </c>
      <c r="J41" s="15">
        <f t="shared" si="7"/>
        <v>5.3871562681023617E-2</v>
      </c>
      <c r="K41" s="38"/>
      <c r="L41" s="38"/>
      <c r="M41" s="116"/>
      <c r="N41" s="116"/>
      <c r="O41" s="116"/>
      <c r="P41" s="116"/>
      <c r="Q41" s="116"/>
    </row>
    <row r="42" spans="1:17" ht="15.6">
      <c r="A42" s="24" t="str">
        <v>M167</v>
      </c>
      <c r="B42" s="25" t="str">
        <v>NY</v>
      </c>
      <c r="C42" s="25" t="str">
        <f>Sites[[#This Row],[SOL'#]]</f>
        <v>SOL-10386</v>
      </c>
      <c r="D42" s="20">
        <v>22510.703125</v>
      </c>
      <c r="E42" s="10">
        <v>17030.169999999998</v>
      </c>
      <c r="F42" s="10">
        <f t="shared" si="4"/>
        <v>5480.5331250000017</v>
      </c>
      <c r="G42" s="11">
        <f t="shared" si="5"/>
        <v>0.32181317773105039</v>
      </c>
      <c r="H42" s="12">
        <v>23574.3</v>
      </c>
      <c r="I42" s="12">
        <f t="shared" si="6"/>
        <v>-1063.5968749999993</v>
      </c>
      <c r="J42" s="13">
        <f t="shared" si="7"/>
        <v>-4.5116795620654668E-2</v>
      </c>
      <c r="K42" s="37"/>
      <c r="L42" s="37"/>
      <c r="M42" s="116"/>
      <c r="N42" s="116"/>
      <c r="O42" s="116"/>
      <c r="P42" s="116"/>
      <c r="Q42" s="116"/>
    </row>
    <row r="43" spans="1:17" ht="72" customHeight="1">
      <c r="A43" s="26" t="str">
        <v>M188</v>
      </c>
      <c r="B43" s="27" t="str">
        <v>NY</v>
      </c>
      <c r="C43" s="27" t="str">
        <f>Sites[[#This Row],[SOL'#]]</f>
        <v>SOL-10387</v>
      </c>
      <c r="D43" s="9">
        <v>15924.09375</v>
      </c>
      <c r="E43" s="14">
        <v>0</v>
      </c>
      <c r="F43" s="14">
        <f t="shared" si="4"/>
        <v>15924.09375</v>
      </c>
      <c r="G43" s="15" t="str">
        <f t="shared" si="5"/>
        <v/>
      </c>
      <c r="H43" s="16">
        <v>15347</v>
      </c>
      <c r="I43" s="16">
        <f t="shared" si="6"/>
        <v>577.09375</v>
      </c>
      <c r="J43" s="15">
        <f t="shared" si="7"/>
        <v>3.7603033166091093E-2</v>
      </c>
      <c r="K43" s="38" t="s">
        <v>499</v>
      </c>
      <c r="L43" s="125" t="s">
        <v>500</v>
      </c>
      <c r="M43" s="115" t="s">
        <v>501</v>
      </c>
      <c r="N43" s="116"/>
      <c r="O43" s="116"/>
      <c r="P43" s="116"/>
      <c r="Q43" s="116"/>
    </row>
    <row r="44" spans="1:17" ht="15.6">
      <c r="A44" s="24" t="str">
        <v>EMHC</v>
      </c>
      <c r="B44" s="25" t="str">
        <v>NY</v>
      </c>
      <c r="C44" s="25" t="str">
        <f>Sites[[#This Row],[SOL'#]]</f>
        <v>SOL-10351</v>
      </c>
      <c r="D44" s="20">
        <v>6079.1640625</v>
      </c>
      <c r="E44" s="10">
        <v>4893.4049999999997</v>
      </c>
      <c r="F44" s="10">
        <f t="shared" si="4"/>
        <v>1185.7590625000003</v>
      </c>
      <c r="G44" s="11">
        <f t="shared" si="5"/>
        <v>0.24231778536622256</v>
      </c>
      <c r="H44" s="12">
        <v>6450.7709999999997</v>
      </c>
      <c r="I44" s="12">
        <f t="shared" si="6"/>
        <v>-371.60693749999973</v>
      </c>
      <c r="J44" s="13">
        <f t="shared" si="7"/>
        <v>-5.7606592684812365E-2</v>
      </c>
      <c r="K44" s="37"/>
      <c r="L44" s="37"/>
      <c r="M44" s="116"/>
      <c r="N44" s="116"/>
      <c r="O44" s="116"/>
      <c r="P44" s="116"/>
      <c r="Q44" s="116"/>
    </row>
    <row r="45" spans="1:17" ht="72">
      <c r="A45" s="26" t="str">
        <v>Q008</v>
      </c>
      <c r="B45" s="27" t="str">
        <v>NY</v>
      </c>
      <c r="C45" s="27" t="str">
        <f>Sites[[#This Row],[SOL'#]]</f>
        <v>SOL-10397</v>
      </c>
      <c r="D45" s="9">
        <v>18071.78125</v>
      </c>
      <c r="E45" s="14">
        <v>19410.599999999999</v>
      </c>
      <c r="F45" s="14">
        <f t="shared" si="4"/>
        <v>-1338.8187499999985</v>
      </c>
      <c r="G45" s="15">
        <f t="shared" si="5"/>
        <v>-6.8973589172926064E-2</v>
      </c>
      <c r="H45" s="16">
        <v>24376</v>
      </c>
      <c r="I45" s="16">
        <f t="shared" si="6"/>
        <v>-6304.21875</v>
      </c>
      <c r="J45" s="15">
        <f t="shared" si="7"/>
        <v>-0.25862400516901873</v>
      </c>
      <c r="K45" s="38" t="s">
        <v>502</v>
      </c>
      <c r="L45" s="125" t="s">
        <v>503</v>
      </c>
      <c r="M45" s="115" t="s">
        <v>504</v>
      </c>
      <c r="N45" s="116"/>
      <c r="O45" s="116"/>
      <c r="P45" s="116"/>
      <c r="Q45" s="116"/>
    </row>
    <row r="46" spans="1:17" ht="15.6">
      <c r="A46" s="24" t="str">
        <v>Q018</v>
      </c>
      <c r="B46" s="25" t="str">
        <v>NY</v>
      </c>
      <c r="C46" s="25" t="str">
        <f>Sites[[#This Row],[SOL'#]]</f>
        <v>SOL-10398</v>
      </c>
      <c r="D46" s="20">
        <v>17500.5625</v>
      </c>
      <c r="E46" s="10">
        <v>17083.96</v>
      </c>
      <c r="F46" s="10">
        <f t="shared" si="4"/>
        <v>416.60250000000087</v>
      </c>
      <c r="G46" s="11">
        <f t="shared" si="5"/>
        <v>2.4385593269944491E-2</v>
      </c>
      <c r="H46" s="12">
        <v>13142.78</v>
      </c>
      <c r="I46" s="12">
        <f t="shared" si="6"/>
        <v>4357.7824999999993</v>
      </c>
      <c r="J46" s="13">
        <f t="shared" si="7"/>
        <v>0.33157235379425049</v>
      </c>
      <c r="K46" s="37"/>
      <c r="L46" s="37"/>
      <c r="M46" s="116"/>
      <c r="N46" s="116"/>
      <c r="O46" s="116"/>
      <c r="P46" s="116"/>
      <c r="Q46" s="116"/>
    </row>
    <row r="47" spans="1:17" ht="15.6">
      <c r="A47" s="26" t="str">
        <v>Q021</v>
      </c>
      <c r="B47" s="27" t="str">
        <v>NY</v>
      </c>
      <c r="C47" s="27" t="str">
        <f>Sites[[#This Row],[SOL'#]]</f>
        <v>SOL-10399</v>
      </c>
      <c r="D47" s="9">
        <v>13787.4374999999</v>
      </c>
      <c r="E47" s="14">
        <v>14154.27</v>
      </c>
      <c r="F47" s="14">
        <f t="shared" si="4"/>
        <v>-366.83250000010048</v>
      </c>
      <c r="G47" s="15">
        <f t="shared" si="5"/>
        <v>-2.5916737493357163E-2</v>
      </c>
      <c r="H47" s="16">
        <v>10812.43</v>
      </c>
      <c r="I47" s="16">
        <f t="shared" si="6"/>
        <v>2975.0074999998997</v>
      </c>
      <c r="J47" s="15">
        <f t="shared" si="7"/>
        <v>0.27514698361052042</v>
      </c>
      <c r="K47" s="38"/>
      <c r="L47" s="39"/>
      <c r="M47" s="116"/>
      <c r="N47" s="116"/>
      <c r="O47" s="116"/>
      <c r="P47" s="116"/>
      <c r="Q47" s="116"/>
    </row>
    <row r="48" spans="1:17" ht="15.6">
      <c r="A48" s="24" t="str">
        <v>Q025</v>
      </c>
      <c r="B48" s="25" t="str">
        <v>NY</v>
      </c>
      <c r="C48" s="25" t="str">
        <f>Sites[[#This Row],[SOL'#]]</f>
        <v>SOL-10400</v>
      </c>
      <c r="D48" s="20">
        <v>23143.375</v>
      </c>
      <c r="E48" s="10">
        <v>23053.17</v>
      </c>
      <c r="F48" s="10">
        <f t="shared" si="4"/>
        <v>90.205000000001746</v>
      </c>
      <c r="G48" s="11">
        <f t="shared" si="5"/>
        <v>3.9129108925150752E-3</v>
      </c>
      <c r="H48" s="12">
        <v>12738</v>
      </c>
      <c r="I48" s="12">
        <f t="shared" si="6"/>
        <v>10405.375</v>
      </c>
      <c r="J48" s="13">
        <f t="shared" si="7"/>
        <v>0.81687666823677185</v>
      </c>
      <c r="K48" s="37"/>
      <c r="L48" s="37"/>
      <c r="M48" s="116"/>
      <c r="N48" s="116"/>
      <c r="O48" s="116"/>
      <c r="P48" s="116"/>
      <c r="Q48" s="116"/>
    </row>
    <row r="49" spans="1:17" ht="15.6">
      <c r="A49" s="26" t="str">
        <v>Q074</v>
      </c>
      <c r="B49" s="27" t="str">
        <v>NY</v>
      </c>
      <c r="C49" s="27" t="str">
        <f>Sites[[#This Row],[SOL'#]]</f>
        <v>SOL-10402</v>
      </c>
      <c r="D49" s="9">
        <v>15292.875</v>
      </c>
      <c r="E49" s="14">
        <v>14719.13</v>
      </c>
      <c r="F49" s="14">
        <f t="shared" si="4"/>
        <v>573.7450000000008</v>
      </c>
      <c r="G49" s="15">
        <f t="shared" si="5"/>
        <v>3.8979545666082221E-2</v>
      </c>
      <c r="H49" s="16">
        <v>12449.42</v>
      </c>
      <c r="I49" s="16">
        <f t="shared" si="6"/>
        <v>2843.4549999999999</v>
      </c>
      <c r="J49" s="15">
        <f t="shared" si="7"/>
        <v>0.22840060018860317</v>
      </c>
      <c r="K49" s="38"/>
      <c r="L49" s="39"/>
      <c r="M49" s="116"/>
      <c r="N49" s="116"/>
      <c r="O49" s="116"/>
      <c r="P49" s="116"/>
      <c r="Q49" s="116"/>
    </row>
    <row r="50" spans="1:17" ht="15.6">
      <c r="A50" s="24" t="str">
        <v>Q115</v>
      </c>
      <c r="B50" s="25" t="str">
        <v>NY</v>
      </c>
      <c r="C50" s="25" t="str">
        <f>Sites[[#This Row],[SOL'#]]</f>
        <v>SOL-10872</v>
      </c>
      <c r="D50" s="20">
        <v>19693.25</v>
      </c>
      <c r="E50" s="10">
        <v>20852.419999999998</v>
      </c>
      <c r="F50" s="10">
        <f t="shared" si="4"/>
        <v>-1159.1699999999983</v>
      </c>
      <c r="G50" s="11">
        <f t="shared" si="5"/>
        <v>-5.5589231369788175E-2</v>
      </c>
      <c r="H50" s="12">
        <v>16426.55</v>
      </c>
      <c r="I50" s="12">
        <f t="shared" si="6"/>
        <v>3266.7000000000007</v>
      </c>
      <c r="J50" s="13">
        <f t="shared" si="7"/>
        <v>0.19886707799264003</v>
      </c>
      <c r="K50" s="37"/>
      <c r="L50" s="37"/>
      <c r="M50" s="116"/>
      <c r="N50" s="116"/>
      <c r="O50" s="116"/>
      <c r="P50" s="116"/>
      <c r="Q50" s="116"/>
    </row>
    <row r="51" spans="1:17" ht="15.6">
      <c r="A51" s="26" t="str">
        <v>Q139</v>
      </c>
      <c r="B51" s="27" t="str">
        <v>NY</v>
      </c>
      <c r="C51" s="27" t="str">
        <f>Sites[[#This Row],[SOL'#]]</f>
        <v>SOL-10403</v>
      </c>
      <c r="D51" s="9">
        <v>11658.4375</v>
      </c>
      <c r="E51" s="14">
        <v>11682.37</v>
      </c>
      <c r="F51" s="14">
        <f t="shared" si="4"/>
        <v>-23.9325000000008</v>
      </c>
      <c r="G51" s="15">
        <f t="shared" si="5"/>
        <v>-2.0485997276238296E-3</v>
      </c>
      <c r="H51" s="16">
        <v>10385</v>
      </c>
      <c r="I51" s="16">
        <f t="shared" si="6"/>
        <v>1273.4375</v>
      </c>
      <c r="J51" s="15">
        <f t="shared" si="7"/>
        <v>0.12262277323062108</v>
      </c>
      <c r="K51" s="38"/>
      <c r="L51" s="39"/>
      <c r="M51" s="116"/>
      <c r="N51" s="116"/>
      <c r="O51" s="116"/>
      <c r="P51" s="116"/>
      <c r="Q51" s="116"/>
    </row>
    <row r="52" spans="1:17" ht="114" customHeight="1">
      <c r="A52" s="24" t="str">
        <v>Q157</v>
      </c>
      <c r="B52" s="25" t="str">
        <v>NY</v>
      </c>
      <c r="C52" s="25" t="str">
        <f>Sites[[#This Row],[SOL'#]]</f>
        <v>SOL-10404</v>
      </c>
      <c r="D52" s="20">
        <v>20207.5625</v>
      </c>
      <c r="E52" s="10">
        <v>22493.83</v>
      </c>
      <c r="F52" s="10">
        <f t="shared" si="4"/>
        <v>-2286.2675000000017</v>
      </c>
      <c r="G52" s="11">
        <f t="shared" si="5"/>
        <v>-0.10163976076995343</v>
      </c>
      <c r="H52" s="12">
        <v>18648.05</v>
      </c>
      <c r="I52" s="12">
        <f t="shared" si="6"/>
        <v>1559.5125000000007</v>
      </c>
      <c r="J52" s="13">
        <f t="shared" si="7"/>
        <v>8.3628717211719231E-2</v>
      </c>
      <c r="K52" s="37" t="s">
        <v>505</v>
      </c>
      <c r="L52" s="124" t="s">
        <v>506</v>
      </c>
      <c r="M52" s="115" t="s">
        <v>507</v>
      </c>
      <c r="N52" s="116"/>
      <c r="O52" s="116"/>
      <c r="P52" s="116"/>
      <c r="Q52" s="116"/>
    </row>
    <row r="53" spans="1:17" ht="15.6">
      <c r="A53" s="26" t="str">
        <v>Q192</v>
      </c>
      <c r="B53" s="27" t="str">
        <v>NY</v>
      </c>
      <c r="C53" s="27" t="str">
        <f>Sites[[#This Row],[SOL'#]]</f>
        <v>SOL-10406</v>
      </c>
      <c r="D53" s="9">
        <v>32225.375</v>
      </c>
      <c r="E53" s="14">
        <v>34607.25</v>
      </c>
      <c r="F53" s="14">
        <f t="shared" si="4"/>
        <v>-2381.875</v>
      </c>
      <c r="G53" s="15">
        <f t="shared" si="5"/>
        <v>-6.8825896307854573E-2</v>
      </c>
      <c r="H53" s="16">
        <v>27228.61</v>
      </c>
      <c r="I53" s="16">
        <f t="shared" si="6"/>
        <v>4996.7649999999994</v>
      </c>
      <c r="J53" s="15">
        <f t="shared" si="7"/>
        <v>0.1835115711011322</v>
      </c>
      <c r="K53" s="38"/>
      <c r="L53" s="38"/>
      <c r="M53" s="116"/>
      <c r="N53" s="116"/>
      <c r="O53" s="116"/>
      <c r="P53" s="116"/>
      <c r="Q53" s="116"/>
    </row>
    <row r="54" spans="1:17" ht="15.6">
      <c r="A54" s="24" t="str">
        <v>Q210</v>
      </c>
      <c r="B54" s="25" t="str">
        <v>NY</v>
      </c>
      <c r="C54" s="25" t="str">
        <f>Sites[[#This Row],[SOL'#]]</f>
        <v>SOL-10407</v>
      </c>
      <c r="D54" s="20">
        <v>26236.5</v>
      </c>
      <c r="E54" s="10">
        <v>25645.07</v>
      </c>
      <c r="F54" s="10">
        <f t="shared" si="4"/>
        <v>591.43000000000029</v>
      </c>
      <c r="G54" s="11">
        <f t="shared" si="5"/>
        <v>2.3062132409855007E-2</v>
      </c>
      <c r="H54" s="12">
        <v>22706</v>
      </c>
      <c r="I54" s="12">
        <f t="shared" si="6"/>
        <v>3530.5</v>
      </c>
      <c r="J54" s="13">
        <f t="shared" si="7"/>
        <v>0.15548753633400864</v>
      </c>
      <c r="K54" s="37"/>
      <c r="L54" s="37"/>
      <c r="M54" s="116"/>
      <c r="N54" s="116"/>
      <c r="O54" s="116"/>
      <c r="P54" s="116"/>
      <c r="Q54" s="116"/>
    </row>
    <row r="55" spans="1:17" ht="15.6">
      <c r="A55" s="26" t="str">
        <v>Q229</v>
      </c>
      <c r="B55" s="27" t="str">
        <v>NY</v>
      </c>
      <c r="C55" s="27" t="str">
        <f>Sites[[#This Row],[SOL'#]]</f>
        <v>SOL-10408</v>
      </c>
      <c r="D55" s="9">
        <v>11364.28125</v>
      </c>
      <c r="E55" s="14">
        <v>12968.02</v>
      </c>
      <c r="F55" s="14">
        <f t="shared" si="4"/>
        <v>-1603.7387500000004</v>
      </c>
      <c r="G55" s="15">
        <f t="shared" si="5"/>
        <v>-0.12366874434185021</v>
      </c>
      <c r="H55" s="16">
        <v>923</v>
      </c>
      <c r="I55" s="16">
        <f t="shared" si="6"/>
        <v>10441.28125</v>
      </c>
      <c r="J55" s="15">
        <f t="shared" si="7"/>
        <v>11.312330715059588</v>
      </c>
      <c r="K55" s="38" t="s">
        <v>485</v>
      </c>
      <c r="L55" s="39"/>
      <c r="M55" s="116"/>
      <c r="N55" s="116"/>
      <c r="O55" s="116"/>
      <c r="P55" s="116"/>
      <c r="Q55" s="116"/>
    </row>
    <row r="56" spans="1:17" ht="15.6">
      <c r="A56" s="24" t="str">
        <v>Q231</v>
      </c>
      <c r="B56" s="25" t="str">
        <v>NY</v>
      </c>
      <c r="C56" s="25" t="str">
        <f>Sites[[#This Row],[SOL'#]]</f>
        <v>SOL-10870</v>
      </c>
      <c r="D56" s="20">
        <v>42833.5</v>
      </c>
      <c r="E56" s="10">
        <v>45218.45</v>
      </c>
      <c r="F56" s="10">
        <f t="shared" si="4"/>
        <v>-2384.9499999999971</v>
      </c>
      <c r="G56" s="11">
        <f t="shared" si="5"/>
        <v>-5.2742851645733044E-2</v>
      </c>
      <c r="H56" s="12">
        <v>40060</v>
      </c>
      <c r="I56" s="12">
        <f t="shared" si="6"/>
        <v>2773.5</v>
      </c>
      <c r="J56" s="13">
        <f t="shared" si="7"/>
        <v>6.9233649525711427E-2</v>
      </c>
      <c r="K56" s="37"/>
      <c r="L56" s="37"/>
      <c r="M56" s="116"/>
      <c r="N56" s="116"/>
      <c r="O56" s="116"/>
      <c r="P56" s="116"/>
      <c r="Q56" s="116"/>
    </row>
    <row r="57" spans="1:17" ht="15.6">
      <c r="A57" s="26" t="str">
        <v>Q405</v>
      </c>
      <c r="B57" s="27" t="str">
        <v>NY</v>
      </c>
      <c r="C57" s="27" t="str">
        <f>Sites[[#This Row],[SOL'#]]</f>
        <v>SOL-10409</v>
      </c>
      <c r="D57" s="9">
        <v>49504</v>
      </c>
      <c r="E57" s="14">
        <v>53188.06</v>
      </c>
      <c r="F57" s="14">
        <f t="shared" si="4"/>
        <v>-3684.0599999999977</v>
      </c>
      <c r="G57" s="15">
        <f t="shared" si="5"/>
        <v>-6.9264793639775502E-2</v>
      </c>
      <c r="H57" s="16">
        <v>40273.410000000003</v>
      </c>
      <c r="I57" s="16">
        <f t="shared" si="6"/>
        <v>9230.5899999999965</v>
      </c>
      <c r="J57" s="15">
        <f t="shared" si="7"/>
        <v>0.22919812352616767</v>
      </c>
      <c r="K57" s="38"/>
      <c r="L57" s="39"/>
      <c r="M57" s="116"/>
      <c r="N57" s="116"/>
      <c r="O57" s="116"/>
      <c r="P57" s="116"/>
      <c r="Q57" s="116"/>
    </row>
    <row r="58" spans="1:17" ht="100.9">
      <c r="A58" s="24" t="str">
        <v>Q435</v>
      </c>
      <c r="B58" s="25" t="str">
        <v>NY</v>
      </c>
      <c r="C58" s="25" t="str">
        <f>Sites[[#This Row],[SOL'#]]</f>
        <v>SOL-10923</v>
      </c>
      <c r="D58" s="20">
        <v>61922.625</v>
      </c>
      <c r="E58" s="10">
        <v>48511</v>
      </c>
      <c r="F58" s="10">
        <f t="shared" si="4"/>
        <v>13411.625</v>
      </c>
      <c r="G58" s="11">
        <f t="shared" si="5"/>
        <v>0.27646564696666737</v>
      </c>
      <c r="H58" s="12">
        <v>57626</v>
      </c>
      <c r="I58" s="12">
        <f t="shared" si="6"/>
        <v>4296.625</v>
      </c>
      <c r="J58" s="13">
        <f t="shared" si="7"/>
        <v>7.4560528233783369E-2</v>
      </c>
      <c r="K58" s="59" t="s">
        <v>508</v>
      </c>
      <c r="L58" s="111" t="s">
        <v>509</v>
      </c>
      <c r="M58" s="115" t="s">
        <v>510</v>
      </c>
      <c r="N58" s="115" t="s">
        <v>511</v>
      </c>
      <c r="O58" s="116"/>
      <c r="P58" s="116"/>
      <c r="Q58" s="116"/>
    </row>
    <row r="59" spans="1:17" ht="69" customHeight="1">
      <c r="A59" s="26" t="str">
        <v>Q485</v>
      </c>
      <c r="B59" s="27" t="str">
        <v>NY</v>
      </c>
      <c r="C59" s="27" t="str">
        <f>Sites[[#This Row],[SOL'#]]</f>
        <v>SOL-10869</v>
      </c>
      <c r="D59" s="9">
        <v>54507.75</v>
      </c>
      <c r="E59" s="14">
        <v>46347.05</v>
      </c>
      <c r="F59" s="14">
        <f t="shared" si="4"/>
        <v>8160.6999999999971</v>
      </c>
      <c r="G59" s="15">
        <f t="shared" si="5"/>
        <v>0.17607808911246772</v>
      </c>
      <c r="H59" s="16">
        <v>53986.78</v>
      </c>
      <c r="I59" s="16">
        <f t="shared" si="6"/>
        <v>520.97000000000116</v>
      </c>
      <c r="J59" s="15">
        <f t="shared" si="7"/>
        <v>9.649955044549817E-3</v>
      </c>
      <c r="K59" s="38" t="s">
        <v>512</v>
      </c>
      <c r="L59" s="125" t="s">
        <v>513</v>
      </c>
      <c r="M59" s="115" t="s">
        <v>514</v>
      </c>
      <c r="N59" s="116"/>
      <c r="O59" s="116"/>
      <c r="P59" s="116"/>
      <c r="Q59" s="116"/>
    </row>
    <row r="60" spans="1:17" ht="48.75" customHeight="1">
      <c r="A60" s="24" t="str">
        <v>Q490</v>
      </c>
      <c r="B60" s="25" t="str">
        <v>NY</v>
      </c>
      <c r="C60" s="25" t="str">
        <f>Sites[[#This Row],[SOL'#]]</f>
        <v>SOL-10411</v>
      </c>
      <c r="D60" s="20">
        <v>41569.75</v>
      </c>
      <c r="E60" s="10">
        <v>0</v>
      </c>
      <c r="F60" s="10">
        <f t="shared" si="4"/>
        <v>41569.75</v>
      </c>
      <c r="G60" s="11" t="str">
        <f t="shared" si="5"/>
        <v/>
      </c>
      <c r="H60" s="12">
        <v>35051.72</v>
      </c>
      <c r="I60" s="12">
        <f t="shared" si="6"/>
        <v>6518.0299999999988</v>
      </c>
      <c r="J60" s="13">
        <f t="shared" si="7"/>
        <v>0.18595464074230875</v>
      </c>
      <c r="K60" s="37" t="s">
        <v>515</v>
      </c>
      <c r="L60" s="124" t="s">
        <v>516</v>
      </c>
      <c r="M60" s="116"/>
      <c r="N60" s="116"/>
      <c r="O60" s="116"/>
      <c r="P60" s="116"/>
      <c r="Q60" s="116"/>
    </row>
    <row r="61" spans="1:17" ht="15.6">
      <c r="A61" s="26" t="str">
        <v>Q620</v>
      </c>
      <c r="B61" s="27" t="str">
        <v>NY</v>
      </c>
      <c r="C61" s="27" t="str">
        <f>Sites[[#This Row],[SOL'#]]</f>
        <v>SOL-10867</v>
      </c>
      <c r="D61" s="9">
        <v>62270.25</v>
      </c>
      <c r="E61" s="14">
        <v>62074.84</v>
      </c>
      <c r="F61" s="14">
        <f t="shared" si="4"/>
        <v>195.41000000000349</v>
      </c>
      <c r="G61" s="15">
        <f t="shared" si="5"/>
        <v>3.1479742839450493E-3</v>
      </c>
      <c r="H61" s="16">
        <v>56876.59</v>
      </c>
      <c r="I61" s="16">
        <f t="shared" si="6"/>
        <v>5393.6600000000035</v>
      </c>
      <c r="J61" s="15">
        <f t="shared" si="7"/>
        <v>9.4830931319898115E-2</v>
      </c>
      <c r="K61" s="38"/>
      <c r="L61" s="39"/>
      <c r="M61" s="116"/>
      <c r="N61" s="116"/>
      <c r="O61" s="116"/>
      <c r="P61" s="116"/>
      <c r="Q61" s="116"/>
    </row>
    <row r="62" spans="1:17" ht="15.6">
      <c r="A62" s="24" t="str">
        <v>QMOA</v>
      </c>
      <c r="B62" s="25" t="str">
        <v>NY</v>
      </c>
      <c r="C62" s="25" t="str">
        <f>Sites[[#This Row],[SOL'#]]</f>
        <v>SOL-10415</v>
      </c>
      <c r="D62" s="20">
        <v>5425.9000000000096</v>
      </c>
      <c r="E62" s="10">
        <v>0</v>
      </c>
      <c r="F62" s="10">
        <f t="shared" si="4"/>
        <v>5425.9000000000096</v>
      </c>
      <c r="G62" s="11" t="str">
        <f t="shared" si="5"/>
        <v/>
      </c>
      <c r="H62" s="12">
        <v>5132.8959999999997</v>
      </c>
      <c r="I62" s="12">
        <f t="shared" si="6"/>
        <v>293.00400000000991</v>
      </c>
      <c r="J62" s="13">
        <f t="shared" si="7"/>
        <v>5.7083564521862494E-2</v>
      </c>
      <c r="K62" s="37"/>
      <c r="L62" s="37"/>
      <c r="M62" s="116"/>
      <c r="N62" s="116"/>
      <c r="O62" s="116"/>
      <c r="P62" s="116"/>
      <c r="Q62" s="116"/>
    </row>
    <row r="63" spans="1:17" ht="15.6">
      <c r="A63" s="26" t="str">
        <v>X024</v>
      </c>
      <c r="B63" s="27" t="str">
        <v>NY</v>
      </c>
      <c r="C63" s="27" t="str">
        <f>Sites[[#This Row],[SOL'#]]</f>
        <v>SOL-10419</v>
      </c>
      <c r="D63" s="9">
        <v>23840.25</v>
      </c>
      <c r="E63" s="14">
        <v>24902.66</v>
      </c>
      <c r="F63" s="14">
        <f t="shared" si="4"/>
        <v>-1062.4099999999999</v>
      </c>
      <c r="G63" s="15">
        <f t="shared" si="5"/>
        <v>-4.2662510751863447E-2</v>
      </c>
      <c r="H63" s="16">
        <v>18167</v>
      </c>
      <c r="I63" s="16">
        <f t="shared" si="6"/>
        <v>5673.25</v>
      </c>
      <c r="J63" s="15">
        <f t="shared" si="7"/>
        <v>0.31228326085759894</v>
      </c>
      <c r="K63" s="38"/>
      <c r="L63" s="39"/>
      <c r="M63" s="116"/>
      <c r="N63" s="116"/>
      <c r="O63" s="116"/>
      <c r="P63" s="116"/>
      <c r="Q63" s="116"/>
    </row>
    <row r="64" spans="1:17" ht="15.6">
      <c r="A64" s="24" t="str">
        <v>X026</v>
      </c>
      <c r="B64" s="25" t="str">
        <v>NY</v>
      </c>
      <c r="C64" s="25" t="str">
        <f>Sites[[#This Row],[SOL'#]]</f>
        <v>SOL-10420</v>
      </c>
      <c r="D64" s="20">
        <v>20262.099999999999</v>
      </c>
      <c r="E64" s="10">
        <v>20134.12</v>
      </c>
      <c r="F64" s="10">
        <f t="shared" si="4"/>
        <v>127.97999999999956</v>
      </c>
      <c r="G64" s="11">
        <f t="shared" si="5"/>
        <v>6.356374154917104E-3</v>
      </c>
      <c r="H64" s="12">
        <v>24639.360000000001</v>
      </c>
      <c r="I64" s="12">
        <f t="shared" si="6"/>
        <v>-4377.260000000002</v>
      </c>
      <c r="J64" s="13">
        <f t="shared" si="7"/>
        <v>-0.17765315332865797</v>
      </c>
      <c r="K64" s="59" t="s">
        <v>498</v>
      </c>
      <c r="L64" s="59"/>
      <c r="M64" s="116"/>
      <c r="N64" s="116"/>
      <c r="O64" s="116"/>
      <c r="P64" s="116"/>
      <c r="Q64" s="116"/>
    </row>
    <row r="65" spans="1:17" ht="15.6">
      <c r="A65" s="26" t="str">
        <v>X090</v>
      </c>
      <c r="B65" s="27" t="str">
        <v>NY</v>
      </c>
      <c r="C65" s="27" t="str">
        <f>Sites[[#This Row],[SOL'#]]</f>
        <v>SOL-10925</v>
      </c>
      <c r="D65" s="9">
        <v>18244.25</v>
      </c>
      <c r="E65" s="14">
        <v>14195.7</v>
      </c>
      <c r="F65" s="14">
        <f t="shared" si="4"/>
        <v>4048.5499999999993</v>
      </c>
      <c r="G65" s="15">
        <f t="shared" si="5"/>
        <v>0.28519551695231649</v>
      </c>
      <c r="H65" s="16">
        <v>17046</v>
      </c>
      <c r="I65" s="16">
        <f t="shared" si="6"/>
        <v>1198.25</v>
      </c>
      <c r="J65" s="15">
        <f t="shared" si="7"/>
        <v>7.0295083890648827E-2</v>
      </c>
      <c r="K65" s="38"/>
      <c r="L65" s="38"/>
      <c r="M65" s="116"/>
      <c r="N65" s="116"/>
      <c r="O65" s="116"/>
      <c r="P65" s="116"/>
      <c r="Q65" s="116"/>
    </row>
    <row r="66" spans="1:17" ht="15.6">
      <c r="A66" s="24" t="str">
        <v>X117</v>
      </c>
      <c r="B66" s="25" t="str">
        <v>NY</v>
      </c>
      <c r="C66" s="25" t="str">
        <f>Sites[[#This Row],[SOL'#]]</f>
        <v>SOL-10422</v>
      </c>
      <c r="D66" s="20">
        <v>14903.1</v>
      </c>
      <c r="E66" s="10">
        <v>16892.23</v>
      </c>
      <c r="F66" s="10">
        <f t="shared" si="4"/>
        <v>-1989.1299999999992</v>
      </c>
      <c r="G66" s="11">
        <f t="shared" si="5"/>
        <v>-0.11775413903315307</v>
      </c>
      <c r="H66" s="12">
        <v>13357.89</v>
      </c>
      <c r="I66" s="12">
        <f t="shared" si="6"/>
        <v>1545.2100000000009</v>
      </c>
      <c r="J66" s="13">
        <f t="shared" si="7"/>
        <v>0.11567770059492936</v>
      </c>
      <c r="K66" s="37" t="s">
        <v>498</v>
      </c>
      <c r="L66" s="37"/>
      <c r="M66" s="116"/>
      <c r="N66" s="116"/>
      <c r="O66" s="116"/>
      <c r="P66" s="116"/>
      <c r="Q66" s="116"/>
    </row>
    <row r="67" spans="1:17" ht="15.6">
      <c r="A67" s="26" t="str">
        <v>X125</v>
      </c>
      <c r="B67" s="27" t="str">
        <v>NY</v>
      </c>
      <c r="C67" s="27" t="str">
        <f>Sites[[#This Row],[SOL'#]]</f>
        <v>SOL-10423</v>
      </c>
      <c r="D67" s="9">
        <v>27866.1875</v>
      </c>
      <c r="E67" s="14">
        <v>29401.67</v>
      </c>
      <c r="F67" s="14">
        <f t="shared" si="4"/>
        <v>-1535.4824999999983</v>
      </c>
      <c r="G67" s="15">
        <f t="shared" si="5"/>
        <v>-5.2224329434348397E-2</v>
      </c>
      <c r="H67" s="16">
        <v>25413.95</v>
      </c>
      <c r="I67" s="16">
        <f t="shared" si="6"/>
        <v>2452.2374999999993</v>
      </c>
      <c r="J67" s="15">
        <f t="shared" si="7"/>
        <v>9.6491788958426347E-2</v>
      </c>
      <c r="K67" s="38"/>
      <c r="L67" s="39"/>
      <c r="M67" s="116"/>
      <c r="N67" s="116"/>
      <c r="O67" s="116"/>
      <c r="P67" s="116"/>
      <c r="Q67" s="116"/>
    </row>
    <row r="68" spans="1:17" ht="15.6">
      <c r="A68" s="24" t="str">
        <v>X134</v>
      </c>
      <c r="B68" s="25" t="str">
        <v>NY</v>
      </c>
      <c r="C68" s="25" t="str">
        <f>Sites[[#This Row],[SOL'#]]</f>
        <v>SOL-10424</v>
      </c>
      <c r="D68" s="20">
        <v>26652</v>
      </c>
      <c r="E68" s="10">
        <v>0</v>
      </c>
      <c r="F68" s="10">
        <f>IF(AND(ISNUMBER(D68),ISNUMBER(E68)), D68-E68, "")</f>
        <v>26652</v>
      </c>
      <c r="G68" s="11" t="str">
        <f>IFERROR(F68/E68, "")</f>
        <v/>
      </c>
      <c r="H68" s="12">
        <v>26095</v>
      </c>
      <c r="I68" s="12">
        <f>IF(AND(ISNUMBER(D68),ISNUMBER(H68)), D68-H68, "")</f>
        <v>557</v>
      </c>
      <c r="J68" s="13">
        <f>IFERROR(I68/H68, "")</f>
        <v>2.1345085265376509E-2</v>
      </c>
      <c r="K68" s="37"/>
      <c r="L68" s="37"/>
      <c r="M68" s="116"/>
      <c r="N68" s="116"/>
      <c r="O68" s="116"/>
      <c r="P68" s="116"/>
      <c r="Q68" s="116"/>
    </row>
    <row r="69" spans="1:17" ht="28.9">
      <c r="A69" s="26" t="str">
        <v>X135</v>
      </c>
      <c r="B69" s="27" t="str">
        <v>NY</v>
      </c>
      <c r="C69" s="27" t="str">
        <f>Sites[[#This Row],[SOL'#]]</f>
        <v>SOL-10425</v>
      </c>
      <c r="D69" s="9">
        <v>20342.21875</v>
      </c>
      <c r="E69" s="14">
        <v>22903.47</v>
      </c>
      <c r="F69" s="14">
        <f t="shared" si="4"/>
        <v>-2561.2512500000012</v>
      </c>
      <c r="G69" s="15">
        <f t="shared" si="5"/>
        <v>-0.11182808762165737</v>
      </c>
      <c r="H69" s="16">
        <v>20962</v>
      </c>
      <c r="I69" s="16">
        <f t="shared" si="6"/>
        <v>-619.78125</v>
      </c>
      <c r="J69" s="15">
        <f t="shared" si="7"/>
        <v>-2.9566894857360939E-2</v>
      </c>
      <c r="K69" s="38" t="s">
        <v>517</v>
      </c>
      <c r="L69" s="127" t="s">
        <v>518</v>
      </c>
      <c r="M69" s="116"/>
      <c r="N69" s="116"/>
      <c r="O69" s="116"/>
      <c r="P69" s="116"/>
      <c r="Q69" s="116"/>
    </row>
    <row r="70" spans="1:17" ht="15.6">
      <c r="A70" s="24" t="str">
        <v>X139 JHS 222</v>
      </c>
      <c r="B70" s="25" t="str">
        <v>NY</v>
      </c>
      <c r="C70" s="25" t="str">
        <f>Sites[[#This Row],[SOL'#]]</f>
        <v>SOL-10426</v>
      </c>
      <c r="D70" s="20">
        <v>33468.321340000002</v>
      </c>
      <c r="E70" s="10">
        <v>35713.1</v>
      </c>
      <c r="F70" s="10">
        <f t="shared" si="4"/>
        <v>-2244.7786599999963</v>
      </c>
      <c r="G70" s="11">
        <f t="shared" si="5"/>
        <v>-6.2855889295524506E-2</v>
      </c>
      <c r="H70" s="12">
        <v>30257</v>
      </c>
      <c r="I70" s="12">
        <f t="shared" si="6"/>
        <v>3211.3213400000022</v>
      </c>
      <c r="J70" s="13">
        <f t="shared" si="7"/>
        <v>0.10613482301616162</v>
      </c>
      <c r="K70" s="37"/>
      <c r="L70" s="37"/>
      <c r="M70" s="116"/>
      <c r="N70" s="116"/>
      <c r="O70" s="116"/>
      <c r="P70" s="116"/>
      <c r="Q70" s="116"/>
    </row>
    <row r="71" spans="1:17" ht="28.9">
      <c r="A71" s="26" t="str">
        <v>X140</v>
      </c>
      <c r="B71" s="27" t="str">
        <v>NY</v>
      </c>
      <c r="C71" s="27" t="str">
        <f>Sites[[#This Row],[SOL'#]]</f>
        <v>SOL-10926</v>
      </c>
      <c r="D71" s="9">
        <v>16923.296875</v>
      </c>
      <c r="E71" s="14">
        <v>15830.34</v>
      </c>
      <c r="F71" s="14">
        <f t="shared" si="4"/>
        <v>1092.9568749999999</v>
      </c>
      <c r="G71" s="15">
        <f t="shared" si="5"/>
        <v>6.9041907817520023E-2</v>
      </c>
      <c r="H71" s="16">
        <v>17584</v>
      </c>
      <c r="I71" s="16">
        <f t="shared" si="6"/>
        <v>-660.703125</v>
      </c>
      <c r="J71" s="15">
        <f t="shared" si="7"/>
        <v>-3.7574108564604185E-2</v>
      </c>
      <c r="K71" s="38" t="s">
        <v>519</v>
      </c>
      <c r="L71" s="127" t="s">
        <v>520</v>
      </c>
      <c r="M71" s="116"/>
      <c r="N71" s="116"/>
      <c r="O71" s="116"/>
      <c r="P71" s="116"/>
      <c r="Q71" s="116"/>
    </row>
    <row r="72" spans="1:17" ht="15.6">
      <c r="A72" s="24" t="str">
        <v>X166</v>
      </c>
      <c r="B72" s="25" t="str">
        <v>NY</v>
      </c>
      <c r="C72" s="25" t="str">
        <f>Sites[[#This Row],[SOL'#]]</f>
        <v>SOL-10427</v>
      </c>
      <c r="D72" s="20">
        <v>20069.5</v>
      </c>
      <c r="E72" s="10">
        <v>20878.419999999998</v>
      </c>
      <c r="F72" s="10">
        <f t="shared" si="4"/>
        <v>-808.91999999999825</v>
      </c>
      <c r="G72" s="11">
        <f t="shared" si="5"/>
        <v>-3.8744311111664501E-2</v>
      </c>
      <c r="H72" s="12">
        <v>19078</v>
      </c>
      <c r="I72" s="12">
        <f t="shared" si="6"/>
        <v>991.5</v>
      </c>
      <c r="J72" s="13">
        <f t="shared" si="7"/>
        <v>5.1970856483908166E-2</v>
      </c>
      <c r="K72" s="37"/>
      <c r="L72" s="37"/>
      <c r="M72" s="116"/>
      <c r="N72" s="116"/>
      <c r="O72" s="116"/>
      <c r="P72" s="116"/>
      <c r="Q72" s="116"/>
    </row>
    <row r="73" spans="1:17" ht="53.25" customHeight="1">
      <c r="A73" s="26" t="str">
        <v>Murphy</v>
      </c>
      <c r="B73" s="27" t="str">
        <v>MN</v>
      </c>
      <c r="C73" s="27" t="str">
        <f>Sites[[#This Row],[SOL'#]]</f>
        <v>SOL-10094</v>
      </c>
      <c r="D73" s="9">
        <v>894400</v>
      </c>
      <c r="E73" s="14">
        <v>930300.6</v>
      </c>
      <c r="F73" s="14">
        <f t="shared" si="4"/>
        <v>-35900.599999999977</v>
      </c>
      <c r="G73" s="15">
        <f t="shared" si="5"/>
        <v>-3.8590322310874545E-2</v>
      </c>
      <c r="H73" s="16">
        <v>809101.4</v>
      </c>
      <c r="I73" s="16">
        <f t="shared" si="6"/>
        <v>85298.599999999977</v>
      </c>
      <c r="J73" s="15">
        <f t="shared" si="7"/>
        <v>0.10542386899837274</v>
      </c>
      <c r="K73" s="89" t="s">
        <v>521</v>
      </c>
      <c r="L73" s="112" t="s">
        <v>522</v>
      </c>
      <c r="M73" s="116"/>
      <c r="N73" s="116"/>
      <c r="O73" s="116"/>
      <c r="P73" s="116"/>
      <c r="Q73" s="116"/>
    </row>
    <row r="74" spans="1:17" ht="72">
      <c r="A74" s="24" t="str">
        <v>Terning</v>
      </c>
      <c r="B74" s="25" t="str">
        <v>MN</v>
      </c>
      <c r="C74" s="25" t="str">
        <f>Sites[[#This Row],[SOL'#]]</f>
        <v>SOL-10093</v>
      </c>
      <c r="D74" s="20">
        <v>847404.79500000004</v>
      </c>
      <c r="E74" s="10">
        <v>939875.7</v>
      </c>
      <c r="F74" s="10">
        <f t="shared" si="4"/>
        <v>-92470.904999999912</v>
      </c>
      <c r="G74" s="11">
        <f t="shared" si="5"/>
        <v>-9.8386313211417123E-2</v>
      </c>
      <c r="H74" s="12">
        <v>792912.7</v>
      </c>
      <c r="I74" s="12">
        <f t="shared" si="6"/>
        <v>54492.095000000088</v>
      </c>
      <c r="J74" s="13">
        <f t="shared" si="7"/>
        <v>6.872395283869219E-2</v>
      </c>
      <c r="K74" s="37" t="s">
        <v>523</v>
      </c>
      <c r="L74" s="124" t="s">
        <v>524</v>
      </c>
      <c r="M74" s="115" t="s">
        <v>525</v>
      </c>
      <c r="N74" s="116"/>
      <c r="O74" s="116"/>
      <c r="P74" s="116"/>
      <c r="Q74" s="116"/>
    </row>
    <row r="75" spans="1:17" ht="28.9">
      <c r="A75" s="26" t="str">
        <v>Boas Road 04</v>
      </c>
      <c r="B75" s="27" t="str">
        <v>NY</v>
      </c>
      <c r="C75" s="27" t="str">
        <f>Sites[[#This Row],[SOL'#]]</f>
        <v>SOL-10908</v>
      </c>
      <c r="D75" s="67">
        <v>142690</v>
      </c>
      <c r="E75" s="137">
        <v>300105.54100000003</v>
      </c>
      <c r="F75" s="14">
        <f t="shared" si="4"/>
        <v>-157415.54100000003</v>
      </c>
      <c r="G75" s="15">
        <f t="shared" si="5"/>
        <v>-0.52453393721244224</v>
      </c>
      <c r="H75" s="77">
        <v>301351.8</v>
      </c>
      <c r="I75" s="16">
        <f t="shared" si="6"/>
        <v>-158661.79999999999</v>
      </c>
      <c r="J75" s="15">
        <f t="shared" si="7"/>
        <v>-0.52650025651082888</v>
      </c>
      <c r="K75" s="38" t="s">
        <v>526</v>
      </c>
      <c r="L75" s="112" t="s">
        <v>527</v>
      </c>
      <c r="M75" s="115" t="s">
        <v>528</v>
      </c>
      <c r="N75" s="116"/>
      <c r="O75" s="116"/>
      <c r="P75" s="116"/>
      <c r="Q75" s="116"/>
    </row>
    <row r="76" spans="1:17" ht="171" customHeight="1">
      <c r="A76" s="24" t="str">
        <v>Kelly Bridge Farm</v>
      </c>
      <c r="B76" s="25" t="str">
        <v>NY</v>
      </c>
      <c r="C76" s="25" t="str">
        <f>Sites[[#This Row],[SOL'#]]</f>
        <v>SOL-10911</v>
      </c>
      <c r="D76" s="20">
        <v>158244</v>
      </c>
      <c r="E76" s="10">
        <v>324553.71299999999</v>
      </c>
      <c r="F76" s="10">
        <f t="shared" si="4"/>
        <v>-166309.71299999999</v>
      </c>
      <c r="G76" s="11">
        <f t="shared" si="5"/>
        <v>-0.51242585229644255</v>
      </c>
      <c r="H76" s="12">
        <v>306228.09999999998</v>
      </c>
      <c r="I76" s="12">
        <f t="shared" si="6"/>
        <v>-147984.09999999998</v>
      </c>
      <c r="J76" s="13">
        <f t="shared" si="7"/>
        <v>-0.48324794491426487</v>
      </c>
      <c r="K76" s="37" t="s">
        <v>529</v>
      </c>
      <c r="L76" s="124" t="s">
        <v>530</v>
      </c>
      <c r="M76" s="115" t="s">
        <v>531</v>
      </c>
      <c r="N76" s="115" t="s">
        <v>532</v>
      </c>
      <c r="O76" s="115" t="s">
        <v>533</v>
      </c>
      <c r="P76" s="116"/>
      <c r="Q76" s="116"/>
    </row>
    <row r="77" spans="1:17" ht="15.6">
      <c r="A77" s="26" t="str">
        <v>Pool Brook Road</v>
      </c>
      <c r="B77" s="27" t="str">
        <v>NY</v>
      </c>
      <c r="C77" s="27" t="str">
        <f>Sites[[#This Row],[SOL'#]]</f>
        <v>SOL-10909</v>
      </c>
      <c r="D77" s="80">
        <v>284618</v>
      </c>
      <c r="E77" s="79">
        <v>298602.11900000001</v>
      </c>
      <c r="F77" s="14">
        <f t="shared" si="4"/>
        <v>-13984.119000000006</v>
      </c>
      <c r="G77" s="15">
        <f t="shared" si="5"/>
        <v>-4.6831948302416451E-2</v>
      </c>
      <c r="H77" s="80">
        <v>259081.23</v>
      </c>
      <c r="I77" s="16">
        <f t="shared" si="6"/>
        <v>25536.76999999999</v>
      </c>
      <c r="J77" s="15">
        <f t="shared" si="7"/>
        <v>9.8566654172515658E-2</v>
      </c>
      <c r="K77" s="38"/>
      <c r="L77" s="38"/>
      <c r="M77" s="116"/>
      <c r="N77" s="116"/>
      <c r="O77" s="116"/>
      <c r="P77" s="116"/>
      <c r="Q77" s="116"/>
    </row>
    <row r="78" spans="1:17" ht="72.75" customHeight="1">
      <c r="A78" s="24" t="str">
        <v>Sackett Lake</v>
      </c>
      <c r="B78" s="25" t="str">
        <v>NY</v>
      </c>
      <c r="C78" s="25" t="str">
        <f>Sites[[#This Row],[SOL'#]]</f>
        <v>SOL-10910</v>
      </c>
      <c r="D78" s="20">
        <v>314608</v>
      </c>
      <c r="E78" s="10">
        <v>327404.69199999998</v>
      </c>
      <c r="F78" s="10">
        <f t="shared" ref="F78:F143" si="8">IF(AND(ISNUMBER(D78),ISNUMBER(E78)), D78-E78, "")</f>
        <v>-12796.691999999981</v>
      </c>
      <c r="G78" s="11">
        <f t="shared" ref="G78:G141" si="9">IFERROR(F78/E78, "")</f>
        <v>-3.9085243164444269E-2</v>
      </c>
      <c r="H78" s="12">
        <v>308336.21999999997</v>
      </c>
      <c r="I78" s="12">
        <f t="shared" si="6"/>
        <v>6271.7800000000279</v>
      </c>
      <c r="J78" s="13">
        <f t="shared" si="7"/>
        <v>2.0340717675010833E-2</v>
      </c>
      <c r="K78" s="37" t="s">
        <v>534</v>
      </c>
      <c r="L78" s="124" t="s">
        <v>535</v>
      </c>
      <c r="M78" s="116"/>
      <c r="N78" s="116"/>
      <c r="O78" s="116"/>
      <c r="P78" s="116"/>
      <c r="Q78" s="116"/>
    </row>
    <row r="79" spans="1:17" ht="166.5" customHeight="1">
      <c r="A79" s="26" t="str">
        <v>Burritt Road</v>
      </c>
      <c r="B79" s="27" t="str">
        <v>NY</v>
      </c>
      <c r="C79" s="27" t="str">
        <f>Sites[[#This Row],[SOL'#]]</f>
        <v>SOL-10913</v>
      </c>
      <c r="D79" s="9">
        <v>244160</v>
      </c>
      <c r="E79" s="14">
        <v>0</v>
      </c>
      <c r="F79" s="14">
        <f t="shared" si="8"/>
        <v>244160</v>
      </c>
      <c r="G79" s="15" t="str">
        <f>IFERROR(F79/E79, "")</f>
        <v/>
      </c>
      <c r="H79" s="16">
        <v>262360.5</v>
      </c>
      <c r="I79" s="16">
        <f t="shared" si="6"/>
        <v>-18200.5</v>
      </c>
      <c r="J79" s="15">
        <f t="shared" si="7"/>
        <v>-6.9372104413583602E-2</v>
      </c>
      <c r="K79" s="38" t="s">
        <v>536</v>
      </c>
      <c r="L79" s="112" t="s">
        <v>537</v>
      </c>
      <c r="M79" s="115" t="s">
        <v>538</v>
      </c>
      <c r="N79" s="115" t="s">
        <v>538</v>
      </c>
      <c r="O79" s="116"/>
      <c r="P79" s="116"/>
      <c r="Q79" s="116"/>
    </row>
    <row r="80" spans="1:17" ht="97.5" customHeight="1">
      <c r="A80" s="24" t="str">
        <v>Villa Roma 1</v>
      </c>
      <c r="B80" s="25" t="str">
        <v>NY</v>
      </c>
      <c r="C80" s="25" t="str">
        <f>Sites[[#This Row],[SOL'#]]</f>
        <v>SOL-10914</v>
      </c>
      <c r="D80" s="20">
        <v>292460</v>
      </c>
      <c r="E80" s="10">
        <v>795.601</v>
      </c>
      <c r="F80" s="10">
        <f t="shared" si="8"/>
        <v>291664.39899999998</v>
      </c>
      <c r="G80" s="11">
        <f>IFERROR(F80/E80, "")</f>
        <v>366.596320266063</v>
      </c>
      <c r="H80" s="12">
        <v>230513.34</v>
      </c>
      <c r="I80" s="12">
        <f t="shared" si="6"/>
        <v>61946.66</v>
      </c>
      <c r="J80" s="13">
        <f t="shared" si="7"/>
        <v>0.26873351451156796</v>
      </c>
      <c r="K80" s="37" t="s">
        <v>539</v>
      </c>
      <c r="L80" s="124" t="s">
        <v>540</v>
      </c>
      <c r="M80" s="115" t="s">
        <v>541</v>
      </c>
      <c r="N80" s="116"/>
      <c r="O80" s="116"/>
      <c r="P80" s="116"/>
      <c r="Q80" s="116"/>
    </row>
    <row r="81" spans="1:21" ht="28.9">
      <c r="A81" s="26" t="str">
        <v>Villa Roma 2</v>
      </c>
      <c r="B81" s="27" t="str">
        <v>NY</v>
      </c>
      <c r="C81" s="27" t="str">
        <f>Sites[[#This Row],[SOL'#]]</f>
        <v>SOL-10915</v>
      </c>
      <c r="D81" s="9">
        <v>282446</v>
      </c>
      <c r="E81" s="14">
        <v>290530.56099999999</v>
      </c>
      <c r="F81" s="14">
        <f t="shared" si="8"/>
        <v>-8084.560999999987</v>
      </c>
      <c r="G81" s="15">
        <f t="shared" si="9"/>
        <v>-2.7826886686801899E-2</v>
      </c>
      <c r="H81" s="16">
        <v>223617.6</v>
      </c>
      <c r="I81" s="16">
        <f t="shared" si="6"/>
        <v>58828.399999999994</v>
      </c>
      <c r="J81" s="15">
        <f t="shared" si="7"/>
        <v>0.26307589384735364</v>
      </c>
      <c r="K81" s="38" t="s">
        <v>542</v>
      </c>
      <c r="L81" s="58" t="s">
        <v>543</v>
      </c>
      <c r="M81" s="116"/>
      <c r="N81" s="116"/>
      <c r="O81" s="116"/>
      <c r="P81" s="116"/>
      <c r="Q81" s="116"/>
    </row>
    <row r="82" spans="1:21" ht="15.6">
      <c r="A82" s="24" t="str">
        <v>Washington 1</v>
      </c>
      <c r="B82" s="25" t="str">
        <v>NY</v>
      </c>
      <c r="C82" s="25" t="str">
        <f>Sites[[#This Row],[SOL'#]]</f>
        <v>SOL-10912</v>
      </c>
      <c r="D82" s="20">
        <v>284470</v>
      </c>
      <c r="E82" s="10">
        <v>297807.87400000001</v>
      </c>
      <c r="F82" s="10">
        <f t="shared" si="8"/>
        <v>-13337.874000000011</v>
      </c>
      <c r="G82" s="11">
        <f t="shared" si="9"/>
        <v>-4.4786841331132872E-2</v>
      </c>
      <c r="H82" s="12">
        <v>258096.13</v>
      </c>
      <c r="I82" s="12">
        <f t="shared" ref="I82:I145" si="10">IF(AND(ISNUMBER(D82),ISNUMBER(H82)), D82-H82, "")</f>
        <v>26373.869999999995</v>
      </c>
      <c r="J82" s="13">
        <f t="shared" ref="J82:J145" si="11">IFERROR(I82/H82, "")</f>
        <v>0.10218622805386503</v>
      </c>
      <c r="K82" s="37"/>
      <c r="L82" s="37"/>
      <c r="M82" s="116"/>
      <c r="N82" s="116"/>
      <c r="O82" s="116"/>
      <c r="P82" s="116"/>
      <c r="Q82" s="116"/>
    </row>
    <row r="83" spans="1:21" ht="79.5" customHeight="1">
      <c r="A83" s="26" t="str">
        <v>Washington 3</v>
      </c>
      <c r="B83" s="27" t="str">
        <v>NY</v>
      </c>
      <c r="C83" s="27" t="str">
        <f>Sites[[#This Row],[SOL'#]]</f>
        <v>SOL-10828</v>
      </c>
      <c r="D83" s="9">
        <v>342949</v>
      </c>
      <c r="E83" s="14">
        <v>0</v>
      </c>
      <c r="F83" s="14">
        <f t="shared" si="8"/>
        <v>342949</v>
      </c>
      <c r="G83" s="15" t="str">
        <f t="shared" si="9"/>
        <v/>
      </c>
      <c r="H83" s="16">
        <v>317573.3</v>
      </c>
      <c r="I83" s="16">
        <f t="shared" si="10"/>
        <v>25375.700000000012</v>
      </c>
      <c r="J83" s="15">
        <f t="shared" si="11"/>
        <v>7.9905017203902251E-2</v>
      </c>
      <c r="K83" s="56" t="s">
        <v>544</v>
      </c>
      <c r="L83" s="125" t="s">
        <v>545</v>
      </c>
      <c r="M83" s="115" t="s">
        <v>546</v>
      </c>
      <c r="N83" s="116"/>
      <c r="O83" s="116"/>
      <c r="P83" s="116"/>
      <c r="Q83" s="116"/>
    </row>
    <row r="84" spans="1:21" ht="15.6">
      <c r="A84" s="24" t="str">
        <v>Washington 4</v>
      </c>
      <c r="B84" s="25" t="str">
        <v>NY</v>
      </c>
      <c r="C84" s="25" t="str">
        <f>Sites[[#This Row],[SOL'#]]</f>
        <v>SOL-10829</v>
      </c>
      <c r="D84" s="20">
        <v>343118</v>
      </c>
      <c r="E84" s="10">
        <v>355062.712</v>
      </c>
      <c r="F84" s="10">
        <f t="shared" si="8"/>
        <v>-11944.712</v>
      </c>
      <c r="G84" s="11">
        <f>IFERROR(F84/E84, "")</f>
        <v>-3.3641133231697956E-2</v>
      </c>
      <c r="H84" s="12">
        <v>316864.2</v>
      </c>
      <c r="I84" s="12">
        <f t="shared" si="10"/>
        <v>26253.799999999988</v>
      </c>
      <c r="J84" s="13">
        <f t="shared" si="11"/>
        <v>8.2855052732369219E-2</v>
      </c>
      <c r="K84" s="37"/>
      <c r="L84" s="37"/>
      <c r="M84" s="116"/>
      <c r="N84" s="116"/>
      <c r="O84" s="116"/>
      <c r="P84" s="116"/>
      <c r="Q84" s="116"/>
    </row>
    <row r="85" spans="1:21" ht="45.75" customHeight="1">
      <c r="A85" s="26" t="str">
        <v>Big Tree</v>
      </c>
      <c r="B85" s="27" t="str">
        <v>NY</v>
      </c>
      <c r="C85" s="27" t="str">
        <f>Sites[[#This Row],[SOL'#]]</f>
        <v>SOL-10966</v>
      </c>
      <c r="D85" s="9">
        <v>273687</v>
      </c>
      <c r="E85" s="14">
        <v>0</v>
      </c>
      <c r="F85" s="14">
        <f t="shared" si="8"/>
        <v>273687</v>
      </c>
      <c r="G85" s="15" t="str">
        <f t="shared" si="9"/>
        <v/>
      </c>
      <c r="H85" s="16">
        <v>288104.5</v>
      </c>
      <c r="I85" s="16">
        <f t="shared" si="10"/>
        <v>-14417.5</v>
      </c>
      <c r="J85" s="15">
        <f t="shared" si="11"/>
        <v>-5.004260606828425E-2</v>
      </c>
      <c r="K85" s="56" t="s">
        <v>547</v>
      </c>
      <c r="L85" s="56" t="s">
        <v>548</v>
      </c>
      <c r="M85" s="116"/>
      <c r="N85" s="116"/>
      <c r="O85" s="116"/>
      <c r="P85" s="116"/>
      <c r="Q85" s="116"/>
    </row>
    <row r="86" spans="1:21" ht="277.5" customHeight="1">
      <c r="A86" s="24" t="str">
        <v>Canoga</v>
      </c>
      <c r="B86" s="25" t="str">
        <v>NY</v>
      </c>
      <c r="C86" s="25" t="str">
        <f>Sites[[#This Row],[SOL'#]]</f>
        <v>SOL-10965</v>
      </c>
      <c r="D86" s="20">
        <v>596020</v>
      </c>
      <c r="E86" s="10">
        <v>0</v>
      </c>
      <c r="F86" s="10">
        <f t="shared" si="8"/>
        <v>596020</v>
      </c>
      <c r="G86" s="11" t="str">
        <f t="shared" si="9"/>
        <v/>
      </c>
      <c r="H86" s="12">
        <v>721909.99</v>
      </c>
      <c r="I86" s="12">
        <f t="shared" si="10"/>
        <v>-125889.98999999999</v>
      </c>
      <c r="J86" s="13">
        <f t="shared" si="11"/>
        <v>-0.17438460714472173</v>
      </c>
      <c r="K86" s="37" t="s">
        <v>549</v>
      </c>
      <c r="L86" s="124" t="s">
        <v>550</v>
      </c>
      <c r="M86" s="115" t="s">
        <v>551</v>
      </c>
      <c r="N86" s="115" t="s">
        <v>552</v>
      </c>
      <c r="O86" s="115" t="s">
        <v>553</v>
      </c>
      <c r="P86" s="115" t="s">
        <v>553</v>
      </c>
      <c r="Q86" s="115" t="s">
        <v>554</v>
      </c>
    </row>
    <row r="87" spans="1:21" ht="28.9">
      <c r="A87" s="26" t="str">
        <v>County Route 84</v>
      </c>
      <c r="B87" s="27" t="str">
        <v>NY</v>
      </c>
      <c r="C87" s="27" t="str">
        <f>Sites[[#This Row],[SOL'#]]</f>
        <v>SOL-10967</v>
      </c>
      <c r="D87" s="9">
        <v>765110</v>
      </c>
      <c r="E87" s="14">
        <v>0</v>
      </c>
      <c r="F87" s="14">
        <f t="shared" si="8"/>
        <v>765110</v>
      </c>
      <c r="G87" s="15" t="str">
        <f t="shared" si="9"/>
        <v/>
      </c>
      <c r="H87" s="16">
        <v>801935.5</v>
      </c>
      <c r="I87" s="16">
        <f t="shared" si="10"/>
        <v>-36825.5</v>
      </c>
      <c r="J87" s="15">
        <f t="shared" si="11"/>
        <v>-4.5920775423958657E-2</v>
      </c>
      <c r="K87" s="56" t="s">
        <v>555</v>
      </c>
      <c r="L87" s="125" t="s">
        <v>556</v>
      </c>
      <c r="M87" s="116"/>
      <c r="N87" s="116"/>
      <c r="O87" s="116"/>
      <c r="P87" s="116"/>
      <c r="Q87" s="116"/>
    </row>
    <row r="88" spans="1:21" ht="100.9">
      <c r="A88" s="24" t="str">
        <v>Donati</v>
      </c>
      <c r="B88" s="25" t="str">
        <v>NY</v>
      </c>
      <c r="C88" s="25" t="str">
        <f>Sites[[#This Row],[SOL'#]]</f>
        <v>SOL-10968</v>
      </c>
      <c r="D88" s="20">
        <v>126381</v>
      </c>
      <c r="E88" s="10">
        <v>0</v>
      </c>
      <c r="F88" s="10">
        <f t="shared" si="8"/>
        <v>126381</v>
      </c>
      <c r="G88" s="11" t="str">
        <f t="shared" si="9"/>
        <v/>
      </c>
      <c r="H88" s="12">
        <v>341064.1</v>
      </c>
      <c r="I88" s="12">
        <f t="shared" si="10"/>
        <v>-214683.09999999998</v>
      </c>
      <c r="J88" s="13">
        <f t="shared" si="11"/>
        <v>-0.62945088621171208</v>
      </c>
      <c r="K88" s="37" t="s">
        <v>557</v>
      </c>
      <c r="L88" s="124" t="s">
        <v>558</v>
      </c>
      <c r="M88" s="115" t="s">
        <v>559</v>
      </c>
      <c r="N88" s="115" t="s">
        <v>107</v>
      </c>
      <c r="O88" s="115" t="s">
        <v>560</v>
      </c>
      <c r="P88" s="115" t="s">
        <v>561</v>
      </c>
      <c r="Q88" s="115" t="s">
        <v>562</v>
      </c>
    </row>
    <row r="89" spans="1:21" ht="15.6">
      <c r="A89" s="26" t="str">
        <v>Henrietta</v>
      </c>
      <c r="B89" s="27" t="str">
        <v>NY</v>
      </c>
      <c r="C89" s="27" t="str">
        <f>Sites[[#This Row],[SOL'#]]</f>
        <v>SOL-10972</v>
      </c>
      <c r="D89" s="9">
        <v>657820</v>
      </c>
      <c r="E89" s="14">
        <v>0</v>
      </c>
      <c r="F89" s="14">
        <f t="shared" si="8"/>
        <v>657820</v>
      </c>
      <c r="G89" s="15" t="str">
        <f t="shared" si="9"/>
        <v/>
      </c>
      <c r="H89" s="16">
        <v>670835.98</v>
      </c>
      <c r="I89" s="16">
        <f t="shared" si="10"/>
        <v>-13015.979999999981</v>
      </c>
      <c r="J89" s="15">
        <f t="shared" si="11"/>
        <v>-1.9402626555600048E-2</v>
      </c>
      <c r="K89" s="56"/>
      <c r="L89" s="56"/>
      <c r="M89" s="116"/>
      <c r="N89" s="116"/>
      <c r="O89" s="116"/>
      <c r="P89" s="116"/>
      <c r="Q89" s="116"/>
    </row>
    <row r="90" spans="1:21" ht="100.9">
      <c r="A90" s="24" t="str">
        <v>NY 70</v>
      </c>
      <c r="B90" s="25" t="str">
        <v>NY</v>
      </c>
      <c r="C90" s="25" t="str">
        <f>Sites[[#This Row],[SOL'#]]</f>
        <v>SOL-10970</v>
      </c>
      <c r="D90" s="20">
        <v>692500</v>
      </c>
      <c r="E90" s="10">
        <v>0</v>
      </c>
      <c r="F90" s="10">
        <f t="shared" si="8"/>
        <v>692500</v>
      </c>
      <c r="G90" s="11" t="str">
        <f t="shared" si="9"/>
        <v/>
      </c>
      <c r="H90" s="12">
        <v>842989.16</v>
      </c>
      <c r="I90" s="12">
        <f t="shared" si="10"/>
        <v>-150489.16000000003</v>
      </c>
      <c r="J90" s="13">
        <f t="shared" si="11"/>
        <v>-0.17851849957358887</v>
      </c>
      <c r="K90" s="37" t="s">
        <v>563</v>
      </c>
      <c r="L90" s="124" t="s">
        <v>564</v>
      </c>
      <c r="M90" s="115" t="s">
        <v>565</v>
      </c>
      <c r="N90" s="115" t="s">
        <v>566</v>
      </c>
      <c r="O90" s="116"/>
      <c r="P90" s="116"/>
      <c r="Q90" s="116"/>
    </row>
    <row r="91" spans="1:21" ht="317.25" customHeight="1">
      <c r="A91" s="26" t="str">
        <v>Reid</v>
      </c>
      <c r="B91" s="27" t="str">
        <v>NY</v>
      </c>
      <c r="C91" s="27" t="str">
        <f>Sites[[#This Row],[SOL'#]]</f>
        <v>SOL-10991</v>
      </c>
      <c r="D91" s="9">
        <v>598905.00057238701</v>
      </c>
      <c r="E91" s="14">
        <v>628321.1</v>
      </c>
      <c r="F91" s="14">
        <f t="shared" si="8"/>
        <v>-29416.099427612964</v>
      </c>
      <c r="G91" s="15">
        <f t="shared" si="9"/>
        <v>-4.6816984862696739E-2</v>
      </c>
      <c r="H91" s="16">
        <v>657607</v>
      </c>
      <c r="I91" s="16">
        <f t="shared" si="10"/>
        <v>-58701.999427612987</v>
      </c>
      <c r="J91" s="15">
        <f t="shared" si="11"/>
        <v>-8.926608054295801E-2</v>
      </c>
      <c r="K91" s="57" t="s">
        <v>567</v>
      </c>
      <c r="L91" s="112" t="s">
        <v>568</v>
      </c>
      <c r="M91" s="115" t="s">
        <v>569</v>
      </c>
      <c r="N91" s="115" t="s">
        <v>343</v>
      </c>
      <c r="O91" s="115" t="s">
        <v>570</v>
      </c>
      <c r="P91" s="115" t="s">
        <v>571</v>
      </c>
      <c r="Q91" s="115" t="s">
        <v>572</v>
      </c>
      <c r="R91" s="126" t="s">
        <v>573</v>
      </c>
      <c r="S91" s="126" t="s">
        <v>574</v>
      </c>
      <c r="T91" s="126" t="s">
        <v>575</v>
      </c>
      <c r="U91" s="126" t="s">
        <v>576</v>
      </c>
    </row>
    <row r="92" spans="1:21" ht="144">
      <c r="A92" s="24" t="str">
        <v>Sangolqui</v>
      </c>
      <c r="B92" s="25" t="str">
        <v>NY</v>
      </c>
      <c r="C92" s="25" t="str">
        <f>Sites[[#This Row],[SOL'#]]</f>
        <v>SOL-10975</v>
      </c>
      <c r="D92" s="20">
        <v>304250</v>
      </c>
      <c r="E92" s="10">
        <v>0</v>
      </c>
      <c r="F92" s="10">
        <f t="shared" si="8"/>
        <v>304250</v>
      </c>
      <c r="G92" s="11" t="str">
        <f t="shared" si="9"/>
        <v/>
      </c>
      <c r="H92" s="12">
        <v>332621.63</v>
      </c>
      <c r="I92" s="12">
        <f t="shared" si="10"/>
        <v>-28371.630000000005</v>
      </c>
      <c r="J92" s="13">
        <f t="shared" si="11"/>
        <v>-8.5297008495809498E-2</v>
      </c>
      <c r="K92" s="37" t="s">
        <v>577</v>
      </c>
      <c r="L92" s="124" t="s">
        <v>578</v>
      </c>
      <c r="M92" s="115" t="s">
        <v>579</v>
      </c>
      <c r="N92" s="115" t="s">
        <v>580</v>
      </c>
      <c r="O92" s="115" t="s">
        <v>581</v>
      </c>
      <c r="P92" s="115" t="s">
        <v>582</v>
      </c>
      <c r="Q92" s="116"/>
    </row>
    <row r="93" spans="1:21" ht="15.6">
      <c r="A93" s="26" t="str">
        <v>State Highway 17B</v>
      </c>
      <c r="B93" s="27" t="str">
        <v>NY</v>
      </c>
      <c r="C93" s="27" t="str">
        <f>Sites[[#This Row],[SOL'#]]</f>
        <v>SOL-10988</v>
      </c>
      <c r="D93" s="9">
        <v>720970</v>
      </c>
      <c r="E93" s="14">
        <v>0</v>
      </c>
      <c r="F93" s="14">
        <f t="shared" si="8"/>
        <v>720970</v>
      </c>
      <c r="G93" s="15" t="str">
        <f t="shared" si="9"/>
        <v/>
      </c>
      <c r="H93" s="16">
        <v>638001.97</v>
      </c>
      <c r="I93" s="16">
        <f t="shared" si="10"/>
        <v>82968.030000000028</v>
      </c>
      <c r="J93" s="15">
        <f t="shared" si="11"/>
        <v>0.13004353262420182</v>
      </c>
      <c r="K93" s="57" t="s">
        <v>583</v>
      </c>
      <c r="L93" s="112" t="s">
        <v>584</v>
      </c>
      <c r="M93" s="116"/>
      <c r="N93" s="116"/>
      <c r="O93" s="116"/>
      <c r="P93" s="116"/>
      <c r="Q93" s="116"/>
    </row>
    <row r="94" spans="1:21" ht="15.6">
      <c r="A94" s="24" t="str">
        <v>State Route 14A</v>
      </c>
      <c r="B94" s="25" t="str">
        <v>NY</v>
      </c>
      <c r="C94" s="25" t="str">
        <f>Sites[[#This Row],[SOL'#]]</f>
        <v>SOL-10997</v>
      </c>
      <c r="D94" s="20">
        <v>738375</v>
      </c>
      <c r="E94" s="10">
        <v>0</v>
      </c>
      <c r="F94" s="10">
        <f>IF(AND(ISNUMBER(D94),ISNUMBER(E94)), D94-E94, "")</f>
        <v>738375</v>
      </c>
      <c r="G94" s="11" t="str">
        <f>IFERROR(F94/E94, "")</f>
        <v/>
      </c>
      <c r="H94" s="12">
        <v>723566.05</v>
      </c>
      <c r="I94" s="12">
        <f>IF(AND(ISNUMBER(D94),ISNUMBER(H94)), D94-H94, "")</f>
        <v>14808.949999999953</v>
      </c>
      <c r="J94" s="13">
        <f>IFERROR(I94/H94, "")</f>
        <v>2.0466618078612109E-2</v>
      </c>
      <c r="K94" s="37"/>
      <c r="L94" s="37"/>
      <c r="M94" s="116"/>
      <c r="N94" s="116"/>
      <c r="O94" s="116"/>
      <c r="P94" s="116"/>
      <c r="Q94" s="116"/>
    </row>
    <row r="95" spans="1:21" ht="15.6">
      <c r="A95" s="26" t="str">
        <v>West Creek</v>
      </c>
      <c r="B95" s="27" t="str">
        <v>NY</v>
      </c>
      <c r="C95" s="27" t="str">
        <f>Sites[[#This Row],[SOL'#]]</f>
        <v>SOL-10995</v>
      </c>
      <c r="D95" s="9">
        <v>783200</v>
      </c>
      <c r="E95" s="14">
        <v>0</v>
      </c>
      <c r="F95" s="14">
        <f t="shared" si="8"/>
        <v>783200</v>
      </c>
      <c r="G95" s="15" t="str">
        <f t="shared" si="9"/>
        <v/>
      </c>
      <c r="H95" s="16">
        <v>745081.94</v>
      </c>
      <c r="I95" s="16">
        <f t="shared" si="10"/>
        <v>38118.060000000056</v>
      </c>
      <c r="J95" s="15">
        <f t="shared" si="11"/>
        <v>5.1159554343781381E-2</v>
      </c>
      <c r="K95" s="57"/>
      <c r="L95" s="58"/>
      <c r="M95" s="116"/>
      <c r="N95" s="116"/>
      <c r="O95" s="116"/>
      <c r="P95" s="116"/>
      <c r="Q95" s="116"/>
    </row>
    <row r="96" spans="1:21" ht="114" customHeight="1">
      <c r="A96" s="24" t="str">
        <v>Wildflower</v>
      </c>
      <c r="B96" s="25" t="str">
        <v>NY</v>
      </c>
      <c r="C96" s="25" t="str">
        <f>Sites[[#This Row],[SOL'#]]</f>
        <v>SOL-10982</v>
      </c>
      <c r="D96" s="20">
        <v>617179</v>
      </c>
      <c r="E96" s="10">
        <v>0</v>
      </c>
      <c r="F96" s="10">
        <f t="shared" si="8"/>
        <v>617179</v>
      </c>
      <c r="G96" s="11" t="str">
        <f t="shared" si="9"/>
        <v/>
      </c>
      <c r="H96" s="12">
        <v>744170.26</v>
      </c>
      <c r="I96" s="12">
        <f t="shared" si="10"/>
        <v>-126991.26000000001</v>
      </c>
      <c r="J96" s="13">
        <f t="shared" si="11"/>
        <v>-0.17064812560501949</v>
      </c>
      <c r="K96" s="63" t="s">
        <v>585</v>
      </c>
      <c r="L96" s="131" t="s">
        <v>586</v>
      </c>
      <c r="M96" s="115" t="s">
        <v>587</v>
      </c>
      <c r="N96" s="116"/>
      <c r="O96" s="116"/>
      <c r="P96" s="116"/>
      <c r="Q96" s="116"/>
    </row>
    <row r="97" spans="1:17" ht="15.6">
      <c r="A97" s="26" t="str">
        <v>Glen Mary 1</v>
      </c>
      <c r="B97" s="27" t="str">
        <v>NY</v>
      </c>
      <c r="C97" s="27" t="str">
        <f>Sites[[#This Row],[SOL'#]]</f>
        <v>SOL-10993</v>
      </c>
      <c r="D97" s="9">
        <v>788220</v>
      </c>
      <c r="E97" s="14">
        <v>0</v>
      </c>
      <c r="F97" s="14">
        <f t="shared" si="8"/>
        <v>788220</v>
      </c>
      <c r="G97" s="15" t="str">
        <f t="shared" si="9"/>
        <v/>
      </c>
      <c r="H97" s="16">
        <v>769129.73</v>
      </c>
      <c r="I97" s="16">
        <f t="shared" si="10"/>
        <v>19090.270000000019</v>
      </c>
      <c r="J97" s="15">
        <f t="shared" si="11"/>
        <v>2.4820611212103345E-2</v>
      </c>
      <c r="K97" s="56"/>
      <c r="L97" s="56"/>
      <c r="M97" s="116"/>
      <c r="N97" s="116"/>
      <c r="O97" s="116"/>
      <c r="P97" s="116"/>
      <c r="Q97" s="116"/>
    </row>
    <row r="98" spans="1:17" ht="15.6">
      <c r="A98" s="24" t="str">
        <v>Glen Mary 2</v>
      </c>
      <c r="B98" s="25" t="str">
        <v>NY</v>
      </c>
      <c r="C98" s="25" t="str">
        <f>Sites[[#This Row],[SOL'#]]</f>
        <v>SOL-10994</v>
      </c>
      <c r="D98" s="20">
        <v>347560</v>
      </c>
      <c r="E98" s="10">
        <v>0</v>
      </c>
      <c r="F98" s="10">
        <f t="shared" si="8"/>
        <v>347560</v>
      </c>
      <c r="G98" s="11" t="str">
        <f t="shared" si="9"/>
        <v/>
      </c>
      <c r="H98" s="12">
        <v>324262.76</v>
      </c>
      <c r="I98" s="12">
        <f t="shared" si="10"/>
        <v>23297.239999999991</v>
      </c>
      <c r="J98" s="13">
        <f t="shared" si="11"/>
        <v>7.1846794864757174E-2</v>
      </c>
      <c r="K98" s="37"/>
      <c r="L98" s="37"/>
      <c r="M98" s="116"/>
      <c r="N98" s="116"/>
      <c r="O98" s="116"/>
      <c r="P98" s="116"/>
      <c r="Q98" s="116"/>
    </row>
    <row r="99" spans="1:17" ht="57.6">
      <c r="A99" s="26" t="str">
        <v>Telegraph 1</v>
      </c>
      <c r="B99" s="27" t="str">
        <v>NY</v>
      </c>
      <c r="C99" s="27" t="str">
        <f>Sites[[#This Row],[SOL'#]]</f>
        <v>SOL-11003</v>
      </c>
      <c r="D99" s="9">
        <v>566859</v>
      </c>
      <c r="E99" s="14">
        <v>0</v>
      </c>
      <c r="F99" s="14">
        <f t="shared" si="8"/>
        <v>566859</v>
      </c>
      <c r="G99" s="15" t="str">
        <f t="shared" si="9"/>
        <v/>
      </c>
      <c r="H99" s="16">
        <v>528951.26</v>
      </c>
      <c r="I99" s="16">
        <f t="shared" si="10"/>
        <v>37907.739999999991</v>
      </c>
      <c r="J99" s="15">
        <f t="shared" si="11"/>
        <v>7.1665846868386299E-2</v>
      </c>
      <c r="K99" s="38" t="s">
        <v>588</v>
      </c>
      <c r="L99" s="112" t="s">
        <v>589</v>
      </c>
      <c r="M99" s="115" t="s">
        <v>590</v>
      </c>
      <c r="N99" s="116"/>
      <c r="O99" s="116"/>
      <c r="P99" s="116"/>
      <c r="Q99" s="116"/>
    </row>
    <row r="100" spans="1:17" ht="78.75" customHeight="1">
      <c r="A100" s="24" t="str">
        <v>Telegraph 2</v>
      </c>
      <c r="B100" s="25" t="str">
        <v>NY</v>
      </c>
      <c r="C100" s="25" t="str">
        <f>Sites[[#This Row],[SOL'#]]</f>
        <v>SOL-11004</v>
      </c>
      <c r="D100" s="20">
        <v>298925</v>
      </c>
      <c r="E100" s="10">
        <v>0</v>
      </c>
      <c r="F100" s="10">
        <f t="shared" si="8"/>
        <v>298925</v>
      </c>
      <c r="G100" s="11" t="str">
        <f t="shared" si="9"/>
        <v/>
      </c>
      <c r="H100" s="12">
        <v>274538.3</v>
      </c>
      <c r="I100" s="12">
        <f t="shared" si="10"/>
        <v>24386.700000000012</v>
      </c>
      <c r="J100" s="13">
        <f t="shared" si="11"/>
        <v>8.8828043300333739E-2</v>
      </c>
      <c r="K100" s="63" t="s">
        <v>591</v>
      </c>
      <c r="L100" s="124" t="s">
        <v>592</v>
      </c>
      <c r="M100" s="115" t="s">
        <v>593</v>
      </c>
      <c r="N100" s="115" t="s">
        <v>594</v>
      </c>
      <c r="O100" s="116"/>
      <c r="P100" s="116"/>
      <c r="Q100" s="116"/>
    </row>
    <row r="101" spans="1:17" ht="43.15">
      <c r="A101" s="26" t="str">
        <v>Cafferty Hill</v>
      </c>
      <c r="B101" s="27" t="str">
        <v>NY</v>
      </c>
      <c r="C101" s="27" t="str">
        <f>Sites[[#This Row],[SOL'#]]</f>
        <v>SOL-10996</v>
      </c>
      <c r="D101" s="9">
        <v>765350</v>
      </c>
      <c r="E101" s="14">
        <v>0</v>
      </c>
      <c r="F101" s="14">
        <f t="shared" si="8"/>
        <v>765350</v>
      </c>
      <c r="G101" s="15" t="str">
        <f t="shared" si="9"/>
        <v/>
      </c>
      <c r="H101" s="16">
        <v>688149.3</v>
      </c>
      <c r="I101" s="16">
        <f t="shared" si="10"/>
        <v>77200.699999999953</v>
      </c>
      <c r="J101" s="15">
        <f t="shared" si="11"/>
        <v>0.11218597475867512</v>
      </c>
      <c r="K101" s="38" t="s">
        <v>595</v>
      </c>
      <c r="L101" s="112" t="s">
        <v>596</v>
      </c>
      <c r="M101" s="116"/>
      <c r="N101" s="116"/>
      <c r="O101" s="116"/>
      <c r="P101" s="116"/>
      <c r="Q101" s="116"/>
    </row>
    <row r="102" spans="1:17" ht="86.45">
      <c r="A102" s="24" t="str">
        <v>Dunkleman</v>
      </c>
      <c r="B102" s="25" t="str">
        <v>NY</v>
      </c>
      <c r="C102" s="25" t="str">
        <f>Sites[[#This Row],[SOL'#]]</f>
        <v>SOL-11008</v>
      </c>
      <c r="D102" s="20">
        <v>739710</v>
      </c>
      <c r="E102" s="10">
        <v>0</v>
      </c>
      <c r="F102" s="10">
        <f t="shared" si="8"/>
        <v>739710</v>
      </c>
      <c r="G102" s="11" t="str">
        <f t="shared" si="9"/>
        <v/>
      </c>
      <c r="H102" s="12">
        <v>879842.6</v>
      </c>
      <c r="I102" s="12">
        <f t="shared" si="10"/>
        <v>-140132.59999999998</v>
      </c>
      <c r="J102" s="13">
        <f t="shared" si="11"/>
        <v>-0.15927007853450148</v>
      </c>
      <c r="K102" s="37" t="s">
        <v>597</v>
      </c>
      <c r="L102" s="131" t="s">
        <v>598</v>
      </c>
      <c r="M102" s="115" t="s">
        <v>599</v>
      </c>
      <c r="N102" s="116"/>
      <c r="O102" s="116"/>
      <c r="P102" s="116"/>
      <c r="Q102" s="116"/>
    </row>
    <row r="103" spans="1:17" ht="57.6">
      <c r="A103" s="26" t="str">
        <v>Route 19 1</v>
      </c>
      <c r="B103" s="27" t="str">
        <v>NY</v>
      </c>
      <c r="C103" s="27" t="str">
        <f>Sites[[#This Row],[SOL'#]]</f>
        <v>SOL-11001</v>
      </c>
      <c r="D103" s="9">
        <v>346210</v>
      </c>
      <c r="E103" s="14">
        <v>0</v>
      </c>
      <c r="F103" s="14">
        <f t="shared" si="8"/>
        <v>346210</v>
      </c>
      <c r="G103" s="15" t="str">
        <f t="shared" si="9"/>
        <v/>
      </c>
      <c r="H103" s="16">
        <v>349283.18</v>
      </c>
      <c r="I103" s="16">
        <f t="shared" si="10"/>
        <v>-3073.179999999993</v>
      </c>
      <c r="J103" s="15">
        <f t="shared" si="11"/>
        <v>-8.7985341865016026E-3</v>
      </c>
      <c r="K103" s="38" t="s">
        <v>600</v>
      </c>
      <c r="L103" s="112" t="s">
        <v>601</v>
      </c>
      <c r="M103" s="115" t="s">
        <v>602</v>
      </c>
      <c r="N103" s="116"/>
      <c r="O103" s="116"/>
      <c r="P103" s="116"/>
      <c r="Q103" s="116"/>
    </row>
    <row r="104" spans="1:17" ht="43.15">
      <c r="A104" s="24" t="str">
        <v>Route 19 2</v>
      </c>
      <c r="B104" s="25" t="str">
        <v>NY</v>
      </c>
      <c r="C104" s="25" t="str">
        <f>Sites[[#This Row],[SOL'#]]</f>
        <v>SOL-11002</v>
      </c>
      <c r="D104" s="20">
        <v>835500</v>
      </c>
      <c r="E104" s="10">
        <v>0</v>
      </c>
      <c r="F104" s="10">
        <f t="shared" si="8"/>
        <v>835500</v>
      </c>
      <c r="G104" s="11" t="str">
        <f t="shared" si="9"/>
        <v/>
      </c>
      <c r="H104" s="12">
        <v>874096.22</v>
      </c>
      <c r="I104" s="12">
        <f t="shared" si="10"/>
        <v>-38596.219999999972</v>
      </c>
      <c r="J104" s="13">
        <f t="shared" si="11"/>
        <v>-4.4155573627809502E-2</v>
      </c>
      <c r="K104" s="37" t="s">
        <v>603</v>
      </c>
      <c r="L104" s="124" t="s">
        <v>604</v>
      </c>
      <c r="M104" s="115" t="s">
        <v>605</v>
      </c>
      <c r="N104" s="116"/>
      <c r="O104" s="116"/>
      <c r="P104" s="116"/>
      <c r="Q104" s="116"/>
    </row>
    <row r="105" spans="1:17" ht="100.9">
      <c r="A105" s="26" t="str">
        <v>Yellow Mills 1</v>
      </c>
      <c r="B105" s="27" t="str">
        <v>NY</v>
      </c>
      <c r="C105" s="27" t="str">
        <f>Sites[[#This Row],[SOL'#]]</f>
        <v>SOL-11006</v>
      </c>
      <c r="D105" s="9">
        <v>173566</v>
      </c>
      <c r="E105" s="14">
        <v>0</v>
      </c>
      <c r="F105" s="14">
        <f t="shared" si="8"/>
        <v>173566</v>
      </c>
      <c r="G105" s="15" t="str">
        <f t="shared" si="9"/>
        <v/>
      </c>
      <c r="H105" s="16">
        <v>290227.42</v>
      </c>
      <c r="I105" s="16">
        <f t="shared" si="10"/>
        <v>-116661.41999999998</v>
      </c>
      <c r="J105" s="15">
        <f t="shared" si="11"/>
        <v>-0.40196553447637717</v>
      </c>
      <c r="K105" s="56" t="s">
        <v>606</v>
      </c>
      <c r="L105" s="125" t="s">
        <v>607</v>
      </c>
      <c r="M105" s="115" t="s">
        <v>608</v>
      </c>
      <c r="N105" s="115" t="s">
        <v>609</v>
      </c>
      <c r="O105" s="116"/>
      <c r="P105" s="116"/>
      <c r="Q105" s="116"/>
    </row>
    <row r="106" spans="1:17" ht="52.5" customHeight="1">
      <c r="A106" s="24" t="str">
        <v>Yellow Mills 2</v>
      </c>
      <c r="B106" s="25" t="str">
        <v>NY</v>
      </c>
      <c r="C106" s="25" t="str">
        <f>Sites[[#This Row],[SOL'#]]</f>
        <v>SOL-11005</v>
      </c>
      <c r="D106" s="20">
        <v>307599</v>
      </c>
      <c r="E106" s="10">
        <v>0</v>
      </c>
      <c r="F106" s="10">
        <f t="shared" si="8"/>
        <v>307599</v>
      </c>
      <c r="G106" s="11" t="str">
        <f t="shared" si="9"/>
        <v/>
      </c>
      <c r="H106" s="12">
        <v>300328.5</v>
      </c>
      <c r="I106" s="12">
        <f t="shared" si="10"/>
        <v>7270.5</v>
      </c>
      <c r="J106" s="13">
        <f t="shared" si="11"/>
        <v>2.4208491701586763E-2</v>
      </c>
      <c r="K106" s="37" t="s">
        <v>610</v>
      </c>
      <c r="L106" s="124" t="s">
        <v>611</v>
      </c>
      <c r="M106" s="116"/>
      <c r="N106" s="116"/>
      <c r="O106" s="116"/>
      <c r="P106" s="116"/>
      <c r="Q106" s="116"/>
    </row>
    <row r="107" spans="1:17" ht="72">
      <c r="A107" s="26" t="str">
        <v>Yellow Mills 3</v>
      </c>
      <c r="B107" s="27" t="str">
        <v>NY</v>
      </c>
      <c r="C107" s="27" t="str">
        <f>Sites[[#This Row],[SOL'#]]</f>
        <v>SOL-11007</v>
      </c>
      <c r="D107" s="9">
        <v>280998</v>
      </c>
      <c r="E107" s="14">
        <v>0</v>
      </c>
      <c r="F107" s="14">
        <f t="shared" si="8"/>
        <v>280998</v>
      </c>
      <c r="G107" s="15" t="str">
        <f t="shared" si="9"/>
        <v/>
      </c>
      <c r="H107" s="16">
        <v>278412.03000000003</v>
      </c>
      <c r="I107" s="16">
        <f t="shared" si="10"/>
        <v>2585.9699999999721</v>
      </c>
      <c r="J107" s="15">
        <f t="shared" si="11"/>
        <v>9.2882839868664146E-3</v>
      </c>
      <c r="K107" s="56" t="s">
        <v>612</v>
      </c>
      <c r="L107" s="125" t="s">
        <v>613</v>
      </c>
      <c r="M107" s="115" t="s">
        <v>614</v>
      </c>
      <c r="N107" s="116"/>
      <c r="O107" s="116"/>
      <c r="P107" s="116"/>
      <c r="Q107" s="116"/>
    </row>
    <row r="108" spans="1:17" ht="86.45">
      <c r="A108" s="24" t="str">
        <v>Catskill</v>
      </c>
      <c r="B108" s="25" t="str">
        <v>NY</v>
      </c>
      <c r="C108" s="25" t="str">
        <f>Sites[[#This Row],[SOL'#]]</f>
        <v>SOL-11021</v>
      </c>
      <c r="D108" s="20">
        <v>521640</v>
      </c>
      <c r="E108" s="10">
        <v>0</v>
      </c>
      <c r="F108" s="10">
        <f t="shared" si="8"/>
        <v>521640</v>
      </c>
      <c r="G108" s="11" t="str">
        <f t="shared" si="9"/>
        <v/>
      </c>
      <c r="H108" s="12">
        <v>536089.1</v>
      </c>
      <c r="I108" s="12">
        <f t="shared" si="10"/>
        <v>-14449.099999999977</v>
      </c>
      <c r="J108" s="13">
        <f t="shared" si="11"/>
        <v>-2.6952795719965165E-2</v>
      </c>
      <c r="K108" s="63" t="s">
        <v>615</v>
      </c>
      <c r="L108" s="131" t="s">
        <v>616</v>
      </c>
      <c r="M108" s="115" t="s">
        <v>617</v>
      </c>
      <c r="N108" s="116"/>
      <c r="O108" s="116"/>
      <c r="P108" s="116"/>
      <c r="Q108" s="116"/>
    </row>
    <row r="109" spans="1:17" ht="15.6">
      <c r="A109" s="26" t="str">
        <v>Eddy Ridge</v>
      </c>
      <c r="B109" s="27" t="str">
        <v>NY</v>
      </c>
      <c r="C109" s="27" t="str">
        <f>Sites[[#This Row],[SOL'#]]</f>
        <v>SOL-11054</v>
      </c>
      <c r="D109" s="9">
        <v>378194.1</v>
      </c>
      <c r="E109" s="14">
        <v>0</v>
      </c>
      <c r="F109" s="14">
        <f t="shared" si="8"/>
        <v>378194.1</v>
      </c>
      <c r="G109" s="15" t="str">
        <f t="shared" si="9"/>
        <v/>
      </c>
      <c r="H109" s="16">
        <v>410935</v>
      </c>
      <c r="I109" s="16">
        <f t="shared" si="10"/>
        <v>-32740.900000000023</v>
      </c>
      <c r="J109" s="15">
        <f t="shared" si="11"/>
        <v>-7.9674157713507054E-2</v>
      </c>
      <c r="K109" s="56"/>
      <c r="L109" s="56"/>
      <c r="M109" s="116"/>
      <c r="N109" s="116"/>
      <c r="O109" s="116"/>
      <c r="P109" s="116"/>
      <c r="Q109" s="116"/>
    </row>
    <row r="110" spans="1:17" ht="15.6">
      <c r="A110" s="24" t="str">
        <v>Ridgeway #1</v>
      </c>
      <c r="B110" s="25" t="str">
        <v>NY</v>
      </c>
      <c r="C110" s="25" t="str">
        <f>Sites[[#This Row],[SOL'#]]</f>
        <v>SOL-11018</v>
      </c>
      <c r="D110" s="20">
        <v>822442</v>
      </c>
      <c r="E110" s="10">
        <v>0</v>
      </c>
      <c r="F110" s="10">
        <f t="shared" si="8"/>
        <v>822442</v>
      </c>
      <c r="G110" s="11" t="str">
        <f t="shared" si="9"/>
        <v/>
      </c>
      <c r="H110" s="12">
        <v>876074.3</v>
      </c>
      <c r="I110" s="12">
        <f t="shared" si="10"/>
        <v>-53632.300000000047</v>
      </c>
      <c r="J110" s="13">
        <f t="shared" si="11"/>
        <v>-6.1218894333505781E-2</v>
      </c>
      <c r="K110" s="63"/>
      <c r="L110" s="63"/>
      <c r="M110" s="116"/>
      <c r="N110" s="116"/>
      <c r="O110" s="116"/>
      <c r="P110" s="116"/>
      <c r="Q110" s="116"/>
    </row>
    <row r="111" spans="1:17" ht="43.15">
      <c r="A111" s="26" t="str">
        <v>Rivard 1</v>
      </c>
      <c r="B111" s="27" t="str">
        <v>NY</v>
      </c>
      <c r="C111" s="27" t="str">
        <f>Sites[[#This Row],[SOL'#]]</f>
        <v>SOL-11011</v>
      </c>
      <c r="D111" s="9">
        <v>621057.00000000105</v>
      </c>
      <c r="E111" s="14">
        <v>665956.30000000005</v>
      </c>
      <c r="F111" s="14">
        <f t="shared" si="8"/>
        <v>-44899.299999998999</v>
      </c>
      <c r="G111" s="15">
        <f t="shared" si="9"/>
        <v>-6.7420790223020638E-2</v>
      </c>
      <c r="H111" s="16">
        <v>649817.4</v>
      </c>
      <c r="I111" s="16">
        <f t="shared" si="10"/>
        <v>-28760.399999998976</v>
      </c>
      <c r="J111" s="15">
        <f t="shared" si="11"/>
        <v>-4.425920266216167E-2</v>
      </c>
      <c r="K111" s="38" t="s">
        <v>618</v>
      </c>
      <c r="L111" s="125" t="s">
        <v>619</v>
      </c>
      <c r="M111" s="116"/>
      <c r="N111" s="116"/>
      <c r="O111" s="116"/>
      <c r="P111" s="116"/>
      <c r="Q111" s="116"/>
    </row>
    <row r="112" spans="1:17" ht="43.15">
      <c r="A112" s="24" t="str">
        <v>Rivard 2</v>
      </c>
      <c r="B112" s="25" t="str">
        <v>NY</v>
      </c>
      <c r="C112" s="25" t="str">
        <f>Sites[[#This Row],[SOL'#]]</f>
        <v>SOL-11012</v>
      </c>
      <c r="D112" s="20">
        <v>630307.91044776095</v>
      </c>
      <c r="E112" s="10">
        <v>622072.80000000005</v>
      </c>
      <c r="F112" s="10">
        <f t="shared" si="8"/>
        <v>8235.1104477609042</v>
      </c>
      <c r="G112" s="11">
        <f t="shared" si="9"/>
        <v>1.3238177987786806E-2</v>
      </c>
      <c r="H112" s="12">
        <v>625090.80000000005</v>
      </c>
      <c r="I112" s="12">
        <f t="shared" si="10"/>
        <v>5217.1104477609042</v>
      </c>
      <c r="J112" s="13">
        <f t="shared" si="11"/>
        <v>8.346164185684549E-3</v>
      </c>
      <c r="K112" s="120" t="s">
        <v>376</v>
      </c>
      <c r="L112" s="124" t="s">
        <v>377</v>
      </c>
      <c r="M112" s="116"/>
      <c r="N112" s="116"/>
      <c r="O112" s="116"/>
      <c r="P112" s="116"/>
      <c r="Q112" s="116"/>
    </row>
    <row r="113" spans="1:17" ht="26.45">
      <c r="A113" s="26" t="str">
        <v>Essex</v>
      </c>
      <c r="B113" s="27" t="str">
        <v>DC</v>
      </c>
      <c r="C113" s="27" t="str">
        <f>Sites[[#This Row],[SOL'#]]</f>
        <v>SOL-10036</v>
      </c>
      <c r="D113" s="9">
        <v>3125</v>
      </c>
      <c r="E113" s="14">
        <v>3748.7629999999999</v>
      </c>
      <c r="F113" s="14">
        <f t="shared" si="8"/>
        <v>-623.76299999999992</v>
      </c>
      <c r="G113" s="15">
        <f t="shared" si="9"/>
        <v>-0.16639168707117519</v>
      </c>
      <c r="H113" s="16">
        <v>4003.5810000000001</v>
      </c>
      <c r="I113" s="16">
        <f t="shared" si="10"/>
        <v>-878.58100000000013</v>
      </c>
      <c r="J113" s="15">
        <f t="shared" si="11"/>
        <v>-0.21944878847212035</v>
      </c>
      <c r="K113" s="38" t="s">
        <v>620</v>
      </c>
      <c r="L113" s="127" t="s">
        <v>621</v>
      </c>
      <c r="M113" s="116"/>
      <c r="N113" s="116"/>
      <c r="O113" s="116"/>
      <c r="P113" s="116"/>
      <c r="Q113" s="116"/>
    </row>
    <row r="114" spans="1:17" ht="15.6">
      <c r="A114" s="24" t="str">
        <v>Temple Sinai</v>
      </c>
      <c r="B114" s="25" t="str">
        <v>DC</v>
      </c>
      <c r="C114" s="25" t="str">
        <f>Sites[[#This Row],[SOL'#]]</f>
        <v>SOL-10028</v>
      </c>
      <c r="D114" s="20">
        <v>9406.9300000000494</v>
      </c>
      <c r="E114" s="10">
        <v>12476.7</v>
      </c>
      <c r="F114" s="10">
        <f t="shared" si="8"/>
        <v>-3069.7699999999513</v>
      </c>
      <c r="G114" s="11">
        <f t="shared" si="9"/>
        <v>-0.24604021896815273</v>
      </c>
      <c r="H114" s="12">
        <v>9336.5490000000009</v>
      </c>
      <c r="I114" s="12">
        <f t="shared" si="10"/>
        <v>70.381000000048516</v>
      </c>
      <c r="J114" s="13">
        <f t="shared" si="11"/>
        <v>7.5382242411032715E-3</v>
      </c>
      <c r="K114" s="37" t="s">
        <v>622</v>
      </c>
      <c r="L114" s="37"/>
      <c r="M114" s="116"/>
      <c r="N114" s="116"/>
      <c r="O114" s="116"/>
      <c r="P114" s="116"/>
      <c r="Q114" s="116"/>
    </row>
    <row r="115" spans="1:17" ht="15.6">
      <c r="A115" s="26" t="str">
        <v>Weinberg Commons #1</v>
      </c>
      <c r="B115" s="27" t="str">
        <v>DC</v>
      </c>
      <c r="C115" s="27" t="str">
        <f>Sites[[#This Row],[SOL'#]]</f>
        <v>SOL-10039</v>
      </c>
      <c r="D115" s="9">
        <v>1489</v>
      </c>
      <c r="E115" s="14">
        <v>1450.0070000000001</v>
      </c>
      <c r="F115" s="14">
        <f t="shared" si="8"/>
        <v>38.992999999999938</v>
      </c>
      <c r="G115" s="15">
        <f t="shared" si="9"/>
        <v>2.6891594316441187E-2</v>
      </c>
      <c r="H115" s="16">
        <v>1422.38</v>
      </c>
      <c r="I115" s="16">
        <f t="shared" si="10"/>
        <v>66.619999999999891</v>
      </c>
      <c r="J115" s="15">
        <f t="shared" si="11"/>
        <v>4.6836991521253028E-2</v>
      </c>
      <c r="K115" s="38"/>
      <c r="L115" s="39"/>
      <c r="M115" s="116"/>
      <c r="N115" s="116"/>
      <c r="O115" s="116"/>
      <c r="P115" s="116"/>
      <c r="Q115" s="116"/>
    </row>
    <row r="116" spans="1:17" ht="15.6">
      <c r="A116" s="24" t="str">
        <v>Weinberg Commons #2</v>
      </c>
      <c r="B116" s="25" t="str">
        <v>DC</v>
      </c>
      <c r="C116" s="25" t="str">
        <f>Sites[[#This Row],[SOL'#]]</f>
        <v>SOL-10045</v>
      </c>
      <c r="D116" s="20">
        <v>1460</v>
      </c>
      <c r="E116" s="10">
        <v>1433.508</v>
      </c>
      <c r="F116" s="10">
        <f t="shared" si="8"/>
        <v>26.491999999999962</v>
      </c>
      <c r="G116" s="11">
        <f t="shared" si="9"/>
        <v>1.8480538650638825E-2</v>
      </c>
      <c r="H116" s="12">
        <v>1461.731</v>
      </c>
      <c r="I116" s="12">
        <f t="shared" si="10"/>
        <v>-1.7309999999999945</v>
      </c>
      <c r="J116" s="13">
        <f t="shared" si="11"/>
        <v>-1.1842124166484768E-3</v>
      </c>
      <c r="K116" s="37"/>
      <c r="L116" s="37"/>
      <c r="M116" s="116"/>
      <c r="N116" s="116"/>
      <c r="O116" s="116"/>
      <c r="P116" s="116"/>
      <c r="Q116" s="116"/>
    </row>
    <row r="117" spans="1:17" ht="15.6">
      <c r="A117" s="26" t="str">
        <v>Weinberg Commons #3</v>
      </c>
      <c r="B117" s="27" t="str">
        <v>DC</v>
      </c>
      <c r="C117" s="27" t="str">
        <f>Sites[[#This Row],[SOL'#]]</f>
        <v>SOL-10042</v>
      </c>
      <c r="D117" s="9">
        <v>1703</v>
      </c>
      <c r="E117" s="14">
        <v>1607.0530000000001</v>
      </c>
      <c r="F117" s="14">
        <f t="shared" si="8"/>
        <v>95.946999999999889</v>
      </c>
      <c r="G117" s="15">
        <f t="shared" si="9"/>
        <v>5.9703693655405191E-2</v>
      </c>
      <c r="H117" s="16">
        <v>1523</v>
      </c>
      <c r="I117" s="16">
        <f t="shared" si="10"/>
        <v>180</v>
      </c>
      <c r="J117" s="15">
        <f t="shared" si="11"/>
        <v>0.11818778726198292</v>
      </c>
      <c r="K117" s="38"/>
      <c r="L117" s="39"/>
      <c r="M117" s="116"/>
      <c r="N117" s="116"/>
      <c r="O117" s="116"/>
      <c r="P117" s="116"/>
      <c r="Q117" s="116"/>
    </row>
    <row r="118" spans="1:17" ht="15.6">
      <c r="A118" s="24" t="str">
        <v>Clayton Hall</v>
      </c>
      <c r="B118" s="25" t="str">
        <v>DE</v>
      </c>
      <c r="C118" s="25" t="str">
        <f>Sites[[#This Row],[SOL'#]]</f>
        <v>SOL-10820</v>
      </c>
      <c r="D118" s="20">
        <v>10376</v>
      </c>
      <c r="E118" s="10">
        <v>10688.181</v>
      </c>
      <c r="F118" s="10">
        <f>IF(AND(ISNUMBER(D118),ISNUMBER(E118)), D118-E118, "")</f>
        <v>-312.18100000000049</v>
      </c>
      <c r="G118" s="11">
        <f t="shared" si="9"/>
        <v>-2.920805701175911E-2</v>
      </c>
      <c r="H118" s="12">
        <v>10721</v>
      </c>
      <c r="I118" s="12">
        <f t="shared" si="10"/>
        <v>-345</v>
      </c>
      <c r="J118" s="13">
        <f t="shared" si="11"/>
        <v>-3.217983397071169E-2</v>
      </c>
      <c r="K118" s="37"/>
      <c r="L118" s="37"/>
      <c r="M118" s="116"/>
      <c r="N118" s="116"/>
      <c r="O118" s="116"/>
      <c r="P118" s="116"/>
      <c r="Q118" s="116"/>
    </row>
    <row r="119" spans="1:17" ht="28.9">
      <c r="A119" s="26" t="str">
        <v>Field House</v>
      </c>
      <c r="B119" s="27" t="str">
        <v>DE</v>
      </c>
      <c r="C119" s="27" t="str">
        <f>Sites[[#This Row],[SOL'#]]</f>
        <v>SOL-10821</v>
      </c>
      <c r="D119" s="9">
        <v>50097</v>
      </c>
      <c r="E119" s="14">
        <v>0</v>
      </c>
      <c r="F119" s="14">
        <f t="shared" si="8"/>
        <v>50097</v>
      </c>
      <c r="G119" s="15" t="str">
        <f t="shared" si="9"/>
        <v/>
      </c>
      <c r="H119" s="16">
        <v>41023</v>
      </c>
      <c r="I119" s="16">
        <f t="shared" si="10"/>
        <v>9074</v>
      </c>
      <c r="J119" s="15">
        <f t="shared" si="11"/>
        <v>0.22119298929868611</v>
      </c>
      <c r="K119" s="38" t="s">
        <v>623</v>
      </c>
      <c r="L119" s="112" t="s">
        <v>624</v>
      </c>
      <c r="M119" s="116"/>
      <c r="N119" s="116"/>
      <c r="O119" s="116"/>
      <c r="P119" s="116"/>
      <c r="Q119" s="116"/>
    </row>
    <row r="120" spans="1:17" ht="28.9">
      <c r="A120" s="24" t="str">
        <v>Wyoming Road</v>
      </c>
      <c r="B120" s="25" t="str">
        <v>DE</v>
      </c>
      <c r="C120" s="25" t="str">
        <f>Sites[[#This Row],[SOL'#]]</f>
        <v>SOL-10819</v>
      </c>
      <c r="D120" s="20">
        <v>25275</v>
      </c>
      <c r="E120" s="10">
        <v>27253.522000000001</v>
      </c>
      <c r="F120" s="10">
        <f t="shared" si="8"/>
        <v>-1978.5220000000008</v>
      </c>
      <c r="G120" s="11">
        <f t="shared" si="9"/>
        <v>-7.2596928940046754E-2</v>
      </c>
      <c r="H120" s="12">
        <v>27442.280999999999</v>
      </c>
      <c r="I120" s="12">
        <f>IF(AND(ISNUMBER(D120),ISNUMBER(H120)), D120-H120, "")</f>
        <v>-2167.280999999999</v>
      </c>
      <c r="J120" s="13">
        <f t="shared" si="11"/>
        <v>-7.8975978709641487E-2</v>
      </c>
      <c r="K120" s="37" t="s">
        <v>625</v>
      </c>
      <c r="L120" s="124" t="s">
        <v>626</v>
      </c>
      <c r="M120" s="115" t="s">
        <v>627</v>
      </c>
      <c r="N120" s="116"/>
      <c r="O120" s="116"/>
      <c r="P120" s="116"/>
      <c r="Q120" s="116"/>
    </row>
    <row r="121" spans="1:17" ht="100.9">
      <c r="A121" s="26" t="str">
        <v>94-246 Leoku St. - PV Bldg E, F, G</v>
      </c>
      <c r="B121" s="27" t="str">
        <v>HI</v>
      </c>
      <c r="C121" s="27" t="str">
        <f>Sites[[#This Row],[SOL'#]]</f>
        <v>SOL-10071</v>
      </c>
      <c r="D121" s="9">
        <v>12007</v>
      </c>
      <c r="E121" s="14">
        <v>11698.62</v>
      </c>
      <c r="F121" s="14">
        <f t="shared" si="8"/>
        <v>308.3799999999992</v>
      </c>
      <c r="G121" s="15">
        <f t="shared" si="9"/>
        <v>2.6360374129598123E-2</v>
      </c>
      <c r="H121" s="16">
        <v>12392.76</v>
      </c>
      <c r="I121" s="16">
        <f t="shared" si="10"/>
        <v>-385.76000000000022</v>
      </c>
      <c r="J121" s="15">
        <f t="shared" si="11"/>
        <v>-3.11278520684658E-2</v>
      </c>
      <c r="K121" s="38" t="s">
        <v>628</v>
      </c>
      <c r="L121" s="125" t="s">
        <v>629</v>
      </c>
      <c r="M121" s="115" t="s">
        <v>630</v>
      </c>
      <c r="N121" s="115" t="s">
        <v>631</v>
      </c>
      <c r="O121" s="116"/>
      <c r="P121" s="116"/>
      <c r="Q121" s="116"/>
    </row>
    <row r="122" spans="1:17" ht="15.6">
      <c r="A122" s="24" t="str">
        <v>94-099 Waipahu St - PV</v>
      </c>
      <c r="B122" s="25" t="str">
        <v>HI</v>
      </c>
      <c r="C122" s="25" t="str">
        <f>Sites[[#This Row],[SOL'#]]</f>
        <v>SOL-10068</v>
      </c>
      <c r="D122" s="20">
        <v>13948</v>
      </c>
      <c r="E122" s="10">
        <v>11218.65</v>
      </c>
      <c r="F122" s="10">
        <f t="shared" si="8"/>
        <v>2729.3500000000004</v>
      </c>
      <c r="G122" s="11">
        <f t="shared" si="9"/>
        <v>0.24328684823931582</v>
      </c>
      <c r="H122" s="12">
        <v>12386.12</v>
      </c>
      <c r="I122" s="12">
        <f t="shared" si="10"/>
        <v>1561.8799999999992</v>
      </c>
      <c r="J122" s="13">
        <f t="shared" si="11"/>
        <v>0.12609921428179277</v>
      </c>
      <c r="K122" s="37"/>
      <c r="L122" s="37"/>
      <c r="M122" s="116"/>
      <c r="N122" s="116"/>
      <c r="O122" s="116"/>
      <c r="P122" s="116"/>
      <c r="Q122" s="116"/>
    </row>
    <row r="123" spans="1:17" ht="15.6">
      <c r="A123" s="26" t="str">
        <v>TES Bird in Hand</v>
      </c>
      <c r="B123" s="27" t="str">
        <v>MD</v>
      </c>
      <c r="C123" s="27" t="str">
        <f>Sites[[#This Row],[SOL'#]]</f>
        <v>SOL-10092</v>
      </c>
      <c r="D123" s="9">
        <v>175591</v>
      </c>
      <c r="E123" s="14">
        <v>176663.6</v>
      </c>
      <c r="F123" s="14">
        <f t="shared" si="8"/>
        <v>-1072.6000000000058</v>
      </c>
      <c r="G123" s="15">
        <f t="shared" si="9"/>
        <v>-6.0714261455104834E-3</v>
      </c>
      <c r="H123" s="16">
        <v>140131.6</v>
      </c>
      <c r="I123" s="16">
        <f t="shared" si="10"/>
        <v>35459.399999999994</v>
      </c>
      <c r="J123" s="15">
        <f t="shared" si="11"/>
        <v>0.25304356761786773</v>
      </c>
      <c r="K123" s="57"/>
      <c r="L123" s="58"/>
      <c r="M123" s="116"/>
      <c r="N123" s="116"/>
      <c r="O123" s="116"/>
      <c r="P123" s="116"/>
      <c r="Q123" s="116"/>
    </row>
    <row r="124" spans="1:17" ht="15.6">
      <c r="A124" s="24" t="str">
        <v>TES Shortal Solar LLC</v>
      </c>
      <c r="B124" s="25" t="str">
        <v>MD</v>
      </c>
      <c r="C124" s="25" t="str">
        <f>Sites[[#This Row],[SOL'#]]</f>
        <v>SOL-10091</v>
      </c>
      <c r="D124" s="20">
        <v>182018</v>
      </c>
      <c r="E124" s="10">
        <v>151005.70000000001</v>
      </c>
      <c r="F124" s="10">
        <f t="shared" si="8"/>
        <v>31012.299999999988</v>
      </c>
      <c r="G124" s="11">
        <f t="shared" si="9"/>
        <v>0.20537171775634949</v>
      </c>
      <c r="H124" s="12">
        <v>159039.70000000001</v>
      </c>
      <c r="I124" s="12">
        <f t="shared" si="10"/>
        <v>22978.299999999988</v>
      </c>
      <c r="J124" s="13">
        <f t="shared" si="11"/>
        <v>0.1444815351135596</v>
      </c>
      <c r="K124" s="59"/>
      <c r="L124" s="59"/>
      <c r="M124" s="116"/>
      <c r="N124" s="116"/>
      <c r="O124" s="116"/>
      <c r="P124" s="116"/>
      <c r="Q124" s="116"/>
    </row>
    <row r="125" spans="1:17" ht="43.15">
      <c r="A125" s="26" t="str">
        <v>Coca Cola Aguadilla</v>
      </c>
      <c r="B125" s="27" t="str">
        <v>PR</v>
      </c>
      <c r="C125" s="27" t="str">
        <f>Sites[[#This Row],[SOL'#]]</f>
        <v>SOL-10072</v>
      </c>
      <c r="D125" s="9">
        <v>18517</v>
      </c>
      <c r="E125" s="14">
        <v>19480.189999999999</v>
      </c>
      <c r="F125" s="14">
        <f t="shared" si="8"/>
        <v>-963.18999999999869</v>
      </c>
      <c r="G125" s="15">
        <f t="shared" si="9"/>
        <v>-4.9444589606158808E-2</v>
      </c>
      <c r="H125" s="16">
        <v>21189</v>
      </c>
      <c r="I125" s="16">
        <f t="shared" si="10"/>
        <v>-2672</v>
      </c>
      <c r="J125" s="15">
        <f t="shared" si="11"/>
        <v>-0.12610316673745811</v>
      </c>
      <c r="K125" s="57" t="s">
        <v>632</v>
      </c>
      <c r="L125" s="112" t="s">
        <v>633</v>
      </c>
      <c r="M125" s="115" t="s">
        <v>634</v>
      </c>
      <c r="N125" s="116"/>
      <c r="O125" s="116"/>
      <c r="P125" s="116"/>
      <c r="Q125" s="116"/>
    </row>
    <row r="126" spans="1:17" ht="156.75" customHeight="1">
      <c r="A126" s="24" t="str">
        <v>Coca Cola Bayamon</v>
      </c>
      <c r="B126" s="25" t="str">
        <v>PR</v>
      </c>
      <c r="C126" s="25" t="str">
        <f>Sites[[#This Row],[SOL'#]]</f>
        <v>SOL-10073</v>
      </c>
      <c r="D126" s="20">
        <v>69315</v>
      </c>
      <c r="E126" s="10">
        <v>80763.89</v>
      </c>
      <c r="F126" s="10">
        <f t="shared" si="8"/>
        <v>-11448.89</v>
      </c>
      <c r="G126" s="11">
        <f t="shared" si="9"/>
        <v>-0.14175753545303477</v>
      </c>
      <c r="H126" s="12">
        <v>92707</v>
      </c>
      <c r="I126" s="12">
        <f t="shared" si="10"/>
        <v>-23392</v>
      </c>
      <c r="J126" s="13">
        <f t="shared" si="11"/>
        <v>-0.25232183114543671</v>
      </c>
      <c r="K126" s="59" t="s">
        <v>635</v>
      </c>
      <c r="L126" s="111" t="s">
        <v>636</v>
      </c>
      <c r="M126" s="115" t="s">
        <v>171</v>
      </c>
      <c r="N126" s="115" t="s">
        <v>637</v>
      </c>
      <c r="O126" s="115" t="s">
        <v>638</v>
      </c>
      <c r="P126" s="116"/>
      <c r="Q126" s="116"/>
    </row>
    <row r="127" spans="1:17" ht="155.25" customHeight="1">
      <c r="A127" s="26" t="str">
        <v>St Francis School</v>
      </c>
      <c r="B127" s="27" t="str">
        <v>PR</v>
      </c>
      <c r="C127" s="27" t="str">
        <f>Sites[[#This Row],[SOL'#]]</f>
        <v>SOL-10034</v>
      </c>
      <c r="D127" s="9">
        <v>27906.75</v>
      </c>
      <c r="E127" s="14">
        <v>50749.68</v>
      </c>
      <c r="F127" s="14">
        <f t="shared" si="8"/>
        <v>-22842.93</v>
      </c>
      <c r="G127" s="15">
        <f t="shared" si="9"/>
        <v>-0.45010983320485964</v>
      </c>
      <c r="H127" s="16">
        <v>40600</v>
      </c>
      <c r="I127" s="16">
        <f t="shared" si="10"/>
        <v>-12693.25</v>
      </c>
      <c r="J127" s="15">
        <f t="shared" si="11"/>
        <v>-0.31264162561576353</v>
      </c>
      <c r="K127" s="62" t="s">
        <v>639</v>
      </c>
      <c r="L127" s="112" t="s">
        <v>640</v>
      </c>
      <c r="M127" s="115" t="s">
        <v>176</v>
      </c>
      <c r="N127" s="115" t="s">
        <v>174</v>
      </c>
      <c r="O127" s="115" t="s">
        <v>177</v>
      </c>
      <c r="P127" s="115" t="s">
        <v>178</v>
      </c>
      <c r="Q127" s="116"/>
    </row>
    <row r="128" spans="1:17" ht="28.9">
      <c r="A128" s="24" t="str">
        <v>645 Summer Street - (Seaport Solar)</v>
      </c>
      <c r="B128" s="25" t="str">
        <v>MA</v>
      </c>
      <c r="C128" s="25" t="str">
        <f>Sites[[#This Row],[SOL'#]]</f>
        <v>SOL-10772</v>
      </c>
      <c r="D128" s="20">
        <v>56783.5</v>
      </c>
      <c r="E128" s="10">
        <v>2379.7240000000002</v>
      </c>
      <c r="F128" s="10">
        <f t="shared" si="8"/>
        <v>54403.775999999998</v>
      </c>
      <c r="G128" s="11">
        <f t="shared" si="9"/>
        <v>22.861380563460298</v>
      </c>
      <c r="H128" s="12">
        <v>53652.98</v>
      </c>
      <c r="I128" s="12">
        <f t="shared" si="10"/>
        <v>3130.5199999999968</v>
      </c>
      <c r="J128" s="13">
        <f t="shared" si="11"/>
        <v>5.8347551245056598E-2</v>
      </c>
      <c r="K128" s="59" t="s">
        <v>641</v>
      </c>
      <c r="L128" s="111" t="s">
        <v>394</v>
      </c>
      <c r="M128" s="116"/>
      <c r="N128" s="116"/>
      <c r="O128" s="116"/>
      <c r="P128" s="116"/>
      <c r="Q128" s="116"/>
    </row>
    <row r="129" spans="1:17" ht="49.5" customHeight="1">
      <c r="A129" s="26" t="str">
        <v>480 Sprague St</v>
      </c>
      <c r="B129" s="27" t="str">
        <v>MA</v>
      </c>
      <c r="C129" s="27" t="str">
        <f>Sites[[#This Row],[SOL'#]]</f>
        <v>SOL-10773</v>
      </c>
      <c r="D129" s="9">
        <v>130808</v>
      </c>
      <c r="E129" s="14">
        <v>123929.60000000001</v>
      </c>
      <c r="F129" s="14">
        <f t="shared" si="8"/>
        <v>6878.3999999999942</v>
      </c>
      <c r="G129" s="15">
        <f t="shared" si="9"/>
        <v>5.5502478826688649E-2</v>
      </c>
      <c r="H129" s="16">
        <v>110212.3</v>
      </c>
      <c r="I129" s="16">
        <f t="shared" si="10"/>
        <v>20595.699999999997</v>
      </c>
      <c r="J129" s="15">
        <f t="shared" si="11"/>
        <v>0.18687297152858617</v>
      </c>
      <c r="K129" s="57"/>
      <c r="L129" s="57"/>
      <c r="M129" s="116"/>
      <c r="N129" s="116"/>
      <c r="O129" s="116"/>
      <c r="P129" s="116"/>
      <c r="Q129" s="116"/>
    </row>
    <row r="130" spans="1:17" ht="15.6">
      <c r="A130" s="24" t="str">
        <v>647 Summer Street - (Summer Street Solar)</v>
      </c>
      <c r="B130" s="25" t="str">
        <v>MA</v>
      </c>
      <c r="C130" s="25" t="str">
        <f>Sites[[#This Row],[SOL'#]]</f>
        <v>SOL-10764</v>
      </c>
      <c r="D130" s="20">
        <v>268412</v>
      </c>
      <c r="E130" s="10">
        <v>263166.2</v>
      </c>
      <c r="F130" s="10">
        <f t="shared" si="8"/>
        <v>5245.7999999999884</v>
      </c>
      <c r="G130" s="11">
        <f t="shared" si="9"/>
        <v>1.9933410901551901E-2</v>
      </c>
      <c r="H130" s="12">
        <v>254125.6</v>
      </c>
      <c r="I130" s="12">
        <f t="shared" si="10"/>
        <v>14286.399999999994</v>
      </c>
      <c r="J130" s="13">
        <f t="shared" si="11"/>
        <v>5.6217870218506098E-2</v>
      </c>
      <c r="K130" s="59"/>
      <c r="L130" s="59"/>
      <c r="M130" s="116"/>
      <c r="N130" s="116"/>
      <c r="O130" s="116"/>
      <c r="P130" s="116"/>
      <c r="Q130" s="116"/>
    </row>
    <row r="131" spans="1:17" ht="27" customHeight="1">
      <c r="A131" s="26" t="str">
        <v>Rochester Technical School (Wakefield Street)</v>
      </c>
      <c r="B131" s="27" t="str">
        <v>NH</v>
      </c>
      <c r="C131" s="27" t="str">
        <f>Sites[[#This Row],[SOL'#]]</f>
        <v>SOL-10768</v>
      </c>
      <c r="D131" s="9">
        <v>8800.8739999999998</v>
      </c>
      <c r="E131" s="135">
        <v>11150.456</v>
      </c>
      <c r="F131" s="14">
        <f t="shared" si="8"/>
        <v>-2349.5820000000003</v>
      </c>
      <c r="G131" s="15">
        <f t="shared" si="9"/>
        <v>-0.21071622541714888</v>
      </c>
      <c r="H131" s="16">
        <v>12848</v>
      </c>
      <c r="I131" s="16">
        <f t="shared" si="10"/>
        <v>-4047.1260000000002</v>
      </c>
      <c r="J131" s="15">
        <f t="shared" si="11"/>
        <v>-0.31500046699875467</v>
      </c>
      <c r="K131" s="38" t="s">
        <v>642</v>
      </c>
      <c r="L131" s="127" t="s">
        <v>396</v>
      </c>
      <c r="M131" s="140"/>
      <c r="N131" s="116"/>
      <c r="O131" s="116"/>
      <c r="P131" s="116"/>
      <c r="Q131" s="116"/>
    </row>
    <row r="132" spans="1:17" ht="28.9">
      <c r="A132" s="24" t="str">
        <v>McClelland ES</v>
      </c>
      <c r="B132" s="25" t="str">
        <v>NH</v>
      </c>
      <c r="C132" s="25" t="str">
        <f>Sites[[#This Row],[SOL'#]]</f>
        <v>SOL-10766</v>
      </c>
      <c r="D132" s="20">
        <v>8228.53125</v>
      </c>
      <c r="E132" s="10">
        <v>9301.9619999999995</v>
      </c>
      <c r="F132" s="10">
        <f t="shared" si="8"/>
        <v>-1073.4307499999995</v>
      </c>
      <c r="G132" s="11">
        <f t="shared" si="9"/>
        <v>-0.11539831596817957</v>
      </c>
      <c r="H132" s="12">
        <v>9309.5059999999994</v>
      </c>
      <c r="I132" s="12">
        <f t="shared" si="10"/>
        <v>-1080.9747499999994</v>
      </c>
      <c r="J132" s="13">
        <f t="shared" si="11"/>
        <v>-0.11611515691595231</v>
      </c>
      <c r="K132" s="37" t="s">
        <v>643</v>
      </c>
      <c r="L132" s="37"/>
      <c r="M132" s="116"/>
      <c r="N132" s="116"/>
      <c r="O132" s="116"/>
      <c r="P132" s="116"/>
      <c r="Q132" s="116"/>
    </row>
    <row r="133" spans="1:17" ht="28.9">
      <c r="A133" s="26" t="str">
        <v>Portland St</v>
      </c>
      <c r="B133" s="27" t="str">
        <v>NH</v>
      </c>
      <c r="C133" s="27" t="str">
        <f>Sites[[#This Row],[SOL'#]]</f>
        <v>SOL-10771</v>
      </c>
      <c r="D133" s="9">
        <v>6045.8739999999998</v>
      </c>
      <c r="E133" s="14">
        <v>5665.94</v>
      </c>
      <c r="F133" s="14">
        <f t="shared" si="8"/>
        <v>379.9340000000002</v>
      </c>
      <c r="G133" s="15">
        <f t="shared" si="9"/>
        <v>6.7055775387667396E-2</v>
      </c>
      <c r="H133" s="16">
        <v>7232.3670000000002</v>
      </c>
      <c r="I133" s="16">
        <f t="shared" si="10"/>
        <v>-1186.4930000000004</v>
      </c>
      <c r="J133" s="15">
        <f t="shared" si="11"/>
        <v>-0.16405320692381906</v>
      </c>
      <c r="K133" s="38" t="s">
        <v>643</v>
      </c>
      <c r="L133" s="39"/>
      <c r="M133" s="116"/>
      <c r="N133" s="116"/>
      <c r="O133" s="116"/>
      <c r="P133" s="116"/>
      <c r="Q133" s="116"/>
    </row>
    <row r="134" spans="1:17" ht="28.9">
      <c r="A134" s="24" t="str">
        <v>Freshet Road -PHS</v>
      </c>
      <c r="B134" s="25" t="str">
        <v>NH</v>
      </c>
      <c r="C134" s="25" t="str">
        <f>Sites[[#This Row],[SOL'#]]</f>
        <v>SOL-10769</v>
      </c>
      <c r="D134" s="20">
        <v>28241</v>
      </c>
      <c r="E134" s="10">
        <v>0</v>
      </c>
      <c r="F134" s="10">
        <f t="shared" si="8"/>
        <v>28241</v>
      </c>
      <c r="G134" s="11" t="str">
        <f t="shared" si="9"/>
        <v/>
      </c>
      <c r="H134" s="12">
        <v>27750.97</v>
      </c>
      <c r="I134" s="12">
        <f t="shared" si="10"/>
        <v>490.02999999999884</v>
      </c>
      <c r="J134" s="13">
        <f t="shared" si="11"/>
        <v>1.7658121499897077E-2</v>
      </c>
      <c r="K134" s="37" t="s">
        <v>644</v>
      </c>
      <c r="L134" s="124" t="s">
        <v>645</v>
      </c>
      <c r="M134" s="116"/>
      <c r="N134" s="116"/>
      <c r="O134" s="116"/>
      <c r="P134" s="116"/>
      <c r="Q134" s="116"/>
    </row>
    <row r="135" spans="1:17" ht="42.75" customHeight="1">
      <c r="A135" s="26" t="str">
        <v>Freshet Road - PWTP</v>
      </c>
      <c r="B135" s="27" t="str">
        <v>NH</v>
      </c>
      <c r="C135" s="27" t="str">
        <f>Sites[[#This Row],[SOL'#]]</f>
        <v>SOL-10770</v>
      </c>
      <c r="D135" s="9">
        <v>0</v>
      </c>
      <c r="E135" s="14">
        <v>0</v>
      </c>
      <c r="F135" s="14">
        <f t="shared" si="8"/>
        <v>0</v>
      </c>
      <c r="G135" s="15" t="str">
        <f t="shared" si="9"/>
        <v/>
      </c>
      <c r="H135" s="16">
        <v>34389</v>
      </c>
      <c r="I135" s="16">
        <f t="shared" si="10"/>
        <v>-34389</v>
      </c>
      <c r="J135" s="15">
        <f t="shared" si="11"/>
        <v>-1</v>
      </c>
      <c r="K135" s="64" t="s">
        <v>646</v>
      </c>
      <c r="L135" s="138" t="s">
        <v>647</v>
      </c>
      <c r="M135" s="116"/>
      <c r="N135" s="116"/>
      <c r="O135" s="116"/>
      <c r="P135" s="116"/>
      <c r="Q135" s="116"/>
    </row>
    <row r="136" spans="1:17" ht="42" customHeight="1">
      <c r="A136" s="24" t="str">
        <v>Rochester Middle School (Brock Street)</v>
      </c>
      <c r="B136" s="25" t="str">
        <v>NH</v>
      </c>
      <c r="C136" s="25" t="str">
        <f>Sites[[#This Row],[SOL'#]]</f>
        <v>SOL-10765</v>
      </c>
      <c r="D136" s="20">
        <v>21136.253100000002</v>
      </c>
      <c r="E136" s="10">
        <v>28996.7</v>
      </c>
      <c r="F136" s="10">
        <f t="shared" si="8"/>
        <v>-7860.446899999999</v>
      </c>
      <c r="G136" s="11">
        <f t="shared" si="9"/>
        <v>-0.27108074022216316</v>
      </c>
      <c r="H136" s="12">
        <v>29104.400000000001</v>
      </c>
      <c r="I136" s="12">
        <f t="shared" si="10"/>
        <v>-7968.1468999999997</v>
      </c>
      <c r="J136" s="13">
        <f t="shared" si="11"/>
        <v>-0.27377808510053459</v>
      </c>
      <c r="K136" s="37" t="s">
        <v>648</v>
      </c>
      <c r="L136" s="124" t="s">
        <v>649</v>
      </c>
      <c r="M136" s="115" t="s">
        <v>650</v>
      </c>
      <c r="N136" s="116"/>
      <c r="O136" s="116"/>
      <c r="P136" s="116"/>
      <c r="Q136" s="116"/>
    </row>
    <row r="137" spans="1:17" ht="44.25" customHeight="1">
      <c r="A137" s="26" t="str">
        <v>Spaulding High School (Wakefield Street)</v>
      </c>
      <c r="B137" s="27" t="str">
        <v>NH</v>
      </c>
      <c r="C137" s="27" t="str">
        <f>Sites[[#This Row],[SOL'#]]</f>
        <v>SOL-10767</v>
      </c>
      <c r="D137" s="9">
        <v>10738.251550000001</v>
      </c>
      <c r="E137" s="14">
        <v>11167.5</v>
      </c>
      <c r="F137" s="14">
        <f t="shared" si="8"/>
        <v>-429.24844999999914</v>
      </c>
      <c r="G137" s="15">
        <f t="shared" si="9"/>
        <v>-3.8437291246921794E-2</v>
      </c>
      <c r="H137" s="16">
        <v>14010.35</v>
      </c>
      <c r="I137" s="16">
        <f t="shared" si="10"/>
        <v>-3272.0984499999995</v>
      </c>
      <c r="J137" s="15">
        <f t="shared" si="11"/>
        <v>-0.23354865867019733</v>
      </c>
      <c r="K137" s="56" t="s">
        <v>651</v>
      </c>
      <c r="L137" s="112" t="s">
        <v>401</v>
      </c>
      <c r="M137" s="116"/>
      <c r="N137" s="116"/>
      <c r="O137" s="116"/>
      <c r="P137" s="116"/>
      <c r="Q137" s="116"/>
    </row>
    <row r="138" spans="1:17" ht="28.9">
      <c r="A138" s="24" t="str">
        <v>Ridgeway #2</v>
      </c>
      <c r="B138" s="25" t="str">
        <v>NY</v>
      </c>
      <c r="C138" s="25" t="str">
        <f>Sites[[#This Row],[SOL'#]]</f>
        <v>SOL-11027</v>
      </c>
      <c r="D138" s="20">
        <v>377170</v>
      </c>
      <c r="E138" s="10">
        <v>0</v>
      </c>
      <c r="F138" s="10">
        <f t="shared" si="8"/>
        <v>377170</v>
      </c>
      <c r="G138" s="11" t="str">
        <f t="shared" si="9"/>
        <v/>
      </c>
      <c r="H138" s="12">
        <v>447116.81</v>
      </c>
      <c r="I138" s="12">
        <f t="shared" si="10"/>
        <v>-69946.81</v>
      </c>
      <c r="J138" s="13">
        <f t="shared" si="11"/>
        <v>-0.15643967848133467</v>
      </c>
      <c r="K138" s="59" t="s">
        <v>652</v>
      </c>
      <c r="L138" s="111" t="s">
        <v>653</v>
      </c>
      <c r="M138" s="115" t="s">
        <v>405</v>
      </c>
      <c r="N138" s="116"/>
      <c r="O138" s="116"/>
      <c r="P138" s="116"/>
      <c r="Q138" s="116"/>
    </row>
    <row r="139" spans="1:17" ht="61.5" customHeight="1">
      <c r="A139" s="26" t="str">
        <v>Spencer</v>
      </c>
      <c r="B139" s="27" t="str">
        <v>NY</v>
      </c>
      <c r="C139" s="27" t="str">
        <f>Sites[[#This Row],[SOL'#]]</f>
        <v>SOL-11017</v>
      </c>
      <c r="D139" s="74">
        <v>806445</v>
      </c>
      <c r="E139" s="14">
        <v>0</v>
      </c>
      <c r="F139" s="14">
        <f t="shared" si="8"/>
        <v>806445</v>
      </c>
      <c r="G139" s="15" t="str">
        <f t="shared" si="9"/>
        <v/>
      </c>
      <c r="H139" s="16">
        <v>821870</v>
      </c>
      <c r="I139" s="16">
        <f t="shared" si="10"/>
        <v>-15425</v>
      </c>
      <c r="J139" s="15">
        <f t="shared" si="11"/>
        <v>-1.8768175015513401E-2</v>
      </c>
      <c r="K139" s="38" t="s">
        <v>654</v>
      </c>
      <c r="L139" s="125" t="s">
        <v>655</v>
      </c>
      <c r="M139" s="115" t="s">
        <v>656</v>
      </c>
      <c r="N139" s="116"/>
      <c r="O139" s="116"/>
      <c r="P139" s="116"/>
      <c r="Q139" s="116"/>
    </row>
    <row r="140" spans="1:17" ht="15.6">
      <c r="A140" s="28" t="str">
        <v>Reisender</v>
      </c>
      <c r="B140" s="25" t="str">
        <v>NY</v>
      </c>
      <c r="C140" s="25" t="str">
        <f>Sites[[#This Row],[SOL'#]]</f>
        <v>SOL-10886</v>
      </c>
      <c r="D140" s="60">
        <v>306480</v>
      </c>
      <c r="E140" s="10">
        <v>313723.489</v>
      </c>
      <c r="F140" s="10">
        <f t="shared" si="8"/>
        <v>-7243.4890000000014</v>
      </c>
      <c r="G140" s="11">
        <f t="shared" si="9"/>
        <v>-2.3088768466424908E-2</v>
      </c>
      <c r="H140" s="75">
        <v>317126.86</v>
      </c>
      <c r="I140" s="12">
        <f t="shared" si="10"/>
        <v>-10646.859999999986</v>
      </c>
      <c r="J140" s="13">
        <f t="shared" si="11"/>
        <v>-3.3572873644320086E-2</v>
      </c>
      <c r="K140" s="63"/>
      <c r="L140" s="37"/>
      <c r="M140" s="116"/>
      <c r="N140" s="116"/>
      <c r="O140" s="116"/>
      <c r="P140" s="116"/>
      <c r="Q140" s="116"/>
    </row>
    <row r="141" spans="1:17" ht="73.5" customHeight="1">
      <c r="A141" s="26" t="str">
        <v>Finney</v>
      </c>
      <c r="B141" s="27" t="str">
        <v>NY</v>
      </c>
      <c r="C141" s="27" t="str">
        <f>Sites[[#This Row],[SOL'#]]</f>
        <v>SOL-10999</v>
      </c>
      <c r="D141" s="74">
        <v>746680</v>
      </c>
      <c r="E141" s="14">
        <v>0</v>
      </c>
      <c r="F141" s="14">
        <f t="shared" si="8"/>
        <v>746680</v>
      </c>
      <c r="G141" s="15" t="str">
        <f t="shared" si="9"/>
        <v/>
      </c>
      <c r="H141" s="77">
        <v>907159.04000000004</v>
      </c>
      <c r="I141" s="16">
        <f t="shared" si="10"/>
        <v>-160479.04000000004</v>
      </c>
      <c r="J141" s="15">
        <f t="shared" si="11"/>
        <v>-0.17690287251064601</v>
      </c>
      <c r="K141" s="38" t="s">
        <v>657</v>
      </c>
      <c r="L141" s="139" t="s">
        <v>658</v>
      </c>
      <c r="M141" s="115" t="s">
        <v>659</v>
      </c>
      <c r="N141" s="116"/>
      <c r="O141" s="116"/>
      <c r="P141" s="116"/>
      <c r="Q141" s="116"/>
    </row>
    <row r="142" spans="1:17" ht="230.45">
      <c r="A142" s="24" t="str">
        <v>Davis Solar</v>
      </c>
      <c r="B142" s="25" t="str">
        <v>NY</v>
      </c>
      <c r="C142" s="25" t="str">
        <f>Sites[[#This Row],[SOL'#]]</f>
        <v>SOL-10958</v>
      </c>
      <c r="D142" s="60">
        <v>313814</v>
      </c>
      <c r="E142" s="10">
        <v>348972.2</v>
      </c>
      <c r="F142" s="10">
        <f t="shared" ref="F142:F200" si="12">IF(AND(ISNUMBER(D142),ISNUMBER(E142)), D142-E142, "")</f>
        <v>-35158.200000000012</v>
      </c>
      <c r="G142" s="11">
        <f t="shared" ref="G142:G200" si="13">IFERROR(F142/E142, "")</f>
        <v>-0.10074785326739497</v>
      </c>
      <c r="H142" s="75">
        <v>368855</v>
      </c>
      <c r="I142" s="12">
        <f t="shared" si="10"/>
        <v>-55041</v>
      </c>
      <c r="J142" s="13">
        <f t="shared" si="11"/>
        <v>-0.14922123869813342</v>
      </c>
      <c r="K142" s="63" t="s">
        <v>660</v>
      </c>
      <c r="L142" s="124" t="s">
        <v>661</v>
      </c>
      <c r="M142" s="116"/>
      <c r="N142" s="116"/>
      <c r="O142" s="116"/>
      <c r="P142" s="116"/>
      <c r="Q142" s="116"/>
    </row>
    <row r="143" spans="1:17" ht="129.6">
      <c r="A143" s="26" t="str">
        <v>Genesee</v>
      </c>
      <c r="B143" s="27" t="str">
        <v>NY</v>
      </c>
      <c r="C143" s="27" t="str">
        <f>Sites[[#This Row],[SOL'#]]</f>
        <v>SOL-10951</v>
      </c>
      <c r="D143" s="74">
        <v>428631.1</v>
      </c>
      <c r="E143" s="14">
        <v>0</v>
      </c>
      <c r="F143" s="14">
        <f t="shared" si="8"/>
        <v>428631.1</v>
      </c>
      <c r="G143" s="15" t="str">
        <f t="shared" si="13"/>
        <v/>
      </c>
      <c r="H143" s="77">
        <v>636841.14</v>
      </c>
      <c r="I143" s="16">
        <f t="shared" si="10"/>
        <v>-208210.04000000004</v>
      </c>
      <c r="J143" s="15">
        <f t="shared" si="11"/>
        <v>-0.3269418806705861</v>
      </c>
      <c r="K143" s="38" t="s">
        <v>662</v>
      </c>
      <c r="L143" s="139" t="s">
        <v>663</v>
      </c>
      <c r="M143" s="115" t="s">
        <v>664</v>
      </c>
      <c r="N143" s="115" t="s">
        <v>665</v>
      </c>
      <c r="O143" s="115" t="s">
        <v>666</v>
      </c>
      <c r="P143" s="116"/>
      <c r="Q143" s="116"/>
    </row>
    <row r="144" spans="1:17" ht="15.6">
      <c r="A144" s="24" t="str">
        <v>Landau I</v>
      </c>
      <c r="B144" s="25" t="str">
        <v>NY</v>
      </c>
      <c r="C144" s="25" t="str">
        <f>Sites[[#This Row],[SOL'#]]</f>
        <v>SOL-10891</v>
      </c>
      <c r="D144" s="60">
        <v>311080</v>
      </c>
      <c r="E144" s="10">
        <v>0</v>
      </c>
      <c r="F144" s="10">
        <f t="shared" si="12"/>
        <v>311080</v>
      </c>
      <c r="G144" s="11" t="str">
        <f t="shared" si="13"/>
        <v/>
      </c>
      <c r="H144" s="75">
        <v>354234.71</v>
      </c>
      <c r="I144" s="12">
        <f t="shared" si="10"/>
        <v>-43154.710000000021</v>
      </c>
      <c r="J144" s="13">
        <f t="shared" si="11"/>
        <v>-0.12182518759948741</v>
      </c>
      <c r="K144" s="63"/>
      <c r="L144" s="37"/>
      <c r="M144" s="116"/>
      <c r="N144" s="116"/>
      <c r="O144" s="116"/>
      <c r="P144" s="116"/>
      <c r="Q144" s="116"/>
    </row>
    <row r="145" spans="1:17" ht="213.75" customHeight="1">
      <c r="A145" s="26" t="str">
        <v>Landau II</v>
      </c>
      <c r="B145" s="27" t="str">
        <v>NY</v>
      </c>
      <c r="C145" s="27" t="str">
        <f>Sites[[#This Row],[SOL'#]]</f>
        <v>SOL-10895</v>
      </c>
      <c r="D145" s="74">
        <v>439890</v>
      </c>
      <c r="E145" s="14">
        <v>0</v>
      </c>
      <c r="F145" s="14">
        <f t="shared" si="12"/>
        <v>439890</v>
      </c>
      <c r="G145" s="15" t="str">
        <f t="shared" si="13"/>
        <v/>
      </c>
      <c r="H145" s="77">
        <v>764399.74</v>
      </c>
      <c r="I145" s="16">
        <f t="shared" si="10"/>
        <v>-324509.74</v>
      </c>
      <c r="J145" s="15">
        <f t="shared" si="11"/>
        <v>-0.42452884664769769</v>
      </c>
      <c r="K145" s="38" t="s">
        <v>667</v>
      </c>
      <c r="L145" s="139" t="s">
        <v>668</v>
      </c>
      <c r="M145" s="115" t="s">
        <v>669</v>
      </c>
      <c r="N145" s="115" t="s">
        <v>670</v>
      </c>
      <c r="O145" s="115" t="s">
        <v>671</v>
      </c>
      <c r="P145" s="116"/>
      <c r="Q145" s="116"/>
    </row>
    <row r="146" spans="1:17" ht="15.6">
      <c r="A146" s="24" t="str">
        <v>New Beginnings</v>
      </c>
      <c r="B146" s="25" t="str">
        <v>NY</v>
      </c>
      <c r="C146" s="25" t="str">
        <f>Sites[[#This Row],[SOL'#]]</f>
        <v>SOL-10890</v>
      </c>
      <c r="D146" s="60">
        <v>323110</v>
      </c>
      <c r="E146" s="10">
        <v>335667.99300000002</v>
      </c>
      <c r="F146" s="10">
        <f t="shared" si="12"/>
        <v>-12557.993000000017</v>
      </c>
      <c r="G146" s="11">
        <f t="shared" si="13"/>
        <v>-3.7411946512278922E-2</v>
      </c>
      <c r="H146" s="75">
        <v>334299.71000000002</v>
      </c>
      <c r="I146" s="12">
        <f t="shared" ref="I146:I200" si="14">IF(AND(ISNUMBER(D146),ISNUMBER(H146)), D146-H146, "")</f>
        <v>-11189.710000000021</v>
      </c>
      <c r="J146" s="13">
        <f t="shared" ref="J146:J200" si="15">IFERROR(I146/H146, "")</f>
        <v>-3.3472090059545732E-2</v>
      </c>
      <c r="K146" s="63"/>
      <c r="L146" s="37"/>
      <c r="M146" s="116"/>
      <c r="N146" s="116"/>
      <c r="O146" s="116"/>
      <c r="P146" s="116"/>
      <c r="Q146" s="116"/>
    </row>
    <row r="147" spans="1:17" ht="20.25" customHeight="1">
      <c r="A147" s="26" t="str">
        <v>Bullitt Farm Solar, LLC</v>
      </c>
      <c r="B147" s="27" t="str">
        <v>NY</v>
      </c>
      <c r="C147" s="27" t="str">
        <f>Sites[[#This Row],[SOL'#]]</f>
        <v>SOL-10998</v>
      </c>
      <c r="D147" s="74">
        <v>725711</v>
      </c>
      <c r="E147" s="14">
        <v>799215.32400000002</v>
      </c>
      <c r="F147" s="14">
        <f t="shared" si="12"/>
        <v>-73504.324000000022</v>
      </c>
      <c r="G147" s="15">
        <f t="shared" si="13"/>
        <v>-9.1970613916807262E-2</v>
      </c>
      <c r="H147" s="77">
        <v>853019.18</v>
      </c>
      <c r="I147" s="16">
        <f t="shared" si="14"/>
        <v>-127308.18000000005</v>
      </c>
      <c r="J147" s="15">
        <f t="shared" si="15"/>
        <v>-0.14924421746296496</v>
      </c>
      <c r="K147" s="38" t="s">
        <v>672</v>
      </c>
      <c r="L147" s="17"/>
      <c r="M147" s="116"/>
      <c r="N147" s="116"/>
      <c r="O147" s="116"/>
      <c r="P147" s="116"/>
      <c r="Q147" s="116"/>
    </row>
    <row r="148" spans="1:17" ht="28.9">
      <c r="A148" s="24" t="str">
        <v>Brodhead Solar, LLC</v>
      </c>
      <c r="B148" s="25" t="str">
        <v>NY</v>
      </c>
      <c r="C148" s="25" t="str">
        <f>Sites[[#This Row],[SOL'#]]</f>
        <v>SOL-10899</v>
      </c>
      <c r="D148" s="60">
        <v>357970</v>
      </c>
      <c r="E148" s="10">
        <v>382903.054</v>
      </c>
      <c r="F148" s="10">
        <f t="shared" si="12"/>
        <v>-24933.054000000004</v>
      </c>
      <c r="G148" s="11">
        <f t="shared" si="13"/>
        <v>-6.5115840000586692E-2</v>
      </c>
      <c r="H148" s="75">
        <v>395846.83</v>
      </c>
      <c r="I148" s="12">
        <f t="shared" si="14"/>
        <v>-37876.830000000016</v>
      </c>
      <c r="J148" s="13">
        <f t="shared" si="15"/>
        <v>-9.568557110840073E-2</v>
      </c>
      <c r="K148" s="63" t="s">
        <v>673</v>
      </c>
      <c r="L148" s="124" t="s">
        <v>674</v>
      </c>
      <c r="M148" s="115" t="s">
        <v>675</v>
      </c>
      <c r="N148" s="116"/>
      <c r="O148" s="116"/>
      <c r="P148" s="116"/>
      <c r="Q148" s="116"/>
    </row>
    <row r="149" spans="1:17" ht="18.75" customHeight="1">
      <c r="A149" s="26" t="str">
        <v>Svenski</v>
      </c>
      <c r="B149" s="27" t="str">
        <v>NY</v>
      </c>
      <c r="C149" s="27" t="str">
        <f>Sites[[#This Row],[SOL'#]]</f>
        <v>SOL-10894</v>
      </c>
      <c r="D149" s="74">
        <v>311430</v>
      </c>
      <c r="E149" s="14">
        <v>0</v>
      </c>
      <c r="F149" s="14">
        <f t="shared" si="12"/>
        <v>311430</v>
      </c>
      <c r="G149" s="15" t="str">
        <f t="shared" si="13"/>
        <v/>
      </c>
      <c r="H149" s="77">
        <v>352038.56</v>
      </c>
      <c r="I149" s="16">
        <f t="shared" si="14"/>
        <v>-40608.559999999998</v>
      </c>
      <c r="J149" s="15">
        <f t="shared" si="15"/>
        <v>-0.11535259092072186</v>
      </c>
      <c r="K149" s="38" t="s">
        <v>676</v>
      </c>
      <c r="L149" s="17"/>
      <c r="M149" s="116"/>
      <c r="N149" s="116"/>
      <c r="O149" s="116"/>
      <c r="P149" s="116"/>
      <c r="Q149" s="116"/>
    </row>
    <row r="150" spans="1:17" ht="175.5" customHeight="1">
      <c r="A150" s="24" t="str">
        <v>Bantam</v>
      </c>
      <c r="B150" s="25" t="str">
        <v>NY</v>
      </c>
      <c r="C150" s="25" t="str">
        <f>Sites[[#This Row],[SOL'#]]</f>
        <v>SOL-10986</v>
      </c>
      <c r="D150" s="60">
        <v>709630</v>
      </c>
      <c r="E150" s="10">
        <v>0</v>
      </c>
      <c r="F150" s="10">
        <f t="shared" si="12"/>
        <v>709630</v>
      </c>
      <c r="G150" s="11" t="str">
        <f t="shared" si="13"/>
        <v/>
      </c>
      <c r="H150" s="75">
        <v>887808</v>
      </c>
      <c r="I150" s="12">
        <f t="shared" si="14"/>
        <v>-178178</v>
      </c>
      <c r="J150" s="13">
        <f t="shared" si="15"/>
        <v>-0.20069429426182236</v>
      </c>
      <c r="K150" s="63" t="s">
        <v>677</v>
      </c>
      <c r="L150" s="124" t="s">
        <v>678</v>
      </c>
      <c r="M150" s="115" t="s">
        <v>679</v>
      </c>
      <c r="N150" s="115" t="s">
        <v>680</v>
      </c>
      <c r="O150" s="115" t="s">
        <v>417</v>
      </c>
      <c r="P150" s="116"/>
      <c r="Q150" s="116"/>
    </row>
    <row r="151" spans="1:17" ht="42" customHeight="1">
      <c r="A151" s="26" t="str">
        <v>Bogart</v>
      </c>
      <c r="B151" s="27" t="str">
        <v>NY</v>
      </c>
      <c r="C151" s="27" t="str">
        <f>Sites[[#This Row],[SOL'#]]</f>
        <v>SOL-10887</v>
      </c>
      <c r="D151" s="74">
        <v>315720</v>
      </c>
      <c r="E151" s="14">
        <v>315255.31900000002</v>
      </c>
      <c r="F151" s="14">
        <f t="shared" si="12"/>
        <v>464.6809999999823</v>
      </c>
      <c r="G151" s="15">
        <f t="shared" si="13"/>
        <v>1.4739830606949483E-3</v>
      </c>
      <c r="H151" s="77">
        <v>333711.40000000002</v>
      </c>
      <c r="I151" s="16">
        <f t="shared" si="14"/>
        <v>-17991.400000000023</v>
      </c>
      <c r="J151" s="15">
        <f t="shared" si="15"/>
        <v>-5.3913051816629642E-2</v>
      </c>
      <c r="K151" s="38" t="s">
        <v>681</v>
      </c>
      <c r="L151" s="126" t="s">
        <v>682</v>
      </c>
      <c r="M151" s="116"/>
      <c r="N151" s="116"/>
      <c r="O151" s="116"/>
      <c r="P151" s="116"/>
      <c r="Q151" s="116"/>
    </row>
    <row r="152" spans="1:17" ht="15.6">
      <c r="A152" s="24" t="str">
        <v>Dubois</v>
      </c>
      <c r="B152" s="25" t="str">
        <v>NY</v>
      </c>
      <c r="C152" s="25" t="str">
        <f>Sites[[#This Row],[SOL'#]]</f>
        <v>SOL-10892</v>
      </c>
      <c r="D152" s="60">
        <v>327643.21000000002</v>
      </c>
      <c r="E152" s="10">
        <v>0</v>
      </c>
      <c r="F152" s="10">
        <f t="shared" si="12"/>
        <v>327643.21000000002</v>
      </c>
      <c r="G152" s="11" t="str">
        <f t="shared" si="13"/>
        <v/>
      </c>
      <c r="H152" s="75"/>
      <c r="I152" s="12" t="str">
        <f t="shared" si="14"/>
        <v/>
      </c>
      <c r="J152" s="13" t="str">
        <f t="shared" si="15"/>
        <v/>
      </c>
      <c r="K152" s="63"/>
      <c r="L152" s="37"/>
      <c r="M152" s="116"/>
      <c r="N152" s="116"/>
      <c r="O152" s="116"/>
      <c r="P152" s="116"/>
      <c r="Q152" s="116"/>
    </row>
    <row r="153" spans="1:17" ht="43.15">
      <c r="A153" s="26" t="str">
        <v>Salt Point</v>
      </c>
      <c r="B153" s="27" t="str">
        <v>NY</v>
      </c>
      <c r="C153" s="27" t="str">
        <f>Sites[[#This Row],[SOL'#]]</f>
        <v>SOL-10888</v>
      </c>
      <c r="D153" s="74">
        <v>316940</v>
      </c>
      <c r="E153" s="14">
        <v>0</v>
      </c>
      <c r="F153" s="14">
        <f t="shared" si="12"/>
        <v>316940</v>
      </c>
      <c r="G153" s="15" t="str">
        <f t="shared" si="13"/>
        <v/>
      </c>
      <c r="H153" s="77">
        <v>346868.17</v>
      </c>
      <c r="I153" s="16">
        <f t="shared" si="14"/>
        <v>-29928.169999999984</v>
      </c>
      <c r="J153" s="15">
        <f t="shared" si="15"/>
        <v>-8.6281107891796424E-2</v>
      </c>
      <c r="K153" s="155" t="s">
        <v>683</v>
      </c>
      <c r="L153" s="129" t="s">
        <v>684</v>
      </c>
      <c r="M153" s="116"/>
      <c r="N153" s="116"/>
      <c r="O153" s="116"/>
      <c r="P153" s="116"/>
      <c r="Q153" s="116"/>
    </row>
    <row r="154" spans="1:17" ht="126.75" customHeight="1">
      <c r="A154" s="24" t="str">
        <v>Wheatland 2A</v>
      </c>
      <c r="B154" s="25" t="str">
        <v>NY</v>
      </c>
      <c r="C154" s="25" t="str">
        <f>Sites[[#This Row],[SOL'#]]</f>
        <v>SOL-10971</v>
      </c>
      <c r="D154" s="60">
        <v>678330</v>
      </c>
      <c r="E154" s="10">
        <v>0</v>
      </c>
      <c r="F154" s="10">
        <f t="shared" si="12"/>
        <v>678330</v>
      </c>
      <c r="G154" s="11" t="str">
        <f t="shared" si="13"/>
        <v/>
      </c>
      <c r="H154" s="75">
        <v>717427.66</v>
      </c>
      <c r="I154" s="12">
        <f t="shared" si="14"/>
        <v>-39097.660000000033</v>
      </c>
      <c r="J154" s="13">
        <f t="shared" si="15"/>
        <v>-5.449700670866249E-2</v>
      </c>
      <c r="K154" s="63" t="s">
        <v>685</v>
      </c>
      <c r="L154" s="124" t="s">
        <v>686</v>
      </c>
      <c r="M154" s="115" t="s">
        <v>687</v>
      </c>
      <c r="N154" s="116"/>
      <c r="O154" s="116"/>
      <c r="P154" s="116"/>
      <c r="Q154" s="116"/>
    </row>
    <row r="155" spans="1:17" ht="186" customHeight="1">
      <c r="A155" s="26" t="str">
        <v>Wheatland 2B</v>
      </c>
      <c r="B155" s="27" t="str">
        <v>NY</v>
      </c>
      <c r="C155" s="27" t="str">
        <f>Sites[[#This Row],[SOL'#]]</f>
        <v>SOL-10961</v>
      </c>
      <c r="D155" s="74">
        <v>646300</v>
      </c>
      <c r="E155" s="14">
        <v>0</v>
      </c>
      <c r="F155" s="14">
        <f t="shared" si="12"/>
        <v>646300</v>
      </c>
      <c r="G155" s="15" t="str">
        <f t="shared" si="13"/>
        <v/>
      </c>
      <c r="H155" s="77">
        <v>710713.62</v>
      </c>
      <c r="I155" s="16">
        <f t="shared" si="14"/>
        <v>-64413.619999999995</v>
      </c>
      <c r="J155" s="15">
        <f t="shared" si="15"/>
        <v>-9.0632314039514245E-2</v>
      </c>
      <c r="K155" s="57" t="s">
        <v>688</v>
      </c>
      <c r="L155" s="139" t="s">
        <v>689</v>
      </c>
      <c r="M155" s="115" t="s">
        <v>690</v>
      </c>
      <c r="N155" s="115" t="s">
        <v>691</v>
      </c>
      <c r="O155" s="115" t="s">
        <v>692</v>
      </c>
      <c r="P155" s="115" t="s">
        <v>693</v>
      </c>
      <c r="Q155" s="116"/>
    </row>
    <row r="156" spans="1:17" ht="28.9">
      <c r="A156" s="24" t="str">
        <v>Brickchurch</v>
      </c>
      <c r="B156" s="25" t="str">
        <v>NY</v>
      </c>
      <c r="C156" s="25" t="str">
        <f>Sites[[#This Row],[SOL'#]]</f>
        <v>SOL-10889</v>
      </c>
      <c r="D156" s="60">
        <v>279160</v>
      </c>
      <c r="E156" s="10">
        <v>272209.64799999999</v>
      </c>
      <c r="F156" s="10">
        <f t="shared" si="12"/>
        <v>6950.3520000000135</v>
      </c>
      <c r="G156" s="11">
        <f t="shared" si="13"/>
        <v>2.553308470535921E-2</v>
      </c>
      <c r="H156" s="75">
        <v>284745.5</v>
      </c>
      <c r="I156" s="12">
        <f t="shared" si="14"/>
        <v>-5585.5</v>
      </c>
      <c r="J156" s="13">
        <f t="shared" si="15"/>
        <v>-1.9615762145494837E-2</v>
      </c>
      <c r="K156" s="63" t="s">
        <v>694</v>
      </c>
      <c r="L156" s="124" t="s">
        <v>695</v>
      </c>
      <c r="M156" s="115" t="s">
        <v>696</v>
      </c>
      <c r="N156" s="116"/>
      <c r="O156" s="116"/>
      <c r="P156" s="116"/>
      <c r="Q156" s="116"/>
    </row>
    <row r="157" spans="1:17" ht="15.6">
      <c r="A157" s="26" t="str">
        <v>McCarthy Solar</v>
      </c>
      <c r="B157" s="27" t="str">
        <v>NY</v>
      </c>
      <c r="C157" s="27" t="str">
        <f>Sites[[#This Row],[SOL'#]]</f>
        <v>SOL-10992</v>
      </c>
      <c r="D157" s="74">
        <v>331190</v>
      </c>
      <c r="E157" s="14">
        <v>0</v>
      </c>
      <c r="F157" s="14">
        <f t="shared" si="12"/>
        <v>331190</v>
      </c>
      <c r="G157" s="15" t="str">
        <f t="shared" si="13"/>
        <v/>
      </c>
      <c r="H157" s="77">
        <v>331631.3</v>
      </c>
      <c r="I157" s="16">
        <f t="shared" si="14"/>
        <v>-441.29999999998836</v>
      </c>
      <c r="J157" s="15">
        <f t="shared" si="15"/>
        <v>-1.3306946600034086E-3</v>
      </c>
      <c r="K157" s="38"/>
      <c r="L157" s="17"/>
      <c r="M157" s="116"/>
      <c r="N157" s="116"/>
      <c r="O157" s="116"/>
      <c r="P157" s="116"/>
      <c r="Q157" s="116"/>
    </row>
    <row r="158" spans="1:17" ht="28.9">
      <c r="A158" s="24" t="str">
        <v>Costanza</v>
      </c>
      <c r="B158" s="25" t="str">
        <v>NY</v>
      </c>
      <c r="C158" s="25" t="str">
        <f>Sites[[#This Row],[SOL'#]]</f>
        <v>SOL-10907</v>
      </c>
      <c r="D158" s="60">
        <v>327210</v>
      </c>
      <c r="E158" s="10">
        <v>0</v>
      </c>
      <c r="F158" s="10">
        <f t="shared" si="12"/>
        <v>327210</v>
      </c>
      <c r="G158" s="11" t="str">
        <f t="shared" si="13"/>
        <v/>
      </c>
      <c r="H158" s="75">
        <v>356619.2</v>
      </c>
      <c r="I158" s="12">
        <f t="shared" si="14"/>
        <v>-29409.200000000012</v>
      </c>
      <c r="J158" s="13">
        <f t="shared" si="15"/>
        <v>-8.246667593892873E-2</v>
      </c>
      <c r="K158" s="63" t="s">
        <v>697</v>
      </c>
      <c r="L158" s="124" t="s">
        <v>698</v>
      </c>
      <c r="M158" s="116"/>
      <c r="N158" s="116"/>
      <c r="O158" s="116"/>
      <c r="P158" s="116"/>
      <c r="Q158" s="116"/>
    </row>
    <row r="159" spans="1:17" ht="15.6">
      <c r="A159" s="26" t="str">
        <v>Lockenhurst Pond</v>
      </c>
      <c r="B159" s="27" t="str">
        <v>NY</v>
      </c>
      <c r="C159" s="27" t="str">
        <f>Sites[[#This Row],[SOL'#]]</f>
        <v>SOL-11000</v>
      </c>
      <c r="D159" s="74">
        <v>363202</v>
      </c>
      <c r="E159" s="14">
        <v>392130.7</v>
      </c>
      <c r="F159" s="14">
        <f t="shared" si="12"/>
        <v>-28928.700000000012</v>
      </c>
      <c r="G159" s="15">
        <f t="shared" si="13"/>
        <v>-7.377310677281837E-2</v>
      </c>
      <c r="H159" s="77">
        <v>349576</v>
      </c>
      <c r="I159" s="16">
        <f t="shared" si="14"/>
        <v>13626</v>
      </c>
      <c r="J159" s="15">
        <f t="shared" si="15"/>
        <v>3.8978648419799984E-2</v>
      </c>
      <c r="K159" s="38"/>
      <c r="L159" s="17"/>
      <c r="M159" s="116"/>
      <c r="N159" s="116"/>
      <c r="O159" s="116"/>
      <c r="P159" s="116"/>
      <c r="Q159" s="116"/>
    </row>
    <row r="160" spans="1:17" ht="15.6">
      <c r="A160" s="24" t="str">
        <v>Drinkwater</v>
      </c>
      <c r="B160" s="25" t="str">
        <v>NY</v>
      </c>
      <c r="C160" s="25" t="str">
        <f>Sites[[#This Row],[SOL'#]]</f>
        <v>SOL-10896</v>
      </c>
      <c r="D160" s="60">
        <v>330170</v>
      </c>
      <c r="E160" s="10">
        <v>0</v>
      </c>
      <c r="F160" s="10">
        <f t="shared" si="12"/>
        <v>330170</v>
      </c>
      <c r="G160" s="11" t="str">
        <f t="shared" si="13"/>
        <v/>
      </c>
      <c r="H160" s="75">
        <v>343578.1</v>
      </c>
      <c r="I160" s="12">
        <f t="shared" si="14"/>
        <v>-13408.099999999977</v>
      </c>
      <c r="J160" s="13">
        <f t="shared" si="15"/>
        <v>-3.9024897104908543E-2</v>
      </c>
      <c r="K160" s="63"/>
      <c r="L160" s="37"/>
      <c r="M160" s="116"/>
      <c r="N160" s="116"/>
      <c r="O160" s="116"/>
      <c r="P160" s="116"/>
      <c r="Q160" s="116"/>
    </row>
    <row r="161" spans="1:17" ht="28.9">
      <c r="A161" s="26" t="str">
        <v>Altamont</v>
      </c>
      <c r="B161" s="27" t="str">
        <v>NY</v>
      </c>
      <c r="C161" s="27" t="str">
        <f>Sites[[#This Row],[SOL'#]]</f>
        <v>SOL-11085</v>
      </c>
      <c r="D161" s="74">
        <v>679998</v>
      </c>
      <c r="E161" s="14">
        <v>718428.2</v>
      </c>
      <c r="F161" s="14">
        <f t="shared" si="12"/>
        <v>-38430.199999999953</v>
      </c>
      <c r="G161" s="15">
        <f t="shared" si="13"/>
        <v>-5.3492053903229239E-2</v>
      </c>
      <c r="H161" s="77">
        <v>594010.6</v>
      </c>
      <c r="I161" s="16">
        <f t="shared" si="14"/>
        <v>85987.400000000023</v>
      </c>
      <c r="J161" s="15">
        <f t="shared" si="15"/>
        <v>0.14475734944797286</v>
      </c>
      <c r="K161" s="38" t="s">
        <v>699</v>
      </c>
      <c r="L161" s="129" t="s">
        <v>700</v>
      </c>
      <c r="M161" s="116"/>
      <c r="N161" s="116"/>
      <c r="O161" s="116"/>
      <c r="P161" s="116"/>
      <c r="Q161" s="116"/>
    </row>
    <row r="162" spans="1:17" ht="19.5" customHeight="1">
      <c r="A162" s="24" t="str">
        <v>Krumkill North</v>
      </c>
      <c r="B162" s="25" t="str">
        <v>NY</v>
      </c>
      <c r="C162" s="25" t="str">
        <f>Sites[[#This Row],[SOL'#]]</f>
        <v>SOL-11086</v>
      </c>
      <c r="D162" s="60">
        <v>600802</v>
      </c>
      <c r="E162" s="10">
        <v>680752</v>
      </c>
      <c r="F162" s="10">
        <f t="shared" si="12"/>
        <v>-79950</v>
      </c>
      <c r="G162" s="11">
        <f t="shared" si="13"/>
        <v>-0.11744365055115519</v>
      </c>
      <c r="H162" s="75">
        <v>686018.1</v>
      </c>
      <c r="I162" s="12">
        <f t="shared" si="14"/>
        <v>-85216.099999999977</v>
      </c>
      <c r="J162" s="13">
        <f t="shared" si="15"/>
        <v>-0.12421844263292758</v>
      </c>
      <c r="K162" s="63" t="s">
        <v>701</v>
      </c>
      <c r="L162" s="37"/>
      <c r="M162" s="116"/>
      <c r="N162" s="116"/>
      <c r="O162" s="116"/>
      <c r="P162" s="116"/>
      <c r="Q162" s="116"/>
    </row>
    <row r="163" spans="1:17" ht="15.6">
      <c r="A163" s="26" t="str">
        <v>Krumkill South</v>
      </c>
      <c r="B163" s="27" t="str">
        <v>NY</v>
      </c>
      <c r="C163" s="27" t="str">
        <f>Sites[[#This Row],[SOL'#]]</f>
        <v>SOL-11087</v>
      </c>
      <c r="D163" s="74">
        <v>522344</v>
      </c>
      <c r="E163" s="14">
        <v>540569.69999999995</v>
      </c>
      <c r="F163" s="14">
        <f t="shared" si="12"/>
        <v>-18225.699999999953</v>
      </c>
      <c r="G163" s="15">
        <f t="shared" si="13"/>
        <v>-3.3715726205149781E-2</v>
      </c>
      <c r="H163" s="77">
        <v>537817.5</v>
      </c>
      <c r="I163" s="16">
        <f t="shared" si="14"/>
        <v>-15473.5</v>
      </c>
      <c r="J163" s="15">
        <f t="shared" si="15"/>
        <v>-2.8770912065895958E-2</v>
      </c>
      <c r="K163" s="38"/>
      <c r="L163" s="17"/>
      <c r="M163" s="116"/>
      <c r="N163" s="116"/>
      <c r="O163" s="116"/>
      <c r="P163" s="116"/>
      <c r="Q163" s="116"/>
    </row>
    <row r="164" spans="1:17" ht="15.6">
      <c r="A164" s="24" t="str">
        <v>X092</v>
      </c>
      <c r="B164" s="25" t="str">
        <v>NY</v>
      </c>
      <c r="C164" s="25" t="str">
        <f>Sites[[#This Row],[SOL'#]]</f>
        <v>SOL-11189</v>
      </c>
      <c r="D164" s="60">
        <v>15832.4</v>
      </c>
      <c r="E164" s="10">
        <v>15885.47</v>
      </c>
      <c r="F164" s="10">
        <f t="shared" si="12"/>
        <v>-53.069999999999709</v>
      </c>
      <c r="G164" s="11">
        <f t="shared" si="13"/>
        <v>-3.3407887837123931E-3</v>
      </c>
      <c r="H164" s="75">
        <v>16758</v>
      </c>
      <c r="I164" s="12">
        <f t="shared" si="14"/>
        <v>-925.60000000000036</v>
      </c>
      <c r="J164" s="13">
        <f t="shared" si="15"/>
        <v>-5.5233321398734957E-2</v>
      </c>
      <c r="K164" s="63"/>
      <c r="L164" s="37"/>
      <c r="M164" s="116"/>
      <c r="N164" s="116"/>
      <c r="O164" s="116"/>
      <c r="P164" s="116"/>
      <c r="Q164" s="116"/>
    </row>
    <row r="165" spans="1:17" ht="72">
      <c r="A165" s="26" t="str">
        <v>X093</v>
      </c>
      <c r="B165" s="27" t="str">
        <v>NY</v>
      </c>
      <c r="C165" s="27" t="str">
        <f>Sites[[#This Row],[SOL'#]]</f>
        <v>SOL-10932</v>
      </c>
      <c r="D165" s="74">
        <v>5362.82122556165</v>
      </c>
      <c r="E165" s="14">
        <v>0</v>
      </c>
      <c r="F165" s="14">
        <f t="shared" si="12"/>
        <v>5362.82122556165</v>
      </c>
      <c r="G165" s="15" t="str">
        <f t="shared" si="13"/>
        <v/>
      </c>
      <c r="H165" s="77">
        <v>11061</v>
      </c>
      <c r="I165" s="16">
        <f t="shared" si="14"/>
        <v>-5698.17877443835</v>
      </c>
      <c r="J165" s="15">
        <f t="shared" si="15"/>
        <v>-0.51515945885890513</v>
      </c>
      <c r="K165" s="38" t="s">
        <v>702</v>
      </c>
      <c r="L165" s="139" t="s">
        <v>703</v>
      </c>
      <c r="M165" s="115" t="s">
        <v>440</v>
      </c>
      <c r="N165" s="115" t="s">
        <v>704</v>
      </c>
      <c r="O165" s="116"/>
      <c r="P165" s="116"/>
      <c r="Q165" s="116"/>
    </row>
    <row r="166" spans="1:17" ht="28.9">
      <c r="A166" s="24" t="str">
        <v>X095</v>
      </c>
      <c r="B166" s="25" t="str">
        <v>NY</v>
      </c>
      <c r="C166" s="25" t="str">
        <f>Sites[[#This Row],[SOL'#]]</f>
        <v>SOL-10929</v>
      </c>
      <c r="D166" s="60">
        <v>12809.3174171639</v>
      </c>
      <c r="E166" s="10">
        <v>0</v>
      </c>
      <c r="F166" s="10">
        <f t="shared" si="12"/>
        <v>12809.3174171639</v>
      </c>
      <c r="G166" s="11" t="str">
        <f t="shared" si="13"/>
        <v/>
      </c>
      <c r="H166" s="75">
        <v>15084</v>
      </c>
      <c r="I166" s="12">
        <f t="shared" si="14"/>
        <v>-2274.6825828360998</v>
      </c>
      <c r="J166" s="13">
        <f t="shared" si="15"/>
        <v>-0.15080101981146246</v>
      </c>
      <c r="K166" s="63" t="s">
        <v>705</v>
      </c>
      <c r="L166" s="124" t="s">
        <v>706</v>
      </c>
      <c r="M166" s="115" t="s">
        <v>707</v>
      </c>
      <c r="N166" s="116"/>
      <c r="O166" s="116"/>
      <c r="P166" s="116"/>
      <c r="Q166" s="116"/>
    </row>
    <row r="167" spans="1:17" ht="26.45">
      <c r="A167" s="26" t="str">
        <v>X181</v>
      </c>
      <c r="B167" s="27" t="str">
        <v>NY</v>
      </c>
      <c r="C167" s="27" t="str">
        <f>Sites[[#This Row],[SOL'#]]</f>
        <v>SOL-10428</v>
      </c>
      <c r="D167" s="74">
        <v>29508.987470703101</v>
      </c>
      <c r="E167" s="14">
        <v>0</v>
      </c>
      <c r="F167" s="14">
        <f t="shared" si="12"/>
        <v>29508.987470703101</v>
      </c>
      <c r="G167" s="15" t="str">
        <f t="shared" si="13"/>
        <v/>
      </c>
      <c r="H167" s="77">
        <v>27420</v>
      </c>
      <c r="I167" s="16">
        <f t="shared" si="14"/>
        <v>2088.9874707031013</v>
      </c>
      <c r="J167" s="15">
        <f t="shared" si="15"/>
        <v>7.6184809288953367E-2</v>
      </c>
      <c r="K167" s="56" t="s">
        <v>250</v>
      </c>
      <c r="L167" s="130" t="s">
        <v>708</v>
      </c>
      <c r="M167" s="116"/>
      <c r="N167" s="116"/>
      <c r="O167" s="116"/>
      <c r="P167" s="116"/>
      <c r="Q167" s="116"/>
    </row>
    <row r="168" spans="1:17" ht="15.6">
      <c r="A168" s="24" t="str">
        <v>X415</v>
      </c>
      <c r="B168" s="25" t="str">
        <v>NY</v>
      </c>
      <c r="C168" s="25" t="str">
        <f>Sites[[#This Row],[SOL'#]]</f>
        <v>SOL-10429</v>
      </c>
      <c r="D168" s="60">
        <v>17466.560488281299</v>
      </c>
      <c r="E168" s="10">
        <v>0</v>
      </c>
      <c r="F168" s="10">
        <f t="shared" si="12"/>
        <v>17466.560488281299</v>
      </c>
      <c r="G168" s="11" t="str">
        <f t="shared" si="13"/>
        <v/>
      </c>
      <c r="H168" s="75">
        <v>15528</v>
      </c>
      <c r="I168" s="12">
        <f t="shared" si="14"/>
        <v>1938.5604882812986</v>
      </c>
      <c r="J168" s="13">
        <f t="shared" si="15"/>
        <v>0.12484289594804859</v>
      </c>
      <c r="K168" s="63" t="s">
        <v>235</v>
      </c>
      <c r="L168" s="124" t="s">
        <v>709</v>
      </c>
      <c r="M168" s="116"/>
      <c r="N168" s="116"/>
      <c r="O168" s="116"/>
      <c r="P168" s="116"/>
      <c r="Q168" s="116"/>
    </row>
    <row r="169" spans="1:17" ht="15.6">
      <c r="A169" s="26" t="str">
        <v>K198</v>
      </c>
      <c r="B169" s="27" t="str">
        <v>NY</v>
      </c>
      <c r="C169" s="27" t="str">
        <f>Sites[[#This Row],[SOL'#]]</f>
        <v>SOL-10930</v>
      </c>
      <c r="D169" s="74">
        <v>14187.056640625</v>
      </c>
      <c r="E169" s="14">
        <v>0</v>
      </c>
      <c r="F169" s="14">
        <f t="shared" si="12"/>
        <v>14187.056640625</v>
      </c>
      <c r="G169" s="15" t="str">
        <f t="shared" si="13"/>
        <v/>
      </c>
      <c r="H169" s="77">
        <v>12752</v>
      </c>
      <c r="I169" s="16">
        <f t="shared" si="14"/>
        <v>1435.056640625</v>
      </c>
      <c r="J169" s="15">
        <f t="shared" si="15"/>
        <v>0.11253580933382999</v>
      </c>
      <c r="K169" s="38" t="s">
        <v>237</v>
      </c>
      <c r="L169" s="126" t="s">
        <v>710</v>
      </c>
      <c r="M169" s="116"/>
      <c r="N169" s="116"/>
      <c r="O169" s="116"/>
      <c r="P169" s="116"/>
      <c r="Q169" s="116"/>
    </row>
    <row r="170" spans="1:17" ht="40.5" customHeight="1">
      <c r="A170" s="24" t="str">
        <v>K203</v>
      </c>
      <c r="B170" s="25" t="str">
        <v>NY</v>
      </c>
      <c r="C170" s="25" t="str">
        <f>Sites[[#This Row],[SOL'#]]</f>
        <v>SOL-11190</v>
      </c>
      <c r="D170" s="60">
        <v>13616</v>
      </c>
      <c r="E170" s="10">
        <v>0</v>
      </c>
      <c r="F170" s="10">
        <f t="shared" si="12"/>
        <v>13616</v>
      </c>
      <c r="G170" s="11" t="str">
        <f t="shared" si="13"/>
        <v/>
      </c>
      <c r="H170" s="75">
        <v>0</v>
      </c>
      <c r="I170" s="12">
        <f t="shared" si="14"/>
        <v>13616</v>
      </c>
      <c r="J170" s="13" t="str">
        <f t="shared" si="15"/>
        <v/>
      </c>
      <c r="K170" s="63" t="s">
        <v>711</v>
      </c>
      <c r="L170" s="124" t="s">
        <v>712</v>
      </c>
      <c r="M170" s="116"/>
      <c r="N170" s="116"/>
      <c r="O170" s="116"/>
      <c r="P170" s="116"/>
      <c r="Q170" s="116"/>
    </row>
    <row r="171" spans="1:17" ht="40.5" customHeight="1">
      <c r="A171" s="26" t="str">
        <v>K213</v>
      </c>
      <c r="B171" s="27" t="str">
        <v>NY</v>
      </c>
      <c r="C171" s="27" t="str">
        <f>Sites[[#This Row],[SOL'#]]</f>
        <v>SOL-11191</v>
      </c>
      <c r="D171" s="74">
        <v>19107.2</v>
      </c>
      <c r="E171" s="14">
        <v>20224.73</v>
      </c>
      <c r="F171" s="14">
        <f t="shared" si="12"/>
        <v>-1117.5299999999988</v>
      </c>
      <c r="G171" s="15">
        <f t="shared" si="13"/>
        <v>-5.5255620223360155E-2</v>
      </c>
      <c r="H171" s="77">
        <v>18782</v>
      </c>
      <c r="I171" s="16">
        <f t="shared" si="14"/>
        <v>325.20000000000073</v>
      </c>
      <c r="J171" s="15">
        <f t="shared" si="15"/>
        <v>1.7314450005324285E-2</v>
      </c>
      <c r="K171" s="38" t="s">
        <v>713</v>
      </c>
      <c r="L171" s="114" t="s">
        <v>714</v>
      </c>
      <c r="M171" s="116"/>
      <c r="N171" s="116"/>
      <c r="O171" s="116"/>
      <c r="P171" s="116"/>
      <c r="Q171" s="116"/>
    </row>
    <row r="172" spans="1:17" ht="15.6">
      <c r="A172" s="24" t="str">
        <v>K217</v>
      </c>
      <c r="B172" s="25" t="str">
        <v>NY</v>
      </c>
      <c r="C172" s="25" t="str">
        <f>Sites[[#This Row],[SOL'#]]</f>
        <v>SOL-10933</v>
      </c>
      <c r="D172" s="60">
        <v>10504.974609375</v>
      </c>
      <c r="E172" s="10">
        <v>0</v>
      </c>
      <c r="F172" s="10">
        <f t="shared" si="12"/>
        <v>10504.974609375</v>
      </c>
      <c r="G172" s="11" t="str">
        <f t="shared" si="13"/>
        <v/>
      </c>
      <c r="H172" s="75">
        <v>9298</v>
      </c>
      <c r="I172" s="12">
        <f t="shared" si="14"/>
        <v>1206.974609375</v>
      </c>
      <c r="J172" s="13">
        <f t="shared" si="15"/>
        <v>0.12981013221929447</v>
      </c>
      <c r="K172" s="63" t="s">
        <v>237</v>
      </c>
      <c r="L172" s="124" t="s">
        <v>715</v>
      </c>
      <c r="M172" s="116"/>
      <c r="N172" s="116"/>
      <c r="O172" s="116"/>
      <c r="P172" s="116"/>
      <c r="Q172" s="116"/>
    </row>
    <row r="173" spans="1:17" ht="15.6">
      <c r="A173" s="26" t="str">
        <v>K307</v>
      </c>
      <c r="B173" s="27" t="str">
        <v>NY</v>
      </c>
      <c r="C173" s="27" t="str">
        <f>Sites[[#This Row],[SOL'#]]</f>
        <v>SOL-10876</v>
      </c>
      <c r="D173" s="74">
        <v>22224.359747958501</v>
      </c>
      <c r="E173" s="14">
        <v>0</v>
      </c>
      <c r="F173" s="14">
        <f t="shared" si="12"/>
        <v>22224.359747958501</v>
      </c>
      <c r="G173" s="15" t="str">
        <f t="shared" si="13"/>
        <v/>
      </c>
      <c r="H173" s="77">
        <v>19546</v>
      </c>
      <c r="I173" s="16">
        <f t="shared" si="14"/>
        <v>2678.3597479585005</v>
      </c>
      <c r="J173" s="15">
        <f t="shared" si="15"/>
        <v>0.13702853514573318</v>
      </c>
      <c r="K173" s="38"/>
      <c r="L173" s="17"/>
      <c r="M173" s="116"/>
      <c r="N173" s="116"/>
      <c r="O173" s="116"/>
      <c r="P173" s="116"/>
      <c r="Q173" s="116"/>
    </row>
    <row r="174" spans="1:17" ht="15.6">
      <c r="A174" s="24" t="str">
        <v>K610</v>
      </c>
      <c r="B174" s="25" t="str">
        <v>NY</v>
      </c>
      <c r="C174" s="25" t="str">
        <f>Sites[[#This Row],[SOL'#]]</f>
        <v>SOL-11158</v>
      </c>
      <c r="D174" s="60">
        <v>25056.5</v>
      </c>
      <c r="E174" s="10">
        <v>24720.240000000002</v>
      </c>
      <c r="F174" s="10">
        <f t="shared" si="12"/>
        <v>336.2599999999984</v>
      </c>
      <c r="G174" s="11">
        <f t="shared" si="13"/>
        <v>1.3602618744801764E-2</v>
      </c>
      <c r="H174" s="75">
        <v>24582</v>
      </c>
      <c r="I174" s="12">
        <f t="shared" si="14"/>
        <v>474.5</v>
      </c>
      <c r="J174" s="13">
        <f t="shared" si="15"/>
        <v>1.9302741843625418E-2</v>
      </c>
      <c r="K174" s="63"/>
      <c r="L174" s="37"/>
      <c r="M174" s="116"/>
      <c r="N174" s="116"/>
      <c r="O174" s="116"/>
      <c r="P174" s="116"/>
      <c r="Q174" s="116"/>
    </row>
    <row r="175" spans="1:17" ht="84.75" customHeight="1">
      <c r="A175" s="26" t="str">
        <v>M025</v>
      </c>
      <c r="B175" s="27" t="str">
        <v>NY</v>
      </c>
      <c r="C175" s="27" t="str">
        <f>Sites[[#This Row],[SOL'#]]</f>
        <v>SOL-10392</v>
      </c>
      <c r="D175" s="74">
        <v>8008.9453125</v>
      </c>
      <c r="E175" s="14">
        <v>0</v>
      </c>
      <c r="F175" s="14">
        <f t="shared" si="12"/>
        <v>8008.9453125</v>
      </c>
      <c r="G175" s="15" t="str">
        <f t="shared" si="13"/>
        <v/>
      </c>
      <c r="H175" s="77">
        <v>21500</v>
      </c>
      <c r="I175" s="16">
        <f t="shared" si="14"/>
        <v>-13491.0546875</v>
      </c>
      <c r="J175" s="15">
        <f t="shared" si="15"/>
        <v>-0.62749091569767446</v>
      </c>
      <c r="K175" s="38" t="s">
        <v>716</v>
      </c>
      <c r="L175" s="139" t="s">
        <v>717</v>
      </c>
      <c r="M175" s="115" t="s">
        <v>718</v>
      </c>
      <c r="N175" s="115" t="s">
        <v>719</v>
      </c>
      <c r="O175" s="116"/>
      <c r="P175" s="116"/>
      <c r="Q175" s="116"/>
    </row>
    <row r="176" spans="1:17" ht="15.6">
      <c r="A176" s="24" t="str">
        <v>M028</v>
      </c>
      <c r="B176" s="25" t="str">
        <v>NY</v>
      </c>
      <c r="C176" s="25" t="str">
        <f>Sites[[#This Row],[SOL'#]]</f>
        <v>SOL-10381</v>
      </c>
      <c r="D176" s="60">
        <v>17546.9861221723</v>
      </c>
      <c r="E176" s="10">
        <v>0</v>
      </c>
      <c r="F176" s="10">
        <f t="shared" si="12"/>
        <v>17546.9861221723</v>
      </c>
      <c r="G176" s="11" t="str">
        <f t="shared" si="13"/>
        <v/>
      </c>
      <c r="H176" s="75">
        <v>15744</v>
      </c>
      <c r="I176" s="12">
        <f t="shared" si="14"/>
        <v>1802.9861221723004</v>
      </c>
      <c r="J176" s="13">
        <f t="shared" si="15"/>
        <v>0.11451893560545608</v>
      </c>
      <c r="K176" s="63" t="s">
        <v>241</v>
      </c>
      <c r="L176" s="124" t="s">
        <v>720</v>
      </c>
      <c r="M176" s="116"/>
      <c r="N176" s="116"/>
      <c r="O176" s="116"/>
      <c r="P176" s="116"/>
      <c r="Q176" s="116"/>
    </row>
    <row r="177" spans="1:17" ht="15.6">
      <c r="A177" s="26" t="str">
        <v>Q030</v>
      </c>
      <c r="B177" s="27" t="str">
        <v>NY</v>
      </c>
      <c r="C177" s="27" t="str">
        <f>Sites[[#This Row],[SOL'#]]</f>
        <v>SOL-10878</v>
      </c>
      <c r="D177" s="74">
        <v>21809.5740617148</v>
      </c>
      <c r="E177" s="14">
        <v>0</v>
      </c>
      <c r="F177" s="14">
        <f t="shared" si="12"/>
        <v>21809.5740617148</v>
      </c>
      <c r="G177" s="15" t="str">
        <f t="shared" si="13"/>
        <v/>
      </c>
      <c r="H177" s="77">
        <v>19517</v>
      </c>
      <c r="I177" s="16">
        <f t="shared" si="14"/>
        <v>2292.5740617148003</v>
      </c>
      <c r="J177" s="15">
        <f t="shared" si="15"/>
        <v>0.11746549478479276</v>
      </c>
      <c r="K177" s="38"/>
      <c r="L177" s="17"/>
      <c r="M177" s="116"/>
      <c r="N177" s="116"/>
      <c r="O177" s="116"/>
      <c r="P177" s="116"/>
      <c r="Q177" s="116"/>
    </row>
    <row r="178" spans="1:17" ht="15.6">
      <c r="A178" s="24" t="str">
        <v>Q130</v>
      </c>
      <c r="B178" s="25" t="str">
        <v>NY</v>
      </c>
      <c r="C178" s="25" t="str">
        <f>Sites[[#This Row],[SOL'#]]</f>
        <v>SOL-10877</v>
      </c>
      <c r="D178" s="60">
        <v>12271.604096679701</v>
      </c>
      <c r="E178" s="10">
        <v>0</v>
      </c>
      <c r="F178" s="10">
        <f t="shared" si="12"/>
        <v>12271.604096679701</v>
      </c>
      <c r="G178" s="11" t="str">
        <f t="shared" si="13"/>
        <v/>
      </c>
      <c r="H178" s="75">
        <v>10779.37</v>
      </c>
      <c r="I178" s="12">
        <f t="shared" si="14"/>
        <v>1492.2340966797001</v>
      </c>
      <c r="J178" s="13">
        <f t="shared" si="15"/>
        <v>0.1384342588369914</v>
      </c>
      <c r="K178" s="63" t="s">
        <v>243</v>
      </c>
      <c r="L178" s="124" t="s">
        <v>721</v>
      </c>
      <c r="M178" s="116"/>
      <c r="N178" s="116"/>
      <c r="O178" s="116"/>
      <c r="P178" s="116"/>
      <c r="Q178" s="116"/>
    </row>
    <row r="179" spans="1:17" ht="15.6">
      <c r="A179" s="26" t="str">
        <v>Q196</v>
      </c>
      <c r="B179" s="27" t="str">
        <v>NY</v>
      </c>
      <c r="C179" s="27" t="str">
        <f>Sites[[#This Row],[SOL'#]]</f>
        <v>SOL-10879</v>
      </c>
      <c r="D179" s="74">
        <v>15423.1352070312</v>
      </c>
      <c r="E179" s="14">
        <v>0</v>
      </c>
      <c r="F179" s="14">
        <f t="shared" si="12"/>
        <v>15423.1352070312</v>
      </c>
      <c r="G179" s="15" t="str">
        <f t="shared" si="13"/>
        <v/>
      </c>
      <c r="H179" s="77">
        <v>14155</v>
      </c>
      <c r="I179" s="16">
        <f t="shared" si="14"/>
        <v>1268.1352070312005</v>
      </c>
      <c r="J179" s="15">
        <f t="shared" si="15"/>
        <v>8.9589205724563789E-2</v>
      </c>
      <c r="K179" s="38" t="s">
        <v>243</v>
      </c>
      <c r="L179" s="126" t="s">
        <v>722</v>
      </c>
      <c r="M179" s="116"/>
      <c r="N179" s="116"/>
      <c r="O179" s="116"/>
      <c r="P179" s="116"/>
      <c r="Q179" s="116"/>
    </row>
    <row r="180" spans="1:17" ht="28.9">
      <c r="A180" s="24" t="str">
        <v>Q220</v>
      </c>
      <c r="B180" s="25" t="str">
        <v>NY</v>
      </c>
      <c r="C180" s="25" t="str">
        <f>Sites[[#This Row],[SOL'#]]</f>
        <v>SOL-10873</v>
      </c>
      <c r="D180" s="60">
        <v>18632.917666015601</v>
      </c>
      <c r="E180" s="10">
        <v>0</v>
      </c>
      <c r="F180" s="10">
        <f t="shared" si="12"/>
        <v>18632.917666015601</v>
      </c>
      <c r="G180" s="11" t="str">
        <f t="shared" si="13"/>
        <v/>
      </c>
      <c r="H180" s="75">
        <v>15807</v>
      </c>
      <c r="I180" s="12">
        <f t="shared" si="14"/>
        <v>2825.9176660156008</v>
      </c>
      <c r="J180" s="13">
        <f t="shared" si="15"/>
        <v>0.17877634377273366</v>
      </c>
      <c r="K180" s="63" t="s">
        <v>445</v>
      </c>
      <c r="L180" s="124" t="s">
        <v>723</v>
      </c>
      <c r="M180" s="116"/>
      <c r="N180" s="116"/>
      <c r="O180" s="116"/>
      <c r="P180" s="116"/>
      <c r="Q180" s="116"/>
    </row>
    <row r="181" spans="1:17" ht="28.9">
      <c r="A181" s="26" t="str">
        <v>Q205</v>
      </c>
      <c r="B181" s="27" t="str">
        <v>NY</v>
      </c>
      <c r="C181" s="27" t="str">
        <f>Sites[[#This Row],[SOL'#]]</f>
        <v>SOL-10922</v>
      </c>
      <c r="D181" s="74">
        <v>22716.95703125</v>
      </c>
      <c r="E181" s="14">
        <v>25173.09</v>
      </c>
      <c r="F181" s="14">
        <f t="shared" si="12"/>
        <v>-2456.1329687500001</v>
      </c>
      <c r="G181" s="15">
        <f t="shared" si="13"/>
        <v>-9.7569784589416717E-2</v>
      </c>
      <c r="H181" s="77">
        <v>19352</v>
      </c>
      <c r="I181" s="16">
        <f t="shared" si="14"/>
        <v>3364.95703125</v>
      </c>
      <c r="J181" s="15">
        <f t="shared" si="15"/>
        <v>0.17388161591825135</v>
      </c>
      <c r="K181" s="38" t="s">
        <v>724</v>
      </c>
      <c r="L181" s="129" t="s">
        <v>725</v>
      </c>
      <c r="M181" s="116"/>
      <c r="N181" s="116"/>
      <c r="O181" s="116"/>
      <c r="P181" s="116"/>
      <c r="Q181" s="116"/>
    </row>
    <row r="182" spans="1:17" ht="99.75" customHeight="1">
      <c r="A182" s="24" t="str">
        <v>Q400</v>
      </c>
      <c r="B182" s="25" t="str">
        <v>NY</v>
      </c>
      <c r="C182" s="25" t="str">
        <f>Sites[[#This Row],[SOL'#]]</f>
        <v>SOL-10871</v>
      </c>
      <c r="D182" s="60">
        <v>24511.88671875</v>
      </c>
      <c r="E182" s="10">
        <v>0</v>
      </c>
      <c r="F182" s="10">
        <f t="shared" si="12"/>
        <v>24511.88671875</v>
      </c>
      <c r="G182" s="11" t="str">
        <f t="shared" si="13"/>
        <v/>
      </c>
      <c r="H182" s="75">
        <v>30789</v>
      </c>
      <c r="I182" s="12">
        <f t="shared" si="14"/>
        <v>-6277.11328125</v>
      </c>
      <c r="J182" s="13">
        <f t="shared" si="15"/>
        <v>-0.20387519182987432</v>
      </c>
      <c r="K182" s="63" t="s">
        <v>726</v>
      </c>
      <c r="L182" s="124" t="s">
        <v>727</v>
      </c>
      <c r="M182" s="115" t="s">
        <v>249</v>
      </c>
      <c r="N182" s="115" t="s">
        <v>249</v>
      </c>
      <c r="O182" s="115" t="s">
        <v>728</v>
      </c>
      <c r="P182" s="115" t="s">
        <v>729</v>
      </c>
      <c r="Q182" s="115" t="s">
        <v>730</v>
      </c>
    </row>
    <row r="183" spans="1:17" ht="15.6">
      <c r="A183" s="26" t="str">
        <v>R003</v>
      </c>
      <c r="B183" s="27" t="str">
        <v>NY</v>
      </c>
      <c r="C183" s="27" t="str">
        <f>Sites[[#This Row],[SOL'#]]</f>
        <v>SOL-10416</v>
      </c>
      <c r="D183" s="74">
        <v>33952.875429687498</v>
      </c>
      <c r="E183" s="14">
        <v>0</v>
      </c>
      <c r="F183" s="14">
        <f t="shared" si="12"/>
        <v>33952.875429687498</v>
      </c>
      <c r="G183" s="15" t="str">
        <f t="shared" si="13"/>
        <v/>
      </c>
      <c r="H183" s="77">
        <v>29898</v>
      </c>
      <c r="I183" s="16">
        <f t="shared" si="14"/>
        <v>4054.8754296874977</v>
      </c>
      <c r="J183" s="15">
        <f t="shared" si="15"/>
        <v>0.13562363468083141</v>
      </c>
      <c r="K183" s="38" t="s">
        <v>250</v>
      </c>
      <c r="L183" s="126" t="s">
        <v>731</v>
      </c>
      <c r="M183" s="116"/>
      <c r="N183" s="116"/>
      <c r="O183" s="116"/>
      <c r="P183" s="116"/>
      <c r="Q183" s="116"/>
    </row>
    <row r="184" spans="1:17" ht="15.6">
      <c r="A184" s="24" t="str">
        <v>R007</v>
      </c>
      <c r="B184" s="25" t="str">
        <v>NY</v>
      </c>
      <c r="C184" s="25" t="str">
        <f>Sites[[#This Row],[SOL'#]]</f>
        <v>SOL-10417</v>
      </c>
      <c r="D184" s="60">
        <v>35228.1171875</v>
      </c>
      <c r="E184" s="10">
        <v>0</v>
      </c>
      <c r="F184" s="10">
        <f t="shared" si="12"/>
        <v>35228.1171875</v>
      </c>
      <c r="G184" s="11" t="str">
        <f t="shared" si="13"/>
        <v/>
      </c>
      <c r="H184" s="75">
        <v>29854</v>
      </c>
      <c r="I184" s="12">
        <f t="shared" si="14"/>
        <v>5374.1171875</v>
      </c>
      <c r="J184" s="13">
        <f t="shared" si="15"/>
        <v>0.1800133043310779</v>
      </c>
      <c r="K184" s="63"/>
      <c r="L184" s="37"/>
      <c r="M184" s="116"/>
      <c r="N184" s="116"/>
      <c r="O184" s="116"/>
      <c r="P184" s="116"/>
      <c r="Q184" s="116"/>
    </row>
    <row r="185" spans="1:17" ht="57.6">
      <c r="A185" s="26" t="str">
        <v>BK16</v>
      </c>
      <c r="B185" s="27" t="str">
        <v>NY</v>
      </c>
      <c r="C185" s="27" t="str">
        <f>Sites[[#This Row],[SOL'#]]</f>
        <v>SOL-11093</v>
      </c>
      <c r="D185" s="74">
        <v>33612.486104633099</v>
      </c>
      <c r="E185" s="14">
        <v>0</v>
      </c>
      <c r="F185" s="14">
        <f t="shared" si="12"/>
        <v>33612.486104633099</v>
      </c>
      <c r="G185" s="15" t="str">
        <f t="shared" si="13"/>
        <v/>
      </c>
      <c r="H185" s="77">
        <v>31346</v>
      </c>
      <c r="I185" s="16">
        <f t="shared" si="14"/>
        <v>2266.4861046330989</v>
      </c>
      <c r="J185" s="15">
        <f t="shared" si="15"/>
        <v>7.230543305790528E-2</v>
      </c>
      <c r="K185" s="38" t="s">
        <v>732</v>
      </c>
      <c r="L185" s="139" t="s">
        <v>733</v>
      </c>
      <c r="M185" s="115" t="s">
        <v>450</v>
      </c>
      <c r="N185" s="116"/>
      <c r="O185" s="116"/>
      <c r="P185" s="116"/>
      <c r="Q185" s="116"/>
    </row>
    <row r="186" spans="1:17" ht="57.6">
      <c r="A186" s="24" t="str">
        <v>Trenton - Trenton East</v>
      </c>
      <c r="B186" s="25" t="str">
        <v>IL</v>
      </c>
      <c r="C186" s="25" t="str">
        <f>Sites[[#This Row],[SOL'#]]</f>
        <v>SOL-11060</v>
      </c>
      <c r="D186" s="60">
        <v>211494</v>
      </c>
      <c r="E186" s="10">
        <v>225513.7</v>
      </c>
      <c r="F186" s="10">
        <f t="shared" si="12"/>
        <v>-14019.700000000012</v>
      </c>
      <c r="G186" s="11">
        <f t="shared" si="13"/>
        <v>-6.2167841687666918E-2</v>
      </c>
      <c r="H186" s="75">
        <v>362877</v>
      </c>
      <c r="I186" s="12">
        <f t="shared" si="14"/>
        <v>-151383</v>
      </c>
      <c r="J186" s="13">
        <f t="shared" si="15"/>
        <v>-0.41717441447101911</v>
      </c>
      <c r="K186" s="63" t="s">
        <v>734</v>
      </c>
      <c r="L186" s="124" t="s">
        <v>735</v>
      </c>
      <c r="M186" s="115" t="s">
        <v>736</v>
      </c>
      <c r="N186" s="116"/>
      <c r="O186" s="116"/>
      <c r="P186" s="116"/>
      <c r="Q186" s="116"/>
    </row>
    <row r="187" spans="1:17" ht="43.15">
      <c r="A187" s="26" t="str">
        <v>Trenton - Trenton West</v>
      </c>
      <c r="B187" s="27" t="str">
        <v>IL</v>
      </c>
      <c r="C187" s="27" t="str">
        <f>Sites[[#This Row],[SOL'#]]</f>
        <v>SOL-11061</v>
      </c>
      <c r="D187" s="74">
        <v>225476</v>
      </c>
      <c r="E187" s="14">
        <v>234876</v>
      </c>
      <c r="F187" s="14">
        <f t="shared" si="12"/>
        <v>-9400</v>
      </c>
      <c r="G187" s="15">
        <f t="shared" si="13"/>
        <v>-4.0021117525843426E-2</v>
      </c>
      <c r="H187" s="77">
        <v>363840</v>
      </c>
      <c r="I187" s="16">
        <f t="shared" si="14"/>
        <v>-138364</v>
      </c>
      <c r="J187" s="15">
        <f t="shared" si="15"/>
        <v>-0.38028803869832895</v>
      </c>
      <c r="K187" s="38" t="s">
        <v>737</v>
      </c>
      <c r="L187" s="139" t="s">
        <v>738</v>
      </c>
      <c r="M187" s="115" t="s">
        <v>739</v>
      </c>
      <c r="N187" s="116"/>
      <c r="O187" s="116"/>
      <c r="P187" s="116"/>
      <c r="Q187" s="116"/>
    </row>
    <row r="188" spans="1:17" ht="57.6">
      <c r="A188" s="24" t="str">
        <v>Dakota - Dakota Solar 1</v>
      </c>
      <c r="B188" s="25" t="str">
        <v>IL</v>
      </c>
      <c r="C188" s="25" t="str">
        <f>Sites[[#This Row],[SOL'#]]</f>
        <v>SOL-11113</v>
      </c>
      <c r="D188" s="60">
        <v>369540</v>
      </c>
      <c r="E188" s="10">
        <v>463142.3</v>
      </c>
      <c r="F188" s="10">
        <f t="shared" si="12"/>
        <v>-93602.299999999988</v>
      </c>
      <c r="G188" s="11">
        <f t="shared" si="13"/>
        <v>-0.20210267988909669</v>
      </c>
      <c r="H188" s="75">
        <v>0</v>
      </c>
      <c r="I188" s="12">
        <f t="shared" si="14"/>
        <v>369540</v>
      </c>
      <c r="J188" s="13" t="str">
        <f t="shared" si="15"/>
        <v/>
      </c>
      <c r="K188" s="63" t="s">
        <v>740</v>
      </c>
      <c r="L188" s="124" t="s">
        <v>741</v>
      </c>
      <c r="M188" s="115" t="s">
        <v>742</v>
      </c>
      <c r="N188" s="116"/>
      <c r="O188" s="116"/>
      <c r="P188" s="116"/>
      <c r="Q188" s="116"/>
    </row>
    <row r="189" spans="1:17" ht="43.15">
      <c r="A189" s="26" t="str">
        <v>X018</v>
      </c>
      <c r="B189" s="27" t="str">
        <v>NY</v>
      </c>
      <c r="C189" s="27" t="str">
        <f>Sites[[#This Row],[SOL'#]]</f>
        <v>SOL-10418</v>
      </c>
      <c r="D189" s="74">
        <v>11486.863984375001</v>
      </c>
      <c r="E189" s="14">
        <v>15507.42</v>
      </c>
      <c r="F189" s="14">
        <f t="shared" si="12"/>
        <v>-4020.5560156249994</v>
      </c>
      <c r="G189" s="15">
        <f t="shared" si="13"/>
        <v>-0.25926659725634565</v>
      </c>
      <c r="H189" s="77">
        <v>15457</v>
      </c>
      <c r="I189" s="16">
        <f t="shared" si="14"/>
        <v>-3970.1360156249993</v>
      </c>
      <c r="J189" s="15">
        <f t="shared" si="15"/>
        <v>-0.25685036007148859</v>
      </c>
      <c r="K189" s="38" t="s">
        <v>743</v>
      </c>
      <c r="L189" s="139" t="s">
        <v>744</v>
      </c>
      <c r="M189" s="115" t="s">
        <v>745</v>
      </c>
      <c r="N189" s="116"/>
      <c r="O189" s="116"/>
      <c r="P189" s="116"/>
      <c r="Q189" s="116"/>
    </row>
    <row r="190" spans="1:17" ht="43.15">
      <c r="A190" s="24" t="str">
        <v>Janiak Solar</v>
      </c>
      <c r="B190" s="25" t="str">
        <v>NY</v>
      </c>
      <c r="C190" s="25" t="str">
        <f>Sites[[#This Row],[SOL'#]]</f>
        <v>SOL-10898</v>
      </c>
      <c r="D190" s="60">
        <v>344324.17412935401</v>
      </c>
      <c r="E190" s="10">
        <v>359649.1</v>
      </c>
      <c r="F190" s="10">
        <f t="shared" si="12"/>
        <v>-15324.925870645966</v>
      </c>
      <c r="G190" s="11">
        <f t="shared" si="13"/>
        <v>-4.2610772196137757E-2</v>
      </c>
      <c r="H190" s="75">
        <v>346875</v>
      </c>
      <c r="I190" s="12">
        <f t="shared" si="14"/>
        <v>-2550.8258706459892</v>
      </c>
      <c r="J190" s="13">
        <f t="shared" si="15"/>
        <v>-7.3537322397001495E-3</v>
      </c>
      <c r="K190" s="63" t="s">
        <v>746</v>
      </c>
      <c r="L190" s="124" t="s">
        <v>747</v>
      </c>
      <c r="M190" s="115" t="s">
        <v>748</v>
      </c>
      <c r="N190" s="116"/>
      <c r="O190" s="116"/>
      <c r="P190" s="116"/>
      <c r="Q190" s="116"/>
    </row>
    <row r="191" spans="1:17" ht="28.9">
      <c r="A191" s="26" t="str">
        <v>County Route 11B</v>
      </c>
      <c r="B191" s="27" t="str">
        <v>NY</v>
      </c>
      <c r="C191" s="27" t="str">
        <f>Sites[[#This Row],[SOL'#]]</f>
        <v>SOL-10983</v>
      </c>
      <c r="D191" s="74">
        <v>880286</v>
      </c>
      <c r="E191" s="14">
        <v>0</v>
      </c>
      <c r="F191" s="14">
        <f t="shared" si="12"/>
        <v>880286</v>
      </c>
      <c r="G191" s="15" t="str">
        <f t="shared" si="13"/>
        <v/>
      </c>
      <c r="H191" s="77">
        <v>0</v>
      </c>
      <c r="I191" s="16">
        <f t="shared" si="14"/>
        <v>880286</v>
      </c>
      <c r="J191" s="15" t="str">
        <f t="shared" si="15"/>
        <v/>
      </c>
      <c r="K191" s="38" t="s">
        <v>749</v>
      </c>
      <c r="L191" s="129" t="s">
        <v>750</v>
      </c>
      <c r="M191" s="116"/>
      <c r="N191" s="116"/>
      <c r="O191" s="116"/>
      <c r="P191" s="116"/>
      <c r="Q191" s="116"/>
    </row>
    <row r="192" spans="1:17" ht="100.5" customHeight="1">
      <c r="A192" s="24" t="str">
        <v>Barone</v>
      </c>
      <c r="B192" s="25" t="str">
        <v>NY</v>
      </c>
      <c r="C192" s="25" t="str">
        <f>Sites[[#This Row],[SOL'#]]</f>
        <v>SOL-11034</v>
      </c>
      <c r="D192" s="60">
        <v>469114</v>
      </c>
      <c r="E192" s="10">
        <v>0</v>
      </c>
      <c r="F192" s="10">
        <f t="shared" si="12"/>
        <v>469114</v>
      </c>
      <c r="G192" s="11" t="str">
        <f t="shared" si="13"/>
        <v/>
      </c>
      <c r="H192" s="75">
        <v>519583</v>
      </c>
      <c r="I192" s="12">
        <f t="shared" si="14"/>
        <v>-50469</v>
      </c>
      <c r="J192" s="13">
        <f t="shared" si="15"/>
        <v>-9.7133662956640235E-2</v>
      </c>
      <c r="K192" s="63" t="s">
        <v>751</v>
      </c>
      <c r="L192" s="124" t="s">
        <v>752</v>
      </c>
      <c r="M192" s="115" t="s">
        <v>753</v>
      </c>
      <c r="N192" s="115" t="s">
        <v>754</v>
      </c>
      <c r="O192" s="116"/>
      <c r="P192" s="116"/>
      <c r="Q192" s="116"/>
    </row>
    <row r="193" spans="1:17" ht="15.6">
      <c r="A193" s="26" t="str">
        <v>Cedarville</v>
      </c>
      <c r="B193" s="27" t="str">
        <v>IL</v>
      </c>
      <c r="C193" s="27" t="str">
        <f>Sites[[#This Row],[SOL'#]]</f>
        <v>SOL-11069</v>
      </c>
      <c r="D193" s="74">
        <v>355589</v>
      </c>
      <c r="E193" s="14">
        <v>362281.6</v>
      </c>
      <c r="F193" s="14">
        <f t="shared" si="12"/>
        <v>-6692.5999999999767</v>
      </c>
      <c r="G193" s="15">
        <f t="shared" si="13"/>
        <v>-1.847347477763148E-2</v>
      </c>
      <c r="H193" s="77">
        <v>365444</v>
      </c>
      <c r="I193" s="16">
        <f t="shared" si="14"/>
        <v>-9855</v>
      </c>
      <c r="J193" s="15">
        <f t="shared" si="15"/>
        <v>-2.696719606834426E-2</v>
      </c>
      <c r="K193" s="38"/>
      <c r="L193" s="17"/>
      <c r="M193" s="116"/>
      <c r="N193" s="116"/>
      <c r="O193" s="116"/>
      <c r="P193" s="116"/>
      <c r="Q193" s="116"/>
    </row>
    <row r="194" spans="1:17" ht="57.6">
      <c r="A194" s="24" t="str">
        <v xml:space="preserve"> O'Brien Hill #1</v>
      </c>
      <c r="B194" s="25" t="str">
        <v>NY</v>
      </c>
      <c r="C194" s="25" t="str">
        <f>Sites[[#This Row],[SOL'#]]</f>
        <v>SOL-11098</v>
      </c>
      <c r="D194" s="60">
        <v>67337</v>
      </c>
      <c r="E194" s="10">
        <v>0</v>
      </c>
      <c r="F194" s="10">
        <f t="shared" si="12"/>
        <v>67337</v>
      </c>
      <c r="G194" s="11" t="str">
        <f t="shared" si="13"/>
        <v/>
      </c>
      <c r="H194" s="75">
        <v>0</v>
      </c>
      <c r="I194" s="12">
        <f t="shared" si="14"/>
        <v>67337</v>
      </c>
      <c r="J194" s="13" t="str">
        <f t="shared" si="15"/>
        <v/>
      </c>
      <c r="K194" s="63" t="s">
        <v>755</v>
      </c>
      <c r="L194" s="124" t="s">
        <v>756</v>
      </c>
      <c r="M194" s="115" t="s">
        <v>757</v>
      </c>
      <c r="N194" s="115" t="s">
        <v>758</v>
      </c>
      <c r="O194" s="116"/>
      <c r="P194" s="116"/>
      <c r="Q194" s="116"/>
    </row>
    <row r="195" spans="1:17" ht="57.6">
      <c r="A195" s="26" t="str">
        <v xml:space="preserve"> O'Brien Hill #2</v>
      </c>
      <c r="B195" s="27" t="str">
        <v>NY</v>
      </c>
      <c r="C195" s="27" t="str">
        <f>Sites[[#This Row],[SOL'#]]</f>
        <v>SOL-11099</v>
      </c>
      <c r="D195" s="74">
        <v>126051</v>
      </c>
      <c r="E195" s="14">
        <v>0</v>
      </c>
      <c r="F195" s="14">
        <f t="shared" si="12"/>
        <v>126051</v>
      </c>
      <c r="G195" s="15" t="str">
        <f t="shared" si="13"/>
        <v/>
      </c>
      <c r="H195" s="77">
        <v>0</v>
      </c>
      <c r="I195" s="16">
        <f t="shared" si="14"/>
        <v>126051</v>
      </c>
      <c r="J195" s="15" t="str">
        <f t="shared" si="15"/>
        <v/>
      </c>
      <c r="K195" s="38" t="s">
        <v>759</v>
      </c>
      <c r="L195" s="129" t="s">
        <v>760</v>
      </c>
      <c r="M195" s="116"/>
      <c r="N195" s="116"/>
      <c r="O195" s="116"/>
      <c r="P195" s="116"/>
      <c r="Q195" s="116"/>
    </row>
    <row r="196" spans="1:17" ht="15.6">
      <c r="A196" s="24" t="str">
        <v>Trinity - Freeport</v>
      </c>
      <c r="B196" s="25" t="str">
        <v>IL</v>
      </c>
      <c r="C196" s="25" t="str">
        <f>Sites[[#This Row],[SOL'#]]</f>
        <v>SOL-11057</v>
      </c>
      <c r="D196" s="60">
        <v>380764</v>
      </c>
      <c r="E196" s="10">
        <v>262931.7</v>
      </c>
      <c r="F196" s="10">
        <f t="shared" si="12"/>
        <v>117832.29999999999</v>
      </c>
      <c r="G196" s="11">
        <f t="shared" si="13"/>
        <v>0.44814794108127692</v>
      </c>
      <c r="H196" s="75">
        <v>0</v>
      </c>
      <c r="I196" s="12">
        <f t="shared" si="14"/>
        <v>380764</v>
      </c>
      <c r="J196" s="13" t="str">
        <f t="shared" si="15"/>
        <v/>
      </c>
      <c r="K196" s="63" t="s">
        <v>761</v>
      </c>
      <c r="L196" s="124" t="s">
        <v>762</v>
      </c>
      <c r="M196" s="116"/>
      <c r="N196" s="116"/>
      <c r="O196" s="116"/>
      <c r="P196" s="116"/>
      <c r="Q196" s="116"/>
    </row>
    <row r="197" spans="1:17" ht="86.45">
      <c r="A197" s="26" t="str">
        <v>Ransom</v>
      </c>
      <c r="B197" s="27" t="str">
        <v>NY</v>
      </c>
      <c r="C197" s="27" t="str">
        <f>Sites[[#This Row],[SOL'#]]</f>
        <v>SOL-11157</v>
      </c>
      <c r="D197" s="74">
        <v>573181.69999999995</v>
      </c>
      <c r="E197" s="14">
        <v>0</v>
      </c>
      <c r="F197" s="14">
        <f t="shared" si="12"/>
        <v>573181.69999999995</v>
      </c>
      <c r="G197" s="15" t="str">
        <f t="shared" si="13"/>
        <v/>
      </c>
      <c r="H197" s="77">
        <v>0</v>
      </c>
      <c r="I197" s="16">
        <f t="shared" si="14"/>
        <v>573181.69999999995</v>
      </c>
      <c r="J197" s="15" t="str">
        <f t="shared" si="15"/>
        <v/>
      </c>
      <c r="K197" s="38" t="s">
        <v>763</v>
      </c>
      <c r="L197" s="139" t="s">
        <v>764</v>
      </c>
      <c r="M197" s="115" t="s">
        <v>765</v>
      </c>
      <c r="N197" s="116"/>
      <c r="O197" s="116"/>
      <c r="P197" s="116"/>
      <c r="Q197" s="116"/>
    </row>
    <row r="198" spans="1:17" ht="28.9">
      <c r="A198" s="24" t="str">
        <v>Horseheads - Wedge</v>
      </c>
      <c r="B198" s="25" t="str">
        <v>NY</v>
      </c>
      <c r="C198" s="25" t="str">
        <f>Sites[[#This Row],[SOL'#]]</f>
        <v>SOL-11160</v>
      </c>
      <c r="D198" s="60">
        <v>351172</v>
      </c>
      <c r="E198" s="10">
        <v>0</v>
      </c>
      <c r="F198" s="10">
        <f t="shared" si="12"/>
        <v>351172</v>
      </c>
      <c r="G198" s="11" t="str">
        <f t="shared" si="13"/>
        <v/>
      </c>
      <c r="H198" s="75">
        <v>0</v>
      </c>
      <c r="I198" s="12">
        <f t="shared" si="14"/>
        <v>351172</v>
      </c>
      <c r="J198" s="13" t="str">
        <f t="shared" si="15"/>
        <v/>
      </c>
      <c r="K198" s="63" t="s">
        <v>766</v>
      </c>
      <c r="L198" s="124" t="s">
        <v>767</v>
      </c>
      <c r="M198" s="115" t="s">
        <v>768</v>
      </c>
      <c r="N198" s="116"/>
      <c r="O198" s="116"/>
      <c r="P198" s="116"/>
      <c r="Q198" s="116"/>
    </row>
    <row r="199" spans="1:17" ht="43.15">
      <c r="A199" s="26" t="str">
        <v>Otisville - Shoddy Hollow</v>
      </c>
      <c r="B199" s="27" t="str">
        <v>NY</v>
      </c>
      <c r="C199" s="27" t="str">
        <f>Sites[[#This Row],[SOL'#]]</f>
        <v>SOL-11185</v>
      </c>
      <c r="D199" s="74">
        <v>770722.7</v>
      </c>
      <c r="E199" s="14">
        <v>0</v>
      </c>
      <c r="F199" s="14">
        <f t="shared" si="12"/>
        <v>770722.7</v>
      </c>
      <c r="G199" s="15" t="str">
        <f t="shared" si="13"/>
        <v/>
      </c>
      <c r="H199" s="77">
        <v>0</v>
      </c>
      <c r="I199" s="16">
        <f t="shared" si="14"/>
        <v>770722.7</v>
      </c>
      <c r="J199" s="15" t="str">
        <f t="shared" si="15"/>
        <v/>
      </c>
      <c r="K199" s="38" t="s">
        <v>769</v>
      </c>
      <c r="L199" s="139" t="s">
        <v>770</v>
      </c>
      <c r="M199" s="116"/>
      <c r="N199" s="116"/>
      <c r="O199" s="116"/>
      <c r="P199" s="116"/>
      <c r="Q199" s="116"/>
    </row>
    <row r="200" spans="1:17" ht="15.6">
      <c r="A200" s="24" t="str">
        <v>Wellsville - Chenunda Creek</v>
      </c>
      <c r="B200" s="25" t="str">
        <v>NY</v>
      </c>
      <c r="C200" s="25" t="str">
        <f>Sites[[#This Row],[SOL'#]]</f>
        <v>SOL-11187</v>
      </c>
      <c r="D200" s="60">
        <v>367949.8</v>
      </c>
      <c r="E200" s="10">
        <v>0</v>
      </c>
      <c r="F200" s="10">
        <f t="shared" si="12"/>
        <v>367949.8</v>
      </c>
      <c r="G200" s="11" t="str">
        <f t="shared" si="13"/>
        <v/>
      </c>
      <c r="H200" s="75">
        <v>0</v>
      </c>
      <c r="I200" s="12">
        <f t="shared" si="14"/>
        <v>367949.8</v>
      </c>
      <c r="J200" s="13" t="str">
        <f t="shared" si="15"/>
        <v/>
      </c>
      <c r="K200" s="63" t="s">
        <v>771</v>
      </c>
      <c r="L200" s="124" t="s">
        <v>772</v>
      </c>
      <c r="M200" s="116"/>
      <c r="N200" s="116"/>
      <c r="O200" s="116"/>
      <c r="P200" s="116"/>
      <c r="Q200" s="116"/>
    </row>
  </sheetData>
  <mergeCells count="4">
    <mergeCell ref="H1:J1"/>
    <mergeCell ref="A1:D1"/>
    <mergeCell ref="E1:G1"/>
    <mergeCell ref="A2:B2"/>
  </mergeCells>
  <phoneticPr fontId="40" type="noConversion"/>
  <conditionalFormatting sqref="G2 J2">
    <cfRule type="cellIs" dxfId="48" priority="35" stopIfTrue="1" operator="lessThanOrEqual">
      <formula>-0.1</formula>
    </cfRule>
    <cfRule type="expression" dxfId="47" priority="36">
      <formula>AND(ISNUMBER(G2), G2&gt;=0.1)</formula>
    </cfRule>
  </conditionalFormatting>
  <conditionalFormatting sqref="G4:G200 J4:J200">
    <cfRule type="cellIs" dxfId="46" priority="1" stopIfTrue="1" operator="lessThanOrEqual">
      <formula>-0.1</formula>
    </cfRule>
    <cfRule type="expression" dxfId="45" priority="2">
      <formula>AND(ISNUMBER(G4), G4&gt;=0.1)</formula>
    </cfRule>
  </conditionalFormatting>
  <hyperlinks>
    <hyperlink ref="L10" r:id="rId1" display="https://us3.assetplanner.com/service_request?ID=094057" xr:uid="{4CB5BA8D-C70F-4AAA-85D5-4B9E549C4CBA}"/>
    <hyperlink ref="L12" r:id="rId2" display="https://us3.assetplanner.com/service_request?ID=098069" xr:uid="{86D2D9BE-1918-4F64-A5D7-937AA8F144FD}"/>
    <hyperlink ref="M12" r:id="rId3" display="https://us3.assetplanner.com/service_request?ID=098310" xr:uid="{C802AFB9-306C-4958-94F9-F24C819B6E62}"/>
    <hyperlink ref="N12" r:id="rId4" display="https://us3.assetplanner.com/service_request?ID=099126" xr:uid="{056E213D-A891-4DAD-9769-63C05A6E7D29}"/>
    <hyperlink ref="L14" r:id="rId5" display="https://us3.assetplanner.com/service_request?ID=092556" xr:uid="{605F76EF-0630-43B7-BC9E-9881B9E50C98}"/>
    <hyperlink ref="L15" r:id="rId6" display="https://us3.assetplanner.com/service_request?ID=098780" xr:uid="{2F046AFF-B05A-46E0-ADE2-B739BBDFB758}"/>
    <hyperlink ref="L16" r:id="rId7" display="https://us3.assetplanner.com/service_request?ID=093028" xr:uid="{6BF7E880-A383-44BD-9127-5AD0A4FE5435}"/>
    <hyperlink ref="L17" r:id="rId8" display="https://us3.assetplanner.com/service_request?ID=091894" xr:uid="{35A1A37D-DBA9-42D2-848D-E74C5133A7C1}"/>
    <hyperlink ref="M17" r:id="rId9" display="https://us3.assetplanner.com/service_request?ID=093029" xr:uid="{10FB408A-B5A2-4D39-9BCC-96CA65ECB296}"/>
    <hyperlink ref="N17" r:id="rId10" display="https://us3.assetplanner.com/service_request?ID=093029" xr:uid="{2023161D-2824-4F26-9D95-42CF721CD03C}"/>
    <hyperlink ref="L19" r:id="rId11" display="https://us3.assetplanner.com/service_request?ID=097910" xr:uid="{83F1B718-76D7-41F6-AE9A-B7CE8F68E781}"/>
    <hyperlink ref="M19" r:id="rId12" display="https://us3.assetplanner.com/service_request?ID=093047" xr:uid="{77681DF6-2BDB-461F-9F96-A412C314B40F}"/>
    <hyperlink ref="L23" r:id="rId13" display="https://us3.assetplanner.com/service_request?ID=098810" xr:uid="{98A1365D-C7E8-47D7-BA04-843DC88B5B32}"/>
    <hyperlink ref="L24" r:id="rId14" display="https://us3.assetplanner.com/service_request?ID=097569" xr:uid="{155031D0-4A83-4E2D-80C8-88F93BD0EC65}"/>
    <hyperlink ref="L25" r:id="rId15" display="https://us3.assetplanner.com/service_request?ID=093291" xr:uid="{2FC4CBA4-B4A3-4A69-BC46-E22F8EAC5521}"/>
    <hyperlink ref="L29" r:id="rId16" display="https://us3.assetplanner.com/service_request?ID=093633" xr:uid="{48A93FB6-8B3B-4677-B38E-EFAAC9840B43}"/>
    <hyperlink ref="L31" r:id="rId17" display="https://us3.assetplanner.com/service_request?ID=086842" xr:uid="{CD9B2B2D-255C-4EDE-9FFC-0D059DF6D7D6}"/>
    <hyperlink ref="M31" r:id="rId18" display="https://us3.assetplanner.com/service_request?ID=093294" xr:uid="{D07BB9A8-0199-4C39-8690-610C06191364}"/>
    <hyperlink ref="N31" r:id="rId19" display="https://us3.assetplanner.com/service_request?ID=098958" xr:uid="{CECDB9D2-2E5A-4CE4-8CFF-97F7A488E438}"/>
    <hyperlink ref="L33" r:id="rId20" display="https://us3.assetplanner.com/service_request?ID=098114" xr:uid="{17850673-0979-40E2-8B74-DE516B00135F}"/>
    <hyperlink ref="M33" r:id="rId21" display="https://us3.assetplanner.com/service_request?ID=099228" xr:uid="{957FA365-76D0-4B77-84F2-8D7F329CB347}"/>
    <hyperlink ref="L37" r:id="rId22" display="https://us3.assetplanner.com/service_request?ID=093196" xr:uid="{7155EF5D-CEE9-4FC0-8AA2-FE3B239BFF4A}"/>
    <hyperlink ref="L43" r:id="rId23" display="https://us3.assetplanner.com/service_request?ID=099136" xr:uid="{E91F8A3F-25BA-454F-A02A-D1AC8EF27835}"/>
    <hyperlink ref="M43" r:id="rId24" display="https://us3.assetplanner.com/service_request?ID=099136" xr:uid="{50115042-A6B6-4ED7-9B42-580CF39BC150}"/>
    <hyperlink ref="L45" r:id="rId25" display="https://us3.assetplanner.com/service_request?ID=098734" xr:uid="{BEE6F746-1370-40D2-B9D5-334E58DEA20C}"/>
    <hyperlink ref="M45" r:id="rId26" display="https://us3.assetplanner.com/service_request?ID=098981" xr:uid="{DC4B06B0-93C0-45BC-BAC2-7E78A122B686}"/>
    <hyperlink ref="L52" r:id="rId27" display="https://us3.assetplanner.com/service_request?ID=096202" xr:uid="{AB8ACEF4-74CF-4549-A935-80D9F587C7E7}"/>
    <hyperlink ref="M52" r:id="rId28" display="https://us3.assetplanner.com/service_request?ID=098365" xr:uid="{6A3161EB-0D67-4C44-8114-5E9B2AC0C2FC}"/>
    <hyperlink ref="L58" r:id="rId29" display="https://us3.assetplanner.com/service_request?ID=098781" xr:uid="{A235A07C-87E1-4BB4-ADFC-E63577FA37C6}"/>
    <hyperlink ref="M58" r:id="rId30" display="https://us3.assetplanner.com/service_request?ID=098781" xr:uid="{7F7E2E03-3B2C-4F0C-A5CE-A2883086C029}"/>
    <hyperlink ref="N58" r:id="rId31" display="https://us3.assetplanner.com/service_request?ID=098905" xr:uid="{DB5AC7EA-B788-48FA-A153-3DC03A8D985D}"/>
    <hyperlink ref="L59" r:id="rId32" display="https://us3.assetplanner.com/service_request?ID=098312" xr:uid="{B0ED38D4-4F47-45E7-93C4-F68346236366}"/>
    <hyperlink ref="M59" r:id="rId33" display="https://us3.assetplanner.com/service_request?ID=099139" xr:uid="{4460C8E9-6615-4AC6-BD3A-20B185CF38ED}"/>
    <hyperlink ref="L60" r:id="rId34" display="https://us3.assetplanner.com/service_request?ID=093326" xr:uid="{C1226E7E-C5E4-4E28-831C-0D6BACE4BC8B}"/>
    <hyperlink ref="L69" r:id="rId35" display="https://us3.assetplanner.com/service_request?ID=099036" xr:uid="{34623853-C7C6-40DE-9D33-8A0596845430}"/>
    <hyperlink ref="L71" r:id="rId36" display="https://us3.assetplanner.com/service_request?ID=098313" xr:uid="{5CFE7FA9-68BF-4A3E-AD17-0FEDCBF649A3}"/>
    <hyperlink ref="L73" r:id="rId37" display="https://us3.assetplanner.com/service_request?ID=099002" xr:uid="{47E09372-28E3-4FF5-AD27-73A8C446240A}"/>
    <hyperlink ref="L74" r:id="rId38" display="https://us3.assetplanner.com/service_request?ID=098155" xr:uid="{327768C9-AE89-401F-AB78-2AE456B06258}"/>
    <hyperlink ref="M74" r:id="rId39" display="https://us3.assetplanner.com/service_request?ID=098987" xr:uid="{819CC397-2AD6-485A-9C34-3B24051E4C97}"/>
    <hyperlink ref="L75" r:id="rId40" display="https://us3.assetplanner.com/service_request?ID=099130" xr:uid="{2974CEE5-7CD8-4235-9933-2ADA972221E4}"/>
    <hyperlink ref="M75" r:id="rId41" display="https://us3.assetplanner.com/service_request?ID=098641" xr:uid="{22F3703E-51CD-4C8C-B3DE-919C62CFC407}"/>
    <hyperlink ref="L76" r:id="rId42" display="https://us3.assetplanner.com/service_request?ID=098279" xr:uid="{1470B8C8-DD70-4C7E-9A5B-644FCCEE8C9C}"/>
    <hyperlink ref="M76" r:id="rId43" display="https://us3.assetplanner.com/service_request?ID=098699" xr:uid="{6D918256-287F-4188-8DB5-A6491C9D0EC0}"/>
    <hyperlink ref="N76" r:id="rId44" display="https://us3.assetplanner.com/service_request?ID=098853" xr:uid="{C7163650-E2B4-4D19-9B1F-D55DBA2B7CCE}"/>
    <hyperlink ref="O76" r:id="rId45" display="https://us3.assetplanner.com/service_request?ID=098892" xr:uid="{2770134F-93F4-4D83-B126-20066F025FDD}"/>
    <hyperlink ref="L78" r:id="rId46" display="https://us3.assetplanner.com/service_request?ID=099149" xr:uid="{C8E25F58-DB47-447A-BD06-31E98ED05ECB}"/>
    <hyperlink ref="L79" r:id="rId47" display="https://us3.assetplanner.com/service_request?ID=093972" xr:uid="{1D751DEB-8D13-4122-94A6-95929A02DE75}"/>
    <hyperlink ref="M79" r:id="rId48" display="https://us3.assetplanner.com/service_request?ID=098708" xr:uid="{524AF5C2-A784-4CF0-8E59-C02FF0D6D03D}"/>
    <hyperlink ref="N79" r:id="rId49" display="https://us3.assetplanner.com/service_request?ID=098708" xr:uid="{DBC5DF69-31C0-45F7-8E53-BD816CAECF56}"/>
    <hyperlink ref="L80" r:id="rId50" display="https://us3.assetplanner.com/service_request?ID=098869" xr:uid="{9F99A80D-164A-4237-9DD0-B73A11B4BDDF}"/>
    <hyperlink ref="L83" r:id="rId51" display="https://us3.assetplanner.com/service_request?ID=093024" xr:uid="{5B616F51-3803-4B9A-95C2-761E0A171331}"/>
    <hyperlink ref="M83" r:id="rId52" display="https://us3.assetplanner.com/service_request?ID=098551" xr:uid="{06C8252F-566E-40D3-9604-CF4301111BBE}"/>
    <hyperlink ref="L86" r:id="rId53" display="https://us3.assetplanner.com/service_request?ID=096004" xr:uid="{63EE2B76-1D5D-4BB6-BFF7-01DF188BC97C}"/>
    <hyperlink ref="M86" r:id="rId54" display="https://us3.assetplanner.com/service_request?ID=098071" xr:uid="{4A019858-96AD-47DF-9A0C-71C2DD85F344}"/>
    <hyperlink ref="N86" r:id="rId55" display="https://us3.assetplanner.com/service_request?ID=094278" xr:uid="{21FF2833-018B-4EEF-9432-6D73DD50F4FB}"/>
    <hyperlink ref="O86" r:id="rId56" display="https://us3.assetplanner.com/service_request?ID=098510" xr:uid="{D598FD39-BB9F-4E49-B284-F7863D3DCBEC}"/>
    <hyperlink ref="P86" r:id="rId57" display="https://us3.assetplanner.com/service_request?ID=098510" xr:uid="{C4EF176A-BB68-49A9-8C9B-1C1DAA34B0F1}"/>
    <hyperlink ref="Q86" r:id="rId58" display="https://us3.assetplanner.com/service_request?ID=098998" xr:uid="{384C677F-C437-41C9-B9D1-4C37CFFB9E18}"/>
    <hyperlink ref="L87" r:id="rId59" display="https://us3.assetplanner.com/service_request?ID=098500" xr:uid="{7825F62A-A88B-4B64-B8B0-F704BA6A8C43}"/>
    <hyperlink ref="L88" r:id="rId60" display="https://us3.assetplanner.com/service_request?ID=092964" xr:uid="{09549A2D-788F-4B3F-A00F-CB50ECD49038}"/>
    <hyperlink ref="M88" r:id="rId61" display="https://us3.assetplanner.com/service_request?ID=097603" xr:uid="{5142A14C-253C-4FB1-A120-89DD55E2610B}"/>
    <hyperlink ref="N88" r:id="rId62" display="https://us3.assetplanner.com/service_request?ID=095253" xr:uid="{8C83EC2E-C5FE-4248-A503-4C4E54EE96CB}"/>
    <hyperlink ref="O88" r:id="rId63" display="https://us3.assetplanner.com/service_request?ID=098558" xr:uid="{A0CF4F33-12EC-42D7-A32C-F978F8D5C1D9}"/>
    <hyperlink ref="P88" r:id="rId64" display="https://us3.assetplanner.com/service_request?ID=099047" xr:uid="{5A9E9905-FF88-4E1D-A8CB-AD9450C91B00}"/>
    <hyperlink ref="Q88" r:id="rId65" display="https://us3.assetplanner.com/service_request?ID=099053" xr:uid="{A76EB5D9-7825-45B6-B282-C69CF6193331}"/>
    <hyperlink ref="L90" r:id="rId66" display="https://us3.assetplanner.com/service_request?ID=096238" xr:uid="{BAF310E9-9AE4-4C34-B6C5-0DEF76EBA14D}"/>
    <hyperlink ref="M90" r:id="rId67" display="https://us3.assetplanner.com/service_request?ID=097926" xr:uid="{C499832E-C686-48CD-BBA6-6ECC9C05E603}"/>
    <hyperlink ref="N90" r:id="rId68" display="https://us3.assetplanner.com/service_request?ID=098992" xr:uid="{B0BA06A8-B38A-42A2-8611-F19EB0DFA376}"/>
    <hyperlink ref="L91" r:id="rId69" display="https://us3.assetplanner.com/service_request?ID=097930" xr:uid="{1E90A012-9E02-496F-B95B-938713164F84}"/>
    <hyperlink ref="M91" r:id="rId70" display="https://us3.assetplanner.com/service_request?ID=098005" xr:uid="{C1EE0ADF-42C0-4B4D-BEAA-F51703B5AFD7}"/>
    <hyperlink ref="N91" r:id="rId71" display="https://us3.assetplanner.com/service_request?ID=093436" xr:uid="{BE37EEB3-E9C8-4893-9DBB-ED1734EF1DE4}"/>
    <hyperlink ref="O91" r:id="rId72" display="https://us3.assetplanner.com/service_request?ID=098295" xr:uid="{CD9E5339-832D-4B0B-ABC2-86D2585B42CE}"/>
    <hyperlink ref="P91" r:id="rId73" display="https://us3.assetplanner.com/service_request?ID=098354" xr:uid="{46FDAA50-ECE7-4381-8611-42342261BFDF}"/>
    <hyperlink ref="Q91" r:id="rId74" display="https://us3.assetplanner.com/service_request?ID=098414" xr:uid="{7697F983-619F-4F98-B1A0-873B8392440F}"/>
    <hyperlink ref="R91" r:id="rId75" display="https://us3.assetplanner.com/service_request?ID=098415" xr:uid="{7A1E193A-BF1B-48D6-ACC9-94247287028D}"/>
    <hyperlink ref="S91" r:id="rId76" display="https://us3.assetplanner.com/service_request?ID=098594" xr:uid="{EEADDCD6-EA20-4596-AF2C-369655F36EA1}"/>
    <hyperlink ref="T91" r:id="rId77" display="https://us3.assetplanner.com/service_request?ID=098779" xr:uid="{5FF14E2E-F774-4DD6-87F2-602DF01B1AD7}"/>
    <hyperlink ref="U91" r:id="rId78" display="https://us3.assetplanner.com/service_request?ID=098902" xr:uid="{8CDED041-EE62-4DB7-BB47-4EA0838E39B7}"/>
    <hyperlink ref="L92" r:id="rId79" display="https://us3.assetplanner.com/service_request?ID=097883" xr:uid="{1EE49EF7-0CE5-4C46-A64E-07973216538C}"/>
    <hyperlink ref="M92" r:id="rId80" display="https://us3.assetplanner.com/service_request?ID=098644" xr:uid="{16C3CB37-DC37-47EE-B5AE-1AAC861F6BC5}"/>
    <hyperlink ref="N92" r:id="rId81" display="https://us3.assetplanner.com/service_request?ID=098891" xr:uid="{84868EA8-CBB9-452F-8884-9A7A4F7AD301}"/>
    <hyperlink ref="O92" r:id="rId82" display="https://us3.assetplanner.com/service_request?ID=099054" xr:uid="{B3F1C2B1-EFB4-4019-A86C-9635CC50BF0D}"/>
    <hyperlink ref="P92" r:id="rId83" display="https://us3.assetplanner.com/service_request?ID=099129" xr:uid="{06401C3F-5AAA-476E-8FE6-6E1CBB0A2201}"/>
    <hyperlink ref="L93" r:id="rId84" display="https://us3.assetplanner.com/service_request?ID=098570" xr:uid="{B7DD82FE-7F50-44B9-B3D1-5E388AD10E1A}"/>
    <hyperlink ref="L96" r:id="rId85" display="https://us3.assetplanner.com/service_request?ID=097526" xr:uid="{73584330-C925-4ED1-8E31-35ABEEB5495F}"/>
    <hyperlink ref="M96" r:id="rId86" display="https://us3.assetplanner.com/service_request?ID=098462" xr:uid="{EF0C271A-EF51-4A8C-83E4-2DADB7E5D5E4}"/>
    <hyperlink ref="L99" r:id="rId87" display="https://us3.assetplanner.com/service_request?ID=098994" xr:uid="{27D17D85-D17A-4E6B-A846-29CFCE6AD387}"/>
    <hyperlink ref="M99" r:id="rId88" display="https://us3.assetplanner.com/service_request?ID=098630" xr:uid="{3066306A-14C7-4763-BB26-2F643BBC1D04}"/>
    <hyperlink ref="L100" r:id="rId89" display="https://us3.assetplanner.com/service_request?ID=098222" xr:uid="{E5B5F784-BB0C-4E89-AD1F-7148BB6E5B3F}"/>
    <hyperlink ref="M100" r:id="rId90" display="https://us3.assetplanner.com/service_request?ID=098632" xr:uid="{30865713-C3BA-4A1B-A180-BD84AE6CA995}"/>
    <hyperlink ref="N100" r:id="rId91" display="https://us3.assetplanner.com/service_request?ID=098995" xr:uid="{7C18664B-752F-4F37-A0EE-34FC9BA5A65A}"/>
    <hyperlink ref="L101" r:id="rId92" display="https://us3.assetplanner.com/service_request?ID=098731" xr:uid="{AD2AD401-8FF4-4135-90D9-C5DA245E792E}"/>
    <hyperlink ref="L102" r:id="rId93" display="https://us3.assetplanner.com/service_request?ID=095109" xr:uid="{8C6EDA8A-BB63-4781-A64B-4A0F54FC3821}"/>
    <hyperlink ref="M102" r:id="rId94" display="https://us3.assetplanner.com/service_request?ID=098366" xr:uid="{B432A7CC-829C-454D-B621-734A6129FBE7}"/>
    <hyperlink ref="L103" r:id="rId95" display="https://us3.assetplanner.com/service_request?ID=098629" xr:uid="{C8891FE3-2027-4CCB-93A3-00F66E267839}"/>
    <hyperlink ref="M103" r:id="rId96" display="https://us3.assetplanner.com/service_request?ID=098996" xr:uid="{59D4357A-8E06-4CBA-8F72-29FED808D232}"/>
    <hyperlink ref="L104" r:id="rId97" display="https://us3.assetplanner.com/service_request?ID=098631" xr:uid="{4517D46D-6E53-4DED-A56C-DC0558BCA5CC}"/>
    <hyperlink ref="M104" r:id="rId98" display="https://us3.assetplanner.com/service_request?ID=098997" xr:uid="{B2F6743A-63F3-4C80-9131-7262CBD74B6B}"/>
    <hyperlink ref="L105" r:id="rId99" display="https://us3.assetplanner.com/service_request?ID=097854" xr:uid="{0BB54DD5-53DF-42C5-A50B-3F913768B25A}"/>
    <hyperlink ref="M105" r:id="rId100" display="https://us3.assetplanner.com/service_request?ID=098349" xr:uid="{AFDC4694-AAE8-451F-8DFA-5D9652BE05E4}"/>
    <hyperlink ref="N105" r:id="rId101" display="https://us3.assetplanner.com/service_request?ID=098635" xr:uid="{344B2587-1F06-412F-A71B-4C5F5DA6599F}"/>
    <hyperlink ref="L106" r:id="rId102" display="https://us3.assetplanner.com/service_request?ID=098636" xr:uid="{FF82276C-2D73-474D-872C-E0A809BA4B55}"/>
    <hyperlink ref="L107" r:id="rId103" display="https://us3.assetplanner.com/service_request?ID=097829" xr:uid="{43FDB32E-1B35-4479-BFD2-21B8B452A6DD}"/>
    <hyperlink ref="M107" r:id="rId104" display="https://us3.assetplanner.com/service_request?ID=098637" xr:uid="{488B996B-24A1-44DC-950C-7202613B6685}"/>
    <hyperlink ref="L108" r:id="rId105" display="https://us3.assetplanner.com/service_request?ID=098643" xr:uid="{00D2159D-EDB2-4BDB-B9B4-C1DA02BACA01}"/>
    <hyperlink ref="M108" r:id="rId106" display="https://us3.assetplanner.com/service_request?ID=098841" xr:uid="{C928AC06-AE97-42C2-82EE-4B14975C2963}"/>
    <hyperlink ref="L111" r:id="rId107" display="https://us3.assetplanner.com/service_request?ID=098930" xr:uid="{A6A3C136-371C-44C8-9988-8A4DAF7655E6}"/>
    <hyperlink ref="L112" r:id="rId108" display="https://us3.assetplanner.com/service_request?ID=095073" xr:uid="{0ACF914F-4FC0-4545-A525-1E04DB587667}"/>
    <hyperlink ref="L113" r:id="rId109" display="https://us3.assetplanner.com/service_request?ID=099072" xr:uid="{9B350393-0BA0-4D82-83F4-3BB2547DA6B5}"/>
    <hyperlink ref="L119" r:id="rId110" display="https://us3.assetplanner.com/service_request?ID=091182" xr:uid="{3C9B8128-1CFC-47B0-A01D-8A790B45471B}"/>
    <hyperlink ref="L120" r:id="rId111" display="https://us3.assetplanner.com/service_request?ID=097740" xr:uid="{3AABA76D-9241-4B56-8AB6-EBE7EAD5DCCF}"/>
    <hyperlink ref="M120" r:id="rId112" display="https://us3.assetplanner.com/service_request?ID=087641" xr:uid="{D2D2EA56-A716-4AFE-8542-530543668F17}"/>
    <hyperlink ref="L121" r:id="rId113" display="https://us3.assetplanner.com/service_request?ID=098317" xr:uid="{170E993E-F477-4C73-B653-9D3F2F83E5C0}"/>
    <hyperlink ref="M121" r:id="rId114" display="https://us3.assetplanner.com/service_request?ID=095581" xr:uid="{5C304E66-321E-409C-9EE5-B42991CF54A0}"/>
    <hyperlink ref="N121" r:id="rId115" display="https://us3.assetplanner.com/service_request?ID=099162" xr:uid="{80FE2580-594B-4D1D-9DE1-290D20E4DAF2}"/>
    <hyperlink ref="L125" r:id="rId116" display="https://us3.assetplanner.com/service_request?ID=093354" xr:uid="{4386F403-E6BE-4E1F-9461-4F0478CFCDCF}"/>
    <hyperlink ref="M125" r:id="rId117" display="https://us3.assetplanner.com/service_request?ID=098436" xr:uid="{0920610A-B11C-4A61-AA86-18446128C5E3}"/>
    <hyperlink ref="L126" r:id="rId118" display="https://us3.assetplanner.com/service_request?ID=092332" xr:uid="{CA177EE5-7DD8-48F2-B50B-3390D69DDCDC}"/>
    <hyperlink ref="M126" r:id="rId119" display="https://us3.assetplanner.com/service_request?ID=095649" xr:uid="{F00EB2DA-0A3D-447A-B64D-3FB219CD2B16}"/>
    <hyperlink ref="N126" r:id="rId120" display="https://us3.assetplanner.com/service_request?ID=098883" xr:uid="{14D66EED-41EE-4EB5-9594-69CA3D0D5F89}"/>
    <hyperlink ref="O126" r:id="rId121" display="https://us3.assetplanner.com/service_request?ID=098311" xr:uid="{A707725B-5763-40D2-AD30-41903E58D060}"/>
    <hyperlink ref="L127" r:id="rId122" display="https://us3.assetplanner.com/service_request?ID=088869" xr:uid="{B5399449-E2E7-4040-BC0E-22D5889552D3}"/>
    <hyperlink ref="M127" r:id="rId123" display="https://us3.assetplanner.com/service_request?ID=092209" xr:uid="{39F35A11-6B52-47F8-8BA5-4DAE97F48A80}"/>
    <hyperlink ref="N127" r:id="rId124" display="https://us3.assetplanner.com/service_request?ID=092095" xr:uid="{7938AA0D-13E8-4514-9DAA-6A1CCAEB1C94}"/>
    <hyperlink ref="O127" r:id="rId125" display="https://us3.assetplanner.com/service_request?ID=092255" xr:uid="{A21A478F-60A6-4CC2-84BD-3EAFA6342075}"/>
    <hyperlink ref="P127" r:id="rId126" display="https://us3.assetplanner.com/service_request?ID=092751" xr:uid="{370E0571-66FC-4302-B99C-680035723435}"/>
    <hyperlink ref="L128" r:id="rId127" display="https://us3.assetplanner.com/service_request?ID=095305" xr:uid="{252CAFE9-EC42-4291-A4E5-78D0E1D3FEFC}"/>
    <hyperlink ref="L131" r:id="rId128" display="https://us3.assetplanner.com/service_request?ID=097968" xr:uid="{D7D430D1-DD5F-47A0-A40C-C09E11E7CBD2}"/>
    <hyperlink ref="L134" r:id="rId129" display="https://us3.assetplanner.com/service_request?ID=098550" xr:uid="{56044446-E73F-442B-9B8F-E73617B046E1}"/>
    <hyperlink ref="L135" r:id="rId130" display="https://us3.assetplanner.com/service_request?ID=095531" xr:uid="{D51654C4-B447-4591-8CDF-D1157F0FBA88}"/>
    <hyperlink ref="L136" r:id="rId131" display="https://us3.assetplanner.com/service_request?ID=097967" xr:uid="{394F5E91-0F52-41FF-BB7C-F614A1DA5CF7}"/>
    <hyperlink ref="M136" r:id="rId132" display="https://us3.assetplanner.com/service_request?ID=098776" xr:uid="{3C08DF36-2680-420B-A21E-CC8639B9372B}"/>
    <hyperlink ref="L137" r:id="rId133" display="https://us3.assetplanner.com/service_request?ID=097969" xr:uid="{DC009729-200C-47A3-8731-0FB9522B5561}"/>
    <hyperlink ref="L138" r:id="rId134" display="https://us3.assetplanner.com/service_request?ID=097436" xr:uid="{D9256485-B2C0-4D53-886B-AC75B23D4539}"/>
    <hyperlink ref="M138" r:id="rId135" display="https://us3.assetplanner.com/service_request?ID=097751" xr:uid="{3A7532B2-C035-4C57-BEB5-1691F58E6BA8}"/>
    <hyperlink ref="L139" r:id="rId136" display="https://us3.assetplanner.com/service_request?ID=095821" xr:uid="{B1F3C9E2-C8E3-4F43-827B-64012DD51B16}"/>
    <hyperlink ref="M139" r:id="rId137" display="https://us3.assetplanner.com/service_request?ID=098459" xr:uid="{6E4D0CB5-B0F2-436F-BF5D-4AD72C684319}"/>
    <hyperlink ref="L141" r:id="rId138" display="https://us3.assetplanner.com/service_request?ID=098259" xr:uid="{D83737CE-7889-4EAA-A6F5-02E395F02D6C}"/>
    <hyperlink ref="M141" r:id="rId139" display="https://us3.assetplanner.com/service_request?ID=098259" xr:uid="{B8BA15CE-02E3-4029-9F3A-784F94F8335A}"/>
    <hyperlink ref="L142" r:id="rId140" display="https://us3.assetplanner.com/service_request?ID=098612" xr:uid="{4B85B5E3-F9EF-4471-93B7-EAA23AA2E5A3}"/>
    <hyperlink ref="L143" r:id="rId141" display="https://us3.assetplanner.com/service_request?ID=097565" xr:uid="{C01A6ED0-0579-4514-BCCC-347AF2F94EC2}"/>
    <hyperlink ref="M143" r:id="rId142" display="https://us3.assetplanner.com/service_request?ID=098893" xr:uid="{0E3A04D0-4873-479A-8FC8-4D6A67B48605}"/>
    <hyperlink ref="N143" r:id="rId143" display="https://us3.assetplanner.com/service_request?ID=098901" xr:uid="{1EFE5CA1-0F79-4EF3-B977-B24EE88F2859}"/>
    <hyperlink ref="O143" r:id="rId144" display="https://us3.assetplanner.com/service_request?ID=098959" xr:uid="{4DFD4AE9-7BF4-4C64-A5AB-707836D4DD31}"/>
    <hyperlink ref="L145" r:id="rId145" display="https://us3.assetplanner.com/service_request?ID=098196" xr:uid="{C2ACD49B-E3A0-4643-BA62-51C1112226D7}"/>
    <hyperlink ref="M145" r:id="rId146" display="https://us3.assetplanner.com/service_request?ID=098275" xr:uid="{F1F45BD8-6F4F-437E-8C23-061D1AFBF453}"/>
    <hyperlink ref="N145" r:id="rId147" display="https://us3.assetplanner.com/service_request?ID=098655" xr:uid="{3CE4B72F-8FA5-4DD0-B230-CB3D4281BF11}"/>
    <hyperlink ref="O145" r:id="rId148" display="https://us3.assetplanner.com/service_request?ID=098626" xr:uid="{48268E19-631C-4997-83E2-22284935DFB5}"/>
    <hyperlink ref="L148" r:id="rId149" display="https://us3.assetplanner.com/service_request?ID=095624" xr:uid="{ED2BA226-0CF1-4696-A519-E3C6CC7D8AF0}"/>
    <hyperlink ref="M148" r:id="rId150" display="https://us3.assetplanner.com/service_request?ID=097725" xr:uid="{42D0B739-1562-4151-9383-81C7A9EAEBCD}"/>
    <hyperlink ref="L150" r:id="rId151" display="https://us3.assetplanner.com/service_request?ID=096042" xr:uid="{730FF703-BA86-40FF-A06A-ACF476693B3B}"/>
    <hyperlink ref="M150" r:id="rId152" display="https://us3.assetplanner.com/service_request?ID=098021" xr:uid="{DAE402AA-1447-4E80-973B-0665A3028AC4}"/>
    <hyperlink ref="N150" r:id="rId153" display="https://us3.assetplanner.com/service_request?ID=098809" xr:uid="{443C537F-1E9A-4C8E-A8FB-94DA9E36FBAA}"/>
    <hyperlink ref="O150" r:id="rId154" display="https://us3.assetplanner.com/service_request?ID=096682" xr:uid="{3FF31722-FEB7-4E37-A84D-8A2D345F7CDF}"/>
    <hyperlink ref="L151" r:id="rId155" display="https://us3.assetplanner.com/service_request?ID=096006" xr:uid="{950E4A13-1CD7-460C-B88C-EF692D81D865}"/>
    <hyperlink ref="L153" r:id="rId156" display="https://us3.assetplanner.com/service_request?ID=098692" xr:uid="{470FF21D-7744-4C57-B5BB-DFA9DFBC86AB}"/>
    <hyperlink ref="L154" r:id="rId157" display="https://us3.assetplanner.com/service_request?ID=098627" xr:uid="{A50613A0-C4DA-4980-A176-6D33DFBDC633}"/>
    <hyperlink ref="M154" r:id="rId158" display="https://us3.assetplanner.com/service_request?ID=094820" xr:uid="{876D92FB-6340-4DD6-9878-5351F1C6131B}"/>
    <hyperlink ref="L155" r:id="rId159" display="https://us3.assetplanner.com/service_request?ID=098628" xr:uid="{FC790C81-5DCA-4790-9021-C1541CEBE468}"/>
    <hyperlink ref="M155" r:id="rId160" display="https://us3.assetplanner.com/service_request?ID=098888" xr:uid="{8B5C79A6-46D3-46A5-858C-56939DEF1BC0}"/>
    <hyperlink ref="N155" r:id="rId161" display="https://us3.assetplanner.com/service_request?ID=098955" xr:uid="{476BA732-D56D-47B8-9807-563871ABD53F}"/>
    <hyperlink ref="O155" r:id="rId162" display="https://us3.assetplanner.com/service_request?ID=099024" xr:uid="{E4F9E870-AD33-4500-8B2F-CF6E4C135C83}"/>
    <hyperlink ref="P155" r:id="rId163" display="https://us3.assetplanner.com/service_request?ID=095759" xr:uid="{EEFA41B0-2DBD-4B86-96AD-FD4774C8176D}"/>
    <hyperlink ref="L156" r:id="rId164" display="https://us3.assetplanner.com/service_request?ID=097454" xr:uid="{01E7EDF6-2E1C-4C71-8F0B-BDD55779E999}"/>
    <hyperlink ref="M156" r:id="rId165" display="https://us3.assetplanner.com/service_request?ID=099118" xr:uid="{8C4C3961-CC4E-4819-B088-3B75BE5D4F2C}"/>
    <hyperlink ref="L158" r:id="rId166" display="https://us3.assetplanner.com/service_request?ID=098624" xr:uid="{D702439D-7463-430F-8482-5251F8911F73}"/>
    <hyperlink ref="L161" r:id="rId167" display="https://us3.assetplanner.com/service_request?ID=098733" xr:uid="{B02A8F3B-01A5-4F1B-BBE1-AAC39A652549}"/>
    <hyperlink ref="L165" r:id="rId168" display="https://us3.assetplanner.com/service_request?ID=095945" xr:uid="{1662AA6B-E0C8-4251-A162-18DA17C9D49A}"/>
    <hyperlink ref="M165" r:id="rId169" display="https://us3.assetplanner.com/service_request?ID=097637" xr:uid="{84375940-06D0-4ACD-BCA4-BA5DF9C2CD20}"/>
    <hyperlink ref="N165" r:id="rId170" display="https://us3.assetplanner.com/service_request?ID=098724" xr:uid="{464D0B2D-E20E-4AB5-B444-55D37F74004F}"/>
    <hyperlink ref="L166" r:id="rId171" display="https://us3.assetplanner.com/service_request?ID=095946" xr:uid="{65D197FB-3776-480C-8FE4-F51A51FF568A}"/>
    <hyperlink ref="M166" r:id="rId172" display="https://us3.assetplanner.com/service_request?ID=098988" xr:uid="{3237C859-2A1D-48AB-80F2-7377226686D4}"/>
    <hyperlink ref="L167" r:id="rId173" display="https://us3.assetplanner.com/service_request?ID=095948" xr:uid="{F89F5BF3-A34B-447D-97A9-8DEE3DBC2231}"/>
    <hyperlink ref="L168" r:id="rId174" display="https://us3.assetplanner.com/service_request?ID=095950" xr:uid="{8337800E-45C8-4D5F-9A91-E68AACC8E68B}"/>
    <hyperlink ref="L169" r:id="rId175" display="https://us3.assetplanner.com/service_request?ID=095962" xr:uid="{2EC89688-939A-4DAE-95B5-5BBE88D1C010}"/>
    <hyperlink ref="L170" r:id="rId176" display="https://us3.assetplanner.com/service_request?ID=095954" xr:uid="{6A8A66EA-B896-442F-AB95-6BECF29CBEA1}"/>
    <hyperlink ref="L171" r:id="rId177" display="https://us3.assetplanner.com/service_request?ID=095951" xr:uid="{E8CB6E28-4DC0-49E2-AE70-90EAC56DE04B}"/>
    <hyperlink ref="L172" r:id="rId178" display="https://us3.assetplanner.com/service_request?ID=095960" xr:uid="{4A78AE7F-7673-4941-A28D-D27422444EC1}"/>
    <hyperlink ref="L175" r:id="rId179" display="https://us3.assetplanner.com/service_request?ID=098235" xr:uid="{59B47157-2B8D-485B-ACEE-179FD590123C}"/>
    <hyperlink ref="M175" r:id="rId180" display="https://us3.assetplanner.com/service_request?ID=098264" xr:uid="{9575FF9A-4EF4-4DE4-8CD8-3A14C10F59BF}"/>
    <hyperlink ref="N175" r:id="rId181" display="https://us3.assetplanner.com/service_request?ID=095956" xr:uid="{1AA2B02C-B1D3-4DAB-92FB-E3019DD2486D}"/>
    <hyperlink ref="L176" r:id="rId182" display="https://us3.assetplanner.com/service_request?ID=095955" xr:uid="{CA418CC8-7E78-4EAE-9EEA-DA39DB5BBA1C}"/>
    <hyperlink ref="L178" r:id="rId183" display="https://us3.assetplanner.com/service_request?ID=095937" xr:uid="{FCEEA69A-F48F-4215-A4B4-EB4022DB29EB}"/>
    <hyperlink ref="L179" r:id="rId184" display="https://us3.assetplanner.com/service_request?ID=095938" xr:uid="{95980348-B5E0-46FF-810A-05EE29FADAA2}"/>
    <hyperlink ref="L180" r:id="rId185" display="https://us3.assetplanner.com/service_request?ID=095939" xr:uid="{002AA20E-7511-476C-9127-3E0BADF574A4}"/>
    <hyperlink ref="L181" r:id="rId186" display="https://us3.assetplanner.com/service_request?ID=098903" xr:uid="{75E266E9-58C9-4D3B-ACAC-588B177DBC9B}"/>
    <hyperlink ref="L182" r:id="rId187" display="https://us3.assetplanner.com/service_request?ID=095941" xr:uid="{984A33B5-DF5B-4ED6-9F84-737A0DC7C003}"/>
    <hyperlink ref="M182" r:id="rId188" display="https://us3.assetplanner.com/service_request?ID=095940" xr:uid="{93083783-FE78-4614-942B-E6C44F514AC4}"/>
    <hyperlink ref="N182" r:id="rId189" display="https://us3.assetplanner.com/service_request?ID=095940" xr:uid="{287817FB-F698-4BBF-A90E-6E74303EB76B}"/>
    <hyperlink ref="O182" r:id="rId190" display="https://us3.assetplanner.com/service_request?ID=098413" xr:uid="{CFE8BE41-140C-48FF-BDDA-72EB98F85643}"/>
    <hyperlink ref="P182" r:id="rId191" display="https://us3.assetplanner.com/service_request?ID=098490" xr:uid="{F0985A10-C727-4990-8DFD-A86DF4EFBD84}"/>
    <hyperlink ref="Q182" r:id="rId192" display="https://us3.assetplanner.com/service_request?ID=099138" xr:uid="{39F6BF40-A1D6-4C02-8397-9741F8465DD5}"/>
    <hyperlink ref="L183" r:id="rId193" display="https://us3.assetplanner.com/service_request?ID=095942" xr:uid="{DD2CE797-8812-421F-AA7E-7811F4404FBF}"/>
    <hyperlink ref="L185" r:id="rId194" display="https://us3.assetplanner.com/service_request?ID=095961" xr:uid="{46CC9C58-C1D6-4F50-A31E-47AA0F765805}"/>
    <hyperlink ref="M185" r:id="rId195" display="https://us3.assetplanner.com/service_request?ID=097620" xr:uid="{7A78EAD3-4858-47AC-B89A-5FE39C601CB4}"/>
    <hyperlink ref="L186" r:id="rId196" display="https://us3.assetplanner.com/service_request?ID=098003" xr:uid="{9AADE240-A2D9-4C81-A831-181429BDF85D}"/>
    <hyperlink ref="M186" r:id="rId197" display="https://us3.assetplanner.com/service_request?ID=098172" xr:uid="{C4384D1A-719F-48A2-8877-953D8804188B}"/>
    <hyperlink ref="L187" r:id="rId198" display="https://us3.assetplanner.com/service_request?ID=098251" xr:uid="{575AC835-ED34-49FF-80A5-8CC3DBBB8391}"/>
    <hyperlink ref="M187" r:id="rId199" display="https://us3.assetplanner.com/service_request?ID=098665" xr:uid="{D5DBE949-AB12-4DB6-8FEE-6180DB784DAB}"/>
    <hyperlink ref="L188" r:id="rId200" display="https://us3.assetplanner.com/service_request?ID=098315" xr:uid="{D28B2FE3-A9AC-473A-A3A2-3CCFBB972499}"/>
    <hyperlink ref="M188" r:id="rId201" display="https://us3.assetplanner.com/service_request?ID=098593" xr:uid="{26F1E061-CBE3-4E33-898C-532E3F94424E}"/>
    <hyperlink ref="L189" r:id="rId202" display="https://us3.assetplanner.com/service_request?ID=096257" xr:uid="{E8A35227-473C-4750-8352-17151C1590D0}"/>
    <hyperlink ref="M189" r:id="rId203" display="https://us3.assetplanner.com/service_request?ID=099018" xr:uid="{18273D9C-FA2D-46FE-89E1-0698914F4365}"/>
    <hyperlink ref="L190" r:id="rId204" display="https://us3.assetplanner.com/service_request?ID=098319" xr:uid="{A6EA163D-27DD-4CCB-BA71-7F89EBF83D90}"/>
    <hyperlink ref="M190" r:id="rId205" display="https://us3.assetplanner.com/service_request?ID=098898" xr:uid="{973106DE-151E-464B-AF6C-E89D70DF2538}"/>
    <hyperlink ref="L191" r:id="rId206" display="https://us3.assetplanner.com/service_request?ID=097816" xr:uid="{1A4B8BC1-6323-478C-9E93-492589149863}"/>
    <hyperlink ref="L192" r:id="rId207" display="https://us3.assetplanner.com/service_request?ID=097951" xr:uid="{BA0D8308-3BC2-49C7-916E-287499E833DF}"/>
    <hyperlink ref="M192" r:id="rId208" display="https://us3.assetplanner.com/service_request?ID=098899" xr:uid="{AA0855EC-DEE9-4B50-B7F1-5BB3D80FBBAC}"/>
    <hyperlink ref="N192" r:id="rId209" display="https://us3.assetplanner.com/service_request?ID=097600" xr:uid="{9145F69C-07C9-45D1-9D47-3FF569F67CB9}"/>
    <hyperlink ref="L194" r:id="rId210" display="https://us3.assetplanner.com/service_request?ID=098029" xr:uid="{AF193B1D-AC50-48A7-BD67-6CA3A8D14E72}"/>
    <hyperlink ref="M194" r:id="rId211" display="https://us3.assetplanner.com/service_request?ID=098028" xr:uid="{31E3D875-0D07-4248-9C65-02055A923A6C}"/>
    <hyperlink ref="N194" r:id="rId212" display="https://us3.assetplanner.com/service_request?ID=098278" xr:uid="{93C84338-7401-4CF5-89FD-ED3E0A3E5C83}"/>
    <hyperlink ref="L195" r:id="rId213" display="https://us3.assetplanner.com/service_request?ID=098029" xr:uid="{EC1E6008-31B0-4E3A-A38B-01C538659058}"/>
    <hyperlink ref="L196" r:id="rId214" display="https://us3.assetplanner.com/service_request?ID=098066" xr:uid="{A82A7336-39F5-4CFF-B066-EDEA8B78762F}"/>
    <hyperlink ref="L197" r:id="rId215" display="https://us3.assetplanner.com/service_request?ID=098233" xr:uid="{9913E760-EC5E-4857-94B3-A2C1C98B803A}"/>
    <hyperlink ref="M197" r:id="rId216" display="https://us3.assetplanner.com/service_request?ID=098646" xr:uid="{005B33F4-793F-40ED-AE1A-7A9FA3EB6ED6}"/>
    <hyperlink ref="L198" r:id="rId217" display="https://us3.assetplanner.com/service_request?ID=098634" xr:uid="{26227257-3379-4EDA-8ED7-B38788BA97A8}"/>
    <hyperlink ref="M198" r:id="rId218" display="https://us3.assetplanner.com/service_request?ID=099014" xr:uid="{91424393-DD00-46C7-BDE3-37E34362202C}"/>
    <hyperlink ref="L199" r:id="rId219" display="https://us3.assetplanner.com/service_request?ID=098433" xr:uid="{E27E0639-3E18-40DF-9A77-A462B91CEECA}"/>
    <hyperlink ref="L200" r:id="rId220" display="https://us3.assetplanner.com/service_request?ID=098638" xr:uid="{2341B44C-71E7-4D23-B8E3-496741F27D5F}"/>
    <hyperlink ref="M80" r:id="rId221"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203"/>
  <sheetViews>
    <sheetView zoomScale="70" zoomScaleNormal="70" workbookViewId="0">
      <pane xSplit="2" ySplit="3" topLeftCell="C197" activePane="bottomRight" state="frozen"/>
      <selection pane="bottomRight" activeCell="G20" sqref="G2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65" t="str" cm="1">
        <f t="array" ref="A1">portfolio</f>
        <v>Generate Capital</v>
      </c>
      <c r="B1" s="165"/>
      <c r="C1" s="165"/>
      <c r="D1" s="165"/>
      <c r="E1" s="166" t="s">
        <v>773</v>
      </c>
      <c r="F1" s="166"/>
      <c r="G1" s="166"/>
      <c r="H1" s="164" t="s">
        <v>774</v>
      </c>
      <c r="I1" s="164"/>
      <c r="J1" s="164"/>
      <c r="K1" s="4"/>
      <c r="L1" s="4"/>
    </row>
    <row r="2" spans="1:20" ht="19.5" customHeight="1">
      <c r="A2" s="167" t="s">
        <v>2</v>
      </c>
      <c r="B2" s="167"/>
      <c r="C2" s="65"/>
      <c r="D2" s="5">
        <f>SUM(D4:D160)</f>
        <v>32822891.478221208</v>
      </c>
      <c r="E2" s="5">
        <f>SUM(E4:E160)</f>
        <v>12036817.167000005</v>
      </c>
      <c r="F2" s="5">
        <f>D2-E2</f>
        <v>20786074.311221205</v>
      </c>
      <c r="G2" s="6">
        <f>IFERROR(F2/E2, 0)</f>
        <v>1.7268746399345551</v>
      </c>
      <c r="H2" s="5">
        <f>SUM(H4:H160)</f>
        <v>39375072.956000023</v>
      </c>
      <c r="I2" s="7">
        <f>D2-H2</f>
        <v>-6552181.4777788147</v>
      </c>
      <c r="J2" s="6">
        <f>IFERROR(I2/H2, 0)</f>
        <v>-0.16640430063712136</v>
      </c>
      <c r="K2" s="22" t="str">
        <f ca="1">IF(AND(TODAY()&gt;DATE(2024, 4, 1), COUNTA(Sites[Site])&lt;&gt;(COUNT(D:D)-1)), "Some sites are missing actual data; if new sites were added, make sure they are aligned correctly (including prior months!)", "")</f>
        <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14174.021727051801</v>
      </c>
      <c r="E4" s="10">
        <v>10054.94</v>
      </c>
      <c r="F4" s="10">
        <f>IF(AND(ISNUMBER(D4),ISNUMBER(E4)), D4-E4, "")</f>
        <v>4119.0817270518</v>
      </c>
      <c r="G4" s="11">
        <f>IFERROR(F4/E4, "")</f>
        <v>0.40965751432149766</v>
      </c>
      <c r="H4" s="12">
        <v>12659.8</v>
      </c>
      <c r="I4" s="12">
        <f>IF(AND(ISNUMBER(D4),ISNUMBER(H4)), D4-H4, "")</f>
        <v>1514.2217270518013</v>
      </c>
      <c r="J4" s="13">
        <f>IFERROR(I4/H4, "")</f>
        <v>0.11960866104139097</v>
      </c>
      <c r="K4" s="37"/>
      <c r="L4" s="37"/>
    </row>
    <row r="5" spans="1:20" ht="43.15">
      <c r="A5" s="26" t="str">
        <v>Fulton</v>
      </c>
      <c r="B5" s="27" t="str">
        <v>AZ</v>
      </c>
      <c r="C5" s="27" t="str">
        <f>Sites[[#This Row],[SOL'#]]</f>
        <v>SOL-10749</v>
      </c>
      <c r="D5" s="9">
        <v>49347</v>
      </c>
      <c r="E5" s="14">
        <v>63827.96</v>
      </c>
      <c r="F5" s="14">
        <f t="shared" ref="F5:F68" si="0">IF(AND(ISNUMBER(D5),ISNUMBER(E5)), D5-E5, "")</f>
        <v>-14480.96</v>
      </c>
      <c r="G5" s="15">
        <f>IFERROR(F5/E5, "")</f>
        <v>-0.22687486800455473</v>
      </c>
      <c r="H5" s="16">
        <v>68794.2</v>
      </c>
      <c r="I5" s="16">
        <f t="shared" ref="I5:I68" si="1">IF(AND(ISNUMBER(D5),ISNUMBER(H5)), D5-H5, "")</f>
        <v>-19447.199999999997</v>
      </c>
      <c r="J5" s="15">
        <f t="shared" ref="J5:J68" si="2">IFERROR(I5/H5, "")</f>
        <v>-0.28268662183730603</v>
      </c>
      <c r="K5" s="67" t="s">
        <v>775</v>
      </c>
      <c r="L5" s="114" t="s">
        <v>776</v>
      </c>
      <c r="M5" s="116"/>
      <c r="N5" s="116"/>
      <c r="O5" s="116"/>
      <c r="P5" s="116"/>
      <c r="Q5" s="116"/>
      <c r="R5" s="116"/>
      <c r="S5" s="116"/>
      <c r="T5" s="116"/>
    </row>
    <row r="6" spans="1:20" ht="60.75" customHeight="1">
      <c r="A6" s="24" t="str">
        <v>JFK Elementary</v>
      </c>
      <c r="B6" s="25" t="str">
        <v>AZ</v>
      </c>
      <c r="C6" s="25" t="str">
        <f>Sites[[#This Row],[SOL'#]]</f>
        <v>SOL-10758</v>
      </c>
      <c r="D6" s="20">
        <v>18273.468374485601</v>
      </c>
      <c r="E6" s="10" t="s">
        <v>777</v>
      </c>
      <c r="F6" s="10" t="str">
        <f t="shared" si="0"/>
        <v/>
      </c>
      <c r="G6" s="11" t="str">
        <f t="shared" ref="G6:G69" si="3">IFERROR(F6/E6, "")</f>
        <v/>
      </c>
      <c r="H6" s="12">
        <v>19810</v>
      </c>
      <c r="I6" s="12">
        <f t="shared" si="1"/>
        <v>-1536.5316255143989</v>
      </c>
      <c r="J6" s="13">
        <f t="shared" si="2"/>
        <v>-7.7563433897748557E-2</v>
      </c>
      <c r="K6" s="37" t="s">
        <v>778</v>
      </c>
      <c r="L6" s="124" t="s">
        <v>779</v>
      </c>
      <c r="M6" s="116"/>
      <c r="N6" s="116"/>
      <c r="O6" s="116"/>
      <c r="P6" s="116"/>
      <c r="Q6" s="116"/>
      <c r="R6" s="116"/>
      <c r="S6" s="116"/>
      <c r="T6" s="116"/>
    </row>
    <row r="7" spans="1:20" ht="70.5" customHeight="1">
      <c r="A7" s="26" t="str">
        <v>Noble</v>
      </c>
      <c r="B7" s="27" t="str">
        <v>AZ</v>
      </c>
      <c r="C7" s="27" t="str">
        <f>Sites[[#This Row],[SOL'#]]</f>
        <v>SOL-10750</v>
      </c>
      <c r="D7" s="9">
        <v>13346.146868543499</v>
      </c>
      <c r="E7" s="14">
        <v>17198.61</v>
      </c>
      <c r="F7" s="14">
        <f t="shared" si="0"/>
        <v>-3852.4631314565013</v>
      </c>
      <c r="G7" s="15">
        <f t="shared" si="3"/>
        <v>-0.22399851682528421</v>
      </c>
      <c r="H7" s="16">
        <v>14305.01</v>
      </c>
      <c r="I7" s="16">
        <f t="shared" si="1"/>
        <v>-958.86313145650092</v>
      </c>
      <c r="J7" s="15">
        <f t="shared" si="2"/>
        <v>-6.7029881940418146E-2</v>
      </c>
      <c r="K7" s="142" t="s">
        <v>780</v>
      </c>
      <c r="L7" s="125" t="s">
        <v>781</v>
      </c>
      <c r="M7" s="116"/>
      <c r="N7" s="116"/>
      <c r="O7" s="116"/>
      <c r="P7" s="116"/>
      <c r="Q7" s="116"/>
      <c r="R7" s="116"/>
      <c r="S7" s="116"/>
      <c r="T7" s="116"/>
    </row>
    <row r="8" spans="1:20" ht="72">
      <c r="A8" s="24" t="str">
        <v>Parking 3</v>
      </c>
      <c r="B8" s="25" t="str">
        <v>AZ</v>
      </c>
      <c r="C8" s="25" t="str">
        <f>Sites[[#This Row],[SOL'#]]</f>
        <v>SOL-10751</v>
      </c>
      <c r="D8" s="20">
        <v>35163.224999999999</v>
      </c>
      <c r="E8" s="10">
        <v>33376.71</v>
      </c>
      <c r="F8" s="10">
        <f t="shared" si="0"/>
        <v>1786.5149999999994</v>
      </c>
      <c r="G8" s="11">
        <f t="shared" si="3"/>
        <v>5.3525796880519366E-2</v>
      </c>
      <c r="H8" s="12">
        <v>32950.639999999999</v>
      </c>
      <c r="I8" s="12">
        <f t="shared" si="1"/>
        <v>2212.5849999999991</v>
      </c>
      <c r="J8" s="13">
        <f t="shared" si="2"/>
        <v>6.7148468132940634E-2</v>
      </c>
      <c r="K8" s="37" t="s">
        <v>782</v>
      </c>
      <c r="L8" s="124" t="s">
        <v>783</v>
      </c>
      <c r="M8" s="116"/>
      <c r="N8" s="116"/>
      <c r="O8" s="116"/>
      <c r="P8" s="116"/>
      <c r="Q8" s="116"/>
      <c r="R8" s="116"/>
      <c r="S8" s="116"/>
      <c r="T8" s="116"/>
    </row>
    <row r="9" spans="1:20" ht="15.6">
      <c r="A9" s="26" t="str">
        <v>PE East</v>
      </c>
      <c r="B9" s="27" t="str">
        <v>AZ</v>
      </c>
      <c r="C9" s="27" t="str">
        <f>Sites[[#This Row],[SOL'#]]</f>
        <v>SOL-10752</v>
      </c>
      <c r="D9" s="9">
        <v>31308.663022445999</v>
      </c>
      <c r="E9" s="14">
        <v>25677.82</v>
      </c>
      <c r="F9" s="14">
        <f t="shared" si="0"/>
        <v>5630.8430224459989</v>
      </c>
      <c r="G9" s="15">
        <f t="shared" si="3"/>
        <v>0.21928820368886451</v>
      </c>
      <c r="H9" s="141">
        <v>32233.919999999998</v>
      </c>
      <c r="I9" s="16">
        <f t="shared" si="1"/>
        <v>-925.2569775539996</v>
      </c>
      <c r="J9" s="15">
        <f t="shared" si="2"/>
        <v>-2.8704451011667201E-2</v>
      </c>
      <c r="K9" s="38"/>
      <c r="L9" s="39"/>
      <c r="M9" s="116"/>
      <c r="N9" s="116"/>
      <c r="O9" s="116"/>
      <c r="P9" s="116"/>
      <c r="Q9" s="116"/>
      <c r="R9" s="116"/>
      <c r="S9" s="116"/>
      <c r="T9" s="116"/>
    </row>
    <row r="10" spans="1:20" ht="15.6">
      <c r="A10" s="24" t="str">
        <v>Schwada</v>
      </c>
      <c r="B10" s="25" t="str">
        <v>AZ</v>
      </c>
      <c r="C10" s="25" t="str">
        <f>Sites[[#This Row],[SOL'#]]</f>
        <v>SOL-10753</v>
      </c>
      <c r="D10" s="20">
        <v>14151.558769466799</v>
      </c>
      <c r="E10" s="10">
        <v>10571.76</v>
      </c>
      <c r="F10" s="10">
        <f t="shared" si="0"/>
        <v>3579.7987694667991</v>
      </c>
      <c r="G10" s="11">
        <f t="shared" si="3"/>
        <v>0.33861899716478611</v>
      </c>
      <c r="H10" s="12">
        <v>14102</v>
      </c>
      <c r="I10" s="12">
        <f t="shared" si="1"/>
        <v>49.558769466799276</v>
      </c>
      <c r="J10" s="13">
        <f t="shared" si="2"/>
        <v>3.5143078617784198E-3</v>
      </c>
      <c r="K10" s="37"/>
      <c r="L10" s="37"/>
      <c r="M10" s="116"/>
      <c r="N10" s="116"/>
      <c r="O10" s="116"/>
      <c r="P10" s="116"/>
      <c r="Q10" s="116"/>
      <c r="R10" s="116"/>
      <c r="S10" s="116"/>
      <c r="T10" s="116"/>
    </row>
    <row r="11" spans="1:20" ht="72.75" customHeight="1">
      <c r="A11" s="26" t="str">
        <v>Starshine</v>
      </c>
      <c r="B11" s="27" t="str">
        <v>AZ</v>
      </c>
      <c r="C11" s="27" t="str">
        <f>Sites[[#This Row],[SOL'#]]</f>
        <v>SOL-10757</v>
      </c>
      <c r="D11" s="9">
        <v>8877.0896527777895</v>
      </c>
      <c r="E11" s="14" t="s">
        <v>777</v>
      </c>
      <c r="F11" s="14" t="str">
        <f t="shared" si="0"/>
        <v/>
      </c>
      <c r="G11" s="15" t="str">
        <f t="shared" si="3"/>
        <v/>
      </c>
      <c r="H11" s="16">
        <v>10285</v>
      </c>
      <c r="I11" s="16">
        <f t="shared" si="1"/>
        <v>-1407.9103472222105</v>
      </c>
      <c r="J11" s="15">
        <f t="shared" si="2"/>
        <v>-0.13688967887430339</v>
      </c>
      <c r="K11" s="56" t="s">
        <v>784</v>
      </c>
      <c r="L11" s="125" t="s">
        <v>785</v>
      </c>
      <c r="M11" s="116"/>
      <c r="N11" s="116"/>
      <c r="O11" s="116"/>
      <c r="P11" s="116"/>
      <c r="Q11" s="116"/>
      <c r="R11" s="116"/>
      <c r="S11" s="116"/>
      <c r="T11" s="116"/>
    </row>
    <row r="12" spans="1:20" ht="115.15">
      <c r="A12" s="24" t="str">
        <v>Yuma Airport</v>
      </c>
      <c r="B12" s="25" t="str">
        <v>AZ</v>
      </c>
      <c r="C12" s="25" t="str">
        <f>Sites[[#This Row],[SOL'#]]</f>
        <v>SOL-10754</v>
      </c>
      <c r="D12" s="20">
        <v>81881</v>
      </c>
      <c r="E12" s="10">
        <v>97856.38</v>
      </c>
      <c r="F12" s="10">
        <f t="shared" si="0"/>
        <v>-15975.380000000005</v>
      </c>
      <c r="G12" s="11">
        <f t="shared" si="3"/>
        <v>-0.16325333105516476</v>
      </c>
      <c r="H12" s="12">
        <v>87788</v>
      </c>
      <c r="I12" s="12">
        <f t="shared" si="1"/>
        <v>-5907</v>
      </c>
      <c r="J12" s="13">
        <f t="shared" si="2"/>
        <v>-6.7287100742698322E-2</v>
      </c>
      <c r="K12" s="37" t="s">
        <v>786</v>
      </c>
      <c r="L12" s="124" t="s">
        <v>787</v>
      </c>
      <c r="M12" s="115" t="s">
        <v>476</v>
      </c>
      <c r="N12" s="115" t="s">
        <v>788</v>
      </c>
      <c r="O12" s="116"/>
      <c r="P12" s="116"/>
      <c r="Q12" s="116"/>
      <c r="R12" s="116"/>
      <c r="S12" s="116"/>
      <c r="T12" s="116"/>
    </row>
    <row r="13" spans="1:20" ht="15.6">
      <c r="A13" s="26" t="str">
        <v>Kinsman</v>
      </c>
      <c r="B13" s="27" t="str">
        <v>OH</v>
      </c>
      <c r="C13" s="27" t="str">
        <f>Sites[[#This Row],[SOL'#]]</f>
        <v>SOL-10762</v>
      </c>
      <c r="D13" s="9">
        <v>84879.5859375</v>
      </c>
      <c r="E13" s="14">
        <v>113009.1</v>
      </c>
      <c r="F13" s="14">
        <f t="shared" si="0"/>
        <v>-28129.514062500006</v>
      </c>
      <c r="G13" s="15">
        <f t="shared" si="3"/>
        <v>-0.24891370750231623</v>
      </c>
      <c r="H13" s="16">
        <v>110389</v>
      </c>
      <c r="I13" s="16">
        <f t="shared" si="1"/>
        <v>-25509.4140625</v>
      </c>
      <c r="J13" s="15">
        <f t="shared" si="2"/>
        <v>-0.23108655810361539</v>
      </c>
      <c r="K13" s="67" t="s">
        <v>789</v>
      </c>
      <c r="L13" s="68"/>
      <c r="M13" s="116"/>
      <c r="N13" s="116"/>
      <c r="O13" s="116"/>
      <c r="P13" s="116"/>
      <c r="Q13" s="116"/>
      <c r="R13" s="116"/>
      <c r="S13" s="116"/>
      <c r="T13" s="116"/>
    </row>
    <row r="14" spans="1:20" ht="28.9">
      <c r="A14" s="24" t="str">
        <v>Wooster</v>
      </c>
      <c r="B14" s="25" t="str">
        <v>OH</v>
      </c>
      <c r="C14" s="25" t="str">
        <f>Sites[[#This Row],[SOL'#]]</f>
        <v>SOL-10763</v>
      </c>
      <c r="D14" s="20">
        <v>17955</v>
      </c>
      <c r="E14" s="10" t="s">
        <v>777</v>
      </c>
      <c r="F14" s="10" t="str">
        <f t="shared" si="0"/>
        <v/>
      </c>
      <c r="G14" s="11" t="str">
        <f t="shared" si="3"/>
        <v/>
      </c>
      <c r="H14" s="12">
        <v>25797</v>
      </c>
      <c r="I14" s="12">
        <f t="shared" si="1"/>
        <v>-7842</v>
      </c>
      <c r="J14" s="13">
        <f t="shared" si="2"/>
        <v>-0.30398883591115244</v>
      </c>
      <c r="K14" s="37" t="s">
        <v>790</v>
      </c>
      <c r="L14" s="124" t="s">
        <v>274</v>
      </c>
      <c r="M14" s="116"/>
      <c r="N14" s="116"/>
      <c r="O14" s="116"/>
      <c r="P14" s="116"/>
      <c r="Q14" s="116"/>
      <c r="R14" s="116"/>
      <c r="S14" s="116"/>
      <c r="T14" s="116"/>
    </row>
    <row r="15" spans="1:20" ht="72">
      <c r="A15" s="26" t="str">
        <v>Globe Gila CC</v>
      </c>
      <c r="B15" s="27" t="str">
        <v>AZ</v>
      </c>
      <c r="C15" s="27" t="str">
        <f>Sites[[#This Row],[SOL'#]]</f>
        <v>SOL-10755</v>
      </c>
      <c r="D15" s="9">
        <v>19436.556609686599</v>
      </c>
      <c r="E15" s="14" t="s">
        <v>777</v>
      </c>
      <c r="F15" s="14" t="str">
        <f t="shared" si="0"/>
        <v/>
      </c>
      <c r="G15" s="15" t="str">
        <f t="shared" si="3"/>
        <v/>
      </c>
      <c r="H15" s="16">
        <v>19010</v>
      </c>
      <c r="I15" s="16">
        <f t="shared" si="1"/>
        <v>426.55660968659868</v>
      </c>
      <c r="J15" s="15">
        <f t="shared" si="2"/>
        <v>2.2438538121336071E-2</v>
      </c>
      <c r="K15" s="56" t="s">
        <v>791</v>
      </c>
      <c r="L15" s="125" t="s">
        <v>792</v>
      </c>
      <c r="M15" s="115" t="s">
        <v>793</v>
      </c>
      <c r="N15" s="116"/>
      <c r="O15" s="116"/>
      <c r="P15" s="116"/>
      <c r="Q15" s="116"/>
      <c r="R15" s="116"/>
      <c r="S15" s="116"/>
      <c r="T15" s="116"/>
    </row>
    <row r="16" spans="1:20" ht="28.9">
      <c r="A16" s="24" t="str">
        <v>Payson Gila CC</v>
      </c>
      <c r="B16" s="25" t="str">
        <v>AZ</v>
      </c>
      <c r="C16" s="25" t="str">
        <f>Sites[[#This Row],[SOL'#]]</f>
        <v>SOL-10756</v>
      </c>
      <c r="D16" s="20">
        <v>14116.6584470747</v>
      </c>
      <c r="E16" s="10">
        <v>7054.6409999999996</v>
      </c>
      <c r="F16" s="10">
        <f t="shared" si="0"/>
        <v>7062.0174470747006</v>
      </c>
      <c r="G16" s="11">
        <f t="shared" si="3"/>
        <v>1.0010456162226684</v>
      </c>
      <c r="H16" s="12">
        <v>14347</v>
      </c>
      <c r="I16" s="12">
        <f t="shared" si="1"/>
        <v>-230.34155292529977</v>
      </c>
      <c r="J16" s="13">
        <f t="shared" si="2"/>
        <v>-1.6055032614853262E-2</v>
      </c>
      <c r="K16" s="37" t="s">
        <v>36</v>
      </c>
      <c r="L16" s="124" t="s">
        <v>37</v>
      </c>
      <c r="M16" s="116"/>
      <c r="N16" s="116"/>
      <c r="O16" s="116"/>
      <c r="P16" s="116"/>
      <c r="Q16" s="116"/>
      <c r="R16" s="116"/>
      <c r="S16" s="116"/>
      <c r="T16" s="116"/>
    </row>
    <row r="17" spans="1:20" ht="15.6">
      <c r="A17" s="26" t="str">
        <v>SCNM</v>
      </c>
      <c r="B17" s="27" t="str">
        <v>AZ</v>
      </c>
      <c r="C17" s="27" t="str">
        <f>Sites[[#This Row],[SOL'#]]</f>
        <v>SOL-10760</v>
      </c>
      <c r="D17" s="9">
        <v>86181.5</v>
      </c>
      <c r="E17" s="14">
        <v>51504.35</v>
      </c>
      <c r="F17" s="14">
        <f t="shared" si="0"/>
        <v>34677.15</v>
      </c>
      <c r="G17" s="15">
        <f t="shared" si="3"/>
        <v>0.67328584867103458</v>
      </c>
      <c r="H17" s="16">
        <v>90408</v>
      </c>
      <c r="I17" s="16">
        <f t="shared" si="1"/>
        <v>-4226.5</v>
      </c>
      <c r="J17" s="15">
        <f t="shared" si="2"/>
        <v>-4.6749181488363864E-2</v>
      </c>
      <c r="K17" s="38" t="s">
        <v>794</v>
      </c>
      <c r="L17" s="38"/>
      <c r="M17" s="116"/>
      <c r="N17" s="116"/>
      <c r="O17" s="116"/>
      <c r="P17" s="116"/>
      <c r="Q17" s="116"/>
      <c r="R17" s="116"/>
      <c r="S17" s="116"/>
      <c r="T17" s="116"/>
    </row>
    <row r="18" spans="1:20" ht="18" customHeight="1">
      <c r="A18" s="24" t="str">
        <v>Sequoia Charter School</v>
      </c>
      <c r="B18" s="25" t="str">
        <v>AZ</v>
      </c>
      <c r="C18" s="25" t="str">
        <f>Sites[[#This Row],[SOL'#]]</f>
        <v>SOL-10759</v>
      </c>
      <c r="D18" s="20">
        <v>31105.740000000202</v>
      </c>
      <c r="E18" s="10" t="s">
        <v>777</v>
      </c>
      <c r="F18" s="10" t="str">
        <f t="shared" si="0"/>
        <v/>
      </c>
      <c r="G18" s="11" t="str">
        <f t="shared" si="3"/>
        <v/>
      </c>
      <c r="H18" s="12">
        <v>54193</v>
      </c>
      <c r="I18" s="12">
        <f t="shared" si="1"/>
        <v>-23087.259999999798</v>
      </c>
      <c r="J18" s="72">
        <f t="shared" si="2"/>
        <v>-0.42601922757551342</v>
      </c>
      <c r="K18" s="37" t="s">
        <v>481</v>
      </c>
      <c r="L18" s="37"/>
      <c r="M18" s="116"/>
      <c r="N18" s="116"/>
      <c r="O18" s="116"/>
      <c r="P18" s="116"/>
      <c r="Q18" s="116"/>
      <c r="R18" s="116"/>
      <c r="S18" s="116"/>
      <c r="T18" s="116"/>
    </row>
    <row r="19" spans="1:20" ht="28.9">
      <c r="A19" s="26" t="str">
        <v>RCAB</v>
      </c>
      <c r="B19" s="27" t="str">
        <v>MA</v>
      </c>
      <c r="C19" s="27" t="str">
        <f>Sites[[#This Row],[SOL'#]]</f>
        <v>SOL-10838</v>
      </c>
      <c r="D19" s="9">
        <v>120586.5</v>
      </c>
      <c r="E19" s="14">
        <v>138255.70000000001</v>
      </c>
      <c r="F19" s="14">
        <f t="shared" si="0"/>
        <v>-17669.200000000012</v>
      </c>
      <c r="G19" s="15">
        <f t="shared" si="3"/>
        <v>-0.12780087909576249</v>
      </c>
      <c r="H19" s="16">
        <v>124721</v>
      </c>
      <c r="I19" s="16">
        <f t="shared" si="1"/>
        <v>-4134.5</v>
      </c>
      <c r="J19" s="15">
        <f t="shared" si="2"/>
        <v>-3.3149990779419665E-2</v>
      </c>
      <c r="K19" s="67" t="s">
        <v>795</v>
      </c>
      <c r="L19" s="114" t="s">
        <v>796</v>
      </c>
      <c r="M19" s="116"/>
      <c r="N19" s="116"/>
      <c r="O19" s="116"/>
      <c r="P19" s="116"/>
      <c r="Q19" s="116"/>
      <c r="R19" s="116"/>
      <c r="S19" s="116"/>
      <c r="T19" s="116"/>
    </row>
    <row r="20" spans="1:20" ht="15.6">
      <c r="A20" s="24" t="str">
        <v>Spectro Coatings</v>
      </c>
      <c r="B20" s="25" t="str">
        <v>MA</v>
      </c>
      <c r="C20" s="25" t="str">
        <f>Sites[[#This Row],[SOL'#]]</f>
        <v>SOL-10074</v>
      </c>
      <c r="D20" s="20">
        <v>34351.625</v>
      </c>
      <c r="E20" s="10">
        <v>34490.47</v>
      </c>
      <c r="F20" s="10">
        <f t="shared" si="0"/>
        <v>-138.84500000000116</v>
      </c>
      <c r="G20" s="11">
        <f t="shared" si="3"/>
        <v>-4.0256047540088947E-3</v>
      </c>
      <c r="H20" s="12">
        <v>33346.43</v>
      </c>
      <c r="I20" s="12">
        <f t="shared" si="1"/>
        <v>1005.1949999999997</v>
      </c>
      <c r="J20" s="72">
        <f t="shared" si="2"/>
        <v>3.014400641987762E-2</v>
      </c>
      <c r="K20" s="66"/>
      <c r="L20" s="66"/>
      <c r="M20" s="116"/>
      <c r="N20" s="116"/>
      <c r="O20" s="116"/>
      <c r="P20" s="116"/>
      <c r="Q20" s="116"/>
      <c r="R20" s="116"/>
      <c r="S20" s="116"/>
      <c r="T20" s="116"/>
    </row>
    <row r="21" spans="1:20" ht="15.6">
      <c r="A21" s="26" t="str">
        <v>K026</v>
      </c>
      <c r="B21" s="27" t="str">
        <v>NY</v>
      </c>
      <c r="C21" s="27" t="str">
        <f>Sites[[#This Row],[SOL'#]]</f>
        <v>SOL-10356</v>
      </c>
      <c r="D21" s="9">
        <v>26899.1250000002</v>
      </c>
      <c r="E21" s="14">
        <v>34350.14</v>
      </c>
      <c r="F21" s="14">
        <f t="shared" si="0"/>
        <v>-7451.0149999997993</v>
      </c>
      <c r="G21" s="15">
        <f t="shared" si="3"/>
        <v>-0.21691367196756112</v>
      </c>
      <c r="H21" s="16">
        <v>33051.22</v>
      </c>
      <c r="I21" s="16">
        <f t="shared" si="1"/>
        <v>-6152.0949999998011</v>
      </c>
      <c r="J21" s="15">
        <f t="shared" si="2"/>
        <v>-0.18613821214465914</v>
      </c>
      <c r="K21" s="38" t="s">
        <v>797</v>
      </c>
      <c r="L21" s="39"/>
      <c r="M21" s="116"/>
      <c r="N21" s="116"/>
      <c r="O21" s="116"/>
      <c r="P21" s="116"/>
      <c r="Q21" s="116"/>
      <c r="R21" s="116"/>
      <c r="S21" s="116"/>
      <c r="T21" s="116"/>
    </row>
    <row r="22" spans="1:20" ht="15.6">
      <c r="A22" s="24" t="str">
        <v>K041</v>
      </c>
      <c r="B22" s="25" t="str">
        <v>NY</v>
      </c>
      <c r="C22" s="25" t="str">
        <f>Sites[[#This Row],[SOL'#]]</f>
        <v>SOL-10357</v>
      </c>
      <c r="D22" s="20">
        <v>24174.125</v>
      </c>
      <c r="E22" s="10">
        <v>27175.15</v>
      </c>
      <c r="F22" s="10">
        <f t="shared" si="0"/>
        <v>-3001.0250000000015</v>
      </c>
      <c r="G22" s="11">
        <f t="shared" si="3"/>
        <v>-0.11043269310380996</v>
      </c>
      <c r="H22" s="12">
        <v>26573</v>
      </c>
      <c r="I22" s="12">
        <f t="shared" si="1"/>
        <v>-2398.875</v>
      </c>
      <c r="J22" s="72">
        <f t="shared" si="2"/>
        <v>-9.027490309712867E-2</v>
      </c>
      <c r="K22" s="66" t="s">
        <v>797</v>
      </c>
      <c r="L22" s="66"/>
      <c r="M22" s="116"/>
      <c r="N22" s="116"/>
      <c r="O22" s="116"/>
      <c r="P22" s="116"/>
      <c r="Q22" s="116"/>
      <c r="R22" s="116"/>
      <c r="S22" s="116"/>
      <c r="T22" s="116"/>
    </row>
    <row r="23" spans="1:20" ht="15.6">
      <c r="A23" s="26" t="str">
        <v>K043</v>
      </c>
      <c r="B23" s="27" t="str">
        <v>NY</v>
      </c>
      <c r="C23" s="27" t="str">
        <f>Sites[[#This Row],[SOL'#]]</f>
        <v>SOL-10358</v>
      </c>
      <c r="D23" s="9">
        <v>30214.1875</v>
      </c>
      <c r="E23" s="14">
        <v>30097.14</v>
      </c>
      <c r="F23" s="14">
        <f t="shared" si="0"/>
        <v>117.04750000000058</v>
      </c>
      <c r="G23" s="15">
        <f t="shared" si="3"/>
        <v>3.8889907811838795E-3</v>
      </c>
      <c r="H23" s="16">
        <v>5845</v>
      </c>
      <c r="I23" s="16">
        <f t="shared" si="1"/>
        <v>24369.1875</v>
      </c>
      <c r="J23" s="15">
        <f t="shared" si="2"/>
        <v>4.1692365269461078</v>
      </c>
      <c r="K23" s="56" t="s">
        <v>47</v>
      </c>
      <c r="L23" s="39"/>
      <c r="M23" s="116"/>
      <c r="N23" s="116"/>
      <c r="O23" s="116"/>
      <c r="P23" s="116"/>
      <c r="Q23" s="116"/>
      <c r="R23" s="116"/>
      <c r="S23" s="116"/>
      <c r="T23" s="116"/>
    </row>
    <row r="24" spans="1:20" ht="28.9">
      <c r="A24" s="24" t="str">
        <v>K058</v>
      </c>
      <c r="B24" s="25" t="str">
        <v>NY</v>
      </c>
      <c r="C24" s="25" t="str">
        <f>Sites[[#This Row],[SOL'#]]</f>
        <v>SOL-10360</v>
      </c>
      <c r="D24" s="20">
        <v>0</v>
      </c>
      <c r="E24" s="10">
        <v>0</v>
      </c>
      <c r="F24" s="10">
        <f t="shared" si="0"/>
        <v>0</v>
      </c>
      <c r="G24" s="11" t="str">
        <f t="shared" si="3"/>
        <v/>
      </c>
      <c r="H24" s="12">
        <v>0</v>
      </c>
      <c r="I24" s="12">
        <f t="shared" si="1"/>
        <v>0</v>
      </c>
      <c r="J24" s="72" t="str">
        <f t="shared" si="2"/>
        <v/>
      </c>
      <c r="K24" s="37" t="s">
        <v>798</v>
      </c>
      <c r="L24" s="124" t="s">
        <v>282</v>
      </c>
      <c r="M24" s="116"/>
      <c r="N24" s="116"/>
      <c r="O24" s="116"/>
      <c r="P24" s="116"/>
      <c r="Q24" s="116"/>
      <c r="R24" s="116"/>
      <c r="S24" s="116"/>
      <c r="T24" s="116"/>
    </row>
    <row r="25" spans="1:20" ht="15.6">
      <c r="A25" s="26" t="str">
        <v>K115</v>
      </c>
      <c r="B25" s="27" t="str">
        <v>NY</v>
      </c>
      <c r="C25" s="27" t="str">
        <f>Sites[[#This Row],[SOL'#]]</f>
        <v>SOL-10361</v>
      </c>
      <c r="D25" s="9">
        <v>6317.3125</v>
      </c>
      <c r="E25" s="14">
        <v>10208.200000000001</v>
      </c>
      <c r="F25" s="14">
        <f t="shared" si="0"/>
        <v>-3890.8875000000007</v>
      </c>
      <c r="G25" s="15">
        <f t="shared" si="3"/>
        <v>-0.38115314159205349</v>
      </c>
      <c r="H25" s="16">
        <v>15164.8</v>
      </c>
      <c r="I25" s="16">
        <f t="shared" si="1"/>
        <v>-8847.4874999999993</v>
      </c>
      <c r="J25" s="15">
        <f t="shared" si="2"/>
        <v>-0.58342263003798267</v>
      </c>
      <c r="K25" s="69" t="s">
        <v>799</v>
      </c>
      <c r="L25" s="149" t="s">
        <v>49</v>
      </c>
      <c r="M25" s="116"/>
      <c r="N25" s="116"/>
      <c r="O25" s="116"/>
      <c r="P25" s="116"/>
      <c r="Q25" s="116"/>
      <c r="R25" s="116"/>
      <c r="S25" s="116"/>
      <c r="T25" s="116"/>
    </row>
    <row r="26" spans="1:20" ht="15.6">
      <c r="A26" s="24" t="str">
        <v>K152</v>
      </c>
      <c r="B26" s="25" t="str">
        <v>NY</v>
      </c>
      <c r="C26" s="25" t="str">
        <f>Sites[[#This Row],[SOL'#]]</f>
        <v>SOL-10362</v>
      </c>
      <c r="D26" s="20">
        <v>8946.03125</v>
      </c>
      <c r="E26" s="10">
        <v>9193.9009999999998</v>
      </c>
      <c r="F26" s="10">
        <f t="shared" si="0"/>
        <v>-247.86974999999984</v>
      </c>
      <c r="G26" s="11">
        <f t="shared" si="3"/>
        <v>-2.69602370092956E-2</v>
      </c>
      <c r="H26" s="12">
        <v>9488</v>
      </c>
      <c r="I26" s="12">
        <f t="shared" si="1"/>
        <v>-541.96875</v>
      </c>
      <c r="J26" s="72">
        <f t="shared" si="2"/>
        <v>-5.7121495573355816E-2</v>
      </c>
      <c r="K26" s="37"/>
      <c r="L26" s="37"/>
      <c r="M26" s="116"/>
      <c r="N26" s="116"/>
      <c r="O26" s="116"/>
      <c r="P26" s="116"/>
      <c r="Q26" s="116"/>
      <c r="R26" s="116"/>
      <c r="S26" s="116"/>
      <c r="T26" s="116"/>
    </row>
    <row r="27" spans="1:20" ht="15.6">
      <c r="A27" s="26" t="str">
        <v>K166</v>
      </c>
      <c r="B27" s="27" t="str">
        <v>NY</v>
      </c>
      <c r="C27" s="27" t="str">
        <f>Sites[[#This Row],[SOL'#]]</f>
        <v>SOL-10363</v>
      </c>
      <c r="D27" s="9">
        <v>32963.625</v>
      </c>
      <c r="E27" s="14">
        <v>35000.76</v>
      </c>
      <c r="F27" s="14">
        <f t="shared" si="0"/>
        <v>-2037.135000000002</v>
      </c>
      <c r="G27" s="15">
        <f t="shared" si="3"/>
        <v>-5.8202593315116638E-2</v>
      </c>
      <c r="H27" s="16">
        <v>34655.660000000003</v>
      </c>
      <c r="I27" s="16">
        <f t="shared" si="1"/>
        <v>-1692.0350000000035</v>
      </c>
      <c r="J27" s="15">
        <f t="shared" si="2"/>
        <v>-4.8824203607722473E-2</v>
      </c>
      <c r="K27" s="38"/>
      <c r="L27" s="39"/>
      <c r="M27" s="116"/>
      <c r="N27" s="116"/>
      <c r="O27" s="116"/>
      <c r="P27" s="116"/>
      <c r="Q27" s="116"/>
      <c r="R27" s="116"/>
      <c r="S27" s="116"/>
      <c r="T27" s="116"/>
    </row>
    <row r="28" spans="1:20" ht="15.6">
      <c r="A28" s="24" t="str">
        <v>K206</v>
      </c>
      <c r="B28" s="25" t="str">
        <v>NY</v>
      </c>
      <c r="C28" s="25" t="str">
        <f>Sites[[#This Row],[SOL'#]]</f>
        <v>SOL-10927</v>
      </c>
      <c r="D28" s="20">
        <v>19081.796875</v>
      </c>
      <c r="E28" s="10">
        <v>18878.37</v>
      </c>
      <c r="F28" s="10">
        <f t="shared" si="0"/>
        <v>203.42687500000102</v>
      </c>
      <c r="G28" s="11">
        <f t="shared" si="3"/>
        <v>1.0775658862497187E-2</v>
      </c>
      <c r="H28" s="12">
        <v>19705</v>
      </c>
      <c r="I28" s="12">
        <f t="shared" si="1"/>
        <v>-623.203125</v>
      </c>
      <c r="J28" s="72">
        <f t="shared" si="2"/>
        <v>-3.1626649327581829E-2</v>
      </c>
      <c r="K28" s="37"/>
      <c r="L28" s="37"/>
      <c r="M28" s="116"/>
      <c r="N28" s="116"/>
      <c r="O28" s="116"/>
      <c r="P28" s="116"/>
      <c r="Q28" s="116"/>
      <c r="R28" s="116"/>
      <c r="S28" s="116"/>
      <c r="T28" s="116"/>
    </row>
    <row r="29" spans="1:20" ht="28.9">
      <c r="A29" s="26" t="str">
        <v>K251</v>
      </c>
      <c r="B29" s="27" t="str">
        <v>NY</v>
      </c>
      <c r="C29" s="27" t="str">
        <f>Sites[[#This Row],[SOL'#]]</f>
        <v>SOL-10365</v>
      </c>
      <c r="D29" s="9">
        <v>20736.1875</v>
      </c>
      <c r="E29" s="14">
        <v>0</v>
      </c>
      <c r="F29" s="14">
        <f t="shared" si="0"/>
        <v>20736.1875</v>
      </c>
      <c r="G29" s="15" t="str">
        <f t="shared" si="3"/>
        <v/>
      </c>
      <c r="H29" s="16">
        <v>21903.15</v>
      </c>
      <c r="I29" s="16">
        <f t="shared" si="1"/>
        <v>-1166.9625000000015</v>
      </c>
      <c r="J29" s="15">
        <f t="shared" si="2"/>
        <v>-5.3278295587621025E-2</v>
      </c>
      <c r="K29" s="67" t="s">
        <v>800</v>
      </c>
      <c r="L29" s="149" t="s">
        <v>284</v>
      </c>
      <c r="M29" s="116"/>
      <c r="N29" s="116"/>
      <c r="O29" s="116"/>
      <c r="P29" s="116"/>
      <c r="Q29" s="116"/>
      <c r="R29" s="116"/>
      <c r="S29" s="116"/>
      <c r="T29" s="116"/>
    </row>
    <row r="30" spans="1:20" ht="15.6">
      <c r="A30" s="24" t="str">
        <v>K269</v>
      </c>
      <c r="B30" s="25" t="str">
        <v>NY</v>
      </c>
      <c r="C30" s="25" t="str">
        <f>Sites[[#This Row],[SOL'#]]</f>
        <v>SOL-10366</v>
      </c>
      <c r="D30" s="20">
        <v>19317.125</v>
      </c>
      <c r="E30" s="10">
        <v>22321.96</v>
      </c>
      <c r="F30" s="10">
        <f t="shared" si="0"/>
        <v>-3004.8349999999991</v>
      </c>
      <c r="G30" s="11">
        <f t="shared" si="3"/>
        <v>-0.13461340312409839</v>
      </c>
      <c r="H30" s="12">
        <v>20834.2</v>
      </c>
      <c r="I30" s="12">
        <f t="shared" si="1"/>
        <v>-1517.0750000000007</v>
      </c>
      <c r="J30" s="72">
        <f t="shared" si="2"/>
        <v>-7.2816570830653474E-2</v>
      </c>
      <c r="K30" s="37" t="s">
        <v>797</v>
      </c>
      <c r="L30" s="37"/>
      <c r="M30" s="116"/>
      <c r="N30" s="116"/>
      <c r="O30" s="116"/>
      <c r="P30" s="116"/>
      <c r="Q30" s="116"/>
      <c r="R30" s="116"/>
      <c r="S30" s="116"/>
      <c r="T30" s="116"/>
    </row>
    <row r="31" spans="1:20" ht="72">
      <c r="A31" s="26" t="str">
        <v>K273</v>
      </c>
      <c r="B31" s="27" t="str">
        <v>NY</v>
      </c>
      <c r="C31" s="27" t="str">
        <f>Sites[[#This Row],[SOL'#]]</f>
        <v>SOL-10367</v>
      </c>
      <c r="D31" s="9">
        <v>20828.125</v>
      </c>
      <c r="E31" s="14">
        <v>0</v>
      </c>
      <c r="F31" s="14">
        <f t="shared" si="0"/>
        <v>20828.125</v>
      </c>
      <c r="G31" s="15" t="str">
        <f t="shared" si="3"/>
        <v/>
      </c>
      <c r="H31" s="16">
        <v>26398</v>
      </c>
      <c r="I31" s="16">
        <f t="shared" si="1"/>
        <v>-5569.875</v>
      </c>
      <c r="J31" s="15">
        <f t="shared" si="2"/>
        <v>-0.21099609818925677</v>
      </c>
      <c r="K31" s="67" t="s">
        <v>801</v>
      </c>
      <c r="L31" s="149" t="s">
        <v>493</v>
      </c>
      <c r="M31" s="115" t="s">
        <v>55</v>
      </c>
      <c r="N31" s="115" t="s">
        <v>494</v>
      </c>
      <c r="O31" s="116"/>
      <c r="P31" s="116"/>
      <c r="Q31" s="116"/>
      <c r="R31" s="116"/>
      <c r="S31" s="116"/>
      <c r="T31" s="116"/>
    </row>
    <row r="32" spans="1:20" ht="15.6">
      <c r="A32" s="24" t="str">
        <v>K287</v>
      </c>
      <c r="B32" s="25" t="str">
        <v>NY</v>
      </c>
      <c r="C32" s="25" t="str">
        <f>Sites[[#This Row],[SOL'#]]</f>
        <v>SOL-10919</v>
      </c>
      <c r="D32" s="20">
        <v>16925.28125</v>
      </c>
      <c r="E32" s="10">
        <v>14857.87</v>
      </c>
      <c r="F32" s="10">
        <f t="shared" si="0"/>
        <v>2067.4112499999992</v>
      </c>
      <c r="G32" s="11">
        <f t="shared" si="3"/>
        <v>0.13914587016846958</v>
      </c>
      <c r="H32" s="12">
        <v>18269</v>
      </c>
      <c r="I32" s="12">
        <f t="shared" si="1"/>
        <v>-1343.71875</v>
      </c>
      <c r="J32" s="72">
        <f t="shared" si="2"/>
        <v>-7.3551850128633203E-2</v>
      </c>
      <c r="K32" s="37"/>
      <c r="L32" s="37"/>
      <c r="M32" s="116"/>
      <c r="N32" s="116"/>
      <c r="O32" s="116"/>
      <c r="P32" s="116"/>
      <c r="Q32" s="116"/>
      <c r="R32" s="116"/>
      <c r="S32" s="116"/>
      <c r="T32" s="116"/>
    </row>
    <row r="33" spans="1:20" ht="28.5" customHeight="1">
      <c r="A33" s="26" t="str">
        <v>K298</v>
      </c>
      <c r="B33" s="27" t="str">
        <v>NY</v>
      </c>
      <c r="C33" s="27" t="str">
        <f>Sites[[#This Row],[SOL'#]]</f>
        <v>SOL-10368</v>
      </c>
      <c r="D33" s="9">
        <v>18291.09375</v>
      </c>
      <c r="E33" s="14">
        <v>19537.97</v>
      </c>
      <c r="F33" s="14">
        <f t="shared" si="0"/>
        <v>-1246.8762500000012</v>
      </c>
      <c r="G33" s="15">
        <f t="shared" si="3"/>
        <v>-6.381810648700971E-2</v>
      </c>
      <c r="H33" s="16">
        <v>20871</v>
      </c>
      <c r="I33" s="16">
        <f t="shared" si="1"/>
        <v>-2579.90625</v>
      </c>
      <c r="J33" s="15">
        <f t="shared" si="2"/>
        <v>-0.12361200948684778</v>
      </c>
      <c r="K33" s="56" t="s">
        <v>802</v>
      </c>
      <c r="L33" s="125" t="s">
        <v>803</v>
      </c>
      <c r="M33" s="116"/>
      <c r="N33" s="116"/>
      <c r="O33" s="116"/>
      <c r="P33" s="116"/>
      <c r="Q33" s="116"/>
      <c r="R33" s="116"/>
      <c r="S33" s="116"/>
      <c r="T33" s="116"/>
    </row>
    <row r="34" spans="1:20" ht="15.6">
      <c r="A34" s="24" t="str">
        <v>K335</v>
      </c>
      <c r="B34" s="25" t="str">
        <v>NY</v>
      </c>
      <c r="C34" s="25" t="str">
        <f>Sites[[#This Row],[SOL'#]]</f>
        <v>SOL-10370</v>
      </c>
      <c r="D34" s="20">
        <v>19606.1875</v>
      </c>
      <c r="E34" s="10">
        <v>21354.86</v>
      </c>
      <c r="F34" s="10">
        <f t="shared" si="0"/>
        <v>-1748.6725000000006</v>
      </c>
      <c r="G34" s="11">
        <f t="shared" si="3"/>
        <v>-8.188639494709872E-2</v>
      </c>
      <c r="H34" s="12">
        <v>21969</v>
      </c>
      <c r="I34" s="12">
        <f t="shared" si="1"/>
        <v>-2362.8125</v>
      </c>
      <c r="J34" s="72">
        <f t="shared" si="2"/>
        <v>-0.10755211889480631</v>
      </c>
      <c r="K34" s="66" t="s">
        <v>797</v>
      </c>
      <c r="L34" s="66"/>
      <c r="M34" s="116"/>
      <c r="N34" s="116"/>
      <c r="O34" s="116"/>
      <c r="P34" s="116"/>
      <c r="Q34" s="116"/>
      <c r="R34" s="116"/>
      <c r="S34" s="116"/>
      <c r="T34" s="116"/>
    </row>
    <row r="35" spans="1:20" ht="15.6">
      <c r="A35" s="26" t="str">
        <v>K345</v>
      </c>
      <c r="B35" s="27" t="str">
        <v>NY</v>
      </c>
      <c r="C35" s="27" t="str">
        <f>Sites[[#This Row],[SOL'#]]</f>
        <v>SOL-10920</v>
      </c>
      <c r="D35" s="9">
        <v>22556.40625</v>
      </c>
      <c r="E35" s="14">
        <v>13563.33</v>
      </c>
      <c r="F35" s="14">
        <f t="shared" si="0"/>
        <v>8993.0762500000001</v>
      </c>
      <c r="G35" s="15">
        <f t="shared" si="3"/>
        <v>0.66304338610061098</v>
      </c>
      <c r="H35" s="16">
        <v>24273</v>
      </c>
      <c r="I35" s="16">
        <f t="shared" si="1"/>
        <v>-1716.59375</v>
      </c>
      <c r="J35" s="15">
        <f t="shared" si="2"/>
        <v>-7.0720296213900219E-2</v>
      </c>
      <c r="K35" s="67" t="s">
        <v>804</v>
      </c>
      <c r="L35" s="68"/>
      <c r="M35" s="116"/>
      <c r="N35" s="116"/>
      <c r="O35" s="116"/>
      <c r="P35" s="116"/>
      <c r="Q35" s="116"/>
      <c r="R35" s="116"/>
      <c r="S35" s="116"/>
      <c r="T35" s="116"/>
    </row>
    <row r="36" spans="1:20" ht="15.6">
      <c r="A36" s="24" t="str">
        <v>K445</v>
      </c>
      <c r="B36" s="25" t="str">
        <v>NY</v>
      </c>
      <c r="C36" s="25" t="str">
        <f>Sites[[#This Row],[SOL'#]]</f>
        <v>SOL-10373</v>
      </c>
      <c r="D36" s="20">
        <v>18283.4375</v>
      </c>
      <c r="E36" s="10">
        <v>19900.89</v>
      </c>
      <c r="F36" s="10">
        <f t="shared" si="0"/>
        <v>-1617.4524999999994</v>
      </c>
      <c r="G36" s="11">
        <f t="shared" si="3"/>
        <v>-8.1275385171215936E-2</v>
      </c>
      <c r="H36" s="12">
        <v>19373.38</v>
      </c>
      <c r="I36" s="12">
        <f t="shared" si="1"/>
        <v>-1089.942500000001</v>
      </c>
      <c r="J36" s="72">
        <f t="shared" si="2"/>
        <v>-5.6259800819475021E-2</v>
      </c>
      <c r="K36" s="37"/>
      <c r="L36" s="37"/>
      <c r="M36" s="116"/>
      <c r="N36" s="116"/>
      <c r="O36" s="116"/>
      <c r="P36" s="116"/>
      <c r="Q36" s="116"/>
      <c r="R36" s="116"/>
      <c r="S36" s="116"/>
      <c r="T36" s="116"/>
    </row>
    <row r="37" spans="1:20" ht="172.5" customHeight="1">
      <c r="A37" s="26" t="str">
        <v>K495</v>
      </c>
      <c r="B37" s="27" t="str">
        <v>NY</v>
      </c>
      <c r="C37" s="27" t="str">
        <f>Sites[[#This Row],[SOL'#]]</f>
        <v>SOL-10374</v>
      </c>
      <c r="D37" s="9">
        <v>38230.5</v>
      </c>
      <c r="E37" s="14">
        <v>77931</v>
      </c>
      <c r="F37" s="14">
        <f t="shared" si="0"/>
        <v>-39700.5</v>
      </c>
      <c r="G37" s="15">
        <f t="shared" si="3"/>
        <v>-0.50943142010239828</v>
      </c>
      <c r="H37" s="16">
        <v>89545.34</v>
      </c>
      <c r="I37" s="16">
        <f t="shared" si="1"/>
        <v>-51314.84</v>
      </c>
      <c r="J37" s="15">
        <f t="shared" si="2"/>
        <v>-0.57305985995474473</v>
      </c>
      <c r="K37" s="56" t="s">
        <v>805</v>
      </c>
      <c r="L37" s="125" t="s">
        <v>806</v>
      </c>
      <c r="M37" s="115" t="s">
        <v>807</v>
      </c>
      <c r="N37" s="115" t="s">
        <v>808</v>
      </c>
      <c r="O37" s="116"/>
      <c r="P37" s="116"/>
      <c r="Q37" s="116"/>
      <c r="R37" s="116"/>
      <c r="S37" s="116"/>
      <c r="T37" s="116"/>
    </row>
    <row r="38" spans="1:20" ht="43.15">
      <c r="A38" s="24" t="str">
        <v>M020</v>
      </c>
      <c r="B38" s="25" t="str">
        <v>NY</v>
      </c>
      <c r="C38" s="25" t="str">
        <f>Sites[[#This Row],[SOL'#]]</f>
        <v>SOL-10380</v>
      </c>
      <c r="D38" s="20">
        <v>18382.46875</v>
      </c>
      <c r="E38" s="10">
        <v>21440.02</v>
      </c>
      <c r="F38" s="10">
        <f t="shared" si="0"/>
        <v>-3057.5512500000004</v>
      </c>
      <c r="G38" s="11">
        <f t="shared" si="3"/>
        <v>-0.14260953347991281</v>
      </c>
      <c r="H38" s="12">
        <v>22928</v>
      </c>
      <c r="I38" s="12">
        <f t="shared" si="1"/>
        <v>-4545.53125</v>
      </c>
      <c r="J38" s="72">
        <f t="shared" si="2"/>
        <v>-0.19825240971737612</v>
      </c>
      <c r="K38" s="37" t="s">
        <v>809</v>
      </c>
      <c r="L38" s="124" t="s">
        <v>810</v>
      </c>
      <c r="M38" s="116"/>
      <c r="N38" s="116"/>
      <c r="O38" s="116"/>
      <c r="P38" s="116"/>
      <c r="Q38" s="116"/>
      <c r="R38" s="116"/>
      <c r="S38" s="116"/>
      <c r="T38" s="116"/>
    </row>
    <row r="39" spans="1:20" ht="15.6">
      <c r="A39" s="26" t="str">
        <v>M092</v>
      </c>
      <c r="B39" s="27" t="str">
        <v>NY</v>
      </c>
      <c r="C39" s="27" t="str">
        <f>Sites[[#This Row],[SOL'#]]</f>
        <v>SOL-10383</v>
      </c>
      <c r="D39" s="9">
        <v>20002.3125</v>
      </c>
      <c r="E39" s="14">
        <v>21125.88</v>
      </c>
      <c r="F39" s="14">
        <f t="shared" si="0"/>
        <v>-1123.567500000001</v>
      </c>
      <c r="G39" s="15">
        <f t="shared" si="3"/>
        <v>-5.31844117262808E-2</v>
      </c>
      <c r="H39" s="16">
        <v>22220.51</v>
      </c>
      <c r="I39" s="16">
        <f t="shared" si="1"/>
        <v>-2218.1974999999984</v>
      </c>
      <c r="J39" s="15">
        <f t="shared" si="2"/>
        <v>-9.9826579137922505E-2</v>
      </c>
      <c r="K39" s="38"/>
      <c r="L39" s="39"/>
      <c r="M39" s="116"/>
      <c r="N39" s="116"/>
      <c r="O39" s="116"/>
      <c r="P39" s="116"/>
      <c r="Q39" s="116"/>
      <c r="R39" s="116"/>
      <c r="S39" s="116"/>
      <c r="T39" s="116"/>
    </row>
    <row r="40" spans="1:20" ht="28.9">
      <c r="A40" s="24" t="str">
        <v>M143</v>
      </c>
      <c r="B40" s="25" t="str">
        <v>NY</v>
      </c>
      <c r="C40" s="25" t="str">
        <f>Sites[[#This Row],[SOL'#]]</f>
        <v>SOL-10384</v>
      </c>
      <c r="D40" s="20">
        <v>23438.6875</v>
      </c>
      <c r="E40" s="10">
        <v>26600.75</v>
      </c>
      <c r="F40" s="10">
        <f t="shared" si="0"/>
        <v>-3162.0625</v>
      </c>
      <c r="G40" s="11">
        <f t="shared" si="3"/>
        <v>-0.1188711784442168</v>
      </c>
      <c r="H40" s="12">
        <v>24656.400000000001</v>
      </c>
      <c r="I40" s="12">
        <f t="shared" si="1"/>
        <v>-1217.7125000000015</v>
      </c>
      <c r="J40" s="72">
        <f t="shared" si="2"/>
        <v>-4.9387278759267426E-2</v>
      </c>
      <c r="K40" s="37" t="s">
        <v>811</v>
      </c>
      <c r="L40" s="124" t="s">
        <v>812</v>
      </c>
      <c r="M40" s="116"/>
      <c r="N40" s="116"/>
      <c r="O40" s="116"/>
      <c r="P40" s="116"/>
      <c r="Q40" s="116"/>
      <c r="R40" s="116"/>
      <c r="S40" s="116"/>
      <c r="T40" s="116"/>
    </row>
    <row r="41" spans="1:20" ht="15.6">
      <c r="A41" s="26" t="str">
        <v>M144</v>
      </c>
      <c r="B41" s="27" t="str">
        <v>NY</v>
      </c>
      <c r="C41" s="27" t="str">
        <f>Sites[[#This Row],[SOL'#]]</f>
        <v>SOL-10385</v>
      </c>
      <c r="D41" s="9">
        <v>33364.5625</v>
      </c>
      <c r="E41" s="14" t="s">
        <v>777</v>
      </c>
      <c r="F41" s="14" t="str">
        <f t="shared" si="0"/>
        <v/>
      </c>
      <c r="G41" s="15" t="str">
        <f t="shared" si="3"/>
        <v/>
      </c>
      <c r="H41" s="16">
        <v>35364</v>
      </c>
      <c r="I41" s="16">
        <f t="shared" si="1"/>
        <v>-1999.4375</v>
      </c>
      <c r="J41" s="15">
        <f t="shared" si="2"/>
        <v>-5.6538782377559098E-2</v>
      </c>
      <c r="K41" s="38"/>
      <c r="L41" s="38"/>
      <c r="M41" s="116"/>
      <c r="N41" s="116"/>
      <c r="O41" s="116"/>
      <c r="P41" s="116"/>
      <c r="Q41" s="116"/>
      <c r="R41" s="116"/>
      <c r="S41" s="116"/>
      <c r="T41" s="116"/>
    </row>
    <row r="42" spans="1:20" ht="15.6">
      <c r="A42" s="24" t="str">
        <v>M167</v>
      </c>
      <c r="B42" s="25" t="str">
        <v>NY</v>
      </c>
      <c r="C42" s="25" t="str">
        <f>Sites[[#This Row],[SOL'#]]</f>
        <v>SOL-10386</v>
      </c>
      <c r="D42" s="20">
        <v>24800.40625</v>
      </c>
      <c r="E42" s="10">
        <v>18540.54</v>
      </c>
      <c r="F42" s="10">
        <f t="shared" si="0"/>
        <v>6259.8662499999991</v>
      </c>
      <c r="G42" s="11">
        <f t="shared" si="3"/>
        <v>0.33763127988720926</v>
      </c>
      <c r="H42" s="12">
        <v>29218.68</v>
      </c>
      <c r="I42" s="12">
        <f t="shared" si="1"/>
        <v>-4418.2737500000003</v>
      </c>
      <c r="J42" s="72">
        <f t="shared" si="2"/>
        <v>-0.15121400932554108</v>
      </c>
      <c r="K42" s="66" t="s">
        <v>813</v>
      </c>
      <c r="L42" s="66"/>
      <c r="M42" s="116"/>
      <c r="N42" s="116"/>
      <c r="O42" s="116"/>
      <c r="P42" s="116"/>
      <c r="Q42" s="116"/>
      <c r="R42" s="116"/>
      <c r="S42" s="116"/>
      <c r="T42" s="116"/>
    </row>
    <row r="43" spans="1:20" ht="155.25" customHeight="1">
      <c r="A43" s="26" t="str">
        <v>M188</v>
      </c>
      <c r="B43" s="27" t="str">
        <v>NY</v>
      </c>
      <c r="C43" s="27" t="str">
        <f>Sites[[#This Row],[SOL'#]]</f>
        <v>SOL-10387</v>
      </c>
      <c r="D43" s="9">
        <v>15083.375</v>
      </c>
      <c r="E43" s="14" t="s">
        <v>777</v>
      </c>
      <c r="F43" s="14" t="str">
        <f t="shared" si="0"/>
        <v/>
      </c>
      <c r="G43" s="15" t="str">
        <f t="shared" si="3"/>
        <v/>
      </c>
      <c r="H43" s="16">
        <v>18637</v>
      </c>
      <c r="I43" s="16">
        <f t="shared" si="1"/>
        <v>-3553.625</v>
      </c>
      <c r="J43" s="15">
        <f t="shared" si="2"/>
        <v>-0.19067580619198368</v>
      </c>
      <c r="K43" s="57" t="s">
        <v>814</v>
      </c>
      <c r="L43" s="125" t="s">
        <v>815</v>
      </c>
      <c r="M43" s="115" t="s">
        <v>816</v>
      </c>
      <c r="N43" s="115" t="s">
        <v>817</v>
      </c>
      <c r="O43" s="115" t="s">
        <v>818</v>
      </c>
      <c r="P43" s="116"/>
      <c r="Q43" s="116"/>
      <c r="R43" s="116"/>
      <c r="S43" s="116"/>
      <c r="T43" s="116"/>
    </row>
    <row r="44" spans="1:20" ht="15.75" customHeight="1">
      <c r="A44" s="24" t="str">
        <v>EMHC</v>
      </c>
      <c r="B44" s="25" t="str">
        <v>NY</v>
      </c>
      <c r="C44" s="25" t="str">
        <f>Sites[[#This Row],[SOL'#]]</f>
        <v>SOL-10351</v>
      </c>
      <c r="D44" s="20">
        <v>6770.2578125</v>
      </c>
      <c r="E44" s="10">
        <v>5752.7079999999996</v>
      </c>
      <c r="F44" s="10">
        <f t="shared" si="0"/>
        <v>1017.5498125000004</v>
      </c>
      <c r="G44" s="11">
        <f t="shared" si="3"/>
        <v>0.17688188110712388</v>
      </c>
      <c r="H44" s="12">
        <v>8755.6389999999992</v>
      </c>
      <c r="I44" s="12">
        <f t="shared" si="1"/>
        <v>-1985.3811874999992</v>
      </c>
      <c r="J44" s="72">
        <f t="shared" si="2"/>
        <v>-0.22675457353826481</v>
      </c>
      <c r="K44" s="37" t="s">
        <v>819</v>
      </c>
      <c r="L44" s="124" t="s">
        <v>820</v>
      </c>
      <c r="M44" s="116"/>
      <c r="N44" s="116"/>
      <c r="O44" s="116"/>
      <c r="P44" s="116"/>
      <c r="Q44" s="116"/>
      <c r="R44" s="116"/>
      <c r="S44" s="116"/>
      <c r="T44" s="116"/>
    </row>
    <row r="45" spans="1:20" ht="28.9">
      <c r="A45" s="26" t="str">
        <v>Q008</v>
      </c>
      <c r="B45" s="27" t="str">
        <v>NY</v>
      </c>
      <c r="C45" s="27" t="str">
        <f>Sites[[#This Row],[SOL'#]]</f>
        <v>SOL-10397</v>
      </c>
      <c r="D45" s="9">
        <v>0</v>
      </c>
      <c r="E45" s="14">
        <v>0</v>
      </c>
      <c r="F45" s="14">
        <f t="shared" si="0"/>
        <v>0</v>
      </c>
      <c r="G45" s="15" t="str">
        <f t="shared" si="3"/>
        <v/>
      </c>
      <c r="H45" s="16">
        <v>0</v>
      </c>
      <c r="I45" s="16">
        <f t="shared" si="1"/>
        <v>0</v>
      </c>
      <c r="J45" s="15" t="str">
        <f t="shared" si="2"/>
        <v/>
      </c>
      <c r="K45" s="38" t="s">
        <v>821</v>
      </c>
      <c r="L45" s="127" t="s">
        <v>822</v>
      </c>
      <c r="M45" s="116"/>
      <c r="N45" s="116"/>
      <c r="O45" s="116"/>
      <c r="P45" s="116"/>
      <c r="Q45" s="116"/>
      <c r="R45" s="116"/>
      <c r="S45" s="116"/>
      <c r="T45" s="116"/>
    </row>
    <row r="46" spans="1:20" ht="15.6">
      <c r="A46" s="24" t="str">
        <v>Q018</v>
      </c>
      <c r="B46" s="25" t="str">
        <v>NY</v>
      </c>
      <c r="C46" s="25" t="str">
        <f>Sites[[#This Row],[SOL'#]]</f>
        <v>SOL-10398</v>
      </c>
      <c r="D46" s="20">
        <v>18729.875</v>
      </c>
      <c r="E46" s="10">
        <v>19231.93</v>
      </c>
      <c r="F46" s="10">
        <f t="shared" si="0"/>
        <v>-502.05500000000029</v>
      </c>
      <c r="G46" s="11">
        <f t="shared" si="3"/>
        <v>-2.610528428504057E-2</v>
      </c>
      <c r="H46" s="12">
        <v>17292.689999999999</v>
      </c>
      <c r="I46" s="12">
        <f t="shared" si="1"/>
        <v>1437.1850000000013</v>
      </c>
      <c r="J46" s="72">
        <f t="shared" si="2"/>
        <v>8.3109394778950033E-2</v>
      </c>
      <c r="K46" s="37"/>
      <c r="L46" s="37"/>
      <c r="M46" s="116"/>
      <c r="N46" s="116"/>
      <c r="O46" s="116"/>
      <c r="P46" s="116"/>
      <c r="Q46" s="116"/>
      <c r="R46" s="116"/>
      <c r="S46" s="116"/>
      <c r="T46" s="116"/>
    </row>
    <row r="47" spans="1:20" ht="15.6">
      <c r="A47" s="26" t="str">
        <v>Q021</v>
      </c>
      <c r="B47" s="27" t="str">
        <v>NY</v>
      </c>
      <c r="C47" s="27" t="str">
        <f>Sites[[#This Row],[SOL'#]]</f>
        <v>SOL-10399</v>
      </c>
      <c r="D47" s="9">
        <v>14665.9375</v>
      </c>
      <c r="E47" s="14">
        <v>14406.07</v>
      </c>
      <c r="F47" s="14">
        <f t="shared" si="0"/>
        <v>259.86750000000029</v>
      </c>
      <c r="G47" s="15">
        <f t="shared" si="3"/>
        <v>1.8038750332325215E-2</v>
      </c>
      <c r="H47" s="16">
        <v>14385.87</v>
      </c>
      <c r="I47" s="16">
        <f t="shared" si="1"/>
        <v>280.0674999999992</v>
      </c>
      <c r="J47" s="15">
        <f t="shared" si="2"/>
        <v>1.9468235150185507E-2</v>
      </c>
      <c r="K47" s="38"/>
      <c r="L47" s="39"/>
      <c r="M47" s="116"/>
      <c r="N47" s="116"/>
      <c r="O47" s="116"/>
      <c r="P47" s="116"/>
      <c r="Q47" s="116"/>
      <c r="R47" s="116"/>
      <c r="S47" s="116"/>
      <c r="T47" s="116"/>
    </row>
    <row r="48" spans="1:20" ht="15.6">
      <c r="A48" s="24" t="str">
        <v>Q025</v>
      </c>
      <c r="B48" s="25" t="str">
        <v>NY</v>
      </c>
      <c r="C48" s="25" t="str">
        <f>Sites[[#This Row],[SOL'#]]</f>
        <v>SOL-10400</v>
      </c>
      <c r="D48" s="20">
        <v>25002.125</v>
      </c>
      <c r="E48" s="10">
        <v>24715.96</v>
      </c>
      <c r="F48" s="10">
        <f t="shared" si="0"/>
        <v>286.16500000000087</v>
      </c>
      <c r="G48" s="11">
        <f t="shared" si="3"/>
        <v>1.1578146266622898E-2</v>
      </c>
      <c r="H48" s="12">
        <v>13314</v>
      </c>
      <c r="I48" s="12">
        <f t="shared" si="1"/>
        <v>11688.125</v>
      </c>
      <c r="J48" s="72">
        <f t="shared" si="2"/>
        <v>0.87788230434129488</v>
      </c>
      <c r="K48" s="66"/>
      <c r="L48" s="66"/>
      <c r="M48" s="116"/>
      <c r="N48" s="116"/>
      <c r="O48" s="116"/>
      <c r="P48" s="116"/>
      <c r="Q48" s="116"/>
      <c r="R48" s="116"/>
      <c r="S48" s="116"/>
      <c r="T48" s="116"/>
    </row>
    <row r="49" spans="1:20" ht="15.6">
      <c r="A49" s="26" t="str">
        <v>Q074</v>
      </c>
      <c r="B49" s="27" t="str">
        <v>NY</v>
      </c>
      <c r="C49" s="27" t="str">
        <f>Sites[[#This Row],[SOL'#]]</f>
        <v>SOL-10402</v>
      </c>
      <c r="D49" s="9">
        <v>16554.25</v>
      </c>
      <c r="E49" s="14">
        <v>16150.24</v>
      </c>
      <c r="F49" s="14">
        <f t="shared" si="0"/>
        <v>404.01000000000022</v>
      </c>
      <c r="G49" s="15">
        <f t="shared" si="3"/>
        <v>2.5015727320460885E-2</v>
      </c>
      <c r="H49" s="16">
        <v>16444.09</v>
      </c>
      <c r="I49" s="16">
        <f t="shared" si="1"/>
        <v>110.15999999999985</v>
      </c>
      <c r="J49" s="15">
        <f t="shared" si="2"/>
        <v>6.6990633108916248E-3</v>
      </c>
      <c r="K49" s="38"/>
      <c r="L49" s="39"/>
      <c r="M49" s="116"/>
      <c r="N49" s="116"/>
      <c r="O49" s="116"/>
      <c r="P49" s="116"/>
      <c r="Q49" s="116"/>
      <c r="R49" s="116"/>
      <c r="S49" s="116"/>
      <c r="T49" s="116"/>
    </row>
    <row r="50" spans="1:20" ht="15.6">
      <c r="A50" s="24" t="str">
        <v>Q115</v>
      </c>
      <c r="B50" s="25" t="str">
        <v>NY</v>
      </c>
      <c r="C50" s="25" t="str">
        <f>Sites[[#This Row],[SOL'#]]</f>
        <v>SOL-10872</v>
      </c>
      <c r="D50" s="20">
        <v>20844.875</v>
      </c>
      <c r="E50" s="10">
        <v>21900.79</v>
      </c>
      <c r="F50" s="10">
        <f t="shared" si="0"/>
        <v>-1055.9150000000009</v>
      </c>
      <c r="G50" s="11">
        <f t="shared" si="3"/>
        <v>-4.8213557593127954E-2</v>
      </c>
      <c r="H50" s="12">
        <v>21477.78</v>
      </c>
      <c r="I50" s="12">
        <f t="shared" si="1"/>
        <v>-632.90499999999884</v>
      </c>
      <c r="J50" s="72">
        <f t="shared" si="2"/>
        <v>-2.9467896588939772E-2</v>
      </c>
      <c r="K50" s="37"/>
      <c r="L50" s="37"/>
      <c r="M50" s="116"/>
      <c r="N50" s="116"/>
      <c r="O50" s="116"/>
      <c r="P50" s="116"/>
      <c r="Q50" s="116"/>
      <c r="R50" s="116"/>
      <c r="S50" s="116"/>
      <c r="T50" s="116"/>
    </row>
    <row r="51" spans="1:20" ht="15.6">
      <c r="A51" s="26" t="str">
        <v>Q139</v>
      </c>
      <c r="B51" s="27" t="str">
        <v>NY</v>
      </c>
      <c r="C51" s="27" t="str">
        <f>Sites[[#This Row],[SOL'#]]</f>
        <v>SOL-10403</v>
      </c>
      <c r="D51" s="9">
        <v>12667.03125</v>
      </c>
      <c r="E51" s="14">
        <v>13725.07</v>
      </c>
      <c r="F51" s="14">
        <f t="shared" si="0"/>
        <v>-1058.0387499999997</v>
      </c>
      <c r="G51" s="15">
        <f t="shared" si="3"/>
        <v>-7.7088040352435341E-2</v>
      </c>
      <c r="H51" s="16">
        <v>13801</v>
      </c>
      <c r="I51" s="16">
        <f t="shared" si="1"/>
        <v>-1133.96875</v>
      </c>
      <c r="J51" s="15">
        <f t="shared" si="2"/>
        <v>-8.2165694514890225E-2</v>
      </c>
      <c r="K51" s="38"/>
      <c r="L51" s="39"/>
      <c r="M51" s="116"/>
      <c r="N51" s="116"/>
      <c r="O51" s="116"/>
      <c r="P51" s="116"/>
      <c r="Q51" s="116"/>
      <c r="R51" s="116"/>
      <c r="S51" s="116"/>
      <c r="T51" s="116"/>
    </row>
    <row r="52" spans="1:20" ht="121.5" customHeight="1">
      <c r="A52" s="24" t="str">
        <v>Q157</v>
      </c>
      <c r="B52" s="25" t="str">
        <v>NY</v>
      </c>
      <c r="C52" s="25" t="str">
        <f>Sites[[#This Row],[SOL'#]]</f>
        <v>SOL-10404</v>
      </c>
      <c r="D52" s="20">
        <v>22285.3125</v>
      </c>
      <c r="E52" s="10">
        <v>24006.62</v>
      </c>
      <c r="F52" s="10">
        <f t="shared" si="0"/>
        <v>-1721.307499999999</v>
      </c>
      <c r="G52" s="11">
        <f t="shared" si="3"/>
        <v>-7.1701368205936492E-2</v>
      </c>
      <c r="H52" s="12">
        <v>24481.19</v>
      </c>
      <c r="I52" s="12">
        <f t="shared" si="1"/>
        <v>-2195.8774999999987</v>
      </c>
      <c r="J52" s="72">
        <f t="shared" si="2"/>
        <v>-8.9696518020570035E-2</v>
      </c>
      <c r="K52" s="37" t="s">
        <v>823</v>
      </c>
      <c r="L52" s="124" t="s">
        <v>824</v>
      </c>
      <c r="M52" s="115" t="s">
        <v>825</v>
      </c>
      <c r="N52" s="115" t="s">
        <v>826</v>
      </c>
      <c r="O52" s="116"/>
      <c r="P52" s="116"/>
      <c r="Q52" s="116"/>
      <c r="R52" s="116"/>
      <c r="S52" s="116"/>
      <c r="T52" s="116"/>
    </row>
    <row r="53" spans="1:20" ht="15.6">
      <c r="A53" s="26" t="str">
        <v>Q192</v>
      </c>
      <c r="B53" s="27" t="str">
        <v>NY</v>
      </c>
      <c r="C53" s="27" t="str">
        <f>Sites[[#This Row],[SOL'#]]</f>
        <v>SOL-10406</v>
      </c>
      <c r="D53" s="9">
        <v>34496</v>
      </c>
      <c r="E53" s="14">
        <v>36955.21</v>
      </c>
      <c r="F53" s="14">
        <f t="shared" si="0"/>
        <v>-2459.2099999999991</v>
      </c>
      <c r="G53" s="15">
        <f t="shared" si="3"/>
        <v>-6.6545691392363868E-2</v>
      </c>
      <c r="H53" s="16">
        <v>35580.410000000003</v>
      </c>
      <c r="I53" s="16">
        <f t="shared" si="1"/>
        <v>-1084.4100000000035</v>
      </c>
      <c r="J53" s="15">
        <f t="shared" si="2"/>
        <v>-3.0477726366840725E-2</v>
      </c>
      <c r="K53" s="38"/>
      <c r="L53" s="38"/>
      <c r="M53" s="116"/>
      <c r="N53" s="116"/>
      <c r="O53" s="116"/>
      <c r="P53" s="116"/>
      <c r="Q53" s="116"/>
      <c r="R53" s="116"/>
      <c r="S53" s="116"/>
      <c r="T53" s="116"/>
    </row>
    <row r="54" spans="1:20" ht="15.6">
      <c r="A54" s="24" t="str">
        <v>Q210</v>
      </c>
      <c r="B54" s="25" t="str">
        <v>NY</v>
      </c>
      <c r="C54" s="25" t="str">
        <f>Sites[[#This Row],[SOL'#]]</f>
        <v>SOL-10407</v>
      </c>
      <c r="D54" s="20">
        <v>28207.625</v>
      </c>
      <c r="E54" s="10">
        <v>28315.17</v>
      </c>
      <c r="F54" s="10">
        <f t="shared" si="0"/>
        <v>-107.54499999999825</v>
      </c>
      <c r="G54" s="11">
        <f t="shared" si="3"/>
        <v>-3.7981407139705769E-3</v>
      </c>
      <c r="H54" s="12">
        <v>29628</v>
      </c>
      <c r="I54" s="12">
        <f t="shared" si="1"/>
        <v>-1420.375</v>
      </c>
      <c r="J54" s="72">
        <f t="shared" si="2"/>
        <v>-4.7940292966113136E-2</v>
      </c>
      <c r="K54" s="66"/>
      <c r="L54" s="66"/>
      <c r="M54" s="116"/>
      <c r="N54" s="116"/>
      <c r="O54" s="116"/>
      <c r="P54" s="116"/>
      <c r="Q54" s="116"/>
      <c r="R54" s="116"/>
      <c r="S54" s="116"/>
      <c r="T54" s="116"/>
    </row>
    <row r="55" spans="1:20" ht="43.15">
      <c r="A55" s="26" t="str">
        <v>Q229</v>
      </c>
      <c r="B55" s="27" t="str">
        <v>NY</v>
      </c>
      <c r="C55" s="27" t="str">
        <f>Sites[[#This Row],[SOL'#]]</f>
        <v>SOL-10408</v>
      </c>
      <c r="D55" s="9">
        <v>12297.09375</v>
      </c>
      <c r="E55" s="14">
        <v>13702.72</v>
      </c>
      <c r="F55" s="14">
        <f t="shared" si="0"/>
        <v>-1405.6262499999993</v>
      </c>
      <c r="G55" s="15">
        <f t="shared" si="3"/>
        <v>-0.10258008993834797</v>
      </c>
      <c r="H55" s="16">
        <v>12576.04</v>
      </c>
      <c r="I55" s="16">
        <f t="shared" si="1"/>
        <v>-278.94625000000087</v>
      </c>
      <c r="J55" s="15">
        <f t="shared" si="2"/>
        <v>-2.2180769940299241E-2</v>
      </c>
      <c r="K55" s="38" t="s">
        <v>827</v>
      </c>
      <c r="L55" s="112" t="s">
        <v>828</v>
      </c>
      <c r="M55" s="116"/>
      <c r="N55" s="116"/>
      <c r="O55" s="116"/>
      <c r="P55" s="116"/>
      <c r="Q55" s="116"/>
      <c r="R55" s="116"/>
      <c r="S55" s="116"/>
      <c r="T55" s="116"/>
    </row>
    <row r="56" spans="1:20" ht="15.6">
      <c r="A56" s="24" t="str">
        <v>Q231</v>
      </c>
      <c r="B56" s="25" t="str">
        <v>NY</v>
      </c>
      <c r="C56" s="25" t="str">
        <f>Sites[[#This Row],[SOL'#]]</f>
        <v>SOL-10870</v>
      </c>
      <c r="D56" s="20">
        <v>45258.625</v>
      </c>
      <c r="E56" s="10">
        <v>47488.82</v>
      </c>
      <c r="F56" s="10">
        <f t="shared" si="0"/>
        <v>-2230.1949999999997</v>
      </c>
      <c r="G56" s="11">
        <f t="shared" si="3"/>
        <v>-4.6962527180081537E-2</v>
      </c>
      <c r="H56" s="12">
        <v>48847</v>
      </c>
      <c r="I56" s="12">
        <f t="shared" si="1"/>
        <v>-3588.375</v>
      </c>
      <c r="J56" s="72">
        <f t="shared" si="2"/>
        <v>-7.3461522713779759E-2</v>
      </c>
      <c r="K56" s="37"/>
      <c r="L56" s="37"/>
      <c r="M56" s="116"/>
      <c r="N56" s="116"/>
      <c r="O56" s="116"/>
      <c r="P56" s="116"/>
      <c r="Q56" s="116"/>
      <c r="R56" s="116"/>
      <c r="S56" s="116"/>
      <c r="T56" s="116"/>
    </row>
    <row r="57" spans="1:20" ht="28.9">
      <c r="A57" s="26" t="str">
        <v>Q405</v>
      </c>
      <c r="B57" s="27" t="str">
        <v>NY</v>
      </c>
      <c r="C57" s="27" t="str">
        <f>Sites[[#This Row],[SOL'#]]</f>
        <v>SOL-10409</v>
      </c>
      <c r="D57" s="9">
        <v>50011.75</v>
      </c>
      <c r="E57" s="14">
        <v>57219.12</v>
      </c>
      <c r="F57" s="14">
        <f t="shared" si="0"/>
        <v>-7207.3700000000026</v>
      </c>
      <c r="G57" s="15">
        <f t="shared" si="3"/>
        <v>-0.12596086762606629</v>
      </c>
      <c r="H57" s="16">
        <v>52997.85</v>
      </c>
      <c r="I57" s="16">
        <f t="shared" si="1"/>
        <v>-2986.0999999999985</v>
      </c>
      <c r="J57" s="15">
        <f t="shared" si="2"/>
        <v>-5.6343795078479572E-2</v>
      </c>
      <c r="K57" s="67" t="s">
        <v>829</v>
      </c>
      <c r="L57" s="149" t="s">
        <v>830</v>
      </c>
      <c r="M57" s="116"/>
      <c r="N57" s="116"/>
      <c r="O57" s="116"/>
      <c r="P57" s="116"/>
      <c r="Q57" s="116"/>
      <c r="R57" s="116"/>
      <c r="S57" s="116"/>
      <c r="T57" s="116"/>
    </row>
    <row r="58" spans="1:20" ht="86.45">
      <c r="A58" s="24" t="str">
        <v>Q435</v>
      </c>
      <c r="B58" s="25" t="str">
        <v>NY</v>
      </c>
      <c r="C58" s="25" t="str">
        <f>Sites[[#This Row],[SOL'#]]</f>
        <v>SOL-10923</v>
      </c>
      <c r="D58" s="20">
        <v>66318.250000000102</v>
      </c>
      <c r="E58" s="10">
        <v>51348.37</v>
      </c>
      <c r="F58" s="10">
        <f t="shared" si="0"/>
        <v>14969.880000000099</v>
      </c>
      <c r="G58" s="11">
        <f t="shared" si="3"/>
        <v>0.29153564173507551</v>
      </c>
      <c r="H58" s="12">
        <v>70048</v>
      </c>
      <c r="I58" s="12">
        <f t="shared" si="1"/>
        <v>-3729.7499999998981</v>
      </c>
      <c r="J58" s="72">
        <f t="shared" si="2"/>
        <v>-5.3245631566924086E-2</v>
      </c>
      <c r="K58" s="37" t="s">
        <v>831</v>
      </c>
      <c r="L58" s="124" t="s">
        <v>832</v>
      </c>
      <c r="M58" s="115" t="s">
        <v>833</v>
      </c>
      <c r="N58" s="115" t="s">
        <v>834</v>
      </c>
      <c r="O58" s="116"/>
      <c r="P58" s="116"/>
      <c r="Q58" s="116"/>
      <c r="R58" s="116"/>
      <c r="S58" s="116"/>
      <c r="T58" s="116"/>
    </row>
    <row r="59" spans="1:20" ht="72">
      <c r="A59" s="26" t="str">
        <v>Q485</v>
      </c>
      <c r="B59" s="27" t="str">
        <v>NY</v>
      </c>
      <c r="C59" s="27" t="str">
        <f>Sites[[#This Row],[SOL'#]]</f>
        <v>SOL-10869</v>
      </c>
      <c r="D59" s="9">
        <v>59771.25</v>
      </c>
      <c r="E59" s="14">
        <v>48000.36</v>
      </c>
      <c r="F59" s="14">
        <f t="shared" si="0"/>
        <v>11770.89</v>
      </c>
      <c r="G59" s="15">
        <f t="shared" si="3"/>
        <v>0.2452250358122314</v>
      </c>
      <c r="H59" s="16">
        <v>65592.800000000003</v>
      </c>
      <c r="I59" s="16">
        <f t="shared" si="1"/>
        <v>-5821.5500000000029</v>
      </c>
      <c r="J59" s="15">
        <f t="shared" si="2"/>
        <v>-8.8752881413813753E-2</v>
      </c>
      <c r="K59" s="67" t="s">
        <v>835</v>
      </c>
      <c r="L59" s="125" t="s">
        <v>836</v>
      </c>
      <c r="M59" s="115" t="s">
        <v>837</v>
      </c>
      <c r="N59" s="116"/>
      <c r="O59" s="116"/>
      <c r="P59" s="116"/>
      <c r="Q59" s="116"/>
      <c r="R59" s="116"/>
      <c r="S59" s="116"/>
      <c r="T59" s="116"/>
    </row>
    <row r="60" spans="1:20" ht="48.75" customHeight="1">
      <c r="A60" s="24" t="str">
        <v>Q490</v>
      </c>
      <c r="B60" s="25" t="str">
        <v>NY</v>
      </c>
      <c r="C60" s="25" t="str">
        <f>Sites[[#This Row],[SOL'#]]</f>
        <v>SOL-10411</v>
      </c>
      <c r="D60" s="20">
        <v>44293.5</v>
      </c>
      <c r="E60" s="10" t="s">
        <v>777</v>
      </c>
      <c r="F60" s="10" t="str">
        <f t="shared" si="0"/>
        <v/>
      </c>
      <c r="G60" s="11" t="str">
        <f t="shared" si="3"/>
        <v/>
      </c>
      <c r="H60" s="12">
        <v>46036.53</v>
      </c>
      <c r="I60" s="12">
        <f t="shared" si="1"/>
        <v>-1743.0299999999988</v>
      </c>
      <c r="J60" s="72">
        <f t="shared" si="2"/>
        <v>-3.7861889243172735E-2</v>
      </c>
      <c r="K60" s="37" t="s">
        <v>838</v>
      </c>
      <c r="L60" s="124" t="s">
        <v>516</v>
      </c>
      <c r="M60" s="116"/>
      <c r="N60" s="116"/>
      <c r="O60" s="116"/>
      <c r="P60" s="116"/>
      <c r="Q60" s="116"/>
      <c r="R60" s="116"/>
      <c r="S60" s="116"/>
      <c r="T60" s="116"/>
    </row>
    <row r="61" spans="1:20" ht="15.6">
      <c r="A61" s="26" t="str">
        <v>Q620</v>
      </c>
      <c r="B61" s="27" t="str">
        <v>NY</v>
      </c>
      <c r="C61" s="27" t="str">
        <f>Sites[[#This Row],[SOL'#]]</f>
        <v>SOL-10867</v>
      </c>
      <c r="D61" s="9">
        <v>66703</v>
      </c>
      <c r="E61" s="14">
        <v>66971.199999999997</v>
      </c>
      <c r="F61" s="14">
        <f t="shared" si="0"/>
        <v>-268.19999999999709</v>
      </c>
      <c r="G61" s="15">
        <f t="shared" si="3"/>
        <v>-4.0047065007047375E-3</v>
      </c>
      <c r="H61" s="16">
        <v>69242.320000000007</v>
      </c>
      <c r="I61" s="16">
        <f t="shared" si="1"/>
        <v>-2539.320000000007</v>
      </c>
      <c r="J61" s="15">
        <f t="shared" si="2"/>
        <v>-3.6672947989033394E-2</v>
      </c>
      <c r="K61" s="38"/>
      <c r="L61" s="39"/>
      <c r="M61" s="116"/>
      <c r="N61" s="116"/>
      <c r="O61" s="116"/>
      <c r="P61" s="116"/>
      <c r="Q61" s="116"/>
      <c r="R61" s="116"/>
      <c r="S61" s="116"/>
      <c r="T61" s="116"/>
    </row>
    <row r="62" spans="1:20" ht="15.6">
      <c r="A62" s="24" t="str">
        <v>QMOA</v>
      </c>
      <c r="B62" s="25" t="str">
        <v>NY</v>
      </c>
      <c r="C62" s="25" t="str">
        <f>Sites[[#This Row],[SOL'#]]</f>
        <v>SOL-10415</v>
      </c>
      <c r="D62" s="20">
        <v>5623.6000000000104</v>
      </c>
      <c r="E62" s="10"/>
      <c r="F62" s="10" t="str">
        <f t="shared" si="0"/>
        <v/>
      </c>
      <c r="G62" s="11" t="str">
        <f t="shared" si="3"/>
        <v/>
      </c>
      <c r="H62" s="12">
        <v>6308.0259999999998</v>
      </c>
      <c r="I62" s="12">
        <f t="shared" si="1"/>
        <v>-684.42599999998947</v>
      </c>
      <c r="J62" s="72">
        <f t="shared" si="2"/>
        <v>-0.10850082101754012</v>
      </c>
      <c r="K62" s="37" t="s">
        <v>839</v>
      </c>
      <c r="L62" s="37"/>
      <c r="M62" s="116"/>
      <c r="N62" s="116"/>
      <c r="O62" s="116"/>
      <c r="P62" s="116"/>
      <c r="Q62" s="116"/>
      <c r="R62" s="116"/>
      <c r="S62" s="116"/>
      <c r="T62" s="116"/>
    </row>
    <row r="63" spans="1:20" ht="15.6">
      <c r="A63" s="26" t="str">
        <v>X024</v>
      </c>
      <c r="B63" s="27" t="str">
        <v>NY</v>
      </c>
      <c r="C63" s="27" t="str">
        <f>Sites[[#This Row],[SOL'#]]</f>
        <v>SOL-10419</v>
      </c>
      <c r="D63" s="9">
        <v>25538.59375</v>
      </c>
      <c r="E63" s="14">
        <v>26404.74</v>
      </c>
      <c r="F63" s="14">
        <f t="shared" si="0"/>
        <v>-866.1462500000016</v>
      </c>
      <c r="G63" s="15">
        <f t="shared" si="3"/>
        <v>-3.2802680503576313E-2</v>
      </c>
      <c r="H63" s="16">
        <v>24516</v>
      </c>
      <c r="I63" s="16">
        <f t="shared" si="1"/>
        <v>1022.59375</v>
      </c>
      <c r="J63" s="15">
        <f t="shared" si="2"/>
        <v>4.1711280388317833E-2</v>
      </c>
      <c r="K63" s="38"/>
      <c r="L63" s="39"/>
      <c r="M63" s="116"/>
      <c r="N63" s="116"/>
      <c r="O63" s="116"/>
      <c r="P63" s="116"/>
      <c r="Q63" s="116"/>
      <c r="R63" s="116"/>
      <c r="S63" s="116"/>
      <c r="T63" s="116"/>
    </row>
    <row r="64" spans="1:20" ht="28.9">
      <c r="A64" s="24" t="str">
        <v>X026</v>
      </c>
      <c r="B64" s="25" t="str">
        <v>NY</v>
      </c>
      <c r="C64" s="25" t="str">
        <f>Sites[[#This Row],[SOL'#]]</f>
        <v>SOL-10420</v>
      </c>
      <c r="D64" s="20">
        <v>23114.9</v>
      </c>
      <c r="E64" s="10">
        <v>21577.1</v>
      </c>
      <c r="F64" s="10">
        <f t="shared" si="0"/>
        <v>1537.8000000000029</v>
      </c>
      <c r="G64" s="11">
        <f t="shared" si="3"/>
        <v>7.1270003846670912E-2</v>
      </c>
      <c r="H64" s="12">
        <v>33098.879999999997</v>
      </c>
      <c r="I64" s="12">
        <f t="shared" si="1"/>
        <v>-9983.9799999999959</v>
      </c>
      <c r="J64" s="72">
        <f t="shared" si="2"/>
        <v>-0.30164102229440987</v>
      </c>
      <c r="K64" s="37" t="s">
        <v>840</v>
      </c>
      <c r="L64" s="124" t="s">
        <v>841</v>
      </c>
      <c r="M64" s="116"/>
      <c r="N64" s="116"/>
      <c r="O64" s="116"/>
      <c r="P64" s="116"/>
      <c r="Q64" s="116"/>
      <c r="R64" s="116"/>
      <c r="S64" s="116"/>
      <c r="T64" s="116"/>
    </row>
    <row r="65" spans="1:20" ht="15.6">
      <c r="A65" s="26" t="str">
        <v>X090</v>
      </c>
      <c r="B65" s="27" t="str">
        <v>NY</v>
      </c>
      <c r="C65" s="27" t="str">
        <f>Sites[[#This Row],[SOL'#]]</f>
        <v>SOL-10925</v>
      </c>
      <c r="D65" s="9">
        <v>19359.6875</v>
      </c>
      <c r="E65" s="14">
        <v>17087.05</v>
      </c>
      <c r="F65" s="14">
        <f t="shared" si="0"/>
        <v>2272.6375000000007</v>
      </c>
      <c r="G65" s="15">
        <f t="shared" si="3"/>
        <v>0.13300350265259367</v>
      </c>
      <c r="H65" s="16">
        <v>20356</v>
      </c>
      <c r="I65" s="16">
        <f t="shared" si="1"/>
        <v>-996.3125</v>
      </c>
      <c r="J65" s="15">
        <f t="shared" si="2"/>
        <v>-4.8944414423265865E-2</v>
      </c>
      <c r="K65" s="38"/>
      <c r="L65" s="38"/>
      <c r="M65" s="116"/>
      <c r="N65" s="116"/>
      <c r="O65" s="116"/>
      <c r="P65" s="116"/>
      <c r="Q65" s="116"/>
      <c r="R65" s="116"/>
      <c r="S65" s="116"/>
      <c r="T65" s="116"/>
    </row>
    <row r="66" spans="1:20" ht="15.6">
      <c r="A66" s="24" t="str">
        <v>X117</v>
      </c>
      <c r="B66" s="25" t="str">
        <v>NY</v>
      </c>
      <c r="C66" s="25" t="str">
        <f>Sites[[#This Row],[SOL'#]]</f>
        <v>SOL-10422</v>
      </c>
      <c r="D66" s="20">
        <v>16727.599999999999</v>
      </c>
      <c r="E66" s="10">
        <v>18316.150000000001</v>
      </c>
      <c r="F66" s="10">
        <f t="shared" si="0"/>
        <v>-1588.5500000000029</v>
      </c>
      <c r="G66" s="11">
        <f t="shared" si="3"/>
        <v>-8.6729470985987933E-2</v>
      </c>
      <c r="H66" s="12">
        <v>17700.560000000001</v>
      </c>
      <c r="I66" s="12">
        <f t="shared" si="1"/>
        <v>-972.96000000000276</v>
      </c>
      <c r="J66" s="72">
        <f t="shared" si="2"/>
        <v>-5.4967752432691544E-2</v>
      </c>
      <c r="K66" s="37"/>
      <c r="L66" s="37"/>
      <c r="M66" s="116"/>
      <c r="N66" s="116"/>
      <c r="O66" s="116"/>
      <c r="P66" s="116"/>
      <c r="Q66" s="116"/>
      <c r="R66" s="116"/>
      <c r="S66" s="116"/>
      <c r="T66" s="116"/>
    </row>
    <row r="67" spans="1:20" ht="15.6">
      <c r="A67" s="26" t="str">
        <v>X125</v>
      </c>
      <c r="B67" s="27" t="str">
        <v>NY</v>
      </c>
      <c r="C67" s="27" t="str">
        <f>Sites[[#This Row],[SOL'#]]</f>
        <v>SOL-10423</v>
      </c>
      <c r="D67" s="9">
        <v>30152.75</v>
      </c>
      <c r="E67" s="14">
        <v>31320.93</v>
      </c>
      <c r="F67" s="14">
        <f t="shared" si="0"/>
        <v>-1168.1800000000003</v>
      </c>
      <c r="G67" s="15">
        <f t="shared" si="3"/>
        <v>-3.7297104524035535E-2</v>
      </c>
      <c r="H67" s="16">
        <v>31615.96</v>
      </c>
      <c r="I67" s="16">
        <f t="shared" si="1"/>
        <v>-1463.2099999999991</v>
      </c>
      <c r="J67" s="15">
        <f t="shared" si="2"/>
        <v>-4.6280739221582996E-2</v>
      </c>
      <c r="K67" s="67"/>
      <c r="L67" s="68"/>
      <c r="M67" s="116"/>
      <c r="N67" s="116"/>
      <c r="O67" s="116"/>
      <c r="P67" s="116"/>
      <c r="Q67" s="116"/>
      <c r="R67" s="116"/>
      <c r="S67" s="116"/>
      <c r="T67" s="116"/>
    </row>
    <row r="68" spans="1:20" ht="15.6">
      <c r="A68" s="24" t="str">
        <v>X134</v>
      </c>
      <c r="B68" s="25" t="str">
        <v>NY</v>
      </c>
      <c r="C68" s="25" t="str">
        <f>Sites[[#This Row],[SOL'#]]</f>
        <v>SOL-10424</v>
      </c>
      <c r="D68" s="20">
        <v>29330.90625</v>
      </c>
      <c r="E68" s="10" t="s">
        <v>777</v>
      </c>
      <c r="F68" s="10" t="str">
        <f t="shared" si="0"/>
        <v/>
      </c>
      <c r="G68" s="11" t="str">
        <f t="shared" si="3"/>
        <v/>
      </c>
      <c r="H68" s="12">
        <v>31287</v>
      </c>
      <c r="I68" s="12">
        <f t="shared" si="1"/>
        <v>-1956.09375</v>
      </c>
      <c r="J68" s="72">
        <f t="shared" si="2"/>
        <v>-6.2520975165404155E-2</v>
      </c>
      <c r="K68" s="66"/>
      <c r="L68" s="70"/>
      <c r="M68" s="116"/>
      <c r="N68" s="116"/>
      <c r="O68" s="116"/>
      <c r="P68" s="116"/>
      <c r="Q68" s="116"/>
      <c r="R68" s="116"/>
      <c r="S68" s="116"/>
      <c r="T68" s="116"/>
    </row>
    <row r="69" spans="1:20" ht="28.5" customHeight="1">
      <c r="A69" s="26" t="str">
        <v>X135</v>
      </c>
      <c r="B69" s="27" t="str">
        <v>NY</v>
      </c>
      <c r="C69" s="27" t="str">
        <f>Sites[[#This Row],[SOL'#]]</f>
        <v>SOL-10425</v>
      </c>
      <c r="D69" s="9">
        <v>22792.75</v>
      </c>
      <c r="E69" s="14">
        <v>23516.71</v>
      </c>
      <c r="F69" s="14">
        <f t="shared" ref="F69:F132" si="4">IF(AND(ISNUMBER(D69),ISNUMBER(E69)), D69-E69, "")</f>
        <v>-723.95999999999913</v>
      </c>
      <c r="G69" s="15">
        <f t="shared" si="3"/>
        <v>-3.0784918468612282E-2</v>
      </c>
      <c r="H69" s="16">
        <v>25004</v>
      </c>
      <c r="I69" s="16">
        <f t="shared" ref="I69:I132" si="5">IF(AND(ISNUMBER(D69),ISNUMBER(H69)), D69-H69, "")</f>
        <v>-2211.25</v>
      </c>
      <c r="J69" s="15">
        <f t="shared" ref="J69:J132" si="6">IFERROR(I69/H69, "")</f>
        <v>-8.8435850263957769E-2</v>
      </c>
      <c r="K69" s="38" t="s">
        <v>842</v>
      </c>
      <c r="L69" s="125" t="s">
        <v>843</v>
      </c>
      <c r="M69" s="116"/>
      <c r="N69" s="116"/>
      <c r="O69" s="116"/>
      <c r="P69" s="116"/>
      <c r="Q69" s="116"/>
      <c r="R69" s="116"/>
      <c r="S69" s="116"/>
      <c r="T69" s="116"/>
    </row>
    <row r="70" spans="1:20" ht="15.6">
      <c r="A70" s="24" t="str">
        <v>X139 JHS 222</v>
      </c>
      <c r="B70" s="25" t="str">
        <v>NY</v>
      </c>
      <c r="C70" s="25" t="str">
        <f>Sites[[#This Row],[SOL'#]]</f>
        <v>SOL-10426</v>
      </c>
      <c r="D70" s="20">
        <v>36186.616609999997</v>
      </c>
      <c r="E70" s="10">
        <v>39537.839999999997</v>
      </c>
      <c r="F70" s="10">
        <f t="shared" si="4"/>
        <v>-3351.2233899999992</v>
      </c>
      <c r="G70" s="11">
        <f t="shared" ref="G70:G133" si="7">IFERROR(F70/E70, "")</f>
        <v>-8.4759900642017869E-2</v>
      </c>
      <c r="H70" s="12">
        <v>38484</v>
      </c>
      <c r="I70" s="12">
        <f t="shared" si="5"/>
        <v>-2297.3833900000027</v>
      </c>
      <c r="J70" s="72">
        <f t="shared" si="6"/>
        <v>-5.9697105030662161E-2</v>
      </c>
      <c r="K70" s="37"/>
      <c r="L70" s="37"/>
      <c r="M70" s="116"/>
      <c r="N70" s="116"/>
      <c r="O70" s="116"/>
      <c r="P70" s="116"/>
      <c r="Q70" s="116"/>
      <c r="R70" s="116"/>
      <c r="S70" s="116"/>
      <c r="T70" s="116"/>
    </row>
    <row r="71" spans="1:20" ht="43.15">
      <c r="A71" s="26" t="str">
        <v>X140</v>
      </c>
      <c r="B71" s="27" t="str">
        <v>NY</v>
      </c>
      <c r="C71" s="27" t="str">
        <f>Sites[[#This Row],[SOL'#]]</f>
        <v>SOL-10926</v>
      </c>
      <c r="D71" s="9">
        <v>20803.484375</v>
      </c>
      <c r="E71" s="14">
        <v>17164.099999999999</v>
      </c>
      <c r="F71" s="14">
        <f t="shared" si="4"/>
        <v>3639.3843750000015</v>
      </c>
      <c r="G71" s="15">
        <f t="shared" si="7"/>
        <v>0.21203467557285274</v>
      </c>
      <c r="H71" s="16">
        <v>20901</v>
      </c>
      <c r="I71" s="16">
        <f t="shared" si="5"/>
        <v>-97.515625</v>
      </c>
      <c r="J71" s="15">
        <f t="shared" si="6"/>
        <v>-4.6655961437251803E-3</v>
      </c>
      <c r="K71" s="38" t="s">
        <v>844</v>
      </c>
      <c r="L71" s="125" t="s">
        <v>520</v>
      </c>
      <c r="M71" s="116"/>
      <c r="N71" s="116" t="s">
        <v>845</v>
      </c>
      <c r="O71" s="116"/>
      <c r="P71" s="116"/>
      <c r="Q71" s="116"/>
      <c r="R71" s="116"/>
      <c r="S71" s="116"/>
      <c r="T71" s="116"/>
    </row>
    <row r="72" spans="1:20" ht="15.6">
      <c r="A72" s="24" t="str">
        <v>X166</v>
      </c>
      <c r="B72" s="25" t="str">
        <v>NY</v>
      </c>
      <c r="C72" s="25" t="str">
        <f>Sites[[#This Row],[SOL'#]]</f>
        <v>SOL-10427</v>
      </c>
      <c r="D72" s="20">
        <v>21565.7</v>
      </c>
      <c r="E72" s="10">
        <v>21010.73</v>
      </c>
      <c r="F72" s="10">
        <f t="shared" si="4"/>
        <v>554.97000000000116</v>
      </c>
      <c r="G72" s="11">
        <f t="shared" si="7"/>
        <v>2.6413646741450733E-2</v>
      </c>
      <c r="H72" s="12">
        <v>23280</v>
      </c>
      <c r="I72" s="12">
        <f t="shared" si="5"/>
        <v>-1714.2999999999993</v>
      </c>
      <c r="J72" s="72">
        <f t="shared" si="6"/>
        <v>-7.3638316151202712E-2</v>
      </c>
      <c r="K72" s="37"/>
      <c r="L72" s="37"/>
      <c r="M72" s="116"/>
      <c r="N72" s="116"/>
      <c r="O72" s="116"/>
      <c r="P72" s="116"/>
      <c r="Q72" s="116"/>
      <c r="R72" s="116"/>
      <c r="S72" s="116"/>
      <c r="T72" s="116"/>
    </row>
    <row r="73" spans="1:20" ht="71.25" customHeight="1">
      <c r="A73" s="26" t="str">
        <v>Murphy</v>
      </c>
      <c r="B73" s="27" t="str">
        <v>MN</v>
      </c>
      <c r="C73" s="27" t="str">
        <f>Sites[[#This Row],[SOL'#]]</f>
        <v>SOL-10094</v>
      </c>
      <c r="D73" s="9">
        <v>864010</v>
      </c>
      <c r="E73" s="14">
        <v>922487.8</v>
      </c>
      <c r="F73" s="14">
        <f t="shared" si="4"/>
        <v>-58477.800000000047</v>
      </c>
      <c r="G73" s="15">
        <f t="shared" si="7"/>
        <v>-6.3391407452759854E-2</v>
      </c>
      <c r="H73" s="16">
        <v>882116.8</v>
      </c>
      <c r="I73" s="16">
        <f t="shared" si="5"/>
        <v>-18106.800000000047</v>
      </c>
      <c r="J73" s="15">
        <f t="shared" si="6"/>
        <v>-2.0526533447724888E-2</v>
      </c>
      <c r="K73" s="56" t="s">
        <v>846</v>
      </c>
      <c r="L73" s="139" t="s">
        <v>847</v>
      </c>
      <c r="M73" s="115" t="s">
        <v>848</v>
      </c>
      <c r="N73" s="116"/>
      <c r="O73" s="116"/>
      <c r="P73" s="116"/>
      <c r="Q73" s="116"/>
      <c r="R73" s="116"/>
      <c r="S73" s="116"/>
      <c r="T73" s="116"/>
    </row>
    <row r="74" spans="1:20" ht="57" customHeight="1">
      <c r="A74" s="24" t="str">
        <v>Terning</v>
      </c>
      <c r="B74" s="25" t="str">
        <v>MN</v>
      </c>
      <c r="C74" s="25" t="str">
        <f>Sites[[#This Row],[SOL'#]]</f>
        <v>SOL-10093</v>
      </c>
      <c r="D74" s="20">
        <v>909272</v>
      </c>
      <c r="E74" s="10">
        <v>948523.9</v>
      </c>
      <c r="F74" s="10">
        <f t="shared" si="4"/>
        <v>-39251.900000000023</v>
      </c>
      <c r="G74" s="11">
        <f t="shared" si="7"/>
        <v>-4.1382088527236925E-2</v>
      </c>
      <c r="H74" s="12">
        <v>883558.1</v>
      </c>
      <c r="I74" s="12">
        <f t="shared" si="5"/>
        <v>25713.900000000023</v>
      </c>
      <c r="J74" s="72">
        <f t="shared" si="6"/>
        <v>2.9102670214895911E-2</v>
      </c>
      <c r="K74" s="37" t="s">
        <v>849</v>
      </c>
      <c r="L74" s="124" t="s">
        <v>850</v>
      </c>
      <c r="M74" s="116"/>
      <c r="N74" s="116"/>
      <c r="O74" s="116"/>
      <c r="P74" s="116"/>
      <c r="Q74" s="116"/>
      <c r="R74" s="116"/>
      <c r="S74" s="116"/>
      <c r="T74" s="116"/>
    </row>
    <row r="75" spans="1:20" ht="15.6">
      <c r="A75" s="26" t="str">
        <v>Boas Road 04</v>
      </c>
      <c r="B75" s="27" t="str">
        <v>NY</v>
      </c>
      <c r="C75" s="27" t="str">
        <f>Sites[[#This Row],[SOL'#]]</f>
        <v>SOL-10908</v>
      </c>
      <c r="D75" s="9">
        <v>0</v>
      </c>
      <c r="E75" s="14">
        <v>349319.05</v>
      </c>
      <c r="F75" s="14">
        <f t="shared" si="4"/>
        <v>-349319.05</v>
      </c>
      <c r="G75" s="15">
        <f t="shared" si="7"/>
        <v>-1</v>
      </c>
      <c r="H75" s="16">
        <v>331584.58</v>
      </c>
      <c r="I75" s="16">
        <f t="shared" si="5"/>
        <v>-331584.58</v>
      </c>
      <c r="J75" s="15">
        <f t="shared" si="6"/>
        <v>-1</v>
      </c>
      <c r="K75" s="38" t="s">
        <v>851</v>
      </c>
      <c r="L75" s="149" t="s">
        <v>852</v>
      </c>
      <c r="M75" s="116"/>
      <c r="N75" s="116"/>
      <c r="O75" s="116"/>
      <c r="P75" s="116"/>
      <c r="Q75" s="116"/>
      <c r="R75" s="116"/>
      <c r="S75" s="116"/>
      <c r="T75" s="116"/>
    </row>
    <row r="76" spans="1:20" ht="202.5" customHeight="1">
      <c r="A76" s="24" t="str">
        <v>Kelly Bridge Farm</v>
      </c>
      <c r="B76" s="25" t="str">
        <v>NY</v>
      </c>
      <c r="C76" s="25" t="str">
        <f>Sites[[#This Row],[SOL'#]]</f>
        <v>SOL-10911</v>
      </c>
      <c r="D76" s="20">
        <v>0</v>
      </c>
      <c r="E76" s="10">
        <v>331817.21000000002</v>
      </c>
      <c r="F76" s="10">
        <f t="shared" si="4"/>
        <v>-331817.21000000002</v>
      </c>
      <c r="G76" s="11">
        <f t="shared" si="7"/>
        <v>-1</v>
      </c>
      <c r="H76" s="12">
        <v>342312.31</v>
      </c>
      <c r="I76" s="12">
        <f t="shared" si="5"/>
        <v>-342312.31</v>
      </c>
      <c r="J76" s="72">
        <f t="shared" si="6"/>
        <v>-1</v>
      </c>
      <c r="K76" s="37" t="s">
        <v>853</v>
      </c>
      <c r="L76" s="124" t="s">
        <v>854</v>
      </c>
      <c r="M76" s="115" t="s">
        <v>855</v>
      </c>
      <c r="N76" s="115" t="s">
        <v>856</v>
      </c>
      <c r="O76" s="115" t="s">
        <v>857</v>
      </c>
      <c r="P76" s="116"/>
      <c r="Q76" s="116"/>
      <c r="R76" s="116"/>
      <c r="S76" s="116"/>
      <c r="T76" s="116"/>
    </row>
    <row r="77" spans="1:20" ht="15.6">
      <c r="A77" s="26" t="str">
        <v>Pool Brook Road</v>
      </c>
      <c r="B77" s="27" t="str">
        <v>NY</v>
      </c>
      <c r="C77" s="27" t="str">
        <f>Sites[[#This Row],[SOL'#]]</f>
        <v>SOL-10909</v>
      </c>
      <c r="D77" s="9">
        <v>295639</v>
      </c>
      <c r="E77" s="14">
        <v>304056.86</v>
      </c>
      <c r="F77" s="14">
        <f t="shared" si="4"/>
        <v>-8417.859999999986</v>
      </c>
      <c r="G77" s="15">
        <f t="shared" si="7"/>
        <v>-2.7685150731346718E-2</v>
      </c>
      <c r="H77" s="16">
        <v>317202.12</v>
      </c>
      <c r="I77" s="16">
        <f t="shared" si="5"/>
        <v>-21563.119999999995</v>
      </c>
      <c r="J77" s="15">
        <f t="shared" si="6"/>
        <v>-6.7979116911324536E-2</v>
      </c>
      <c r="K77" s="38"/>
      <c r="L77" s="38"/>
      <c r="M77" s="116"/>
      <c r="N77" s="116"/>
      <c r="O77" s="116"/>
      <c r="P77" s="116"/>
      <c r="Q77" s="116"/>
      <c r="R77" s="116"/>
      <c r="S77" s="116"/>
      <c r="T77" s="116"/>
    </row>
    <row r="78" spans="1:20" ht="249" customHeight="1">
      <c r="A78" s="24" t="str">
        <v>Sackett Lake</v>
      </c>
      <c r="B78" s="25" t="str">
        <v>NY</v>
      </c>
      <c r="C78" s="25" t="str">
        <f>Sites[[#This Row],[SOL'#]]</f>
        <v>SOL-10910</v>
      </c>
      <c r="D78" s="20">
        <v>177037</v>
      </c>
      <c r="E78" s="10">
        <v>313070.33</v>
      </c>
      <c r="F78" s="10">
        <f t="shared" si="4"/>
        <v>-136033.33000000002</v>
      </c>
      <c r="G78" s="11">
        <f t="shared" si="7"/>
        <v>-0.43451364426644967</v>
      </c>
      <c r="H78" s="12">
        <v>334933.92</v>
      </c>
      <c r="I78" s="12">
        <f t="shared" si="5"/>
        <v>-157896.91999999998</v>
      </c>
      <c r="J78" s="72">
        <f t="shared" si="6"/>
        <v>-0.47142708030288477</v>
      </c>
      <c r="K78" s="37" t="s">
        <v>858</v>
      </c>
      <c r="L78" s="124" t="s">
        <v>859</v>
      </c>
      <c r="M78" s="115" t="s">
        <v>860</v>
      </c>
      <c r="N78" s="115" t="s">
        <v>861</v>
      </c>
      <c r="O78" s="115" t="s">
        <v>862</v>
      </c>
      <c r="P78" s="116"/>
      <c r="Q78" s="116"/>
      <c r="R78" s="116"/>
      <c r="S78" s="116"/>
      <c r="T78" s="116"/>
    </row>
    <row r="79" spans="1:20" ht="132" customHeight="1">
      <c r="A79" s="26" t="str">
        <v>Burritt Road</v>
      </c>
      <c r="B79" s="27" t="str">
        <v>NY</v>
      </c>
      <c r="C79" s="27" t="str">
        <f>Sites[[#This Row],[SOL'#]]</f>
        <v>SOL-10913</v>
      </c>
      <c r="D79" s="9">
        <v>280190</v>
      </c>
      <c r="E79" s="14">
        <v>116936.81</v>
      </c>
      <c r="F79" s="14">
        <f t="shared" si="4"/>
        <v>163253.19</v>
      </c>
      <c r="G79" s="15">
        <f t="shared" si="7"/>
        <v>1.3960804130025439</v>
      </c>
      <c r="H79" s="16">
        <v>329579.98</v>
      </c>
      <c r="I79" s="16">
        <f t="shared" si="5"/>
        <v>-49389.979999999981</v>
      </c>
      <c r="J79" s="15">
        <f t="shared" si="6"/>
        <v>-0.14985734266990364</v>
      </c>
      <c r="K79" s="56" t="s">
        <v>863</v>
      </c>
      <c r="L79" s="112" t="s">
        <v>864</v>
      </c>
      <c r="M79" s="115" t="s">
        <v>538</v>
      </c>
      <c r="N79" s="115" t="s">
        <v>865</v>
      </c>
      <c r="O79" s="116"/>
      <c r="P79" s="116"/>
      <c r="Q79" s="116"/>
      <c r="R79" s="116"/>
      <c r="S79" s="116"/>
      <c r="T79" s="116"/>
    </row>
    <row r="80" spans="1:20" ht="28.9">
      <c r="A80" s="24" t="str">
        <v>Villa Roma 1</v>
      </c>
      <c r="B80" s="25" t="str">
        <v>NY</v>
      </c>
      <c r="C80" s="25" t="str">
        <f>Sites[[#This Row],[SOL'#]]</f>
        <v>SOL-10914</v>
      </c>
      <c r="D80" s="20">
        <v>286622</v>
      </c>
      <c r="E80" s="10">
        <v>194.46</v>
      </c>
      <c r="F80" s="10">
        <f t="shared" si="4"/>
        <v>286427.53999999998</v>
      </c>
      <c r="G80" s="11">
        <f t="shared" si="7"/>
        <v>1472.9380849532035</v>
      </c>
      <c r="H80" s="12">
        <v>298485.21999999997</v>
      </c>
      <c r="I80" s="12">
        <f t="shared" si="5"/>
        <v>-11863.219999999972</v>
      </c>
      <c r="J80" s="72">
        <f t="shared" si="6"/>
        <v>-3.9744748500444925E-2</v>
      </c>
      <c r="K80" s="37" t="s">
        <v>866</v>
      </c>
      <c r="L80" s="124" t="s">
        <v>867</v>
      </c>
      <c r="M80" s="116"/>
      <c r="N80" s="116"/>
      <c r="O80" s="116"/>
      <c r="P80" s="116"/>
      <c r="Q80" s="116"/>
      <c r="R80" s="116"/>
      <c r="S80" s="116"/>
      <c r="T80" s="116"/>
    </row>
    <row r="81" spans="1:20" ht="15.6">
      <c r="A81" s="26" t="str">
        <v>Villa Roma 2</v>
      </c>
      <c r="B81" s="27" t="str">
        <v>NY</v>
      </c>
      <c r="C81" s="27" t="str">
        <f>Sites[[#This Row],[SOL'#]]</f>
        <v>SOL-10915</v>
      </c>
      <c r="D81" s="9">
        <v>279010</v>
      </c>
      <c r="E81" s="14">
        <v>291410.62</v>
      </c>
      <c r="F81" s="14">
        <f t="shared" si="4"/>
        <v>-12400.619999999995</v>
      </c>
      <c r="G81" s="15">
        <f t="shared" si="7"/>
        <v>-4.2553768287511264E-2</v>
      </c>
      <c r="H81" s="16">
        <v>290604.43</v>
      </c>
      <c r="I81" s="16">
        <f t="shared" si="5"/>
        <v>-11594.429999999993</v>
      </c>
      <c r="J81" s="15">
        <f t="shared" si="6"/>
        <v>-3.989763679789738E-2</v>
      </c>
      <c r="K81" s="71"/>
      <c r="L81" s="39"/>
      <c r="M81" s="116"/>
      <c r="N81" s="116"/>
      <c r="O81" s="116"/>
      <c r="P81" s="116"/>
      <c r="Q81" s="116"/>
      <c r="R81" s="116"/>
      <c r="S81" s="116"/>
      <c r="T81" s="116"/>
    </row>
    <row r="82" spans="1:20" ht="15.6">
      <c r="A82" s="24" t="str">
        <v>Washington 1</v>
      </c>
      <c r="B82" s="25" t="str">
        <v>NY</v>
      </c>
      <c r="C82" s="25" t="str">
        <f>Sites[[#This Row],[SOL'#]]</f>
        <v>SOL-10912</v>
      </c>
      <c r="D82" s="20">
        <v>315950</v>
      </c>
      <c r="E82" s="10">
        <v>331351.51</v>
      </c>
      <c r="F82" s="10">
        <f t="shared" si="4"/>
        <v>-15401.510000000009</v>
      </c>
      <c r="G82" s="11">
        <f t="shared" si="7"/>
        <v>-4.6480880681666455E-2</v>
      </c>
      <c r="H82" s="12">
        <v>326068.02</v>
      </c>
      <c r="I82" s="12">
        <f t="shared" si="5"/>
        <v>-10118.020000000019</v>
      </c>
      <c r="J82" s="72">
        <f t="shared" si="6"/>
        <v>-3.1030396663861787E-2</v>
      </c>
      <c r="K82" s="37"/>
      <c r="L82" s="37"/>
      <c r="M82" s="116"/>
      <c r="N82" s="116"/>
      <c r="O82" s="116"/>
      <c r="P82" s="116"/>
      <c r="Q82" s="116"/>
      <c r="R82" s="116"/>
      <c r="S82" s="116"/>
      <c r="T82" s="116"/>
    </row>
    <row r="83" spans="1:20" ht="137.25" customHeight="1">
      <c r="A83" s="26" t="str">
        <v>Washington 3</v>
      </c>
      <c r="B83" s="27" t="str">
        <v>NY</v>
      </c>
      <c r="C83" s="27" t="str">
        <f>Sites[[#This Row],[SOL'#]]</f>
        <v>SOL-10828</v>
      </c>
      <c r="D83" s="9">
        <v>371264</v>
      </c>
      <c r="E83" s="14">
        <v>55062.59</v>
      </c>
      <c r="F83" s="14">
        <f t="shared" si="4"/>
        <v>316201.41000000003</v>
      </c>
      <c r="G83" s="15">
        <f t="shared" si="7"/>
        <v>5.7425814877215196</v>
      </c>
      <c r="H83" s="16">
        <v>398873.79</v>
      </c>
      <c r="I83" s="16">
        <f t="shared" si="5"/>
        <v>-27609.789999999979</v>
      </c>
      <c r="J83" s="15">
        <f t="shared" si="6"/>
        <v>-6.9219363849402041E-2</v>
      </c>
      <c r="K83" s="56" t="s">
        <v>868</v>
      </c>
      <c r="L83" s="112" t="s">
        <v>869</v>
      </c>
      <c r="M83" s="115" t="s">
        <v>870</v>
      </c>
      <c r="N83" s="116"/>
      <c r="O83" s="116"/>
      <c r="P83" s="116"/>
      <c r="Q83" s="116"/>
      <c r="R83" s="116"/>
      <c r="S83" s="116"/>
      <c r="T83" s="116"/>
    </row>
    <row r="84" spans="1:20" ht="15.6">
      <c r="A84" s="24" t="str">
        <v>Washington 4</v>
      </c>
      <c r="B84" s="25" t="str">
        <v>NY</v>
      </c>
      <c r="C84" s="25" t="str">
        <f>Sites[[#This Row],[SOL'#]]</f>
        <v>SOL-10829</v>
      </c>
      <c r="D84" s="20">
        <v>381372.7</v>
      </c>
      <c r="E84" s="10">
        <v>396735.8</v>
      </c>
      <c r="F84" s="10">
        <f t="shared" si="4"/>
        <v>-15363.099999999977</v>
      </c>
      <c r="G84" s="11">
        <f t="shared" si="7"/>
        <v>-3.8723755204344998E-2</v>
      </c>
      <c r="H84" s="12">
        <v>399701.27</v>
      </c>
      <c r="I84" s="12">
        <f t="shared" si="5"/>
        <v>-18328.570000000007</v>
      </c>
      <c r="J84" s="72">
        <f t="shared" si="6"/>
        <v>-4.5855671161615291E-2</v>
      </c>
      <c r="K84" s="37"/>
      <c r="L84" s="37"/>
      <c r="M84" s="116"/>
      <c r="N84" s="116"/>
      <c r="O84" s="116"/>
      <c r="P84" s="116"/>
      <c r="Q84" s="116"/>
      <c r="R84" s="116"/>
      <c r="S84" s="116"/>
      <c r="T84" s="116"/>
    </row>
    <row r="85" spans="1:20" ht="15.6">
      <c r="A85" s="26" t="str">
        <v>Big Tree</v>
      </c>
      <c r="B85" s="27" t="str">
        <v>NY</v>
      </c>
      <c r="C85" s="27" t="str">
        <f>Sites[[#This Row],[SOL'#]]</f>
        <v>SOL-10966</v>
      </c>
      <c r="D85" s="9">
        <v>321144</v>
      </c>
      <c r="E85" s="14" t="s">
        <v>777</v>
      </c>
      <c r="F85" s="14" t="str">
        <f t="shared" si="4"/>
        <v/>
      </c>
      <c r="G85" s="15" t="str">
        <f t="shared" si="7"/>
        <v/>
      </c>
      <c r="H85" s="16">
        <v>323746.34999999998</v>
      </c>
      <c r="I85" s="16">
        <f t="shared" si="5"/>
        <v>-2602.3499999999767</v>
      </c>
      <c r="J85" s="15">
        <f t="shared" si="6"/>
        <v>-8.0382373422896568E-3</v>
      </c>
      <c r="K85" s="78" t="s">
        <v>871</v>
      </c>
      <c r="L85" s="139" t="s">
        <v>872</v>
      </c>
      <c r="M85" s="116"/>
      <c r="N85" s="116"/>
      <c r="O85" s="116"/>
      <c r="P85" s="116"/>
      <c r="Q85" s="116"/>
      <c r="R85" s="116"/>
      <c r="S85" s="116"/>
      <c r="T85" s="116"/>
    </row>
    <row r="86" spans="1:20" ht="40.5" customHeight="1">
      <c r="A86" s="24" t="str">
        <v>Canoga</v>
      </c>
      <c r="B86" s="25" t="str">
        <v>NY</v>
      </c>
      <c r="C86" s="25" t="str">
        <f>Sites[[#This Row],[SOL'#]]</f>
        <v>SOL-10965</v>
      </c>
      <c r="D86" s="20">
        <v>0</v>
      </c>
      <c r="E86" s="10" t="s">
        <v>777</v>
      </c>
      <c r="F86" s="10" t="str">
        <f t="shared" si="4"/>
        <v/>
      </c>
      <c r="G86" s="11" t="str">
        <f t="shared" si="7"/>
        <v/>
      </c>
      <c r="H86" s="12"/>
      <c r="I86" s="12" t="str">
        <f t="shared" si="5"/>
        <v/>
      </c>
      <c r="J86" s="72" t="str">
        <f t="shared" si="6"/>
        <v/>
      </c>
      <c r="K86" s="37" t="s">
        <v>873</v>
      </c>
      <c r="L86" s="124" t="s">
        <v>874</v>
      </c>
      <c r="M86" s="116"/>
      <c r="N86" s="116"/>
      <c r="O86" s="116"/>
      <c r="P86" s="116"/>
      <c r="Q86" s="116"/>
      <c r="R86" s="116"/>
      <c r="S86" s="116"/>
      <c r="T86" s="116"/>
    </row>
    <row r="87" spans="1:20" ht="15.6">
      <c r="A87" s="26" t="str">
        <v>County Route 84</v>
      </c>
      <c r="B87" s="27" t="str">
        <v>NY</v>
      </c>
      <c r="C87" s="27" t="str">
        <f>Sites[[#This Row],[SOL'#]]</f>
        <v>SOL-10967</v>
      </c>
      <c r="D87" s="9">
        <v>854850</v>
      </c>
      <c r="E87" s="14" t="s">
        <v>777</v>
      </c>
      <c r="F87" s="14" t="str">
        <f t="shared" si="4"/>
        <v/>
      </c>
      <c r="G87" s="15" t="str">
        <f t="shared" si="7"/>
        <v/>
      </c>
      <c r="H87" s="16">
        <v>857242.25</v>
      </c>
      <c r="I87" s="16">
        <f t="shared" si="5"/>
        <v>-2392.25</v>
      </c>
      <c r="J87" s="15">
        <f t="shared" si="6"/>
        <v>-2.790634735980407E-3</v>
      </c>
      <c r="K87" s="67" t="s">
        <v>875</v>
      </c>
      <c r="L87" s="149" t="s">
        <v>876</v>
      </c>
      <c r="M87" s="116"/>
      <c r="N87" s="116"/>
      <c r="O87" s="116"/>
      <c r="P87" s="116"/>
      <c r="Q87" s="116"/>
      <c r="R87" s="116"/>
      <c r="S87" s="116"/>
      <c r="T87" s="116"/>
    </row>
    <row r="88" spans="1:20" ht="106.5" customHeight="1">
      <c r="A88" s="24" t="str">
        <v>Donati</v>
      </c>
      <c r="B88" s="25" t="str">
        <v>NY</v>
      </c>
      <c r="C88" s="25" t="str">
        <f>Sites[[#This Row],[SOL'#]]</f>
        <v>SOL-10968</v>
      </c>
      <c r="D88" s="20">
        <v>338220</v>
      </c>
      <c r="E88" s="10" t="s">
        <v>777</v>
      </c>
      <c r="F88" s="10" t="str">
        <f t="shared" si="4"/>
        <v/>
      </c>
      <c r="G88" s="11" t="str">
        <f t="shared" si="7"/>
        <v/>
      </c>
      <c r="H88" s="12">
        <v>408878.12</v>
      </c>
      <c r="I88" s="12">
        <f t="shared" si="5"/>
        <v>-70658.12</v>
      </c>
      <c r="J88" s="72">
        <f t="shared" si="6"/>
        <v>-0.17280973606511396</v>
      </c>
      <c r="K88" s="66" t="s">
        <v>877</v>
      </c>
      <c r="L88" s="150" t="s">
        <v>878</v>
      </c>
      <c r="M88" s="115" t="s">
        <v>559</v>
      </c>
      <c r="N88" s="115" t="s">
        <v>879</v>
      </c>
      <c r="O88" s="115" t="s">
        <v>880</v>
      </c>
      <c r="P88" s="116"/>
      <c r="Q88" s="116"/>
      <c r="R88" s="116"/>
      <c r="S88" s="116"/>
      <c r="T88" s="116"/>
    </row>
    <row r="89" spans="1:20" ht="211.5" customHeight="1">
      <c r="A89" s="26" t="str">
        <v>Henrietta</v>
      </c>
      <c r="B89" s="27" t="str">
        <v>NY</v>
      </c>
      <c r="C89" s="27" t="str">
        <f>Sites[[#This Row],[SOL'#]]</f>
        <v>SOL-10972</v>
      </c>
      <c r="D89" s="9">
        <v>414260</v>
      </c>
      <c r="E89" s="14" t="s">
        <v>777</v>
      </c>
      <c r="F89" s="14" t="str">
        <f t="shared" si="4"/>
        <v/>
      </c>
      <c r="G89" s="15" t="str">
        <f t="shared" si="7"/>
        <v/>
      </c>
      <c r="H89" s="16">
        <v>858985.29</v>
      </c>
      <c r="I89" s="16">
        <f t="shared" si="5"/>
        <v>-444725.29000000004</v>
      </c>
      <c r="J89" s="15">
        <f t="shared" si="6"/>
        <v>-0.51773330134675533</v>
      </c>
      <c r="K89" s="153" t="s">
        <v>881</v>
      </c>
      <c r="L89" s="125" t="s">
        <v>882</v>
      </c>
      <c r="M89" s="115" t="s">
        <v>883</v>
      </c>
      <c r="N89" s="115" t="s">
        <v>883</v>
      </c>
      <c r="O89" s="115" t="s">
        <v>884</v>
      </c>
      <c r="P89" s="115" t="s">
        <v>885</v>
      </c>
      <c r="Q89" s="116"/>
      <c r="R89" s="116"/>
      <c r="S89" s="116"/>
      <c r="T89" s="116"/>
    </row>
    <row r="90" spans="1:20" ht="116.25" customHeight="1">
      <c r="A90" s="24" t="str">
        <v>NY 70</v>
      </c>
      <c r="B90" s="25" t="str">
        <v>NY</v>
      </c>
      <c r="C90" s="25" t="str">
        <f>Sites[[#This Row],[SOL'#]]</f>
        <v>SOL-10970</v>
      </c>
      <c r="D90" s="20">
        <v>756760</v>
      </c>
      <c r="E90" s="10" t="s">
        <v>777</v>
      </c>
      <c r="F90" s="10" t="str">
        <f t="shared" si="4"/>
        <v/>
      </c>
      <c r="G90" s="11" t="str">
        <f t="shared" si="7"/>
        <v/>
      </c>
      <c r="H90" s="12">
        <v>978510.51</v>
      </c>
      <c r="I90" s="12">
        <f t="shared" si="5"/>
        <v>-221750.51</v>
      </c>
      <c r="J90" s="72">
        <f t="shared" si="6"/>
        <v>-0.22662046828704988</v>
      </c>
      <c r="K90" s="66" t="s">
        <v>886</v>
      </c>
      <c r="L90" s="150" t="s">
        <v>887</v>
      </c>
      <c r="M90" s="115" t="s">
        <v>888</v>
      </c>
      <c r="N90" s="115" t="s">
        <v>889</v>
      </c>
      <c r="O90" s="116"/>
      <c r="P90" s="116"/>
      <c r="Q90" s="116"/>
      <c r="R90" s="116"/>
      <c r="S90" s="116"/>
      <c r="T90" s="116"/>
    </row>
    <row r="91" spans="1:20" ht="331.15">
      <c r="A91" s="26" t="str">
        <v>Reid</v>
      </c>
      <c r="B91" s="27" t="str">
        <v>NY</v>
      </c>
      <c r="C91" s="27" t="str">
        <f>Sites[[#This Row],[SOL'#]]</f>
        <v>SOL-10991</v>
      </c>
      <c r="D91" s="9">
        <v>661842.94276094402</v>
      </c>
      <c r="E91" s="14">
        <v>631012</v>
      </c>
      <c r="F91" s="14">
        <f t="shared" si="4"/>
        <v>30830.942760944017</v>
      </c>
      <c r="G91" s="15">
        <f t="shared" si="7"/>
        <v>4.885951893299021E-2</v>
      </c>
      <c r="H91" s="16">
        <v>766909</v>
      </c>
      <c r="I91" s="16">
        <f t="shared" si="5"/>
        <v>-105066.05723905598</v>
      </c>
      <c r="J91" s="15">
        <f t="shared" si="6"/>
        <v>-0.13699937963833517</v>
      </c>
      <c r="K91" s="56" t="s">
        <v>890</v>
      </c>
      <c r="L91" s="125" t="s">
        <v>891</v>
      </c>
      <c r="M91" s="115" t="s">
        <v>892</v>
      </c>
      <c r="N91" s="115" t="s">
        <v>571</v>
      </c>
      <c r="O91" s="115" t="s">
        <v>893</v>
      </c>
      <c r="P91" s="115" t="s">
        <v>894</v>
      </c>
      <c r="Q91" s="115" t="s">
        <v>895</v>
      </c>
      <c r="R91" s="115" t="s">
        <v>896</v>
      </c>
      <c r="S91" s="115" t="s">
        <v>897</v>
      </c>
      <c r="T91" s="115" t="s">
        <v>898</v>
      </c>
    </row>
    <row r="92" spans="1:20" ht="125.25" customHeight="1">
      <c r="A92" s="24" t="str">
        <v>Sangolqui</v>
      </c>
      <c r="B92" s="25" t="str">
        <v>NY</v>
      </c>
      <c r="C92" s="25" t="str">
        <f>Sites[[#This Row],[SOL'#]]</f>
        <v>SOL-10975</v>
      </c>
      <c r="D92" s="20">
        <v>351500</v>
      </c>
      <c r="E92" s="10" t="s">
        <v>777</v>
      </c>
      <c r="F92" s="10" t="str">
        <f t="shared" si="4"/>
        <v/>
      </c>
      <c r="G92" s="11" t="str">
        <f t="shared" si="7"/>
        <v/>
      </c>
      <c r="H92" s="12">
        <v>400067.19</v>
      </c>
      <c r="I92" s="12">
        <f t="shared" si="5"/>
        <v>-48567.19</v>
      </c>
      <c r="J92" s="72">
        <f t="shared" si="6"/>
        <v>-0.12139758324095511</v>
      </c>
      <c r="K92" s="37" t="s">
        <v>899</v>
      </c>
      <c r="L92" s="124" t="s">
        <v>900</v>
      </c>
      <c r="M92" s="115" t="s">
        <v>901</v>
      </c>
      <c r="N92" s="115" t="s">
        <v>902</v>
      </c>
      <c r="O92" s="116"/>
      <c r="P92" s="116"/>
      <c r="Q92" s="116"/>
      <c r="R92" s="116"/>
      <c r="S92" s="116"/>
      <c r="T92" s="116"/>
    </row>
    <row r="93" spans="1:20" ht="15.6">
      <c r="A93" s="26" t="str">
        <v>State Highway 17B</v>
      </c>
      <c r="B93" s="27" t="str">
        <v>NY</v>
      </c>
      <c r="C93" s="27" t="str">
        <f>Sites[[#This Row],[SOL'#]]</f>
        <v>SOL-10988</v>
      </c>
      <c r="D93" s="9">
        <v>690070</v>
      </c>
      <c r="E93" s="14" t="s">
        <v>777</v>
      </c>
      <c r="F93" s="14" t="str">
        <f t="shared" si="4"/>
        <v/>
      </c>
      <c r="G93" s="15" t="str">
        <f t="shared" si="7"/>
        <v/>
      </c>
      <c r="H93" s="16">
        <v>753209.8</v>
      </c>
      <c r="I93" s="16">
        <f t="shared" si="5"/>
        <v>-63139.800000000047</v>
      </c>
      <c r="J93" s="15">
        <f t="shared" si="6"/>
        <v>-8.3827640054603705E-2</v>
      </c>
      <c r="K93" s="38"/>
      <c r="L93" s="39"/>
      <c r="M93" s="116"/>
      <c r="N93" s="116"/>
      <c r="O93" s="116"/>
      <c r="P93" s="116"/>
      <c r="Q93" s="116"/>
      <c r="R93" s="116"/>
      <c r="S93" s="116"/>
      <c r="T93" s="116"/>
    </row>
    <row r="94" spans="1:20" ht="49.5" customHeight="1">
      <c r="A94" s="24" t="str">
        <v>State Route 14A</v>
      </c>
      <c r="B94" s="25" t="str">
        <v>NY</v>
      </c>
      <c r="C94" s="25" t="str">
        <f>Sites[[#This Row],[SOL'#]]</f>
        <v>SOL-10997</v>
      </c>
      <c r="D94" s="20">
        <v>44015</v>
      </c>
      <c r="E94" s="10" t="s">
        <v>777</v>
      </c>
      <c r="F94" s="10" t="str">
        <f t="shared" si="4"/>
        <v/>
      </c>
      <c r="G94" s="11" t="str">
        <f t="shared" si="7"/>
        <v/>
      </c>
      <c r="H94" s="12">
        <v>848546.08</v>
      </c>
      <c r="I94" s="12">
        <f t="shared" si="5"/>
        <v>-804531.08</v>
      </c>
      <c r="J94" s="72">
        <f t="shared" si="6"/>
        <v>-0.94812892188483155</v>
      </c>
      <c r="K94" s="66" t="s">
        <v>903</v>
      </c>
      <c r="L94" s="150" t="s">
        <v>904</v>
      </c>
      <c r="M94" s="116"/>
      <c r="N94" s="116"/>
      <c r="O94" s="116"/>
      <c r="P94" s="116"/>
      <c r="Q94" s="116"/>
      <c r="R94" s="116"/>
      <c r="S94" s="116"/>
      <c r="T94" s="116"/>
    </row>
    <row r="95" spans="1:20" ht="28.9">
      <c r="A95" s="26" t="str">
        <v>West Creek</v>
      </c>
      <c r="B95" s="27" t="str">
        <v>NY</v>
      </c>
      <c r="C95" s="27" t="str">
        <f>Sites[[#This Row],[SOL'#]]</f>
        <v>SOL-10995</v>
      </c>
      <c r="D95" s="9">
        <v>776940</v>
      </c>
      <c r="E95" s="14" t="s">
        <v>777</v>
      </c>
      <c r="F95" s="14" t="str">
        <f t="shared" si="4"/>
        <v/>
      </c>
      <c r="G95" s="15" t="str">
        <f t="shared" si="7"/>
        <v/>
      </c>
      <c r="H95" s="16">
        <v>828525.56</v>
      </c>
      <c r="I95" s="16">
        <f t="shared" si="5"/>
        <v>-51585.560000000056</v>
      </c>
      <c r="J95" s="15">
        <f t="shared" si="6"/>
        <v>-6.2261881214624268E-2</v>
      </c>
      <c r="K95" s="69" t="s">
        <v>905</v>
      </c>
      <c r="L95" s="114" t="s">
        <v>906</v>
      </c>
      <c r="M95" s="116"/>
      <c r="N95" s="116"/>
      <c r="O95" s="116"/>
      <c r="P95" s="116"/>
      <c r="Q95" s="116"/>
      <c r="R95" s="116"/>
      <c r="S95" s="116"/>
      <c r="T95" s="116"/>
    </row>
    <row r="96" spans="1:20" ht="15.6">
      <c r="A96" s="24" t="str">
        <v>Wildflower</v>
      </c>
      <c r="B96" s="25" t="str">
        <v>NY</v>
      </c>
      <c r="C96" s="25" t="str">
        <f>Sites[[#This Row],[SOL'#]]</f>
        <v>SOL-10982</v>
      </c>
      <c r="D96" s="20">
        <v>759563</v>
      </c>
      <c r="E96" s="10" t="s">
        <v>777</v>
      </c>
      <c r="F96" s="10" t="str">
        <f t="shared" si="4"/>
        <v/>
      </c>
      <c r="G96" s="11" t="str">
        <f t="shared" si="7"/>
        <v/>
      </c>
      <c r="H96" s="12">
        <v>842400.75</v>
      </c>
      <c r="I96" s="12">
        <f t="shared" si="5"/>
        <v>-82837.75</v>
      </c>
      <c r="J96" s="72">
        <f t="shared" si="6"/>
        <v>-9.8335323181989093E-2</v>
      </c>
      <c r="K96" s="37"/>
      <c r="L96" s="37"/>
      <c r="M96" s="116"/>
      <c r="N96" s="116"/>
      <c r="O96" s="116"/>
      <c r="P96" s="116"/>
      <c r="Q96" s="116"/>
      <c r="R96" s="116"/>
      <c r="S96" s="116"/>
      <c r="T96" s="116"/>
    </row>
    <row r="97" spans="1:20" ht="15.6">
      <c r="A97" s="26" t="str">
        <v>Glen Mary 1</v>
      </c>
      <c r="B97" s="27" t="str">
        <v>NY</v>
      </c>
      <c r="C97" s="27" t="str">
        <f>Sites[[#This Row],[SOL'#]]</f>
        <v>SOL-10993</v>
      </c>
      <c r="D97" s="9">
        <v>806620</v>
      </c>
      <c r="E97" s="14" t="s">
        <v>777</v>
      </c>
      <c r="F97" s="14" t="str">
        <f t="shared" si="4"/>
        <v/>
      </c>
      <c r="G97" s="15" t="str">
        <f t="shared" si="7"/>
        <v/>
      </c>
      <c r="H97" s="16">
        <v>858725.86</v>
      </c>
      <c r="I97" s="16">
        <f t="shared" si="5"/>
        <v>-52105.859999999986</v>
      </c>
      <c r="J97" s="15">
        <f t="shared" si="6"/>
        <v>-6.0678107446304211E-2</v>
      </c>
      <c r="K97" s="38"/>
      <c r="L97" s="39"/>
      <c r="M97" s="116"/>
      <c r="N97" s="116"/>
      <c r="O97" s="116"/>
      <c r="P97" s="116"/>
      <c r="Q97" s="116"/>
      <c r="R97" s="116"/>
      <c r="S97" s="116"/>
      <c r="T97" s="116"/>
    </row>
    <row r="98" spans="1:20" ht="15.6">
      <c r="A98" s="24" t="str">
        <v>Glen Mary 2</v>
      </c>
      <c r="B98" s="25" t="str">
        <v>NY</v>
      </c>
      <c r="C98" s="25" t="str">
        <f>Sites[[#This Row],[SOL'#]]</f>
        <v>SOL-10994</v>
      </c>
      <c r="D98" s="20">
        <v>352610</v>
      </c>
      <c r="E98" s="10" t="s">
        <v>777</v>
      </c>
      <c r="F98" s="10" t="str">
        <f t="shared" si="4"/>
        <v/>
      </c>
      <c r="G98" s="11" t="str">
        <f t="shared" si="7"/>
        <v/>
      </c>
      <c r="H98" s="12">
        <v>366971.2</v>
      </c>
      <c r="I98" s="12">
        <f t="shared" si="5"/>
        <v>-14361.200000000012</v>
      </c>
      <c r="J98" s="72">
        <f t="shared" si="6"/>
        <v>-3.9134406187733561E-2</v>
      </c>
      <c r="K98" s="37"/>
      <c r="L98" s="37"/>
      <c r="M98" s="116"/>
      <c r="N98" s="116"/>
      <c r="O98" s="116"/>
      <c r="P98" s="116"/>
      <c r="Q98" s="116"/>
      <c r="R98" s="116"/>
      <c r="S98" s="116"/>
      <c r="T98" s="116"/>
    </row>
    <row r="99" spans="1:20" ht="15.6">
      <c r="A99" s="26" t="str">
        <v>Telegraph 1</v>
      </c>
      <c r="B99" s="27" t="str">
        <v>NY</v>
      </c>
      <c r="C99" s="27" t="str">
        <f>Sites[[#This Row],[SOL'#]]</f>
        <v>SOL-11003</v>
      </c>
      <c r="D99" s="9">
        <v>609182</v>
      </c>
      <c r="E99" s="14" t="s">
        <v>777</v>
      </c>
      <c r="F99" s="14" t="str">
        <f t="shared" si="4"/>
        <v/>
      </c>
      <c r="G99" s="15" t="str">
        <f t="shared" si="7"/>
        <v/>
      </c>
      <c r="H99" s="16">
        <v>599655.38</v>
      </c>
      <c r="I99" s="16">
        <f t="shared" si="5"/>
        <v>9526.6199999999953</v>
      </c>
      <c r="J99" s="15">
        <f t="shared" si="6"/>
        <v>1.5886824862640266E-2</v>
      </c>
      <c r="K99" s="38" t="s">
        <v>907</v>
      </c>
      <c r="L99" s="125" t="s">
        <v>908</v>
      </c>
      <c r="M99" s="116"/>
      <c r="N99" s="116"/>
      <c r="O99" s="116"/>
      <c r="P99" s="116"/>
      <c r="Q99" s="116"/>
      <c r="R99" s="116"/>
      <c r="S99" s="116"/>
      <c r="T99" s="116"/>
    </row>
    <row r="100" spans="1:20" ht="43.15">
      <c r="A100" s="24" t="str">
        <v>Telegraph 2</v>
      </c>
      <c r="B100" s="25" t="str">
        <v>NY</v>
      </c>
      <c r="C100" s="25" t="str">
        <f>Sites[[#This Row],[SOL'#]]</f>
        <v>SOL-11004</v>
      </c>
      <c r="D100" s="20">
        <v>322296</v>
      </c>
      <c r="E100" s="10" t="s">
        <v>777</v>
      </c>
      <c r="F100" s="10" t="str">
        <f t="shared" si="4"/>
        <v/>
      </c>
      <c r="G100" s="11" t="str">
        <f t="shared" si="7"/>
        <v/>
      </c>
      <c r="H100" s="12">
        <v>311979</v>
      </c>
      <c r="I100" s="12">
        <f t="shared" si="5"/>
        <v>10317</v>
      </c>
      <c r="J100" s="72">
        <f t="shared" si="6"/>
        <v>3.306953352629504E-2</v>
      </c>
      <c r="K100" s="37" t="s">
        <v>909</v>
      </c>
      <c r="L100" s="124" t="s">
        <v>910</v>
      </c>
      <c r="M100" s="115" t="s">
        <v>911</v>
      </c>
      <c r="N100" s="116"/>
      <c r="O100" s="116"/>
      <c r="P100" s="116"/>
      <c r="Q100" s="116"/>
      <c r="R100" s="116"/>
      <c r="S100" s="116"/>
      <c r="T100" s="116"/>
    </row>
    <row r="101" spans="1:20" ht="15.6">
      <c r="A101" s="26" t="str">
        <v>Cafferty Hill</v>
      </c>
      <c r="B101" s="27" t="str">
        <v>NY</v>
      </c>
      <c r="C101" s="27" t="str">
        <f>Sites[[#This Row],[SOL'#]]</f>
        <v>SOL-10996</v>
      </c>
      <c r="D101" s="9">
        <v>768050</v>
      </c>
      <c r="E101" s="14" t="s">
        <v>777</v>
      </c>
      <c r="F101" s="14" t="str">
        <f t="shared" si="4"/>
        <v/>
      </c>
      <c r="G101" s="15" t="str">
        <f t="shared" si="7"/>
        <v/>
      </c>
      <c r="H101" s="16">
        <v>806343.49</v>
      </c>
      <c r="I101" s="16">
        <f t="shared" si="5"/>
        <v>-38293.489999999991</v>
      </c>
      <c r="J101" s="15">
        <f t="shared" si="6"/>
        <v>-4.7490294737792191E-2</v>
      </c>
      <c r="K101" s="38"/>
      <c r="L101" s="38"/>
      <c r="M101" s="116"/>
      <c r="N101" s="116"/>
      <c r="O101" s="116"/>
      <c r="P101" s="116"/>
      <c r="Q101" s="116"/>
      <c r="R101" s="116"/>
      <c r="S101" s="116"/>
      <c r="T101" s="116"/>
    </row>
    <row r="102" spans="1:20" ht="138.75" customHeight="1">
      <c r="A102" s="24" t="str">
        <v>Dunkleman</v>
      </c>
      <c r="B102" s="25" t="str">
        <v>NY</v>
      </c>
      <c r="C102" s="25" t="str">
        <f>Sites[[#This Row],[SOL'#]]</f>
        <v>SOL-11008</v>
      </c>
      <c r="D102" s="20">
        <v>865550</v>
      </c>
      <c r="E102" s="10" t="s">
        <v>777</v>
      </c>
      <c r="F102" s="10" t="str">
        <f t="shared" si="4"/>
        <v/>
      </c>
      <c r="G102" s="11" t="str">
        <f t="shared" si="7"/>
        <v/>
      </c>
      <c r="H102" s="12">
        <v>1009142.13</v>
      </c>
      <c r="I102" s="12">
        <f t="shared" si="5"/>
        <v>-143592.13</v>
      </c>
      <c r="J102" s="72">
        <f t="shared" si="6"/>
        <v>-0.14229128457851623</v>
      </c>
      <c r="K102" s="37" t="s">
        <v>912</v>
      </c>
      <c r="L102" s="150" t="s">
        <v>913</v>
      </c>
      <c r="M102" s="115" t="s">
        <v>914</v>
      </c>
      <c r="N102" s="116"/>
      <c r="O102" s="116"/>
      <c r="P102" s="116"/>
      <c r="Q102" s="116"/>
      <c r="R102" s="116"/>
      <c r="S102" s="116"/>
      <c r="T102" s="116"/>
    </row>
    <row r="103" spans="1:20" ht="15.6">
      <c r="A103" s="26" t="str">
        <v>Route 19 1</v>
      </c>
      <c r="B103" s="27" t="str">
        <v>NY</v>
      </c>
      <c r="C103" s="27" t="str">
        <f>Sites[[#This Row],[SOL'#]]</f>
        <v>SOL-11001</v>
      </c>
      <c r="D103" s="9">
        <v>377130</v>
      </c>
      <c r="E103" s="14" t="s">
        <v>777</v>
      </c>
      <c r="F103" s="14" t="str">
        <f t="shared" si="4"/>
        <v/>
      </c>
      <c r="G103" s="15" t="str">
        <f t="shared" si="7"/>
        <v/>
      </c>
      <c r="H103" s="16">
        <v>405489.67</v>
      </c>
      <c r="I103" s="16">
        <f t="shared" si="5"/>
        <v>-28359.669999999984</v>
      </c>
      <c r="J103" s="15">
        <f t="shared" si="6"/>
        <v>-6.9939315593415693E-2</v>
      </c>
      <c r="K103" s="38" t="s">
        <v>915</v>
      </c>
      <c r="L103" s="114" t="s">
        <v>916</v>
      </c>
      <c r="M103" s="116"/>
      <c r="N103" s="116"/>
      <c r="O103" s="116"/>
      <c r="P103" s="116"/>
      <c r="Q103" s="116"/>
      <c r="R103" s="116"/>
      <c r="S103" s="116"/>
      <c r="T103" s="116"/>
    </row>
    <row r="104" spans="1:20" ht="15.6">
      <c r="A104" s="24" t="str">
        <v>Route 19 2</v>
      </c>
      <c r="B104" s="25" t="str">
        <v>NY</v>
      </c>
      <c r="C104" s="25" t="str">
        <f>Sites[[#This Row],[SOL'#]]</f>
        <v>SOL-11002</v>
      </c>
      <c r="D104" s="20">
        <v>925110</v>
      </c>
      <c r="E104" s="10" t="s">
        <v>777</v>
      </c>
      <c r="F104" s="10" t="str">
        <f t="shared" si="4"/>
        <v/>
      </c>
      <c r="G104" s="11" t="str">
        <f t="shared" si="7"/>
        <v/>
      </c>
      <c r="H104" s="12">
        <v>1002309.25</v>
      </c>
      <c r="I104" s="12">
        <f t="shared" si="5"/>
        <v>-77199.25</v>
      </c>
      <c r="J104" s="72">
        <f t="shared" si="6"/>
        <v>-7.702138835893213E-2</v>
      </c>
      <c r="K104" s="37" t="s">
        <v>917</v>
      </c>
      <c r="L104" s="124" t="s">
        <v>918</v>
      </c>
      <c r="M104" s="116"/>
      <c r="N104" s="116"/>
      <c r="O104" s="116"/>
      <c r="P104" s="116"/>
      <c r="Q104" s="116"/>
      <c r="R104" s="116"/>
      <c r="S104" s="116"/>
      <c r="T104" s="116"/>
    </row>
    <row r="105" spans="1:20" ht="15.6">
      <c r="A105" s="26" t="str">
        <v>Yellow Mills 1</v>
      </c>
      <c r="B105" s="27" t="str">
        <v>NY</v>
      </c>
      <c r="C105" s="27" t="str">
        <f>Sites[[#This Row],[SOL'#]]</f>
        <v>SOL-11006</v>
      </c>
      <c r="D105" s="9">
        <v>344742</v>
      </c>
      <c r="E105" s="14" t="s">
        <v>777</v>
      </c>
      <c r="F105" s="14" t="str">
        <f t="shared" si="4"/>
        <v/>
      </c>
      <c r="G105" s="15" t="str">
        <f t="shared" si="7"/>
        <v/>
      </c>
      <c r="H105" s="16">
        <v>353655.16</v>
      </c>
      <c r="I105" s="16">
        <f t="shared" si="5"/>
        <v>-8913.1599999999744</v>
      </c>
      <c r="J105" s="15">
        <f t="shared" si="6"/>
        <v>-2.5202968903380273E-2</v>
      </c>
      <c r="K105" s="38"/>
      <c r="L105" s="39"/>
      <c r="M105" s="116"/>
      <c r="N105" s="116"/>
      <c r="O105" s="116"/>
      <c r="P105" s="116"/>
      <c r="Q105" s="116"/>
      <c r="R105" s="116"/>
      <c r="S105" s="116"/>
      <c r="T105" s="116"/>
    </row>
    <row r="106" spans="1:20" ht="15.6">
      <c r="A106" s="24" t="str">
        <v>Yellow Mills 2</v>
      </c>
      <c r="B106" s="25" t="str">
        <v>NY</v>
      </c>
      <c r="C106" s="25" t="str">
        <f>Sites[[#This Row],[SOL'#]]</f>
        <v>SOL-11005</v>
      </c>
      <c r="D106" s="20">
        <v>340313</v>
      </c>
      <c r="E106" s="10" t="s">
        <v>777</v>
      </c>
      <c r="F106" s="10" t="str">
        <f t="shared" si="4"/>
        <v/>
      </c>
      <c r="G106" s="11" t="str">
        <f t="shared" si="7"/>
        <v/>
      </c>
      <c r="H106" s="12">
        <v>363985.19</v>
      </c>
      <c r="I106" s="12">
        <f t="shared" si="5"/>
        <v>-23672.190000000002</v>
      </c>
      <c r="J106" s="72">
        <f t="shared" si="6"/>
        <v>-6.5036135124069208E-2</v>
      </c>
      <c r="K106" s="37"/>
      <c r="L106" s="37"/>
      <c r="M106" s="132"/>
      <c r="N106" s="116"/>
      <c r="O106" s="116"/>
      <c r="P106" s="116"/>
      <c r="Q106" s="116"/>
      <c r="R106" s="116"/>
      <c r="S106" s="116"/>
      <c r="T106" s="116"/>
    </row>
    <row r="107" spans="1:20" ht="15.6">
      <c r="A107" s="26" t="str">
        <v>Yellow Mills 3</v>
      </c>
      <c r="B107" s="27" t="str">
        <v>NY</v>
      </c>
      <c r="C107" s="27" t="str">
        <f>Sites[[#This Row],[SOL'#]]</f>
        <v>SOL-11007</v>
      </c>
      <c r="D107" s="9">
        <v>335936</v>
      </c>
      <c r="E107" s="14" t="s">
        <v>777</v>
      </c>
      <c r="F107" s="14" t="str">
        <f t="shared" si="4"/>
        <v/>
      </c>
      <c r="G107" s="15" t="str">
        <f t="shared" si="7"/>
        <v/>
      </c>
      <c r="H107" s="16">
        <v>348598.8</v>
      </c>
      <c r="I107" s="16">
        <f t="shared" si="5"/>
        <v>-12662.799999999988</v>
      </c>
      <c r="J107" s="15">
        <f t="shared" si="6"/>
        <v>-3.6324852523875552E-2</v>
      </c>
      <c r="K107" s="38"/>
      <c r="L107" s="39"/>
      <c r="M107" s="116"/>
      <c r="N107" s="116"/>
      <c r="O107" s="116"/>
      <c r="P107" s="116"/>
      <c r="Q107" s="116"/>
      <c r="R107" s="116"/>
      <c r="S107" s="116"/>
      <c r="T107" s="116"/>
    </row>
    <row r="108" spans="1:20" ht="43.15">
      <c r="A108" s="24" t="str">
        <v>Catskill</v>
      </c>
      <c r="B108" s="25" t="str">
        <v>NY</v>
      </c>
      <c r="C108" s="25" t="str">
        <f>Sites[[#This Row],[SOL'#]]</f>
        <v>SOL-11021</v>
      </c>
      <c r="D108" s="20">
        <v>600100</v>
      </c>
      <c r="E108" s="10" t="s">
        <v>777</v>
      </c>
      <c r="F108" s="10" t="str">
        <f t="shared" si="4"/>
        <v/>
      </c>
      <c r="G108" s="11" t="str">
        <f t="shared" si="7"/>
        <v/>
      </c>
      <c r="H108" s="12">
        <v>621136.5</v>
      </c>
      <c r="I108" s="12">
        <f t="shared" si="5"/>
        <v>-21036.5</v>
      </c>
      <c r="J108" s="72">
        <f t="shared" si="6"/>
        <v>-3.386775692621509E-2</v>
      </c>
      <c r="K108" s="37" t="s">
        <v>919</v>
      </c>
      <c r="L108" s="124" t="s">
        <v>920</v>
      </c>
      <c r="M108" s="116"/>
      <c r="N108" s="116"/>
      <c r="O108" s="116"/>
      <c r="P108" s="116"/>
      <c r="Q108" s="116"/>
      <c r="R108" s="116"/>
      <c r="S108" s="116"/>
      <c r="T108" s="116"/>
    </row>
    <row r="109" spans="1:20" ht="15.6">
      <c r="A109" s="26" t="str">
        <v>Eddy Ridge</v>
      </c>
      <c r="B109" s="27" t="str">
        <v>NY</v>
      </c>
      <c r="C109" s="27" t="str">
        <f>Sites[[#This Row],[SOL'#]]</f>
        <v>SOL-11054</v>
      </c>
      <c r="D109" s="9">
        <v>434509</v>
      </c>
      <c r="E109" s="14" t="s">
        <v>777</v>
      </c>
      <c r="F109" s="14" t="str">
        <f t="shared" si="4"/>
        <v/>
      </c>
      <c r="G109" s="15" t="str">
        <f t="shared" si="7"/>
        <v/>
      </c>
      <c r="H109" s="16">
        <v>474615</v>
      </c>
      <c r="I109" s="16">
        <f t="shared" si="5"/>
        <v>-40106</v>
      </c>
      <c r="J109" s="15">
        <f t="shared" si="6"/>
        <v>-8.450217544746795E-2</v>
      </c>
      <c r="K109" s="38"/>
      <c r="L109" s="39"/>
      <c r="M109" s="116"/>
      <c r="N109" s="116"/>
      <c r="O109" s="116"/>
      <c r="P109" s="116"/>
      <c r="Q109" s="116"/>
      <c r="R109" s="116"/>
      <c r="S109" s="116"/>
      <c r="T109" s="116"/>
    </row>
    <row r="110" spans="1:20" ht="100.9">
      <c r="A110" s="24" t="str">
        <v>Ridgeway #1</v>
      </c>
      <c r="B110" s="25" t="str">
        <v>NY</v>
      </c>
      <c r="C110" s="25" t="str">
        <f>Sites[[#This Row],[SOL'#]]</f>
        <v>SOL-11018</v>
      </c>
      <c r="D110" s="20">
        <v>902744</v>
      </c>
      <c r="E110" s="10" t="s">
        <v>777</v>
      </c>
      <c r="F110" s="10" t="str">
        <f t="shared" si="4"/>
        <v/>
      </c>
      <c r="G110" s="11" t="str">
        <f t="shared" si="7"/>
        <v/>
      </c>
      <c r="H110" s="12">
        <v>1036704.57</v>
      </c>
      <c r="I110" s="12">
        <f t="shared" si="5"/>
        <v>-133960.56999999995</v>
      </c>
      <c r="J110" s="72">
        <f t="shared" si="6"/>
        <v>-0.12921769024322904</v>
      </c>
      <c r="K110" s="37" t="s">
        <v>921</v>
      </c>
      <c r="L110" s="124" t="s">
        <v>922</v>
      </c>
      <c r="M110" s="115" t="s">
        <v>923</v>
      </c>
      <c r="N110" s="116"/>
      <c r="O110" s="116"/>
      <c r="P110" s="116"/>
      <c r="Q110" s="116"/>
      <c r="R110" s="116"/>
      <c r="S110" s="116"/>
      <c r="T110" s="116"/>
    </row>
    <row r="111" spans="1:20" ht="154.5" customHeight="1">
      <c r="A111" s="26" t="str">
        <v>Rivard 1</v>
      </c>
      <c r="B111" s="27" t="str">
        <v>NY</v>
      </c>
      <c r="C111" s="27" t="str">
        <f>Sites[[#This Row],[SOL'#]]</f>
        <v>SOL-11011</v>
      </c>
      <c r="D111" s="9">
        <v>606969.71676649305</v>
      </c>
      <c r="E111" s="14">
        <v>103072.2</v>
      </c>
      <c r="F111" s="14">
        <f t="shared" si="4"/>
        <v>503897.51676649303</v>
      </c>
      <c r="G111" s="15">
        <f t="shared" si="7"/>
        <v>4.8887820068504704</v>
      </c>
      <c r="H111" s="16">
        <v>838372.6</v>
      </c>
      <c r="I111" s="16">
        <f t="shared" si="5"/>
        <v>-231402.88323350693</v>
      </c>
      <c r="J111" s="15">
        <f t="shared" si="6"/>
        <v>-0.27601436787593836</v>
      </c>
      <c r="K111" s="57" t="s">
        <v>924</v>
      </c>
      <c r="L111" s="125" t="s">
        <v>925</v>
      </c>
      <c r="M111" s="115" t="s">
        <v>926</v>
      </c>
      <c r="N111" s="115" t="s">
        <v>927</v>
      </c>
      <c r="O111" s="116"/>
      <c r="P111" s="116"/>
      <c r="Q111" s="116"/>
      <c r="R111" s="116"/>
      <c r="S111" s="116"/>
      <c r="T111" s="116"/>
    </row>
    <row r="112" spans="1:20" ht="43.15">
      <c r="A112" s="24" t="str">
        <v>Rivard 2</v>
      </c>
      <c r="B112" s="25" t="str">
        <v>NY</v>
      </c>
      <c r="C112" s="25" t="str">
        <f>Sites[[#This Row],[SOL'#]]</f>
        <v>SOL-11012</v>
      </c>
      <c r="D112" s="20">
        <v>739966.08955223905</v>
      </c>
      <c r="E112" s="10">
        <v>739025.9</v>
      </c>
      <c r="F112" s="10">
        <f t="shared" si="4"/>
        <v>940.18955223902594</v>
      </c>
      <c r="G112" s="11">
        <f t="shared" si="7"/>
        <v>1.2722010855628009E-3</v>
      </c>
      <c r="H112" s="12">
        <v>810690.4</v>
      </c>
      <c r="I112" s="12">
        <f t="shared" si="5"/>
        <v>-70724.310447760974</v>
      </c>
      <c r="J112" s="72">
        <f t="shared" si="6"/>
        <v>-8.7239605215210361E-2</v>
      </c>
      <c r="K112" s="66" t="s">
        <v>928</v>
      </c>
      <c r="L112" s="150" t="s">
        <v>377</v>
      </c>
      <c r="M112" s="116"/>
      <c r="N112" s="116"/>
      <c r="O112" s="116"/>
      <c r="P112" s="116"/>
      <c r="Q112" s="116"/>
      <c r="R112" s="116"/>
      <c r="S112" s="116"/>
      <c r="T112" s="116"/>
    </row>
    <row r="113" spans="1:20" ht="28.9">
      <c r="A113" s="26" t="str">
        <v>Essex</v>
      </c>
      <c r="B113" s="27" t="str">
        <v>DC</v>
      </c>
      <c r="C113" s="27" t="str">
        <f>Sites[[#This Row],[SOL'#]]</f>
        <v>SOL-10036</v>
      </c>
      <c r="D113" s="9">
        <v>3803</v>
      </c>
      <c r="E113" s="14">
        <v>4645.7359999999999</v>
      </c>
      <c r="F113" s="14">
        <f t="shared" si="4"/>
        <v>-842.73599999999988</v>
      </c>
      <c r="G113" s="15">
        <f t="shared" si="7"/>
        <v>-0.18139989013581484</v>
      </c>
      <c r="H113" s="16">
        <v>5003.5889999999999</v>
      </c>
      <c r="I113" s="16">
        <f t="shared" si="5"/>
        <v>-1200.5889999999999</v>
      </c>
      <c r="J113" s="15">
        <f t="shared" si="6"/>
        <v>-0.23994556707195575</v>
      </c>
      <c r="K113" s="67" t="s">
        <v>929</v>
      </c>
      <c r="L113" s="115" t="s">
        <v>930</v>
      </c>
      <c r="M113" s="116"/>
      <c r="N113" s="116"/>
      <c r="O113" s="116"/>
      <c r="P113" s="116"/>
      <c r="Q113" s="116"/>
      <c r="R113" s="116"/>
      <c r="S113" s="116"/>
      <c r="T113" s="116"/>
    </row>
    <row r="114" spans="1:20" ht="15.6">
      <c r="A114" s="24" t="str">
        <v>Temple Sinai</v>
      </c>
      <c r="B114" s="25" t="str">
        <v>DC</v>
      </c>
      <c r="C114" s="25" t="str">
        <f>Sites[[#This Row],[SOL'#]]</f>
        <v>SOL-10028</v>
      </c>
      <c r="D114" s="20">
        <v>9471.5699999999506</v>
      </c>
      <c r="E114" s="10">
        <v>12956.94</v>
      </c>
      <c r="F114" s="10">
        <f t="shared" si="4"/>
        <v>-3485.3700000000499</v>
      </c>
      <c r="G114" s="11">
        <f t="shared" si="7"/>
        <v>-0.26899638340534493</v>
      </c>
      <c r="H114" s="12">
        <v>11665.48</v>
      </c>
      <c r="I114" s="12">
        <f t="shared" si="5"/>
        <v>-2193.910000000049</v>
      </c>
      <c r="J114" s="72">
        <f t="shared" si="6"/>
        <v>-0.18806855783045781</v>
      </c>
      <c r="K114" s="66" t="s">
        <v>931</v>
      </c>
      <c r="L114" s="66"/>
      <c r="M114" s="116"/>
      <c r="N114" s="116"/>
      <c r="O114" s="116"/>
      <c r="P114" s="116"/>
      <c r="Q114" s="116"/>
      <c r="R114" s="116"/>
      <c r="S114" s="116"/>
      <c r="T114" s="116"/>
    </row>
    <row r="115" spans="1:20" ht="15.6">
      <c r="A115" s="26" t="str">
        <v>Weinberg Commons #1</v>
      </c>
      <c r="B115" s="27" t="str">
        <v>DC</v>
      </c>
      <c r="C115" s="27" t="str">
        <f>Sites[[#This Row],[SOL'#]]</f>
        <v>SOL-10039</v>
      </c>
      <c r="D115" s="9">
        <v>1528</v>
      </c>
      <c r="E115" s="14">
        <v>1545.605</v>
      </c>
      <c r="F115" s="14">
        <f t="shared" si="4"/>
        <v>-17.605000000000018</v>
      </c>
      <c r="G115" s="15">
        <f t="shared" si="7"/>
        <v>-1.1390361703022453E-2</v>
      </c>
      <c r="H115" s="16">
        <v>1752.7550000000001</v>
      </c>
      <c r="I115" s="16">
        <f t="shared" si="5"/>
        <v>-224.75500000000011</v>
      </c>
      <c r="J115" s="15">
        <f t="shared" si="6"/>
        <v>-0.12822955860916105</v>
      </c>
      <c r="K115" s="38" t="s">
        <v>931</v>
      </c>
      <c r="L115" s="39"/>
      <c r="M115" s="116"/>
      <c r="N115" s="116"/>
      <c r="O115" s="116"/>
      <c r="P115" s="116"/>
      <c r="Q115" s="116"/>
      <c r="R115" s="116"/>
      <c r="S115" s="116"/>
      <c r="T115" s="116"/>
    </row>
    <row r="116" spans="1:20" ht="15.6">
      <c r="A116" s="24" t="str">
        <v>Weinberg Commons #2</v>
      </c>
      <c r="B116" s="25" t="str">
        <v>DC</v>
      </c>
      <c r="C116" s="25" t="str">
        <f>Sites[[#This Row],[SOL'#]]</f>
        <v>SOL-10045</v>
      </c>
      <c r="D116" s="20">
        <v>1381</v>
      </c>
      <c r="E116" s="10">
        <v>1398.432</v>
      </c>
      <c r="F116" s="10">
        <f t="shared" si="4"/>
        <v>-17.432000000000016</v>
      </c>
      <c r="G116" s="11">
        <f t="shared" si="7"/>
        <v>-1.2465389808013557E-2</v>
      </c>
      <c r="H116" s="12">
        <v>1780.577</v>
      </c>
      <c r="I116" s="12">
        <f t="shared" si="5"/>
        <v>-399.577</v>
      </c>
      <c r="J116" s="72">
        <f t="shared" si="6"/>
        <v>-0.224408716949618</v>
      </c>
      <c r="K116" s="37" t="s">
        <v>931</v>
      </c>
      <c r="L116" s="37"/>
      <c r="M116" s="116"/>
      <c r="N116" s="116"/>
      <c r="O116" s="116"/>
      <c r="P116" s="116"/>
      <c r="Q116" s="116"/>
      <c r="R116" s="116"/>
      <c r="S116" s="116"/>
      <c r="T116" s="116"/>
    </row>
    <row r="117" spans="1:20" ht="15.6">
      <c r="A117" s="26" t="str">
        <v>Weinberg Commons #3</v>
      </c>
      <c r="B117" s="27" t="str">
        <v>DC</v>
      </c>
      <c r="C117" s="27" t="str">
        <f>Sites[[#This Row],[SOL'#]]</f>
        <v>SOL-10042</v>
      </c>
      <c r="D117" s="9">
        <v>1726</v>
      </c>
      <c r="E117" s="14">
        <v>1647.117</v>
      </c>
      <c r="F117" s="14">
        <f t="shared" si="4"/>
        <v>78.883000000000038</v>
      </c>
      <c r="G117" s="15">
        <f t="shared" si="7"/>
        <v>4.7891558401740759E-2</v>
      </c>
      <c r="H117" s="16">
        <v>1856</v>
      </c>
      <c r="I117" s="16">
        <f t="shared" si="5"/>
        <v>-130</v>
      </c>
      <c r="J117" s="15">
        <f t="shared" si="6"/>
        <v>-7.0043103448275856E-2</v>
      </c>
      <c r="K117" s="38"/>
      <c r="L117" s="39"/>
      <c r="M117" s="116"/>
      <c r="N117" s="116"/>
      <c r="O117" s="116"/>
      <c r="P117" s="116"/>
      <c r="Q117" s="116"/>
      <c r="R117" s="116"/>
      <c r="S117" s="116"/>
      <c r="T117" s="116"/>
    </row>
    <row r="118" spans="1:20" ht="28.9">
      <c r="A118" s="24" t="str">
        <v>Clayton Hall</v>
      </c>
      <c r="B118" s="25" t="str">
        <v>DE</v>
      </c>
      <c r="C118" s="25" t="str">
        <f>Sites[[#This Row],[SOL'#]]</f>
        <v>SOL-10820</v>
      </c>
      <c r="D118" s="20">
        <v>11423</v>
      </c>
      <c r="E118" s="10">
        <v>19413.396000000001</v>
      </c>
      <c r="F118" s="10">
        <f t="shared" si="4"/>
        <v>-7990.3960000000006</v>
      </c>
      <c r="G118" s="11">
        <f t="shared" si="7"/>
        <v>-0.41159187192184205</v>
      </c>
      <c r="H118" s="12">
        <v>17032.5</v>
      </c>
      <c r="I118" s="12">
        <f t="shared" si="5"/>
        <v>-5609.5</v>
      </c>
      <c r="J118" s="72">
        <f t="shared" si="6"/>
        <v>-0.32934096580067518</v>
      </c>
      <c r="K118" s="37" t="s">
        <v>932</v>
      </c>
      <c r="L118" s="124" t="s">
        <v>933</v>
      </c>
      <c r="M118" s="116"/>
      <c r="N118" s="116"/>
      <c r="O118" s="116"/>
      <c r="P118" s="116"/>
      <c r="Q118" s="116"/>
      <c r="R118" s="116"/>
      <c r="S118" s="116"/>
      <c r="T118" s="116"/>
    </row>
    <row r="119" spans="1:20" ht="28.9">
      <c r="A119" s="26" t="str">
        <v>Field House</v>
      </c>
      <c r="B119" s="27" t="str">
        <v>DE</v>
      </c>
      <c r="C119" s="27" t="str">
        <f>Sites[[#This Row],[SOL'#]]</f>
        <v>SOL-10821</v>
      </c>
      <c r="D119" s="9">
        <v>48524</v>
      </c>
      <c r="E119" s="14" t="s">
        <v>777</v>
      </c>
      <c r="F119" s="14" t="str">
        <f t="shared" si="4"/>
        <v/>
      </c>
      <c r="G119" s="15" t="str">
        <f t="shared" si="7"/>
        <v/>
      </c>
      <c r="H119" s="16">
        <v>44242</v>
      </c>
      <c r="I119" s="16">
        <f t="shared" si="5"/>
        <v>4282</v>
      </c>
      <c r="J119" s="15">
        <f t="shared" si="6"/>
        <v>9.6785859590434425E-2</v>
      </c>
      <c r="K119" s="38" t="s">
        <v>623</v>
      </c>
      <c r="L119" s="127" t="s">
        <v>624</v>
      </c>
      <c r="M119" s="116"/>
      <c r="N119" s="116"/>
      <c r="O119" s="116"/>
      <c r="P119" s="116"/>
      <c r="Q119" s="116"/>
      <c r="R119" s="116"/>
      <c r="S119" s="116"/>
      <c r="T119" s="116"/>
    </row>
    <row r="120" spans="1:20" ht="15.6">
      <c r="A120" s="24" t="str">
        <v>Wyoming Road</v>
      </c>
      <c r="B120" s="25" t="str">
        <v>DE</v>
      </c>
      <c r="C120" s="25" t="str">
        <f>Sites[[#This Row],[SOL'#]]</f>
        <v>SOL-10819</v>
      </c>
      <c r="D120" s="60">
        <v>31073</v>
      </c>
      <c r="E120" s="10">
        <v>29665.896000000001</v>
      </c>
      <c r="F120" s="10">
        <f t="shared" si="4"/>
        <v>1407.1039999999994</v>
      </c>
      <c r="G120" s="11">
        <f t="shared" si="7"/>
        <v>4.7431704068537126E-2</v>
      </c>
      <c r="H120" s="12">
        <v>31676.864000000001</v>
      </c>
      <c r="I120" s="12">
        <f t="shared" si="5"/>
        <v>-603.8640000000014</v>
      </c>
      <c r="J120" s="72">
        <f t="shared" si="6"/>
        <v>-1.9063250705625447E-2</v>
      </c>
      <c r="K120" s="37"/>
      <c r="L120" s="37"/>
      <c r="M120" s="116"/>
      <c r="N120" s="116"/>
      <c r="O120" s="116"/>
      <c r="P120" s="116"/>
      <c r="Q120" s="116"/>
      <c r="R120" s="116"/>
      <c r="S120" s="116"/>
      <c r="T120" s="116"/>
    </row>
    <row r="121" spans="1:20" ht="126" customHeight="1">
      <c r="A121" s="26" t="str">
        <v>94-246 Leoku St. - PV Bldg E, F, G</v>
      </c>
      <c r="B121" s="27" t="str">
        <v>HI</v>
      </c>
      <c r="C121" s="27" t="str">
        <f>Sites[[#This Row],[SOL'#]]</f>
        <v>SOL-10071</v>
      </c>
      <c r="D121" s="9">
        <v>8225</v>
      </c>
      <c r="E121" s="14">
        <v>10609.08</v>
      </c>
      <c r="F121" s="14">
        <f t="shared" si="4"/>
        <v>-2384.08</v>
      </c>
      <c r="G121" s="15">
        <f t="shared" si="7"/>
        <v>-0.22472071093817747</v>
      </c>
      <c r="H121" s="16">
        <v>12308.47</v>
      </c>
      <c r="I121" s="16">
        <f t="shared" si="5"/>
        <v>-4083.4699999999993</v>
      </c>
      <c r="J121" s="15">
        <f t="shared" si="6"/>
        <v>-0.33176097435343299</v>
      </c>
      <c r="K121" s="56" t="s">
        <v>934</v>
      </c>
      <c r="L121" s="125" t="s">
        <v>935</v>
      </c>
      <c r="M121" s="115" t="s">
        <v>936</v>
      </c>
      <c r="N121" s="115" t="s">
        <v>631</v>
      </c>
      <c r="O121" s="115" t="s">
        <v>937</v>
      </c>
      <c r="P121" s="116"/>
      <c r="Q121" s="116"/>
      <c r="R121" s="116"/>
      <c r="S121" s="116"/>
      <c r="T121" s="116"/>
    </row>
    <row r="122" spans="1:20" ht="15.6">
      <c r="A122" s="24" t="str">
        <v>94-099 Waipahu St - PV</v>
      </c>
      <c r="B122" s="25" t="str">
        <v>HI</v>
      </c>
      <c r="C122" s="25" t="str">
        <f>Sites[[#This Row],[SOL'#]]</f>
        <v>SOL-10068</v>
      </c>
      <c r="D122" s="20">
        <v>12389</v>
      </c>
      <c r="E122" s="10">
        <v>9959.866</v>
      </c>
      <c r="F122" s="10">
        <f t="shared" si="4"/>
        <v>2429.134</v>
      </c>
      <c r="G122" s="11">
        <f t="shared" si="7"/>
        <v>0.24389223710439478</v>
      </c>
      <c r="H122" s="12">
        <v>12301.88</v>
      </c>
      <c r="I122" s="12">
        <f t="shared" si="5"/>
        <v>87.1200000000008</v>
      </c>
      <c r="J122" s="72">
        <f t="shared" si="6"/>
        <v>7.0818444010184462E-3</v>
      </c>
      <c r="K122" s="37"/>
      <c r="L122" s="37"/>
      <c r="M122" s="116"/>
      <c r="N122" s="116"/>
      <c r="O122" s="116"/>
      <c r="P122" s="116"/>
      <c r="Q122" s="116"/>
      <c r="R122" s="116"/>
      <c r="S122" s="116"/>
      <c r="T122" s="116"/>
    </row>
    <row r="123" spans="1:20" ht="15.6">
      <c r="A123" s="26" t="str">
        <v>TES Bird in Hand</v>
      </c>
      <c r="B123" s="27" t="str">
        <v>MD</v>
      </c>
      <c r="C123" s="27" t="str">
        <f>Sites[[#This Row],[SOL'#]]</f>
        <v>SOL-10092</v>
      </c>
      <c r="D123" s="9">
        <v>170380</v>
      </c>
      <c r="E123" s="14">
        <v>168181.2</v>
      </c>
      <c r="F123" s="14">
        <f t="shared" si="4"/>
        <v>2198.7999999999884</v>
      </c>
      <c r="G123" s="15">
        <f t="shared" si="7"/>
        <v>1.3073994001707612E-2</v>
      </c>
      <c r="H123" s="16">
        <v>158418.79999999999</v>
      </c>
      <c r="I123" s="16">
        <f t="shared" si="5"/>
        <v>11961.200000000012</v>
      </c>
      <c r="J123" s="15">
        <f t="shared" si="6"/>
        <v>7.5503664969056777E-2</v>
      </c>
      <c r="K123" s="38"/>
      <c r="L123" s="58"/>
      <c r="M123" s="116"/>
      <c r="N123" s="116"/>
      <c r="O123" s="116"/>
      <c r="P123" s="116"/>
      <c r="Q123" s="116"/>
      <c r="R123" s="116"/>
      <c r="S123" s="116"/>
      <c r="T123" s="116"/>
    </row>
    <row r="124" spans="1:20" ht="15.6">
      <c r="A124" s="24" t="str">
        <v>TES Shortal Solar LLC</v>
      </c>
      <c r="B124" s="25" t="str">
        <v>MD</v>
      </c>
      <c r="C124" s="25" t="str">
        <f>Sites[[#This Row],[SOL'#]]</f>
        <v>SOL-10091</v>
      </c>
      <c r="D124" s="20">
        <v>170572</v>
      </c>
      <c r="E124" s="10">
        <v>162793.4</v>
      </c>
      <c r="F124" s="10">
        <f t="shared" si="4"/>
        <v>7778.6000000000058</v>
      </c>
      <c r="G124" s="11">
        <f t="shared" si="7"/>
        <v>4.7782035389641139E-2</v>
      </c>
      <c r="H124" s="12">
        <v>170078.3</v>
      </c>
      <c r="I124" s="12">
        <f t="shared" si="5"/>
        <v>493.70000000001164</v>
      </c>
      <c r="J124" s="72">
        <f t="shared" si="6"/>
        <v>2.9027806604370555E-3</v>
      </c>
      <c r="K124" s="37"/>
      <c r="L124" s="37"/>
      <c r="M124" s="116"/>
      <c r="N124" s="116"/>
      <c r="O124" s="116"/>
      <c r="P124" s="116"/>
      <c r="Q124" s="116"/>
      <c r="R124" s="116"/>
      <c r="S124" s="116"/>
      <c r="T124" s="116"/>
    </row>
    <row r="125" spans="1:20" ht="116.25" customHeight="1">
      <c r="A125" s="26" t="str">
        <v>Coca Cola Aguadilla</v>
      </c>
      <c r="B125" s="27" t="str">
        <v>PR</v>
      </c>
      <c r="C125" s="27" t="str">
        <f>Sites[[#This Row],[SOL'#]]</f>
        <v>SOL-10072</v>
      </c>
      <c r="D125" s="9">
        <v>13606</v>
      </c>
      <c r="E125" s="14">
        <v>19295.96</v>
      </c>
      <c r="F125" s="14">
        <f t="shared" si="4"/>
        <v>-5689.9599999999991</v>
      </c>
      <c r="G125" s="15">
        <f t="shared" si="7"/>
        <v>-0.29487830613247534</v>
      </c>
      <c r="H125" s="16">
        <v>21883</v>
      </c>
      <c r="I125" s="16">
        <f t="shared" si="5"/>
        <v>-8277</v>
      </c>
      <c r="J125" s="15">
        <f t="shared" si="6"/>
        <v>-0.37823881551889593</v>
      </c>
      <c r="K125" s="154" t="s">
        <v>938</v>
      </c>
      <c r="L125" s="112" t="s">
        <v>939</v>
      </c>
      <c r="M125" s="115" t="s">
        <v>940</v>
      </c>
      <c r="N125" s="115" t="s">
        <v>941</v>
      </c>
      <c r="O125" s="115" t="s">
        <v>942</v>
      </c>
      <c r="P125" s="115" t="s">
        <v>943</v>
      </c>
      <c r="Q125" s="116"/>
      <c r="R125" s="116"/>
      <c r="S125" s="116"/>
      <c r="T125" s="116"/>
    </row>
    <row r="126" spans="1:20" ht="201.6">
      <c r="A126" s="24" t="str">
        <v>Coca Cola Bayamon</v>
      </c>
      <c r="B126" s="25" t="str">
        <v>PR</v>
      </c>
      <c r="C126" s="25" t="str">
        <f>Sites[[#This Row],[SOL'#]]</f>
        <v>SOL-10073</v>
      </c>
      <c r="D126" s="20">
        <v>61688</v>
      </c>
      <c r="E126" s="10">
        <v>75639.53</v>
      </c>
      <c r="F126" s="10">
        <f t="shared" si="4"/>
        <v>-13951.529999999999</v>
      </c>
      <c r="G126" s="11">
        <f t="shared" si="7"/>
        <v>-0.18444760299277374</v>
      </c>
      <c r="H126" s="12">
        <v>85426</v>
      </c>
      <c r="I126" s="12">
        <f t="shared" si="5"/>
        <v>-23738</v>
      </c>
      <c r="J126" s="72">
        <f t="shared" si="6"/>
        <v>-0.27787792943600309</v>
      </c>
      <c r="K126" s="63" t="s">
        <v>944</v>
      </c>
      <c r="L126" s="124" t="s">
        <v>945</v>
      </c>
      <c r="M126" s="115" t="s">
        <v>946</v>
      </c>
      <c r="N126" s="115" t="s">
        <v>171</v>
      </c>
      <c r="O126" s="115" t="s">
        <v>637</v>
      </c>
      <c r="P126" s="115" t="s">
        <v>638</v>
      </c>
      <c r="Q126" s="115" t="s">
        <v>947</v>
      </c>
      <c r="R126" s="115" t="s">
        <v>948</v>
      </c>
      <c r="S126" s="115" t="s">
        <v>949</v>
      </c>
      <c r="T126" s="116"/>
    </row>
    <row r="127" spans="1:20" ht="243" customHeight="1">
      <c r="A127" s="26" t="str">
        <v>St Francis School</v>
      </c>
      <c r="B127" s="27" t="str">
        <v>PR</v>
      </c>
      <c r="C127" s="27" t="str">
        <f>Sites[[#This Row],[SOL'#]]</f>
        <v>SOL-10034</v>
      </c>
      <c r="D127" s="9">
        <v>26710.75</v>
      </c>
      <c r="E127" s="14">
        <v>52673.24</v>
      </c>
      <c r="F127" s="14">
        <f t="shared" si="4"/>
        <v>-25962.489999999998</v>
      </c>
      <c r="G127" s="15">
        <f t="shared" si="7"/>
        <v>-0.49289715233010156</v>
      </c>
      <c r="H127" s="16">
        <v>44678</v>
      </c>
      <c r="I127" s="16">
        <f t="shared" si="5"/>
        <v>-17967.25</v>
      </c>
      <c r="J127" s="15">
        <f t="shared" si="6"/>
        <v>-0.40214982765566948</v>
      </c>
      <c r="K127" s="67" t="s">
        <v>950</v>
      </c>
      <c r="L127" s="139" t="s">
        <v>951</v>
      </c>
      <c r="M127" s="115" t="s">
        <v>176</v>
      </c>
      <c r="N127" s="115" t="s">
        <v>174</v>
      </c>
      <c r="O127" s="115" t="s">
        <v>177</v>
      </c>
      <c r="P127" s="115" t="s">
        <v>178</v>
      </c>
      <c r="Q127" s="115" t="s">
        <v>952</v>
      </c>
      <c r="R127" s="115" t="s">
        <v>953</v>
      </c>
      <c r="S127" s="115" t="s">
        <v>954</v>
      </c>
      <c r="T127" s="115" t="s">
        <v>179</v>
      </c>
    </row>
    <row r="128" spans="1:20" ht="28.9">
      <c r="A128" s="24" t="str">
        <v>645 Summer Street - (Seaport Solar)</v>
      </c>
      <c r="B128" s="25" t="str">
        <v>MA</v>
      </c>
      <c r="C128" s="25" t="str">
        <f>Sites[[#This Row],[SOL'#]]</f>
        <v>SOL-10772</v>
      </c>
      <c r="D128" s="20">
        <v>69322</v>
      </c>
      <c r="E128" s="10">
        <v>3003.5070000000001</v>
      </c>
      <c r="F128" s="10">
        <f t="shared" si="4"/>
        <v>66318.493000000002</v>
      </c>
      <c r="G128" s="11">
        <f t="shared" si="7"/>
        <v>22.080352401376125</v>
      </c>
      <c r="H128" s="12">
        <v>65783.8</v>
      </c>
      <c r="I128" s="12">
        <f t="shared" si="5"/>
        <v>3538.1999999999971</v>
      </c>
      <c r="J128" s="72">
        <f t="shared" si="6"/>
        <v>5.3785278442412827E-2</v>
      </c>
      <c r="K128" s="37" t="s">
        <v>641</v>
      </c>
      <c r="L128" s="111" t="s">
        <v>394</v>
      </c>
      <c r="M128" s="116"/>
      <c r="N128" s="116"/>
      <c r="O128" s="116"/>
      <c r="P128" s="116"/>
      <c r="Q128" s="116"/>
      <c r="R128" s="116"/>
      <c r="S128" s="116"/>
      <c r="T128" s="116"/>
    </row>
    <row r="129" spans="1:20" ht="72">
      <c r="A129" s="26" t="str">
        <v>480 Sprague St</v>
      </c>
      <c r="B129" s="27" t="str">
        <v>MA</v>
      </c>
      <c r="C129" s="27" t="str">
        <f>Sites[[#This Row],[SOL'#]]</f>
        <v>SOL-10773</v>
      </c>
      <c r="D129" s="9">
        <v>154153</v>
      </c>
      <c r="E129" s="14">
        <v>150871.1</v>
      </c>
      <c r="F129" s="14">
        <f t="shared" si="4"/>
        <v>3281.8999999999942</v>
      </c>
      <c r="G129" s="15">
        <f t="shared" si="7"/>
        <v>2.1753006374315518E-2</v>
      </c>
      <c r="H129" s="16">
        <v>144648.1</v>
      </c>
      <c r="I129" s="16">
        <f t="shared" si="5"/>
        <v>9504.8999999999942</v>
      </c>
      <c r="J129" s="15">
        <f t="shared" si="6"/>
        <v>6.5710507085817188E-2</v>
      </c>
      <c r="K129" s="38" t="s">
        <v>955</v>
      </c>
      <c r="L129" s="112" t="s">
        <v>956</v>
      </c>
      <c r="M129" s="115" t="s">
        <v>957</v>
      </c>
      <c r="N129" s="116"/>
      <c r="O129" s="116"/>
      <c r="P129" s="116"/>
      <c r="Q129" s="116"/>
      <c r="R129" s="116"/>
      <c r="S129" s="116"/>
      <c r="T129" s="116"/>
    </row>
    <row r="130" spans="1:20" ht="23.25" customHeight="1">
      <c r="A130" s="24" t="str">
        <v>647 Summer Street - (Summer Street Solar)</v>
      </c>
      <c r="B130" s="25" t="str">
        <v>MA</v>
      </c>
      <c r="C130" s="25" t="str">
        <f>Sites[[#This Row],[SOL'#]]</f>
        <v>SOL-10764</v>
      </c>
      <c r="D130" s="20">
        <v>322328</v>
      </c>
      <c r="E130" s="10">
        <v>319823.2</v>
      </c>
      <c r="F130" s="10">
        <f t="shared" si="4"/>
        <v>2504.7999999999884</v>
      </c>
      <c r="G130" s="11">
        <f t="shared" si="7"/>
        <v>7.8318270844641297E-3</v>
      </c>
      <c r="H130" s="12">
        <v>309706.3</v>
      </c>
      <c r="I130" s="12">
        <f t="shared" si="5"/>
        <v>12621.700000000012</v>
      </c>
      <c r="J130" s="72">
        <f t="shared" si="6"/>
        <v>4.0753772202890323E-2</v>
      </c>
      <c r="K130" s="37"/>
      <c r="L130" s="37"/>
      <c r="M130" s="116"/>
      <c r="N130" s="116"/>
      <c r="O130" s="116"/>
      <c r="P130" s="116"/>
      <c r="Q130" s="116"/>
      <c r="R130" s="116"/>
      <c r="S130" s="116"/>
      <c r="T130" s="116"/>
    </row>
    <row r="131" spans="1:20" ht="15.6">
      <c r="A131" s="26" t="str">
        <v>Rochester Technical School (Wakefield Street)</v>
      </c>
      <c r="B131" s="27" t="str">
        <v>NH</v>
      </c>
      <c r="C131" s="27" t="str">
        <f>Sites[[#This Row],[SOL'#]]</f>
        <v>SOL-10768</v>
      </c>
      <c r="D131" s="9">
        <v>31574.5</v>
      </c>
      <c r="E131" s="14">
        <v>33379.58</v>
      </c>
      <c r="F131" s="14">
        <f t="shared" si="4"/>
        <v>-1805.0800000000017</v>
      </c>
      <c r="G131" s="15">
        <f t="shared" si="7"/>
        <v>-5.4077373052626838E-2</v>
      </c>
      <c r="H131" s="16">
        <v>28919.32</v>
      </c>
      <c r="I131" s="16">
        <f t="shared" si="5"/>
        <v>2655.1800000000003</v>
      </c>
      <c r="J131" s="15">
        <f t="shared" si="6"/>
        <v>9.1813362139912008E-2</v>
      </c>
      <c r="K131" s="38"/>
      <c r="L131" s="39"/>
      <c r="M131" s="116"/>
      <c r="N131" s="116"/>
      <c r="O131" s="116"/>
      <c r="P131" s="116"/>
      <c r="Q131" s="116"/>
      <c r="R131" s="116"/>
      <c r="S131" s="116"/>
      <c r="T131" s="116"/>
    </row>
    <row r="132" spans="1:20" ht="15.6">
      <c r="A132" s="24" t="str">
        <v>McClelland ES</v>
      </c>
      <c r="B132" s="25" t="str">
        <v>NH</v>
      </c>
      <c r="C132" s="25" t="str">
        <f>Sites[[#This Row],[SOL'#]]</f>
        <v>SOL-10766</v>
      </c>
      <c r="D132" s="20">
        <v>10850.532520000001</v>
      </c>
      <c r="E132" s="10">
        <v>11363.94</v>
      </c>
      <c r="F132" s="10">
        <f t="shared" si="4"/>
        <v>-513.40747999999985</v>
      </c>
      <c r="G132" s="11">
        <f t="shared" si="7"/>
        <v>-4.517865106644349E-2</v>
      </c>
      <c r="H132" s="12">
        <v>9371.7780000000002</v>
      </c>
      <c r="I132" s="12">
        <f t="shared" si="5"/>
        <v>1478.7545200000004</v>
      </c>
      <c r="J132" s="72">
        <f t="shared" si="6"/>
        <v>0.15778804406164981</v>
      </c>
      <c r="K132" s="37"/>
      <c r="L132" s="37"/>
      <c r="M132" s="116"/>
      <c r="N132" s="116"/>
      <c r="O132" s="116"/>
      <c r="P132" s="116"/>
      <c r="Q132" s="116"/>
      <c r="R132" s="116"/>
      <c r="S132" s="116"/>
      <c r="T132" s="116"/>
    </row>
    <row r="133" spans="1:20" ht="15.6">
      <c r="A133" s="26" t="str">
        <v>Portland St</v>
      </c>
      <c r="B133" s="27" t="str">
        <v>NH</v>
      </c>
      <c r="C133" s="27" t="str">
        <f>Sites[[#This Row],[SOL'#]]</f>
        <v>SOL-10771</v>
      </c>
      <c r="D133" s="9">
        <v>9268.3140000000003</v>
      </c>
      <c r="E133" s="14">
        <v>6983.0020000000004</v>
      </c>
      <c r="F133" s="14">
        <f t="shared" ref="F133:F137" si="8">IF(AND(ISNUMBER(D133),ISNUMBER(E133)), D133-E133, "")</f>
        <v>2285.3119999999999</v>
      </c>
      <c r="G133" s="15">
        <f t="shared" si="7"/>
        <v>0.32726784268427817</v>
      </c>
      <c r="H133" s="16">
        <v>8127.7879999999996</v>
      </c>
      <c r="I133" s="16"/>
      <c r="J133" s="15">
        <f t="shared" ref="J133:J139" si="9">IFERROR(I133/H133, "")</f>
        <v>0</v>
      </c>
      <c r="K133" s="38"/>
      <c r="L133" s="39"/>
      <c r="M133" s="116"/>
      <c r="N133" s="116"/>
      <c r="O133" s="116"/>
      <c r="P133" s="116"/>
      <c r="Q133" s="116"/>
      <c r="R133" s="116"/>
      <c r="S133" s="116"/>
      <c r="T133" s="116"/>
    </row>
    <row r="134" spans="1:20" ht="15.6">
      <c r="A134" s="24" t="str">
        <v>Freshet Road -PHS</v>
      </c>
      <c r="B134" s="25" t="str">
        <v>NH</v>
      </c>
      <c r="C134" s="25" t="str">
        <f>Sites[[#This Row],[SOL'#]]</f>
        <v>SOL-10769</v>
      </c>
      <c r="D134" s="20">
        <v>36662.5</v>
      </c>
      <c r="E134" s="10" t="s">
        <v>777</v>
      </c>
      <c r="F134" s="10" t="str">
        <f t="shared" si="8"/>
        <v/>
      </c>
      <c r="G134" s="11" t="str">
        <f t="shared" ref="G134:G137" si="10">IFERROR(F134/E134, "")</f>
        <v/>
      </c>
      <c r="H134" s="12">
        <v>31002.32</v>
      </c>
      <c r="I134" s="12">
        <f t="shared" ref="I134:I139" si="11">IF(AND(ISNUMBER(D134),ISNUMBER(H134)), D134-H134, "")</f>
        <v>5660.18</v>
      </c>
      <c r="J134" s="72">
        <f t="shared" si="9"/>
        <v>0.18257278810101954</v>
      </c>
      <c r="K134" s="37"/>
      <c r="L134" s="37"/>
      <c r="M134" s="116"/>
      <c r="N134" s="116"/>
      <c r="O134" s="116"/>
      <c r="P134" s="116"/>
      <c r="Q134" s="116"/>
      <c r="R134" s="116"/>
      <c r="S134" s="116"/>
      <c r="T134" s="116"/>
    </row>
    <row r="135" spans="1:20" ht="44.25" customHeight="1">
      <c r="A135" s="26" t="str">
        <v>Freshet Road - PWTP</v>
      </c>
      <c r="B135" s="27" t="str">
        <v>NH</v>
      </c>
      <c r="C135" s="27" t="str">
        <f>Sites[[#This Row],[SOL'#]]</f>
        <v>SOL-10770</v>
      </c>
      <c r="D135" s="9">
        <v>0</v>
      </c>
      <c r="E135" s="14">
        <v>0</v>
      </c>
      <c r="F135" s="14">
        <f t="shared" si="8"/>
        <v>0</v>
      </c>
      <c r="G135" s="15" t="str">
        <f t="shared" si="10"/>
        <v/>
      </c>
      <c r="H135" s="16">
        <v>0</v>
      </c>
      <c r="I135" s="16">
        <f t="shared" si="11"/>
        <v>0</v>
      </c>
      <c r="J135" s="15" t="str">
        <f t="shared" si="9"/>
        <v/>
      </c>
      <c r="K135" s="38" t="s">
        <v>646</v>
      </c>
      <c r="L135" s="125" t="s">
        <v>187</v>
      </c>
      <c r="M135" s="116"/>
      <c r="N135" s="116"/>
      <c r="O135" s="116"/>
      <c r="P135" s="116"/>
      <c r="Q135" s="116"/>
      <c r="R135" s="116"/>
      <c r="S135" s="116"/>
      <c r="T135" s="116"/>
    </row>
    <row r="136" spans="1:20" ht="28.9">
      <c r="A136" s="24" t="str">
        <v>Rochester Middle School (Brock Street)</v>
      </c>
      <c r="B136" s="25" t="str">
        <v>NH</v>
      </c>
      <c r="C136" s="25" t="str">
        <f>Sites[[#This Row],[SOL'#]]</f>
        <v>SOL-10765</v>
      </c>
      <c r="D136" s="20">
        <v>31574.5</v>
      </c>
      <c r="E136" s="10">
        <v>33379.58</v>
      </c>
      <c r="F136" s="10">
        <f t="shared" si="8"/>
        <v>-1805.0800000000017</v>
      </c>
      <c r="G136" s="11">
        <f t="shared" si="10"/>
        <v>-5.4077373052626838E-2</v>
      </c>
      <c r="H136" s="12">
        <v>28919.32</v>
      </c>
      <c r="I136" s="12">
        <f t="shared" si="11"/>
        <v>2655.1800000000003</v>
      </c>
      <c r="J136" s="72">
        <f t="shared" si="9"/>
        <v>9.1813362139912008E-2</v>
      </c>
      <c r="K136" s="37" t="s">
        <v>958</v>
      </c>
      <c r="L136" s="124" t="s">
        <v>959</v>
      </c>
      <c r="M136" s="116"/>
      <c r="N136" s="116"/>
      <c r="O136" s="116"/>
      <c r="P136" s="116"/>
      <c r="Q136" s="116"/>
      <c r="R136" s="116"/>
      <c r="S136" s="116"/>
      <c r="T136" s="116"/>
    </row>
    <row r="137" spans="1:20" ht="15.6">
      <c r="A137" s="26" t="str">
        <v>Spaulding High School (Wakefield Street)</v>
      </c>
      <c r="B137" s="27" t="str">
        <v>NH</v>
      </c>
      <c r="C137" s="27" t="str">
        <f>Sites[[#This Row],[SOL'#]]</f>
        <v>SOL-10767</v>
      </c>
      <c r="D137" s="9">
        <v>16044.31754</v>
      </c>
      <c r="E137" s="14">
        <v>13586.46</v>
      </c>
      <c r="F137" s="14">
        <f t="shared" si="8"/>
        <v>2457.8575400000009</v>
      </c>
      <c r="G137" s="15">
        <f t="shared" si="10"/>
        <v>0.1809049259336134</v>
      </c>
      <c r="H137" s="16">
        <v>14200.12</v>
      </c>
      <c r="I137" s="16">
        <f t="shared" si="11"/>
        <v>1844.1975399999992</v>
      </c>
      <c r="J137" s="15">
        <f t="shared" si="9"/>
        <v>0.12987196868758849</v>
      </c>
      <c r="K137" s="38"/>
      <c r="L137" s="39"/>
      <c r="M137" s="116"/>
      <c r="N137" s="116"/>
      <c r="O137" s="116"/>
      <c r="P137" s="116"/>
      <c r="Q137" s="116"/>
      <c r="R137" s="116"/>
      <c r="S137" s="116"/>
      <c r="T137" s="116"/>
    </row>
    <row r="138" spans="1:20" ht="129.75" customHeight="1">
      <c r="A138" s="24" t="str">
        <v>Ridgeway #2</v>
      </c>
      <c r="B138" s="25" t="str">
        <v>NY</v>
      </c>
      <c r="C138" s="25" t="str">
        <f>Sites[[#This Row],[SOL'#]]</f>
        <v>SOL-11027</v>
      </c>
      <c r="D138" s="20">
        <v>403955</v>
      </c>
      <c r="E138" s="10" t="s">
        <v>777</v>
      </c>
      <c r="F138" s="10" t="str">
        <f t="shared" ref="F138:F169" si="12">IF(AND(ISNUMBER(D138),ISNUMBER(E138)), D138-E138, "")</f>
        <v/>
      </c>
      <c r="G138" s="11" t="str">
        <f t="shared" ref="G138:G169" si="13">IFERROR(F138/E138, "")</f>
        <v/>
      </c>
      <c r="H138" s="12">
        <v>525809.26</v>
      </c>
      <c r="I138" s="12">
        <f t="shared" si="11"/>
        <v>-121854.26000000001</v>
      </c>
      <c r="J138" s="72">
        <f t="shared" si="9"/>
        <v>-0.23174612786393303</v>
      </c>
      <c r="K138" s="37" t="s">
        <v>960</v>
      </c>
      <c r="L138" s="124" t="s">
        <v>961</v>
      </c>
      <c r="M138" s="115" t="s">
        <v>962</v>
      </c>
      <c r="N138" s="115" t="s">
        <v>963</v>
      </c>
      <c r="O138" s="115" t="s">
        <v>964</v>
      </c>
      <c r="P138" s="116"/>
      <c r="Q138" s="116"/>
      <c r="R138" s="116"/>
      <c r="S138" s="116"/>
      <c r="T138" s="116"/>
    </row>
    <row r="139" spans="1:20" ht="144">
      <c r="A139" s="26" t="str">
        <v>Spencer</v>
      </c>
      <c r="B139" s="27" t="str">
        <v>NY</v>
      </c>
      <c r="C139" s="27" t="str">
        <f>Sites[[#This Row],[SOL'#]]</f>
        <v>SOL-11017</v>
      </c>
      <c r="D139" s="9">
        <v>803402</v>
      </c>
      <c r="E139" s="14" t="s">
        <v>777</v>
      </c>
      <c r="F139" s="14" t="str">
        <f t="shared" si="12"/>
        <v/>
      </c>
      <c r="G139" s="15" t="str">
        <f t="shared" si="13"/>
        <v/>
      </c>
      <c r="H139" s="16">
        <v>1003955</v>
      </c>
      <c r="I139" s="16">
        <f t="shared" si="11"/>
        <v>-200553</v>
      </c>
      <c r="J139" s="15">
        <f t="shared" si="9"/>
        <v>-0.19976293758186373</v>
      </c>
      <c r="K139" s="38" t="s">
        <v>965</v>
      </c>
      <c r="L139" s="125" t="s">
        <v>966</v>
      </c>
      <c r="M139" s="115" t="s">
        <v>967</v>
      </c>
      <c r="N139" s="115" t="s">
        <v>968</v>
      </c>
      <c r="O139" s="115" t="s">
        <v>969</v>
      </c>
      <c r="P139" s="116"/>
      <c r="Q139" s="116"/>
      <c r="R139" s="116"/>
      <c r="S139" s="116"/>
      <c r="T139" s="116"/>
    </row>
    <row r="140" spans="1:20" ht="28.9">
      <c r="A140" s="28" t="str">
        <v>Reisender</v>
      </c>
      <c r="B140" s="25" t="str">
        <v>NY</v>
      </c>
      <c r="C140" s="25" t="str">
        <f>Sites[[#This Row],[SOL'#]]</f>
        <v>SOL-10886</v>
      </c>
      <c r="D140" s="60">
        <v>311820</v>
      </c>
      <c r="E140" s="10">
        <v>324363.73</v>
      </c>
      <c r="F140" s="10">
        <f t="shared" si="12"/>
        <v>-12543.729999999981</v>
      </c>
      <c r="G140" s="61">
        <f t="shared" si="13"/>
        <v>-3.867180217714225E-2</v>
      </c>
      <c r="H140" s="75">
        <v>345476.75</v>
      </c>
      <c r="I140" s="75">
        <f t="shared" ref="I140:I171" si="14">IF(AND(ISNUMBER(D140),ISNUMBER(H140)), D140-H140, "")</f>
        <v>-33656.75</v>
      </c>
      <c r="J140" s="72">
        <f t="shared" ref="J140:J171" si="15">IFERROR(I140/H140, "")</f>
        <v>-9.7421172336488629E-2</v>
      </c>
      <c r="K140" s="63" t="s">
        <v>970</v>
      </c>
      <c r="L140" s="124" t="s">
        <v>971</v>
      </c>
      <c r="M140" s="116"/>
      <c r="N140" s="116"/>
      <c r="O140" s="116"/>
      <c r="P140" s="116"/>
      <c r="Q140" s="116"/>
      <c r="R140" s="116"/>
      <c r="S140" s="116"/>
      <c r="T140" s="116"/>
    </row>
    <row r="141" spans="1:20" ht="15.6">
      <c r="A141" s="26" t="str">
        <v>Finney</v>
      </c>
      <c r="B141" s="27" t="str">
        <v>NY</v>
      </c>
      <c r="C141" s="27" t="str">
        <f>Sites[[#This Row],[SOL'#]]</f>
        <v>SOL-10999</v>
      </c>
      <c r="D141" s="74">
        <v>981210</v>
      </c>
      <c r="E141" s="14" t="s">
        <v>777</v>
      </c>
      <c r="F141" s="14" t="str">
        <f t="shared" si="12"/>
        <v/>
      </c>
      <c r="G141" s="76" t="str">
        <f t="shared" si="13"/>
        <v/>
      </c>
      <c r="H141" s="77">
        <v>1005784.59</v>
      </c>
      <c r="I141" s="77">
        <f t="shared" si="14"/>
        <v>-24574.589999999967</v>
      </c>
      <c r="J141" s="76">
        <f t="shared" si="15"/>
        <v>-2.4433253645295926E-2</v>
      </c>
      <c r="K141" s="38"/>
      <c r="L141" s="17"/>
      <c r="M141" s="116"/>
      <c r="N141" s="116"/>
      <c r="O141" s="116"/>
      <c r="P141" s="116"/>
      <c r="Q141" s="116"/>
      <c r="R141" s="116"/>
      <c r="S141" s="116"/>
      <c r="T141" s="116"/>
    </row>
    <row r="142" spans="1:20" ht="28.9">
      <c r="A142" s="24" t="str">
        <v>Davis Solar</v>
      </c>
      <c r="B142" s="25" t="str">
        <v>NY</v>
      </c>
      <c r="C142" s="25" t="str">
        <f>Sites[[#This Row],[SOL'#]]</f>
        <v>SOL-10958</v>
      </c>
      <c r="D142" s="60">
        <v>360765</v>
      </c>
      <c r="E142" s="10">
        <v>355139.1</v>
      </c>
      <c r="F142" s="10">
        <f t="shared" si="12"/>
        <v>5625.9000000000233</v>
      </c>
      <c r="G142" s="61">
        <f t="shared" si="13"/>
        <v>1.5841398483017004E-2</v>
      </c>
      <c r="H142" s="75">
        <v>402689</v>
      </c>
      <c r="I142" s="75">
        <f t="shared" si="14"/>
        <v>-41924</v>
      </c>
      <c r="J142" s="72">
        <f t="shared" si="15"/>
        <v>-0.10411011972018108</v>
      </c>
      <c r="K142" s="63" t="s">
        <v>972</v>
      </c>
      <c r="L142" s="124" t="s">
        <v>973</v>
      </c>
      <c r="M142" s="116"/>
      <c r="N142" s="116"/>
      <c r="O142" s="116"/>
      <c r="P142" s="116"/>
      <c r="Q142" s="116"/>
      <c r="R142" s="116"/>
      <c r="S142" s="116"/>
      <c r="T142" s="116"/>
    </row>
    <row r="143" spans="1:20" ht="158.44999999999999">
      <c r="A143" s="26" t="str">
        <v>Genesee</v>
      </c>
      <c r="B143" s="27" t="str">
        <v>NY</v>
      </c>
      <c r="C143" s="27" t="str">
        <f>Sites[[#This Row],[SOL'#]]</f>
        <v>SOL-10951</v>
      </c>
      <c r="D143" s="74">
        <v>353751</v>
      </c>
      <c r="E143" s="14" t="s">
        <v>777</v>
      </c>
      <c r="F143" s="14" t="str">
        <f t="shared" si="12"/>
        <v/>
      </c>
      <c r="G143" s="76" t="str">
        <f t="shared" si="13"/>
        <v/>
      </c>
      <c r="H143" s="77">
        <v>766542.12</v>
      </c>
      <c r="I143" s="77">
        <f t="shared" si="14"/>
        <v>-412791.12</v>
      </c>
      <c r="J143" s="76">
        <f t="shared" si="15"/>
        <v>-0.53851068223100385</v>
      </c>
      <c r="K143" s="38" t="s">
        <v>974</v>
      </c>
      <c r="L143" s="139" t="s">
        <v>975</v>
      </c>
      <c r="M143" s="115" t="s">
        <v>976</v>
      </c>
      <c r="N143" s="115" t="s">
        <v>977</v>
      </c>
      <c r="O143" s="115" t="s">
        <v>978</v>
      </c>
      <c r="P143" s="116"/>
      <c r="Q143" s="116"/>
      <c r="R143" s="116"/>
      <c r="S143" s="116"/>
      <c r="T143" s="116"/>
    </row>
    <row r="144" spans="1:20" ht="15.6">
      <c r="A144" s="24" t="str">
        <v>Landau I</v>
      </c>
      <c r="B144" s="25" t="str">
        <v>NY</v>
      </c>
      <c r="C144" s="25" t="str">
        <f>Sites[[#This Row],[SOL'#]]</f>
        <v>SOL-10891</v>
      </c>
      <c r="D144" s="60">
        <v>338540</v>
      </c>
      <c r="E144" s="10" t="s">
        <v>777</v>
      </c>
      <c r="F144" s="10" t="str">
        <f t="shared" si="12"/>
        <v/>
      </c>
      <c r="G144" s="61" t="str">
        <f t="shared" si="13"/>
        <v/>
      </c>
      <c r="H144" s="75">
        <v>368283.57</v>
      </c>
      <c r="I144" s="75">
        <f t="shared" si="14"/>
        <v>-29743.570000000007</v>
      </c>
      <c r="J144" s="72">
        <f t="shared" si="15"/>
        <v>-8.0762685123314096E-2</v>
      </c>
      <c r="K144" s="63"/>
      <c r="L144" s="37"/>
      <c r="M144" s="116"/>
      <c r="N144" s="116"/>
      <c r="O144" s="116"/>
      <c r="P144" s="116"/>
      <c r="Q144" s="116"/>
      <c r="R144" s="116"/>
      <c r="S144" s="116"/>
      <c r="T144" s="116"/>
    </row>
    <row r="145" spans="1:20" ht="261.75" customHeight="1">
      <c r="A145" s="26" t="str">
        <v>Landau II</v>
      </c>
      <c r="B145" s="27" t="str">
        <v>NY</v>
      </c>
      <c r="C145" s="27" t="str">
        <f>Sites[[#This Row],[SOL'#]]</f>
        <v>SOL-10895</v>
      </c>
      <c r="D145" s="74">
        <v>392870</v>
      </c>
      <c r="E145" s="14" t="s">
        <v>777</v>
      </c>
      <c r="F145" s="14" t="str">
        <f t="shared" si="12"/>
        <v/>
      </c>
      <c r="G145" s="76" t="str">
        <f t="shared" si="13"/>
        <v/>
      </c>
      <c r="H145" s="77">
        <v>825724.48</v>
      </c>
      <c r="I145" s="77">
        <f t="shared" si="14"/>
        <v>-432854.48</v>
      </c>
      <c r="J145" s="76">
        <f t="shared" si="15"/>
        <v>-0.52421175644447404</v>
      </c>
      <c r="K145" s="38" t="s">
        <v>979</v>
      </c>
      <c r="L145" s="139" t="s">
        <v>980</v>
      </c>
      <c r="M145" s="115" t="s">
        <v>981</v>
      </c>
      <c r="N145" s="115" t="s">
        <v>982</v>
      </c>
      <c r="O145" s="115" t="s">
        <v>983</v>
      </c>
      <c r="P145" s="115" t="s">
        <v>984</v>
      </c>
      <c r="Q145" s="115" t="s">
        <v>985</v>
      </c>
      <c r="R145" s="116"/>
      <c r="S145" s="116"/>
      <c r="T145" s="116"/>
    </row>
    <row r="146" spans="1:20" ht="15.6">
      <c r="A146" s="24" t="str">
        <v>New Beginnings</v>
      </c>
      <c r="B146" s="25" t="str">
        <v>NY</v>
      </c>
      <c r="C146" s="25" t="str">
        <f>Sites[[#This Row],[SOL'#]]</f>
        <v>SOL-10890</v>
      </c>
      <c r="D146" s="60">
        <v>340660</v>
      </c>
      <c r="E146" s="10">
        <v>352166.13</v>
      </c>
      <c r="F146" s="10">
        <f t="shared" si="12"/>
        <v>-11506.130000000005</v>
      </c>
      <c r="G146" s="61">
        <f t="shared" si="13"/>
        <v>-3.2672449221621637E-2</v>
      </c>
      <c r="H146" s="75">
        <v>358496.22</v>
      </c>
      <c r="I146" s="75">
        <f t="shared" si="14"/>
        <v>-17836.219999999972</v>
      </c>
      <c r="J146" s="72">
        <f t="shared" si="15"/>
        <v>-4.9752881634288842E-2</v>
      </c>
      <c r="K146" s="63"/>
      <c r="L146" s="37"/>
      <c r="M146" s="116"/>
      <c r="N146" s="116"/>
      <c r="O146" s="116"/>
      <c r="P146" s="116"/>
      <c r="Q146" s="116"/>
      <c r="R146" s="116"/>
      <c r="S146" s="116"/>
      <c r="T146" s="116"/>
    </row>
    <row r="147" spans="1:20" ht="15.6">
      <c r="A147" s="26" t="str">
        <v>Bullitt Farm Solar, LLC</v>
      </c>
      <c r="B147" s="27" t="str">
        <v>NY</v>
      </c>
      <c r="C147" s="27" t="str">
        <f>Sites[[#This Row],[SOL'#]]</f>
        <v>SOL-10998</v>
      </c>
      <c r="D147" s="74">
        <v>822842</v>
      </c>
      <c r="E147" s="14">
        <v>852227.3</v>
      </c>
      <c r="F147" s="14">
        <f t="shared" si="12"/>
        <v>-29385.300000000047</v>
      </c>
      <c r="G147" s="76">
        <f t="shared" si="13"/>
        <v>-3.4480589861413787E-2</v>
      </c>
      <c r="H147" s="77">
        <v>940853.4</v>
      </c>
      <c r="I147" s="77">
        <f t="shared" si="14"/>
        <v>-118011.40000000002</v>
      </c>
      <c r="J147" s="76">
        <f t="shared" si="15"/>
        <v>-0.12543016797303386</v>
      </c>
      <c r="K147" s="38"/>
      <c r="L147" s="17"/>
      <c r="M147" s="116"/>
      <c r="N147" s="116"/>
      <c r="O147" s="116"/>
      <c r="P147" s="116"/>
      <c r="Q147" s="116"/>
      <c r="R147" s="116"/>
      <c r="S147" s="116"/>
      <c r="T147" s="116"/>
    </row>
    <row r="148" spans="1:20" ht="28.9">
      <c r="A148" s="24" t="str">
        <v>Brodhead Solar, LLC</v>
      </c>
      <c r="B148" s="25" t="str">
        <v>NY</v>
      </c>
      <c r="C148" s="25" t="str">
        <f>Sites[[#This Row],[SOL'#]]</f>
        <v>SOL-10899</v>
      </c>
      <c r="D148" s="60">
        <v>389556</v>
      </c>
      <c r="E148" s="10">
        <v>404968.9</v>
      </c>
      <c r="F148" s="10">
        <f t="shared" si="12"/>
        <v>-15412.900000000023</v>
      </c>
      <c r="G148" s="61">
        <f t="shared" si="13"/>
        <v>-3.8059465800954151E-2</v>
      </c>
      <c r="H148" s="75">
        <v>465928.9</v>
      </c>
      <c r="I148" s="75">
        <f t="shared" si="14"/>
        <v>-76372.900000000023</v>
      </c>
      <c r="J148" s="72">
        <f t="shared" si="15"/>
        <v>-0.16391535275017288</v>
      </c>
      <c r="K148" s="63" t="s">
        <v>673</v>
      </c>
      <c r="L148" s="124" t="s">
        <v>986</v>
      </c>
      <c r="M148" s="115" t="s">
        <v>675</v>
      </c>
      <c r="N148" s="116"/>
      <c r="O148" s="116"/>
      <c r="P148" s="116"/>
      <c r="Q148" s="116"/>
      <c r="R148" s="116"/>
      <c r="S148" s="116"/>
      <c r="T148" s="116"/>
    </row>
    <row r="149" spans="1:20" ht="100.9">
      <c r="A149" s="26" t="str">
        <v>Svenski</v>
      </c>
      <c r="B149" s="27" t="str">
        <v>NY</v>
      </c>
      <c r="C149" s="27" t="str">
        <f>Sites[[#This Row],[SOL'#]]</f>
        <v>SOL-10894</v>
      </c>
      <c r="D149" s="74">
        <v>328257</v>
      </c>
      <c r="E149" s="14" t="s">
        <v>777</v>
      </c>
      <c r="F149" s="14" t="str">
        <f t="shared" si="12"/>
        <v/>
      </c>
      <c r="G149" s="76" t="str">
        <f t="shared" si="13"/>
        <v/>
      </c>
      <c r="H149" s="77">
        <v>401358.09</v>
      </c>
      <c r="I149" s="77">
        <f t="shared" si="14"/>
        <v>-73101.090000000026</v>
      </c>
      <c r="J149" s="76">
        <f t="shared" si="15"/>
        <v>-0.18213433794245937</v>
      </c>
      <c r="K149" s="38" t="s">
        <v>987</v>
      </c>
      <c r="L149" s="139" t="s">
        <v>988</v>
      </c>
      <c r="M149" s="115" t="s">
        <v>989</v>
      </c>
      <c r="N149" s="115" t="s">
        <v>990</v>
      </c>
      <c r="O149" s="116"/>
      <c r="P149" s="116"/>
      <c r="Q149" s="116"/>
      <c r="R149" s="116"/>
      <c r="S149" s="116"/>
      <c r="T149" s="116"/>
    </row>
    <row r="150" spans="1:20" ht="100.9" customHeight="1">
      <c r="A150" s="24" t="str">
        <v>Bantam</v>
      </c>
      <c r="B150" s="25" t="str">
        <v>NY</v>
      </c>
      <c r="C150" s="25" t="str">
        <f>Sites[[#This Row],[SOL'#]]</f>
        <v>SOL-10986</v>
      </c>
      <c r="D150" s="60">
        <v>47670</v>
      </c>
      <c r="E150" s="10" t="s">
        <v>777</v>
      </c>
      <c r="F150" s="10" t="str">
        <f t="shared" si="12"/>
        <v/>
      </c>
      <c r="G150" s="61" t="str">
        <f t="shared" si="13"/>
        <v/>
      </c>
      <c r="H150" s="75">
        <v>981035.1</v>
      </c>
      <c r="I150" s="75">
        <f t="shared" si="14"/>
        <v>-933365.1</v>
      </c>
      <c r="J150" s="72">
        <f t="shared" si="15"/>
        <v>-0.95140846642490162</v>
      </c>
      <c r="K150" s="63" t="s">
        <v>991</v>
      </c>
      <c r="L150" s="124" t="s">
        <v>992</v>
      </c>
      <c r="M150" s="115" t="s">
        <v>993</v>
      </c>
      <c r="N150" s="115" t="s">
        <v>994</v>
      </c>
      <c r="O150" s="115" t="s">
        <v>995</v>
      </c>
      <c r="P150" s="116"/>
      <c r="Q150" s="116"/>
      <c r="R150" s="116"/>
      <c r="S150" s="116"/>
      <c r="T150" s="116"/>
    </row>
    <row r="151" spans="1:20" ht="28.9">
      <c r="A151" s="26" t="str">
        <v>Bogart</v>
      </c>
      <c r="B151" s="27" t="str">
        <v>NY</v>
      </c>
      <c r="C151" s="27" t="str">
        <f>Sites[[#This Row],[SOL'#]]</f>
        <v>SOL-10887</v>
      </c>
      <c r="D151" s="74">
        <v>349160</v>
      </c>
      <c r="E151" s="14">
        <v>349181.8</v>
      </c>
      <c r="F151" s="14">
        <f t="shared" si="12"/>
        <v>-21.799999999988358</v>
      </c>
      <c r="G151" s="76">
        <f t="shared" si="13"/>
        <v>-6.243166167305501E-5</v>
      </c>
      <c r="H151" s="77">
        <v>356914.17</v>
      </c>
      <c r="I151" s="77">
        <f t="shared" si="14"/>
        <v>-7754.1699999999837</v>
      </c>
      <c r="J151" s="76">
        <f t="shared" si="15"/>
        <v>-2.1725587415035899E-2</v>
      </c>
      <c r="K151" s="38" t="s">
        <v>681</v>
      </c>
      <c r="L151" s="129" t="s">
        <v>211</v>
      </c>
      <c r="M151" s="116"/>
      <c r="N151" s="116"/>
      <c r="O151" s="116"/>
      <c r="P151" s="116"/>
      <c r="Q151" s="116"/>
      <c r="R151" s="116"/>
      <c r="S151" s="116"/>
      <c r="T151" s="116"/>
    </row>
    <row r="152" spans="1:20" ht="48.75" customHeight="1">
      <c r="A152" s="24" t="str">
        <v>Dubois</v>
      </c>
      <c r="B152" s="25" t="str">
        <v>NY</v>
      </c>
      <c r="C152" s="25" t="str">
        <f>Sites[[#This Row],[SOL'#]]</f>
        <v>SOL-10892</v>
      </c>
      <c r="D152" s="60">
        <v>330690</v>
      </c>
      <c r="E152" s="10" t="s">
        <v>777</v>
      </c>
      <c r="F152" s="10" t="str">
        <f t="shared" si="12"/>
        <v/>
      </c>
      <c r="G152" s="61" t="str">
        <f t="shared" si="13"/>
        <v/>
      </c>
      <c r="H152" s="75"/>
      <c r="I152" s="75" t="str">
        <f t="shared" si="14"/>
        <v/>
      </c>
      <c r="J152" s="72" t="str">
        <f t="shared" si="15"/>
        <v/>
      </c>
      <c r="K152" s="63" t="s">
        <v>996</v>
      </c>
      <c r="L152" s="124" t="s">
        <v>997</v>
      </c>
      <c r="M152" s="116"/>
      <c r="N152" s="116"/>
      <c r="O152" s="116"/>
      <c r="P152" s="116"/>
      <c r="Q152" s="116"/>
      <c r="R152" s="116"/>
      <c r="S152" s="116"/>
      <c r="T152" s="116"/>
    </row>
    <row r="153" spans="1:20" ht="84" customHeight="1">
      <c r="A153" s="26" t="str">
        <v>Salt Point</v>
      </c>
      <c r="B153" s="27" t="str">
        <v>NY</v>
      </c>
      <c r="C153" s="27" t="str">
        <f>Sites[[#This Row],[SOL'#]]</f>
        <v>SOL-10888</v>
      </c>
      <c r="D153" s="74">
        <v>331500</v>
      </c>
      <c r="E153" s="14" t="s">
        <v>777</v>
      </c>
      <c r="F153" s="14" t="str">
        <f t="shared" si="12"/>
        <v/>
      </c>
      <c r="G153" s="76" t="str">
        <f t="shared" si="13"/>
        <v/>
      </c>
      <c r="H153" s="77">
        <v>419761.74</v>
      </c>
      <c r="I153" s="77">
        <f t="shared" si="14"/>
        <v>-88261.739999999991</v>
      </c>
      <c r="J153" s="76">
        <f t="shared" si="15"/>
        <v>-0.21026628105743986</v>
      </c>
      <c r="K153" s="155" t="s">
        <v>683</v>
      </c>
      <c r="L153" s="129" t="s">
        <v>998</v>
      </c>
      <c r="M153" s="116"/>
      <c r="N153" s="116"/>
      <c r="O153" s="116"/>
      <c r="P153" s="116"/>
      <c r="Q153" s="116"/>
      <c r="R153" s="116"/>
      <c r="S153" s="116"/>
      <c r="T153" s="116"/>
    </row>
    <row r="154" spans="1:20" ht="198" customHeight="1">
      <c r="A154" s="24" t="str">
        <v>Wheatland 2A</v>
      </c>
      <c r="B154" s="25" t="str">
        <v>NY</v>
      </c>
      <c r="C154" s="25" t="str">
        <f>Sites[[#This Row],[SOL'#]]</f>
        <v>SOL-10971</v>
      </c>
      <c r="D154" s="60">
        <v>778710</v>
      </c>
      <c r="E154" s="10" t="s">
        <v>777</v>
      </c>
      <c r="F154" s="10" t="str">
        <f t="shared" si="12"/>
        <v/>
      </c>
      <c r="G154" s="61" t="str">
        <f t="shared" si="13"/>
        <v/>
      </c>
      <c r="H154" s="75">
        <v>839262.6</v>
      </c>
      <c r="I154" s="75">
        <f t="shared" si="14"/>
        <v>-60552.599999999977</v>
      </c>
      <c r="J154" s="72">
        <f t="shared" si="15"/>
        <v>-7.2149765758655254E-2</v>
      </c>
      <c r="K154" s="63" t="s">
        <v>999</v>
      </c>
      <c r="L154" s="124" t="s">
        <v>1000</v>
      </c>
      <c r="M154" s="115" t="s">
        <v>1001</v>
      </c>
      <c r="N154" s="115" t="s">
        <v>1002</v>
      </c>
      <c r="O154" s="116"/>
      <c r="P154" s="116"/>
      <c r="Q154" s="116"/>
      <c r="R154" s="116"/>
      <c r="S154" s="116"/>
      <c r="T154" s="116"/>
    </row>
    <row r="155" spans="1:20" ht="89.25" customHeight="1">
      <c r="A155" s="26" t="str">
        <v>Wheatland 2B</v>
      </c>
      <c r="B155" s="27" t="str">
        <v>NY</v>
      </c>
      <c r="C155" s="27" t="str">
        <f>Sites[[#This Row],[SOL'#]]</f>
        <v>SOL-10961</v>
      </c>
      <c r="D155" s="74">
        <v>784270</v>
      </c>
      <c r="E155" s="14" t="s">
        <v>777</v>
      </c>
      <c r="F155" s="14" t="str">
        <f t="shared" si="12"/>
        <v/>
      </c>
      <c r="G155" s="76" t="str">
        <f t="shared" si="13"/>
        <v/>
      </c>
      <c r="H155" s="77">
        <v>833219.63</v>
      </c>
      <c r="I155" s="77">
        <f t="shared" si="14"/>
        <v>-48949.630000000005</v>
      </c>
      <c r="J155" s="76">
        <f t="shared" si="15"/>
        <v>-5.8747571753680367E-2</v>
      </c>
      <c r="K155" s="56" t="s">
        <v>1003</v>
      </c>
      <c r="L155" s="139" t="s">
        <v>1004</v>
      </c>
      <c r="M155" s="115" t="s">
        <v>1005</v>
      </c>
      <c r="N155" s="116"/>
      <c r="O155" s="116"/>
      <c r="P155" s="116"/>
      <c r="Q155" s="116"/>
      <c r="R155" s="116"/>
      <c r="S155" s="116"/>
      <c r="T155" s="116"/>
    </row>
    <row r="156" spans="1:20" ht="103.5" customHeight="1">
      <c r="A156" s="24" t="str">
        <v>Brickchurch</v>
      </c>
      <c r="B156" s="25" t="str">
        <v>NY</v>
      </c>
      <c r="C156" s="25" t="str">
        <f>Sites[[#This Row],[SOL'#]]</f>
        <v>SOL-10889</v>
      </c>
      <c r="D156" s="60">
        <v>289240</v>
      </c>
      <c r="E156" s="10">
        <v>278002.32</v>
      </c>
      <c r="F156" s="10">
        <f t="shared" si="12"/>
        <v>11237.679999999993</v>
      </c>
      <c r="G156" s="61">
        <f t="shared" si="13"/>
        <v>4.0422972009729961E-2</v>
      </c>
      <c r="H156" s="75">
        <v>411677.08</v>
      </c>
      <c r="I156" s="75">
        <f t="shared" si="14"/>
        <v>-122437.08000000002</v>
      </c>
      <c r="J156" s="72">
        <f t="shared" si="15"/>
        <v>-0.29741048493639727</v>
      </c>
      <c r="K156" s="63" t="s">
        <v>1006</v>
      </c>
      <c r="L156" s="124" t="s">
        <v>1007</v>
      </c>
      <c r="M156" s="115" t="s">
        <v>428</v>
      </c>
      <c r="N156" s="115" t="s">
        <v>1008</v>
      </c>
      <c r="O156" s="116"/>
      <c r="P156" s="116"/>
      <c r="Q156" s="116"/>
      <c r="R156" s="116"/>
      <c r="S156" s="116"/>
      <c r="T156" s="116"/>
    </row>
    <row r="157" spans="1:20" ht="15.6">
      <c r="A157" s="26" t="str">
        <v>McCarthy Solar</v>
      </c>
      <c r="B157" s="27" t="str">
        <v>NY</v>
      </c>
      <c r="C157" s="27" t="str">
        <f>Sites[[#This Row],[SOL'#]]</f>
        <v>SOL-10992</v>
      </c>
      <c r="D157" s="74">
        <v>342590</v>
      </c>
      <c r="E157" s="14" t="s">
        <v>777</v>
      </c>
      <c r="F157" s="14" t="str">
        <f t="shared" si="12"/>
        <v/>
      </c>
      <c r="G157" s="76" t="str">
        <f t="shared" si="13"/>
        <v/>
      </c>
      <c r="H157" s="77">
        <v>359833.18</v>
      </c>
      <c r="I157" s="77">
        <f t="shared" si="14"/>
        <v>-17243.179999999993</v>
      </c>
      <c r="J157" s="76">
        <f t="shared" si="15"/>
        <v>-4.7919927784313809E-2</v>
      </c>
      <c r="K157" s="38"/>
      <c r="L157" s="17"/>
      <c r="M157" s="116"/>
      <c r="N157" s="116"/>
      <c r="O157" s="116"/>
      <c r="P157" s="116"/>
      <c r="Q157" s="116"/>
      <c r="R157" s="116"/>
      <c r="S157" s="116"/>
      <c r="T157" s="116"/>
    </row>
    <row r="158" spans="1:20" ht="57.6">
      <c r="A158" s="24" t="str">
        <v>Costanza</v>
      </c>
      <c r="B158" s="25" t="str">
        <v>NY</v>
      </c>
      <c r="C158" s="25" t="str">
        <f>Sites[[#This Row],[SOL'#]]</f>
        <v>SOL-10907</v>
      </c>
      <c r="D158" s="60">
        <v>360380</v>
      </c>
      <c r="E158" s="10" t="s">
        <v>777</v>
      </c>
      <c r="F158" s="10" t="str">
        <f t="shared" si="12"/>
        <v/>
      </c>
      <c r="G158" s="61" t="str">
        <f t="shared" si="13"/>
        <v/>
      </c>
      <c r="H158" s="75">
        <v>375749.63</v>
      </c>
      <c r="I158" s="75">
        <f t="shared" si="14"/>
        <v>-15369.630000000005</v>
      </c>
      <c r="J158" s="72">
        <f t="shared" si="15"/>
        <v>-4.0903912533460124E-2</v>
      </c>
      <c r="K158" s="63" t="s">
        <v>1009</v>
      </c>
      <c r="L158" s="124" t="s">
        <v>1010</v>
      </c>
      <c r="M158" s="115" t="s">
        <v>1011</v>
      </c>
      <c r="N158" s="116"/>
      <c r="O158" s="116"/>
      <c r="P158" s="116"/>
      <c r="Q158" s="116"/>
      <c r="R158" s="116"/>
      <c r="S158" s="116"/>
      <c r="T158" s="116"/>
    </row>
    <row r="159" spans="1:20" ht="15.6">
      <c r="A159" s="26" t="str">
        <v>Lockenhurst Pond</v>
      </c>
      <c r="B159" s="27" t="str">
        <v>NY</v>
      </c>
      <c r="C159" s="27" t="str">
        <f>Sites[[#This Row],[SOL'#]]</f>
        <v>SOL-11000</v>
      </c>
      <c r="D159" s="74">
        <v>368615</v>
      </c>
      <c r="E159" s="14">
        <v>393092.2</v>
      </c>
      <c r="F159" s="14">
        <f t="shared" si="12"/>
        <v>-24477.200000000012</v>
      </c>
      <c r="G159" s="76">
        <f t="shared" si="13"/>
        <v>-6.2268343152064608E-2</v>
      </c>
      <c r="H159" s="77">
        <v>397088</v>
      </c>
      <c r="I159" s="77">
        <f t="shared" si="14"/>
        <v>-28473</v>
      </c>
      <c r="J159" s="76">
        <f t="shared" si="15"/>
        <v>-7.1704508824240468E-2</v>
      </c>
      <c r="K159" s="38"/>
      <c r="L159" s="17"/>
      <c r="M159" s="116"/>
      <c r="N159" s="116"/>
      <c r="O159" s="116"/>
      <c r="P159" s="116"/>
      <c r="Q159" s="116"/>
      <c r="R159" s="116"/>
      <c r="S159" s="116"/>
      <c r="T159" s="116"/>
    </row>
    <row r="160" spans="1:20" ht="15.6">
      <c r="A160" s="24" t="str">
        <v>Drinkwater</v>
      </c>
      <c r="B160" s="25" t="str">
        <v>NY</v>
      </c>
      <c r="C160" s="25" t="str">
        <f>Sites[[#This Row],[SOL'#]]</f>
        <v>SOL-10896</v>
      </c>
      <c r="D160" s="60">
        <v>347150</v>
      </c>
      <c r="E160" s="10" t="s">
        <v>777</v>
      </c>
      <c r="F160" s="10" t="str">
        <f t="shared" si="12"/>
        <v/>
      </c>
      <c r="G160" s="61" t="str">
        <f t="shared" si="13"/>
        <v/>
      </c>
      <c r="H160" s="75">
        <v>359295.77</v>
      </c>
      <c r="I160" s="75">
        <f t="shared" si="14"/>
        <v>-12145.770000000019</v>
      </c>
      <c r="J160" s="72">
        <f t="shared" si="15"/>
        <v>-3.3804377936316972E-2</v>
      </c>
      <c r="K160" s="63"/>
      <c r="L160" s="37"/>
      <c r="M160" s="116"/>
      <c r="N160" s="116"/>
      <c r="O160" s="116"/>
      <c r="P160" s="116"/>
      <c r="Q160" s="116"/>
      <c r="R160" s="116"/>
      <c r="S160" s="116"/>
      <c r="T160" s="116"/>
    </row>
    <row r="161" spans="1:20" ht="28.9">
      <c r="A161" s="26" t="str">
        <v>Altamont</v>
      </c>
      <c r="B161" s="27" t="str">
        <v>NY</v>
      </c>
      <c r="C161" s="27" t="str">
        <f>Sites[[#This Row],[SOL'#]]</f>
        <v>SOL-11085</v>
      </c>
      <c r="D161" s="74">
        <v>724960</v>
      </c>
      <c r="E161" s="14">
        <v>765286.5</v>
      </c>
      <c r="F161" s="14">
        <f t="shared" si="12"/>
        <v>-40326.5</v>
      </c>
      <c r="G161" s="76">
        <f t="shared" si="13"/>
        <v>-5.2694644424016363E-2</v>
      </c>
      <c r="H161" s="77">
        <v>639559.6</v>
      </c>
      <c r="I161" s="77">
        <f t="shared" si="14"/>
        <v>85400.400000000023</v>
      </c>
      <c r="J161" s="76">
        <f t="shared" si="15"/>
        <v>0.13353001033836412</v>
      </c>
      <c r="K161" s="38" t="s">
        <v>1012</v>
      </c>
      <c r="L161" s="129" t="s">
        <v>1013</v>
      </c>
      <c r="M161" s="116"/>
      <c r="N161" s="116"/>
      <c r="O161" s="116"/>
      <c r="P161" s="116"/>
      <c r="Q161" s="116"/>
      <c r="R161" s="116"/>
      <c r="S161" s="116"/>
      <c r="T161" s="116"/>
    </row>
    <row r="162" spans="1:20" ht="15.6">
      <c r="A162" s="24" t="str">
        <v>Krumkill North</v>
      </c>
      <c r="B162" s="25" t="str">
        <v>NY</v>
      </c>
      <c r="C162" s="25" t="str">
        <f>Sites[[#This Row],[SOL'#]]</f>
        <v>SOL-11086</v>
      </c>
      <c r="D162" s="60">
        <v>687550</v>
      </c>
      <c r="E162" s="10">
        <v>744225.3</v>
      </c>
      <c r="F162" s="10">
        <f t="shared" si="12"/>
        <v>-56675.300000000047</v>
      </c>
      <c r="G162" s="61">
        <f t="shared" si="13"/>
        <v>-7.6153417520205297E-2</v>
      </c>
      <c r="H162" s="75">
        <v>744683.1</v>
      </c>
      <c r="I162" s="75">
        <f t="shared" si="14"/>
        <v>-57133.099999999977</v>
      </c>
      <c r="J162" s="72">
        <f t="shared" si="15"/>
        <v>-7.6721359730065011E-2</v>
      </c>
      <c r="K162" s="63"/>
      <c r="L162" s="37"/>
      <c r="M162" s="116"/>
      <c r="N162" s="116"/>
      <c r="O162" s="116"/>
      <c r="P162" s="116"/>
      <c r="Q162" s="116"/>
      <c r="R162" s="116"/>
      <c r="S162" s="116"/>
      <c r="T162" s="116"/>
    </row>
    <row r="163" spans="1:20" ht="15.6">
      <c r="A163" s="26" t="str">
        <v>Krumkill South</v>
      </c>
      <c r="B163" s="27" t="str">
        <v>NY</v>
      </c>
      <c r="C163" s="27" t="str">
        <f>Sites[[#This Row],[SOL'#]]</f>
        <v>SOL-11087</v>
      </c>
      <c r="D163" s="74">
        <v>571189</v>
      </c>
      <c r="E163" s="14">
        <v>585762.4</v>
      </c>
      <c r="F163" s="14">
        <f t="shared" si="12"/>
        <v>-14573.400000000023</v>
      </c>
      <c r="G163" s="76">
        <f t="shared" si="13"/>
        <v>-2.4879370884850278E-2</v>
      </c>
      <c r="H163" s="77">
        <v>583809.6</v>
      </c>
      <c r="I163" s="77">
        <f t="shared" si="14"/>
        <v>-12620.599999999977</v>
      </c>
      <c r="J163" s="76">
        <f t="shared" si="15"/>
        <v>-2.1617664389211786E-2</v>
      </c>
      <c r="K163" s="38"/>
      <c r="L163" s="17"/>
      <c r="M163" s="116"/>
      <c r="N163" s="116"/>
      <c r="O163" s="116"/>
      <c r="P163" s="116"/>
      <c r="Q163" s="116"/>
      <c r="R163" s="116"/>
      <c r="S163" s="116"/>
      <c r="T163" s="116"/>
    </row>
    <row r="164" spans="1:20" ht="15.6">
      <c r="A164" s="24" t="str">
        <v>X092</v>
      </c>
      <c r="B164" s="25" t="str">
        <v>NY</v>
      </c>
      <c r="C164" s="25" t="str">
        <f>Sites[[#This Row],[SOL'#]]</f>
        <v>SOL-11189</v>
      </c>
      <c r="D164" s="60">
        <v>17692.400000000001</v>
      </c>
      <c r="E164" s="10">
        <v>17742.88</v>
      </c>
      <c r="F164" s="10">
        <f t="shared" si="12"/>
        <v>-50.479999999999563</v>
      </c>
      <c r="G164" s="61">
        <f t="shared" si="13"/>
        <v>-2.8450849016619377E-3</v>
      </c>
      <c r="H164" s="75">
        <v>19404</v>
      </c>
      <c r="I164" s="75">
        <f t="shared" si="14"/>
        <v>-1711.5999999999985</v>
      </c>
      <c r="J164" s="72">
        <f t="shared" si="15"/>
        <v>-8.8208616780045282E-2</v>
      </c>
      <c r="K164" s="63"/>
      <c r="L164" s="37"/>
      <c r="M164" s="116"/>
      <c r="N164" s="116"/>
      <c r="O164" s="116"/>
      <c r="P164" s="116"/>
      <c r="Q164" s="116"/>
      <c r="R164" s="116"/>
      <c r="S164" s="116"/>
      <c r="T164" s="116"/>
    </row>
    <row r="165" spans="1:20" ht="107.25" customHeight="1">
      <c r="A165" s="26" t="str">
        <v>X093</v>
      </c>
      <c r="B165" s="27" t="str">
        <v>NY</v>
      </c>
      <c r="C165" s="27" t="str">
        <f>Sites[[#This Row],[SOL'#]]</f>
        <v>SOL-10932</v>
      </c>
      <c r="D165" s="74">
        <v>839.66496093750197</v>
      </c>
      <c r="E165" s="14">
        <v>0</v>
      </c>
      <c r="F165" s="14">
        <f t="shared" si="12"/>
        <v>839.66496093750197</v>
      </c>
      <c r="G165" s="76" t="str">
        <f t="shared" si="13"/>
        <v/>
      </c>
      <c r="H165" s="77">
        <v>13699</v>
      </c>
      <c r="I165" s="77">
        <f t="shared" si="14"/>
        <v>-12859.335039062498</v>
      </c>
      <c r="J165" s="76">
        <f t="shared" si="15"/>
        <v>-0.93870611278651717</v>
      </c>
      <c r="K165" s="143" t="s">
        <v>1014</v>
      </c>
      <c r="L165" s="139" t="s">
        <v>1015</v>
      </c>
      <c r="M165" s="115" t="s">
        <v>440</v>
      </c>
      <c r="N165" s="115" t="s">
        <v>1016</v>
      </c>
      <c r="O165" s="115" t="s">
        <v>1017</v>
      </c>
      <c r="P165" s="116"/>
      <c r="Q165" s="116"/>
      <c r="R165" s="116"/>
      <c r="S165" s="116"/>
      <c r="T165" s="116"/>
    </row>
    <row r="166" spans="1:20" ht="15.6">
      <c r="A166" s="24" t="str">
        <v>X095</v>
      </c>
      <c r="B166" s="25" t="str">
        <v>NY</v>
      </c>
      <c r="C166" s="25" t="str">
        <f>Sites[[#This Row],[SOL'#]]</f>
        <v>SOL-10929</v>
      </c>
      <c r="D166" s="60">
        <v>17585.31640625</v>
      </c>
      <c r="E166" s="10" t="s">
        <v>777</v>
      </c>
      <c r="F166" s="10" t="str">
        <f t="shared" si="12"/>
        <v/>
      </c>
      <c r="G166" s="61" t="str">
        <f t="shared" si="13"/>
        <v/>
      </c>
      <c r="H166" s="75">
        <v>18495</v>
      </c>
      <c r="I166" s="75">
        <f t="shared" si="14"/>
        <v>-909.68359375</v>
      </c>
      <c r="J166" s="72">
        <f t="shared" si="15"/>
        <v>-4.9185379494457962E-2</v>
      </c>
      <c r="K166" s="63"/>
      <c r="L166" s="37"/>
      <c r="M166" s="116"/>
      <c r="N166" s="116"/>
      <c r="O166" s="116"/>
      <c r="P166" s="116"/>
      <c r="Q166" s="116"/>
      <c r="R166" s="116"/>
      <c r="S166" s="116"/>
      <c r="T166" s="116"/>
    </row>
    <row r="167" spans="1:20" ht="15.6">
      <c r="A167" s="26" t="str">
        <v>X181</v>
      </c>
      <c r="B167" s="27" t="str">
        <v>NY</v>
      </c>
      <c r="C167" s="27" t="str">
        <f>Sites[[#This Row],[SOL'#]]</f>
        <v>SOL-10428</v>
      </c>
      <c r="D167" s="74">
        <v>32407.290390624999</v>
      </c>
      <c r="E167" s="14" t="s">
        <v>777</v>
      </c>
      <c r="F167" s="14" t="str">
        <f t="shared" si="12"/>
        <v/>
      </c>
      <c r="G167" s="76" t="str">
        <f t="shared" si="13"/>
        <v/>
      </c>
      <c r="H167" s="77">
        <v>33412</v>
      </c>
      <c r="I167" s="77">
        <f t="shared" si="14"/>
        <v>-1004.7096093750006</v>
      </c>
      <c r="J167" s="76">
        <f t="shared" si="15"/>
        <v>-3.0070322320573464E-2</v>
      </c>
      <c r="K167" s="38"/>
      <c r="L167" s="17"/>
      <c r="M167" s="116"/>
      <c r="N167" s="116"/>
      <c r="O167" s="116"/>
      <c r="P167" s="116"/>
      <c r="Q167" s="116"/>
      <c r="R167" s="116"/>
      <c r="S167" s="116"/>
      <c r="T167" s="116"/>
    </row>
    <row r="168" spans="1:20" ht="15.6">
      <c r="A168" s="24" t="str">
        <v>X415</v>
      </c>
      <c r="B168" s="25" t="str">
        <v>NY</v>
      </c>
      <c r="C168" s="25" t="str">
        <f>Sites[[#This Row],[SOL'#]]</f>
        <v>SOL-10429</v>
      </c>
      <c r="D168" s="60">
        <v>20488.828125</v>
      </c>
      <c r="E168" s="10" t="s">
        <v>777</v>
      </c>
      <c r="F168" s="10" t="str">
        <f t="shared" si="12"/>
        <v/>
      </c>
      <c r="G168" s="61" t="str">
        <f t="shared" si="13"/>
        <v/>
      </c>
      <c r="H168" s="75">
        <v>19306</v>
      </c>
      <c r="I168" s="75">
        <f t="shared" si="14"/>
        <v>1182.828125</v>
      </c>
      <c r="J168" s="72">
        <f t="shared" si="15"/>
        <v>6.1267384491867811E-2</v>
      </c>
      <c r="K168" s="63"/>
      <c r="L168" s="37"/>
      <c r="M168" s="116"/>
      <c r="N168" s="116"/>
      <c r="O168" s="116"/>
      <c r="P168" s="116"/>
      <c r="Q168" s="116"/>
      <c r="R168" s="116"/>
      <c r="S168" s="116"/>
      <c r="T168" s="116"/>
    </row>
    <row r="169" spans="1:20" ht="15.6">
      <c r="A169" s="26" t="str">
        <v>K198</v>
      </c>
      <c r="B169" s="27" t="str">
        <v>NY</v>
      </c>
      <c r="C169" s="27" t="str">
        <f>Sites[[#This Row],[SOL'#]]</f>
        <v>SOL-10930</v>
      </c>
      <c r="D169" s="74">
        <v>14934.17578125</v>
      </c>
      <c r="E169" s="14" t="s">
        <v>777</v>
      </c>
      <c r="F169" s="14" t="str">
        <f t="shared" si="12"/>
        <v/>
      </c>
      <c r="G169" s="76" t="str">
        <f t="shared" si="13"/>
        <v/>
      </c>
      <c r="H169" s="77">
        <v>15025</v>
      </c>
      <c r="I169" s="77">
        <f t="shared" si="14"/>
        <v>-90.82421875</v>
      </c>
      <c r="J169" s="76">
        <f t="shared" si="15"/>
        <v>-6.0448731281198004E-3</v>
      </c>
      <c r="K169" s="38"/>
      <c r="L169" s="17"/>
      <c r="M169" s="116"/>
      <c r="N169" s="116"/>
      <c r="O169" s="116"/>
      <c r="P169" s="116"/>
      <c r="Q169" s="116"/>
      <c r="R169" s="116"/>
      <c r="S169" s="116"/>
      <c r="T169" s="116"/>
    </row>
    <row r="170" spans="1:20" ht="15.6">
      <c r="A170" s="24" t="str">
        <v>K203</v>
      </c>
      <c r="B170" s="25" t="str">
        <v>NY</v>
      </c>
      <c r="C170" s="25" t="str">
        <f>Sites[[#This Row],[SOL'#]]</f>
        <v>SOL-11190</v>
      </c>
      <c r="D170" s="60">
        <v>18670.099999999999</v>
      </c>
      <c r="E170" s="10">
        <v>17017.400000000001</v>
      </c>
      <c r="F170" s="10">
        <f t="shared" ref="F170:F200" si="16">IF(AND(ISNUMBER(D170),ISNUMBER(E170)), D170-E170, "")</f>
        <v>1652.6999999999971</v>
      </c>
      <c r="G170" s="61">
        <f t="shared" ref="G170:G200" si="17">IFERROR(F170/E170, "")</f>
        <v>9.711824367999794E-2</v>
      </c>
      <c r="H170" s="75">
        <v>20769</v>
      </c>
      <c r="I170" s="75">
        <f t="shared" si="14"/>
        <v>-2098.9000000000015</v>
      </c>
      <c r="J170" s="72">
        <f t="shared" si="15"/>
        <v>-0.10105927102893743</v>
      </c>
      <c r="K170" s="63" t="s">
        <v>1018</v>
      </c>
      <c r="L170" s="124" t="s">
        <v>712</v>
      </c>
      <c r="M170" s="116"/>
      <c r="N170" s="116"/>
      <c r="O170" s="116"/>
      <c r="P170" s="116"/>
      <c r="Q170" s="116"/>
      <c r="R170" s="116"/>
      <c r="S170" s="116"/>
      <c r="T170" s="116"/>
    </row>
    <row r="171" spans="1:20" ht="57.6">
      <c r="A171" s="26" t="str">
        <v>K213</v>
      </c>
      <c r="B171" s="27" t="str">
        <v>NY</v>
      </c>
      <c r="C171" s="27" t="str">
        <f>Sites[[#This Row],[SOL'#]]</f>
        <v>SOL-11191</v>
      </c>
      <c r="D171" s="74">
        <v>19403.7</v>
      </c>
      <c r="E171" s="14">
        <v>21842</v>
      </c>
      <c r="F171" s="14">
        <f t="shared" si="16"/>
        <v>-2438.2999999999993</v>
      </c>
      <c r="G171" s="76">
        <f t="shared" si="17"/>
        <v>-0.11163355004120498</v>
      </c>
      <c r="H171" s="77">
        <v>21777</v>
      </c>
      <c r="I171" s="77">
        <f t="shared" si="14"/>
        <v>-2373.2999999999993</v>
      </c>
      <c r="J171" s="76">
        <f t="shared" si="15"/>
        <v>-0.10898195343711252</v>
      </c>
      <c r="K171" s="38" t="s">
        <v>1019</v>
      </c>
      <c r="L171" s="129" t="s">
        <v>1020</v>
      </c>
      <c r="M171" s="116"/>
      <c r="N171" s="116"/>
      <c r="O171" s="116"/>
      <c r="P171" s="116"/>
      <c r="Q171" s="116"/>
      <c r="R171" s="116"/>
      <c r="S171" s="116"/>
      <c r="T171" s="116"/>
    </row>
    <row r="172" spans="1:20" ht="15.6">
      <c r="A172" s="24" t="str">
        <v>K217</v>
      </c>
      <c r="B172" s="25" t="str">
        <v>NY</v>
      </c>
      <c r="C172" s="25" t="str">
        <f>Sites[[#This Row],[SOL'#]]</f>
        <v>SOL-10933</v>
      </c>
      <c r="D172" s="60">
        <v>11456.6484375</v>
      </c>
      <c r="E172" s="10">
        <v>0</v>
      </c>
      <c r="F172" s="10">
        <f t="shared" si="16"/>
        <v>11456.6484375</v>
      </c>
      <c r="G172" s="61" t="str">
        <f t="shared" si="17"/>
        <v/>
      </c>
      <c r="H172" s="75">
        <v>11653</v>
      </c>
      <c r="I172" s="75">
        <f t="shared" ref="I172:I201" si="18">IF(AND(ISNUMBER(D172),ISNUMBER(H172)), D172-H172, "")</f>
        <v>-196.3515625</v>
      </c>
      <c r="J172" s="72">
        <f t="shared" ref="J172:J200" si="19">IFERROR(I172/H172, "")</f>
        <v>-1.6849872350467691E-2</v>
      </c>
      <c r="K172" s="63"/>
      <c r="L172" s="37"/>
      <c r="M172" s="116"/>
      <c r="N172" s="116"/>
      <c r="O172" s="116"/>
      <c r="P172" s="116"/>
      <c r="Q172" s="116"/>
      <c r="R172" s="116"/>
      <c r="S172" s="116"/>
      <c r="T172" s="116"/>
    </row>
    <row r="173" spans="1:20" ht="15.6">
      <c r="A173" s="26" t="str">
        <v>K307</v>
      </c>
      <c r="B173" s="27" t="str">
        <v>NY</v>
      </c>
      <c r="C173" s="27" t="str">
        <f>Sites[[#This Row],[SOL'#]]</f>
        <v>SOL-10876</v>
      </c>
      <c r="D173" s="74">
        <v>23795.59375</v>
      </c>
      <c r="E173" s="14" t="s">
        <v>777</v>
      </c>
      <c r="F173" s="14" t="str">
        <f t="shared" si="16"/>
        <v/>
      </c>
      <c r="G173" s="76" t="str">
        <f t="shared" si="17"/>
        <v/>
      </c>
      <c r="H173" s="77">
        <v>24665</v>
      </c>
      <c r="I173" s="77">
        <f t="shared" si="18"/>
        <v>-869.40625</v>
      </c>
      <c r="J173" s="76">
        <f t="shared" si="19"/>
        <v>-3.52485809852017E-2</v>
      </c>
      <c r="K173" s="38"/>
      <c r="L173" s="17"/>
      <c r="M173" s="116"/>
      <c r="N173" s="116"/>
      <c r="O173" s="116"/>
      <c r="P173" s="116"/>
      <c r="Q173" s="116"/>
      <c r="R173" s="116"/>
      <c r="S173" s="116"/>
      <c r="T173" s="116"/>
    </row>
    <row r="174" spans="1:20" ht="15.6">
      <c r="A174" s="24" t="str">
        <v>K610</v>
      </c>
      <c r="B174" s="25" t="str">
        <v>NY</v>
      </c>
      <c r="C174" s="25" t="str">
        <f>Sites[[#This Row],[SOL'#]]</f>
        <v>SOL-11158</v>
      </c>
      <c r="D174" s="60">
        <v>28474.6</v>
      </c>
      <c r="E174" s="10">
        <v>27807.7</v>
      </c>
      <c r="F174" s="10">
        <f t="shared" si="16"/>
        <v>666.89999999999782</v>
      </c>
      <c r="G174" s="61">
        <f t="shared" si="17"/>
        <v>2.3982565979926346E-2</v>
      </c>
      <c r="H174" s="75">
        <v>28774</v>
      </c>
      <c r="I174" s="75">
        <f t="shared" si="18"/>
        <v>-299.40000000000146</v>
      </c>
      <c r="J174" s="72">
        <f t="shared" si="19"/>
        <v>-1.0405226940988443E-2</v>
      </c>
      <c r="K174" s="63"/>
      <c r="L174" s="37"/>
      <c r="M174" s="116"/>
      <c r="N174" s="116"/>
      <c r="O174" s="116"/>
      <c r="P174" s="116"/>
      <c r="Q174" s="116"/>
      <c r="R174" s="116"/>
      <c r="S174" s="116"/>
      <c r="T174" s="116"/>
    </row>
    <row r="175" spans="1:20" ht="282" customHeight="1">
      <c r="A175" s="26" t="str">
        <v>M025</v>
      </c>
      <c r="B175" s="27" t="str">
        <v>NY</v>
      </c>
      <c r="C175" s="27" t="str">
        <f>Sites[[#This Row],[SOL'#]]</f>
        <v>SOL-10392</v>
      </c>
      <c r="D175" s="74">
        <v>10017.521484375</v>
      </c>
      <c r="E175" s="14" t="s">
        <v>777</v>
      </c>
      <c r="F175" s="14" t="str">
        <f t="shared" si="16"/>
        <v/>
      </c>
      <c r="G175" s="76" t="str">
        <f t="shared" si="17"/>
        <v/>
      </c>
      <c r="H175" s="77">
        <v>24960</v>
      </c>
      <c r="I175" s="77">
        <f t="shared" si="18"/>
        <v>-14942.478515625</v>
      </c>
      <c r="J175" s="76">
        <f t="shared" si="19"/>
        <v>-0.59865699181189902</v>
      </c>
      <c r="K175" s="56" t="s">
        <v>1021</v>
      </c>
      <c r="L175" s="139" t="s">
        <v>1022</v>
      </c>
      <c r="M175" s="115" t="s">
        <v>1023</v>
      </c>
      <c r="N175" s="115" t="s">
        <v>718</v>
      </c>
      <c r="O175" s="115" t="s">
        <v>719</v>
      </c>
      <c r="P175" s="115" t="s">
        <v>1023</v>
      </c>
      <c r="Q175" s="115" t="s">
        <v>1024</v>
      </c>
      <c r="R175" s="115" t="s">
        <v>1025</v>
      </c>
      <c r="S175" s="116"/>
      <c r="T175" s="116"/>
    </row>
    <row r="176" spans="1:20" ht="15.6">
      <c r="A176" s="24" t="str">
        <v>M028</v>
      </c>
      <c r="B176" s="25" t="str">
        <v>NY</v>
      </c>
      <c r="C176" s="25" t="str">
        <f>Sites[[#This Row],[SOL'#]]</f>
        <v>SOL-10381</v>
      </c>
      <c r="D176" s="60">
        <v>19247.710762593299</v>
      </c>
      <c r="E176" s="10" t="s">
        <v>777</v>
      </c>
      <c r="F176" s="10" t="str">
        <f t="shared" si="16"/>
        <v/>
      </c>
      <c r="G176" s="61" t="str">
        <f t="shared" si="17"/>
        <v/>
      </c>
      <c r="H176" s="75">
        <v>19348</v>
      </c>
      <c r="I176" s="75">
        <f t="shared" si="18"/>
        <v>-100.28923740670143</v>
      </c>
      <c r="J176" s="72">
        <f t="shared" si="19"/>
        <v>-5.18344208221529E-3</v>
      </c>
      <c r="K176" s="63"/>
      <c r="L176" s="37"/>
      <c r="M176" s="116"/>
      <c r="N176" s="116"/>
      <c r="O176" s="116"/>
      <c r="P176" s="116"/>
      <c r="Q176" s="116"/>
      <c r="R176" s="116"/>
      <c r="S176" s="116"/>
      <c r="T176" s="116"/>
    </row>
    <row r="177" spans="1:20" ht="15.6">
      <c r="A177" s="26" t="str">
        <v>Q030</v>
      </c>
      <c r="B177" s="27" t="str">
        <v>NY</v>
      </c>
      <c r="C177" s="27" t="str">
        <f>Sites[[#This Row],[SOL'#]]</f>
        <v>SOL-10878</v>
      </c>
      <c r="D177" s="74">
        <v>23074.4142195352</v>
      </c>
      <c r="E177" s="14" t="s">
        <v>777</v>
      </c>
      <c r="F177" s="14" t="str">
        <f t="shared" si="16"/>
        <v/>
      </c>
      <c r="G177" s="76" t="str">
        <f t="shared" si="17"/>
        <v/>
      </c>
      <c r="H177" s="77">
        <v>23554</v>
      </c>
      <c r="I177" s="77">
        <f t="shared" si="18"/>
        <v>-479.58578046480034</v>
      </c>
      <c r="J177" s="76">
        <f t="shared" si="19"/>
        <v>-2.0361118301129334E-2</v>
      </c>
      <c r="K177" s="38"/>
      <c r="L177" s="17"/>
      <c r="M177" s="116"/>
      <c r="N177" s="116"/>
      <c r="O177" s="116"/>
      <c r="P177" s="116"/>
      <c r="Q177" s="116"/>
      <c r="R177" s="116"/>
      <c r="S177" s="116"/>
      <c r="T177" s="116"/>
    </row>
    <row r="178" spans="1:20" ht="15.6">
      <c r="A178" s="24" t="str">
        <v>Q130</v>
      </c>
      <c r="B178" s="25" t="str">
        <v>NY</v>
      </c>
      <c r="C178" s="25" t="str">
        <f>Sites[[#This Row],[SOL'#]]</f>
        <v>SOL-10877</v>
      </c>
      <c r="D178" s="60">
        <v>13305.36328125</v>
      </c>
      <c r="E178" s="10" t="s">
        <v>777</v>
      </c>
      <c r="F178" s="10" t="str">
        <f t="shared" si="16"/>
        <v/>
      </c>
      <c r="G178" s="61" t="str">
        <f t="shared" si="17"/>
        <v/>
      </c>
      <c r="H178" s="75">
        <v>13284.82</v>
      </c>
      <c r="I178" s="75">
        <f t="shared" si="18"/>
        <v>20.543281250000291</v>
      </c>
      <c r="J178" s="72">
        <f t="shared" si="19"/>
        <v>1.5463725703472302E-3</v>
      </c>
      <c r="K178" s="63"/>
      <c r="L178" s="37"/>
      <c r="M178" s="116"/>
      <c r="N178" s="116"/>
      <c r="O178" s="116"/>
      <c r="P178" s="116"/>
      <c r="Q178" s="116"/>
      <c r="R178" s="116"/>
      <c r="S178" s="116"/>
      <c r="T178" s="116"/>
    </row>
    <row r="179" spans="1:20" ht="15.6">
      <c r="A179" s="26" t="str">
        <v>Q196</v>
      </c>
      <c r="B179" s="27" t="str">
        <v>NY</v>
      </c>
      <c r="C179" s="27" t="str">
        <f>Sites[[#This Row],[SOL'#]]</f>
        <v>SOL-10879</v>
      </c>
      <c r="D179" s="74">
        <v>17258.2402929688</v>
      </c>
      <c r="E179" s="14" t="s">
        <v>777</v>
      </c>
      <c r="F179" s="14" t="str">
        <f t="shared" si="16"/>
        <v/>
      </c>
      <c r="G179" s="76" t="str">
        <f t="shared" si="17"/>
        <v/>
      </c>
      <c r="H179" s="77">
        <v>17187</v>
      </c>
      <c r="I179" s="77">
        <f t="shared" si="18"/>
        <v>71.240292968799622</v>
      </c>
      <c r="J179" s="76">
        <f t="shared" si="19"/>
        <v>4.1450103548495735E-3</v>
      </c>
      <c r="K179" s="38"/>
      <c r="L179" s="17"/>
      <c r="M179" s="116"/>
      <c r="N179" s="116"/>
      <c r="O179" s="116"/>
      <c r="P179" s="116"/>
      <c r="Q179" s="116"/>
      <c r="R179" s="116"/>
      <c r="S179" s="116"/>
      <c r="T179" s="116"/>
    </row>
    <row r="180" spans="1:20" ht="28.9">
      <c r="A180" s="24" t="str">
        <v>Q220</v>
      </c>
      <c r="B180" s="25" t="str">
        <v>NY</v>
      </c>
      <c r="C180" s="25" t="str">
        <f>Sites[[#This Row],[SOL'#]]</f>
        <v>SOL-10873</v>
      </c>
      <c r="D180" s="60">
        <v>20521.2734375</v>
      </c>
      <c r="E180" s="10">
        <v>0</v>
      </c>
      <c r="F180" s="10">
        <f t="shared" si="16"/>
        <v>20521.2734375</v>
      </c>
      <c r="G180" s="61" t="str">
        <f t="shared" si="17"/>
        <v/>
      </c>
      <c r="H180" s="75">
        <v>19984</v>
      </c>
      <c r="I180" s="75">
        <f t="shared" si="18"/>
        <v>537.2734375</v>
      </c>
      <c r="J180" s="72">
        <f t="shared" si="19"/>
        <v>2.6885180019015211E-2</v>
      </c>
      <c r="K180" s="63" t="s">
        <v>1026</v>
      </c>
      <c r="L180" s="124" t="s">
        <v>1027</v>
      </c>
      <c r="M180" s="116"/>
      <c r="N180" s="116"/>
      <c r="O180" s="116"/>
      <c r="P180" s="116"/>
      <c r="Q180" s="116"/>
      <c r="R180" s="116"/>
      <c r="S180" s="116"/>
      <c r="T180" s="116"/>
    </row>
    <row r="181" spans="1:20" ht="54" customHeight="1">
      <c r="A181" s="26" t="str">
        <v>Q205</v>
      </c>
      <c r="B181" s="27" t="str">
        <v>NY</v>
      </c>
      <c r="C181" s="27" t="str">
        <f>Sites[[#This Row],[SOL'#]]</f>
        <v>SOL-10922</v>
      </c>
      <c r="D181" s="74">
        <v>24109.1171875</v>
      </c>
      <c r="E181" s="14">
        <v>26692.9</v>
      </c>
      <c r="F181" s="14">
        <f t="shared" si="16"/>
        <v>-2583.7828125000015</v>
      </c>
      <c r="G181" s="76">
        <f t="shared" si="17"/>
        <v>-9.6796631782234271E-2</v>
      </c>
      <c r="H181" s="77">
        <v>23997</v>
      </c>
      <c r="I181" s="77">
        <f t="shared" si="18"/>
        <v>112.1171875</v>
      </c>
      <c r="J181" s="76">
        <f t="shared" si="19"/>
        <v>4.6721334958536483E-3</v>
      </c>
      <c r="K181" s="38" t="s">
        <v>1028</v>
      </c>
      <c r="L181" s="129" t="s">
        <v>1029</v>
      </c>
      <c r="M181" s="116"/>
      <c r="N181" s="116"/>
      <c r="O181" s="116"/>
      <c r="P181" s="116"/>
      <c r="Q181" s="116"/>
      <c r="R181" s="116"/>
      <c r="S181" s="116"/>
      <c r="T181" s="116"/>
    </row>
    <row r="182" spans="1:20" ht="158.25" customHeight="1">
      <c r="A182" s="24" t="str">
        <v>Q400</v>
      </c>
      <c r="B182" s="25" t="str">
        <v>NY</v>
      </c>
      <c r="C182" s="25" t="str">
        <f>Sites[[#This Row],[SOL'#]]</f>
        <v>SOL-10871</v>
      </c>
      <c r="D182" s="60">
        <v>27707.125</v>
      </c>
      <c r="E182" s="10" t="s">
        <v>777</v>
      </c>
      <c r="F182" s="10" t="str">
        <f t="shared" si="16"/>
        <v/>
      </c>
      <c r="G182" s="61" t="str">
        <f t="shared" si="17"/>
        <v/>
      </c>
      <c r="H182" s="75">
        <v>38017</v>
      </c>
      <c r="I182" s="75">
        <f t="shared" si="18"/>
        <v>-10309.875</v>
      </c>
      <c r="J182" s="72">
        <f t="shared" si="19"/>
        <v>-0.27119117763105977</v>
      </c>
      <c r="K182" s="63" t="s">
        <v>1030</v>
      </c>
      <c r="L182" s="124" t="s">
        <v>1031</v>
      </c>
      <c r="M182" s="115" t="s">
        <v>728</v>
      </c>
      <c r="N182" s="115" t="s">
        <v>729</v>
      </c>
      <c r="O182" s="115" t="s">
        <v>730</v>
      </c>
      <c r="P182" s="115" t="s">
        <v>1032</v>
      </c>
      <c r="Q182" s="115" t="s">
        <v>1033</v>
      </c>
      <c r="R182" s="116"/>
      <c r="S182" s="116"/>
      <c r="T182" s="116"/>
    </row>
    <row r="183" spans="1:20" ht="15.6">
      <c r="A183" s="26" t="str">
        <v>R003</v>
      </c>
      <c r="B183" s="27" t="str">
        <v>NY</v>
      </c>
      <c r="C183" s="27" t="str">
        <f>Sites[[#This Row],[SOL'#]]</f>
        <v>SOL-10416</v>
      </c>
      <c r="D183" s="74">
        <v>34622.038632812502</v>
      </c>
      <c r="E183" s="14" t="s">
        <v>777</v>
      </c>
      <c r="F183" s="14" t="str">
        <f t="shared" si="16"/>
        <v/>
      </c>
      <c r="G183" s="76" t="str">
        <f t="shared" si="17"/>
        <v/>
      </c>
      <c r="H183" s="77">
        <v>35285</v>
      </c>
      <c r="I183" s="77">
        <f t="shared" si="18"/>
        <v>-662.96136718749767</v>
      </c>
      <c r="J183" s="76">
        <f t="shared" si="19"/>
        <v>-1.8788759166430427E-2</v>
      </c>
      <c r="K183" s="38"/>
      <c r="L183" s="17"/>
      <c r="M183" s="116"/>
      <c r="N183" s="116"/>
      <c r="O183" s="116"/>
      <c r="P183" s="116"/>
      <c r="Q183" s="116"/>
      <c r="R183" s="116"/>
      <c r="S183" s="116"/>
      <c r="T183" s="116"/>
    </row>
    <row r="184" spans="1:20" ht="15.6">
      <c r="A184" s="24" t="str">
        <v>R007</v>
      </c>
      <c r="B184" s="25" t="str">
        <v>NY</v>
      </c>
      <c r="C184" s="25" t="str">
        <f>Sites[[#This Row],[SOL'#]]</f>
        <v>SOL-10417</v>
      </c>
      <c r="D184" s="60">
        <v>35700.671875</v>
      </c>
      <c r="E184" s="10" t="s">
        <v>777</v>
      </c>
      <c r="F184" s="10" t="str">
        <f t="shared" si="16"/>
        <v/>
      </c>
      <c r="G184" s="61" t="str">
        <f t="shared" si="17"/>
        <v/>
      </c>
      <c r="H184" s="75">
        <v>36329</v>
      </c>
      <c r="I184" s="75">
        <f t="shared" si="18"/>
        <v>-628.328125</v>
      </c>
      <c r="J184" s="72">
        <f t="shared" si="19"/>
        <v>-1.7295497398772331E-2</v>
      </c>
      <c r="K184" s="63"/>
      <c r="L184" s="37"/>
      <c r="M184" s="116"/>
      <c r="N184" s="116"/>
      <c r="O184" s="116"/>
      <c r="P184" s="116"/>
      <c r="Q184" s="116"/>
      <c r="R184" s="116"/>
      <c r="S184" s="116"/>
      <c r="T184" s="116"/>
    </row>
    <row r="185" spans="1:20" ht="28.9">
      <c r="A185" s="26" t="str">
        <v>BK16</v>
      </c>
      <c r="B185" s="27" t="str">
        <v>NY</v>
      </c>
      <c r="C185" s="27" t="str">
        <f>Sites[[#This Row],[SOL'#]]</f>
        <v>SOL-11093</v>
      </c>
      <c r="D185" s="74">
        <v>37304.8046875</v>
      </c>
      <c r="E185" s="14" t="s">
        <v>777</v>
      </c>
      <c r="F185" s="14" t="str">
        <f t="shared" si="16"/>
        <v/>
      </c>
      <c r="G185" s="76" t="str">
        <f t="shared" si="17"/>
        <v/>
      </c>
      <c r="H185" s="77">
        <v>37404</v>
      </c>
      <c r="I185" s="77">
        <f t="shared" si="18"/>
        <v>-99.1953125</v>
      </c>
      <c r="J185" s="76">
        <f t="shared" si="19"/>
        <v>-2.6519974467971341E-3</v>
      </c>
      <c r="K185" s="38" t="s">
        <v>1034</v>
      </c>
      <c r="L185" s="115" t="s">
        <v>1035</v>
      </c>
      <c r="M185" s="116"/>
      <c r="N185" s="116"/>
      <c r="O185" s="116"/>
      <c r="P185" s="116"/>
      <c r="Q185" s="116"/>
      <c r="R185" s="116"/>
      <c r="S185" s="116"/>
      <c r="T185" s="116"/>
    </row>
    <row r="186" spans="1:20" ht="179.25" customHeight="1">
      <c r="A186" s="24" t="str">
        <v>Trenton - Trenton East</v>
      </c>
      <c r="B186" s="25" t="str">
        <v>IL</v>
      </c>
      <c r="C186" s="25" t="str">
        <f>Sites[[#This Row],[SOL'#]]</f>
        <v>SOL-11060</v>
      </c>
      <c r="D186" s="60">
        <v>101250.499765288</v>
      </c>
      <c r="E186" s="10">
        <v>140508.70000000001</v>
      </c>
      <c r="F186" s="10">
        <f t="shared" si="16"/>
        <v>-39258.200234712014</v>
      </c>
      <c r="G186" s="61">
        <f t="shared" si="17"/>
        <v>-0.27940049430897879</v>
      </c>
      <c r="H186" s="75">
        <v>444673</v>
      </c>
      <c r="I186" s="75">
        <f t="shared" si="18"/>
        <v>-343422.50023471203</v>
      </c>
      <c r="J186" s="72">
        <f t="shared" si="19"/>
        <v>-0.77230346846944165</v>
      </c>
      <c r="K186" s="63" t="s">
        <v>1036</v>
      </c>
      <c r="L186" s="131" t="s">
        <v>1037</v>
      </c>
      <c r="M186" s="115" t="s">
        <v>1038</v>
      </c>
      <c r="N186" s="116"/>
      <c r="O186" s="116"/>
      <c r="P186" s="116"/>
      <c r="Q186" s="116"/>
      <c r="R186" s="116"/>
      <c r="S186" s="116"/>
      <c r="T186" s="116"/>
    </row>
    <row r="187" spans="1:20" ht="75.75" customHeight="1">
      <c r="A187" s="26" t="str">
        <v>Trenton - Trenton West</v>
      </c>
      <c r="B187" s="27" t="str">
        <v>IL</v>
      </c>
      <c r="C187" s="27" t="str">
        <f>Sites[[#This Row],[SOL'#]]</f>
        <v>SOL-11061</v>
      </c>
      <c r="D187" s="74">
        <v>14787</v>
      </c>
      <c r="E187" s="14">
        <v>48258.98</v>
      </c>
      <c r="F187" s="14">
        <f t="shared" si="16"/>
        <v>-33471.980000000003</v>
      </c>
      <c r="G187" s="76">
        <f t="shared" si="17"/>
        <v>-0.6935907058126799</v>
      </c>
      <c r="H187" s="77">
        <v>445728</v>
      </c>
      <c r="I187" s="77">
        <f t="shared" si="18"/>
        <v>-430941</v>
      </c>
      <c r="J187" s="76">
        <f t="shared" si="19"/>
        <v>-0.96682505922894679</v>
      </c>
      <c r="K187" s="56" t="s">
        <v>1039</v>
      </c>
      <c r="L187" s="129" t="s">
        <v>1040</v>
      </c>
      <c r="M187" s="115" t="s">
        <v>1041</v>
      </c>
      <c r="N187" s="116"/>
      <c r="O187" s="116"/>
      <c r="P187" s="116"/>
      <c r="Q187" s="116"/>
      <c r="R187" s="116"/>
      <c r="S187" s="116"/>
      <c r="T187" s="116"/>
    </row>
    <row r="188" spans="1:20" ht="15.6">
      <c r="A188" s="24" t="str">
        <v>Dakota - Dakota Solar 1</v>
      </c>
      <c r="B188" s="25" t="str">
        <v>IL</v>
      </c>
      <c r="C188" s="25" t="str">
        <f>Sites[[#This Row],[SOL'#]]</f>
        <v>SOL-11113</v>
      </c>
      <c r="D188" s="60">
        <v>404459</v>
      </c>
      <c r="E188" s="10">
        <v>493295.8</v>
      </c>
      <c r="F188" s="10">
        <f t="shared" si="16"/>
        <v>-88836.799999999988</v>
      </c>
      <c r="G188" s="61">
        <f t="shared" si="17"/>
        <v>-0.18008829590683723</v>
      </c>
      <c r="H188" s="148" t="s">
        <v>777</v>
      </c>
      <c r="I188" s="75" t="str">
        <f t="shared" si="18"/>
        <v/>
      </c>
      <c r="J188" s="72" t="str">
        <f t="shared" si="19"/>
        <v/>
      </c>
      <c r="K188" s="63" t="s">
        <v>1042</v>
      </c>
      <c r="L188" s="131" t="s">
        <v>1043</v>
      </c>
      <c r="M188" s="116"/>
      <c r="N188" s="116"/>
      <c r="O188" s="116"/>
      <c r="P188" s="116"/>
      <c r="Q188" s="116"/>
      <c r="R188" s="116"/>
      <c r="S188" s="116"/>
      <c r="T188" s="116"/>
    </row>
    <row r="189" spans="1:20" ht="43.15">
      <c r="A189" s="26" t="str">
        <v>X018</v>
      </c>
      <c r="B189" s="27" t="str">
        <v>NY</v>
      </c>
      <c r="C189" s="27" t="str">
        <f>Sites[[#This Row],[SOL'#]]</f>
        <v>SOL-10418</v>
      </c>
      <c r="D189" s="74">
        <v>10373.8268715019</v>
      </c>
      <c r="E189" s="14">
        <v>11138.39</v>
      </c>
      <c r="F189" s="14">
        <f t="shared" si="16"/>
        <v>-764.5631284980991</v>
      </c>
      <c r="G189" s="76">
        <f t="shared" si="17"/>
        <v>-6.8642158202226633E-2</v>
      </c>
      <c r="H189" s="77">
        <v>19186</v>
      </c>
      <c r="I189" s="77">
        <f t="shared" si="18"/>
        <v>-8812.1731284980997</v>
      </c>
      <c r="J189" s="76">
        <f t="shared" si="19"/>
        <v>-0.45930225833931509</v>
      </c>
      <c r="K189" s="38" t="s">
        <v>1044</v>
      </c>
      <c r="L189" s="139" t="s">
        <v>1045</v>
      </c>
      <c r="M189" s="115" t="s">
        <v>1046</v>
      </c>
      <c r="N189" s="115" t="s">
        <v>1047</v>
      </c>
      <c r="O189" s="116"/>
      <c r="P189" s="116"/>
      <c r="Q189" s="116"/>
      <c r="R189" s="116"/>
      <c r="S189" s="116"/>
      <c r="T189" s="116"/>
    </row>
    <row r="190" spans="1:20" ht="28.9">
      <c r="A190" s="24" t="str">
        <v>Janiak Solar</v>
      </c>
      <c r="B190" s="25" t="str">
        <v>NY</v>
      </c>
      <c r="C190" s="25" t="str">
        <f>Sites[[#This Row],[SOL'#]]</f>
        <v>SOL-10898</v>
      </c>
      <c r="D190" s="60">
        <v>322430</v>
      </c>
      <c r="E190" s="10">
        <v>338915.4</v>
      </c>
      <c r="F190" s="10">
        <f t="shared" si="16"/>
        <v>-16485.400000000023</v>
      </c>
      <c r="G190" s="61">
        <f t="shared" si="17"/>
        <v>-4.8641637411578294E-2</v>
      </c>
      <c r="H190" s="75">
        <v>362726</v>
      </c>
      <c r="I190" s="75">
        <f t="shared" si="18"/>
        <v>-40296</v>
      </c>
      <c r="J190" s="72">
        <f t="shared" si="19"/>
        <v>-0.11109211912021746</v>
      </c>
      <c r="K190" s="63" t="s">
        <v>1048</v>
      </c>
      <c r="L190" s="131" t="s">
        <v>1049</v>
      </c>
      <c r="M190" s="116"/>
      <c r="N190" s="116"/>
      <c r="O190" s="116"/>
      <c r="P190" s="116"/>
      <c r="Q190" s="116"/>
      <c r="R190" s="116"/>
      <c r="S190" s="116"/>
      <c r="T190" s="116"/>
    </row>
    <row r="191" spans="1:20" ht="231.75" customHeight="1">
      <c r="A191" s="26" t="str">
        <v>County Route 11B</v>
      </c>
      <c r="B191" s="27" t="str">
        <v>NY</v>
      </c>
      <c r="C191" s="27" t="str">
        <f>Sites[[#This Row],[SOL'#]]</f>
        <v>SOL-10983</v>
      </c>
      <c r="D191" s="74">
        <v>746347</v>
      </c>
      <c r="E191" s="14" t="s">
        <v>777</v>
      </c>
      <c r="F191" s="14" t="str">
        <f t="shared" si="16"/>
        <v/>
      </c>
      <c r="G191" s="76" t="str">
        <f t="shared" si="17"/>
        <v/>
      </c>
      <c r="H191" s="147" t="s">
        <v>777</v>
      </c>
      <c r="I191" s="77" t="str">
        <f t="shared" si="18"/>
        <v/>
      </c>
      <c r="J191" s="76" t="str">
        <f t="shared" si="19"/>
        <v/>
      </c>
      <c r="K191" s="38" t="s">
        <v>1050</v>
      </c>
      <c r="L191" s="114" t="s">
        <v>1051</v>
      </c>
      <c r="M191" s="115" t="s">
        <v>1052</v>
      </c>
      <c r="N191" s="115" t="s">
        <v>1053</v>
      </c>
      <c r="O191" s="116"/>
      <c r="P191" s="116"/>
      <c r="Q191" s="116"/>
      <c r="R191" s="116"/>
      <c r="S191" s="116"/>
      <c r="T191" s="116"/>
    </row>
    <row r="192" spans="1:20" ht="115.15">
      <c r="A192" s="24" t="str">
        <v>Barone</v>
      </c>
      <c r="B192" s="25" t="str">
        <v>NY</v>
      </c>
      <c r="C192" s="25" t="str">
        <f>Sites[[#This Row],[SOL'#]]</f>
        <v>SOL-11034</v>
      </c>
      <c r="D192" s="60">
        <v>580700</v>
      </c>
      <c r="E192" s="10" t="s">
        <v>777</v>
      </c>
      <c r="F192" s="10" t="str">
        <f t="shared" si="16"/>
        <v/>
      </c>
      <c r="G192" s="61" t="str">
        <f t="shared" si="17"/>
        <v/>
      </c>
      <c r="H192" s="75">
        <v>550368.69999999995</v>
      </c>
      <c r="I192" s="75">
        <f t="shared" si="18"/>
        <v>30331.300000000047</v>
      </c>
      <c r="J192" s="72">
        <f t="shared" si="19"/>
        <v>5.5110873856016977E-2</v>
      </c>
      <c r="K192" s="63" t="s">
        <v>1054</v>
      </c>
      <c r="L192" s="131" t="s">
        <v>1055</v>
      </c>
      <c r="M192" s="115" t="s">
        <v>754</v>
      </c>
      <c r="N192" s="115" t="s">
        <v>1056</v>
      </c>
      <c r="O192" s="116"/>
      <c r="P192" s="116"/>
      <c r="Q192" s="116"/>
      <c r="R192" s="116"/>
      <c r="S192" s="116"/>
      <c r="T192" s="116"/>
    </row>
    <row r="193" spans="1:20" ht="15.6">
      <c r="A193" s="26" t="str">
        <v>Cedarville</v>
      </c>
      <c r="B193" s="27" t="str">
        <v>IL</v>
      </c>
      <c r="C193" s="27" t="str">
        <f>Sites[[#This Row],[SOL'#]]</f>
        <v>SOL-11069</v>
      </c>
      <c r="D193" s="74">
        <v>374283</v>
      </c>
      <c r="E193" s="14">
        <v>381711.3</v>
      </c>
      <c r="F193" s="14">
        <f t="shared" si="16"/>
        <v>-7428.2999999999884</v>
      </c>
      <c r="G193" s="76">
        <f t="shared" si="17"/>
        <v>-1.9460518983849807E-2</v>
      </c>
      <c r="H193" s="77">
        <v>419207.7</v>
      </c>
      <c r="I193" s="77">
        <f t="shared" si="18"/>
        <v>-44924.700000000012</v>
      </c>
      <c r="J193" s="76">
        <f t="shared" si="19"/>
        <v>-0.10716573192715689</v>
      </c>
      <c r="K193" s="38"/>
      <c r="L193" s="17"/>
      <c r="M193" s="116"/>
      <c r="N193" s="116"/>
      <c r="O193" s="116"/>
      <c r="P193" s="116"/>
      <c r="Q193" s="116"/>
      <c r="R193" s="116"/>
      <c r="S193" s="116"/>
      <c r="T193" s="116"/>
    </row>
    <row r="194" spans="1:20" ht="28.9">
      <c r="A194" s="24" t="str">
        <v xml:space="preserve"> O'Brien Hill #1</v>
      </c>
      <c r="B194" s="25" t="str">
        <v>NY</v>
      </c>
      <c r="C194" s="25" t="str">
        <f>Sites[[#This Row],[SOL'#]]</f>
        <v>SOL-11098</v>
      </c>
      <c r="D194" s="60">
        <v>68017</v>
      </c>
      <c r="E194" s="10" t="s">
        <v>777</v>
      </c>
      <c r="F194" s="10" t="str">
        <f t="shared" si="16"/>
        <v/>
      </c>
      <c r="G194" s="61" t="str">
        <f t="shared" si="17"/>
        <v/>
      </c>
      <c r="H194" s="145" t="s">
        <v>777</v>
      </c>
      <c r="I194" s="75" t="str">
        <f t="shared" si="18"/>
        <v/>
      </c>
      <c r="J194" s="72" t="str">
        <f t="shared" si="19"/>
        <v/>
      </c>
      <c r="K194" s="63" t="s">
        <v>1057</v>
      </c>
      <c r="L194" s="131" t="s">
        <v>1058</v>
      </c>
      <c r="M194" s="115" t="s">
        <v>1059</v>
      </c>
      <c r="N194" s="116"/>
      <c r="O194" s="116"/>
      <c r="P194" s="116"/>
      <c r="Q194" s="116"/>
      <c r="R194" s="116"/>
      <c r="S194" s="116"/>
      <c r="T194" s="116"/>
    </row>
    <row r="195" spans="1:20" ht="86.45">
      <c r="A195" s="26" t="str">
        <v xml:space="preserve"> O'Brien Hill #2</v>
      </c>
      <c r="B195" s="27" t="str">
        <v>NY</v>
      </c>
      <c r="C195" s="27" t="str">
        <f>Sites[[#This Row],[SOL'#]]</f>
        <v>SOL-11099</v>
      </c>
      <c r="D195" s="74">
        <v>682515.06</v>
      </c>
      <c r="E195" s="14" t="s">
        <v>777</v>
      </c>
      <c r="F195" s="14" t="str">
        <f t="shared" si="16"/>
        <v/>
      </c>
      <c r="G195" s="76" t="str">
        <f t="shared" si="17"/>
        <v/>
      </c>
      <c r="H195" s="146" t="s">
        <v>777</v>
      </c>
      <c r="I195" s="77" t="str">
        <f t="shared" si="18"/>
        <v/>
      </c>
      <c r="J195" s="76" t="str">
        <f t="shared" si="19"/>
        <v/>
      </c>
      <c r="K195" s="38" t="s">
        <v>1060</v>
      </c>
      <c r="L195" s="114" t="s">
        <v>1061</v>
      </c>
      <c r="M195" s="115" t="s">
        <v>1062</v>
      </c>
      <c r="N195" s="115" t="s">
        <v>1063</v>
      </c>
      <c r="O195" s="116"/>
      <c r="P195" s="116"/>
      <c r="Q195" s="116"/>
      <c r="R195" s="116"/>
      <c r="S195" s="116"/>
      <c r="T195" s="116"/>
    </row>
    <row r="196" spans="1:20" ht="43.15">
      <c r="A196" s="24" t="str">
        <v>Trinity - Freeport</v>
      </c>
      <c r="B196" s="25" t="str">
        <v>IL</v>
      </c>
      <c r="C196" s="25" t="str">
        <f>Sites[[#This Row],[SOL'#]]</f>
        <v>SOL-11057</v>
      </c>
      <c r="D196" s="60">
        <v>391942</v>
      </c>
      <c r="E196" s="10">
        <v>280122.09999999998</v>
      </c>
      <c r="F196" s="10">
        <f t="shared" si="16"/>
        <v>111819.90000000002</v>
      </c>
      <c r="G196" s="61">
        <f t="shared" si="17"/>
        <v>0.39918271353813223</v>
      </c>
      <c r="H196" s="145" t="s">
        <v>777</v>
      </c>
      <c r="I196" s="75" t="str">
        <f t="shared" si="18"/>
        <v/>
      </c>
      <c r="J196" s="72" t="str">
        <f t="shared" si="19"/>
        <v/>
      </c>
      <c r="K196" s="63" t="s">
        <v>1064</v>
      </c>
      <c r="L196" s="131" t="s">
        <v>1065</v>
      </c>
      <c r="M196" s="115" t="s">
        <v>1066</v>
      </c>
      <c r="N196" s="116"/>
      <c r="O196" s="116"/>
      <c r="P196" s="116"/>
      <c r="Q196" s="116"/>
      <c r="R196" s="116"/>
      <c r="S196" s="116"/>
      <c r="T196" s="116"/>
    </row>
    <row r="197" spans="1:20" ht="115.15">
      <c r="A197" s="26" t="str">
        <v>Ransom</v>
      </c>
      <c r="B197" s="27" t="str">
        <v>NY</v>
      </c>
      <c r="C197" s="27" t="str">
        <f>Sites[[#This Row],[SOL'#]]</f>
        <v>SOL-11157</v>
      </c>
      <c r="D197" s="74">
        <v>761571</v>
      </c>
      <c r="E197" s="14" t="s">
        <v>777</v>
      </c>
      <c r="F197" s="14" t="str">
        <f t="shared" si="16"/>
        <v/>
      </c>
      <c r="G197" s="76" t="str">
        <f t="shared" si="17"/>
        <v/>
      </c>
      <c r="H197" s="146" t="s">
        <v>777</v>
      </c>
      <c r="I197" s="77" t="str">
        <f t="shared" si="18"/>
        <v/>
      </c>
      <c r="J197" s="76" t="str">
        <f t="shared" si="19"/>
        <v/>
      </c>
      <c r="K197" s="38" t="s">
        <v>1067</v>
      </c>
      <c r="L197" s="139" t="s">
        <v>1068</v>
      </c>
      <c r="M197" s="115" t="s">
        <v>1069</v>
      </c>
      <c r="N197" s="115" t="s">
        <v>1070</v>
      </c>
      <c r="O197" s="115" t="s">
        <v>1071</v>
      </c>
      <c r="P197" s="116"/>
      <c r="Q197" s="116"/>
      <c r="R197" s="116"/>
      <c r="S197" s="116"/>
      <c r="T197" s="116"/>
    </row>
    <row r="198" spans="1:20" ht="28.9">
      <c r="A198" s="24" t="str">
        <v>Horseheads - Wedge</v>
      </c>
      <c r="B198" s="25" t="str">
        <v>NY</v>
      </c>
      <c r="C198" s="25" t="str">
        <f>Sites[[#This Row],[SOL'#]]</f>
        <v>SOL-11160</v>
      </c>
      <c r="D198" s="60">
        <v>504647</v>
      </c>
      <c r="E198" s="10" t="s">
        <v>777</v>
      </c>
      <c r="F198" s="10" t="str">
        <f t="shared" si="16"/>
        <v/>
      </c>
      <c r="G198" s="61" t="str">
        <f t="shared" si="17"/>
        <v/>
      </c>
      <c r="H198" s="145" t="s">
        <v>777</v>
      </c>
      <c r="I198" s="75" t="str">
        <f t="shared" si="18"/>
        <v/>
      </c>
      <c r="J198" s="72" t="str">
        <f t="shared" si="19"/>
        <v/>
      </c>
      <c r="K198" s="63" t="s">
        <v>1072</v>
      </c>
      <c r="L198" s="131" t="s">
        <v>1073</v>
      </c>
      <c r="M198" s="116"/>
      <c r="N198" s="116"/>
      <c r="O198" s="116"/>
      <c r="P198" s="116"/>
      <c r="Q198" s="116"/>
      <c r="R198" s="116"/>
      <c r="S198" s="116"/>
      <c r="T198" s="116"/>
    </row>
    <row r="199" spans="1:20" ht="115.15">
      <c r="A199" s="26" t="str">
        <v>Otisville - Shoddy Hollow</v>
      </c>
      <c r="B199" s="27" t="str">
        <v>NY</v>
      </c>
      <c r="C199" s="27" t="str">
        <f>Sites[[#This Row],[SOL'#]]</f>
        <v>SOL-11185</v>
      </c>
      <c r="D199" s="74">
        <v>883361.3</v>
      </c>
      <c r="E199" s="14" t="s">
        <v>777</v>
      </c>
      <c r="F199" s="14" t="str">
        <f t="shared" si="16"/>
        <v/>
      </c>
      <c r="G199" s="76" t="str">
        <f t="shared" si="17"/>
        <v/>
      </c>
      <c r="H199" s="146" t="s">
        <v>777</v>
      </c>
      <c r="I199" s="77" t="str">
        <f t="shared" si="18"/>
        <v/>
      </c>
      <c r="J199" s="76" t="str">
        <f t="shared" si="19"/>
        <v/>
      </c>
      <c r="K199" s="38" t="s">
        <v>1074</v>
      </c>
      <c r="L199" s="114" t="s">
        <v>1075</v>
      </c>
      <c r="M199" s="115" t="s">
        <v>1076</v>
      </c>
      <c r="N199" s="115" t="s">
        <v>1077</v>
      </c>
      <c r="O199" s="115" t="s">
        <v>1078</v>
      </c>
      <c r="P199" s="116"/>
      <c r="Q199" s="116"/>
      <c r="R199" s="116"/>
      <c r="S199" s="116"/>
      <c r="T199" s="116"/>
    </row>
    <row r="200" spans="1:20" ht="142.5" customHeight="1">
      <c r="A200" s="24" t="str">
        <v>Wellsville - Chenunda Creek</v>
      </c>
      <c r="B200" s="25" t="str">
        <v>NY</v>
      </c>
      <c r="C200" s="25" t="str">
        <f>Sites[[#This Row],[SOL'#]]</f>
        <v>SOL-11187</v>
      </c>
      <c r="D200" s="60">
        <v>424764.9</v>
      </c>
      <c r="E200" s="10" t="s">
        <v>777</v>
      </c>
      <c r="F200" s="10" t="str">
        <f t="shared" si="16"/>
        <v/>
      </c>
      <c r="G200" s="61" t="str">
        <f t="shared" si="17"/>
        <v/>
      </c>
      <c r="H200" s="145" t="s">
        <v>777</v>
      </c>
      <c r="I200" s="75" t="str">
        <f t="shared" si="18"/>
        <v/>
      </c>
      <c r="J200" s="72" t="str">
        <f t="shared" si="19"/>
        <v/>
      </c>
      <c r="K200" s="63" t="s">
        <v>1079</v>
      </c>
      <c r="L200" s="113" t="s">
        <v>1080</v>
      </c>
      <c r="M200" s="115" t="s">
        <v>1081</v>
      </c>
      <c r="N200" s="115" t="s">
        <v>1082</v>
      </c>
      <c r="O200" s="115" t="s">
        <v>1083</v>
      </c>
      <c r="P200" s="115" t="s">
        <v>1084</v>
      </c>
      <c r="Q200" s="116"/>
      <c r="R200" s="116"/>
      <c r="S200" s="116"/>
      <c r="T200" s="116"/>
    </row>
    <row r="201" spans="1:20" ht="14.45">
      <c r="I201" s="77" t="str">
        <f t="shared" si="18"/>
        <v/>
      </c>
    </row>
    <row r="203" spans="1:20">
      <c r="J203" s="144"/>
    </row>
  </sheetData>
  <mergeCells count="4">
    <mergeCell ref="H1:J1"/>
    <mergeCell ref="A1:D1"/>
    <mergeCell ref="E1:G1"/>
    <mergeCell ref="A2:B2"/>
  </mergeCells>
  <phoneticPr fontId="40" type="noConversion"/>
  <conditionalFormatting sqref="G2 J2">
    <cfRule type="cellIs" dxfId="44" priority="27" stopIfTrue="1" operator="lessThanOrEqual">
      <formula>-0.1</formula>
    </cfRule>
    <cfRule type="expression" dxfId="43" priority="28">
      <formula>AND(ISNUMBER(G2), G2&gt;=0.1)</formula>
    </cfRule>
  </conditionalFormatting>
  <conditionalFormatting sqref="G4:G200 J4:J200">
    <cfRule type="cellIs" dxfId="42" priority="1" stopIfTrue="1" operator="lessThanOrEqual">
      <formula>-0.1</formula>
    </cfRule>
    <cfRule type="expression" dxfId="41" priority="2">
      <formula>AND(ISNUMBER(G4), G4&gt;=0.1)</formula>
    </cfRule>
  </conditionalFormatting>
  <hyperlinks>
    <hyperlink ref="L128" r:id="rId1" display="https://us3.assetplanner.com/service_request?ID=095305" xr:uid="{70C7F044-6B0A-47A0-8B69-B362BE6F9C96}"/>
    <hyperlink ref="L5" r:id="rId2" display="https://us3.assetplanner.com/service_request?ID=101016" xr:uid="{1379B937-7A5A-4CEF-9537-5EA96134F1B4}"/>
    <hyperlink ref="L6" r:id="rId3" display="https://us3.assetplanner.com/service_request?ID=100109" xr:uid="{956A3147-5CA1-4A39-A878-3DC3E15F353B}"/>
    <hyperlink ref="L7" r:id="rId4" display="https://us3.assetplanner.com/service_request?ID=099958" xr:uid="{60792D75-0CF1-43DA-9415-830DCA8A6F69}"/>
    <hyperlink ref="L8" r:id="rId5" display="https://us3.assetplanner.com/service_request?ID=099825" xr:uid="{FDE32B0F-95D1-42C5-AAC2-09F2C00BD685}"/>
    <hyperlink ref="L11" r:id="rId6" display="https://us3.assetplanner.com/service_request?ID=099666" xr:uid="{F60266EE-4D2F-4CBA-A6EB-3EB4090BCE10}"/>
    <hyperlink ref="L12" r:id="rId7" display="https://us3.assetplanner.com/service_request?ID=098310" xr:uid="{EA376E36-0881-48C3-9A9D-A97B16E7BC1A}"/>
    <hyperlink ref="M12" r:id="rId8" display="https://us3.assetplanner.com/service_request?ID=099126" xr:uid="{11A9318E-C42D-44D8-A332-13E1D439DABD}"/>
    <hyperlink ref="N12" r:id="rId9" display="https://us3.assetplanner.com/service_request?ID=099310" xr:uid="{9FD2065A-C50F-4C32-BED8-48B17C1ABF60}"/>
    <hyperlink ref="L14" r:id="rId10" display="https://us3.assetplanner.com/service_request?ID=092556" xr:uid="{AD21BC2B-EDE7-4006-A12D-23A2EE1D4AB6}"/>
    <hyperlink ref="L15" r:id="rId11" display="https://us3.assetplanner.com/service_request?ID=098780" xr:uid="{75BB70DD-4C4A-4969-9FB0-7B3D971FAB92}"/>
    <hyperlink ref="M15" r:id="rId12" display="https://us3.assetplanner.com/service_request?ID=100160" xr:uid="{A6D982C4-01A8-4158-B6A2-9BDE45136BE5}"/>
    <hyperlink ref="L16" r:id="rId13" display="https://us3.assetplanner.com/service_request?ID=093028" xr:uid="{75E69E77-D848-463A-B08E-9F54E2083B12}"/>
    <hyperlink ref="L19" r:id="rId14" display="https://us3.assetplanner.com/service_request?ID=093047" xr:uid="{9061523F-60BC-4459-B2A6-F1ADBF1728B2}"/>
    <hyperlink ref="L24" r:id="rId15" display="https://us3.assetplanner.com/service_request?ID=097569" xr:uid="{F3E783CD-8643-4C8A-81F4-AF9B082581BF}"/>
    <hyperlink ref="L25" r:id="rId16" display="https://us3.assetplanner.com/service_request?ID=093291" xr:uid="{D86BFBEE-421C-4A19-966E-D92491F0BF84}"/>
    <hyperlink ref="L29" r:id="rId17" display="https://us3.assetplanner.com/service_request?ID=093633" xr:uid="{2FC2CDBB-B433-4F35-8DC0-93B03D41B538}"/>
    <hyperlink ref="L31" r:id="rId18" display="https://us3.assetplanner.com/service_request?ID=086842" xr:uid="{4172F9A0-AC58-4CF8-805A-E48FB69B4E4B}"/>
    <hyperlink ref="M31" r:id="rId19" display="https://us3.assetplanner.com/service_request?ID=093294" xr:uid="{55B06B14-510E-4BA7-8646-127DE1ACBB48}"/>
    <hyperlink ref="N31" r:id="rId20" display="https://us3.assetplanner.com/service_request?ID=098958" xr:uid="{20BB5227-157F-4542-83B1-D0E5CA9301E3}"/>
    <hyperlink ref="L33" r:id="rId21" display="https://us3.assetplanner.com/service_request?ID=099824" xr:uid="{14E6F634-CFE4-464E-8496-DFD277FE17E1}"/>
    <hyperlink ref="L37" r:id="rId22" display="https://us3.assetplanner.com/service_request?ID=099648" xr:uid="{43A3DA8D-B88D-45BE-BFC8-D391137FF3CE}"/>
    <hyperlink ref="M37" r:id="rId23" display="https://us3.assetplanner.com/service_request?ID=093196" xr:uid="{C184CC67-9051-4406-A2E8-B9FE4BC1666D}"/>
    <hyperlink ref="N37" r:id="rId24" display="https://us3.assetplanner.com/service_request?ID=100035" xr:uid="{99348D60-D8DD-4075-8655-6C6A6176E836}"/>
    <hyperlink ref="L38" r:id="rId25" display="https://us3.assetplanner.com/service_request?ID=100481" xr:uid="{902A51F9-6847-4F5A-93AA-044F38FC6DEB}"/>
    <hyperlink ref="L40" r:id="rId26" display="https://us3.assetplanner.com/service_request?ID=093306" xr:uid="{91AB0306-FFD8-4804-8DD7-D4F3E7A37042}"/>
    <hyperlink ref="L43" r:id="rId27" display="https://us3.assetplanner.com/service_request?ID=099539" xr:uid="{124E2583-D4B7-420B-922B-D8D4345A318F}"/>
    <hyperlink ref="M43" r:id="rId28" display="https://us3.assetplanner.com/service_request?ID=099754" xr:uid="{91B0E2B4-3541-4E47-BE2E-B90045B8CE50}"/>
    <hyperlink ref="N43" r:id="rId29" display="https://us3.assetplanner.com/service_request?ID=099858" xr:uid="{01D88EF7-395B-4E9C-9195-06F59B221A91}"/>
    <hyperlink ref="O43" r:id="rId30" display="https://us3.assetplanner.com/service_request?ID=100476" xr:uid="{28852FC7-B1CF-483B-8CCD-44F9BF063A8E}"/>
    <hyperlink ref="L44" r:id="rId31" display="https://us3.assetplanner.com/service_request?ID=093236" xr:uid="{0CC2B401-5BB3-47DA-B71D-09D2F683B3A5}"/>
    <hyperlink ref="L45" r:id="rId32" display="https://us3.assetplanner.com/service_request?ID=098981" xr:uid="{DF9F661F-C504-4463-8D6F-621A36E36354}"/>
    <hyperlink ref="L52" r:id="rId33" display="https://us3.assetplanner.com/service_request?ID=098365" xr:uid="{C2D503CA-33A9-479B-904F-6256BDE55C65}"/>
    <hyperlink ref="M52" r:id="rId34" display="https://us3.assetplanner.com/service_request?ID=100362" xr:uid="{6B0267DF-2404-425F-B810-0E2176B07FB2}"/>
    <hyperlink ref="N52" r:id="rId35" display="https://us3.assetplanner.com/service_request?ID=100496" xr:uid="{55413C01-54E9-4DFD-BD97-0ACB4D604485}"/>
    <hyperlink ref="L55" r:id="rId36" display="https://us3.assetplanner.com/service_request?ID=088813" xr:uid="{24F8E499-D9D6-4391-86EA-DF6745D328C7}"/>
    <hyperlink ref="L57" r:id="rId37" display="https://us3.assetplanner.com/service_request?ID=093324" xr:uid="{19434BFC-ECD1-4947-B47C-A25F3AEC443D}"/>
    <hyperlink ref="L58" r:id="rId38" display="https://us3.assetplanner.com/service_request?ID=099970" xr:uid="{D30373A7-8701-40C0-ACFD-FFF4A8F08498}"/>
    <hyperlink ref="M58" r:id="rId39" display="https://us3.assetplanner.com/service_request?ID=099971" xr:uid="{F6BD3921-CF38-486F-A548-DBDBBBC9652E}"/>
    <hyperlink ref="N58" r:id="rId40" display="https://us3.assetplanner.com/service_request?ID=100732" xr:uid="{78DFC8A8-D8DD-4DB3-8F4F-B9B5670C4512}"/>
    <hyperlink ref="L59" r:id="rId41" display="https://us3.assetplanner.com/service_request?ID=099139" xr:uid="{A822A241-A56D-4140-B810-8EBC6F22DC8D}"/>
    <hyperlink ref="M59" r:id="rId42" display="https://us3.assetplanner.com/service_request?ID=099856" xr:uid="{9905989B-6AF2-4C98-9F32-E5763317DFAA}"/>
    <hyperlink ref="L60" r:id="rId43" display="https://us3.assetplanner.com/service_request?ID=093326" xr:uid="{B7F06D2F-7D94-4FC8-944B-65118E0D59FA}"/>
    <hyperlink ref="L64" r:id="rId44" display="https://us3.assetplanner.com/service_request?ID=095662" xr:uid="{57D87857-B0F6-44BB-8619-25DD82082598}"/>
    <hyperlink ref="L69" r:id="rId45" display="https://us3.assetplanner.com/service_request?ID=100434" xr:uid="{E01CFEFF-645D-4601-A097-F40B79F4686E}"/>
    <hyperlink ref="L71" r:id="rId46" display="https://us3.assetplanner.com/service_request?ID=098313" xr:uid="{63AD18B4-661D-4F75-979B-9DC3EA789644}"/>
    <hyperlink ref="L73" r:id="rId47" display="https://us3.assetplanner.com/service_request?ID=099293" xr:uid="{349E0FFE-F9A6-444A-BAAD-C9D1CFCC9109}"/>
    <hyperlink ref="M73" r:id="rId48" display="https://us3.assetplanner.com/service_request?ID=100141" xr:uid="{14651FBA-A8F9-4018-81AD-6D815C998F08}"/>
    <hyperlink ref="L74" r:id="rId49" display="https://us3.assetplanner.com/service_request?ID=098987" xr:uid="{F0C3EFEA-98B6-498C-AE33-E3096877DECE}"/>
    <hyperlink ref="L75" r:id="rId50" display="https://us3.assetplanner.com/service_request?ID=098641" xr:uid="{3F008801-2B7C-4ADD-94E0-08B13B19EA96}"/>
    <hyperlink ref="L76" r:id="rId51" display="https://us3.assetplanner.com/service_request?ID=098640" xr:uid="{12BB85CD-9CA5-434F-8202-57BFBD1B1866}"/>
    <hyperlink ref="M76" r:id="rId52" display="https://us3.assetplanner.com/service_request?ID=099427" xr:uid="{B6BC8998-AC2D-48EF-B553-1543C4E91DED}"/>
    <hyperlink ref="N76" r:id="rId53" display="https://us3.assetplanner.com/service_request?ID=100447" xr:uid="{D330DFB7-914E-4784-806E-FBBB0500FF53}"/>
    <hyperlink ref="O76" r:id="rId54" display="https://us3.assetplanner.com/service_request?ID=100604" xr:uid="{473C165E-634C-4327-A7BB-3646B6BBF670}"/>
    <hyperlink ref="L78" r:id="rId55" display="https://us3.assetplanner.com/service_request?ID=099149" xr:uid="{3B23A56C-A18B-4272-A3F0-F43739CAC205}"/>
    <hyperlink ref="M78" r:id="rId56" display="https://us3.assetplanner.com/service_request?ID=099576" xr:uid="{0F625489-5B5A-4840-83A8-BCB3347395F0}"/>
    <hyperlink ref="N78" r:id="rId57" display="https://us3.assetplanner.com/service_request?ID=100361" xr:uid="{336ABFEF-78D8-4D90-AA9B-15DD6F4B76E8}"/>
    <hyperlink ref="O78" r:id="rId58" display="https://us3.assetplanner.com/service_request?ID=100623" xr:uid="{9A4E2AB6-1231-4B50-8CB6-29AC7A1419FC}"/>
    <hyperlink ref="L79" r:id="rId59" display="https://us3.assetplanner.com/service_request?ID=093972" xr:uid="{A5102B23-B7AB-4F6C-A470-7B28BE916FCB}"/>
    <hyperlink ref="M79" r:id="rId60" display="https://us3.assetplanner.com/service_request?ID=098708" xr:uid="{22EA9E2A-9371-48FA-8C0C-FDF26BFBC576}"/>
    <hyperlink ref="N79" r:id="rId61" display="https://us3.assetplanner.com/service_request?ID=100079" xr:uid="{5497F2FC-A493-4CDA-9C03-57C037D4489D}"/>
    <hyperlink ref="L80" r:id="rId62" display="https://us3.assetplanner.com/service_request?ID=099403" xr:uid="{2B6EA298-A06A-459B-8198-CF0F51218750}"/>
    <hyperlink ref="L83" r:id="rId63" display="https://us3.assetplanner.com/service_request?ID=100629" xr:uid="{C593A282-F8E0-46BD-AE18-BA991BCB5402}"/>
    <hyperlink ref="M83" r:id="rId64" display="https://us3.assetplanner.com/service_request?ID=093024" xr:uid="{3FEAFA0F-EFE3-46A1-BC8B-8B11831621E8}"/>
    <hyperlink ref="L85" r:id="rId65" display="https://us3.assetplanner.com/service_request?ID=098866" xr:uid="{2C2ED7D3-A6F5-4E91-A877-621322592909}"/>
    <hyperlink ref="L86" r:id="rId66" display="https://us3.assetplanner.com/service_request?ID=098998" xr:uid="{BD72E62D-7B09-418C-828C-10FBCAEDB496}"/>
    <hyperlink ref="L87" r:id="rId67" display="https://us3.assetplanner.com/service_request?ID=099911" xr:uid="{2D26C8E8-704D-4ED1-85D4-9E3E5809C0E4}"/>
    <hyperlink ref="L88" r:id="rId68" display="https://us3.assetplanner.com/service_request?ID=092964" xr:uid="{F5B9FCFB-EA59-4087-96C6-1A72ACC5C855}"/>
    <hyperlink ref="M88" r:id="rId69" display="https://us3.assetplanner.com/service_request?ID=097603" xr:uid="{530F8D1C-685D-4350-B526-220FD4184495}"/>
    <hyperlink ref="N88" r:id="rId70" display="https://us3.assetplanner.com/service_request?ID=098877" xr:uid="{90841FA6-FD34-4D8F-AB82-0C69B28E0659}"/>
    <hyperlink ref="O88" r:id="rId71" display="https://us3.assetplanner.com/service_request?ID=099353" xr:uid="{06BE780A-4A2C-4D74-8568-1C7C3AB178B1}"/>
    <hyperlink ref="L89" r:id="rId72" display="https://us3.assetplanner.com/service_request?ID=099272" xr:uid="{611C7343-083B-4CE1-AF67-3D4C96476C54}"/>
    <hyperlink ref="M89" r:id="rId73" display="https://us3.assetplanner.com/service_request?ID=099864" xr:uid="{98297EF6-C944-43AC-B946-5840E9A82313}"/>
    <hyperlink ref="N89" r:id="rId74" display="https://us3.assetplanner.com/service_request?ID=099864" xr:uid="{E4CE6ED0-7DAB-4BC2-82D3-FE2FDAFAB82B}"/>
    <hyperlink ref="O89" r:id="rId75" display="https://us3.assetplanner.com/service_request?ID=100426" xr:uid="{541F4B48-3AB0-4B87-879E-0BC14E39F3CF}"/>
    <hyperlink ref="P89" r:id="rId76" display="https://us3.assetplanner.com/service_request?ID=099490" xr:uid="{373D6EE5-DDB8-4A2B-B087-3B04889C9A29}"/>
    <hyperlink ref="L90" r:id="rId77" display="https://us3.assetplanner.com/service_request?ID=099828" xr:uid="{EA8A9880-A645-4EB5-9679-771598DA0261}"/>
    <hyperlink ref="M90" r:id="rId78" display="https://us3.assetplanner.com/service_request?ID=100395" xr:uid="{E26352B4-6632-4647-99A6-D8355455A459}"/>
    <hyperlink ref="N90" r:id="rId79" display="https://us3.assetplanner.com/service_request?ID=100721" xr:uid="{39CFDB83-6357-448B-B43A-035D05ACE731}"/>
    <hyperlink ref="L91" r:id="rId80" display="https://us3.assetplanner.com/service_request?ID=099418" xr:uid="{92B74243-A7B4-4BD7-B316-03739A9B449D}"/>
    <hyperlink ref="M91" r:id="rId81" display="https://us3.assetplanner.com/service_request?ID=100197" xr:uid="{9D99C620-9E8E-4553-83CC-E68C7094EBB5}"/>
    <hyperlink ref="N91" r:id="rId82" display="https://us3.assetplanner.com/service_request?ID=098354" xr:uid="{C7B56D94-CA9B-4940-8579-7FD56322E714}"/>
    <hyperlink ref="O91" r:id="rId83" display="https://us3.assetplanner.com/service_request?ID=100037" xr:uid="{C0BF4D1E-E13B-4AA9-9B40-93B65C2ADB2E}"/>
    <hyperlink ref="P91" r:id="rId84" display="https://us3.assetplanner.com/service_request?ID=100198" xr:uid="{6FA1BEA3-A9E6-4D35-8000-487792D174CE}"/>
    <hyperlink ref="Q91" r:id="rId85" display="https://us3.assetplanner.com/service_request?ID=100038" xr:uid="{BD1EBA6F-0B1A-4457-8B85-7DF55D776231}"/>
    <hyperlink ref="R91" r:id="rId86" display="https://us3.assetplanner.com/service_request?ID=100212" xr:uid="{5E96BE9E-B711-424E-B58A-B7E15D03509F}"/>
    <hyperlink ref="S91" r:id="rId87" display="https://us3.assetplanner.com/service_request?ID=100544" xr:uid="{0B052219-6DEE-4612-BC9C-8E8DE7DDD189}"/>
    <hyperlink ref="T91" r:id="rId88" display="https://us3.assetplanner.com/service_request?ID=100674" xr:uid="{8B49C881-AC0A-48F1-8B60-C391BDD6B7EA}"/>
    <hyperlink ref="L92" r:id="rId89" display="https://us3.assetplanner.com/service_request?ID=099129" xr:uid="{321F4661-36F8-4532-8B9C-3035799E846E}"/>
    <hyperlink ref="M92" r:id="rId90" display="https://us3.assetplanner.com/service_request?ID=099351" xr:uid="{1B628970-FC17-479B-B034-43EF948AD6BE}"/>
    <hyperlink ref="N92" r:id="rId91" display="https://us3.assetplanner.com/service_request?ID=100013" xr:uid="{A5B10DA1-346A-43BC-9333-E4C8FA5C45FF}"/>
    <hyperlink ref="L94" r:id="rId92" display="https://us3.assetplanner.com/service_request?ID=099347" xr:uid="{E64C7F82-64BF-4E0D-B3E4-EF105CB57954}"/>
    <hyperlink ref="L95" r:id="rId93" display="https://us3.assetplanner.com/service_request?ID=099823" xr:uid="{C14D8413-4DD3-41EF-A6ED-ABF81F94EA2E}"/>
    <hyperlink ref="L99" r:id="rId94" display="https://us3.assetplanner.com/service_request?ID=100152" xr:uid="{75176DCA-B60B-4A84-96A4-77F9FF553D68}"/>
    <hyperlink ref="L100" r:id="rId95" display="https://us3.assetplanner.com/service_request?ID=098995" xr:uid="{E6DFBB8C-9E84-420A-84F8-52B20173881D}"/>
    <hyperlink ref="M100" r:id="rId96" display="https://us3.assetplanner.com/service_request?ID=100154" xr:uid="{AD9B4B84-4CD7-402E-A739-BB488955CFA3}"/>
    <hyperlink ref="L102" r:id="rId97" display="https://us3.assetplanner.com/service_request?ID=095109" xr:uid="{209D8E87-6FA3-47C1-AAAB-4090BC145DD9}"/>
    <hyperlink ref="M102" r:id="rId98" display="https://us3.assetplanner.com/service_request?ID=099284" xr:uid="{D8D31EBC-26F4-4CED-8339-D8DBDB509BE2}"/>
    <hyperlink ref="L103" r:id="rId99" display="https://us3.assetplanner.com/service_request?ID=100161" xr:uid="{9094F4E4-7ADA-4887-BE5E-A95EDD8AB5C0}"/>
    <hyperlink ref="L104" r:id="rId100" display="https://us3.assetplanner.com/service_request?ID=100162" xr:uid="{5C5E8E91-FB36-4F3B-9325-A000F29412CB}"/>
    <hyperlink ref="L108" r:id="rId101" display="https://us3.assetplanner.com/service_request?ID=099690" xr:uid="{0F60545E-CEF6-4F7F-87C9-0D243A39C386}"/>
    <hyperlink ref="L110" r:id="rId102" display="https://us3.assetplanner.com/service_request?ID=099687" xr:uid="{6D5C1D45-224E-4940-8F2F-AEFB2A9308DA}"/>
    <hyperlink ref="M110" r:id="rId103" display="https://us3.assetplanner.com/service_request?ID=100044" xr:uid="{17D806EE-E019-4292-B32F-44C5630F2A69}"/>
    <hyperlink ref="L111" r:id="rId104" display="https://us3.assetplanner.com/service_request?ID=099146" xr:uid="{A7280CAB-EE64-47EA-B496-73EBE632C567}"/>
    <hyperlink ref="M111" r:id="rId105" display="https://us3.assetplanner.com/service_request?ID=099726" xr:uid="{E3FD381C-4C7E-4B4A-9FCC-9EDCC878DD28}"/>
    <hyperlink ref="N111" r:id="rId106" display="https://us3.assetplanner.com/service_request?ID=100241" xr:uid="{DF4075F7-58CF-46CB-871F-BEFDCE24A46C}"/>
    <hyperlink ref="L112" r:id="rId107" display="https://us3.assetplanner.com/service_request?ID=095073" xr:uid="{F81FE624-9548-436F-AF6A-B4C3F110C7C3}"/>
    <hyperlink ref="L113" r:id="rId108" display="https://us3.assetplanner.com/service_request?ID=099072" xr:uid="{32F0258D-FAB8-4F22-B6B1-25BA9A09940E}"/>
    <hyperlink ref="L118" r:id="rId109" display="https://us3.assetplanner.com/service_request?ID=099343" xr:uid="{7EB0AE56-B423-4557-8EC3-FE0AC532E51C}"/>
    <hyperlink ref="L119" r:id="rId110" display="https://us3.assetplanner.com/service_request?ID=091182" xr:uid="{32484B1E-6C48-4AA5-AC84-7316E475B706}"/>
    <hyperlink ref="L121" r:id="rId111" display="https://us3.assetplanner.com/service_request?ID=095581" xr:uid="{D7D2B59B-0A3F-409A-AE36-5D1AACD19CF3}"/>
    <hyperlink ref="M121" r:id="rId112" display="https://us3.assetplanner.com/service_request?ID=100622" xr:uid="{483D2AED-C5C3-4484-A077-AF54F827A423}"/>
    <hyperlink ref="N121" r:id="rId113" display="https://us3.assetplanner.com/service_request?ID=099162" xr:uid="{B4B70208-3948-4090-A3DC-E12DECFBEB2A}"/>
    <hyperlink ref="O121" r:id="rId114" display="https://us3.assetplanner.com/service_request?ID=100771" xr:uid="{1ACCD94F-53C6-4AA2-A3D5-F52C6D253F8C}"/>
    <hyperlink ref="L125" r:id="rId115" display="https://us3.assetplanner.com/service_request?ID=093354" xr:uid="{20713EEA-DB21-4732-9A10-CB83BD44135A}"/>
    <hyperlink ref="M125" r:id="rId116" display="https://us3.assetplanner.com/service_request?ID=099268" xr:uid="{8827FEDF-2C6C-4735-B641-57F941A64BA9}"/>
    <hyperlink ref="N125" r:id="rId117" display="https://us3.assetplanner.com/service_request?ID=099697" xr:uid="{AD081879-2598-464B-AA35-DC9919F463DE}"/>
    <hyperlink ref="O125" r:id="rId118" display="https://us3.assetplanner.com/service_request?ID=100139" xr:uid="{0407BCB5-D4D2-452D-9D3A-9ECC3682FE08}"/>
    <hyperlink ref="P125" r:id="rId119" display="https://us3.assetplanner.com/service_request?ID=100110" xr:uid="{8DA9D796-C472-4BBF-9970-00A9CC0438D2}"/>
    <hyperlink ref="L126" r:id="rId120" display="https://us3.assetplanner.com/service_request?ID=099312" xr:uid="{82BEE766-8F7F-4ACA-943A-B4B76A4DA28A}"/>
    <hyperlink ref="M126" r:id="rId121" display="https://us3.assetplanner.com/service_request?ID=092332" xr:uid="{482B9386-0677-4D80-8702-8F1E8E373DE7}"/>
    <hyperlink ref="N126" r:id="rId122" display="https://us3.assetplanner.com/service_request?ID=095649" xr:uid="{2F51E957-B611-48E4-B468-C7DFE1D8C6E6}"/>
    <hyperlink ref="O126" r:id="rId123" display="https://us3.assetplanner.com/service_request?ID=098883" xr:uid="{ABAD59C8-F516-4050-853A-16E0006F7388}"/>
    <hyperlink ref="P126" r:id="rId124" display="https://us3.assetplanner.com/service_request?ID=098311" xr:uid="{DC8C7077-F596-49D9-A8B2-E8372EED7F41}"/>
    <hyperlink ref="Q126" r:id="rId125" display="https://us3.assetplanner.com/service_request?ID=099895" xr:uid="{6DA2066C-9631-482A-A1A9-D7EFAD9622A8}"/>
    <hyperlink ref="R126" r:id="rId126" display="https://us3.assetplanner.com/service_request?ID=100464" xr:uid="{69358D56-EF7C-420A-9DCD-105D3BA6D550}"/>
    <hyperlink ref="S126" r:id="rId127" display="https://us3.assetplanner.com/service_request?ID=100627" xr:uid="{3982F784-127D-4259-8630-53470B1457B6}"/>
    <hyperlink ref="L127" r:id="rId128" display="https://us3.assetplanner.com/service_request?ID=088869" xr:uid="{CFB48612-A056-436C-9717-5B2D4C296100}"/>
    <hyperlink ref="M127" r:id="rId129" display="https://us3.assetplanner.com/service_request?ID=092209" xr:uid="{3858517A-E819-433F-9F7A-D4D1D9EDCF7E}"/>
    <hyperlink ref="N127" r:id="rId130" display="https://us3.assetplanner.com/service_request?ID=092095" xr:uid="{16990FAD-CC91-41E5-91F1-427927B9F653}"/>
    <hyperlink ref="O127" r:id="rId131" display="https://us3.assetplanner.com/service_request?ID=092255" xr:uid="{B0D61E13-FD76-49F9-88A2-DA80CC8ED7C7}"/>
    <hyperlink ref="P127" r:id="rId132" display="https://us3.assetplanner.com/service_request?ID=092751" xr:uid="{2FD3C6BD-8ED8-44B1-A6DF-5DAA777D2211}"/>
    <hyperlink ref="Q127" r:id="rId133" display="https://us3.assetplanner.com/service_request?ID=099423" xr:uid="{068902EF-04CB-469E-A312-07170BF89C95}"/>
    <hyperlink ref="R127" r:id="rId134" display="https://us3.assetplanner.com/service_request?ID=099894" xr:uid="{A8466BF6-8839-46E0-901C-8C554D8D01F8}"/>
    <hyperlink ref="S127" r:id="rId135" display="https://us3.assetplanner.com/service_request?ID=100458" xr:uid="{55AE757A-FDB6-4A45-A51C-76D69CDFC66E}"/>
    <hyperlink ref="T127" r:id="rId136" display="https://us3.assetplanner.com/service_request?ID=095850" xr:uid="{8B6B1B5E-FE8D-421C-96CE-94669DB79E47}"/>
    <hyperlink ref="L129" r:id="rId137" display="https://us3.assetplanner.com/service_request?ID=099476" xr:uid="{6CD9850C-E3BD-49C6-8AA9-9A07251F6FB2}"/>
    <hyperlink ref="M129" r:id="rId138" display="https://us3.assetplanner.com/service_request?ID=099583" xr:uid="{ACD0769D-A555-4262-A05F-292D9B09D1B9}"/>
    <hyperlink ref="L135" r:id="rId139" display="https://us3.assetplanner.com/service_request?ID=095531" xr:uid="{8C0E1A0C-2BA4-43B1-A347-E019708F441B}"/>
    <hyperlink ref="L136" r:id="rId140" display="https://us3.assetplanner.com/service_request?ID=098776" xr:uid="{92A128AB-4B17-478F-831B-36BFD83EE374}"/>
    <hyperlink ref="L138" r:id="rId141" display="https://us3.assetplanner.com/service_request?ID=099656" xr:uid="{B1A01322-1B3C-4D30-B489-183CD614FEBD}"/>
    <hyperlink ref="M138" r:id="rId142" display="https://us3.assetplanner.com/service_request?ID=100042" xr:uid="{74607215-F22F-468E-B440-5E5D3F3C206E}"/>
    <hyperlink ref="N138" r:id="rId143" display="https://us3.assetplanner.com/service_request?ID=100303" xr:uid="{E9F7D589-E86E-41C1-9598-757F4D480163}"/>
    <hyperlink ref="O138" r:id="rId144" display="https://us3.assetplanner.com/service_request?ID=100429" xr:uid="{1F955E0D-A8D8-4069-805B-AFFC4D1BD7C6}"/>
    <hyperlink ref="L139" r:id="rId145" display="https://us3.assetplanner.com/service_request?ID=095821" xr:uid="{C37212A8-8150-4624-9FD6-D4A3BD092C48}"/>
    <hyperlink ref="M139" r:id="rId146" display="https://us3.assetplanner.com/service_request?ID=099986" xr:uid="{0C6B1BAD-DE94-4C2E-81C8-4D43C7624B91}"/>
    <hyperlink ref="N139" r:id="rId147" display="https://us3.assetplanner.com/service_request?ID=100055" xr:uid="{26041FFA-B56B-4BEA-AC75-EBD186606545}"/>
    <hyperlink ref="O139" r:id="rId148" display="https://us3.assetplanner.com/service_request?ID=100400" xr:uid="{E25BF6A3-3454-46BA-BF8B-EE5A7CAC0881}"/>
    <hyperlink ref="L140" r:id="rId149" display="https://us3.assetplanner.com/service_request?ID=099313" xr:uid="{BE0E3261-B37C-4B04-A73E-182ADB0E448A}"/>
    <hyperlink ref="L142" r:id="rId150" display="https://us3.assetplanner.com/service_request?ID=100032" xr:uid="{5D400542-4D34-4811-8888-5839E6F232C5}"/>
    <hyperlink ref="L143" r:id="rId151" display="https://us3.assetplanner.com/service_request?ID=098959" xr:uid="{75563EEC-B926-47FB-B2B5-4EF225AD8C89}"/>
    <hyperlink ref="M143" r:id="rId152" display="https://us3.assetplanner.com/service_request?ID=099387" xr:uid="{15674739-3758-432F-AC9B-EBF82F9FE46A}"/>
    <hyperlink ref="N143" r:id="rId153" display="https://us3.assetplanner.com/service_request?ID=099967" xr:uid="{14BE45AA-EB99-4970-A58C-4C70216E48A1}"/>
    <hyperlink ref="O143" r:id="rId154" display="https://us3.assetplanner.com/service_request?ID=100101" xr:uid="{FBA2E210-1423-40BA-AD4B-1A506DD05950}"/>
    <hyperlink ref="L145" r:id="rId155" display="https://us3.assetplanner.com/service_request?ID=098626" xr:uid="{04A78A98-F76F-45F5-8EC3-9A75961CAFDF}"/>
    <hyperlink ref="M145" r:id="rId156" display="https://us3.assetplanner.com/service_request?ID=098559" xr:uid="{0FF50144-7DEC-4C71-81FC-3BBC1690405D}"/>
    <hyperlink ref="N145" r:id="rId157" display="https://us3.assetplanner.com/service_request?ID=100034" xr:uid="{B4F95E99-CF81-4E04-AFCA-C43384C50028}"/>
    <hyperlink ref="O145" r:id="rId158" display="https://us3.assetplanner.com/service_request?ID=100067" xr:uid="{8FFECC86-335E-4C87-B389-8A47E8825458}"/>
    <hyperlink ref="P145" r:id="rId159" display="https://us3.assetplanner.com/service_request?ID=100448" xr:uid="{C9418C60-62D3-414E-BD5B-9B66A541F459}"/>
    <hyperlink ref="Q145" r:id="rId160" display="https://us3.assetplanner.com/service_request?ID=100460" xr:uid="{D6B72AF2-26DF-40C8-A7CF-9D4A35C7A234}"/>
    <hyperlink ref="L148" r:id="rId161" display="https://us3.assetplanner.com/service_request?ID=095624" xr:uid="{E65CFC77-BB1F-4857-89BB-3BE3BAE9E356}"/>
    <hyperlink ref="M148" r:id="rId162" display="https://us3.assetplanner.com/service_request?ID=097725" xr:uid="{A94F9111-F364-467C-A20F-DF8530F9D3EC}"/>
    <hyperlink ref="L149" r:id="rId163" display="https://us3.assetplanner.com/service_request?ID=099393" xr:uid="{A61AE232-9AA9-4844-BFA9-3F975DAE24B8}"/>
    <hyperlink ref="M149" r:id="rId164" display="https://us3.assetplanner.com/service_request?ID=099740" xr:uid="{E4D1CB77-DE9A-4F99-B753-B6A7FBFE520C}"/>
    <hyperlink ref="N149" r:id="rId165" display="https://us3.assetplanner.com/service_request?ID=100471" xr:uid="{BD020C8F-E4A4-4F64-8E94-0C23F1DD616D}"/>
    <hyperlink ref="L150" r:id="rId166" display="https://us3.assetplanner.com/service_request?ID=096042" xr:uid="{62627137-564B-415A-A049-F6AB4A875C03}"/>
    <hyperlink ref="M150" r:id="rId167" display="https://us3.assetplanner.com/service_request?ID=099324" xr:uid="{6BE4123A-4E2A-4C36-81FE-A5947D5DE242}"/>
    <hyperlink ref="N150" r:id="rId168" display="https://us3.assetplanner.com/service_request?ID=096042" xr:uid="{8FF7F881-4863-4468-B24E-2F70709FB2D8}"/>
    <hyperlink ref="O150" r:id="rId169" display="https://us3.assetplanner.com/service_request?ID=100652" xr:uid="{D6E38B93-A31F-45FC-A737-83EF9FB7701D}"/>
    <hyperlink ref="L151" r:id="rId170" display="https://us3.assetplanner.com/service_request?ID=096006" xr:uid="{FD535562-F752-4A7C-A7D8-70FE6637193B}"/>
    <hyperlink ref="L152" r:id="rId171" display="https://us3.assetplanner.com/service_request?ID=099916" xr:uid="{B97B63E6-3DD8-40C8-8DE5-779485DABD10}"/>
    <hyperlink ref="L153" r:id="rId172" display="https://us3.assetplanner.com/service_request?ID=098692" xr:uid="{5DC33C21-29A3-4471-98EC-4E6620F64367}"/>
    <hyperlink ref="L154" r:id="rId173" display="https://us3.assetplanner.com/service_request?ID=094820" xr:uid="{254EB793-9016-4E3B-8696-8F455CFCFCC8}"/>
    <hyperlink ref="M154" r:id="rId174" display="https://us3.assetplanner.com/service_request?ID=099686" xr:uid="{585567B9-20BD-439C-BFD1-8FA5796224C2}"/>
    <hyperlink ref="N154" r:id="rId175" display="https://us3.assetplanner.com/service_request?ID=099386" xr:uid="{3EBEED6D-2F26-4624-9299-A3CC7C2F422F}"/>
    <hyperlink ref="L155" r:id="rId176" display="https://us3.assetplanner.com/service_request?ID=099385" xr:uid="{FA30D866-CB76-46F8-B9A8-DDEBE83F4A24}"/>
    <hyperlink ref="M155" r:id="rId177" display="https://us3.assetplanner.com/service_request?ID=098860" xr:uid="{9680BC3C-A859-45FF-8C15-DC3A6D74D6AE}"/>
    <hyperlink ref="L156" r:id="rId178" display="https://us3.assetplanner.com/service_request?ID=099118" xr:uid="{67FD3F06-FC48-44B7-8837-BF18BB75CAFA}"/>
    <hyperlink ref="M156" r:id="rId179" display="https://us3.assetplanner.com/service_request?ID=097454" xr:uid="{919DC37B-6FFC-47E9-86DA-18BA116C8D21}"/>
    <hyperlink ref="N156" r:id="rId180" display="https://us3.assetplanner.com/service_request?ID=099466" xr:uid="{92273C85-54CF-490A-BF80-DC6098998753}"/>
    <hyperlink ref="L158" r:id="rId181" display="https://us3.assetplanner.com/service_request?ID=099345" xr:uid="{747AE10B-F46B-4A4A-A2F3-9B5C3CC9F5C6}"/>
    <hyperlink ref="M158" r:id="rId182" display="https://us3.assetplanner.com/service_request?ID=100252" xr:uid="{BB8E7BC5-79B6-40CD-9B52-2372D0A6BD1A}"/>
    <hyperlink ref="L161" r:id="rId183" display="https://us3.assetplanner.com/service_request?ID=099977" xr:uid="{2F7134AA-99EA-416C-9FD1-1AD900FD581A}"/>
    <hyperlink ref="L165" r:id="rId184" display="https://us3.assetplanner.com/service_request?ID=098724" xr:uid="{F0858129-E60A-4F7C-A349-1567EA14A8B6}"/>
    <hyperlink ref="M165" r:id="rId185" display="https://us3.assetplanner.com/service_request?ID=097637" xr:uid="{9A37CB3F-651F-4123-A4C6-FF91061E72AA}"/>
    <hyperlink ref="N165" r:id="rId186" display="https://us3.assetplanner.com/service_request?ID=098293" xr:uid="{E908ACD9-3B02-4D32-93D5-7CD450BFE378}"/>
    <hyperlink ref="O165" r:id="rId187" display="https://us3.assetplanner.com/service_request?ID=095945" xr:uid="{835BF1DD-6891-40EA-9B7F-B803E7205985}"/>
    <hyperlink ref="L170" r:id="rId188" display="https://us3.assetplanner.com/service_request?ID=095954" xr:uid="{D4408729-3F1A-4967-80F6-79C749E63521}"/>
    <hyperlink ref="L171" r:id="rId189" display="https://us3.assetplanner.com/service_request?ID=099930" xr:uid="{2AC7585B-E524-42DF-A6EE-03E4FFA8D454}"/>
    <hyperlink ref="L175" r:id="rId190" display="https://us3.assetplanner.com/service_request?ID=098235" xr:uid="{15C88D45-50B0-4663-96E5-8F6478DDD4E1}"/>
    <hyperlink ref="M175" r:id="rId191" display="https://us3.assetplanner.com/service_request?ID=099791" xr:uid="{20548D7A-71BD-4072-A46F-AA156638995A}"/>
    <hyperlink ref="N175" r:id="rId192" display="https://us3.assetplanner.com/service_request?ID=098264" xr:uid="{50681EA1-2F56-402F-9D02-B73BB597793B}"/>
    <hyperlink ref="O175" r:id="rId193" display="https://us3.assetplanner.com/service_request?ID=095956" xr:uid="{7896C8E4-A219-4057-BB88-EDED9117D16F}"/>
    <hyperlink ref="P175" r:id="rId194" display="https://us3.assetplanner.com/service_request?ID=099791" xr:uid="{A105354A-1DFF-4F70-B4B1-DF0EC645E27D}"/>
    <hyperlink ref="Q175" r:id="rId195" display="https://us3.assetplanner.com/service_request?ID=099792" xr:uid="{D44C3965-274A-4141-AA12-2E75E8171D2D}"/>
    <hyperlink ref="R175" r:id="rId196" display="https://us3.assetplanner.com/service_request?ID=099793" xr:uid="{88C9D38B-9C2E-407D-8F34-5D7D0885D127}"/>
    <hyperlink ref="L180" r:id="rId197" display="https://us3.assetplanner.com/service_request?ID=100524" xr:uid="{CBB0C521-2482-498F-B0A3-112DC129103C}"/>
    <hyperlink ref="L181" r:id="rId198" display="https://us3.assetplanner.com/service_request?ID=100036" xr:uid="{097C5940-A282-4974-A99C-CAF003D0860C}"/>
    <hyperlink ref="L182" r:id="rId199" display="https://us3.assetplanner.com/service_request?ID=095941" xr:uid="{22BB40D3-9465-4DAB-9894-6FE48A301C5B}"/>
    <hyperlink ref="M182" r:id="rId200" display="https://us3.assetplanner.com/service_request?ID=098413" xr:uid="{DE79A79C-097B-4AD8-8194-35B6B202F409}"/>
    <hyperlink ref="N182" r:id="rId201" display="https://us3.assetplanner.com/service_request?ID=098490" xr:uid="{7214392F-67DD-4489-A409-971E0F438A75}"/>
    <hyperlink ref="O182" r:id="rId202" display="https://us3.assetplanner.com/service_request?ID=099138" xr:uid="{294034E5-7CC3-46ED-BD9F-81D0D596EB8E}"/>
    <hyperlink ref="P182" r:id="rId203" display="https://us3.assetplanner.com/service_request?ID=099857" xr:uid="{D4CA26EA-35D0-4645-86A9-D72BC481B0D1}"/>
    <hyperlink ref="Q182" r:id="rId204" display="https://us3.assetplanner.com/service_request?ID=100587" xr:uid="{BFFB81B1-AA7E-4C57-B866-E2BB01AE993E}"/>
    <hyperlink ref="L185" r:id="rId205" display="https://us3.assetplanner.com/service_request?ID=097620" xr:uid="{D424D84D-BA92-454F-AD50-2EEE4E06A5DF}"/>
    <hyperlink ref="L186" r:id="rId206" display="https://us3.assetplanner.com/service_request?ID=098602" xr:uid="{346BFEA6-9B4F-4369-8781-7E3EA3A6746D}"/>
    <hyperlink ref="M186" r:id="rId207" display="https://us3.assetplanner.com/service_request?ID=100220" xr:uid="{F6E438F3-88AA-465B-A11C-033ED4F6D208}"/>
    <hyperlink ref="L187" r:id="rId208" display="https://us3.assetplanner.com/service_request?ID=098665" xr:uid="{C497EB78-19A6-4FFF-8598-3B8484861F96}"/>
    <hyperlink ref="M187" r:id="rId209" display="https://us3.assetplanner.com/service_request?ID=099161" xr:uid="{0222C982-F3F0-474B-8799-DD228DE497EB}"/>
    <hyperlink ref="L188" r:id="rId210" display="https://us3.assetplanner.com/service_request?ID=098315" xr:uid="{4BD98D55-F9D7-4CCE-B2D2-FEFB190CBA9D}"/>
    <hyperlink ref="L189" r:id="rId211" display="https://us3.assetplanner.com/service_request?ID=099018" xr:uid="{BAEC5746-177B-4BB6-BA6D-3575C8722849}"/>
    <hyperlink ref="M189" r:id="rId212" display="https://us3.assetplanner.com/service_request?ID=099951" xr:uid="{FB950664-A07D-408E-9A69-F8C141199AB5}"/>
    <hyperlink ref="N189" r:id="rId213" display="https://us3.assetplanner.com/service_request?ID=096257" xr:uid="{5895841F-EE6A-42BC-8806-9E84B4C1694A}"/>
    <hyperlink ref="L190" r:id="rId214" display="https://us3.assetplanner.com/service_request?ID=099547" xr:uid="{1065D188-0C8C-4FD4-B339-158F8170E2A2}"/>
    <hyperlink ref="L191" r:id="rId215" display="https://us3.assetplanner.com/service_request?ID=099543" xr:uid="{078B4F83-06C3-4603-865B-559BB02161E6}"/>
    <hyperlink ref="M191" r:id="rId216" display="https://us3.assetplanner.com/service_request?ID=100403" xr:uid="{9B21F059-4152-48F1-9E4B-01E570D6A143}"/>
    <hyperlink ref="N191" r:id="rId217" display="https://us3.assetplanner.com/service_request?ID=097816" xr:uid="{1936B7D2-335E-4C6D-A8C2-84440BB1A249}"/>
    <hyperlink ref="L192" r:id="rId218" display="https://us3.assetplanner.com/service_request?ID=099736" xr:uid="{993FA52A-2582-4DB1-95C4-E207F7782C09}"/>
    <hyperlink ref="M192" r:id="rId219" display="https://us3.assetplanner.com/service_request?ID=097600" xr:uid="{57D0C9D3-5BB5-41E0-B554-E3C8E62C0853}"/>
    <hyperlink ref="N192" r:id="rId220" display="https://us3.assetplanner.com/service_request?ID=100609" xr:uid="{54261A71-A095-4D78-8232-684C96ABD3FB}"/>
    <hyperlink ref="L194" r:id="rId221" display="https://us3.assetplanner.com/service_request?ID=098278" xr:uid="{BE5825D2-390E-4AFD-B36C-CA02FEC69FF8}"/>
    <hyperlink ref="M194" r:id="rId222" display="https://us3.assetplanner.com/service_request?ID=098670" xr:uid="{47FC2618-7CB4-4BAB-93FD-D0F50D963106}"/>
    <hyperlink ref="L195" r:id="rId223" display="https://us3.assetplanner.com/service_request?ID=099416" xr:uid="{7CED9EE0-BA54-42AE-A11C-2DDAC6A481E3}"/>
    <hyperlink ref="M195" r:id="rId224" display="https://us3.assetplanner.com/service_request?ID=099684" xr:uid="{444282B6-DBE6-43E5-9FC4-40CB90DEE9B8}"/>
    <hyperlink ref="N195" r:id="rId225" display="https://us3.assetplanner.com/service_request?ID=100485" xr:uid="{8B446A73-B74E-4DDC-B940-5B3E0D088E99}"/>
    <hyperlink ref="L196" r:id="rId226" display="https://us3.assetplanner.com/service_request?ID=098066" xr:uid="{1F59F24F-5EBC-4D4D-ABA4-A6EBDFB44EB8}"/>
    <hyperlink ref="M196" r:id="rId227" display="https://us3.assetplanner.com/service_request?ID=099545" xr:uid="{40153328-B655-445B-906C-2F32A963103F}"/>
    <hyperlink ref="L197" r:id="rId228" display="https://us3.assetplanner.com/service_request?ID=099715" xr:uid="{1BE7EB80-C15F-4869-A2DF-B716B9E5AE0F}"/>
    <hyperlink ref="M197" r:id="rId229" display="https://us3.assetplanner.com/service_request?ID=099788" xr:uid="{298FBF8D-1DD2-4A47-9DE3-DD232FE0C4A3}"/>
    <hyperlink ref="N197" r:id="rId230" display="https://us3.assetplanner.com/service_request?ID=099974" xr:uid="{A565828F-BDFE-456B-A5BC-B996202E8039}"/>
    <hyperlink ref="O197" r:id="rId231" display="https://us3.assetplanner.com/service_request?ID=099473" xr:uid="{5D93A309-66FB-47F0-85A3-F07C9F370B8F}"/>
    <hyperlink ref="L198" r:id="rId232" display="https://us3.assetplanner.com/service_request?ID=099014" xr:uid="{07CA8FB4-BEC0-4EA7-B331-11373BB30B74}"/>
    <hyperlink ref="L199" r:id="rId233" display="https://us3.assetplanner.com/service_request?ID=099881" xr:uid="{C11D6569-FCA9-4638-90D9-4B8313AA72DF}"/>
    <hyperlink ref="M199" r:id="rId234" display="https://us3.assetplanner.com/service_request?ID=099943" xr:uid="{ADD4397B-4A60-4705-96FC-308F23BE5C5C}"/>
    <hyperlink ref="N199" r:id="rId235" display="https://us3.assetplanner.com/service_request?ID=098693" xr:uid="{A4EEA912-0EEF-4090-A08E-BFC2167EF040}"/>
    <hyperlink ref="O199" r:id="rId236" display="https://us3.assetplanner.com/service_request?ID=100729" xr:uid="{8D2B7E46-66E9-414F-9963-E01D8FEC733E}"/>
    <hyperlink ref="L200" r:id="rId237" display="https://us3.assetplanner.com/service_request?ID=099770" xr:uid="{283A72EE-FD7D-4D7E-9858-443FF0C5B654}"/>
    <hyperlink ref="M200" r:id="rId238" display="https://us3.assetplanner.com/service_request?ID=099595" xr:uid="{E12B3E5F-572A-4CBE-9D21-A288C566C983}"/>
    <hyperlink ref="N200" r:id="rId239" display="https://us3.assetplanner.com/service_request?ID=099946" xr:uid="{8CC926BA-C194-4488-AB04-DE2075921C61}"/>
    <hyperlink ref="O200" r:id="rId240" display="https://us3.assetplanner.com/service_request?ID=100462" xr:uid="{1401F90E-8BA5-4825-A3FD-E1EC7BCB3F15}"/>
    <hyperlink ref="P200" r:id="rId241"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200"/>
  <sheetViews>
    <sheetView zoomScale="60" zoomScaleNormal="60" workbookViewId="0">
      <pane xSplit="2" ySplit="3" topLeftCell="C127" activePane="bottomRight" state="frozen"/>
      <selection pane="bottomRight" activeCell="D138" sqref="D138"/>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65" t="str" cm="1">
        <f t="array" ref="A1">portfolio</f>
        <v>Generate Capital</v>
      </c>
      <c r="B1" s="165"/>
      <c r="C1" s="165"/>
      <c r="D1" s="165"/>
      <c r="E1" s="166" t="s">
        <v>1085</v>
      </c>
      <c r="F1" s="166"/>
      <c r="G1" s="166"/>
      <c r="H1" s="164" t="s">
        <v>1086</v>
      </c>
      <c r="I1" s="164"/>
      <c r="J1" s="164"/>
      <c r="K1" s="4"/>
      <c r="L1" s="4"/>
    </row>
    <row r="2" spans="1:27" ht="15.6">
      <c r="A2" s="167" t="s">
        <v>2</v>
      </c>
      <c r="B2" s="167"/>
      <c r="C2" s="65"/>
      <c r="D2" s="5">
        <f>SUM(D4:D160)</f>
        <v>31722182.36633119</v>
      </c>
      <c r="E2" s="5">
        <f>SUM(E4:E160)</f>
        <v>11845062.979</v>
      </c>
      <c r="F2" s="5">
        <f>D2-E2</f>
        <v>19877119.387331188</v>
      </c>
      <c r="G2" s="6">
        <f>IFERROR(F2/E2, 0)</f>
        <v>1.6780931787843716</v>
      </c>
      <c r="H2" s="5">
        <f>SUM(H4:H160)</f>
        <v>46157396.195000008</v>
      </c>
      <c r="I2" s="7">
        <f>D2-H2</f>
        <v>-14435213.828668818</v>
      </c>
      <c r="J2" s="6">
        <f>IFERROR(I2/H2, 0)</f>
        <v>-0.31273891117438096</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8" t="str" cm="1">
        <f t="array" ref="A4:A200">Sites[Site]</f>
        <v>Farmer</v>
      </c>
      <c r="B4" s="25" t="str" cm="1">
        <f t="array" ref="B4:B200">Sites[State]</f>
        <v>AZ</v>
      </c>
      <c r="C4" s="25" t="str">
        <f>Sites[[#This Row],[SOL'#]]</f>
        <v>SOL-10748</v>
      </c>
      <c r="D4" s="20">
        <v>14722.3437793795</v>
      </c>
      <c r="E4" s="10">
        <v>10044.19</v>
      </c>
      <c r="F4" s="10">
        <f>IF(AND(ISNUMBER(D4),ISNUMBER(E4)), D4-E4, "")</f>
        <v>4678.1537793794996</v>
      </c>
      <c r="G4" s="11">
        <f>IFERROR(F4/E4, "")</f>
        <v>0.46575719688491551</v>
      </c>
      <c r="H4" s="12">
        <v>14171.61</v>
      </c>
      <c r="I4" s="12">
        <f>IF(AND(ISNUMBER(D4),ISNUMBER(H4)), D4-H4, "")</f>
        <v>550.73377937949954</v>
      </c>
      <c r="J4" s="13">
        <f>IFERROR(I4/H4, "")</f>
        <v>3.8861765133213481E-2</v>
      </c>
      <c r="K4" s="59"/>
      <c r="L4" s="59"/>
      <c r="M4" s="116"/>
      <c r="N4" s="116"/>
      <c r="O4" s="116"/>
      <c r="P4" s="116"/>
      <c r="Q4" s="116"/>
      <c r="R4" s="116"/>
      <c r="S4" s="116"/>
      <c r="T4" s="116"/>
      <c r="U4" s="116"/>
      <c r="V4" s="116"/>
      <c r="W4" s="116"/>
      <c r="X4" s="116"/>
      <c r="Y4" s="116"/>
      <c r="Z4" s="116"/>
      <c r="AA4" s="116"/>
    </row>
    <row r="5" spans="1:27" ht="28.9">
      <c r="A5" s="26" t="str">
        <v>Fulton</v>
      </c>
      <c r="B5" s="27" t="str">
        <v>AZ</v>
      </c>
      <c r="C5" s="25" t="str">
        <f>Sites[[#This Row],[SOL'#]]</f>
        <v>SOL-10749</v>
      </c>
      <c r="D5" s="9">
        <v>54662.25</v>
      </c>
      <c r="E5" s="14">
        <v>67436.7</v>
      </c>
      <c r="F5" s="14">
        <f t="shared" ref="F5:F17" si="0">IF(AND(ISNUMBER(D5),ISNUMBER(E5)), D5-E5, "")</f>
        <v>-12774.449999999997</v>
      </c>
      <c r="G5" s="15">
        <f>IFERROR(F5/E5, "")</f>
        <v>-0.18942875318632135</v>
      </c>
      <c r="H5" s="16">
        <v>76498.05</v>
      </c>
      <c r="I5" s="16">
        <f t="shared" ref="I5:I17" si="1">IF(AND(ISNUMBER(D5),ISNUMBER(H5)), D5-H5, "")</f>
        <v>-21835.800000000003</v>
      </c>
      <c r="J5" s="15">
        <f t="shared" ref="J5:J60" si="2">IFERROR(I5/H5, "")</f>
        <v>-0.28544257010472818</v>
      </c>
      <c r="K5" s="57" t="s">
        <v>1087</v>
      </c>
      <c r="L5" s="112" t="s">
        <v>776</v>
      </c>
      <c r="M5" s="116"/>
      <c r="N5" s="116"/>
      <c r="O5" s="116"/>
      <c r="P5" s="116"/>
      <c r="Q5" s="116"/>
      <c r="R5" s="116"/>
      <c r="S5" s="116"/>
      <c r="T5" s="116"/>
      <c r="U5" s="116"/>
      <c r="V5" s="116"/>
      <c r="W5" s="116"/>
      <c r="X5" s="116"/>
      <c r="Y5" s="116"/>
      <c r="Z5" s="116"/>
      <c r="AA5" s="116"/>
    </row>
    <row r="6" spans="1:27" ht="15.6">
      <c r="A6" s="24" t="str">
        <v>JFK Elementary</v>
      </c>
      <c r="B6" s="25" t="str">
        <v>AZ</v>
      </c>
      <c r="C6" s="25" t="str">
        <f>Sites[[#This Row],[SOL'#]]</f>
        <v>SOL-10758</v>
      </c>
      <c r="D6" s="20">
        <v>15964.2796156734</v>
      </c>
      <c r="E6" s="10" t="s">
        <v>1088</v>
      </c>
      <c r="F6" s="10" t="str">
        <f t="shared" si="0"/>
        <v/>
      </c>
      <c r="G6" s="11" t="str">
        <f t="shared" ref="G6:G17" si="3">IFERROR(F6/E6, "")</f>
        <v/>
      </c>
      <c r="H6" s="12">
        <v>19661</v>
      </c>
      <c r="I6" s="12">
        <f t="shared" si="1"/>
        <v>-3696.7203843265997</v>
      </c>
      <c r="J6" s="13">
        <f t="shared" si="2"/>
        <v>-0.18802300922265397</v>
      </c>
      <c r="K6" s="59" t="s">
        <v>1089</v>
      </c>
      <c r="L6" s="111" t="s">
        <v>1090</v>
      </c>
      <c r="M6" s="116"/>
      <c r="N6" s="116"/>
      <c r="O6" s="116"/>
      <c r="P6" s="116"/>
      <c r="Q6" s="116"/>
      <c r="R6" s="116"/>
      <c r="S6" s="116"/>
      <c r="T6" s="116"/>
      <c r="U6" s="116"/>
      <c r="V6" s="116"/>
      <c r="W6" s="116"/>
      <c r="X6" s="116"/>
      <c r="Y6" s="116"/>
      <c r="Z6" s="116"/>
      <c r="AA6" s="116"/>
    </row>
    <row r="7" spans="1:27" ht="15.6">
      <c r="A7" s="26" t="str">
        <v>Noble</v>
      </c>
      <c r="B7" s="27" t="str">
        <v>AZ</v>
      </c>
      <c r="C7" s="25" t="str">
        <f>Sites[[#This Row],[SOL'#]]</f>
        <v>SOL-10750</v>
      </c>
      <c r="D7" s="9">
        <v>13845.9058536394</v>
      </c>
      <c r="E7" s="14">
        <v>17223.330000000002</v>
      </c>
      <c r="F7" s="14">
        <f t="shared" si="0"/>
        <v>-3377.4241463606013</v>
      </c>
      <c r="G7" s="15">
        <f t="shared" si="3"/>
        <v>-0.19609588542753353</v>
      </c>
      <c r="H7" s="16">
        <v>15804.97</v>
      </c>
      <c r="I7" s="16">
        <f t="shared" si="1"/>
        <v>-1959.0641463605989</v>
      </c>
      <c r="J7" s="15">
        <f t="shared" si="2"/>
        <v>-0.1239524115743718</v>
      </c>
      <c r="K7" s="57" t="s">
        <v>1091</v>
      </c>
      <c r="L7" s="58"/>
      <c r="M7" s="116"/>
      <c r="N7" s="116"/>
      <c r="O7" s="116"/>
      <c r="P7" s="116"/>
      <c r="Q7" s="116"/>
      <c r="R7" s="116"/>
      <c r="S7" s="116"/>
      <c r="T7" s="116"/>
      <c r="U7" s="116"/>
      <c r="V7" s="116"/>
      <c r="W7" s="116"/>
      <c r="X7" s="116"/>
      <c r="Y7" s="116"/>
      <c r="Z7" s="116"/>
      <c r="AA7" s="116"/>
    </row>
    <row r="8" spans="1:27" ht="15.6">
      <c r="A8" s="24" t="str">
        <v>Parking 3</v>
      </c>
      <c r="B8" s="25" t="str">
        <v>AZ</v>
      </c>
      <c r="C8" s="25" t="str">
        <f>Sites[[#This Row],[SOL'#]]</f>
        <v>SOL-10751</v>
      </c>
      <c r="D8" s="20">
        <v>36424.925000000003</v>
      </c>
      <c r="E8" s="10">
        <v>37051.22</v>
      </c>
      <c r="F8" s="10">
        <f t="shared" si="0"/>
        <v>-626.29499999999825</v>
      </c>
      <c r="G8" s="11">
        <f t="shared" si="3"/>
        <v>-1.6903491976782363E-2</v>
      </c>
      <c r="H8" s="12">
        <v>33865.449999999997</v>
      </c>
      <c r="I8" s="12">
        <f t="shared" si="1"/>
        <v>2559.4750000000058</v>
      </c>
      <c r="J8" s="13">
        <f t="shared" si="2"/>
        <v>7.5577764358660704E-2</v>
      </c>
      <c r="K8" s="59"/>
      <c r="L8" s="59"/>
      <c r="M8" s="116"/>
      <c r="N8" s="116"/>
      <c r="O8" s="116"/>
      <c r="P8" s="116"/>
      <c r="Q8" s="116"/>
      <c r="R8" s="116"/>
      <c r="S8" s="116"/>
      <c r="T8" s="116"/>
      <c r="U8" s="116"/>
      <c r="V8" s="116"/>
      <c r="W8" s="116"/>
      <c r="X8" s="116"/>
      <c r="Y8" s="116"/>
      <c r="Z8" s="116"/>
      <c r="AA8" s="116"/>
    </row>
    <row r="9" spans="1:27" ht="15.6">
      <c r="A9" s="26" t="str">
        <v>PE East</v>
      </c>
      <c r="B9" s="27" t="str">
        <v>AZ</v>
      </c>
      <c r="C9" s="25" t="str">
        <f>Sites[[#This Row],[SOL'#]]</f>
        <v>SOL-10752</v>
      </c>
      <c r="D9" s="9">
        <v>32596.544998002701</v>
      </c>
      <c r="E9" s="14">
        <v>28088.38</v>
      </c>
      <c r="F9" s="14">
        <f t="shared" si="0"/>
        <v>4508.1649980026996</v>
      </c>
      <c r="G9" s="15">
        <f t="shared" si="3"/>
        <v>0.16049928824669488</v>
      </c>
      <c r="H9" s="16">
        <v>33372.120000000003</v>
      </c>
      <c r="I9" s="16">
        <f t="shared" si="1"/>
        <v>-775.57500199730202</v>
      </c>
      <c r="J9" s="15">
        <f t="shared" si="2"/>
        <v>-2.32402077541763E-2</v>
      </c>
      <c r="K9" s="57"/>
      <c r="L9" s="58"/>
      <c r="M9" s="116"/>
      <c r="N9" s="116"/>
      <c r="O9" s="116"/>
      <c r="P9" s="116"/>
      <c r="Q9" s="116"/>
      <c r="R9" s="116"/>
      <c r="S9" s="116"/>
      <c r="T9" s="116"/>
      <c r="U9" s="116"/>
      <c r="V9" s="116"/>
      <c r="W9" s="116"/>
      <c r="X9" s="116"/>
      <c r="Y9" s="116"/>
      <c r="Z9" s="116"/>
      <c r="AA9" s="116"/>
    </row>
    <row r="10" spans="1:27" ht="15.6">
      <c r="A10" s="24" t="str">
        <v>Schwada</v>
      </c>
      <c r="B10" s="25" t="str">
        <v>AZ</v>
      </c>
      <c r="C10" s="25" t="str">
        <f>Sites[[#This Row],[SOL'#]]</f>
        <v>SOL-10753</v>
      </c>
      <c r="D10" s="20">
        <v>14740.397930372899</v>
      </c>
      <c r="E10" s="10">
        <v>11564.2</v>
      </c>
      <c r="F10" s="10">
        <f t="shared" si="0"/>
        <v>3176.1979303728986</v>
      </c>
      <c r="G10" s="11">
        <f t="shared" si="3"/>
        <v>0.27465781726128036</v>
      </c>
      <c r="H10" s="12">
        <v>14096</v>
      </c>
      <c r="I10" s="12">
        <f t="shared" si="1"/>
        <v>644.39793037289928</v>
      </c>
      <c r="J10" s="13">
        <f t="shared" si="2"/>
        <v>4.5714949657555286E-2</v>
      </c>
      <c r="K10" s="59"/>
      <c r="L10" s="59"/>
      <c r="M10" s="116"/>
      <c r="N10" s="116"/>
      <c r="O10" s="116"/>
      <c r="P10" s="116"/>
      <c r="Q10" s="116"/>
      <c r="R10" s="116"/>
      <c r="S10" s="116"/>
      <c r="T10" s="116"/>
      <c r="U10" s="116"/>
      <c r="V10" s="116"/>
      <c r="W10" s="116"/>
      <c r="X10" s="116"/>
      <c r="Y10" s="116"/>
      <c r="Z10" s="116"/>
      <c r="AA10" s="116"/>
    </row>
    <row r="11" spans="1:27" ht="51.75" customHeight="1">
      <c r="A11" s="26" t="str">
        <v>Starshine</v>
      </c>
      <c r="B11" s="27" t="str">
        <v>AZ</v>
      </c>
      <c r="C11" s="25" t="str">
        <f>Sites[[#This Row],[SOL'#]]</f>
        <v>SOL-10757</v>
      </c>
      <c r="D11" s="9">
        <v>7863.6000000000104</v>
      </c>
      <c r="E11" s="14" t="s">
        <v>1088</v>
      </c>
      <c r="F11" s="14" t="str">
        <f t="shared" si="0"/>
        <v/>
      </c>
      <c r="G11" s="15" t="str">
        <f t="shared" si="3"/>
        <v/>
      </c>
      <c r="H11" s="16">
        <v>12675</v>
      </c>
      <c r="I11" s="16">
        <f t="shared" si="1"/>
        <v>-4811.3999999999896</v>
      </c>
      <c r="J11" s="15">
        <f t="shared" si="2"/>
        <v>-0.37959763313609385</v>
      </c>
      <c r="K11" s="57" t="s">
        <v>1092</v>
      </c>
      <c r="L11" s="112" t="s">
        <v>1093</v>
      </c>
      <c r="M11" s="116"/>
      <c r="N11" s="116"/>
      <c r="O11" s="116"/>
      <c r="P11" s="116"/>
      <c r="Q11" s="116"/>
      <c r="R11" s="116"/>
      <c r="S11" s="116"/>
      <c r="T11" s="116"/>
      <c r="U11" s="116"/>
      <c r="V11" s="116"/>
      <c r="W11" s="116"/>
      <c r="X11" s="116"/>
      <c r="Y11" s="116"/>
      <c r="Z11" s="116"/>
      <c r="AA11" s="116"/>
    </row>
    <row r="12" spans="1:27" ht="32.25" customHeight="1">
      <c r="A12" s="24" t="str">
        <v>Yuma Airport</v>
      </c>
      <c r="B12" s="25" t="str">
        <v>AZ</v>
      </c>
      <c r="C12" s="25" t="str">
        <f>Sites[[#This Row],[SOL'#]]</f>
        <v>SOL-10754</v>
      </c>
      <c r="D12" s="20">
        <v>82352</v>
      </c>
      <c r="E12" s="10">
        <v>97866.73</v>
      </c>
      <c r="F12" s="10">
        <f t="shared" si="0"/>
        <v>-15514.729999999996</v>
      </c>
      <c r="G12" s="11">
        <f t="shared" si="3"/>
        <v>-0.15852915490279482</v>
      </c>
      <c r="H12" s="12">
        <v>88555</v>
      </c>
      <c r="I12" s="12">
        <f t="shared" si="1"/>
        <v>-6203</v>
      </c>
      <c r="J12" s="13">
        <f t="shared" si="2"/>
        <v>-7.0046863531138842E-2</v>
      </c>
      <c r="K12" s="59" t="s">
        <v>1094</v>
      </c>
      <c r="L12" s="111" t="s">
        <v>1095</v>
      </c>
      <c r="M12" s="116"/>
      <c r="N12" s="116"/>
      <c r="O12" s="116"/>
      <c r="P12" s="116"/>
      <c r="Q12" s="116"/>
      <c r="R12" s="116"/>
      <c r="S12" s="116"/>
      <c r="T12" s="116"/>
      <c r="U12" s="116"/>
      <c r="V12" s="116"/>
      <c r="W12" s="116"/>
      <c r="X12" s="116"/>
      <c r="Y12" s="116"/>
      <c r="Z12" s="116"/>
      <c r="AA12" s="116"/>
    </row>
    <row r="13" spans="1:27" ht="15.6">
      <c r="A13" s="26" t="str">
        <v>Kinsman</v>
      </c>
      <c r="B13" s="27" t="str">
        <v>OH</v>
      </c>
      <c r="C13" s="25" t="str">
        <f>Sites[[#This Row],[SOL'#]]</f>
        <v>SOL-10762</v>
      </c>
      <c r="D13" s="9">
        <v>88379.75</v>
      </c>
      <c r="E13" s="14">
        <v>118686.3</v>
      </c>
      <c r="F13" s="14">
        <f t="shared" si="0"/>
        <v>-30306.550000000003</v>
      </c>
      <c r="G13" s="15">
        <f t="shared" si="3"/>
        <v>-0.25535002776226068</v>
      </c>
      <c r="H13" s="16">
        <v>127073</v>
      </c>
      <c r="I13" s="16">
        <f t="shared" si="1"/>
        <v>-38693.25</v>
      </c>
      <c r="J13" s="15">
        <f t="shared" si="2"/>
        <v>-0.30449623444791579</v>
      </c>
      <c r="K13" s="57" t="s">
        <v>1096</v>
      </c>
      <c r="L13" s="112" t="s">
        <v>1097</v>
      </c>
      <c r="M13" s="116"/>
      <c r="N13" s="116"/>
      <c r="O13" s="116"/>
      <c r="P13" s="116"/>
      <c r="Q13" s="116"/>
      <c r="R13" s="116"/>
      <c r="S13" s="116"/>
      <c r="T13" s="116"/>
      <c r="U13" s="116"/>
      <c r="V13" s="116"/>
      <c r="W13" s="116"/>
      <c r="X13" s="116"/>
      <c r="Y13" s="116"/>
      <c r="Z13" s="116"/>
      <c r="AA13" s="116"/>
    </row>
    <row r="14" spans="1:27" ht="15.6">
      <c r="A14" s="24" t="str">
        <v>Wooster</v>
      </c>
      <c r="B14" s="25" t="str">
        <v>OH</v>
      </c>
      <c r="C14" s="25" t="str">
        <f>Sites[[#This Row],[SOL'#]]</f>
        <v>SOL-10763</v>
      </c>
      <c r="D14" s="20">
        <v>19147.75</v>
      </c>
      <c r="E14" s="10" t="s">
        <v>1088</v>
      </c>
      <c r="F14" s="10" t="str">
        <f t="shared" si="0"/>
        <v/>
      </c>
      <c r="G14" s="11" t="str">
        <f t="shared" si="3"/>
        <v/>
      </c>
      <c r="H14" s="12">
        <v>30903</v>
      </c>
      <c r="I14" s="12">
        <f t="shared" si="1"/>
        <v>-11755.25</v>
      </c>
      <c r="J14" s="13">
        <f>IFERROR(I14/H14, "")</f>
        <v>-0.38039187133935215</v>
      </c>
      <c r="K14" s="59" t="s">
        <v>790</v>
      </c>
      <c r="L14" s="111" t="s">
        <v>33</v>
      </c>
      <c r="M14" s="116"/>
      <c r="N14" s="116"/>
      <c r="O14" s="116"/>
      <c r="P14" s="116"/>
      <c r="Q14" s="116"/>
      <c r="R14" s="116"/>
      <c r="S14" s="116"/>
      <c r="T14" s="116"/>
      <c r="U14" s="116"/>
      <c r="V14" s="116"/>
      <c r="W14" s="116"/>
      <c r="X14" s="116"/>
      <c r="Y14" s="116"/>
      <c r="Z14" s="116"/>
      <c r="AA14" s="116"/>
    </row>
    <row r="15" spans="1:27" ht="28.9">
      <c r="A15" s="26" t="str">
        <v>Globe Gila CC</v>
      </c>
      <c r="B15" s="27" t="str">
        <v>AZ</v>
      </c>
      <c r="C15" s="25" t="str">
        <f>Sites[[#This Row],[SOL'#]]</f>
        <v>SOL-10755</v>
      </c>
      <c r="D15" s="9">
        <v>20822.564478632499</v>
      </c>
      <c r="E15" s="14" t="s">
        <v>1088</v>
      </c>
      <c r="F15" s="14" t="str">
        <f t="shared" si="0"/>
        <v/>
      </c>
      <c r="G15" s="15" t="str">
        <f t="shared" si="3"/>
        <v/>
      </c>
      <c r="H15" s="16">
        <v>20743</v>
      </c>
      <c r="I15" s="16">
        <f t="shared" si="1"/>
        <v>79.564478632499231</v>
      </c>
      <c r="J15" s="15">
        <f t="shared" si="2"/>
        <v>3.835726685267282E-3</v>
      </c>
      <c r="K15" s="57" t="s">
        <v>1098</v>
      </c>
      <c r="L15" s="112" t="s">
        <v>1099</v>
      </c>
      <c r="M15" s="116"/>
      <c r="N15" s="116"/>
      <c r="O15" s="116"/>
      <c r="P15" s="116"/>
      <c r="Q15" s="116"/>
      <c r="R15" s="116"/>
      <c r="S15" s="116"/>
      <c r="T15" s="116"/>
      <c r="U15" s="116"/>
      <c r="V15" s="116"/>
      <c r="W15" s="116"/>
      <c r="X15" s="116"/>
      <c r="Y15" s="116"/>
      <c r="Z15" s="116"/>
      <c r="AA15" s="116"/>
    </row>
    <row r="16" spans="1:27" ht="15.6">
      <c r="A16" s="24" t="str">
        <v>Payson Gila CC</v>
      </c>
      <c r="B16" s="25" t="str">
        <v>AZ</v>
      </c>
      <c r="C16" s="25" t="str">
        <f>Sites[[#This Row],[SOL'#]]</f>
        <v>SOL-10756</v>
      </c>
      <c r="D16" s="20">
        <v>15842.0749956938</v>
      </c>
      <c r="E16" s="10">
        <v>7505.3379999999997</v>
      </c>
      <c r="F16" s="10">
        <f t="shared" si="0"/>
        <v>8336.7369956938001</v>
      </c>
      <c r="G16" s="11">
        <f t="shared" si="3"/>
        <v>1.1107743576230411</v>
      </c>
      <c r="H16" s="12">
        <v>16067</v>
      </c>
      <c r="I16" s="12">
        <f t="shared" si="1"/>
        <v>-224.92500430620021</v>
      </c>
      <c r="J16" s="13">
        <f t="shared" si="2"/>
        <v>-1.3999191156171046E-2</v>
      </c>
      <c r="K16" s="59" t="s">
        <v>36</v>
      </c>
      <c r="L16" s="111" t="s">
        <v>37</v>
      </c>
      <c r="M16" s="116"/>
      <c r="N16" s="116"/>
      <c r="O16" s="116"/>
      <c r="P16" s="116"/>
      <c r="Q16" s="116"/>
      <c r="R16" s="116"/>
      <c r="S16" s="116"/>
      <c r="T16" s="116"/>
      <c r="U16" s="116"/>
      <c r="V16" s="116"/>
      <c r="W16" s="116"/>
      <c r="X16" s="116"/>
      <c r="Y16" s="116"/>
      <c r="Z16" s="116"/>
      <c r="AA16" s="116"/>
    </row>
    <row r="17" spans="1:27" ht="15.6">
      <c r="A17" s="26" t="str">
        <v>SCNM</v>
      </c>
      <c r="B17" s="27" t="str">
        <v>AZ</v>
      </c>
      <c r="C17" s="25" t="str">
        <f>Sites[[#This Row],[SOL'#]]</f>
        <v>SOL-10760</v>
      </c>
      <c r="D17" s="9">
        <v>79170.25</v>
      </c>
      <c r="E17" s="14">
        <v>55899.18</v>
      </c>
      <c r="F17" s="14">
        <f t="shared" si="0"/>
        <v>23271.07</v>
      </c>
      <c r="G17" s="15">
        <f t="shared" si="3"/>
        <v>0.41630431788087052</v>
      </c>
      <c r="H17" s="16">
        <v>94900</v>
      </c>
      <c r="I17" s="16">
        <f t="shared" si="1"/>
        <v>-15729.75</v>
      </c>
      <c r="J17" s="15">
        <f t="shared" si="2"/>
        <v>-0.16575079030558482</v>
      </c>
      <c r="K17" s="57" t="s">
        <v>1100</v>
      </c>
      <c r="L17" s="112" t="s">
        <v>1101</v>
      </c>
      <c r="M17" s="116"/>
      <c r="N17" s="116"/>
      <c r="O17" s="116"/>
      <c r="P17" s="116"/>
      <c r="Q17" s="116"/>
      <c r="R17" s="116"/>
      <c r="S17" s="116"/>
      <c r="T17" s="116"/>
      <c r="U17" s="116"/>
      <c r="V17" s="116"/>
      <c r="W17" s="116"/>
      <c r="X17" s="116"/>
      <c r="Y17" s="116"/>
      <c r="Z17" s="116"/>
      <c r="AA17" s="116"/>
    </row>
    <row r="18" spans="1:27" ht="51" customHeight="1">
      <c r="A18" s="24" t="str">
        <v>Sequoia Charter School</v>
      </c>
      <c r="B18" s="25" t="str">
        <v>AZ</v>
      </c>
      <c r="C18" s="25" t="str">
        <f>Sites[[#This Row],[SOL'#]]</f>
        <v>SOL-10759</v>
      </c>
      <c r="D18" s="20">
        <v>36647.430000000102</v>
      </c>
      <c r="E18" s="10" t="s">
        <v>1088</v>
      </c>
      <c r="F18" s="10" t="str">
        <f t="shared" ref="F18:F81" si="4">IF(AND(ISNUMBER(D18),ISNUMBER(E18)), D18-E18, "")</f>
        <v/>
      </c>
      <c r="G18" s="11" t="str">
        <f t="shared" ref="G18:G81" si="5">IFERROR(F18/E18, "")</f>
        <v/>
      </c>
      <c r="H18" s="12">
        <v>57089</v>
      </c>
      <c r="I18" s="12">
        <f t="shared" ref="I18:I81" si="6">IF(AND(ISNUMBER(D18),ISNUMBER(H18)), D18-H18, "")</f>
        <v>-20441.569999999898</v>
      </c>
      <c r="J18" s="13">
        <f t="shared" si="2"/>
        <v>-0.35806495121651977</v>
      </c>
      <c r="K18" s="59" t="s">
        <v>1102</v>
      </c>
      <c r="L18" s="111" t="s">
        <v>1103</v>
      </c>
      <c r="M18" s="116"/>
      <c r="N18" s="116"/>
      <c r="O18" s="116"/>
      <c r="P18" s="116"/>
      <c r="Q18" s="116"/>
      <c r="R18" s="116"/>
      <c r="S18" s="116"/>
      <c r="T18" s="116"/>
      <c r="U18" s="116"/>
      <c r="V18" s="116"/>
      <c r="W18" s="116"/>
      <c r="X18" s="116"/>
      <c r="Y18" s="116"/>
      <c r="Z18" s="116"/>
      <c r="AA18" s="116"/>
    </row>
    <row r="19" spans="1:27" ht="50.25" customHeight="1">
      <c r="A19" s="26" t="str">
        <v>RCAB</v>
      </c>
      <c r="B19" s="27" t="str">
        <v>MA</v>
      </c>
      <c r="C19" s="25" t="str">
        <f>Sites[[#This Row],[SOL'#]]</f>
        <v>SOL-10838</v>
      </c>
      <c r="D19" s="9">
        <v>121442</v>
      </c>
      <c r="E19" s="14">
        <v>141321.4</v>
      </c>
      <c r="F19" s="14">
        <f t="shared" si="4"/>
        <v>-19879.399999999994</v>
      </c>
      <c r="G19" s="15">
        <f t="shared" si="5"/>
        <v>-0.140668009232855</v>
      </c>
      <c r="H19" s="16">
        <v>142862.20000000001</v>
      </c>
      <c r="I19" s="16">
        <f t="shared" si="6"/>
        <v>-21420.200000000012</v>
      </c>
      <c r="J19" s="15">
        <f t="shared" si="2"/>
        <v>-0.14993609226233398</v>
      </c>
      <c r="K19" s="57" t="s">
        <v>1104</v>
      </c>
      <c r="L19" s="112" t="s">
        <v>1105</v>
      </c>
      <c r="M19" s="115" t="s">
        <v>1106</v>
      </c>
      <c r="N19" s="116"/>
      <c r="O19" s="116"/>
      <c r="P19" s="116"/>
      <c r="Q19" s="116"/>
      <c r="R19" s="116"/>
      <c r="S19" s="116"/>
      <c r="T19" s="116"/>
      <c r="U19" s="116"/>
      <c r="V19" s="116"/>
      <c r="W19" s="116"/>
      <c r="X19" s="116"/>
      <c r="Y19" s="116"/>
      <c r="Z19" s="116"/>
      <c r="AA19" s="116"/>
    </row>
    <row r="20" spans="1:27" ht="28.9">
      <c r="A20" s="24" t="str">
        <v>Spectro Coatings</v>
      </c>
      <c r="B20" s="25" t="str">
        <v>MA</v>
      </c>
      <c r="C20" s="25" t="str">
        <f>Sites[[#This Row],[SOL'#]]</f>
        <v>SOL-10074</v>
      </c>
      <c r="D20" s="20">
        <v>29484</v>
      </c>
      <c r="E20" s="10">
        <v>31018.018</v>
      </c>
      <c r="F20" s="10">
        <f t="shared" si="4"/>
        <v>-1534.018</v>
      </c>
      <c r="G20" s="11">
        <f t="shared" si="5"/>
        <v>-4.9455706679904565E-2</v>
      </c>
      <c r="H20" s="12">
        <v>36315.71</v>
      </c>
      <c r="I20" s="12">
        <f t="shared" si="6"/>
        <v>-6831.7099999999991</v>
      </c>
      <c r="J20" s="13">
        <f t="shared" si="2"/>
        <v>-0.18811996240745393</v>
      </c>
      <c r="K20" s="59" t="s">
        <v>1107</v>
      </c>
      <c r="L20" s="111" t="s">
        <v>1108</v>
      </c>
      <c r="M20" s="116"/>
      <c r="N20" s="116"/>
      <c r="O20" s="116"/>
      <c r="P20" s="116"/>
      <c r="Q20" s="116"/>
      <c r="R20" s="116"/>
      <c r="S20" s="116"/>
      <c r="T20" s="116"/>
      <c r="U20" s="116"/>
      <c r="V20" s="116"/>
      <c r="W20" s="116"/>
      <c r="X20" s="116"/>
      <c r="Y20" s="116"/>
      <c r="Z20" s="116"/>
      <c r="AA20" s="116"/>
    </row>
    <row r="21" spans="1:27" ht="15.6">
      <c r="A21" s="26" t="str">
        <v>K026</v>
      </c>
      <c r="B21" s="27" t="str">
        <v>NY</v>
      </c>
      <c r="C21" s="25" t="str">
        <f>Sites[[#This Row],[SOL'#]]</f>
        <v>SOL-10356</v>
      </c>
      <c r="D21" s="9">
        <v>21436.75</v>
      </c>
      <c r="E21" s="14">
        <v>35068.5</v>
      </c>
      <c r="F21" s="14">
        <f t="shared" si="4"/>
        <v>-13631.75</v>
      </c>
      <c r="G21" s="15">
        <f t="shared" si="5"/>
        <v>-0.38871779517230565</v>
      </c>
      <c r="H21" s="16">
        <v>40520.26</v>
      </c>
      <c r="I21" s="16">
        <f t="shared" si="6"/>
        <v>-19083.510000000002</v>
      </c>
      <c r="J21" s="15">
        <f t="shared" si="2"/>
        <v>-0.47096218040061938</v>
      </c>
      <c r="K21" s="57" t="s">
        <v>1109</v>
      </c>
      <c r="L21" s="58"/>
      <c r="M21" s="116"/>
      <c r="N21" s="116"/>
      <c r="O21" s="116"/>
      <c r="P21" s="116"/>
      <c r="Q21" s="116"/>
      <c r="R21" s="116"/>
      <c r="S21" s="116"/>
      <c r="T21" s="116"/>
      <c r="U21" s="116"/>
      <c r="V21" s="116"/>
      <c r="W21" s="116"/>
      <c r="X21" s="116"/>
      <c r="Y21" s="116"/>
      <c r="Z21" s="116"/>
      <c r="AA21" s="116"/>
    </row>
    <row r="22" spans="1:27" ht="15.6">
      <c r="A22" s="24" t="str">
        <v>K041</v>
      </c>
      <c r="B22" s="25" t="str">
        <v>NY</v>
      </c>
      <c r="C22" s="25" t="str">
        <f>Sites[[#This Row],[SOL'#]]</f>
        <v>SOL-10357</v>
      </c>
      <c r="D22" s="20">
        <v>25124.5</v>
      </c>
      <c r="E22" s="10">
        <v>28857.02</v>
      </c>
      <c r="F22" s="10">
        <f t="shared" si="4"/>
        <v>-3732.5200000000004</v>
      </c>
      <c r="G22" s="11">
        <f t="shared" si="5"/>
        <v>-0.12934530315327086</v>
      </c>
      <c r="H22" s="12">
        <v>30517</v>
      </c>
      <c r="I22" s="12">
        <f t="shared" si="6"/>
        <v>-5392.5</v>
      </c>
      <c r="J22" s="13">
        <f t="shared" si="2"/>
        <v>-0.17670478749549431</v>
      </c>
      <c r="K22" s="59" t="s">
        <v>1110</v>
      </c>
      <c r="L22" s="111" t="s">
        <v>1111</v>
      </c>
      <c r="M22" s="116"/>
      <c r="N22" s="116"/>
      <c r="O22" s="116"/>
      <c r="P22" s="116"/>
      <c r="Q22" s="116"/>
      <c r="R22" s="116"/>
      <c r="S22" s="116"/>
      <c r="T22" s="116"/>
      <c r="U22" s="116"/>
      <c r="V22" s="116"/>
      <c r="W22" s="116"/>
      <c r="X22" s="116"/>
      <c r="Y22" s="116"/>
      <c r="Z22" s="116"/>
      <c r="AA22" s="116"/>
    </row>
    <row r="23" spans="1:27" ht="17.25" customHeight="1">
      <c r="A23" s="26" t="str">
        <v>K043</v>
      </c>
      <c r="B23" s="27" t="str">
        <v>NY</v>
      </c>
      <c r="C23" s="25" t="str">
        <f>Sites[[#This Row],[SOL'#]]</f>
        <v>SOL-10358</v>
      </c>
      <c r="D23" s="9">
        <v>31607.062999999998</v>
      </c>
      <c r="E23" s="14">
        <v>31512.476999999999</v>
      </c>
      <c r="F23" s="14">
        <f t="shared" si="4"/>
        <v>94.585999999999331</v>
      </c>
      <c r="G23" s="15">
        <f t="shared" si="5"/>
        <v>3.0015412625291034E-3</v>
      </c>
      <c r="H23" s="16">
        <v>6701.39</v>
      </c>
      <c r="I23" s="16">
        <f t="shared" si="6"/>
        <v>24905.672999999999</v>
      </c>
      <c r="J23" s="15">
        <f t="shared" si="2"/>
        <v>3.7164935931202328</v>
      </c>
      <c r="K23" s="57" t="s">
        <v>1112</v>
      </c>
      <c r="L23" s="58"/>
      <c r="M23" s="116"/>
      <c r="N23" s="116"/>
      <c r="O23" s="116"/>
      <c r="P23" s="116"/>
      <c r="Q23" s="116"/>
      <c r="R23" s="116"/>
      <c r="S23" s="116"/>
      <c r="T23" s="116"/>
      <c r="U23" s="116"/>
      <c r="V23" s="116"/>
      <c r="W23" s="116"/>
      <c r="X23" s="116"/>
      <c r="Y23" s="116"/>
      <c r="Z23" s="116"/>
      <c r="AA23" s="116"/>
    </row>
    <row r="24" spans="1:27" ht="15.6">
      <c r="A24" s="24" t="str">
        <v>K058</v>
      </c>
      <c r="B24" s="25" t="str">
        <v>NY</v>
      </c>
      <c r="C24" s="25" t="str">
        <f>Sites[[#This Row],[SOL'#]]</f>
        <v>SOL-10360</v>
      </c>
      <c r="D24" s="20">
        <v>0</v>
      </c>
      <c r="E24" s="10">
        <v>0</v>
      </c>
      <c r="F24" s="10">
        <f t="shared" si="4"/>
        <v>0</v>
      </c>
      <c r="G24" s="11" t="str">
        <f t="shared" si="5"/>
        <v/>
      </c>
      <c r="H24" s="12">
        <v>30639</v>
      </c>
      <c r="I24" s="12">
        <f t="shared" si="6"/>
        <v>-30639</v>
      </c>
      <c r="J24" s="13">
        <f t="shared" si="2"/>
        <v>-1</v>
      </c>
      <c r="K24" s="59" t="s">
        <v>798</v>
      </c>
      <c r="L24" s="111" t="s">
        <v>282</v>
      </c>
      <c r="M24" s="116"/>
      <c r="N24" s="116"/>
      <c r="O24" s="116"/>
      <c r="P24" s="116"/>
      <c r="Q24" s="116"/>
      <c r="R24" s="116"/>
      <c r="S24" s="116"/>
      <c r="T24" s="116"/>
      <c r="U24" s="116"/>
      <c r="V24" s="116"/>
      <c r="W24" s="116"/>
      <c r="X24" s="116"/>
      <c r="Y24" s="116"/>
      <c r="Z24" s="116"/>
      <c r="AA24" s="116"/>
    </row>
    <row r="25" spans="1:27" ht="15.6">
      <c r="A25" s="26" t="str">
        <v>K115</v>
      </c>
      <c r="B25" s="27" t="str">
        <v>NY</v>
      </c>
      <c r="C25" s="25" t="str">
        <f>Sites[[#This Row],[SOL'#]]</f>
        <v>SOL-10361</v>
      </c>
      <c r="D25" s="9">
        <v>5905.25</v>
      </c>
      <c r="E25" s="14">
        <v>10305.36</v>
      </c>
      <c r="F25" s="14">
        <f t="shared" si="4"/>
        <v>-4400.1100000000006</v>
      </c>
      <c r="G25" s="15">
        <f t="shared" si="5"/>
        <v>-0.42697295388031087</v>
      </c>
      <c r="H25" s="16">
        <v>17376.71</v>
      </c>
      <c r="I25" s="16">
        <f t="shared" si="6"/>
        <v>-11471.46</v>
      </c>
      <c r="J25" s="15">
        <f t="shared" si="2"/>
        <v>-0.66016294223705174</v>
      </c>
      <c r="K25" s="57" t="s">
        <v>48</v>
      </c>
      <c r="L25" s="112" t="s">
        <v>49</v>
      </c>
      <c r="M25" s="116"/>
      <c r="N25" s="116"/>
      <c r="O25" s="116"/>
      <c r="P25" s="116"/>
      <c r="Q25" s="116"/>
      <c r="R25" s="116"/>
      <c r="S25" s="116"/>
      <c r="T25" s="116"/>
      <c r="U25" s="116"/>
      <c r="V25" s="116"/>
      <c r="W25" s="116"/>
      <c r="X25" s="116"/>
      <c r="Y25" s="116"/>
      <c r="Z25" s="116"/>
      <c r="AA25" s="116"/>
    </row>
    <row r="26" spans="1:27" ht="15.6">
      <c r="A26" s="24" t="str">
        <v>K152</v>
      </c>
      <c r="B26" s="25" t="str">
        <v>NY</v>
      </c>
      <c r="C26" s="25" t="str">
        <f>Sites[[#This Row],[SOL'#]]</f>
        <v>SOL-10362</v>
      </c>
      <c r="D26" s="20">
        <v>9130.96875</v>
      </c>
      <c r="E26" s="10">
        <v>9635.4830000000002</v>
      </c>
      <c r="F26" s="10">
        <f t="shared" si="4"/>
        <v>-504.51425000000017</v>
      </c>
      <c r="G26" s="11">
        <f t="shared" si="5"/>
        <v>-5.2360037374358938E-2</v>
      </c>
      <c r="H26" s="12">
        <v>11639</v>
      </c>
      <c r="I26" s="12">
        <f t="shared" si="6"/>
        <v>-2508.03125</v>
      </c>
      <c r="J26" s="13">
        <f t="shared" si="2"/>
        <v>-0.21548511470057566</v>
      </c>
      <c r="K26" s="59" t="s">
        <v>1109</v>
      </c>
      <c r="L26" s="59"/>
      <c r="M26" s="116"/>
      <c r="N26" s="116"/>
      <c r="O26" s="116"/>
      <c r="P26" s="116"/>
      <c r="Q26" s="116"/>
      <c r="R26" s="116"/>
      <c r="S26" s="116"/>
      <c r="T26" s="116"/>
      <c r="U26" s="116"/>
      <c r="V26" s="116"/>
      <c r="W26" s="116"/>
      <c r="X26" s="116"/>
      <c r="Y26" s="116"/>
      <c r="Z26" s="116"/>
      <c r="AA26" s="116"/>
    </row>
    <row r="27" spans="1:27" ht="15.6">
      <c r="A27" s="26" t="str">
        <v>K166</v>
      </c>
      <c r="B27" s="27" t="str">
        <v>NY</v>
      </c>
      <c r="C27" s="25" t="str">
        <f>Sites[[#This Row],[SOL'#]]</f>
        <v>SOL-10363</v>
      </c>
      <c r="D27" s="9">
        <v>33771.875</v>
      </c>
      <c r="E27" s="14">
        <v>36654.39</v>
      </c>
      <c r="F27" s="14">
        <f t="shared" si="4"/>
        <v>-2882.5149999999994</v>
      </c>
      <c r="G27" s="15">
        <f t="shared" si="5"/>
        <v>-7.8640375682148836E-2</v>
      </c>
      <c r="H27" s="16">
        <v>42600.89</v>
      </c>
      <c r="I27" s="16">
        <f t="shared" si="6"/>
        <v>-8829.0149999999994</v>
      </c>
      <c r="J27" s="15">
        <f t="shared" si="2"/>
        <v>-0.20724954337808435</v>
      </c>
      <c r="K27" s="57" t="s">
        <v>1109</v>
      </c>
      <c r="L27" s="58"/>
      <c r="M27" s="116"/>
      <c r="N27" s="116"/>
      <c r="O27" s="116"/>
      <c r="P27" s="116"/>
      <c r="Q27" s="116"/>
      <c r="R27" s="116"/>
      <c r="S27" s="116"/>
      <c r="T27" s="116"/>
      <c r="U27" s="116"/>
      <c r="V27" s="116"/>
      <c r="W27" s="116"/>
      <c r="X27" s="116"/>
      <c r="Y27" s="116"/>
      <c r="Z27" s="116"/>
      <c r="AA27" s="116"/>
    </row>
    <row r="28" spans="1:27" ht="15.6">
      <c r="A28" s="24" t="str">
        <v>K206</v>
      </c>
      <c r="B28" s="25" t="str">
        <v>NY</v>
      </c>
      <c r="C28" s="25" t="str">
        <f>Sites[[#This Row],[SOL'#]]</f>
        <v>SOL-10927</v>
      </c>
      <c r="D28" s="20">
        <v>20067.3125</v>
      </c>
      <c r="E28" s="10">
        <v>19533.63</v>
      </c>
      <c r="F28" s="10">
        <f t="shared" si="4"/>
        <v>533.68249999999898</v>
      </c>
      <c r="G28" s="11">
        <f t="shared" si="5"/>
        <v>2.7321214746055852E-2</v>
      </c>
      <c r="H28" s="12">
        <v>22532</v>
      </c>
      <c r="I28" s="12">
        <f t="shared" si="6"/>
        <v>-2464.6875</v>
      </c>
      <c r="J28" s="13">
        <f t="shared" si="2"/>
        <v>-0.10938609533108468</v>
      </c>
      <c r="K28" s="59" t="s">
        <v>1109</v>
      </c>
      <c r="L28" s="59"/>
      <c r="M28" s="116"/>
      <c r="N28" s="116"/>
      <c r="O28" s="116"/>
      <c r="P28" s="116"/>
      <c r="Q28" s="116"/>
      <c r="R28" s="116"/>
      <c r="S28" s="116"/>
      <c r="T28" s="116"/>
      <c r="U28" s="116"/>
      <c r="V28" s="116"/>
      <c r="W28" s="116"/>
      <c r="X28" s="116"/>
      <c r="Y28" s="116"/>
      <c r="Z28" s="116"/>
      <c r="AA28" s="116"/>
    </row>
    <row r="29" spans="1:27" ht="16.5" customHeight="1">
      <c r="A29" s="26" t="str">
        <v>K251</v>
      </c>
      <c r="B29" s="27" t="str">
        <v>NY</v>
      </c>
      <c r="C29" s="25" t="str">
        <f>Sites[[#This Row],[SOL'#]]</f>
        <v>SOL-10365</v>
      </c>
      <c r="D29" s="9">
        <v>21288.375</v>
      </c>
      <c r="E29" s="14">
        <v>0</v>
      </c>
      <c r="F29" s="14">
        <f t="shared" si="4"/>
        <v>21288.375</v>
      </c>
      <c r="G29" s="15" t="str">
        <f t="shared" si="5"/>
        <v/>
      </c>
      <c r="H29" s="16">
        <v>26796.3</v>
      </c>
      <c r="I29" s="16">
        <f t="shared" si="6"/>
        <v>-5507.9249999999993</v>
      </c>
      <c r="J29" s="15">
        <f t="shared" si="2"/>
        <v>-0.20554796744326639</v>
      </c>
      <c r="K29" s="57" t="s">
        <v>800</v>
      </c>
      <c r="L29" s="112" t="s">
        <v>284</v>
      </c>
      <c r="M29" s="116"/>
      <c r="N29" s="116"/>
      <c r="O29" s="116"/>
      <c r="P29" s="116"/>
      <c r="Q29" s="116"/>
      <c r="R29" s="116"/>
      <c r="S29" s="116"/>
      <c r="T29" s="116"/>
      <c r="U29" s="116"/>
      <c r="V29" s="116"/>
      <c r="W29" s="116"/>
      <c r="X29" s="116"/>
      <c r="Y29" s="116"/>
      <c r="Z29" s="116"/>
      <c r="AA29" s="116"/>
    </row>
    <row r="30" spans="1:27" ht="15.6">
      <c r="A30" s="24" t="str">
        <v>K269</v>
      </c>
      <c r="B30" s="25" t="str">
        <v>NY</v>
      </c>
      <c r="C30" s="25" t="str">
        <f>Sites[[#This Row],[SOL'#]]</f>
        <v>SOL-10366</v>
      </c>
      <c r="D30" s="20">
        <v>19990.3125</v>
      </c>
      <c r="E30" s="10">
        <v>23304.22</v>
      </c>
      <c r="F30" s="10">
        <f t="shared" si="4"/>
        <v>-3313.9075000000012</v>
      </c>
      <c r="G30" s="11">
        <f t="shared" si="5"/>
        <v>-0.14220203465295131</v>
      </c>
      <c r="H30" s="12">
        <v>24102.37</v>
      </c>
      <c r="I30" s="12">
        <f t="shared" si="6"/>
        <v>-4112.057499999999</v>
      </c>
      <c r="J30" s="13">
        <f t="shared" si="2"/>
        <v>-0.17060801489646035</v>
      </c>
      <c r="K30" s="59" t="s">
        <v>1109</v>
      </c>
      <c r="L30" s="59"/>
      <c r="M30" s="116"/>
      <c r="N30" s="116"/>
      <c r="O30" s="116"/>
      <c r="P30" s="116"/>
      <c r="Q30" s="116"/>
      <c r="R30" s="116"/>
      <c r="S30" s="116"/>
      <c r="T30" s="116"/>
      <c r="U30" s="116"/>
      <c r="V30" s="116"/>
      <c r="W30" s="116"/>
      <c r="X30" s="116"/>
      <c r="Y30" s="116"/>
      <c r="Z30" s="116"/>
      <c r="AA30" s="116"/>
    </row>
    <row r="31" spans="1:27" ht="57.6">
      <c r="A31" s="26" t="str">
        <v>K273</v>
      </c>
      <c r="B31" s="27" t="str">
        <v>NY</v>
      </c>
      <c r="C31" s="25" t="str">
        <f>Sites[[#This Row],[SOL'#]]</f>
        <v>SOL-10367</v>
      </c>
      <c r="D31" s="9">
        <v>21148.875</v>
      </c>
      <c r="E31" s="14">
        <v>0</v>
      </c>
      <c r="F31" s="14">
        <f t="shared" si="4"/>
        <v>21148.875</v>
      </c>
      <c r="G31" s="15" t="str">
        <f t="shared" si="5"/>
        <v/>
      </c>
      <c r="H31" s="16">
        <v>32475</v>
      </c>
      <c r="I31" s="16">
        <f t="shared" si="6"/>
        <v>-11326.125</v>
      </c>
      <c r="J31" s="15">
        <f t="shared" si="2"/>
        <v>-0.34876443418013858</v>
      </c>
      <c r="K31" s="69" t="s">
        <v>1113</v>
      </c>
      <c r="L31" s="114" t="s">
        <v>1114</v>
      </c>
      <c r="M31" s="115" t="s">
        <v>494</v>
      </c>
      <c r="N31" s="115" t="s">
        <v>1115</v>
      </c>
      <c r="O31" s="116"/>
      <c r="P31" s="116"/>
      <c r="Q31" s="116"/>
      <c r="R31" s="116"/>
      <c r="S31" s="116"/>
      <c r="T31" s="116"/>
      <c r="U31" s="116"/>
      <c r="V31" s="116"/>
      <c r="W31" s="116"/>
      <c r="X31" s="116"/>
      <c r="Y31" s="116"/>
      <c r="Z31" s="116"/>
      <c r="AA31" s="116"/>
    </row>
    <row r="32" spans="1:27" ht="15.6">
      <c r="A32" s="24" t="str">
        <v>K287</v>
      </c>
      <c r="B32" s="25" t="str">
        <v>NY</v>
      </c>
      <c r="C32" s="25" t="str">
        <f>Sites[[#This Row],[SOL'#]]</f>
        <v>SOL-10919</v>
      </c>
      <c r="D32" s="20">
        <v>17273.5625</v>
      </c>
      <c r="E32" s="10">
        <v>15150.06</v>
      </c>
      <c r="F32" s="10">
        <f t="shared" si="4"/>
        <v>2123.5025000000005</v>
      </c>
      <c r="G32" s="11">
        <f t="shared" si="5"/>
        <v>0.14016462641072053</v>
      </c>
      <c r="H32" s="12">
        <v>21348</v>
      </c>
      <c r="I32" s="12">
        <f t="shared" si="6"/>
        <v>-4074.4375</v>
      </c>
      <c r="J32" s="13">
        <f t="shared" si="2"/>
        <v>-0.19085804290800074</v>
      </c>
      <c r="K32" s="59" t="s">
        <v>1116</v>
      </c>
      <c r="L32" s="59"/>
      <c r="M32" s="116"/>
      <c r="N32" s="116"/>
      <c r="O32" s="116"/>
      <c r="P32" s="116"/>
      <c r="Q32" s="116"/>
      <c r="R32" s="116"/>
      <c r="S32" s="116"/>
      <c r="T32" s="116"/>
      <c r="U32" s="116"/>
      <c r="V32" s="116"/>
      <c r="W32" s="116"/>
      <c r="X32" s="116"/>
      <c r="Y32" s="116"/>
      <c r="Z32" s="116"/>
      <c r="AA32" s="116"/>
    </row>
    <row r="33" spans="1:27" ht="15.6">
      <c r="A33" s="26" t="str">
        <v>K298</v>
      </c>
      <c r="B33" s="27" t="str">
        <v>NY</v>
      </c>
      <c r="C33" s="25" t="str">
        <f>Sites[[#This Row],[SOL'#]]</f>
        <v>SOL-10368</v>
      </c>
      <c r="D33" s="9">
        <v>18981.46875</v>
      </c>
      <c r="E33" s="14">
        <v>19993.5</v>
      </c>
      <c r="F33" s="14">
        <f t="shared" si="4"/>
        <v>-1012.03125</v>
      </c>
      <c r="G33" s="15">
        <f t="shared" si="5"/>
        <v>-5.0618013354340158E-2</v>
      </c>
      <c r="H33" s="16">
        <v>24419</v>
      </c>
      <c r="I33" s="16">
        <f t="shared" si="6"/>
        <v>-5437.53125</v>
      </c>
      <c r="J33" s="15">
        <f t="shared" si="2"/>
        <v>-0.22267624595601784</v>
      </c>
      <c r="K33" s="57" t="s">
        <v>1116</v>
      </c>
      <c r="L33" s="58"/>
      <c r="M33" s="116"/>
      <c r="N33" s="116"/>
      <c r="O33" s="116"/>
      <c r="P33" s="116"/>
      <c r="Q33" s="116"/>
      <c r="R33" s="116"/>
      <c r="S33" s="116"/>
      <c r="T33" s="116"/>
      <c r="U33" s="116"/>
      <c r="V33" s="116"/>
      <c r="W33" s="116"/>
      <c r="X33" s="116"/>
      <c r="Y33" s="116"/>
      <c r="Z33" s="116"/>
      <c r="AA33" s="116"/>
    </row>
    <row r="34" spans="1:27" ht="28.9">
      <c r="A34" s="24" t="str">
        <v>K335</v>
      </c>
      <c r="B34" s="25" t="str">
        <v>NY</v>
      </c>
      <c r="C34" s="25" t="str">
        <f>Sites[[#This Row],[SOL'#]]</f>
        <v>SOL-10370</v>
      </c>
      <c r="D34" s="20">
        <v>19889.5</v>
      </c>
      <c r="E34" s="10">
        <v>22277.63</v>
      </c>
      <c r="F34" s="10">
        <f t="shared" si="4"/>
        <v>-2388.130000000001</v>
      </c>
      <c r="G34" s="11">
        <f t="shared" si="5"/>
        <v>-0.10719856645433114</v>
      </c>
      <c r="H34" s="12">
        <v>26929</v>
      </c>
      <c r="I34" s="12">
        <f t="shared" si="6"/>
        <v>-7039.5</v>
      </c>
      <c r="J34" s="13">
        <f t="shared" si="2"/>
        <v>-0.26140963273794049</v>
      </c>
      <c r="K34" s="59" t="s">
        <v>1117</v>
      </c>
      <c r="L34" s="59" t="s">
        <v>1118</v>
      </c>
      <c r="M34" s="116"/>
      <c r="N34" s="116"/>
      <c r="O34" s="116"/>
      <c r="P34" s="116"/>
      <c r="Q34" s="116"/>
      <c r="R34" s="116"/>
      <c r="S34" s="116"/>
      <c r="T34" s="116"/>
      <c r="U34" s="116"/>
      <c r="V34" s="116"/>
      <c r="W34" s="116"/>
      <c r="X34" s="116"/>
      <c r="Y34" s="116"/>
      <c r="Z34" s="116"/>
      <c r="AA34" s="116"/>
    </row>
    <row r="35" spans="1:27" ht="15.6">
      <c r="A35" s="26" t="str">
        <v>K345</v>
      </c>
      <c r="B35" s="27" t="str">
        <v>NY</v>
      </c>
      <c r="C35" s="25" t="str">
        <f>Sites[[#This Row],[SOL'#]]</f>
        <v>SOL-10920</v>
      </c>
      <c r="D35" s="9">
        <v>23306.21875</v>
      </c>
      <c r="E35" s="14">
        <v>13816.51</v>
      </c>
      <c r="F35" s="14">
        <f t="shared" si="4"/>
        <v>9489.7087499999998</v>
      </c>
      <c r="G35" s="15">
        <f t="shared" si="5"/>
        <v>0.68683833688825902</v>
      </c>
      <c r="H35" s="16">
        <v>28171</v>
      </c>
      <c r="I35" s="16">
        <f t="shared" si="6"/>
        <v>-4864.78125</v>
      </c>
      <c r="J35" s="15">
        <f t="shared" si="2"/>
        <v>-0.17268755990202692</v>
      </c>
      <c r="K35" s="57" t="s">
        <v>1116</v>
      </c>
      <c r="L35" s="58"/>
      <c r="M35" s="116"/>
      <c r="N35" s="116"/>
      <c r="O35" s="116"/>
      <c r="P35" s="116"/>
      <c r="Q35" s="116"/>
      <c r="R35" s="116"/>
      <c r="S35" s="116"/>
      <c r="T35" s="116"/>
      <c r="U35" s="116"/>
      <c r="V35" s="116"/>
      <c r="W35" s="116"/>
      <c r="X35" s="116"/>
      <c r="Y35" s="116"/>
      <c r="Z35" s="116"/>
      <c r="AA35" s="116"/>
    </row>
    <row r="36" spans="1:27" ht="15.6">
      <c r="A36" s="24" t="str">
        <v>K445</v>
      </c>
      <c r="B36" s="25" t="str">
        <v>NY</v>
      </c>
      <c r="C36" s="25" t="str">
        <f>Sites[[#This Row],[SOL'#]]</f>
        <v>SOL-10373</v>
      </c>
      <c r="D36" s="20">
        <v>19136.25</v>
      </c>
      <c r="E36" s="10">
        <v>20974.76</v>
      </c>
      <c r="F36" s="10">
        <f t="shared" si="4"/>
        <v>-1838.5099999999984</v>
      </c>
      <c r="G36" s="11">
        <f t="shared" si="5"/>
        <v>-8.7653446332639731E-2</v>
      </c>
      <c r="H36" s="12">
        <v>22605.72</v>
      </c>
      <c r="I36" s="12">
        <f t="shared" si="6"/>
        <v>-3469.4700000000012</v>
      </c>
      <c r="J36" s="13">
        <f t="shared" si="2"/>
        <v>-0.15347752692681327</v>
      </c>
      <c r="K36" s="59" t="s">
        <v>1116</v>
      </c>
      <c r="L36" s="59"/>
      <c r="M36" s="116"/>
      <c r="N36" s="116"/>
      <c r="O36" s="116"/>
      <c r="P36" s="116"/>
      <c r="Q36" s="116"/>
      <c r="R36" s="116"/>
      <c r="S36" s="116"/>
      <c r="T36" s="116"/>
      <c r="U36" s="116"/>
      <c r="V36" s="116"/>
      <c r="W36" s="116"/>
      <c r="X36" s="116"/>
      <c r="Y36" s="116"/>
      <c r="Z36" s="116"/>
      <c r="AA36" s="116"/>
    </row>
    <row r="37" spans="1:27" ht="49.5" customHeight="1">
      <c r="A37" s="26" t="str">
        <v>K495</v>
      </c>
      <c r="B37" s="27" t="str">
        <v>NY</v>
      </c>
      <c r="C37" s="25" t="str">
        <f>Sites[[#This Row],[SOL'#]]</f>
        <v>SOL-10374</v>
      </c>
      <c r="D37" s="9">
        <v>77124.875</v>
      </c>
      <c r="E37" s="14">
        <v>80257.289999999994</v>
      </c>
      <c r="F37" s="14">
        <f t="shared" si="4"/>
        <v>-3132.4149999999936</v>
      </c>
      <c r="G37" s="15">
        <f t="shared" si="5"/>
        <v>-3.9029663224362472E-2</v>
      </c>
      <c r="H37" s="16">
        <v>96985.07</v>
      </c>
      <c r="I37" s="16">
        <f t="shared" si="6"/>
        <v>-19860.195000000007</v>
      </c>
      <c r="J37" s="15">
        <f t="shared" si="2"/>
        <v>-0.20477579693451792</v>
      </c>
      <c r="K37" s="57" t="s">
        <v>1119</v>
      </c>
      <c r="L37" s="112" t="s">
        <v>1120</v>
      </c>
      <c r="M37" s="116"/>
      <c r="N37" s="116"/>
      <c r="O37" s="116"/>
      <c r="P37" s="116"/>
      <c r="Q37" s="116"/>
      <c r="R37" s="116"/>
      <c r="S37" s="116"/>
      <c r="T37" s="116"/>
      <c r="U37" s="116"/>
      <c r="V37" s="116"/>
      <c r="W37" s="116"/>
      <c r="X37" s="116"/>
      <c r="Y37" s="116"/>
      <c r="Z37" s="116"/>
      <c r="AA37" s="116"/>
    </row>
    <row r="38" spans="1:27" ht="28.9">
      <c r="A38" s="24" t="str">
        <v>M020</v>
      </c>
      <c r="B38" s="25" t="str">
        <v>NY</v>
      </c>
      <c r="C38" s="25" t="str">
        <f>Sites[[#This Row],[SOL'#]]</f>
        <v>SOL-10380</v>
      </c>
      <c r="D38" s="20">
        <v>18998.15625</v>
      </c>
      <c r="E38" s="10">
        <v>22034.82</v>
      </c>
      <c r="F38" s="10">
        <f t="shared" si="4"/>
        <v>-3036.6637499999997</v>
      </c>
      <c r="G38" s="11">
        <f t="shared" si="5"/>
        <v>-0.13781205156202772</v>
      </c>
      <c r="H38" s="12">
        <v>26418</v>
      </c>
      <c r="I38" s="12">
        <f t="shared" si="6"/>
        <v>-7419.84375</v>
      </c>
      <c r="J38" s="13">
        <f t="shared" si="2"/>
        <v>-0.28086318987054282</v>
      </c>
      <c r="K38" s="59" t="s">
        <v>1121</v>
      </c>
      <c r="L38" s="111" t="s">
        <v>1122</v>
      </c>
      <c r="M38" s="116"/>
      <c r="N38" s="116"/>
      <c r="O38" s="116"/>
      <c r="P38" s="116"/>
      <c r="Q38" s="116"/>
      <c r="R38" s="116"/>
      <c r="S38" s="116"/>
      <c r="T38" s="116"/>
      <c r="U38" s="116"/>
      <c r="V38" s="116"/>
      <c r="W38" s="116"/>
      <c r="X38" s="116"/>
      <c r="Y38" s="116"/>
      <c r="Z38" s="116"/>
      <c r="AA38" s="116"/>
    </row>
    <row r="39" spans="1:27" ht="28.9">
      <c r="A39" s="26" t="str">
        <v>M092</v>
      </c>
      <c r="B39" s="27" t="str">
        <v>NY</v>
      </c>
      <c r="C39" s="25" t="str">
        <f>Sites[[#This Row],[SOL'#]]</f>
        <v>SOL-10383</v>
      </c>
      <c r="D39" s="9">
        <v>19958.3125</v>
      </c>
      <c r="E39" s="14">
        <v>21332.720000000001</v>
      </c>
      <c r="F39" s="14">
        <f t="shared" si="4"/>
        <v>-1374.4075000000012</v>
      </c>
      <c r="G39" s="15">
        <f t="shared" si="5"/>
        <v>-6.4427203844610578E-2</v>
      </c>
      <c r="H39" s="16">
        <v>25140.73</v>
      </c>
      <c r="I39" s="16">
        <f t="shared" si="6"/>
        <v>-5182.4174999999996</v>
      </c>
      <c r="J39" s="15">
        <f t="shared" si="2"/>
        <v>-0.20613631744185629</v>
      </c>
      <c r="K39" s="57" t="s">
        <v>1123</v>
      </c>
      <c r="L39" s="57" t="s">
        <v>1124</v>
      </c>
      <c r="M39" s="116"/>
      <c r="N39" s="116"/>
      <c r="O39" s="116"/>
      <c r="P39" s="116"/>
      <c r="Q39" s="116"/>
      <c r="R39" s="116"/>
      <c r="S39" s="116"/>
      <c r="T39" s="116"/>
      <c r="U39" s="116"/>
      <c r="V39" s="116"/>
      <c r="W39" s="116"/>
      <c r="X39" s="116"/>
      <c r="Y39" s="116"/>
      <c r="Z39" s="116"/>
      <c r="AA39" s="116"/>
    </row>
    <row r="40" spans="1:27" ht="28.9">
      <c r="A40" s="24" t="str">
        <v>M143</v>
      </c>
      <c r="B40" s="25" t="str">
        <v>NY</v>
      </c>
      <c r="C40" s="25" t="str">
        <f>Sites[[#This Row],[SOL'#]]</f>
        <v>SOL-10384</v>
      </c>
      <c r="D40" s="20">
        <v>22306</v>
      </c>
      <c r="E40" s="10">
        <v>26674.51</v>
      </c>
      <c r="F40" s="10">
        <f t="shared" si="4"/>
        <v>-4368.5099999999984</v>
      </c>
      <c r="G40" s="11">
        <f t="shared" si="5"/>
        <v>-0.1637709558676054</v>
      </c>
      <c r="H40" s="12">
        <v>28183.46</v>
      </c>
      <c r="I40" s="12">
        <f t="shared" si="6"/>
        <v>-5877.4599999999991</v>
      </c>
      <c r="J40" s="13">
        <f t="shared" si="2"/>
        <v>-0.20854288295333501</v>
      </c>
      <c r="K40" s="59" t="s">
        <v>1125</v>
      </c>
      <c r="L40" s="111" t="s">
        <v>1126</v>
      </c>
      <c r="M40" s="116"/>
      <c r="N40" s="116"/>
      <c r="O40" s="116"/>
      <c r="P40" s="116"/>
      <c r="Q40" s="116"/>
      <c r="R40" s="116"/>
      <c r="S40" s="116"/>
      <c r="T40" s="116"/>
      <c r="U40" s="116"/>
      <c r="V40" s="116"/>
      <c r="W40" s="116"/>
      <c r="X40" s="116"/>
      <c r="Y40" s="116"/>
      <c r="Z40" s="116"/>
      <c r="AA40" s="116"/>
    </row>
    <row r="41" spans="1:27" ht="15.6">
      <c r="A41" s="26" t="str">
        <v>M144</v>
      </c>
      <c r="B41" s="27" t="str">
        <v>NY</v>
      </c>
      <c r="C41" s="25" t="str">
        <f>Sites[[#This Row],[SOL'#]]</f>
        <v>SOL-10385</v>
      </c>
      <c r="D41" s="9">
        <v>33062.0625</v>
      </c>
      <c r="E41" s="14">
        <v>36664.14</v>
      </c>
      <c r="F41" s="14">
        <f t="shared" si="4"/>
        <v>-3602.0774999999994</v>
      </c>
      <c r="G41" s="15">
        <f t="shared" si="5"/>
        <v>-9.8245247263402322E-2</v>
      </c>
      <c r="H41" s="16">
        <v>48015.14</v>
      </c>
      <c r="I41" s="16">
        <f t="shared" si="6"/>
        <v>-14953.077499999999</v>
      </c>
      <c r="J41" s="15">
        <f t="shared" si="2"/>
        <v>-0.31142421952742405</v>
      </c>
      <c r="K41" s="57" t="s">
        <v>1127</v>
      </c>
      <c r="L41" s="57"/>
      <c r="M41" s="116"/>
      <c r="N41" s="116"/>
      <c r="O41" s="116"/>
      <c r="P41" s="116"/>
      <c r="Q41" s="116"/>
      <c r="R41" s="116"/>
      <c r="S41" s="116"/>
      <c r="T41" s="116"/>
      <c r="U41" s="116"/>
      <c r="V41" s="116"/>
      <c r="W41" s="116"/>
      <c r="X41" s="116"/>
      <c r="Y41" s="116"/>
      <c r="Z41" s="116"/>
      <c r="AA41" s="116"/>
    </row>
    <row r="42" spans="1:27" ht="15.6">
      <c r="A42" s="24" t="str">
        <v>M167</v>
      </c>
      <c r="B42" s="25" t="str">
        <v>NY</v>
      </c>
      <c r="C42" s="25" t="str">
        <f>Sites[[#This Row],[SOL'#]]</f>
        <v>SOL-10386</v>
      </c>
      <c r="D42" s="20">
        <v>25394.96875</v>
      </c>
      <c r="E42" s="10">
        <v>18995.12</v>
      </c>
      <c r="F42" s="10">
        <f t="shared" si="4"/>
        <v>6399.848750000001</v>
      </c>
      <c r="G42" s="11">
        <f t="shared" si="5"/>
        <v>0.33692068015363952</v>
      </c>
      <c r="H42" s="12">
        <v>34279.879999999997</v>
      </c>
      <c r="I42" s="12">
        <f t="shared" si="6"/>
        <v>-8884.9112499999974</v>
      </c>
      <c r="J42" s="13">
        <f t="shared" si="2"/>
        <v>-0.25918734983903091</v>
      </c>
      <c r="K42" s="59" t="s">
        <v>1127</v>
      </c>
      <c r="L42" s="59"/>
      <c r="M42" s="116"/>
      <c r="N42" s="116"/>
      <c r="O42" s="116"/>
      <c r="P42" s="116"/>
      <c r="Q42" s="116"/>
      <c r="R42" s="116"/>
      <c r="S42" s="116"/>
      <c r="T42" s="116"/>
      <c r="U42" s="116"/>
      <c r="V42" s="116"/>
      <c r="W42" s="116"/>
      <c r="X42" s="116"/>
      <c r="Y42" s="116"/>
      <c r="Z42" s="116"/>
      <c r="AA42" s="116"/>
    </row>
    <row r="43" spans="1:27" ht="45.75" customHeight="1">
      <c r="A43" s="26" t="str">
        <v>M188</v>
      </c>
      <c r="B43" s="27" t="str">
        <v>NY</v>
      </c>
      <c r="C43" s="25" t="str">
        <f>Sites[[#This Row],[SOL'#]]</f>
        <v>SOL-10387</v>
      </c>
      <c r="D43" s="9">
        <v>16312.09375</v>
      </c>
      <c r="E43" s="14">
        <v>18711.310000000001</v>
      </c>
      <c r="F43" s="14">
        <f t="shared" si="4"/>
        <v>-2399.2162500000013</v>
      </c>
      <c r="G43" s="15">
        <f t="shared" si="5"/>
        <v>-0.12822278343953475</v>
      </c>
      <c r="H43" s="16">
        <v>24466.27</v>
      </c>
      <c r="I43" s="16">
        <f t="shared" si="6"/>
        <v>-8154.1762500000004</v>
      </c>
      <c r="J43" s="15">
        <f t="shared" si="2"/>
        <v>-0.33328236179850873</v>
      </c>
      <c r="K43" s="57" t="s">
        <v>1128</v>
      </c>
      <c r="L43" s="112" t="s">
        <v>1129</v>
      </c>
      <c r="M43" s="115" t="s">
        <v>1130</v>
      </c>
      <c r="N43" s="116"/>
      <c r="O43" s="116"/>
      <c r="P43" s="116"/>
      <c r="Q43" s="116"/>
      <c r="R43" s="116"/>
      <c r="S43" s="116"/>
      <c r="T43" s="116"/>
      <c r="U43" s="116"/>
      <c r="V43" s="116"/>
      <c r="W43" s="116"/>
      <c r="X43" s="116"/>
      <c r="Y43" s="116"/>
      <c r="Z43" s="116"/>
      <c r="AA43" s="116"/>
    </row>
    <row r="44" spans="1:27" ht="15.6">
      <c r="A44" s="24" t="str">
        <v>EMHC</v>
      </c>
      <c r="B44" s="25" t="str">
        <v>NY</v>
      </c>
      <c r="C44" s="25" t="str">
        <f>Sites[[#This Row],[SOL'#]]</f>
        <v>SOL-10351</v>
      </c>
      <c r="D44" s="20">
        <v>7420.015625</v>
      </c>
      <c r="E44" s="10">
        <v>6261.3670000000002</v>
      </c>
      <c r="F44" s="10">
        <f t="shared" si="4"/>
        <v>1158.6486249999998</v>
      </c>
      <c r="G44" s="11">
        <f t="shared" si="5"/>
        <v>0.18504723090021713</v>
      </c>
      <c r="H44" s="12">
        <v>11538.26</v>
      </c>
      <c r="I44" s="12">
        <f t="shared" si="6"/>
        <v>-4118.2443750000002</v>
      </c>
      <c r="J44" s="13">
        <f t="shared" si="2"/>
        <v>-0.35692074671570934</v>
      </c>
      <c r="K44" s="59" t="s">
        <v>1131</v>
      </c>
      <c r="L44" s="59"/>
      <c r="M44" s="116"/>
      <c r="N44" s="116"/>
      <c r="O44" s="116"/>
      <c r="P44" s="116"/>
      <c r="Q44" s="116"/>
      <c r="R44" s="116"/>
      <c r="S44" s="116"/>
      <c r="T44" s="116"/>
      <c r="U44" s="116"/>
      <c r="V44" s="116"/>
      <c r="W44" s="116"/>
      <c r="X44" s="116"/>
      <c r="Y44" s="116"/>
      <c r="Z44" s="116"/>
      <c r="AA44" s="116"/>
    </row>
    <row r="45" spans="1:27" ht="28.9">
      <c r="A45" s="26" t="str">
        <v>Q008</v>
      </c>
      <c r="B45" s="27" t="str">
        <v>NY</v>
      </c>
      <c r="C45" s="25" t="str">
        <f>Sites[[#This Row],[SOL'#]]</f>
        <v>SOL-10397</v>
      </c>
      <c r="D45" s="9">
        <v>0</v>
      </c>
      <c r="E45" s="14">
        <v>0</v>
      </c>
      <c r="F45" s="14">
        <f t="shared" si="4"/>
        <v>0</v>
      </c>
      <c r="G45" s="15" t="str">
        <f t="shared" si="5"/>
        <v/>
      </c>
      <c r="H45" s="16">
        <v>34336</v>
      </c>
      <c r="I45" s="12">
        <f t="shared" si="6"/>
        <v>-34336</v>
      </c>
      <c r="J45" s="15">
        <f t="shared" si="2"/>
        <v>-1</v>
      </c>
      <c r="K45" s="57" t="s">
        <v>1132</v>
      </c>
      <c r="L45" s="112" t="s">
        <v>1133</v>
      </c>
      <c r="M45" s="116"/>
      <c r="N45" s="116"/>
      <c r="O45" s="116"/>
      <c r="P45" s="116"/>
      <c r="Q45" s="116"/>
      <c r="R45" s="116"/>
      <c r="S45" s="116"/>
      <c r="T45" s="116"/>
      <c r="U45" s="116"/>
      <c r="V45" s="116"/>
      <c r="W45" s="116"/>
      <c r="X45" s="116"/>
      <c r="Y45" s="116"/>
      <c r="Z45" s="116"/>
      <c r="AA45" s="116"/>
    </row>
    <row r="46" spans="1:27" ht="15.6">
      <c r="A46" s="24" t="str">
        <v>Q018</v>
      </c>
      <c r="B46" s="25" t="str">
        <v>NY</v>
      </c>
      <c r="C46" s="25" t="str">
        <f>Sites[[#This Row],[SOL'#]]</f>
        <v>SOL-10398</v>
      </c>
      <c r="D46" s="20">
        <v>18590.5625</v>
      </c>
      <c r="E46" s="10">
        <v>18781.919999999998</v>
      </c>
      <c r="F46" s="10">
        <f t="shared" si="4"/>
        <v>-191.35749999999825</v>
      </c>
      <c r="G46" s="11">
        <f t="shared" si="5"/>
        <v>-1.0188388620545625E-2</v>
      </c>
      <c r="H46" s="12">
        <v>21124.54</v>
      </c>
      <c r="I46" s="12">
        <f t="shared" si="6"/>
        <v>-2533.9775000000009</v>
      </c>
      <c r="J46" s="13">
        <f t="shared" si="2"/>
        <v>-0.11995420965379605</v>
      </c>
      <c r="K46" s="59" t="s">
        <v>1131</v>
      </c>
      <c r="L46" s="59"/>
      <c r="M46" s="116"/>
      <c r="N46" s="116"/>
      <c r="O46" s="116"/>
      <c r="P46" s="116"/>
      <c r="Q46" s="116"/>
      <c r="R46" s="116"/>
      <c r="S46" s="116"/>
      <c r="T46" s="116"/>
      <c r="U46" s="116"/>
      <c r="V46" s="116"/>
      <c r="W46" s="116"/>
      <c r="X46" s="116"/>
      <c r="Y46" s="116"/>
      <c r="Z46" s="116"/>
      <c r="AA46" s="116"/>
    </row>
    <row r="47" spans="1:27" ht="15.6">
      <c r="A47" s="26" t="str">
        <v>Q021</v>
      </c>
      <c r="B47" s="27" t="str">
        <v>NY</v>
      </c>
      <c r="C47" s="25" t="str">
        <f>Sites[[#This Row],[SOL'#]]</f>
        <v>SOL-10399</v>
      </c>
      <c r="D47" s="9">
        <v>14804.96875</v>
      </c>
      <c r="E47" s="14">
        <v>14261.11</v>
      </c>
      <c r="F47" s="14">
        <f t="shared" si="4"/>
        <v>543.85874999999942</v>
      </c>
      <c r="G47" s="15">
        <f t="shared" si="5"/>
        <v>3.8135793777623161E-2</v>
      </c>
      <c r="H47" s="16">
        <v>17717.82</v>
      </c>
      <c r="I47" s="16">
        <f t="shared" si="6"/>
        <v>-2912.8512499999997</v>
      </c>
      <c r="J47" s="15">
        <f t="shared" si="2"/>
        <v>-0.16440235028914391</v>
      </c>
      <c r="K47" s="57" t="s">
        <v>1131</v>
      </c>
      <c r="L47" s="58"/>
      <c r="M47" s="116"/>
      <c r="N47" s="116"/>
      <c r="O47" s="116"/>
      <c r="P47" s="116"/>
      <c r="Q47" s="116"/>
      <c r="R47" s="116"/>
      <c r="S47" s="116"/>
      <c r="T47" s="116"/>
      <c r="U47" s="116"/>
      <c r="V47" s="116"/>
      <c r="W47" s="116"/>
      <c r="X47" s="116"/>
      <c r="Y47" s="116"/>
      <c r="Z47" s="116"/>
      <c r="AA47" s="116"/>
    </row>
    <row r="48" spans="1:27" ht="15.75" customHeight="1">
      <c r="A48" s="24" t="str">
        <v>Q025</v>
      </c>
      <c r="B48" s="25" t="str">
        <v>NY</v>
      </c>
      <c r="C48" s="25" t="str">
        <f>Sites[[#This Row],[SOL'#]]</f>
        <v>SOL-10400</v>
      </c>
      <c r="D48" s="20">
        <v>25441.375</v>
      </c>
      <c r="E48" s="10">
        <v>25325.86</v>
      </c>
      <c r="F48" s="10">
        <f t="shared" si="4"/>
        <v>115.51499999999942</v>
      </c>
      <c r="G48" s="11">
        <f t="shared" si="5"/>
        <v>4.5611481702891596E-3</v>
      </c>
      <c r="H48" s="12">
        <v>15072</v>
      </c>
      <c r="I48" s="12">
        <f t="shared" si="6"/>
        <v>10369.375</v>
      </c>
      <c r="J48" s="13">
        <f t="shared" si="2"/>
        <v>0.68798931794055207</v>
      </c>
      <c r="K48" s="59"/>
      <c r="L48" s="59"/>
      <c r="M48" s="116"/>
      <c r="N48" s="116"/>
      <c r="O48" s="116"/>
      <c r="P48" s="116"/>
      <c r="Q48" s="116"/>
      <c r="R48" s="116"/>
      <c r="S48" s="116"/>
      <c r="T48" s="116"/>
      <c r="U48" s="116"/>
      <c r="V48" s="116"/>
      <c r="W48" s="116"/>
      <c r="X48" s="116"/>
      <c r="Y48" s="116"/>
      <c r="Z48" s="116"/>
      <c r="AA48" s="116"/>
    </row>
    <row r="49" spans="1:27" ht="15.6">
      <c r="A49" s="26" t="str">
        <v>Q074</v>
      </c>
      <c r="B49" s="27" t="str">
        <v>NY</v>
      </c>
      <c r="C49" s="25" t="str">
        <f>Sites[[#This Row],[SOL'#]]</f>
        <v>SOL-10402</v>
      </c>
      <c r="D49" s="9">
        <v>16785.8125</v>
      </c>
      <c r="E49" s="14">
        <v>16862.68</v>
      </c>
      <c r="F49" s="14">
        <f t="shared" si="4"/>
        <v>-76.867500000000291</v>
      </c>
      <c r="G49" s="15">
        <f t="shared" si="5"/>
        <v>-4.5584391093230906E-3</v>
      </c>
      <c r="H49" s="16">
        <v>20108.2</v>
      </c>
      <c r="I49" s="16">
        <f t="shared" si="6"/>
        <v>-3322.3875000000007</v>
      </c>
      <c r="J49" s="15">
        <f t="shared" si="2"/>
        <v>-0.16522550501785344</v>
      </c>
      <c r="K49" s="119" t="s">
        <v>1131</v>
      </c>
      <c r="L49" s="58"/>
      <c r="M49" s="116"/>
      <c r="N49" s="116"/>
      <c r="O49" s="116"/>
      <c r="P49" s="116"/>
      <c r="Q49" s="116"/>
      <c r="R49" s="116"/>
      <c r="S49" s="116"/>
      <c r="T49" s="116"/>
      <c r="U49" s="116"/>
      <c r="V49" s="116"/>
      <c r="W49" s="116"/>
      <c r="X49" s="116"/>
      <c r="Y49" s="116"/>
      <c r="Z49" s="116"/>
      <c r="AA49" s="116"/>
    </row>
    <row r="50" spans="1:27" ht="15.6">
      <c r="A50" s="24" t="str">
        <v>Q115</v>
      </c>
      <c r="B50" s="25" t="str">
        <v>NY</v>
      </c>
      <c r="C50" s="25" t="str">
        <f>Sites[[#This Row],[SOL'#]]</f>
        <v>SOL-10872</v>
      </c>
      <c r="D50" s="20">
        <v>20876.125</v>
      </c>
      <c r="E50" s="10">
        <v>22397.69</v>
      </c>
      <c r="F50" s="10">
        <f t="shared" si="4"/>
        <v>-1521.5649999999987</v>
      </c>
      <c r="G50" s="11">
        <f t="shared" si="5"/>
        <v>-6.7934014623829461E-2</v>
      </c>
      <c r="H50" s="12">
        <v>26296.240000000002</v>
      </c>
      <c r="I50" s="12">
        <f t="shared" si="6"/>
        <v>-5420.1150000000016</v>
      </c>
      <c r="J50" s="13">
        <f t="shared" si="2"/>
        <v>-0.20611749056138828</v>
      </c>
      <c r="K50" s="59" t="s">
        <v>1131</v>
      </c>
      <c r="L50" s="59"/>
      <c r="M50" s="116"/>
      <c r="N50" s="116"/>
      <c r="O50" s="116"/>
      <c r="P50" s="116"/>
      <c r="Q50" s="116"/>
      <c r="R50" s="116"/>
      <c r="S50" s="116"/>
      <c r="T50" s="116"/>
      <c r="U50" s="116"/>
      <c r="V50" s="116"/>
      <c r="W50" s="116"/>
      <c r="X50" s="116"/>
      <c r="Y50" s="116"/>
      <c r="Z50" s="116"/>
      <c r="AA50" s="116"/>
    </row>
    <row r="51" spans="1:27" ht="15.6">
      <c r="A51" s="26" t="str">
        <v>Q139</v>
      </c>
      <c r="B51" s="27" t="str">
        <v>NY</v>
      </c>
      <c r="C51" s="25" t="str">
        <f>Sites[[#This Row],[SOL'#]]</f>
        <v>SOL-10403</v>
      </c>
      <c r="D51" s="9">
        <v>12977.75</v>
      </c>
      <c r="E51" s="14">
        <v>14622.39</v>
      </c>
      <c r="F51" s="14">
        <f t="shared" si="4"/>
        <v>-1644.6399999999994</v>
      </c>
      <c r="G51" s="15">
        <f t="shared" si="5"/>
        <v>-0.11247408939304721</v>
      </c>
      <c r="H51" s="16">
        <v>17028</v>
      </c>
      <c r="I51" s="16">
        <f t="shared" si="6"/>
        <v>-4050.25</v>
      </c>
      <c r="J51" s="15">
        <f t="shared" si="2"/>
        <v>-0.23785823349776838</v>
      </c>
      <c r="K51" s="119" t="s">
        <v>1131</v>
      </c>
      <c r="L51" s="58"/>
      <c r="M51" s="116"/>
      <c r="N51" s="116"/>
      <c r="O51" s="116"/>
      <c r="P51" s="116"/>
      <c r="Q51" s="116"/>
      <c r="R51" s="116"/>
      <c r="S51" s="116"/>
      <c r="T51" s="116"/>
      <c r="U51" s="116"/>
      <c r="V51" s="116"/>
      <c r="W51" s="116"/>
      <c r="X51" s="116"/>
      <c r="Y51" s="116"/>
      <c r="Z51" s="116"/>
      <c r="AA51" s="116"/>
    </row>
    <row r="52" spans="1:27" ht="15.6">
      <c r="A52" s="24" t="str">
        <v>Q157</v>
      </c>
      <c r="B52" s="25" t="str">
        <v>NY</v>
      </c>
      <c r="C52" s="25" t="str">
        <f>Sites[[#This Row],[SOL'#]]</f>
        <v>SOL-10404</v>
      </c>
      <c r="D52" s="20">
        <v>22952.0625</v>
      </c>
      <c r="E52" s="10">
        <v>24578.17</v>
      </c>
      <c r="F52" s="10">
        <f t="shared" si="4"/>
        <v>-1626.1074999999983</v>
      </c>
      <c r="G52" s="11">
        <f t="shared" si="5"/>
        <v>-6.6160641740210857E-2</v>
      </c>
      <c r="H52" s="12">
        <v>29961.49</v>
      </c>
      <c r="I52" s="12">
        <f t="shared" si="6"/>
        <v>-7009.4275000000016</v>
      </c>
      <c r="J52" s="13">
        <f t="shared" si="2"/>
        <v>-0.23394789444717207</v>
      </c>
      <c r="K52" s="59" t="s">
        <v>1131</v>
      </c>
      <c r="L52" s="59"/>
      <c r="M52" s="116"/>
      <c r="N52" s="116"/>
      <c r="O52" s="116"/>
      <c r="P52" s="116"/>
      <c r="Q52" s="116"/>
      <c r="R52" s="116"/>
      <c r="S52" s="116"/>
      <c r="T52" s="116"/>
      <c r="U52" s="116"/>
      <c r="V52" s="116"/>
      <c r="W52" s="116"/>
      <c r="X52" s="116"/>
      <c r="Y52" s="116"/>
      <c r="Z52" s="116"/>
      <c r="AA52" s="116"/>
    </row>
    <row r="53" spans="1:27" ht="15.6">
      <c r="A53" s="26" t="str">
        <v>Q192</v>
      </c>
      <c r="B53" s="27" t="str">
        <v>NY</v>
      </c>
      <c r="C53" s="25" t="str">
        <f>Sites[[#This Row],[SOL'#]]</f>
        <v>SOL-10406</v>
      </c>
      <c r="D53" s="9">
        <v>35333.875</v>
      </c>
      <c r="E53" s="14">
        <v>38608.28</v>
      </c>
      <c r="F53" s="14">
        <f t="shared" si="4"/>
        <v>-3274.4049999999988</v>
      </c>
      <c r="G53" s="15">
        <f t="shared" si="5"/>
        <v>-8.481095246926304E-2</v>
      </c>
      <c r="H53" s="16">
        <v>43528.92</v>
      </c>
      <c r="I53" s="16">
        <f t="shared" si="6"/>
        <v>-8195.0449999999983</v>
      </c>
      <c r="J53" s="15">
        <f t="shared" si="2"/>
        <v>-0.18826667420188689</v>
      </c>
      <c r="K53" s="57" t="s">
        <v>1131</v>
      </c>
      <c r="L53" s="57"/>
      <c r="M53" s="116"/>
      <c r="N53" s="116"/>
      <c r="O53" s="116"/>
      <c r="P53" s="116"/>
      <c r="Q53" s="116"/>
      <c r="R53" s="116"/>
      <c r="S53" s="116"/>
      <c r="T53" s="116"/>
      <c r="U53" s="116"/>
      <c r="V53" s="116"/>
      <c r="W53" s="116"/>
      <c r="X53" s="116"/>
      <c r="Y53" s="116"/>
      <c r="Z53" s="116"/>
      <c r="AA53" s="116"/>
    </row>
    <row r="54" spans="1:27" ht="34.5" customHeight="1">
      <c r="A54" s="24" t="str">
        <v>Q210</v>
      </c>
      <c r="B54" s="25" t="str">
        <v>NY</v>
      </c>
      <c r="C54" s="25" t="str">
        <f>Sites[[#This Row],[SOL'#]]</f>
        <v>SOL-10407</v>
      </c>
      <c r="D54" s="20">
        <v>28812.875</v>
      </c>
      <c r="E54" s="10">
        <v>29402.13</v>
      </c>
      <c r="F54" s="10">
        <f t="shared" si="4"/>
        <v>-589.25500000000102</v>
      </c>
      <c r="G54" s="11">
        <f t="shared" si="5"/>
        <v>-2.0041235107796648E-2</v>
      </c>
      <c r="H54" s="12">
        <v>36236</v>
      </c>
      <c r="I54" s="12">
        <f t="shared" si="6"/>
        <v>-7423.125</v>
      </c>
      <c r="J54" s="13">
        <f t="shared" si="2"/>
        <v>-0.20485497847444531</v>
      </c>
      <c r="K54" s="59" t="s">
        <v>1134</v>
      </c>
      <c r="L54" s="59" t="s">
        <v>1135</v>
      </c>
      <c r="M54" s="116"/>
      <c r="N54" s="116"/>
      <c r="O54" s="116"/>
      <c r="P54" s="116"/>
      <c r="Q54" s="116"/>
      <c r="R54" s="116"/>
      <c r="S54" s="116"/>
      <c r="T54" s="116"/>
      <c r="U54" s="116"/>
      <c r="V54" s="116"/>
      <c r="W54" s="116"/>
      <c r="X54" s="116"/>
      <c r="Y54" s="116"/>
      <c r="Z54" s="116"/>
      <c r="AA54" s="116"/>
    </row>
    <row r="55" spans="1:27" ht="15.6">
      <c r="A55" s="26" t="str">
        <v>Q229</v>
      </c>
      <c r="B55" s="27" t="str">
        <v>NY</v>
      </c>
      <c r="C55" s="25" t="str">
        <f>Sites[[#This Row],[SOL'#]]</f>
        <v>SOL-10408</v>
      </c>
      <c r="D55" s="9">
        <v>12689.875</v>
      </c>
      <c r="E55" s="14">
        <v>14323.36</v>
      </c>
      <c r="F55" s="14">
        <f t="shared" si="4"/>
        <v>-1633.4850000000006</v>
      </c>
      <c r="G55" s="15">
        <f t="shared" si="5"/>
        <v>-0.11404342277231044</v>
      </c>
      <c r="H55" s="16">
        <v>15713.58</v>
      </c>
      <c r="I55" s="16">
        <f t="shared" si="6"/>
        <v>-3023.7049999999999</v>
      </c>
      <c r="J55" s="15">
        <f t="shared" si="2"/>
        <v>-0.19242623259626387</v>
      </c>
      <c r="K55" s="57" t="s">
        <v>1136</v>
      </c>
      <c r="L55" s="112" t="s">
        <v>828</v>
      </c>
      <c r="M55" s="116"/>
      <c r="N55" s="116"/>
      <c r="O55" s="116"/>
      <c r="P55" s="116"/>
      <c r="Q55" s="116"/>
      <c r="R55" s="116"/>
      <c r="S55" s="116"/>
      <c r="T55" s="116"/>
      <c r="U55" s="116"/>
      <c r="V55" s="116"/>
      <c r="W55" s="116"/>
      <c r="X55" s="116"/>
      <c r="Y55" s="116"/>
      <c r="Z55" s="116"/>
      <c r="AA55" s="116"/>
    </row>
    <row r="56" spans="1:27" ht="15.6">
      <c r="A56" s="24" t="str">
        <v>Q231</v>
      </c>
      <c r="B56" s="25" t="str">
        <v>NY</v>
      </c>
      <c r="C56" s="25" t="str">
        <f>Sites[[#This Row],[SOL'#]]</f>
        <v>SOL-10870</v>
      </c>
      <c r="D56" s="20">
        <v>46209.375</v>
      </c>
      <c r="E56" s="10">
        <v>49357.63</v>
      </c>
      <c r="F56" s="10">
        <f t="shared" si="4"/>
        <v>-3148.2549999999974</v>
      </c>
      <c r="G56" s="11">
        <f t="shared" si="5"/>
        <v>-6.3784565831057891E-2</v>
      </c>
      <c r="H56" s="12">
        <v>56670</v>
      </c>
      <c r="I56" s="12">
        <f t="shared" si="6"/>
        <v>-10460.625</v>
      </c>
      <c r="J56" s="13">
        <f t="shared" si="2"/>
        <v>-0.18458840656431974</v>
      </c>
      <c r="K56" s="59" t="s">
        <v>1131</v>
      </c>
      <c r="L56" s="59"/>
      <c r="M56" s="116"/>
      <c r="N56" s="116"/>
      <c r="O56" s="116"/>
      <c r="P56" s="116"/>
      <c r="Q56" s="116"/>
      <c r="R56" s="116"/>
      <c r="S56" s="116"/>
      <c r="T56" s="116"/>
      <c r="U56" s="116"/>
      <c r="V56" s="116"/>
      <c r="W56" s="116"/>
      <c r="X56" s="116"/>
      <c r="Y56" s="116"/>
      <c r="Z56" s="116"/>
      <c r="AA56" s="116"/>
    </row>
    <row r="57" spans="1:27" ht="28.9">
      <c r="A57" s="26" t="str">
        <v>Q405</v>
      </c>
      <c r="B57" s="27" t="str">
        <v>NY</v>
      </c>
      <c r="C57" s="25" t="str">
        <f>Sites[[#This Row],[SOL'#]]</f>
        <v>SOL-10409</v>
      </c>
      <c r="D57" s="9">
        <v>50854.75</v>
      </c>
      <c r="E57" s="14">
        <v>59419.38</v>
      </c>
      <c r="F57" s="14">
        <f t="shared" si="4"/>
        <v>-8564.6299999999974</v>
      </c>
      <c r="G57" s="15">
        <f t="shared" si="5"/>
        <v>-0.14413866317689611</v>
      </c>
      <c r="H57" s="16">
        <v>64917.55</v>
      </c>
      <c r="I57" s="16">
        <f t="shared" si="6"/>
        <v>-14062.800000000003</v>
      </c>
      <c r="J57" s="15">
        <f t="shared" si="2"/>
        <v>-0.21662555040971204</v>
      </c>
      <c r="K57" s="57" t="s">
        <v>1137</v>
      </c>
      <c r="L57" s="112" t="s">
        <v>1138</v>
      </c>
      <c r="M57" s="116"/>
      <c r="N57" s="116"/>
      <c r="O57" s="116"/>
      <c r="P57" s="116"/>
      <c r="Q57" s="116"/>
      <c r="R57" s="116"/>
      <c r="S57" s="116"/>
      <c r="T57" s="116"/>
      <c r="U57" s="116"/>
      <c r="V57" s="116"/>
      <c r="W57" s="116"/>
      <c r="X57" s="116"/>
      <c r="Y57" s="116"/>
      <c r="Z57" s="116"/>
      <c r="AA57" s="116"/>
    </row>
    <row r="58" spans="1:27" ht="43.15">
      <c r="A58" s="24" t="str">
        <v>Q435</v>
      </c>
      <c r="B58" s="25" t="str">
        <v>NY</v>
      </c>
      <c r="C58" s="25" t="str">
        <f>Sites[[#This Row],[SOL'#]]</f>
        <v>SOL-10923</v>
      </c>
      <c r="D58" s="20">
        <v>66882.437499999796</v>
      </c>
      <c r="E58" s="10">
        <v>56241.41</v>
      </c>
      <c r="F58" s="10">
        <f t="shared" si="4"/>
        <v>10641.027499999793</v>
      </c>
      <c r="G58" s="11">
        <f t="shared" si="5"/>
        <v>0.18920271557913987</v>
      </c>
      <c r="H58" s="12">
        <v>80887</v>
      </c>
      <c r="I58" s="12">
        <f t="shared" si="6"/>
        <v>-14004.562500000204</v>
      </c>
      <c r="J58" s="13">
        <f t="shared" si="2"/>
        <v>-0.17313737065288864</v>
      </c>
      <c r="K58" s="59" t="s">
        <v>1139</v>
      </c>
      <c r="L58" s="111" t="s">
        <v>1140</v>
      </c>
      <c r="M58" s="115" t="s">
        <v>1141</v>
      </c>
      <c r="N58" s="116"/>
      <c r="O58" s="116"/>
      <c r="P58" s="116"/>
      <c r="Q58" s="116"/>
      <c r="R58" s="116"/>
      <c r="S58" s="116"/>
      <c r="T58" s="116"/>
      <c r="U58" s="116"/>
      <c r="V58" s="116"/>
      <c r="W58" s="116"/>
      <c r="X58" s="116"/>
      <c r="Y58" s="116"/>
      <c r="Z58" s="116"/>
      <c r="AA58" s="116"/>
    </row>
    <row r="59" spans="1:27" ht="93.75" customHeight="1">
      <c r="A59" s="26" t="str">
        <v>Q485</v>
      </c>
      <c r="B59" s="27" t="str">
        <v>NY</v>
      </c>
      <c r="C59" s="25" t="str">
        <f>Sites[[#This Row],[SOL'#]]</f>
        <v>SOL-10869</v>
      </c>
      <c r="D59" s="9">
        <v>62145.125</v>
      </c>
      <c r="E59" s="14">
        <v>50337.7</v>
      </c>
      <c r="F59" s="14">
        <f t="shared" si="4"/>
        <v>11807.425000000003</v>
      </c>
      <c r="G59" s="15">
        <f t="shared" si="5"/>
        <v>0.23456425303500167</v>
      </c>
      <c r="H59" s="16">
        <v>76614.210000000006</v>
      </c>
      <c r="I59" s="16">
        <f t="shared" si="6"/>
        <v>-14469.085000000006</v>
      </c>
      <c r="J59" s="15">
        <f t="shared" si="2"/>
        <v>-0.18885641449543114</v>
      </c>
      <c r="K59" s="57" t="s">
        <v>1142</v>
      </c>
      <c r="L59" s="112" t="s">
        <v>1143</v>
      </c>
      <c r="M59" s="115" t="s">
        <v>1144</v>
      </c>
      <c r="N59" s="116"/>
      <c r="O59" s="116"/>
      <c r="P59" s="116"/>
      <c r="Q59" s="116"/>
      <c r="R59" s="116"/>
      <c r="S59" s="116"/>
      <c r="T59" s="116"/>
      <c r="U59" s="116"/>
      <c r="V59" s="116"/>
      <c r="W59" s="116"/>
      <c r="X59" s="116"/>
      <c r="Y59" s="116"/>
      <c r="Z59" s="116"/>
      <c r="AA59" s="116"/>
    </row>
    <row r="60" spans="1:27" ht="28.9">
      <c r="A60" s="24" t="str">
        <v>Q490</v>
      </c>
      <c r="B60" s="25" t="str">
        <v>NY</v>
      </c>
      <c r="C60" s="25" t="str">
        <f>Sites[[#This Row],[SOL'#]]</f>
        <v>SOL-10411</v>
      </c>
      <c r="D60" s="20">
        <v>45396.5</v>
      </c>
      <c r="E60" s="10" t="s">
        <v>1088</v>
      </c>
      <c r="F60" s="10" t="str">
        <f t="shared" si="4"/>
        <v/>
      </c>
      <c r="G60" s="11" t="str">
        <f t="shared" si="5"/>
        <v/>
      </c>
      <c r="H60" s="12">
        <v>56275.360000000001</v>
      </c>
      <c r="I60" s="12">
        <f t="shared" si="6"/>
        <v>-10878.86</v>
      </c>
      <c r="J60" s="13">
        <f t="shared" si="2"/>
        <v>-0.19331480065165288</v>
      </c>
      <c r="K60" s="59" t="s">
        <v>838</v>
      </c>
      <c r="L60" s="111" t="s">
        <v>66</v>
      </c>
      <c r="M60" s="116"/>
      <c r="N60" s="116"/>
      <c r="O60" s="116"/>
      <c r="P60" s="116"/>
      <c r="Q60" s="116"/>
      <c r="R60" s="116"/>
      <c r="S60" s="116"/>
      <c r="T60" s="116"/>
      <c r="U60" s="116"/>
      <c r="V60" s="116"/>
      <c r="W60" s="116"/>
      <c r="X60" s="116"/>
      <c r="Y60" s="116"/>
      <c r="Z60" s="116"/>
      <c r="AA60" s="116"/>
    </row>
    <row r="61" spans="1:27" ht="15.6">
      <c r="A61" s="26" t="str">
        <v>Q620</v>
      </c>
      <c r="B61" s="27" t="str">
        <v>NY</v>
      </c>
      <c r="C61" s="25" t="str">
        <f>Sites[[#This Row],[SOL'#]]</f>
        <v>SOL-10867</v>
      </c>
      <c r="D61" s="9">
        <v>68002</v>
      </c>
      <c r="E61" s="14">
        <v>69136.850000000006</v>
      </c>
      <c r="F61" s="14">
        <f t="shared" si="4"/>
        <v>-1134.8500000000058</v>
      </c>
      <c r="G61" s="15">
        <f t="shared" si="5"/>
        <v>-1.6414545933174648E-2</v>
      </c>
      <c r="H61" s="16">
        <v>80133.62</v>
      </c>
      <c r="I61" s="16">
        <f t="shared" si="6"/>
        <v>-12131.619999999995</v>
      </c>
      <c r="J61" s="15">
        <f t="shared" ref="J61:J81" si="7">IFERROR(I61/H61, "")</f>
        <v>-0.15139238686583728</v>
      </c>
      <c r="K61" s="57" t="s">
        <v>1131</v>
      </c>
      <c r="L61" s="58"/>
      <c r="M61" s="116"/>
      <c r="N61" s="116"/>
      <c r="O61" s="116"/>
      <c r="P61" s="116"/>
      <c r="Q61" s="116"/>
      <c r="R61" s="116"/>
      <c r="S61" s="116"/>
      <c r="T61" s="116"/>
      <c r="U61" s="116"/>
      <c r="V61" s="116"/>
      <c r="W61" s="116"/>
      <c r="X61" s="116"/>
      <c r="Y61" s="116"/>
      <c r="Z61" s="116"/>
      <c r="AA61" s="116"/>
    </row>
    <row r="62" spans="1:27" ht="15.6">
      <c r="A62" s="24" t="str">
        <v>QMOA</v>
      </c>
      <c r="B62" s="25" t="str">
        <v>NY</v>
      </c>
      <c r="C62" s="25" t="str">
        <f>Sites[[#This Row],[SOL'#]]</f>
        <v>SOL-10415</v>
      </c>
      <c r="D62" s="20">
        <v>5822</v>
      </c>
      <c r="E62" s="10" t="s">
        <v>1088</v>
      </c>
      <c r="F62" s="10" t="str">
        <f t="shared" si="4"/>
        <v/>
      </c>
      <c r="G62" s="11" t="str">
        <f t="shared" si="5"/>
        <v/>
      </c>
      <c r="H62" s="12">
        <v>6997.6819999999998</v>
      </c>
      <c r="I62" s="12">
        <f t="shared" si="6"/>
        <v>-1175.6819999999998</v>
      </c>
      <c r="J62" s="72">
        <f t="shared" si="7"/>
        <v>-0.16801020680848314</v>
      </c>
      <c r="K62" s="59" t="s">
        <v>1131</v>
      </c>
      <c r="L62" s="59"/>
      <c r="M62" s="116"/>
      <c r="N62" s="116"/>
      <c r="O62" s="116"/>
      <c r="P62" s="116"/>
      <c r="Q62" s="116"/>
      <c r="R62" s="116"/>
      <c r="S62" s="116"/>
      <c r="T62" s="116"/>
      <c r="U62" s="116"/>
      <c r="V62" s="116"/>
      <c r="W62" s="116"/>
      <c r="X62" s="116"/>
      <c r="Y62" s="116"/>
      <c r="Z62" s="116"/>
      <c r="AA62" s="116"/>
    </row>
    <row r="63" spans="1:27" ht="31.5" customHeight="1">
      <c r="A63" s="26" t="str">
        <v>X024</v>
      </c>
      <c r="B63" s="27" t="str">
        <v>NY</v>
      </c>
      <c r="C63" s="25" t="str">
        <f>Sites[[#This Row],[SOL'#]]</f>
        <v>SOL-10419</v>
      </c>
      <c r="D63" s="9">
        <v>25287.875</v>
      </c>
      <c r="E63" s="14">
        <v>26148.77</v>
      </c>
      <c r="F63" s="14">
        <f t="shared" si="4"/>
        <v>-860.89500000000044</v>
      </c>
      <c r="G63" s="15">
        <f t="shared" si="5"/>
        <v>-3.2922963489296068E-2</v>
      </c>
      <c r="H63" s="16">
        <v>30453</v>
      </c>
      <c r="I63" s="16">
        <f t="shared" si="6"/>
        <v>-5165.125</v>
      </c>
      <c r="J63" s="15">
        <f t="shared" si="7"/>
        <v>-0.16960972646373099</v>
      </c>
      <c r="K63" s="57" t="s">
        <v>1145</v>
      </c>
      <c r="L63" s="112" t="s">
        <v>1146</v>
      </c>
      <c r="M63" s="116"/>
      <c r="N63" s="116"/>
      <c r="O63" s="116"/>
      <c r="P63" s="116"/>
      <c r="Q63" s="116"/>
      <c r="R63" s="116"/>
      <c r="S63" s="116"/>
      <c r="T63" s="116"/>
      <c r="U63" s="116"/>
      <c r="V63" s="116"/>
      <c r="W63" s="116"/>
      <c r="X63" s="116"/>
      <c r="Y63" s="116"/>
      <c r="Z63" s="116"/>
      <c r="AA63" s="116"/>
    </row>
    <row r="64" spans="1:27" ht="15.6">
      <c r="A64" s="24" t="str">
        <v>X026</v>
      </c>
      <c r="B64" s="25" t="str">
        <v>NY</v>
      </c>
      <c r="C64" s="25" t="str">
        <f>Sites[[#This Row],[SOL'#]]</f>
        <v>SOL-10420</v>
      </c>
      <c r="D64" s="20">
        <v>22873.4</v>
      </c>
      <c r="E64" s="10">
        <v>20965</v>
      </c>
      <c r="F64" s="10">
        <f t="shared" si="4"/>
        <v>1908.4000000000015</v>
      </c>
      <c r="G64" s="11">
        <f t="shared" si="5"/>
        <v>9.1027903648938771E-2</v>
      </c>
      <c r="H64" s="12">
        <v>39656.197</v>
      </c>
      <c r="I64" s="12">
        <f t="shared" si="6"/>
        <v>-16782.796999999999</v>
      </c>
      <c r="J64" s="72">
        <f t="shared" si="7"/>
        <v>-0.42320742455460364</v>
      </c>
      <c r="K64" s="59" t="s">
        <v>1147</v>
      </c>
      <c r="L64" s="111" t="s">
        <v>841</v>
      </c>
      <c r="M64" s="116"/>
      <c r="N64" s="116"/>
      <c r="O64" s="116"/>
      <c r="P64" s="116"/>
      <c r="Q64" s="116"/>
      <c r="R64" s="116"/>
      <c r="S64" s="116"/>
      <c r="T64" s="116"/>
      <c r="U64" s="116"/>
      <c r="V64" s="116"/>
      <c r="W64" s="116"/>
      <c r="X64" s="116"/>
      <c r="Y64" s="116"/>
      <c r="Z64" s="116"/>
      <c r="AA64" s="116"/>
    </row>
    <row r="65" spans="1:27" ht="18.75" customHeight="1">
      <c r="A65" s="26" t="str">
        <v>X090</v>
      </c>
      <c r="B65" s="27" t="str">
        <v>NY</v>
      </c>
      <c r="C65" s="25" t="str">
        <f>Sites[[#This Row],[SOL'#]]</f>
        <v>SOL-10925</v>
      </c>
      <c r="D65" s="9">
        <v>19383.25</v>
      </c>
      <c r="E65" s="14">
        <v>17377.444</v>
      </c>
      <c r="F65" s="14">
        <f t="shared" si="4"/>
        <v>2005.8060000000005</v>
      </c>
      <c r="G65" s="15">
        <f t="shared" si="5"/>
        <v>0.11542583592845994</v>
      </c>
      <c r="H65" s="16">
        <v>23401.741999999998</v>
      </c>
      <c r="I65" s="16">
        <f t="shared" si="6"/>
        <v>-4018.4919999999984</v>
      </c>
      <c r="J65" s="15">
        <f t="shared" si="7"/>
        <v>-0.17171764392582392</v>
      </c>
      <c r="K65" s="57" t="s">
        <v>1148</v>
      </c>
      <c r="L65" s="57"/>
      <c r="M65" s="116"/>
      <c r="N65" s="116"/>
      <c r="O65" s="116"/>
      <c r="P65" s="116"/>
      <c r="Q65" s="116"/>
      <c r="R65" s="116"/>
      <c r="S65" s="116"/>
      <c r="T65" s="116"/>
      <c r="U65" s="116"/>
      <c r="V65" s="116"/>
      <c r="W65" s="116"/>
      <c r="X65" s="116"/>
      <c r="Y65" s="116"/>
      <c r="Z65" s="116"/>
      <c r="AA65" s="116"/>
    </row>
    <row r="66" spans="1:27" ht="18" customHeight="1">
      <c r="A66" s="24" t="str">
        <v>X117</v>
      </c>
      <c r="B66" s="25" t="str">
        <v>NY</v>
      </c>
      <c r="C66" s="25" t="str">
        <f>Sites[[#This Row],[SOL'#]]</f>
        <v>SOL-10422</v>
      </c>
      <c r="D66" s="20">
        <v>15725.9</v>
      </c>
      <c r="E66" s="10">
        <v>18001.473000000002</v>
      </c>
      <c r="F66" s="10">
        <f t="shared" si="4"/>
        <v>-2275.5730000000021</v>
      </c>
      <c r="G66" s="11">
        <f t="shared" si="5"/>
        <v>-0.12641037763965216</v>
      </c>
      <c r="H66" s="12">
        <v>21263.503000000001</v>
      </c>
      <c r="I66" s="12">
        <f t="shared" si="6"/>
        <v>-5537.603000000001</v>
      </c>
      <c r="J66" s="72">
        <f t="shared" si="7"/>
        <v>-0.26042759746594907</v>
      </c>
      <c r="K66" s="59" t="s">
        <v>1149</v>
      </c>
      <c r="L66" s="59" t="s">
        <v>1150</v>
      </c>
      <c r="M66" s="116"/>
      <c r="N66" s="116"/>
      <c r="O66" s="116"/>
      <c r="P66" s="116"/>
      <c r="Q66" s="116"/>
      <c r="R66" s="116"/>
      <c r="S66" s="116"/>
      <c r="T66" s="116"/>
      <c r="U66" s="116"/>
      <c r="V66" s="116"/>
      <c r="W66" s="116"/>
      <c r="X66" s="116"/>
      <c r="Y66" s="116"/>
      <c r="Z66" s="116"/>
      <c r="AA66" s="116"/>
    </row>
    <row r="67" spans="1:27" ht="17.25" customHeight="1">
      <c r="A67" s="26" t="str">
        <v>X125</v>
      </c>
      <c r="B67" s="27" t="str">
        <v>NY</v>
      </c>
      <c r="C67" s="25" t="str">
        <f>Sites[[#This Row],[SOL'#]]</f>
        <v>SOL-10423</v>
      </c>
      <c r="D67" s="9">
        <v>30249.75</v>
      </c>
      <c r="E67" s="14">
        <v>31532.214</v>
      </c>
      <c r="F67" s="14">
        <f>IF(AND(ISNUMBER(D67),ISNUMBER(E67)), D67-E67, "")</f>
        <v>-1282.4639999999999</v>
      </c>
      <c r="G67" s="15">
        <f>IFERROR(F67/E67, "")</f>
        <v>-4.0671549419270085E-2</v>
      </c>
      <c r="H67" s="16">
        <v>36059.163999999997</v>
      </c>
      <c r="I67" s="16">
        <f>IF(AND(ISNUMBER(D67),ISNUMBER(H67)), D67-H67, "")</f>
        <v>-5809.413999999997</v>
      </c>
      <c r="J67" s="15">
        <f t="shared" si="7"/>
        <v>-0.16110783932761163</v>
      </c>
      <c r="K67" s="57" t="s">
        <v>1151</v>
      </c>
      <c r="L67" s="109" t="s">
        <v>1152</v>
      </c>
      <c r="M67" s="116"/>
      <c r="N67" s="116"/>
      <c r="O67" s="116"/>
      <c r="P67" s="116"/>
      <c r="Q67" s="116"/>
      <c r="R67" s="116"/>
      <c r="S67" s="116"/>
      <c r="T67" s="116"/>
      <c r="U67" s="116"/>
      <c r="V67" s="116"/>
      <c r="W67" s="116"/>
      <c r="X67" s="116"/>
      <c r="Y67" s="116"/>
      <c r="Z67" s="116"/>
      <c r="AA67" s="116"/>
    </row>
    <row r="68" spans="1:27" ht="20.25" customHeight="1">
      <c r="A68" s="24" t="str">
        <v>X134</v>
      </c>
      <c r="B68" s="25" t="str">
        <v>NY</v>
      </c>
      <c r="C68" s="25" t="str">
        <f>Sites[[#This Row],[SOL'#]]</f>
        <v>SOL-10424</v>
      </c>
      <c r="D68" s="20">
        <v>29069.219000000001</v>
      </c>
      <c r="E68" s="10">
        <v>30539.795999999998</v>
      </c>
      <c r="F68" s="10">
        <f t="shared" si="4"/>
        <v>-1470.5769999999975</v>
      </c>
      <c r="G68" s="11">
        <f t="shared" si="5"/>
        <v>-4.8152810189039823E-2</v>
      </c>
      <c r="H68" s="12">
        <v>36309.353999999999</v>
      </c>
      <c r="I68" s="12">
        <f t="shared" si="6"/>
        <v>-7240.1349999999984</v>
      </c>
      <c r="J68" s="72">
        <f t="shared" si="7"/>
        <v>-0.19940137188890769</v>
      </c>
      <c r="K68" s="59" t="s">
        <v>1148</v>
      </c>
      <c r="L68" s="59"/>
      <c r="M68" s="116"/>
      <c r="N68" s="116"/>
      <c r="O68" s="116"/>
      <c r="P68" s="116"/>
      <c r="Q68" s="116"/>
      <c r="R68" s="116"/>
      <c r="S68" s="116"/>
      <c r="T68" s="116"/>
      <c r="U68" s="116"/>
      <c r="V68" s="116"/>
      <c r="W68" s="116"/>
      <c r="X68" s="116"/>
      <c r="Y68" s="116"/>
      <c r="Z68" s="116"/>
      <c r="AA68" s="116"/>
    </row>
    <row r="69" spans="1:27" ht="18" customHeight="1">
      <c r="A69" s="26" t="str">
        <v>X135</v>
      </c>
      <c r="B69" s="27" t="str">
        <v>NY</v>
      </c>
      <c r="C69" s="25" t="str">
        <f>Sites[[#This Row],[SOL'#]]</f>
        <v>SOL-10425</v>
      </c>
      <c r="D69" s="9">
        <v>23534.405999999999</v>
      </c>
      <c r="E69" s="14">
        <v>22643.745999999999</v>
      </c>
      <c r="F69" s="14">
        <f t="shared" si="4"/>
        <v>890.65999999999985</v>
      </c>
      <c r="G69" s="15">
        <f t="shared" si="5"/>
        <v>3.9333597894977264E-2</v>
      </c>
      <c r="H69" s="16">
        <v>28985.517</v>
      </c>
      <c r="I69" s="16">
        <f t="shared" si="6"/>
        <v>-5451.1110000000008</v>
      </c>
      <c r="J69" s="15">
        <f t="shared" si="7"/>
        <v>-0.18806326621671093</v>
      </c>
      <c r="K69" s="57" t="s">
        <v>1148</v>
      </c>
      <c r="L69" s="58"/>
      <c r="M69" s="116"/>
      <c r="N69" s="116"/>
      <c r="O69" s="116"/>
      <c r="P69" s="116"/>
      <c r="Q69" s="116"/>
      <c r="R69" s="116"/>
      <c r="S69" s="116"/>
      <c r="T69" s="116"/>
      <c r="U69" s="116"/>
      <c r="V69" s="116"/>
      <c r="W69" s="116"/>
      <c r="X69" s="116"/>
      <c r="Y69" s="116"/>
      <c r="Z69" s="116"/>
      <c r="AA69" s="116"/>
    </row>
    <row r="70" spans="1:27" ht="18" customHeight="1">
      <c r="A70" s="24" t="str">
        <v>X139 JHS 222</v>
      </c>
      <c r="B70" s="25" t="str">
        <v>NY</v>
      </c>
      <c r="C70" s="25" t="str">
        <f>Sites[[#This Row],[SOL'#]]</f>
        <v>SOL-10426</v>
      </c>
      <c r="D70" s="20">
        <v>36602.392</v>
      </c>
      <c r="E70" s="10">
        <v>39736.466</v>
      </c>
      <c r="F70" s="10">
        <f t="shared" si="4"/>
        <v>-3134.0740000000005</v>
      </c>
      <c r="G70" s="11">
        <f t="shared" si="5"/>
        <v>-7.8871482934592133E-2</v>
      </c>
      <c r="H70" s="12">
        <v>45112.114000000001</v>
      </c>
      <c r="I70" s="12">
        <f t="shared" si="6"/>
        <v>-8509.7220000000016</v>
      </c>
      <c r="J70" s="72">
        <f t="shared" si="7"/>
        <v>-0.18863496399215521</v>
      </c>
      <c r="K70" s="59" t="s">
        <v>1148</v>
      </c>
      <c r="L70" s="59"/>
      <c r="M70" s="116"/>
      <c r="N70" s="116"/>
      <c r="O70" s="116"/>
      <c r="P70" s="116"/>
      <c r="Q70" s="116"/>
      <c r="R70" s="116"/>
      <c r="S70" s="116"/>
      <c r="T70" s="116"/>
      <c r="U70" s="116"/>
      <c r="V70" s="116"/>
      <c r="W70" s="116"/>
      <c r="X70" s="116"/>
      <c r="Y70" s="116"/>
      <c r="Z70" s="116"/>
      <c r="AA70" s="116"/>
    </row>
    <row r="71" spans="1:27" ht="18.75" customHeight="1">
      <c r="A71" s="26" t="str">
        <v>X140</v>
      </c>
      <c r="B71" s="27" t="str">
        <v>NY</v>
      </c>
      <c r="C71" s="25" t="str">
        <f>Sites[[#This Row],[SOL'#]]</f>
        <v>SOL-10926</v>
      </c>
      <c r="D71" s="9">
        <v>20987.125</v>
      </c>
      <c r="E71" s="14">
        <v>17423.439999999999</v>
      </c>
      <c r="F71" s="14">
        <f t="shared" si="4"/>
        <v>3563.6850000000013</v>
      </c>
      <c r="G71" s="15">
        <f t="shared" si="5"/>
        <v>0.20453394966780392</v>
      </c>
      <c r="H71" s="16">
        <v>24233</v>
      </c>
      <c r="I71" s="16">
        <f t="shared" si="6"/>
        <v>-3245.875</v>
      </c>
      <c r="J71" s="15">
        <f t="shared" si="7"/>
        <v>-0.13394441464119175</v>
      </c>
      <c r="K71" s="57" t="s">
        <v>1148</v>
      </c>
      <c r="L71" s="58"/>
      <c r="M71" s="116"/>
      <c r="N71" s="116"/>
      <c r="O71" s="116"/>
      <c r="P71" s="116"/>
      <c r="Q71" s="116"/>
      <c r="R71" s="116"/>
      <c r="S71" s="116"/>
      <c r="T71" s="116"/>
      <c r="U71" s="116"/>
      <c r="V71" s="116"/>
      <c r="W71" s="116"/>
      <c r="X71" s="116"/>
      <c r="Y71" s="116"/>
      <c r="Z71" s="116"/>
      <c r="AA71" s="116"/>
    </row>
    <row r="72" spans="1:27" ht="17.25" customHeight="1">
      <c r="A72" s="24" t="str">
        <v>X166</v>
      </c>
      <c r="B72" s="25" t="str">
        <v>NY</v>
      </c>
      <c r="C72" s="25" t="str">
        <f>Sites[[#This Row],[SOL'#]]</f>
        <v>SOL-10427</v>
      </c>
      <c r="D72" s="20">
        <v>21361</v>
      </c>
      <c r="E72" s="10">
        <v>21039.116000000002</v>
      </c>
      <c r="F72" s="10">
        <f t="shared" si="4"/>
        <v>321.8839999999982</v>
      </c>
      <c r="G72" s="11">
        <f t="shared" si="5"/>
        <v>1.5299312005314205E-2</v>
      </c>
      <c r="H72" s="12">
        <v>26944.807000000001</v>
      </c>
      <c r="I72" s="12">
        <f t="shared" si="6"/>
        <v>-5583.8070000000007</v>
      </c>
      <c r="J72" s="72">
        <f t="shared" si="7"/>
        <v>-0.20723128579098751</v>
      </c>
      <c r="K72" s="59" t="s">
        <v>1153</v>
      </c>
      <c r="L72" s="59" t="s">
        <v>1154</v>
      </c>
      <c r="M72" s="116"/>
      <c r="N72" s="116"/>
      <c r="O72" s="116"/>
      <c r="P72" s="116"/>
      <c r="Q72" s="116"/>
      <c r="R72" s="116"/>
      <c r="S72" s="116"/>
      <c r="T72" s="116"/>
      <c r="U72" s="116"/>
      <c r="V72" s="116"/>
      <c r="W72" s="116"/>
      <c r="X72" s="116"/>
      <c r="Y72" s="116"/>
      <c r="Z72" s="116"/>
      <c r="AA72" s="116"/>
    </row>
    <row r="73" spans="1:27" ht="107.25" customHeight="1">
      <c r="A73" s="26" t="str">
        <v>Murphy</v>
      </c>
      <c r="B73" s="27" t="str">
        <v>MN</v>
      </c>
      <c r="C73" s="25" t="str">
        <f>Sites[[#This Row],[SOL'#]]</f>
        <v>SOL-10094</v>
      </c>
      <c r="D73" s="9">
        <v>910700</v>
      </c>
      <c r="E73" s="14">
        <v>1021693</v>
      </c>
      <c r="F73" s="14">
        <f t="shared" si="4"/>
        <v>-110993</v>
      </c>
      <c r="G73" s="15">
        <f t="shared" si="5"/>
        <v>-0.10863635162421588</v>
      </c>
      <c r="H73" s="16">
        <v>942079.6</v>
      </c>
      <c r="I73" s="16">
        <f t="shared" si="6"/>
        <v>-31379.599999999977</v>
      </c>
      <c r="J73" s="15">
        <f t="shared" si="7"/>
        <v>-3.3308862648124403E-2</v>
      </c>
      <c r="K73" s="57" t="s">
        <v>1155</v>
      </c>
      <c r="L73" s="112" t="s">
        <v>1156</v>
      </c>
      <c r="M73" s="115" t="s">
        <v>1157</v>
      </c>
      <c r="N73" s="115" t="s">
        <v>848</v>
      </c>
      <c r="O73" s="116"/>
      <c r="P73" s="116"/>
      <c r="Q73" s="116"/>
      <c r="R73" s="116"/>
      <c r="S73" s="116"/>
      <c r="T73" s="116"/>
      <c r="U73" s="116"/>
      <c r="V73" s="116"/>
      <c r="W73" s="116"/>
      <c r="X73" s="116"/>
      <c r="Y73" s="116"/>
      <c r="Z73" s="116"/>
      <c r="AA73" s="116"/>
    </row>
    <row r="74" spans="1:27" ht="15.6">
      <c r="A74" s="24" t="str">
        <v>Terning</v>
      </c>
      <c r="B74" s="25" t="str">
        <v>MN</v>
      </c>
      <c r="C74" s="25" t="str">
        <f>Sites[[#This Row],[SOL'#]]</f>
        <v>SOL-10093</v>
      </c>
      <c r="D74" s="20">
        <v>1038972</v>
      </c>
      <c r="E74" s="10">
        <v>1072323</v>
      </c>
      <c r="F74" s="10">
        <f t="shared" si="4"/>
        <v>-33351</v>
      </c>
      <c r="G74" s="11">
        <f t="shared" si="5"/>
        <v>-3.1101636353971705E-2</v>
      </c>
      <c r="H74" s="12">
        <v>943772.2</v>
      </c>
      <c r="I74" s="12">
        <f t="shared" si="6"/>
        <v>95199.800000000047</v>
      </c>
      <c r="J74" s="72">
        <f t="shared" si="7"/>
        <v>0.10087158744451262</v>
      </c>
      <c r="K74" s="59"/>
      <c r="L74" s="59"/>
      <c r="M74" s="116"/>
      <c r="N74" s="116"/>
      <c r="O74" s="116"/>
      <c r="P74" s="116"/>
      <c r="Q74" s="116"/>
      <c r="R74" s="116"/>
      <c r="S74" s="116"/>
      <c r="T74" s="116"/>
      <c r="U74" s="116"/>
      <c r="V74" s="116"/>
      <c r="W74" s="116"/>
      <c r="X74" s="116"/>
      <c r="Y74" s="116"/>
      <c r="Z74" s="116"/>
      <c r="AA74" s="116"/>
    </row>
    <row r="75" spans="1:27" ht="48.75" customHeight="1">
      <c r="A75" s="26" t="str">
        <v>Boas Road 04</v>
      </c>
      <c r="B75" s="27" t="str">
        <v>NY</v>
      </c>
      <c r="C75" s="25" t="str">
        <f>Sites[[#This Row],[SOL'#]]</f>
        <v>SOL-10908</v>
      </c>
      <c r="D75" s="9">
        <v>0</v>
      </c>
      <c r="E75" s="14">
        <v>285541.90999999997</v>
      </c>
      <c r="F75" s="14">
        <f t="shared" si="4"/>
        <v>-285541.90999999997</v>
      </c>
      <c r="G75" s="15">
        <f t="shared" si="5"/>
        <v>-1</v>
      </c>
      <c r="H75" s="16">
        <v>380347.01</v>
      </c>
      <c r="I75" s="16">
        <f t="shared" si="6"/>
        <v>-380347.01</v>
      </c>
      <c r="J75" s="15">
        <f t="shared" si="7"/>
        <v>-1</v>
      </c>
      <c r="K75" s="57" t="s">
        <v>1158</v>
      </c>
      <c r="L75" s="112" t="s">
        <v>1159</v>
      </c>
      <c r="M75" s="115" t="s">
        <v>528</v>
      </c>
      <c r="N75" s="116"/>
      <c r="O75" s="116"/>
      <c r="P75" s="116"/>
      <c r="Q75" s="116"/>
      <c r="R75" s="116"/>
      <c r="S75" s="116"/>
      <c r="T75" s="116"/>
      <c r="U75" s="116"/>
      <c r="V75" s="116"/>
      <c r="W75" s="116"/>
      <c r="X75" s="116"/>
      <c r="Y75" s="116"/>
      <c r="Z75" s="116"/>
      <c r="AA75" s="116"/>
    </row>
    <row r="76" spans="1:27" ht="61.5" customHeight="1">
      <c r="A76" s="24" t="str">
        <v>Kelly Bridge Farm</v>
      </c>
      <c r="B76" s="25" t="str">
        <v>NY</v>
      </c>
      <c r="C76" s="25" t="str">
        <f>Sites[[#This Row],[SOL'#]]</f>
        <v>SOL-10911</v>
      </c>
      <c r="D76" s="20">
        <v>0</v>
      </c>
      <c r="E76" s="10">
        <v>312509.3</v>
      </c>
      <c r="F76" s="10">
        <f t="shared" si="4"/>
        <v>-312509.3</v>
      </c>
      <c r="G76" s="11">
        <f t="shared" si="5"/>
        <v>-1</v>
      </c>
      <c r="H76" s="12">
        <v>378396.52</v>
      </c>
      <c r="I76" s="12">
        <f t="shared" si="6"/>
        <v>-378396.52</v>
      </c>
      <c r="J76" s="72">
        <f t="shared" si="7"/>
        <v>-1</v>
      </c>
      <c r="K76" s="59" t="s">
        <v>1160</v>
      </c>
      <c r="L76" s="111" t="s">
        <v>1161</v>
      </c>
      <c r="M76" s="115" t="s">
        <v>856</v>
      </c>
      <c r="N76" s="115" t="s">
        <v>1162</v>
      </c>
      <c r="O76" s="116"/>
      <c r="P76" s="116"/>
      <c r="Q76" s="116"/>
      <c r="R76" s="116"/>
      <c r="S76" s="116"/>
      <c r="T76" s="116"/>
      <c r="U76" s="116"/>
      <c r="V76" s="116"/>
      <c r="W76" s="116"/>
      <c r="X76" s="116"/>
      <c r="Y76" s="116"/>
      <c r="Z76" s="116"/>
      <c r="AA76" s="116"/>
    </row>
    <row r="77" spans="1:27" ht="15.6">
      <c r="A77" s="26" t="str">
        <v>Pool Brook Road</v>
      </c>
      <c r="B77" s="27" t="str">
        <v>NY</v>
      </c>
      <c r="C77" s="25" t="str">
        <f>Sites[[#This Row],[SOL'#]]</f>
        <v>SOL-10909</v>
      </c>
      <c r="D77" s="9">
        <v>265159</v>
      </c>
      <c r="E77" s="14">
        <v>270156.58</v>
      </c>
      <c r="F77" s="14">
        <f t="shared" si="4"/>
        <v>-4997.5800000000163</v>
      </c>
      <c r="G77" s="15">
        <f t="shared" si="5"/>
        <v>-1.8498827605827762E-2</v>
      </c>
      <c r="H77" s="16">
        <v>374337.91</v>
      </c>
      <c r="I77" s="16">
        <f t="shared" si="6"/>
        <v>-109178.90999999997</v>
      </c>
      <c r="J77" s="15">
        <f t="shared" si="7"/>
        <v>-0.29165870483168532</v>
      </c>
      <c r="K77" s="57" t="s">
        <v>1163</v>
      </c>
      <c r="L77" s="57"/>
      <c r="M77" s="116"/>
      <c r="N77" s="116"/>
      <c r="O77" s="116"/>
      <c r="P77" s="116"/>
      <c r="Q77" s="116"/>
      <c r="R77" s="116"/>
      <c r="S77" s="116"/>
      <c r="T77" s="116"/>
      <c r="U77" s="116"/>
      <c r="V77" s="116"/>
      <c r="W77" s="116"/>
      <c r="X77" s="116"/>
      <c r="Y77" s="116"/>
      <c r="Z77" s="116"/>
      <c r="AA77" s="116"/>
    </row>
    <row r="78" spans="1:27" ht="26.25" customHeight="1">
      <c r="A78" s="24" t="str">
        <v>Sackett Lake</v>
      </c>
      <c r="B78" s="25" t="str">
        <v>NY</v>
      </c>
      <c r="C78" s="25" t="str">
        <f>Sites[[#This Row],[SOL'#]]</f>
        <v>SOL-10910</v>
      </c>
      <c r="D78" s="20">
        <v>142347</v>
      </c>
      <c r="E78" s="10">
        <v>302419.78000000003</v>
      </c>
      <c r="F78" s="10">
        <f t="shared" si="4"/>
        <v>-160072.78000000003</v>
      </c>
      <c r="G78" s="11">
        <f t="shared" si="5"/>
        <v>-0.52930658173218703</v>
      </c>
      <c r="H78" s="12">
        <v>375323.01</v>
      </c>
      <c r="I78" s="12">
        <f t="shared" si="6"/>
        <v>-232976.01</v>
      </c>
      <c r="J78" s="72">
        <f t="shared" si="7"/>
        <v>-0.62073468397261333</v>
      </c>
      <c r="K78" s="59" t="s">
        <v>1164</v>
      </c>
      <c r="L78" s="111" t="s">
        <v>1165</v>
      </c>
      <c r="M78" s="115" t="s">
        <v>1166</v>
      </c>
      <c r="N78" s="115" t="s">
        <v>1167</v>
      </c>
      <c r="O78" s="116"/>
      <c r="P78" s="116"/>
      <c r="Q78" s="116"/>
      <c r="R78" s="116"/>
      <c r="S78" s="116"/>
      <c r="T78" s="116"/>
      <c r="U78" s="116"/>
      <c r="V78" s="116"/>
      <c r="W78" s="116"/>
      <c r="X78" s="116"/>
      <c r="Y78" s="116"/>
      <c r="Z78" s="116"/>
      <c r="AA78" s="116"/>
    </row>
    <row r="79" spans="1:27" ht="19.5" customHeight="1">
      <c r="A79" s="26" t="str">
        <v>Burritt Road</v>
      </c>
      <c r="B79" s="27" t="str">
        <v>NY</v>
      </c>
      <c r="C79" s="25" t="str">
        <f>Sites[[#This Row],[SOL'#]]</f>
        <v>SOL-10913</v>
      </c>
      <c r="D79" s="9">
        <v>329840</v>
      </c>
      <c r="E79" s="14">
        <v>351436.43</v>
      </c>
      <c r="F79" s="14">
        <f t="shared" si="4"/>
        <v>-21596.429999999993</v>
      </c>
      <c r="G79" s="15">
        <f t="shared" si="5"/>
        <v>-6.1451881923567209E-2</v>
      </c>
      <c r="H79" s="16">
        <v>387566.99</v>
      </c>
      <c r="I79" s="16">
        <f t="shared" si="6"/>
        <v>-57726.989999999991</v>
      </c>
      <c r="J79" s="15">
        <f t="shared" si="7"/>
        <v>-0.14894712782427624</v>
      </c>
      <c r="K79" s="57" t="s">
        <v>1168</v>
      </c>
      <c r="L79" s="57" t="s">
        <v>1169</v>
      </c>
      <c r="M79" s="116"/>
      <c r="N79" s="116"/>
      <c r="O79" s="116"/>
      <c r="P79" s="116"/>
      <c r="Q79" s="116"/>
      <c r="R79" s="116"/>
      <c r="S79" s="116"/>
      <c r="T79" s="116"/>
      <c r="U79" s="116"/>
      <c r="V79" s="116"/>
      <c r="W79" s="116"/>
      <c r="X79" s="116"/>
      <c r="Y79" s="116"/>
      <c r="Z79" s="116"/>
      <c r="AA79" s="116"/>
    </row>
    <row r="80" spans="1:27" ht="20.25" customHeight="1">
      <c r="A80" s="24" t="str">
        <v>Villa Roma 1</v>
      </c>
      <c r="B80" s="25" t="str">
        <v>NY</v>
      </c>
      <c r="C80" s="25" t="str">
        <f>Sites[[#This Row],[SOL'#]]</f>
        <v>SOL-10914</v>
      </c>
      <c r="D80" s="20">
        <v>274928</v>
      </c>
      <c r="E80" s="10">
        <v>146.62</v>
      </c>
      <c r="F80" s="10">
        <f t="shared" si="4"/>
        <v>274781.38</v>
      </c>
      <c r="G80" s="11">
        <f t="shared" si="5"/>
        <v>1874.1057154549173</v>
      </c>
      <c r="H80" s="12">
        <v>361531.61</v>
      </c>
      <c r="I80" s="12">
        <f t="shared" si="6"/>
        <v>-86603.609999999986</v>
      </c>
      <c r="J80" s="72">
        <f t="shared" si="7"/>
        <v>-0.23954643965986816</v>
      </c>
      <c r="K80" s="59" t="s">
        <v>1170</v>
      </c>
      <c r="L80" s="111" t="s">
        <v>1171</v>
      </c>
      <c r="M80" s="116"/>
      <c r="N80" s="116"/>
      <c r="O80" s="116"/>
      <c r="P80" s="116"/>
      <c r="Q80" s="116"/>
      <c r="R80" s="116"/>
      <c r="S80" s="116"/>
      <c r="T80" s="116"/>
      <c r="U80" s="116"/>
      <c r="V80" s="116"/>
      <c r="W80" s="116"/>
      <c r="X80" s="116"/>
      <c r="Y80" s="116"/>
      <c r="Z80" s="116"/>
      <c r="AA80" s="116"/>
    </row>
    <row r="81" spans="1:27" ht="20.25" customHeight="1">
      <c r="A81" s="26" t="str">
        <v>Villa Roma 2</v>
      </c>
      <c r="B81" s="27" t="str">
        <v>NY</v>
      </c>
      <c r="C81" s="25" t="str">
        <f>Sites[[#This Row],[SOL'#]]</f>
        <v>SOL-10915</v>
      </c>
      <c r="D81" s="9">
        <v>272744</v>
      </c>
      <c r="E81" s="14">
        <v>276952.67</v>
      </c>
      <c r="F81" s="14">
        <f t="shared" si="4"/>
        <v>-4208.6699999999837</v>
      </c>
      <c r="G81" s="15">
        <f t="shared" si="5"/>
        <v>-1.5196351058828874E-2</v>
      </c>
      <c r="H81" s="16">
        <v>350695.51</v>
      </c>
      <c r="I81" s="16">
        <f t="shared" si="6"/>
        <v>-77951.510000000009</v>
      </c>
      <c r="J81" s="15">
        <f t="shared" si="7"/>
        <v>-0.22227689769965978</v>
      </c>
      <c r="K81" s="57" t="s">
        <v>1172</v>
      </c>
      <c r="L81" s="58"/>
      <c r="M81" s="116"/>
      <c r="N81" s="116"/>
      <c r="O81" s="116"/>
      <c r="P81" s="116"/>
      <c r="Q81" s="116"/>
      <c r="R81" s="116"/>
      <c r="S81" s="116"/>
      <c r="T81" s="116"/>
      <c r="U81" s="116"/>
      <c r="V81" s="116"/>
      <c r="W81" s="116"/>
      <c r="X81" s="116"/>
      <c r="Y81" s="116"/>
      <c r="Z81" s="116"/>
      <c r="AA81" s="116"/>
    </row>
    <row r="82" spans="1:27" ht="15.6">
      <c r="A82" s="24" t="str">
        <v>Washington 1</v>
      </c>
      <c r="B82" s="25" t="str">
        <v>NY</v>
      </c>
      <c r="C82" s="25" t="str">
        <f>Sites[[#This Row],[SOL'#]]</f>
        <v>SOL-10912</v>
      </c>
      <c r="D82" s="20">
        <v>343030</v>
      </c>
      <c r="E82" s="10">
        <v>352474.11</v>
      </c>
      <c r="F82" s="10">
        <f t="shared" ref="F82:F145" si="8">IF(AND(ISNUMBER(D82),ISNUMBER(E82)), D82-E82, "")</f>
        <v>-9444.109999999986</v>
      </c>
      <c r="G82" s="11">
        <f t="shared" ref="G82:G145" si="9">IFERROR(F82/E82, "")</f>
        <v>-2.6793769335285326E-2</v>
      </c>
      <c r="H82" s="12">
        <v>383203.8</v>
      </c>
      <c r="I82" s="12">
        <f t="shared" ref="I82:I145" si="10">IF(AND(ISNUMBER(D82),ISNUMBER(H82)), D82-H82, "")</f>
        <v>-40173.799999999988</v>
      </c>
      <c r="J82" s="72">
        <f t="shared" ref="J82:J145" si="11">IFERROR(I82/H82, "")</f>
        <v>-0.10483664306042892</v>
      </c>
      <c r="K82" s="59" t="s">
        <v>1173</v>
      </c>
      <c r="L82" s="59"/>
      <c r="M82" s="116"/>
      <c r="N82" s="116"/>
      <c r="O82" s="116"/>
      <c r="P82" s="116"/>
      <c r="Q82" s="116"/>
      <c r="R82" s="116"/>
      <c r="S82" s="116"/>
      <c r="T82" s="116"/>
      <c r="U82" s="116"/>
      <c r="V82" s="116"/>
      <c r="W82" s="116"/>
      <c r="X82" s="116"/>
      <c r="Y82" s="116"/>
      <c r="Z82" s="116"/>
      <c r="AA82" s="116"/>
    </row>
    <row r="83" spans="1:27" ht="63" customHeight="1">
      <c r="A83" s="26" t="str">
        <v>Washington 3</v>
      </c>
      <c r="B83" s="27" t="str">
        <v>NY</v>
      </c>
      <c r="C83" s="25" t="str">
        <f>Sites[[#This Row],[SOL'#]]</f>
        <v>SOL-10828</v>
      </c>
      <c r="D83" s="9">
        <v>385488</v>
      </c>
      <c r="E83" s="14">
        <v>0</v>
      </c>
      <c r="F83" s="14">
        <f t="shared" si="8"/>
        <v>385488</v>
      </c>
      <c r="G83" s="15" t="str">
        <f t="shared" si="9"/>
        <v/>
      </c>
      <c r="H83" s="16">
        <v>469462.09</v>
      </c>
      <c r="I83" s="16">
        <f t="shared" si="10"/>
        <v>-83974.090000000026</v>
      </c>
      <c r="J83" s="15">
        <f t="shared" si="11"/>
        <v>-0.17887299483542968</v>
      </c>
      <c r="K83" s="57" t="s">
        <v>1174</v>
      </c>
      <c r="L83" s="112" t="s">
        <v>1175</v>
      </c>
      <c r="M83" s="115" t="s">
        <v>1176</v>
      </c>
      <c r="N83" s="115" t="s">
        <v>870</v>
      </c>
      <c r="O83" s="116"/>
      <c r="P83" s="116"/>
      <c r="Q83" s="116"/>
      <c r="R83" s="116"/>
      <c r="S83" s="116"/>
      <c r="T83" s="116"/>
      <c r="U83" s="116"/>
      <c r="V83" s="116"/>
      <c r="W83" s="116"/>
      <c r="X83" s="116"/>
      <c r="Y83" s="116"/>
      <c r="Z83" s="116"/>
      <c r="AA83" s="116"/>
    </row>
    <row r="84" spans="1:27" ht="48.75" customHeight="1">
      <c r="A84" s="24" t="str">
        <v>Washington 4</v>
      </c>
      <c r="B84" s="25" t="str">
        <v>NY</v>
      </c>
      <c r="C84" s="25" t="str">
        <f>Sites[[#This Row],[SOL'#]]</f>
        <v>SOL-10829</v>
      </c>
      <c r="D84" s="20">
        <v>328690.8</v>
      </c>
      <c r="E84" s="10">
        <v>422376.6</v>
      </c>
      <c r="F84" s="10">
        <f t="shared" si="8"/>
        <v>-93685.799999999988</v>
      </c>
      <c r="G84" s="10">
        <f t="shared" si="9"/>
        <v>-0.2218063216570236</v>
      </c>
      <c r="H84" s="12">
        <v>470453.1</v>
      </c>
      <c r="I84" s="12">
        <f t="shared" si="10"/>
        <v>-141762.29999999999</v>
      </c>
      <c r="J84" s="72">
        <f t="shared" si="11"/>
        <v>-0.301331418583489</v>
      </c>
      <c r="K84" s="59" t="s">
        <v>1177</v>
      </c>
      <c r="L84" s="111" t="s">
        <v>1178</v>
      </c>
      <c r="M84" s="115" t="s">
        <v>1179</v>
      </c>
      <c r="N84" s="116"/>
      <c r="O84" s="116"/>
      <c r="P84" s="116"/>
      <c r="Q84" s="116"/>
      <c r="R84" s="116"/>
      <c r="S84" s="116"/>
      <c r="T84" s="116"/>
      <c r="U84" s="116"/>
      <c r="V84" s="116"/>
      <c r="W84" s="116"/>
      <c r="X84" s="116"/>
      <c r="Y84" s="116"/>
      <c r="Z84" s="116"/>
      <c r="AA84" s="116"/>
    </row>
    <row r="85" spans="1:27" ht="15.6">
      <c r="A85" s="26" t="str">
        <v>Big Tree</v>
      </c>
      <c r="B85" s="27" t="str">
        <v>NY</v>
      </c>
      <c r="C85" s="25" t="str">
        <f>Sites[[#This Row],[SOL'#]]</f>
        <v>SOL-10966</v>
      </c>
      <c r="D85" s="9">
        <v>334799</v>
      </c>
      <c r="E85" s="14" t="s">
        <v>1088</v>
      </c>
      <c r="F85" s="14" t="str">
        <f t="shared" si="8"/>
        <v/>
      </c>
      <c r="G85" s="46" t="str">
        <f t="shared" si="9"/>
        <v/>
      </c>
      <c r="H85" s="46">
        <v>396020</v>
      </c>
      <c r="I85" s="46">
        <f t="shared" si="10"/>
        <v>-61221</v>
      </c>
      <c r="J85" s="15">
        <f t="shared" si="11"/>
        <v>-0.15459067723852329</v>
      </c>
      <c r="K85" s="57" t="s">
        <v>1180</v>
      </c>
      <c r="L85" s="112" t="s">
        <v>872</v>
      </c>
      <c r="M85" s="116"/>
      <c r="N85" s="116"/>
      <c r="O85" s="116"/>
      <c r="P85" s="116"/>
      <c r="Q85" s="116"/>
      <c r="R85" s="116"/>
      <c r="S85" s="116"/>
      <c r="T85" s="116"/>
      <c r="U85" s="116"/>
      <c r="V85" s="116"/>
      <c r="W85" s="116"/>
      <c r="X85" s="116"/>
      <c r="Y85" s="116"/>
      <c r="Z85" s="116"/>
      <c r="AA85" s="116"/>
    </row>
    <row r="86" spans="1:27" ht="36" customHeight="1">
      <c r="A86" s="24" t="str">
        <v>Canoga</v>
      </c>
      <c r="B86" s="25" t="str">
        <v>NY</v>
      </c>
      <c r="C86" s="25" t="str">
        <f>Sites[[#This Row],[SOL'#]]</f>
        <v>SOL-10965</v>
      </c>
      <c r="D86" s="20">
        <v>0</v>
      </c>
      <c r="E86" s="10" t="s">
        <v>1088</v>
      </c>
      <c r="F86" s="10" t="str">
        <f t="shared" si="8"/>
        <v/>
      </c>
      <c r="G86" s="10" t="str">
        <f t="shared" si="9"/>
        <v/>
      </c>
      <c r="H86" s="12">
        <v>0</v>
      </c>
      <c r="I86" s="12">
        <f t="shared" si="10"/>
        <v>0</v>
      </c>
      <c r="J86" s="72" t="str">
        <f t="shared" si="11"/>
        <v/>
      </c>
      <c r="K86" s="59" t="s">
        <v>1181</v>
      </c>
      <c r="L86" s="111" t="s">
        <v>874</v>
      </c>
      <c r="M86" s="116"/>
      <c r="N86" s="116"/>
      <c r="O86" s="116"/>
      <c r="P86" s="116"/>
      <c r="Q86" s="116"/>
      <c r="R86" s="116"/>
      <c r="S86" s="116"/>
      <c r="T86" s="116"/>
      <c r="U86" s="116"/>
      <c r="V86" s="116"/>
      <c r="W86" s="116"/>
      <c r="X86" s="116"/>
      <c r="Y86" s="116"/>
      <c r="Z86" s="116"/>
      <c r="AA86" s="116"/>
    </row>
    <row r="87" spans="1:27" ht="18" customHeight="1">
      <c r="A87" s="26" t="str">
        <v>County Route 84</v>
      </c>
      <c r="B87" s="27" t="str">
        <v>NY</v>
      </c>
      <c r="C87" s="25" t="str">
        <f>Sites[[#This Row],[SOL'#]]</f>
        <v>SOL-10967</v>
      </c>
      <c r="D87" s="9">
        <v>766800</v>
      </c>
      <c r="E87" s="14" t="s">
        <v>1088</v>
      </c>
      <c r="F87" s="46" t="str">
        <f t="shared" si="8"/>
        <v/>
      </c>
      <c r="G87" s="46" t="str">
        <f t="shared" si="9"/>
        <v/>
      </c>
      <c r="H87" s="16">
        <v>954472.22</v>
      </c>
      <c r="I87" s="16">
        <f t="shared" si="10"/>
        <v>-187672.21999999997</v>
      </c>
      <c r="J87" s="15">
        <f t="shared" si="11"/>
        <v>-0.19662407775471974</v>
      </c>
      <c r="K87" s="57" t="s">
        <v>1182</v>
      </c>
      <c r="L87" s="112" t="s">
        <v>1183</v>
      </c>
      <c r="M87" s="116"/>
      <c r="N87" s="116"/>
      <c r="O87" s="116"/>
      <c r="P87" s="116"/>
      <c r="Q87" s="116"/>
      <c r="R87" s="116"/>
      <c r="S87" s="116"/>
      <c r="T87" s="116"/>
      <c r="U87" s="116"/>
      <c r="V87" s="116"/>
      <c r="W87" s="116"/>
      <c r="X87" s="116"/>
      <c r="Y87" s="116"/>
      <c r="Z87" s="116"/>
      <c r="AA87" s="116"/>
    </row>
    <row r="88" spans="1:27" ht="30.75" customHeight="1">
      <c r="A88" s="24" t="str">
        <v>Donati</v>
      </c>
      <c r="B88" s="25" t="str">
        <v>NY</v>
      </c>
      <c r="C88" s="25" t="str">
        <f>Sites[[#This Row],[SOL'#]]</f>
        <v>SOL-10968</v>
      </c>
      <c r="D88" s="20">
        <v>355625</v>
      </c>
      <c r="E88" s="10" t="s">
        <v>1088</v>
      </c>
      <c r="F88" s="10" t="str">
        <f t="shared" si="8"/>
        <v/>
      </c>
      <c r="G88" s="10" t="str">
        <f t="shared" si="9"/>
        <v/>
      </c>
      <c r="H88" s="12">
        <v>496637.33</v>
      </c>
      <c r="I88" s="12">
        <f t="shared" si="10"/>
        <v>-141012.33000000002</v>
      </c>
      <c r="J88" s="72">
        <f t="shared" si="11"/>
        <v>-0.28393421412764119</v>
      </c>
      <c r="K88" s="59" t="s">
        <v>1184</v>
      </c>
      <c r="L88" s="111" t="s">
        <v>1185</v>
      </c>
      <c r="M88" s="115" t="s">
        <v>879</v>
      </c>
      <c r="N88" s="115" t="s">
        <v>107</v>
      </c>
      <c r="O88" s="116"/>
      <c r="P88" s="116"/>
      <c r="Q88" s="116"/>
      <c r="R88" s="116"/>
      <c r="S88" s="116"/>
      <c r="T88" s="116"/>
      <c r="U88" s="116"/>
      <c r="V88" s="116"/>
      <c r="W88" s="116"/>
      <c r="X88" s="116"/>
      <c r="Y88" s="116"/>
      <c r="Z88" s="116"/>
      <c r="AA88" s="116"/>
    </row>
    <row r="89" spans="1:27" ht="108.75" customHeight="1">
      <c r="A89" s="26" t="str">
        <v>Henrietta</v>
      </c>
      <c r="B89" s="27" t="str">
        <v>NY</v>
      </c>
      <c r="C89" s="25" t="str">
        <f>Sites[[#This Row],[SOL'#]]</f>
        <v>SOL-10972</v>
      </c>
      <c r="D89" s="9">
        <v>649490</v>
      </c>
      <c r="E89" s="14" t="s">
        <v>1088</v>
      </c>
      <c r="F89" s="14" t="str">
        <f t="shared" si="8"/>
        <v/>
      </c>
      <c r="G89" s="14" t="str">
        <f t="shared" si="9"/>
        <v/>
      </c>
      <c r="H89" s="14">
        <v>1054030.1200000001</v>
      </c>
      <c r="I89" s="14">
        <f t="shared" si="10"/>
        <v>-404540.12000000011</v>
      </c>
      <c r="J89" s="15">
        <f t="shared" si="11"/>
        <v>-0.38380318771156186</v>
      </c>
      <c r="K89" s="57" t="s">
        <v>1186</v>
      </c>
      <c r="L89" s="112" t="s">
        <v>1187</v>
      </c>
      <c r="M89" s="115" t="s">
        <v>1188</v>
      </c>
      <c r="N89" s="116"/>
      <c r="O89" s="116"/>
      <c r="P89" s="116"/>
      <c r="Q89" s="116"/>
      <c r="R89" s="116"/>
      <c r="S89" s="116"/>
      <c r="T89" s="116"/>
      <c r="U89" s="116"/>
      <c r="V89" s="116"/>
      <c r="W89" s="116"/>
      <c r="X89" s="116"/>
      <c r="Y89" s="116"/>
      <c r="Z89" s="116"/>
      <c r="AA89" s="116"/>
    </row>
    <row r="90" spans="1:27" ht="66" customHeight="1">
      <c r="A90" s="24" t="str">
        <v>NY 70</v>
      </c>
      <c r="B90" s="25" t="str">
        <v>NY</v>
      </c>
      <c r="C90" s="25" t="str">
        <f>Sites[[#This Row],[SOL'#]]</f>
        <v>SOL-10970</v>
      </c>
      <c r="D90" s="20">
        <v>886000</v>
      </c>
      <c r="E90" s="10" t="s">
        <v>1088</v>
      </c>
      <c r="F90" s="10" t="str">
        <f t="shared" si="8"/>
        <v/>
      </c>
      <c r="G90" s="11" t="str">
        <f t="shared" si="9"/>
        <v/>
      </c>
      <c r="H90" s="12">
        <v>1183305.28</v>
      </c>
      <c r="I90" s="12">
        <f t="shared" si="10"/>
        <v>-297305.28000000003</v>
      </c>
      <c r="J90" s="72">
        <f t="shared" si="11"/>
        <v>-0.25124985498247759</v>
      </c>
      <c r="K90" s="59" t="s">
        <v>1189</v>
      </c>
      <c r="L90" s="111" t="s">
        <v>1190</v>
      </c>
      <c r="M90" s="115" t="s">
        <v>889</v>
      </c>
      <c r="N90" s="115" t="s">
        <v>1191</v>
      </c>
      <c r="O90" s="116"/>
      <c r="P90" s="116"/>
      <c r="Q90" s="116"/>
      <c r="R90" s="116"/>
      <c r="S90" s="116"/>
      <c r="T90" s="116"/>
      <c r="U90" s="116"/>
      <c r="V90" s="116"/>
      <c r="W90" s="116"/>
      <c r="X90" s="116"/>
      <c r="Y90" s="116"/>
      <c r="Z90" s="116"/>
      <c r="AA90" s="116"/>
    </row>
    <row r="91" spans="1:27" ht="345.6">
      <c r="A91" s="26" t="str">
        <v>Reid</v>
      </c>
      <c r="B91" s="27" t="str">
        <v>NY</v>
      </c>
      <c r="C91" s="25" t="str">
        <f>Sites[[#This Row],[SOL'#]]</f>
        <v>SOL-10991</v>
      </c>
      <c r="D91" s="9">
        <v>616581.13167259796</v>
      </c>
      <c r="E91" s="14">
        <v>583641.80000000005</v>
      </c>
      <c r="F91" s="14">
        <f t="shared" si="8"/>
        <v>32939.331672597909</v>
      </c>
      <c r="G91" s="15">
        <f t="shared" si="9"/>
        <v>5.6437581531339785E-2</v>
      </c>
      <c r="H91" s="16">
        <v>970735</v>
      </c>
      <c r="I91" s="16">
        <f t="shared" si="10"/>
        <v>-354153.86832740204</v>
      </c>
      <c r="J91" s="15">
        <f t="shared" si="11"/>
        <v>-0.36483063691677137</v>
      </c>
      <c r="K91" s="56" t="s">
        <v>1192</v>
      </c>
      <c r="L91" s="112" t="s">
        <v>1193</v>
      </c>
      <c r="M91" s="115" t="s">
        <v>1194</v>
      </c>
      <c r="N91" s="115" t="s">
        <v>1195</v>
      </c>
      <c r="O91" s="115" t="s">
        <v>1196</v>
      </c>
      <c r="P91" s="115" t="s">
        <v>1197</v>
      </c>
      <c r="Q91" s="115" t="s">
        <v>1195</v>
      </c>
      <c r="R91" s="115" t="s">
        <v>1196</v>
      </c>
      <c r="S91" s="115" t="s">
        <v>1197</v>
      </c>
      <c r="T91" s="115" t="s">
        <v>1195</v>
      </c>
      <c r="U91" s="115" t="s">
        <v>1196</v>
      </c>
      <c r="V91" s="115" t="s">
        <v>1195</v>
      </c>
      <c r="W91" s="115" t="s">
        <v>1198</v>
      </c>
      <c r="X91" s="115" t="s">
        <v>1195</v>
      </c>
      <c r="Y91" s="116"/>
      <c r="Z91" s="116"/>
      <c r="AA91" s="116"/>
    </row>
    <row r="92" spans="1:27" ht="15.6">
      <c r="A92" s="24" t="str">
        <v>Sangolqui</v>
      </c>
      <c r="B92" s="25" t="str">
        <v>NY</v>
      </c>
      <c r="C92" s="25" t="str">
        <f>Sites[[#This Row],[SOL'#]]</f>
        <v>SOL-10975</v>
      </c>
      <c r="D92" s="20">
        <v>354940</v>
      </c>
      <c r="E92" s="10" t="s">
        <v>1088</v>
      </c>
      <c r="F92" s="10" t="str">
        <f t="shared" si="8"/>
        <v/>
      </c>
      <c r="G92" s="11" t="str">
        <f t="shared" si="9"/>
        <v/>
      </c>
      <c r="H92" s="12">
        <v>486092.87</v>
      </c>
      <c r="I92" s="12">
        <f t="shared" si="10"/>
        <v>-131152.87</v>
      </c>
      <c r="J92" s="72">
        <f t="shared" si="11"/>
        <v>-0.26981031423069424</v>
      </c>
      <c r="K92" s="59" t="s">
        <v>1199</v>
      </c>
      <c r="L92" s="59"/>
      <c r="M92" s="116"/>
      <c r="N92" s="116"/>
      <c r="O92" s="116"/>
      <c r="P92" s="116"/>
      <c r="Q92" s="116"/>
      <c r="R92" s="116"/>
      <c r="S92" s="116"/>
      <c r="T92" s="116"/>
      <c r="U92" s="116"/>
      <c r="V92" s="116"/>
      <c r="W92" s="116"/>
      <c r="X92" s="116"/>
      <c r="Y92" s="116"/>
      <c r="Z92" s="116"/>
      <c r="AA92" s="116"/>
    </row>
    <row r="93" spans="1:27" ht="15.6">
      <c r="A93" s="26" t="str">
        <v>State Highway 17B</v>
      </c>
      <c r="B93" s="27" t="str">
        <v>NY</v>
      </c>
      <c r="C93" s="25" t="str">
        <f>Sites[[#This Row],[SOL'#]]</f>
        <v>SOL-10988</v>
      </c>
      <c r="D93" s="9">
        <v>683720</v>
      </c>
      <c r="E93" s="14" t="s">
        <v>1088</v>
      </c>
      <c r="F93" s="14" t="str">
        <f t="shared" si="8"/>
        <v/>
      </c>
      <c r="G93" s="15" t="str">
        <f t="shared" si="9"/>
        <v/>
      </c>
      <c r="H93" s="16">
        <v>753209.85</v>
      </c>
      <c r="I93" s="16">
        <f t="shared" si="10"/>
        <v>-69489.849999999977</v>
      </c>
      <c r="J93" s="15">
        <f t="shared" si="11"/>
        <v>-9.2258286319542929E-2</v>
      </c>
      <c r="K93" s="57"/>
      <c r="L93" s="58"/>
      <c r="M93" s="116"/>
      <c r="N93" s="116"/>
      <c r="O93" s="116"/>
      <c r="P93" s="116"/>
      <c r="Q93" s="116"/>
      <c r="R93" s="116"/>
      <c r="S93" s="116"/>
      <c r="T93" s="116"/>
      <c r="U93" s="116"/>
      <c r="V93" s="116"/>
      <c r="W93" s="116"/>
      <c r="X93" s="116"/>
      <c r="Y93" s="116"/>
      <c r="Z93" s="116"/>
      <c r="AA93" s="116"/>
    </row>
    <row r="94" spans="1:27" ht="47.25" customHeight="1">
      <c r="A94" s="24" t="str">
        <v>State Route 14A</v>
      </c>
      <c r="B94" s="25" t="str">
        <v>NY</v>
      </c>
      <c r="C94" s="25" t="str">
        <f>Sites[[#This Row],[SOL'#]]</f>
        <v>SOL-10997</v>
      </c>
      <c r="D94" s="20">
        <v>190293</v>
      </c>
      <c r="E94" s="10" t="s">
        <v>1088</v>
      </c>
      <c r="F94" s="10" t="str">
        <f t="shared" si="8"/>
        <v/>
      </c>
      <c r="G94" s="11" t="str">
        <f t="shared" si="9"/>
        <v/>
      </c>
      <c r="H94" s="12">
        <v>966912.78</v>
      </c>
      <c r="I94" s="12">
        <f t="shared" si="10"/>
        <v>-776619.78</v>
      </c>
      <c r="J94" s="72">
        <f t="shared" si="11"/>
        <v>-0.80319527889578624</v>
      </c>
      <c r="K94" s="59" t="s">
        <v>1200</v>
      </c>
      <c r="L94" s="111" t="s">
        <v>1201</v>
      </c>
      <c r="M94" s="115" t="s">
        <v>1202</v>
      </c>
      <c r="N94" s="116"/>
      <c r="O94" s="116"/>
      <c r="P94" s="116"/>
      <c r="Q94" s="116"/>
      <c r="R94" s="116"/>
      <c r="S94" s="116"/>
      <c r="T94" s="116"/>
      <c r="U94" s="116"/>
      <c r="V94" s="116"/>
      <c r="W94" s="116"/>
      <c r="X94" s="116"/>
      <c r="Y94" s="116"/>
      <c r="Z94" s="116"/>
      <c r="AA94" s="116"/>
    </row>
    <row r="95" spans="1:27" ht="68.25" customHeight="1">
      <c r="A95" s="26" t="str">
        <v>West Creek</v>
      </c>
      <c r="B95" s="27" t="str">
        <v>NY</v>
      </c>
      <c r="C95" s="25" t="str">
        <f>Sites[[#This Row],[SOL'#]]</f>
        <v>SOL-10995</v>
      </c>
      <c r="D95" s="9">
        <v>565640</v>
      </c>
      <c r="E95" s="14" t="s">
        <v>1088</v>
      </c>
      <c r="F95" s="14" t="str">
        <f t="shared" si="8"/>
        <v/>
      </c>
      <c r="G95" s="15" t="str">
        <f t="shared" si="9"/>
        <v/>
      </c>
      <c r="H95" s="16">
        <v>985279.61</v>
      </c>
      <c r="I95" s="16">
        <f t="shared" si="10"/>
        <v>-419639.61</v>
      </c>
      <c r="J95" s="15">
        <f t="shared" si="11"/>
        <v>-0.42590915892393227</v>
      </c>
      <c r="K95" s="57" t="s">
        <v>1203</v>
      </c>
      <c r="L95" s="112" t="s">
        <v>1204</v>
      </c>
      <c r="M95" s="115" t="s">
        <v>1205</v>
      </c>
      <c r="N95" s="116"/>
      <c r="O95" s="116"/>
      <c r="P95" s="116"/>
      <c r="Q95" s="116"/>
      <c r="R95" s="116"/>
      <c r="S95" s="116"/>
      <c r="T95" s="116"/>
      <c r="U95" s="116"/>
      <c r="V95" s="116"/>
      <c r="W95" s="116"/>
      <c r="X95" s="116"/>
      <c r="Y95" s="116"/>
      <c r="Z95" s="116"/>
      <c r="AA95" s="116"/>
    </row>
    <row r="96" spans="1:27" ht="65.25" customHeight="1">
      <c r="A96" s="24" t="str">
        <v>Wildflower</v>
      </c>
      <c r="B96" s="25" t="str">
        <v>NY</v>
      </c>
      <c r="C96" s="25" t="str">
        <f>Sites[[#This Row],[SOL'#]]</f>
        <v>SOL-10982</v>
      </c>
      <c r="D96" s="20">
        <v>637034</v>
      </c>
      <c r="E96" s="10" t="s">
        <v>1088</v>
      </c>
      <c r="F96" s="10" t="str">
        <f t="shared" si="8"/>
        <v/>
      </c>
      <c r="G96" s="11" t="str">
        <f t="shared" si="9"/>
        <v/>
      </c>
      <c r="H96" s="12">
        <v>991234.8</v>
      </c>
      <c r="I96" s="12">
        <f t="shared" si="10"/>
        <v>-354200.80000000005</v>
      </c>
      <c r="J96" s="72">
        <f t="shared" si="11"/>
        <v>-0.35733289428498682</v>
      </c>
      <c r="K96" s="59" t="s">
        <v>1206</v>
      </c>
      <c r="L96" s="111" t="s">
        <v>1207</v>
      </c>
      <c r="M96" s="115" t="s">
        <v>1208</v>
      </c>
      <c r="N96" s="115" t="s">
        <v>1209</v>
      </c>
      <c r="O96" s="116"/>
      <c r="P96" s="116"/>
      <c r="Q96" s="116"/>
      <c r="R96" s="116"/>
      <c r="S96" s="116"/>
      <c r="T96" s="116"/>
      <c r="U96" s="116"/>
      <c r="V96" s="116"/>
      <c r="W96" s="116"/>
      <c r="X96" s="116"/>
      <c r="Y96" s="116"/>
      <c r="Z96" s="116"/>
      <c r="AA96" s="116"/>
    </row>
    <row r="97" spans="1:27" ht="43.15">
      <c r="A97" s="26" t="str">
        <v>Glen Mary 1</v>
      </c>
      <c r="B97" s="27" t="str">
        <v>NY</v>
      </c>
      <c r="C97" s="25" t="str">
        <f>Sites[[#This Row],[SOL'#]]</f>
        <v>SOL-10993</v>
      </c>
      <c r="D97" s="9">
        <v>564170</v>
      </c>
      <c r="E97" s="14" t="s">
        <v>1088</v>
      </c>
      <c r="F97" s="14" t="str">
        <f t="shared" si="8"/>
        <v/>
      </c>
      <c r="G97" s="15" t="str">
        <f t="shared" si="9"/>
        <v/>
      </c>
      <c r="H97" s="16">
        <v>1014571.98</v>
      </c>
      <c r="I97" s="16">
        <f t="shared" si="10"/>
        <v>-450401.98</v>
      </c>
      <c r="J97" s="15">
        <f t="shared" si="11"/>
        <v>-0.4439329972428373</v>
      </c>
      <c r="K97" s="57" t="s">
        <v>1210</v>
      </c>
      <c r="L97" s="112" t="s">
        <v>1211</v>
      </c>
      <c r="M97" s="115" t="s">
        <v>1212</v>
      </c>
      <c r="N97" s="115" t="s">
        <v>1213</v>
      </c>
      <c r="O97" s="116"/>
      <c r="P97" s="116"/>
      <c r="Q97" s="116"/>
      <c r="R97" s="116"/>
      <c r="S97" s="116"/>
      <c r="T97" s="116"/>
      <c r="U97" s="116"/>
      <c r="V97" s="116"/>
      <c r="W97" s="116"/>
      <c r="X97" s="116"/>
      <c r="Y97" s="116"/>
      <c r="Z97" s="116"/>
      <c r="AA97" s="116"/>
    </row>
    <row r="98" spans="1:27" ht="35.25" customHeight="1">
      <c r="A98" s="24" t="str">
        <v>Glen Mary 2</v>
      </c>
      <c r="B98" s="25" t="str">
        <v>NY</v>
      </c>
      <c r="C98" s="25" t="str">
        <f>Sites[[#This Row],[SOL'#]]</f>
        <v>SOL-10994</v>
      </c>
      <c r="D98" s="20">
        <v>248380</v>
      </c>
      <c r="E98" s="10" t="s">
        <v>1088</v>
      </c>
      <c r="F98" s="10" t="str">
        <f t="shared" si="8"/>
        <v/>
      </c>
      <c r="G98" s="11" t="str">
        <f t="shared" si="9"/>
        <v/>
      </c>
      <c r="H98" s="12">
        <v>432204.17</v>
      </c>
      <c r="I98" s="12">
        <f t="shared" si="10"/>
        <v>-183824.16999999998</v>
      </c>
      <c r="J98" s="72">
        <f t="shared" si="11"/>
        <v>-0.42531790010262971</v>
      </c>
      <c r="K98" s="59" t="s">
        <v>1214</v>
      </c>
      <c r="L98" s="111" t="s">
        <v>1215</v>
      </c>
      <c r="M98" s="115" t="s">
        <v>1216</v>
      </c>
      <c r="N98" s="116"/>
      <c r="O98" s="116"/>
      <c r="P98" s="116"/>
      <c r="Q98" s="116"/>
      <c r="R98" s="116"/>
      <c r="S98" s="116"/>
      <c r="T98" s="116"/>
      <c r="U98" s="116"/>
      <c r="V98" s="116"/>
      <c r="W98" s="116"/>
      <c r="X98" s="116"/>
      <c r="Y98" s="116"/>
      <c r="Z98" s="116"/>
      <c r="AA98" s="116"/>
    </row>
    <row r="99" spans="1:27" ht="15.6">
      <c r="A99" s="26" t="str">
        <v>Telegraph 1</v>
      </c>
      <c r="B99" s="27" t="str">
        <v>NY</v>
      </c>
      <c r="C99" s="25" t="str">
        <f>Sites[[#This Row],[SOL'#]]</f>
        <v>SOL-11003</v>
      </c>
      <c r="D99" s="9">
        <v>609457</v>
      </c>
      <c r="E99" s="14" t="s">
        <v>1088</v>
      </c>
      <c r="F99" s="14" t="str">
        <f t="shared" si="8"/>
        <v/>
      </c>
      <c r="G99" s="15" t="str">
        <f t="shared" si="9"/>
        <v/>
      </c>
      <c r="H99" s="16">
        <v>722853.26</v>
      </c>
      <c r="I99" s="16">
        <f t="shared" si="10"/>
        <v>-113396.26000000001</v>
      </c>
      <c r="J99" s="15">
        <f t="shared" si="11"/>
        <v>-0.15687313909326495</v>
      </c>
      <c r="K99" s="57" t="s">
        <v>1217</v>
      </c>
      <c r="L99" s="58"/>
      <c r="M99" s="116"/>
      <c r="N99" s="116"/>
      <c r="O99" s="116"/>
      <c r="P99" s="116"/>
      <c r="Q99" s="116"/>
      <c r="R99" s="116"/>
      <c r="S99" s="116"/>
      <c r="T99" s="116"/>
      <c r="U99" s="116"/>
      <c r="V99" s="116"/>
      <c r="W99" s="116"/>
      <c r="X99" s="116"/>
      <c r="Y99" s="116"/>
      <c r="Z99" s="116"/>
      <c r="AA99" s="116"/>
    </row>
    <row r="100" spans="1:27" ht="15.6">
      <c r="A100" s="24" t="str">
        <v>Telegraph 2</v>
      </c>
      <c r="B100" s="25" t="str">
        <v>NY</v>
      </c>
      <c r="C100" s="25" t="str">
        <f>Sites[[#This Row],[SOL'#]]</f>
        <v>SOL-11004</v>
      </c>
      <c r="D100" s="20">
        <v>322890</v>
      </c>
      <c r="E100" s="10" t="s">
        <v>1088</v>
      </c>
      <c r="F100" s="10" t="str">
        <f t="shared" si="8"/>
        <v/>
      </c>
      <c r="G100" s="11" t="str">
        <f t="shared" si="9"/>
        <v/>
      </c>
      <c r="H100" s="12">
        <v>376205.85</v>
      </c>
      <c r="I100" s="12">
        <f t="shared" si="10"/>
        <v>-53315.849999999977</v>
      </c>
      <c r="J100" s="72">
        <f t="shared" si="11"/>
        <v>-0.14171988553607015</v>
      </c>
      <c r="K100" s="81" t="s">
        <v>1218</v>
      </c>
      <c r="L100" s="59"/>
      <c r="M100" s="116"/>
      <c r="N100" s="116"/>
      <c r="O100" s="116"/>
      <c r="P100" s="116"/>
      <c r="Q100" s="116"/>
      <c r="R100" s="116"/>
      <c r="S100" s="116"/>
      <c r="T100" s="116"/>
      <c r="U100" s="116"/>
      <c r="V100" s="116"/>
      <c r="W100" s="116"/>
      <c r="X100" s="116"/>
      <c r="Y100" s="116"/>
      <c r="Z100" s="116"/>
      <c r="AA100" s="116"/>
    </row>
    <row r="101" spans="1:27" ht="15.6">
      <c r="A101" s="26" t="str">
        <v>Cafferty Hill</v>
      </c>
      <c r="B101" s="27" t="str">
        <v>NY</v>
      </c>
      <c r="C101" s="25" t="str">
        <f>Sites[[#This Row],[SOL'#]]</f>
        <v>SOL-10996</v>
      </c>
      <c r="D101" s="9">
        <v>699070</v>
      </c>
      <c r="E101" s="14" t="s">
        <v>1088</v>
      </c>
      <c r="F101" s="14" t="str">
        <f t="shared" si="8"/>
        <v/>
      </c>
      <c r="G101" s="15" t="str">
        <f t="shared" si="9"/>
        <v/>
      </c>
      <c r="H101" s="16">
        <v>925815.16</v>
      </c>
      <c r="I101" s="16">
        <f t="shared" si="10"/>
        <v>-226745.16000000003</v>
      </c>
      <c r="J101" s="15">
        <f t="shared" si="11"/>
        <v>-0.24491407118457645</v>
      </c>
      <c r="K101" s="57" t="s">
        <v>1219</v>
      </c>
      <c r="L101" s="57"/>
      <c r="M101" s="116"/>
      <c r="N101" s="116"/>
      <c r="O101" s="116"/>
      <c r="P101" s="116"/>
      <c r="Q101" s="116"/>
      <c r="R101" s="116"/>
      <c r="S101" s="116"/>
      <c r="T101" s="116"/>
      <c r="U101" s="116"/>
      <c r="V101" s="116"/>
      <c r="W101" s="116"/>
      <c r="X101" s="116"/>
      <c r="Y101" s="116"/>
      <c r="Z101" s="116"/>
      <c r="AA101" s="116"/>
    </row>
    <row r="102" spans="1:27" ht="57.6">
      <c r="A102" s="24" t="str">
        <v>Dunkleman</v>
      </c>
      <c r="B102" s="25" t="str">
        <v>NY</v>
      </c>
      <c r="C102" s="25" t="str">
        <f>Sites[[#This Row],[SOL'#]]</f>
        <v>SOL-11008</v>
      </c>
      <c r="D102" s="20">
        <v>931420</v>
      </c>
      <c r="E102" s="10" t="s">
        <v>1088</v>
      </c>
      <c r="F102" s="10" t="str">
        <f t="shared" si="8"/>
        <v/>
      </c>
      <c r="G102" s="11" t="str">
        <f t="shared" si="9"/>
        <v/>
      </c>
      <c r="H102" s="12">
        <v>1222284.26</v>
      </c>
      <c r="I102" s="12">
        <f t="shared" si="10"/>
        <v>-290864.26</v>
      </c>
      <c r="J102" s="72">
        <f t="shared" si="11"/>
        <v>-0.23796777027955837</v>
      </c>
      <c r="K102" s="59" t="s">
        <v>1220</v>
      </c>
      <c r="L102" s="111" t="s">
        <v>362</v>
      </c>
      <c r="M102" s="116"/>
      <c r="N102" s="116"/>
      <c r="O102" s="116"/>
      <c r="P102" s="116"/>
      <c r="Q102" s="116"/>
      <c r="R102" s="116"/>
      <c r="S102" s="116"/>
      <c r="T102" s="116"/>
      <c r="U102" s="116"/>
      <c r="V102" s="116"/>
      <c r="W102" s="116"/>
      <c r="X102" s="116"/>
      <c r="Y102" s="116"/>
      <c r="Z102" s="116"/>
      <c r="AA102" s="116"/>
    </row>
    <row r="103" spans="1:27" ht="15.6">
      <c r="A103" s="26" t="str">
        <v>Route 19 1</v>
      </c>
      <c r="B103" s="27" t="str">
        <v>NY</v>
      </c>
      <c r="C103" s="25" t="str">
        <f>Sites[[#This Row],[SOL'#]]</f>
        <v>SOL-11001</v>
      </c>
      <c r="D103" s="9">
        <v>384140</v>
      </c>
      <c r="E103" s="14" t="s">
        <v>1088</v>
      </c>
      <c r="F103" s="14" t="str">
        <f t="shared" si="8"/>
        <v/>
      </c>
      <c r="G103" s="15" t="str">
        <f t="shared" si="9"/>
        <v/>
      </c>
      <c r="H103" s="16">
        <v>492648.27</v>
      </c>
      <c r="I103" s="16">
        <f t="shared" si="10"/>
        <v>-108508.27000000002</v>
      </c>
      <c r="J103" s="15">
        <f t="shared" si="11"/>
        <v>-0.22025505133713352</v>
      </c>
      <c r="K103" s="57" t="s">
        <v>1221</v>
      </c>
      <c r="L103" s="57"/>
      <c r="M103" s="116"/>
      <c r="N103" s="116"/>
      <c r="O103" s="116"/>
      <c r="P103" s="116"/>
      <c r="Q103" s="116"/>
      <c r="R103" s="116"/>
      <c r="S103" s="116"/>
      <c r="T103" s="116"/>
      <c r="U103" s="116"/>
      <c r="V103" s="116"/>
      <c r="W103" s="116"/>
      <c r="X103" s="116"/>
      <c r="Y103" s="116"/>
      <c r="Z103" s="116"/>
      <c r="AA103" s="116"/>
    </row>
    <row r="104" spans="1:27" ht="15.6">
      <c r="A104" s="24" t="str">
        <v>Route 19 2</v>
      </c>
      <c r="B104" s="25" t="str">
        <v>NY</v>
      </c>
      <c r="C104" s="25" t="str">
        <f>Sites[[#This Row],[SOL'#]]</f>
        <v>SOL-11002</v>
      </c>
      <c r="D104" s="20">
        <v>926520</v>
      </c>
      <c r="E104" s="10" t="s">
        <v>1088</v>
      </c>
      <c r="F104" s="10" t="str">
        <f t="shared" si="8"/>
        <v/>
      </c>
      <c r="G104" s="11" t="str">
        <f t="shared" si="9"/>
        <v/>
      </c>
      <c r="H104" s="12">
        <v>1226350.1399999999</v>
      </c>
      <c r="I104" s="12">
        <f t="shared" si="10"/>
        <v>-299830.1399999999</v>
      </c>
      <c r="J104" s="72">
        <f t="shared" si="11"/>
        <v>-0.24448983224317969</v>
      </c>
      <c r="K104" s="59" t="s">
        <v>1221</v>
      </c>
      <c r="L104" s="59"/>
      <c r="M104" s="116"/>
      <c r="N104" s="116"/>
      <c r="O104" s="116"/>
      <c r="P104" s="116"/>
      <c r="Q104" s="116"/>
      <c r="R104" s="116"/>
      <c r="S104" s="116"/>
      <c r="T104" s="116"/>
      <c r="U104" s="116"/>
      <c r="V104" s="116"/>
      <c r="W104" s="116"/>
      <c r="X104" s="116"/>
      <c r="Y104" s="116"/>
      <c r="Z104" s="116"/>
      <c r="AA104" s="116"/>
    </row>
    <row r="105" spans="1:27" ht="33" customHeight="1">
      <c r="A105" s="26" t="str">
        <v>Yellow Mills 1</v>
      </c>
      <c r="B105" s="27" t="str">
        <v>NY</v>
      </c>
      <c r="C105" s="25" t="str">
        <f>Sites[[#This Row],[SOL'#]]</f>
        <v>SOL-11006</v>
      </c>
      <c r="D105" s="9">
        <v>309410</v>
      </c>
      <c r="E105" s="14" t="s">
        <v>1088</v>
      </c>
      <c r="F105" s="14" t="str">
        <f t="shared" si="8"/>
        <v/>
      </c>
      <c r="G105" s="15" t="str">
        <f t="shared" si="9"/>
        <v/>
      </c>
      <c r="H105" s="16">
        <v>416192.42</v>
      </c>
      <c r="I105" s="16">
        <f t="shared" si="10"/>
        <v>-106782.41999999998</v>
      </c>
      <c r="J105" s="15">
        <f t="shared" si="11"/>
        <v>-0.25656983373219527</v>
      </c>
      <c r="K105" s="57" t="s">
        <v>1222</v>
      </c>
      <c r="L105" s="112" t="s">
        <v>1223</v>
      </c>
      <c r="M105" s="116"/>
      <c r="N105" s="116"/>
      <c r="O105" s="116"/>
      <c r="P105" s="116"/>
      <c r="Q105" s="116"/>
      <c r="R105" s="116"/>
      <c r="S105" s="116"/>
      <c r="T105" s="116"/>
      <c r="U105" s="116"/>
      <c r="V105" s="116"/>
      <c r="W105" s="116"/>
      <c r="X105" s="116"/>
      <c r="Y105" s="116"/>
      <c r="Z105" s="116"/>
      <c r="AA105" s="116"/>
    </row>
    <row r="106" spans="1:27" ht="33.75" customHeight="1">
      <c r="A106" s="24" t="str">
        <v>Yellow Mills 2</v>
      </c>
      <c r="B106" s="25" t="str">
        <v>NY</v>
      </c>
      <c r="C106" s="25" t="str">
        <f>Sites[[#This Row],[SOL'#]]</f>
        <v>SOL-11005</v>
      </c>
      <c r="D106" s="20">
        <v>325193</v>
      </c>
      <c r="E106" s="10" t="s">
        <v>1088</v>
      </c>
      <c r="F106" s="10" t="str">
        <f t="shared" si="8"/>
        <v/>
      </c>
      <c r="G106" s="11" t="str">
        <f t="shared" si="9"/>
        <v/>
      </c>
      <c r="H106" s="12">
        <v>429297.84</v>
      </c>
      <c r="I106" s="12">
        <f t="shared" si="10"/>
        <v>-104104.84000000003</v>
      </c>
      <c r="J106" s="72">
        <f t="shared" si="11"/>
        <v>-0.24250026508402656</v>
      </c>
      <c r="K106" s="59" t="s">
        <v>1224</v>
      </c>
      <c r="L106" s="111" t="s">
        <v>1225</v>
      </c>
      <c r="M106" s="116"/>
      <c r="N106" s="116"/>
      <c r="O106" s="116"/>
      <c r="P106" s="116"/>
      <c r="Q106" s="116"/>
      <c r="R106" s="116"/>
      <c r="S106" s="116"/>
      <c r="T106" s="116"/>
      <c r="U106" s="116"/>
      <c r="V106" s="116"/>
      <c r="W106" s="116"/>
      <c r="X106" s="116"/>
      <c r="Y106" s="116"/>
      <c r="Z106" s="116"/>
      <c r="AA106" s="116"/>
    </row>
    <row r="107" spans="1:27" ht="17.25" customHeight="1">
      <c r="A107" s="26" t="str">
        <v>Yellow Mills 3</v>
      </c>
      <c r="B107" s="27" t="str">
        <v>NY</v>
      </c>
      <c r="C107" s="25" t="str">
        <f>Sites[[#This Row],[SOL'#]]</f>
        <v>SOL-11007</v>
      </c>
      <c r="D107" s="9">
        <v>319142</v>
      </c>
      <c r="E107" s="14" t="s">
        <v>1088</v>
      </c>
      <c r="F107" s="14" t="str">
        <f t="shared" si="8"/>
        <v/>
      </c>
      <c r="G107" s="15" t="str">
        <f t="shared" si="9"/>
        <v/>
      </c>
      <c r="H107" s="16">
        <v>411178.38</v>
      </c>
      <c r="I107" s="16">
        <f t="shared" si="10"/>
        <v>-92036.38</v>
      </c>
      <c r="J107" s="15">
        <f t="shared" si="11"/>
        <v>-0.2238356501137049</v>
      </c>
      <c r="K107" s="57" t="s">
        <v>1226</v>
      </c>
      <c r="L107" s="112" t="s">
        <v>1227</v>
      </c>
      <c r="M107" s="116"/>
      <c r="N107" s="116"/>
      <c r="O107" s="116"/>
      <c r="P107" s="116"/>
      <c r="Q107" s="116"/>
      <c r="R107" s="116"/>
      <c r="S107" s="116"/>
      <c r="T107" s="116"/>
      <c r="U107" s="116"/>
      <c r="V107" s="116"/>
      <c r="W107" s="116"/>
      <c r="X107" s="116"/>
      <c r="Y107" s="116"/>
      <c r="Z107" s="116"/>
      <c r="AA107" s="116"/>
    </row>
    <row r="108" spans="1:27" ht="15.6">
      <c r="A108" s="24" t="str">
        <v>Catskill</v>
      </c>
      <c r="B108" s="25" t="str">
        <v>NY</v>
      </c>
      <c r="C108" s="25" t="str">
        <f>Sites[[#This Row],[SOL'#]]</f>
        <v>SOL-11021</v>
      </c>
      <c r="D108" s="20">
        <v>575300</v>
      </c>
      <c r="E108" s="10" t="s">
        <v>1088</v>
      </c>
      <c r="F108" s="10" t="str">
        <f t="shared" si="8"/>
        <v/>
      </c>
      <c r="G108" s="11" t="str">
        <f t="shared" si="9"/>
        <v/>
      </c>
      <c r="H108" s="12">
        <v>720288.86</v>
      </c>
      <c r="I108" s="12">
        <f t="shared" si="10"/>
        <v>-144988.85999999999</v>
      </c>
      <c r="J108" s="72">
        <f t="shared" si="11"/>
        <v>-0.20129265917010017</v>
      </c>
      <c r="K108" s="59" t="s">
        <v>1228</v>
      </c>
      <c r="L108" s="59"/>
      <c r="M108" s="116"/>
      <c r="N108" s="116"/>
      <c r="O108" s="116"/>
      <c r="P108" s="116"/>
      <c r="Q108" s="116"/>
      <c r="R108" s="116"/>
      <c r="S108" s="116"/>
      <c r="T108" s="116"/>
      <c r="U108" s="116"/>
      <c r="V108" s="116"/>
      <c r="W108" s="116"/>
      <c r="X108" s="116"/>
      <c r="Y108" s="116"/>
      <c r="Z108" s="116"/>
      <c r="AA108" s="116"/>
    </row>
    <row r="109" spans="1:27" ht="36" customHeight="1">
      <c r="A109" s="26" t="str">
        <v>Eddy Ridge</v>
      </c>
      <c r="B109" s="27" t="str">
        <v>NY</v>
      </c>
      <c r="C109" s="25" t="str">
        <f>Sites[[#This Row],[SOL'#]]</f>
        <v>SOL-11054</v>
      </c>
      <c r="D109" s="9">
        <v>466429</v>
      </c>
      <c r="E109" s="14" t="s">
        <v>1088</v>
      </c>
      <c r="F109" s="14" t="str">
        <f t="shared" si="8"/>
        <v/>
      </c>
      <c r="G109" s="15" t="str">
        <f t="shared" si="9"/>
        <v/>
      </c>
      <c r="H109" s="16">
        <v>589040</v>
      </c>
      <c r="I109" s="16">
        <f t="shared" si="10"/>
        <v>-122611</v>
      </c>
      <c r="J109" s="15">
        <f t="shared" si="11"/>
        <v>-0.20815394540268911</v>
      </c>
      <c r="K109" s="57" t="s">
        <v>1229</v>
      </c>
      <c r="L109" s="112" t="s">
        <v>1230</v>
      </c>
      <c r="M109" s="115" t="s">
        <v>1231</v>
      </c>
      <c r="N109" s="116"/>
      <c r="O109" s="116"/>
      <c r="P109" s="116"/>
      <c r="Q109" s="116"/>
      <c r="R109" s="116"/>
      <c r="S109" s="116"/>
      <c r="T109" s="116"/>
      <c r="U109" s="116"/>
      <c r="V109" s="116"/>
      <c r="W109" s="116"/>
      <c r="X109" s="116"/>
      <c r="Y109" s="116"/>
      <c r="Z109" s="116"/>
      <c r="AA109" s="116"/>
    </row>
    <row r="110" spans="1:27" ht="31.5" customHeight="1">
      <c r="A110" s="24" t="str">
        <v>Ridgeway #1</v>
      </c>
      <c r="B110" s="25" t="str">
        <v>NY</v>
      </c>
      <c r="C110" s="25" t="str">
        <f>Sites[[#This Row],[SOL'#]]</f>
        <v>SOL-11018</v>
      </c>
      <c r="D110" s="20">
        <v>1046948</v>
      </c>
      <c r="E110" s="10" t="s">
        <v>1088</v>
      </c>
      <c r="F110" s="10" t="str">
        <f t="shared" si="8"/>
        <v/>
      </c>
      <c r="G110" s="11" t="str">
        <f t="shared" si="9"/>
        <v/>
      </c>
      <c r="H110" s="12">
        <v>1246214.3799999999</v>
      </c>
      <c r="I110" s="12">
        <f t="shared" si="10"/>
        <v>-199266.37999999989</v>
      </c>
      <c r="J110" s="72">
        <f t="shared" si="11"/>
        <v>-0.15989735249243386</v>
      </c>
      <c r="K110" s="59" t="s">
        <v>1232</v>
      </c>
      <c r="L110" s="111" t="s">
        <v>1233</v>
      </c>
      <c r="M110" s="115" t="s">
        <v>1234</v>
      </c>
      <c r="N110" s="116"/>
      <c r="O110" s="116"/>
      <c r="P110" s="116"/>
      <c r="Q110" s="116"/>
      <c r="R110" s="116"/>
      <c r="S110" s="116"/>
      <c r="T110" s="116"/>
      <c r="U110" s="116"/>
      <c r="V110" s="116"/>
      <c r="W110" s="116"/>
      <c r="X110" s="116"/>
      <c r="Y110" s="116"/>
      <c r="Z110" s="116"/>
      <c r="AA110" s="116"/>
    </row>
    <row r="111" spans="1:27" ht="37.5" customHeight="1">
      <c r="A111" s="26" t="str">
        <v>Rivard 1</v>
      </c>
      <c r="B111" s="27" t="str">
        <v>NY</v>
      </c>
      <c r="C111" s="25" t="str">
        <f>Sites[[#This Row],[SOL'#]]</f>
        <v>SOL-11011</v>
      </c>
      <c r="D111" s="9">
        <v>867771.68571428605</v>
      </c>
      <c r="E111" s="14">
        <v>0</v>
      </c>
      <c r="F111" s="14">
        <f t="shared" si="8"/>
        <v>867771.68571428605</v>
      </c>
      <c r="G111" s="15" t="str">
        <f t="shared" si="9"/>
        <v/>
      </c>
      <c r="H111" s="16">
        <v>898187.05</v>
      </c>
      <c r="I111" s="16">
        <f t="shared" si="10"/>
        <v>-30415.364285713993</v>
      </c>
      <c r="J111" s="15">
        <f t="shared" si="11"/>
        <v>-3.3863062583360547E-2</v>
      </c>
      <c r="K111" s="57" t="s">
        <v>1235</v>
      </c>
      <c r="L111" s="112" t="s">
        <v>1236</v>
      </c>
      <c r="M111" s="116"/>
      <c r="N111" s="116"/>
      <c r="O111" s="116"/>
      <c r="P111" s="116"/>
      <c r="Q111" s="116"/>
      <c r="R111" s="116"/>
      <c r="S111" s="116"/>
      <c r="T111" s="116"/>
      <c r="U111" s="116"/>
      <c r="V111" s="116"/>
      <c r="W111" s="116"/>
      <c r="X111" s="116"/>
      <c r="Y111" s="116"/>
      <c r="Z111" s="116"/>
      <c r="AA111" s="116"/>
    </row>
    <row r="112" spans="1:27" ht="31.5" customHeight="1">
      <c r="A112" s="24" t="str">
        <v>Rivard 2</v>
      </c>
      <c r="B112" s="25" t="str">
        <v>NY</v>
      </c>
      <c r="C112" s="25" t="str">
        <f>Sites[[#This Row],[SOL'#]]</f>
        <v>SOL-11012</v>
      </c>
      <c r="D112" s="20">
        <v>825788.24500000104</v>
      </c>
      <c r="E112" s="10">
        <v>821072.9</v>
      </c>
      <c r="F112" s="10">
        <f t="shared" si="8"/>
        <v>4715.3450000010198</v>
      </c>
      <c r="G112" s="11">
        <f t="shared" si="9"/>
        <v>5.7429066286331211E-3</v>
      </c>
      <c r="H112" s="12">
        <v>1008005</v>
      </c>
      <c r="I112" s="12">
        <f t="shared" si="10"/>
        <v>-182216.75499999896</v>
      </c>
      <c r="J112" s="72">
        <f t="shared" si="11"/>
        <v>-0.18076969360270928</v>
      </c>
      <c r="K112" s="59" t="s">
        <v>1237</v>
      </c>
      <c r="L112" s="111" t="s">
        <v>377</v>
      </c>
      <c r="M112" s="116"/>
      <c r="N112" s="116"/>
      <c r="O112" s="116"/>
      <c r="P112" s="116"/>
      <c r="Q112" s="116"/>
      <c r="R112" s="116"/>
      <c r="S112" s="116"/>
      <c r="T112" s="116"/>
      <c r="U112" s="116"/>
      <c r="V112" s="116"/>
      <c r="W112" s="116"/>
      <c r="X112" s="116"/>
      <c r="Y112" s="116"/>
      <c r="Z112" s="116"/>
      <c r="AA112" s="116"/>
    </row>
    <row r="113" spans="1:27" ht="15.6">
      <c r="A113" s="26" t="str">
        <v>Essex</v>
      </c>
      <c r="B113" s="27" t="str">
        <v>DC</v>
      </c>
      <c r="C113" s="25" t="str">
        <f>Sites[[#This Row],[SOL'#]]</f>
        <v>SOL-10036</v>
      </c>
      <c r="D113" s="9">
        <v>3982</v>
      </c>
      <c r="E113" s="14">
        <v>5103.5370000000003</v>
      </c>
      <c r="F113" s="14">
        <f t="shared" si="8"/>
        <v>-1121.5370000000003</v>
      </c>
      <c r="G113" s="15">
        <f t="shared" si="9"/>
        <v>-0.21975680787657662</v>
      </c>
      <c r="H113" s="16">
        <v>4750.2120000000004</v>
      </c>
      <c r="I113" s="16">
        <f t="shared" si="10"/>
        <v>-768.21200000000044</v>
      </c>
      <c r="J113" s="15">
        <f t="shared" si="11"/>
        <v>-0.16172162421382463</v>
      </c>
      <c r="K113" s="119" t="s">
        <v>1238</v>
      </c>
      <c r="L113" s="57"/>
      <c r="M113" s="116"/>
      <c r="N113" s="116"/>
      <c r="O113" s="116"/>
      <c r="P113" s="116"/>
      <c r="Q113" s="116"/>
      <c r="R113" s="116"/>
      <c r="S113" s="116"/>
      <c r="T113" s="116"/>
      <c r="U113" s="116"/>
      <c r="V113" s="116"/>
      <c r="W113" s="116"/>
      <c r="X113" s="116"/>
      <c r="Y113" s="116"/>
      <c r="Z113" s="116"/>
      <c r="AA113" s="116"/>
    </row>
    <row r="114" spans="1:27" ht="15.6">
      <c r="A114" s="24" t="str">
        <v>Temple Sinai</v>
      </c>
      <c r="B114" s="25" t="str">
        <v>DC</v>
      </c>
      <c r="C114" s="25" t="str">
        <f>Sites[[#This Row],[SOL'#]]</f>
        <v>SOL-10028</v>
      </c>
      <c r="D114" s="20">
        <v>9498.5600000000595</v>
      </c>
      <c r="E114" s="10">
        <v>13471.97</v>
      </c>
      <c r="F114" s="10">
        <f t="shared" si="8"/>
        <v>-3973.4099999999398</v>
      </c>
      <c r="G114" s="11">
        <f t="shared" si="9"/>
        <v>-0.29493904751865835</v>
      </c>
      <c r="H114" s="12">
        <v>11067.17</v>
      </c>
      <c r="I114" s="12">
        <f t="shared" si="10"/>
        <v>-1568.6099999999406</v>
      </c>
      <c r="J114" s="72">
        <f t="shared" si="11"/>
        <v>-0.141735421069699</v>
      </c>
      <c r="K114" s="59" t="s">
        <v>1239</v>
      </c>
      <c r="L114" s="59"/>
      <c r="M114" s="116"/>
      <c r="N114" s="116"/>
      <c r="O114" s="116"/>
      <c r="P114" s="116"/>
      <c r="Q114" s="116"/>
      <c r="R114" s="116"/>
      <c r="S114" s="116"/>
      <c r="T114" s="116"/>
      <c r="U114" s="116"/>
      <c r="V114" s="116"/>
      <c r="W114" s="116"/>
      <c r="X114" s="116"/>
      <c r="Y114" s="116"/>
      <c r="Z114" s="116"/>
      <c r="AA114" s="116"/>
    </row>
    <row r="115" spans="1:27" ht="15.6">
      <c r="A115" s="26" t="str">
        <v>Weinberg Commons #1</v>
      </c>
      <c r="B115" s="27" t="str">
        <v>DC</v>
      </c>
      <c r="C115" s="25" t="str">
        <f>Sites[[#This Row],[SOL'#]]</f>
        <v>SOL-10039</v>
      </c>
      <c r="D115" s="9">
        <v>1630</v>
      </c>
      <c r="E115" s="14">
        <v>1686.25</v>
      </c>
      <c r="F115" s="14">
        <f t="shared" si="8"/>
        <v>-56.25</v>
      </c>
      <c r="G115" s="15">
        <f t="shared" si="9"/>
        <v>-3.3358042994810974E-2</v>
      </c>
      <c r="H115" s="16">
        <v>1691.6849999999999</v>
      </c>
      <c r="I115" s="16">
        <f t="shared" si="10"/>
        <v>-61.684999999999945</v>
      </c>
      <c r="J115" s="15">
        <f t="shared" si="11"/>
        <v>-3.6463644236367852E-2</v>
      </c>
      <c r="K115" s="57"/>
      <c r="L115" s="58"/>
      <c r="M115" s="116"/>
      <c r="N115" s="116"/>
      <c r="O115" s="116"/>
      <c r="P115" s="116"/>
      <c r="Q115" s="116"/>
      <c r="R115" s="116"/>
      <c r="S115" s="116"/>
      <c r="T115" s="116"/>
      <c r="U115" s="116"/>
      <c r="V115" s="116"/>
      <c r="W115" s="116"/>
      <c r="X115" s="116"/>
      <c r="Y115" s="116"/>
      <c r="Z115" s="116"/>
      <c r="AA115" s="116"/>
    </row>
    <row r="116" spans="1:27" ht="15.6">
      <c r="A116" s="24" t="str">
        <v>Weinberg Commons #2</v>
      </c>
      <c r="B116" s="25" t="str">
        <v>DC</v>
      </c>
      <c r="C116" s="25" t="str">
        <f>Sites[[#This Row],[SOL'#]]</f>
        <v>SOL-10045</v>
      </c>
      <c r="D116" s="20">
        <v>1446</v>
      </c>
      <c r="E116" s="10">
        <v>1469.681</v>
      </c>
      <c r="F116" s="10">
        <f t="shared" si="8"/>
        <v>-23.68100000000004</v>
      </c>
      <c r="G116" s="11">
        <f t="shared" si="9"/>
        <v>-1.6113020444572693E-2</v>
      </c>
      <c r="H116" s="12">
        <v>1717.4490000000001</v>
      </c>
      <c r="I116" s="12">
        <f t="shared" si="10"/>
        <v>-271.44900000000007</v>
      </c>
      <c r="J116" s="72">
        <f t="shared" si="11"/>
        <v>-0.15805360159166301</v>
      </c>
      <c r="K116" s="59" t="s">
        <v>1238</v>
      </c>
      <c r="L116" s="59"/>
      <c r="M116" s="116"/>
      <c r="N116" s="116"/>
      <c r="O116" s="116"/>
      <c r="P116" s="116"/>
      <c r="Q116" s="116"/>
      <c r="R116" s="116"/>
      <c r="S116" s="116"/>
      <c r="T116" s="116"/>
      <c r="U116" s="116"/>
      <c r="V116" s="116"/>
      <c r="W116" s="116"/>
      <c r="X116" s="116"/>
      <c r="Y116" s="116"/>
      <c r="Z116" s="116"/>
      <c r="AA116" s="116"/>
    </row>
    <row r="117" spans="1:27" ht="15.6">
      <c r="A117" s="26" t="str">
        <v>Weinberg Commons #3</v>
      </c>
      <c r="B117" s="27" t="str">
        <v>DC</v>
      </c>
      <c r="C117" s="25" t="str">
        <f>Sites[[#This Row],[SOL'#]]</f>
        <v>SOL-10042</v>
      </c>
      <c r="D117" s="9">
        <v>1817</v>
      </c>
      <c r="E117" s="14">
        <v>1737.6769999999999</v>
      </c>
      <c r="F117" s="14">
        <f t="shared" si="8"/>
        <v>79.323000000000093</v>
      </c>
      <c r="G117" s="15">
        <f t="shared" si="9"/>
        <v>4.5648874905980859E-2</v>
      </c>
      <c r="H117" s="16">
        <v>1791.306</v>
      </c>
      <c r="I117" s="16">
        <f t="shared" si="10"/>
        <v>25.69399999999996</v>
      </c>
      <c r="J117" s="15">
        <f t="shared" si="11"/>
        <v>1.4343724634428713E-2</v>
      </c>
      <c r="K117" s="57"/>
      <c r="L117" s="58"/>
      <c r="M117" s="116"/>
      <c r="N117" s="116"/>
      <c r="O117" s="116"/>
      <c r="P117" s="116"/>
      <c r="Q117" s="116"/>
      <c r="R117" s="116"/>
      <c r="S117" s="116"/>
      <c r="T117" s="116"/>
      <c r="U117" s="116"/>
      <c r="V117" s="116"/>
      <c r="W117" s="116"/>
      <c r="X117" s="116"/>
      <c r="Y117" s="116"/>
      <c r="Z117" s="116"/>
      <c r="AA117" s="116"/>
    </row>
    <row r="118" spans="1:27" ht="15.6">
      <c r="A118" s="24" t="str">
        <v>Clayton Hall</v>
      </c>
      <c r="B118" s="25" t="str">
        <v>DE</v>
      </c>
      <c r="C118" s="25" t="str">
        <f>Sites[[#This Row],[SOL'#]]</f>
        <v>SOL-10820</v>
      </c>
      <c r="D118" s="20">
        <v>18833</v>
      </c>
      <c r="E118" s="10">
        <v>20671.128000000001</v>
      </c>
      <c r="F118" s="10">
        <f t="shared" si="8"/>
        <v>-1838.1280000000006</v>
      </c>
      <c r="G118" s="11">
        <f t="shared" si="9"/>
        <v>-8.8922481637189826E-2</v>
      </c>
      <c r="H118" s="12">
        <v>19488.208999999999</v>
      </c>
      <c r="I118" s="12">
        <f t="shared" si="10"/>
        <v>-655.20899999999892</v>
      </c>
      <c r="J118" s="72">
        <f t="shared" si="11"/>
        <v>-3.3620790910031749E-2</v>
      </c>
      <c r="K118" s="59"/>
      <c r="L118" s="59"/>
      <c r="M118" s="116"/>
      <c r="N118" s="116"/>
      <c r="O118" s="116"/>
      <c r="P118" s="116"/>
      <c r="Q118" s="116"/>
      <c r="R118" s="116"/>
      <c r="S118" s="116"/>
      <c r="T118" s="116"/>
      <c r="U118" s="116"/>
      <c r="V118" s="116"/>
      <c r="W118" s="116"/>
      <c r="X118" s="116"/>
      <c r="Y118" s="116"/>
      <c r="Z118" s="116"/>
      <c r="AA118" s="116"/>
    </row>
    <row r="119" spans="1:27" ht="15.6">
      <c r="A119" s="26" t="str">
        <v>Field House</v>
      </c>
      <c r="B119" s="27" t="str">
        <v>DE</v>
      </c>
      <c r="C119" s="25" t="str">
        <f>Sites[[#This Row],[SOL'#]]</f>
        <v>SOL-10821</v>
      </c>
      <c r="D119" s="9">
        <v>47872</v>
      </c>
      <c r="E119" s="14" t="s">
        <v>1088</v>
      </c>
      <c r="F119" s="14" t="str">
        <f t="shared" si="8"/>
        <v/>
      </c>
      <c r="G119" s="15" t="str">
        <f t="shared" si="9"/>
        <v/>
      </c>
      <c r="H119" s="16">
        <v>48652.968000000001</v>
      </c>
      <c r="I119" s="16">
        <f t="shared" si="10"/>
        <v>-780.96800000000076</v>
      </c>
      <c r="J119" s="15">
        <f t="shared" si="11"/>
        <v>-1.6051805924769087E-2</v>
      </c>
      <c r="K119" s="57" t="s">
        <v>623</v>
      </c>
      <c r="L119" s="112" t="s">
        <v>624</v>
      </c>
      <c r="M119" s="116"/>
      <c r="N119" s="116"/>
      <c r="O119" s="116"/>
      <c r="P119" s="116"/>
      <c r="Q119" s="116"/>
      <c r="R119" s="116"/>
      <c r="S119" s="116"/>
      <c r="T119" s="116"/>
      <c r="U119" s="116"/>
      <c r="V119" s="116"/>
      <c r="W119" s="116"/>
      <c r="X119" s="116"/>
      <c r="Y119" s="116"/>
      <c r="Z119" s="116"/>
      <c r="AA119" s="116"/>
    </row>
    <row r="120" spans="1:27" ht="15.6">
      <c r="A120" s="24" t="str">
        <v>Wyoming Road</v>
      </c>
      <c r="B120" s="25" t="str">
        <v>DE</v>
      </c>
      <c r="C120" s="25" t="str">
        <f>Sites[[#This Row],[SOL'#]]</f>
        <v>SOL-10819</v>
      </c>
      <c r="D120" s="20">
        <v>31025</v>
      </c>
      <c r="E120" s="10">
        <v>31845.707999999999</v>
      </c>
      <c r="F120" s="10">
        <f t="shared" si="8"/>
        <v>-820.70799999999872</v>
      </c>
      <c r="G120" s="11">
        <f t="shared" si="9"/>
        <v>-2.5771384953978689E-2</v>
      </c>
      <c r="H120" s="12">
        <v>36293.305999999997</v>
      </c>
      <c r="I120" s="12">
        <f t="shared" si="10"/>
        <v>-5268.3059999999969</v>
      </c>
      <c r="J120" s="72">
        <f t="shared" si="11"/>
        <v>-0.14515916516395605</v>
      </c>
      <c r="K120" s="59" t="s">
        <v>1240</v>
      </c>
      <c r="L120" s="59"/>
      <c r="M120" s="116"/>
      <c r="N120" s="116"/>
      <c r="O120" s="116"/>
      <c r="P120" s="116"/>
      <c r="Q120" s="116"/>
      <c r="R120" s="116"/>
      <c r="S120" s="116"/>
      <c r="T120" s="116"/>
      <c r="U120" s="116"/>
      <c r="V120" s="116"/>
      <c r="W120" s="116"/>
      <c r="X120" s="116"/>
      <c r="Y120" s="116"/>
      <c r="Z120" s="116"/>
      <c r="AA120" s="116"/>
    </row>
    <row r="121" spans="1:27" ht="122.25" customHeight="1">
      <c r="A121" s="26" t="str">
        <v>94-246 Leoku St. - PV Bldg E, F, G</v>
      </c>
      <c r="B121" s="27" t="str">
        <v>HI</v>
      </c>
      <c r="C121" s="25" t="str">
        <f>Sites[[#This Row],[SOL'#]]</f>
        <v>SOL-10071</v>
      </c>
      <c r="D121" s="9">
        <v>9634</v>
      </c>
      <c r="E121" s="14">
        <v>13220.9</v>
      </c>
      <c r="F121" s="14">
        <f>IF(AND(ISNUMBER(D121),ISNUMBER(E121)), D121-E121, "")</f>
        <v>-3586.8999999999996</v>
      </c>
      <c r="G121" s="15">
        <f>IFERROR(F121/E121, "")</f>
        <v>-0.27130528178868307</v>
      </c>
      <c r="H121" s="16">
        <v>13467.537</v>
      </c>
      <c r="I121" s="16">
        <f>IF(AND(ISNUMBER(D121),ISNUMBER(H121)), D121-H121, "")</f>
        <v>-3833.5370000000003</v>
      </c>
      <c r="J121" s="15">
        <f t="shared" si="11"/>
        <v>-0.28465019253334889</v>
      </c>
      <c r="K121" s="57" t="s">
        <v>1241</v>
      </c>
      <c r="L121" s="112" t="s">
        <v>1242</v>
      </c>
      <c r="M121" s="115" t="s">
        <v>936</v>
      </c>
      <c r="N121" s="115" t="s">
        <v>630</v>
      </c>
      <c r="O121" s="115" t="s">
        <v>631</v>
      </c>
      <c r="P121" s="116"/>
      <c r="Q121" s="116"/>
      <c r="R121" s="116"/>
      <c r="S121" s="116"/>
      <c r="T121" s="116"/>
      <c r="U121" s="116"/>
      <c r="V121" s="116"/>
      <c r="W121" s="116"/>
      <c r="X121" s="116"/>
      <c r="Y121" s="116"/>
      <c r="Z121" s="116"/>
      <c r="AA121" s="116"/>
    </row>
    <row r="122" spans="1:27" ht="15.6">
      <c r="A122" s="24" t="str">
        <v>94-099 Waipahu St - PV</v>
      </c>
      <c r="B122" s="25" t="str">
        <v>HI</v>
      </c>
      <c r="C122" s="25" t="str">
        <f>Sites[[#This Row],[SOL'#]]</f>
        <v>SOL-10068</v>
      </c>
      <c r="D122" s="20">
        <v>14874</v>
      </c>
      <c r="E122" s="10">
        <v>11763.123</v>
      </c>
      <c r="F122" s="10">
        <f t="shared" si="8"/>
        <v>3110.8770000000004</v>
      </c>
      <c r="G122" s="11">
        <f t="shared" si="9"/>
        <v>0.26446012678775871</v>
      </c>
      <c r="H122" s="12">
        <v>13460.33</v>
      </c>
      <c r="I122" s="12">
        <f t="shared" si="10"/>
        <v>1413.67</v>
      </c>
      <c r="J122" s="72">
        <f t="shared" si="11"/>
        <v>0.10502491395084668</v>
      </c>
      <c r="K122" s="59"/>
      <c r="L122" s="59"/>
      <c r="M122" s="116"/>
      <c r="N122" s="116"/>
      <c r="O122" s="116"/>
      <c r="P122" s="116"/>
      <c r="Q122" s="116"/>
      <c r="R122" s="116"/>
      <c r="S122" s="116"/>
      <c r="T122" s="116"/>
      <c r="U122" s="116"/>
      <c r="V122" s="116"/>
      <c r="W122" s="116"/>
      <c r="X122" s="116"/>
      <c r="Y122" s="116"/>
      <c r="Z122" s="116"/>
      <c r="AA122" s="116"/>
    </row>
    <row r="123" spans="1:27" ht="15.6">
      <c r="A123" s="26" t="str">
        <v>TES Bird in Hand</v>
      </c>
      <c r="B123" s="27" t="str">
        <v>MD</v>
      </c>
      <c r="C123" s="25" t="str">
        <f>Sites[[#This Row],[SOL'#]]</f>
        <v>SOL-10092</v>
      </c>
      <c r="D123" s="9">
        <v>172108</v>
      </c>
      <c r="E123" s="14">
        <v>169941.891</v>
      </c>
      <c r="F123" s="14">
        <f t="shared" si="8"/>
        <v>2166.1089999999967</v>
      </c>
      <c r="G123" s="15">
        <f t="shared" si="9"/>
        <v>1.2746174514440331E-2</v>
      </c>
      <c r="H123" s="16">
        <v>172032.467</v>
      </c>
      <c r="I123" s="16">
        <f t="shared" si="10"/>
        <v>75.532999999995809</v>
      </c>
      <c r="J123" s="15">
        <f t="shared" si="11"/>
        <v>4.3906247069046452E-4</v>
      </c>
      <c r="K123" s="57"/>
      <c r="L123" s="58"/>
      <c r="M123" s="116"/>
      <c r="N123" s="116"/>
      <c r="O123" s="116"/>
      <c r="P123" s="116"/>
      <c r="Q123" s="116"/>
      <c r="R123" s="116"/>
      <c r="S123" s="116"/>
      <c r="T123" s="116"/>
      <c r="U123" s="116"/>
      <c r="V123" s="116"/>
      <c r="W123" s="116"/>
      <c r="X123" s="116"/>
      <c r="Y123" s="116"/>
      <c r="Z123" s="116"/>
      <c r="AA123" s="116"/>
    </row>
    <row r="124" spans="1:27" ht="15.6">
      <c r="A124" s="24" t="str">
        <v>TES Shortal Solar LLC</v>
      </c>
      <c r="B124" s="25" t="str">
        <v>MD</v>
      </c>
      <c r="C124" s="25" t="str">
        <f>Sites[[#This Row],[SOL'#]]</f>
        <v>SOL-10091</v>
      </c>
      <c r="D124" s="20">
        <v>171257</v>
      </c>
      <c r="E124" s="10">
        <v>175024.95600000001</v>
      </c>
      <c r="F124" s="10">
        <f t="shared" si="8"/>
        <v>-3767.9560000000056</v>
      </c>
      <c r="G124" s="11">
        <f t="shared" si="9"/>
        <v>-2.1528107111765282E-2</v>
      </c>
      <c r="H124" s="12">
        <v>191402.17300000001</v>
      </c>
      <c r="I124" s="12">
        <f t="shared" si="10"/>
        <v>-20145.17300000001</v>
      </c>
      <c r="J124" s="72">
        <f t="shared" si="11"/>
        <v>-0.10525049263677905</v>
      </c>
      <c r="K124" s="59" t="s">
        <v>1243</v>
      </c>
      <c r="L124" s="59" t="s">
        <v>1244</v>
      </c>
      <c r="M124" s="116"/>
      <c r="N124" s="116"/>
      <c r="O124" s="116"/>
      <c r="P124" s="116"/>
      <c r="Q124" s="116"/>
      <c r="R124" s="116"/>
      <c r="S124" s="116"/>
      <c r="T124" s="116"/>
      <c r="U124" s="116"/>
      <c r="V124" s="116"/>
      <c r="W124" s="116"/>
      <c r="X124" s="116"/>
      <c r="Y124" s="116"/>
      <c r="Z124" s="116"/>
      <c r="AA124" s="116"/>
    </row>
    <row r="125" spans="1:27" ht="28.9">
      <c r="A125" s="26" t="str">
        <v>Coca Cola Aguadilla</v>
      </c>
      <c r="B125" s="27" t="str">
        <v>PR</v>
      </c>
      <c r="C125" s="25" t="str">
        <f>Sites[[#This Row],[SOL'#]]</f>
        <v>SOL-10072</v>
      </c>
      <c r="D125" s="9">
        <v>15912</v>
      </c>
      <c r="E125" s="14">
        <v>19929.953000000001</v>
      </c>
      <c r="F125" s="14">
        <f t="shared" si="8"/>
        <v>-4017.9530000000013</v>
      </c>
      <c r="G125" s="15">
        <f t="shared" si="9"/>
        <v>-0.20160373684774877</v>
      </c>
      <c r="H125" s="16">
        <v>20609.984</v>
      </c>
      <c r="I125" s="16">
        <f t="shared" si="10"/>
        <v>-4697.9840000000004</v>
      </c>
      <c r="J125" s="15">
        <f t="shared" si="11"/>
        <v>-0.2279469988914111</v>
      </c>
      <c r="K125" s="57" t="s">
        <v>1245</v>
      </c>
      <c r="L125" s="112" t="s">
        <v>1246</v>
      </c>
      <c r="M125" s="115" t="s">
        <v>940</v>
      </c>
      <c r="N125" s="116"/>
      <c r="O125" s="116"/>
      <c r="P125" s="116"/>
      <c r="Q125" s="116"/>
      <c r="R125" s="116"/>
      <c r="S125" s="116"/>
      <c r="T125" s="116"/>
      <c r="U125" s="116"/>
      <c r="V125" s="116"/>
      <c r="W125" s="116"/>
      <c r="X125" s="116"/>
      <c r="Y125" s="116"/>
      <c r="Z125" s="116"/>
      <c r="AA125" s="116"/>
    </row>
    <row r="126" spans="1:27" ht="121.5" customHeight="1">
      <c r="A126" s="24" t="str">
        <v>Coca Cola Bayamon</v>
      </c>
      <c r="B126" s="25" t="str">
        <v>PR</v>
      </c>
      <c r="C126" s="25" t="str">
        <f>Sites[[#This Row],[SOL'#]]</f>
        <v>SOL-10073</v>
      </c>
      <c r="D126" s="20">
        <v>51617</v>
      </c>
      <c r="E126" s="10">
        <v>70840.98</v>
      </c>
      <c r="F126" s="10">
        <f t="shared" si="8"/>
        <v>-19223.979999999996</v>
      </c>
      <c r="G126" s="11">
        <f t="shared" si="9"/>
        <v>-0.27136806972461414</v>
      </c>
      <c r="H126" s="12">
        <v>89378.826000000001</v>
      </c>
      <c r="I126" s="12">
        <f t="shared" si="10"/>
        <v>-37761.826000000001</v>
      </c>
      <c r="J126" s="72">
        <f t="shared" si="11"/>
        <v>-0.42249185506195841</v>
      </c>
      <c r="K126" s="59" t="s">
        <v>1247</v>
      </c>
      <c r="L126" s="111" t="s">
        <v>1248</v>
      </c>
      <c r="M126" s="115" t="s">
        <v>1249</v>
      </c>
      <c r="N126" s="115" t="s">
        <v>948</v>
      </c>
      <c r="O126" s="115" t="s">
        <v>637</v>
      </c>
      <c r="P126" s="115" t="s">
        <v>638</v>
      </c>
      <c r="Q126" s="115" t="s">
        <v>171</v>
      </c>
      <c r="R126" s="116"/>
      <c r="S126" s="116"/>
      <c r="T126" s="116"/>
      <c r="U126" s="116"/>
      <c r="V126" s="116"/>
      <c r="W126" s="116"/>
      <c r="X126" s="116"/>
      <c r="Y126" s="116"/>
      <c r="Z126" s="116"/>
      <c r="AA126" s="116"/>
    </row>
    <row r="127" spans="1:27" ht="165.75" customHeight="1">
      <c r="A127" s="26" t="str">
        <v>St Francis School</v>
      </c>
      <c r="B127" s="27" t="str">
        <v>PR</v>
      </c>
      <c r="C127" s="25" t="str">
        <f>Sites[[#This Row],[SOL'#]]</f>
        <v>SOL-10034</v>
      </c>
      <c r="D127" s="9">
        <v>25575.5</v>
      </c>
      <c r="E127" s="14">
        <v>55605.552000000003</v>
      </c>
      <c r="F127" s="14">
        <f t="shared" si="8"/>
        <v>-30030.052000000003</v>
      </c>
      <c r="G127" s="15">
        <f t="shared" si="9"/>
        <v>-0.54005492113449394</v>
      </c>
      <c r="H127" s="16">
        <v>43243.968000000001</v>
      </c>
      <c r="I127" s="16">
        <f t="shared" si="10"/>
        <v>-17668.468000000001</v>
      </c>
      <c r="J127" s="15">
        <f t="shared" si="11"/>
        <v>-0.40857647475828307</v>
      </c>
      <c r="K127" s="57" t="s">
        <v>1250</v>
      </c>
      <c r="L127" s="112" t="s">
        <v>1251</v>
      </c>
      <c r="M127" s="115" t="s">
        <v>1252</v>
      </c>
      <c r="N127" s="115" t="s">
        <v>1253</v>
      </c>
      <c r="O127" s="115" t="s">
        <v>1254</v>
      </c>
      <c r="P127" s="115" t="s">
        <v>1255</v>
      </c>
      <c r="Q127" s="115" t="s">
        <v>1252</v>
      </c>
      <c r="R127" s="115" t="s">
        <v>1256</v>
      </c>
      <c r="S127" s="115" t="s">
        <v>1252</v>
      </c>
      <c r="T127" s="115" t="s">
        <v>1257</v>
      </c>
      <c r="U127" s="115" t="s">
        <v>176</v>
      </c>
      <c r="V127" s="115" t="s">
        <v>1258</v>
      </c>
      <c r="W127" s="115" t="s">
        <v>178</v>
      </c>
      <c r="X127" s="115" t="s">
        <v>177</v>
      </c>
      <c r="Y127" s="115" t="s">
        <v>174</v>
      </c>
      <c r="Z127" s="116"/>
      <c r="AA127" s="116"/>
    </row>
    <row r="128" spans="1:27" ht="64.5" customHeight="1">
      <c r="A128" s="24" t="str">
        <v>645 Summer Street - (Seaport Solar)</v>
      </c>
      <c r="B128" s="25" t="str">
        <v>MA</v>
      </c>
      <c r="C128" s="25" t="str">
        <f>Sites[[#This Row],[SOL'#]]</f>
        <v>SOL-10772</v>
      </c>
      <c r="D128" s="20">
        <v>18928.5</v>
      </c>
      <c r="E128" s="10">
        <v>3493.5770000000002</v>
      </c>
      <c r="F128" s="10">
        <f t="shared" si="8"/>
        <v>15434.922999999999</v>
      </c>
      <c r="G128" s="11">
        <f t="shared" si="9"/>
        <v>4.4180858186323064</v>
      </c>
      <c r="H128" s="12">
        <v>81268.097999999998</v>
      </c>
      <c r="I128" s="12">
        <f t="shared" si="10"/>
        <v>-62339.597999999998</v>
      </c>
      <c r="J128" s="72">
        <f t="shared" si="11"/>
        <v>-0.76708572655410245</v>
      </c>
      <c r="K128" s="59" t="s">
        <v>1259</v>
      </c>
      <c r="L128" s="111" t="s">
        <v>1260</v>
      </c>
      <c r="M128" s="115" t="s">
        <v>1261</v>
      </c>
      <c r="N128" s="116"/>
      <c r="O128" s="116"/>
      <c r="P128" s="116"/>
      <c r="Q128" s="116"/>
      <c r="R128" s="116"/>
      <c r="S128" s="116"/>
      <c r="T128" s="116"/>
      <c r="U128" s="116"/>
      <c r="V128" s="116"/>
      <c r="W128" s="116"/>
      <c r="X128" s="116"/>
      <c r="Y128" s="116"/>
      <c r="Z128" s="116"/>
      <c r="AA128" s="116"/>
    </row>
    <row r="129" spans="1:27" ht="48" customHeight="1">
      <c r="A129" s="26" t="str">
        <v>480 Sprague St</v>
      </c>
      <c r="B129" s="27" t="str">
        <v>MA</v>
      </c>
      <c r="C129" s="25" t="str">
        <f>Sites[[#This Row],[SOL'#]]</f>
        <v>SOL-10773</v>
      </c>
      <c r="D129" s="9">
        <v>151689</v>
      </c>
      <c r="E129" s="14">
        <v>22473.454000000002</v>
      </c>
      <c r="F129" s="14">
        <f t="shared" si="8"/>
        <v>129215.546</v>
      </c>
      <c r="G129" s="15">
        <f t="shared" si="9"/>
        <v>5.7496967755824269</v>
      </c>
      <c r="H129" s="16">
        <v>181374.20699999999</v>
      </c>
      <c r="I129" s="16">
        <f t="shared" si="10"/>
        <v>-29685.206999999995</v>
      </c>
      <c r="J129" s="15">
        <f t="shared" si="11"/>
        <v>-0.16366829380541412</v>
      </c>
      <c r="K129" s="57" t="s">
        <v>1262</v>
      </c>
      <c r="L129" s="114" t="s">
        <v>1263</v>
      </c>
      <c r="M129" s="115" t="s">
        <v>1264</v>
      </c>
      <c r="N129" s="116"/>
      <c r="O129" s="116"/>
      <c r="P129" s="116"/>
      <c r="Q129" s="116"/>
      <c r="R129" s="116"/>
      <c r="S129" s="116"/>
      <c r="T129" s="116"/>
      <c r="U129" s="116"/>
      <c r="V129" s="116"/>
      <c r="W129" s="116"/>
      <c r="X129" s="116"/>
      <c r="Y129" s="116"/>
      <c r="Z129" s="116"/>
      <c r="AA129" s="116"/>
    </row>
    <row r="130" spans="1:27" ht="63" customHeight="1">
      <c r="A130" s="24" t="str">
        <v>647 Summer Street - (Summer Street Solar)</v>
      </c>
      <c r="B130" s="25" t="str">
        <v>MA</v>
      </c>
      <c r="C130" s="25" t="str">
        <f>Sites[[#This Row],[SOL'#]]</f>
        <v>SOL-10764</v>
      </c>
      <c r="D130" s="20">
        <v>44360</v>
      </c>
      <c r="E130" s="10">
        <v>60908.981</v>
      </c>
      <c r="F130" s="10">
        <f t="shared" si="8"/>
        <v>-16548.981</v>
      </c>
      <c r="G130" s="11">
        <f t="shared" si="9"/>
        <v>-0.27170017833659044</v>
      </c>
      <c r="H130" s="12">
        <v>380934.71</v>
      </c>
      <c r="I130" s="12">
        <f t="shared" si="10"/>
        <v>-336574.71</v>
      </c>
      <c r="J130" s="72">
        <f t="shared" si="11"/>
        <v>-0.88354959830255431</v>
      </c>
      <c r="K130" s="59" t="s">
        <v>1265</v>
      </c>
      <c r="L130" s="111" t="s">
        <v>1266</v>
      </c>
      <c r="M130" s="115" t="s">
        <v>1267</v>
      </c>
      <c r="N130" s="115" t="s">
        <v>1268</v>
      </c>
      <c r="O130" s="116"/>
      <c r="P130" s="116"/>
      <c r="Q130" s="116"/>
      <c r="R130" s="116"/>
      <c r="S130" s="116"/>
      <c r="T130" s="116"/>
      <c r="U130" s="116"/>
      <c r="V130" s="116"/>
      <c r="W130" s="116"/>
      <c r="X130" s="116"/>
      <c r="Y130" s="116"/>
      <c r="Z130" s="116"/>
      <c r="AA130" s="116"/>
    </row>
    <row r="131" spans="1:27" ht="15.6">
      <c r="A131" s="26" t="str">
        <v>Rochester Technical School (Wakefield Street)</v>
      </c>
      <c r="B131" s="27" t="str">
        <v>NH</v>
      </c>
      <c r="C131" s="25" t="str">
        <f>Sites[[#This Row],[SOL'#]]</f>
        <v>SOL-10768</v>
      </c>
      <c r="D131" s="9">
        <v>29334.742999999999</v>
      </c>
      <c r="E131" s="14">
        <v>30573.179</v>
      </c>
      <c r="F131" s="14">
        <f t="shared" si="8"/>
        <v>-1238.4360000000015</v>
      </c>
      <c r="G131" s="15">
        <f t="shared" si="9"/>
        <v>-4.0507269459940737E-2</v>
      </c>
      <c r="H131" s="16">
        <v>34395.542000000001</v>
      </c>
      <c r="I131" s="16">
        <f t="shared" si="10"/>
        <v>-5060.7990000000027</v>
      </c>
      <c r="J131" s="15">
        <f t="shared" si="11"/>
        <v>-0.14713531771064989</v>
      </c>
      <c r="K131" s="57" t="s">
        <v>1269</v>
      </c>
      <c r="L131" s="58"/>
      <c r="M131" s="116"/>
      <c r="N131" s="116"/>
      <c r="O131" s="116"/>
      <c r="P131" s="116"/>
      <c r="Q131" s="116"/>
      <c r="R131" s="116"/>
      <c r="S131" s="116"/>
      <c r="T131" s="116"/>
      <c r="U131" s="116"/>
      <c r="V131" s="116"/>
      <c r="W131" s="116"/>
      <c r="X131" s="116"/>
      <c r="Y131" s="116"/>
      <c r="Z131" s="116"/>
      <c r="AA131" s="116"/>
    </row>
    <row r="132" spans="1:27" ht="15.6">
      <c r="A132" s="24" t="str">
        <v>McClelland ES</v>
      </c>
      <c r="B132" s="25" t="str">
        <v>NH</v>
      </c>
      <c r="C132" s="25" t="str">
        <f>Sites[[#This Row],[SOL'#]]</f>
        <v>SOL-10766</v>
      </c>
      <c r="D132" s="20">
        <v>10086.376</v>
      </c>
      <c r="E132" s="10">
        <v>10669.516</v>
      </c>
      <c r="F132" s="10">
        <f t="shared" si="8"/>
        <v>-583.13999999999942</v>
      </c>
      <c r="G132" s="11">
        <f t="shared" si="9"/>
        <v>-5.4654775343136411E-2</v>
      </c>
      <c r="H132" s="12">
        <v>11142.075000000001</v>
      </c>
      <c r="I132" s="12">
        <f t="shared" si="10"/>
        <v>-1055.6990000000005</v>
      </c>
      <c r="J132" s="72">
        <f t="shared" si="11"/>
        <v>-9.4748868590455587E-2</v>
      </c>
      <c r="K132" s="59"/>
      <c r="L132" s="59"/>
      <c r="M132" s="116"/>
      <c r="N132" s="116"/>
      <c r="O132" s="116"/>
      <c r="P132" s="116"/>
      <c r="Q132" s="116"/>
      <c r="R132" s="116"/>
      <c r="S132" s="116"/>
      <c r="T132" s="116"/>
      <c r="U132" s="116"/>
      <c r="V132" s="116"/>
      <c r="W132" s="116"/>
      <c r="X132" s="116"/>
      <c r="Y132" s="116"/>
      <c r="Z132" s="116"/>
      <c r="AA132" s="116"/>
    </row>
    <row r="133" spans="1:27" ht="15.6">
      <c r="A133" s="26" t="str">
        <v>Portland St</v>
      </c>
      <c r="B133" s="27" t="str">
        <v>NH</v>
      </c>
      <c r="C133" s="25" t="str">
        <f>Sites[[#This Row],[SOL'#]]</f>
        <v>SOL-10771</v>
      </c>
      <c r="D133" s="9">
        <v>8967.9339999999993</v>
      </c>
      <c r="E133" s="14">
        <v>6417.1629999999996</v>
      </c>
      <c r="F133" s="14">
        <f t="shared" si="8"/>
        <v>2550.7709999999997</v>
      </c>
      <c r="G133" s="15">
        <f t="shared" si="9"/>
        <v>0.39749200698190151</v>
      </c>
      <c r="H133" s="16">
        <v>8898.4930000000004</v>
      </c>
      <c r="I133" s="16">
        <f t="shared" si="10"/>
        <v>69.440999999998894</v>
      </c>
      <c r="J133" s="15">
        <f t="shared" si="11"/>
        <v>7.8036809154088107E-3</v>
      </c>
      <c r="K133" s="57"/>
      <c r="L133" s="58"/>
      <c r="M133" s="116"/>
      <c r="N133" s="116"/>
      <c r="O133" s="116"/>
      <c r="P133" s="116"/>
      <c r="Q133" s="116"/>
      <c r="R133" s="116"/>
      <c r="S133" s="116"/>
      <c r="T133" s="116"/>
      <c r="U133" s="116"/>
      <c r="V133" s="116"/>
      <c r="W133" s="116"/>
      <c r="X133" s="116"/>
      <c r="Y133" s="116"/>
      <c r="Z133" s="116"/>
      <c r="AA133" s="116"/>
    </row>
    <row r="134" spans="1:27" ht="15.6">
      <c r="A134" s="24" t="str">
        <v>Freshet Road -PHS</v>
      </c>
      <c r="B134" s="25" t="str">
        <v>NH</v>
      </c>
      <c r="C134" s="25" t="str">
        <f>Sites[[#This Row],[SOL'#]]</f>
        <v>SOL-10769</v>
      </c>
      <c r="D134" s="20">
        <v>35755.125</v>
      </c>
      <c r="E134" s="10" t="s">
        <v>1088</v>
      </c>
      <c r="F134" s="10" t="str">
        <f t="shared" si="8"/>
        <v/>
      </c>
      <c r="G134" s="11" t="str">
        <f t="shared" si="9"/>
        <v/>
      </c>
      <c r="H134" s="12">
        <v>34892.400999999998</v>
      </c>
      <c r="I134" s="12">
        <f t="shared" si="10"/>
        <v>862.72400000000198</v>
      </c>
      <c r="J134" s="72">
        <f t="shared" si="11"/>
        <v>2.4725268977620715E-2</v>
      </c>
      <c r="K134" s="59"/>
      <c r="L134" s="59"/>
      <c r="M134" s="116"/>
      <c r="N134" s="116"/>
      <c r="O134" s="116"/>
      <c r="P134" s="116"/>
      <c r="Q134" s="116"/>
      <c r="R134" s="116"/>
      <c r="S134" s="116"/>
      <c r="T134" s="116"/>
      <c r="U134" s="116"/>
      <c r="V134" s="116"/>
      <c r="W134" s="116"/>
      <c r="X134" s="116"/>
      <c r="Y134" s="116"/>
      <c r="Z134" s="116"/>
      <c r="AA134" s="116"/>
    </row>
    <row r="135" spans="1:27" ht="28.9">
      <c r="A135" s="26" t="str">
        <v>Freshet Road - PWTP</v>
      </c>
      <c r="B135" s="27" t="str">
        <v>NH</v>
      </c>
      <c r="C135" s="25" t="str">
        <f>Sites[[#This Row],[SOL'#]]</f>
        <v>SOL-10770</v>
      </c>
      <c r="D135" s="9">
        <v>0</v>
      </c>
      <c r="E135" s="14">
        <v>0</v>
      </c>
      <c r="F135" s="14">
        <f t="shared" si="8"/>
        <v>0</v>
      </c>
      <c r="G135" s="15" t="str">
        <f t="shared" si="9"/>
        <v/>
      </c>
      <c r="H135" s="16">
        <v>37843</v>
      </c>
      <c r="I135" s="12">
        <f t="shared" si="10"/>
        <v>-37843</v>
      </c>
      <c r="J135" s="15">
        <f t="shared" si="11"/>
        <v>-1</v>
      </c>
      <c r="K135" s="57" t="s">
        <v>646</v>
      </c>
      <c r="L135" s="112" t="s">
        <v>1270</v>
      </c>
      <c r="M135" s="116"/>
      <c r="N135" s="116"/>
      <c r="O135" s="116"/>
      <c r="P135" s="116"/>
      <c r="Q135" s="116"/>
      <c r="R135" s="116"/>
      <c r="S135" s="116"/>
      <c r="T135" s="116"/>
      <c r="U135" s="116"/>
      <c r="V135" s="116"/>
      <c r="W135" s="116"/>
      <c r="X135" s="116"/>
      <c r="Y135" s="116"/>
      <c r="Z135" s="116"/>
      <c r="AA135" s="116"/>
    </row>
    <row r="136" spans="1:27" ht="15.6">
      <c r="A136" s="24" t="str">
        <v>Rochester Middle School (Brock Street)</v>
      </c>
      <c r="B136" s="25" t="str">
        <v>NH</v>
      </c>
      <c r="C136" s="25" t="str">
        <f>Sites[[#This Row],[SOL'#]]</f>
        <v>SOL-10765</v>
      </c>
      <c r="D136" s="20">
        <v>29334.742999999999</v>
      </c>
      <c r="E136" s="10">
        <v>30573.179</v>
      </c>
      <c r="F136" s="10">
        <f t="shared" si="8"/>
        <v>-1238.4360000000015</v>
      </c>
      <c r="G136" s="11">
        <f t="shared" si="9"/>
        <v>-4.0507269459940737E-2</v>
      </c>
      <c r="H136" s="12">
        <v>34395.542000000001</v>
      </c>
      <c r="I136" s="12">
        <f t="shared" si="10"/>
        <v>-5060.7990000000027</v>
      </c>
      <c r="J136" s="72">
        <f t="shared" si="11"/>
        <v>-0.14713531771064989</v>
      </c>
      <c r="K136" s="59" t="s">
        <v>1271</v>
      </c>
      <c r="L136" s="59" t="s">
        <v>1272</v>
      </c>
      <c r="M136" s="116"/>
      <c r="N136" s="116"/>
      <c r="O136" s="116"/>
      <c r="P136" s="116"/>
      <c r="Q136" s="116"/>
      <c r="R136" s="116"/>
      <c r="S136" s="116"/>
      <c r="T136" s="116"/>
      <c r="U136" s="116"/>
      <c r="V136" s="116"/>
      <c r="W136" s="116"/>
      <c r="X136" s="116"/>
      <c r="Y136" s="116"/>
      <c r="Z136" s="116"/>
      <c r="AA136" s="116"/>
    </row>
    <row r="137" spans="1:27" ht="37.5" customHeight="1">
      <c r="A137" s="26" t="str">
        <v>Spaulding High School (Wakefield Street)</v>
      </c>
      <c r="B137" s="27" t="str">
        <v>NH</v>
      </c>
      <c r="C137" s="25" t="str">
        <f>Sites[[#This Row],[SOL'#]]</f>
        <v>SOL-10767</v>
      </c>
      <c r="D137" s="9">
        <v>14030.688</v>
      </c>
      <c r="E137" s="14">
        <v>13600.5</v>
      </c>
      <c r="F137" s="14">
        <f t="shared" si="8"/>
        <v>430.1880000000001</v>
      </c>
      <c r="G137" s="15">
        <f t="shared" si="9"/>
        <v>3.1630307709275399E-2</v>
      </c>
      <c r="H137" s="16">
        <v>14894.918</v>
      </c>
      <c r="I137" s="16">
        <f t="shared" si="10"/>
        <v>-864.22999999999956</v>
      </c>
      <c r="J137" s="15">
        <f t="shared" si="11"/>
        <v>-5.8021803141178725E-2</v>
      </c>
      <c r="K137" s="57" t="s">
        <v>1273</v>
      </c>
      <c r="L137" s="112" t="s">
        <v>1274</v>
      </c>
      <c r="M137" s="116"/>
      <c r="N137" s="116"/>
      <c r="O137" s="116"/>
      <c r="P137" s="116"/>
      <c r="Q137" s="116"/>
      <c r="R137" s="116"/>
      <c r="S137" s="116"/>
      <c r="T137" s="116"/>
      <c r="U137" s="116"/>
      <c r="V137" s="116"/>
      <c r="W137" s="116"/>
      <c r="X137" s="116"/>
      <c r="Y137" s="116"/>
      <c r="Z137" s="116"/>
      <c r="AA137" s="116"/>
    </row>
    <row r="138" spans="1:27" ht="28.9">
      <c r="A138" s="24" t="str">
        <v>Ridgeway #2</v>
      </c>
      <c r="B138" s="25" t="str">
        <v>NY</v>
      </c>
      <c r="C138" s="25" t="str">
        <f>Sites[[#This Row],[SOL'#]]</f>
        <v>SOL-11027</v>
      </c>
      <c r="D138" s="20">
        <v>529391</v>
      </c>
      <c r="E138" s="10" t="s">
        <v>1088</v>
      </c>
      <c r="F138" s="10" t="str">
        <f t="shared" si="8"/>
        <v/>
      </c>
      <c r="G138" s="11" t="str">
        <f t="shared" si="9"/>
        <v/>
      </c>
      <c r="H138" s="12">
        <v>632556.68000000005</v>
      </c>
      <c r="I138" s="12">
        <f t="shared" si="10"/>
        <v>-103165.68000000005</v>
      </c>
      <c r="J138" s="72">
        <f t="shared" si="11"/>
        <v>-0.16309317925470337</v>
      </c>
      <c r="K138" s="59" t="s">
        <v>1275</v>
      </c>
      <c r="L138" s="111" t="s">
        <v>1276</v>
      </c>
      <c r="M138" s="116"/>
      <c r="N138" s="116"/>
      <c r="O138" s="116"/>
      <c r="P138" s="116"/>
      <c r="Q138" s="116"/>
      <c r="R138" s="116"/>
      <c r="S138" s="116"/>
      <c r="T138" s="116"/>
      <c r="U138" s="116"/>
      <c r="V138" s="116"/>
      <c r="W138" s="116"/>
      <c r="X138" s="116"/>
      <c r="Y138" s="116"/>
      <c r="Z138" s="116"/>
      <c r="AA138" s="116"/>
    </row>
    <row r="139" spans="1:27" ht="51.75" customHeight="1">
      <c r="A139" s="26" t="str">
        <v>Spencer</v>
      </c>
      <c r="B139" s="27" t="str">
        <v>NY</v>
      </c>
      <c r="C139" s="25" t="str">
        <f>Sites[[#This Row],[SOL'#]]</f>
        <v>SOL-11017</v>
      </c>
      <c r="D139" s="9">
        <v>862283</v>
      </c>
      <c r="E139" s="14" t="s">
        <v>1088</v>
      </c>
      <c r="F139" s="14" t="str">
        <f t="shared" si="8"/>
        <v/>
      </c>
      <c r="G139" s="15" t="str">
        <f t="shared" si="9"/>
        <v/>
      </c>
      <c r="H139" s="16">
        <v>1213900</v>
      </c>
      <c r="I139" s="16">
        <f t="shared" si="10"/>
        <v>-351617</v>
      </c>
      <c r="J139" s="15">
        <f t="shared" si="11"/>
        <v>-0.28965895049015572</v>
      </c>
      <c r="K139" s="57" t="s">
        <v>1277</v>
      </c>
      <c r="L139" s="112" t="s">
        <v>1278</v>
      </c>
      <c r="M139" s="116"/>
      <c r="N139" s="116"/>
      <c r="O139" s="116"/>
      <c r="P139" s="116"/>
      <c r="Q139" s="116"/>
      <c r="R139" s="116"/>
      <c r="S139" s="116"/>
      <c r="T139" s="116"/>
      <c r="U139" s="116"/>
      <c r="V139" s="116"/>
      <c r="W139" s="116"/>
      <c r="X139" s="116"/>
      <c r="Y139" s="116"/>
      <c r="Z139" s="116"/>
      <c r="AA139" s="116"/>
    </row>
    <row r="140" spans="1:27" ht="15.6">
      <c r="A140" s="28" t="str">
        <v>Reisender</v>
      </c>
      <c r="B140" s="25" t="str">
        <v>NY</v>
      </c>
      <c r="C140" s="25" t="str">
        <f>Sites[[#This Row],[SOL'#]]</f>
        <v>SOL-10886</v>
      </c>
      <c r="D140" s="60">
        <v>302280</v>
      </c>
      <c r="E140" s="10">
        <v>302943.39</v>
      </c>
      <c r="F140" s="10">
        <f t="shared" si="8"/>
        <v>-663.39000000001397</v>
      </c>
      <c r="G140" s="61">
        <f t="shared" si="9"/>
        <v>-2.1898150674289807E-3</v>
      </c>
      <c r="H140" s="75">
        <v>387404.22</v>
      </c>
      <c r="I140" s="75">
        <f t="shared" si="10"/>
        <v>-85124.219999999972</v>
      </c>
      <c r="J140" s="72">
        <f t="shared" si="11"/>
        <v>-0.21972971796745006</v>
      </c>
      <c r="K140" s="81" t="s">
        <v>1279</v>
      </c>
      <c r="L140" s="59"/>
      <c r="M140" s="116"/>
      <c r="N140" s="116"/>
      <c r="O140" s="116"/>
      <c r="P140" s="116"/>
      <c r="Q140" s="116"/>
      <c r="R140" s="116"/>
      <c r="S140" s="116"/>
      <c r="T140" s="116"/>
      <c r="U140" s="116"/>
      <c r="V140" s="116"/>
      <c r="W140" s="116"/>
      <c r="X140" s="116"/>
      <c r="Y140" s="116"/>
      <c r="Z140" s="116"/>
      <c r="AA140" s="116"/>
    </row>
    <row r="141" spans="1:27" ht="15.6">
      <c r="A141" s="26" t="str">
        <v>Finney</v>
      </c>
      <c r="B141" s="27" t="str">
        <v>NY</v>
      </c>
      <c r="C141" s="25" t="str">
        <f>Sites[[#This Row],[SOL'#]]</f>
        <v>SOL-10999</v>
      </c>
      <c r="D141" s="74">
        <v>870110</v>
      </c>
      <c r="E141" s="14" t="s">
        <v>1088</v>
      </c>
      <c r="F141" s="14" t="str">
        <f t="shared" si="8"/>
        <v/>
      </c>
      <c r="G141" s="76" t="str">
        <f t="shared" si="9"/>
        <v/>
      </c>
      <c r="H141" s="77">
        <v>1165223.08</v>
      </c>
      <c r="I141" s="77">
        <f t="shared" si="10"/>
        <v>-295113.08000000007</v>
      </c>
      <c r="J141" s="76">
        <f t="shared" si="11"/>
        <v>-0.25326745158532221</v>
      </c>
      <c r="K141" s="57" t="s">
        <v>1280</v>
      </c>
      <c r="L141" s="82"/>
      <c r="M141" s="116"/>
      <c r="N141" s="116"/>
      <c r="O141" s="116"/>
      <c r="P141" s="116"/>
      <c r="Q141" s="116"/>
      <c r="R141" s="116"/>
      <c r="S141" s="116"/>
      <c r="T141" s="116"/>
      <c r="U141" s="116"/>
      <c r="V141" s="116"/>
      <c r="W141" s="116"/>
      <c r="X141" s="116"/>
      <c r="Y141" s="116"/>
      <c r="Z141" s="116"/>
      <c r="AA141" s="116"/>
    </row>
    <row r="142" spans="1:27" ht="63" customHeight="1">
      <c r="A142" s="24" t="str">
        <v>Davis Solar</v>
      </c>
      <c r="B142" s="25" t="str">
        <v>NY</v>
      </c>
      <c r="C142" s="25" t="str">
        <f>Sites[[#This Row],[SOL'#]]</f>
        <v>SOL-10958</v>
      </c>
      <c r="D142" s="60">
        <v>224681</v>
      </c>
      <c r="E142" s="10">
        <v>326104.5</v>
      </c>
      <c r="F142" s="10">
        <f t="shared" si="8"/>
        <v>-101423.5</v>
      </c>
      <c r="G142" s="61">
        <f t="shared" si="9"/>
        <v>-0.31101533404169524</v>
      </c>
      <c r="H142" s="75">
        <v>450157</v>
      </c>
      <c r="I142" s="75">
        <f t="shared" si="10"/>
        <v>-225476</v>
      </c>
      <c r="J142" s="72">
        <f t="shared" si="11"/>
        <v>-0.500883025255633</v>
      </c>
      <c r="K142" s="81" t="s">
        <v>1281</v>
      </c>
      <c r="L142" s="111" t="s">
        <v>1282</v>
      </c>
      <c r="M142" s="115" t="s">
        <v>1283</v>
      </c>
      <c r="N142" s="115" t="s">
        <v>1284</v>
      </c>
      <c r="O142" s="116"/>
      <c r="P142" s="116"/>
      <c r="Q142" s="116"/>
      <c r="R142" s="116"/>
      <c r="S142" s="116"/>
      <c r="T142" s="116"/>
      <c r="U142" s="116"/>
      <c r="V142" s="116"/>
      <c r="W142" s="116"/>
      <c r="X142" s="116"/>
      <c r="Y142" s="116"/>
      <c r="Z142" s="116"/>
      <c r="AA142" s="116"/>
    </row>
    <row r="143" spans="1:27" ht="28.9">
      <c r="A143" s="26" t="str">
        <v>Genesee</v>
      </c>
      <c r="B143" s="27" t="str">
        <v>NY</v>
      </c>
      <c r="C143" s="25" t="str">
        <f>Sites[[#This Row],[SOL'#]]</f>
        <v>SOL-10951</v>
      </c>
      <c r="D143" s="74">
        <v>0</v>
      </c>
      <c r="E143" s="14">
        <v>0</v>
      </c>
      <c r="F143" s="14">
        <f t="shared" si="8"/>
        <v>0</v>
      </c>
      <c r="G143" s="76">
        <v>0</v>
      </c>
      <c r="H143" s="77">
        <v>942024.66</v>
      </c>
      <c r="I143" s="77">
        <f t="shared" si="10"/>
        <v>-942024.66</v>
      </c>
      <c r="J143" s="76">
        <f t="shared" si="11"/>
        <v>-1</v>
      </c>
      <c r="K143" s="38" t="s">
        <v>1285</v>
      </c>
      <c r="L143" s="129" t="s">
        <v>1286</v>
      </c>
      <c r="M143" s="116"/>
      <c r="N143" s="116"/>
      <c r="O143" s="116"/>
      <c r="P143" s="116"/>
      <c r="Q143" s="116"/>
      <c r="R143" s="116"/>
      <c r="S143" s="116"/>
      <c r="T143" s="116"/>
      <c r="U143" s="116"/>
      <c r="V143" s="116"/>
      <c r="W143" s="116"/>
      <c r="X143" s="116"/>
      <c r="Y143" s="116"/>
      <c r="Z143" s="116"/>
      <c r="AA143" s="116"/>
    </row>
    <row r="144" spans="1:27" ht="15.6">
      <c r="A144" s="24" t="str">
        <v>Landau I</v>
      </c>
      <c r="B144" s="25" t="str">
        <v>NY</v>
      </c>
      <c r="C144" s="25" t="str">
        <f>Sites[[#This Row],[SOL'#]]</f>
        <v>SOL-10891</v>
      </c>
      <c r="D144" s="60">
        <v>336380</v>
      </c>
      <c r="E144" s="10" t="s">
        <v>1088</v>
      </c>
      <c r="F144" s="10" t="str">
        <f t="shared" si="8"/>
        <v/>
      </c>
      <c r="G144" s="61" t="str">
        <f t="shared" si="9"/>
        <v/>
      </c>
      <c r="H144" s="75">
        <v>409362.83</v>
      </c>
      <c r="I144" s="75">
        <f t="shared" si="10"/>
        <v>-72982.830000000016</v>
      </c>
      <c r="J144" s="72">
        <f t="shared" si="11"/>
        <v>-0.17828396877166403</v>
      </c>
      <c r="K144" s="63" t="s">
        <v>1287</v>
      </c>
      <c r="L144" s="37"/>
      <c r="M144" s="116"/>
      <c r="N144" s="116"/>
      <c r="O144" s="116"/>
      <c r="P144" s="116"/>
      <c r="Q144" s="116"/>
      <c r="R144" s="116"/>
      <c r="S144" s="116"/>
      <c r="T144" s="116"/>
      <c r="U144" s="116"/>
      <c r="V144" s="116"/>
      <c r="W144" s="116"/>
      <c r="X144" s="116"/>
      <c r="Y144" s="116"/>
      <c r="Z144" s="116"/>
      <c r="AA144" s="116"/>
    </row>
    <row r="145" spans="1:27" ht="159" customHeight="1">
      <c r="A145" s="26" t="str">
        <v>Landau II</v>
      </c>
      <c r="B145" s="27" t="str">
        <v>NY</v>
      </c>
      <c r="C145" s="25" t="str">
        <f>Sites[[#This Row],[SOL'#]]</f>
        <v>SOL-10895</v>
      </c>
      <c r="D145" s="74">
        <v>343090</v>
      </c>
      <c r="E145" s="14" t="s">
        <v>1088</v>
      </c>
      <c r="F145" s="14" t="str">
        <f t="shared" si="8"/>
        <v/>
      </c>
      <c r="G145" s="76" t="str">
        <f t="shared" si="9"/>
        <v/>
      </c>
      <c r="H145" s="77">
        <v>889569.179</v>
      </c>
      <c r="I145" s="77">
        <f t="shared" si="10"/>
        <v>-546479.179</v>
      </c>
      <c r="J145" s="76">
        <f t="shared" si="11"/>
        <v>-0.61431892190140724</v>
      </c>
      <c r="K145" s="57" t="s">
        <v>1288</v>
      </c>
      <c r="L145" s="139" t="s">
        <v>1289</v>
      </c>
      <c r="M145" s="115" t="s">
        <v>984</v>
      </c>
      <c r="N145" s="115" t="s">
        <v>1290</v>
      </c>
      <c r="O145" s="115" t="s">
        <v>1291</v>
      </c>
      <c r="P145" s="115" t="s">
        <v>1292</v>
      </c>
      <c r="Q145" s="115" t="s">
        <v>1293</v>
      </c>
      <c r="R145" s="115" t="s">
        <v>1294</v>
      </c>
      <c r="S145" s="115" t="s">
        <v>1295</v>
      </c>
      <c r="T145" s="115" t="s">
        <v>1296</v>
      </c>
      <c r="U145" s="116"/>
      <c r="V145" s="116"/>
      <c r="W145" s="116"/>
      <c r="X145" s="116"/>
      <c r="Y145" s="116"/>
      <c r="Z145" s="116"/>
      <c r="AA145" s="116"/>
    </row>
    <row r="146" spans="1:27" ht="28.9">
      <c r="A146" s="24" t="str">
        <v>New Beginnings</v>
      </c>
      <c r="B146" s="25" t="str">
        <v>NY</v>
      </c>
      <c r="C146" s="25" t="str">
        <f>Sites[[#This Row],[SOL'#]]</f>
        <v>SOL-10890</v>
      </c>
      <c r="D146" s="60">
        <v>247740</v>
      </c>
      <c r="E146" s="10">
        <v>331745.40999999997</v>
      </c>
      <c r="F146" s="10">
        <f t="shared" ref="F146:F160" si="12">IF(AND(ISNUMBER(D146),ISNUMBER(E146)), D146-E146, "")</f>
        <v>-84005.409999999974</v>
      </c>
      <c r="G146" s="61">
        <f t="shared" ref="G146:G160" si="13">IFERROR(F146/E146, "")</f>
        <v>-0.25322252386250038</v>
      </c>
      <c r="H146" s="75">
        <v>401712.03</v>
      </c>
      <c r="I146" s="75">
        <f t="shared" ref="I146:I200" si="14">IF(AND(ISNUMBER(D146),ISNUMBER(H146)), D146-H146, "")</f>
        <v>-153972.03000000003</v>
      </c>
      <c r="J146" s="72">
        <f t="shared" ref="J146:J200" si="15">IFERROR(I146/H146, "")</f>
        <v>-0.3832895669069209</v>
      </c>
      <c r="K146" s="63" t="s">
        <v>1297</v>
      </c>
      <c r="L146" s="124" t="s">
        <v>1298</v>
      </c>
      <c r="M146" s="116"/>
      <c r="N146" s="116"/>
      <c r="O146" s="116"/>
      <c r="P146" s="116"/>
      <c r="Q146" s="116"/>
      <c r="R146" s="116"/>
      <c r="S146" s="116"/>
      <c r="T146" s="116"/>
      <c r="U146" s="116"/>
      <c r="V146" s="116"/>
      <c r="W146" s="116"/>
      <c r="X146" s="116"/>
      <c r="Y146" s="116"/>
      <c r="Z146" s="116"/>
      <c r="AA146" s="116"/>
    </row>
    <row r="147" spans="1:27" ht="15.6">
      <c r="A147" s="26" t="str">
        <v>Bullitt Farm Solar, LLC</v>
      </c>
      <c r="B147" s="27" t="str">
        <v>NY</v>
      </c>
      <c r="C147" s="25" t="str">
        <f>Sites[[#This Row],[SOL'#]]</f>
        <v>SOL-10998</v>
      </c>
      <c r="D147" s="74">
        <v>772282</v>
      </c>
      <c r="E147" s="14">
        <v>739504.40700000001</v>
      </c>
      <c r="F147" s="14">
        <f t="shared" si="12"/>
        <v>32777.592999999993</v>
      </c>
      <c r="G147" s="76">
        <f t="shared" si="13"/>
        <v>4.4323729094423087E-2</v>
      </c>
      <c r="H147" s="77">
        <v>1157050.06</v>
      </c>
      <c r="I147" s="77">
        <f t="shared" si="14"/>
        <v>-384768.06000000006</v>
      </c>
      <c r="J147" s="76">
        <f t="shared" si="15"/>
        <v>-0.33254227565573097</v>
      </c>
      <c r="K147" s="38" t="s">
        <v>1299</v>
      </c>
      <c r="L147" s="17"/>
      <c r="M147" s="116"/>
      <c r="N147" s="116"/>
      <c r="O147" s="116"/>
      <c r="P147" s="116"/>
      <c r="Q147" s="116"/>
      <c r="R147" s="116"/>
      <c r="S147" s="116"/>
      <c r="T147" s="116"/>
      <c r="U147" s="116"/>
      <c r="V147" s="116"/>
      <c r="W147" s="116"/>
      <c r="X147" s="116"/>
      <c r="Y147" s="116"/>
      <c r="Z147" s="116"/>
      <c r="AA147" s="116"/>
    </row>
    <row r="148" spans="1:27" ht="28.9">
      <c r="A148" s="24" t="str">
        <v>Brodhead Solar, LLC</v>
      </c>
      <c r="B148" s="25" t="str">
        <v>NY</v>
      </c>
      <c r="C148" s="25" t="str">
        <f>Sites[[#This Row],[SOL'#]]</f>
        <v>SOL-10899</v>
      </c>
      <c r="D148" s="60">
        <v>380716</v>
      </c>
      <c r="E148" s="10">
        <v>391433.11900000001</v>
      </c>
      <c r="F148" s="10">
        <f t="shared" si="12"/>
        <v>-10717.119000000006</v>
      </c>
      <c r="G148" s="61">
        <f t="shared" si="13"/>
        <v>-2.7379183006739923E-2</v>
      </c>
      <c r="H148" s="75">
        <v>506277.49</v>
      </c>
      <c r="I148" s="75">
        <f t="shared" si="14"/>
        <v>-125561.48999999999</v>
      </c>
      <c r="J148" s="72">
        <f t="shared" si="15"/>
        <v>-0.24800922908897252</v>
      </c>
      <c r="K148" s="63" t="s">
        <v>1300</v>
      </c>
      <c r="L148" s="124" t="s">
        <v>1301</v>
      </c>
      <c r="M148" s="115" t="s">
        <v>675</v>
      </c>
      <c r="N148" s="116"/>
      <c r="O148" s="116"/>
      <c r="P148" s="116"/>
      <c r="Q148" s="116"/>
      <c r="R148" s="116"/>
      <c r="S148" s="116"/>
      <c r="T148" s="116"/>
      <c r="U148" s="116"/>
      <c r="V148" s="116"/>
      <c r="W148" s="116"/>
      <c r="X148" s="116"/>
      <c r="Y148" s="116"/>
      <c r="Z148" s="116"/>
      <c r="AA148" s="116"/>
    </row>
    <row r="149" spans="1:27" ht="72">
      <c r="A149" s="26" t="str">
        <v>Svenski</v>
      </c>
      <c r="B149" s="27" t="str">
        <v>NY</v>
      </c>
      <c r="C149" s="25" t="str">
        <f>Sites[[#This Row],[SOL'#]]</f>
        <v>SOL-10894</v>
      </c>
      <c r="D149" s="74">
        <v>278263</v>
      </c>
      <c r="E149" s="14" t="s">
        <v>1088</v>
      </c>
      <c r="F149" s="14" t="str">
        <f t="shared" si="12"/>
        <v/>
      </c>
      <c r="G149" s="76" t="str">
        <f t="shared" si="13"/>
        <v/>
      </c>
      <c r="H149" s="77">
        <v>431418.8</v>
      </c>
      <c r="I149" s="77">
        <f t="shared" si="14"/>
        <v>-153155.79999999999</v>
      </c>
      <c r="J149" s="76">
        <f t="shared" si="15"/>
        <v>-0.35500492792618216</v>
      </c>
      <c r="K149" s="57" t="s">
        <v>1302</v>
      </c>
      <c r="L149" s="139" t="s">
        <v>1303</v>
      </c>
      <c r="M149" s="115" t="s">
        <v>1304</v>
      </c>
      <c r="N149" s="115" t="s">
        <v>1305</v>
      </c>
      <c r="O149" s="116"/>
      <c r="P149" s="116"/>
      <c r="Q149" s="116"/>
      <c r="R149" s="116"/>
      <c r="S149" s="116"/>
      <c r="T149" s="116"/>
      <c r="U149" s="116"/>
      <c r="V149" s="116"/>
      <c r="W149" s="116"/>
      <c r="X149" s="116"/>
      <c r="Y149" s="116"/>
      <c r="Z149" s="116"/>
      <c r="AA149" s="116"/>
    </row>
    <row r="150" spans="1:27" ht="185.25" customHeight="1">
      <c r="A150" s="24" t="str">
        <v>Bantam</v>
      </c>
      <c r="B150" s="25" t="str">
        <v>NY</v>
      </c>
      <c r="C150" s="25" t="str">
        <f>Sites[[#This Row],[SOL'#]]</f>
        <v>SOL-10986</v>
      </c>
      <c r="D150" s="60">
        <v>108270</v>
      </c>
      <c r="E150" s="10" t="s">
        <v>1088</v>
      </c>
      <c r="F150" s="10" t="str">
        <f t="shared" si="12"/>
        <v/>
      </c>
      <c r="G150" s="61" t="str">
        <f t="shared" si="13"/>
        <v/>
      </c>
      <c r="H150" s="75">
        <v>1155000.33</v>
      </c>
      <c r="I150" s="75">
        <f t="shared" si="14"/>
        <v>-1046730.3300000001</v>
      </c>
      <c r="J150" s="72">
        <f t="shared" si="15"/>
        <v>-0.90625976704266398</v>
      </c>
      <c r="K150" s="63" t="s">
        <v>1306</v>
      </c>
      <c r="L150" s="124" t="s">
        <v>1307</v>
      </c>
      <c r="M150" s="115" t="s">
        <v>1308</v>
      </c>
      <c r="N150" s="115" t="s">
        <v>1309</v>
      </c>
      <c r="O150" s="115" t="s">
        <v>1310</v>
      </c>
      <c r="P150" s="115" t="s">
        <v>1311</v>
      </c>
      <c r="Q150" s="116"/>
      <c r="R150" s="116"/>
      <c r="S150" s="116"/>
      <c r="T150" s="116"/>
      <c r="U150" s="116"/>
      <c r="V150" s="116"/>
      <c r="W150" s="116"/>
      <c r="X150" s="116"/>
      <c r="Y150" s="116"/>
      <c r="Z150" s="116"/>
      <c r="AA150" s="116"/>
    </row>
    <row r="151" spans="1:27" ht="28.9">
      <c r="A151" s="26" t="str">
        <v>Bogart</v>
      </c>
      <c r="B151" s="27" t="str">
        <v>NY</v>
      </c>
      <c r="C151" s="25" t="str">
        <f>Sites[[#This Row],[SOL'#]]</f>
        <v>SOL-10887</v>
      </c>
      <c r="D151" s="74">
        <v>315310</v>
      </c>
      <c r="E151" s="14">
        <v>313452.79999999999</v>
      </c>
      <c r="F151" s="14">
        <f t="shared" si="12"/>
        <v>1857.2000000000116</v>
      </c>
      <c r="G151" s="76">
        <f t="shared" si="13"/>
        <v>5.9249749882598329E-3</v>
      </c>
      <c r="H151" s="77">
        <v>393902.7</v>
      </c>
      <c r="I151" s="77">
        <f t="shared" si="14"/>
        <v>-78592.700000000012</v>
      </c>
      <c r="J151" s="76">
        <f t="shared" si="15"/>
        <v>-0.199523130966099</v>
      </c>
      <c r="K151" s="38" t="s">
        <v>681</v>
      </c>
      <c r="L151" s="129" t="s">
        <v>211</v>
      </c>
      <c r="M151" s="116"/>
      <c r="N151" s="116"/>
      <c r="O151" s="116"/>
      <c r="P151" s="116"/>
      <c r="Q151" s="116"/>
      <c r="R151" s="116"/>
      <c r="S151" s="116"/>
      <c r="T151" s="116"/>
      <c r="U151" s="116"/>
      <c r="V151" s="116"/>
      <c r="W151" s="116"/>
      <c r="X151" s="116"/>
      <c r="Y151" s="116"/>
      <c r="Z151" s="116"/>
      <c r="AA151" s="116"/>
    </row>
    <row r="152" spans="1:27" ht="96" customHeight="1">
      <c r="A152" s="24" t="str">
        <v>Dubois</v>
      </c>
      <c r="B152" s="25" t="str">
        <v>NY</v>
      </c>
      <c r="C152" s="25" t="str">
        <f>Sites[[#This Row],[SOL'#]]</f>
        <v>SOL-10892</v>
      </c>
      <c r="D152" s="60"/>
      <c r="E152" s="10" t="s">
        <v>1088</v>
      </c>
      <c r="F152" s="10" t="str">
        <f t="shared" si="12"/>
        <v/>
      </c>
      <c r="G152" s="61" t="str">
        <f t="shared" si="13"/>
        <v/>
      </c>
      <c r="H152" s="75"/>
      <c r="I152" s="75" t="str">
        <f t="shared" si="14"/>
        <v/>
      </c>
      <c r="J152" s="72" t="str">
        <f t="shared" si="15"/>
        <v/>
      </c>
      <c r="K152" s="63" t="s">
        <v>1312</v>
      </c>
      <c r="L152" s="124" t="s">
        <v>1313</v>
      </c>
      <c r="M152" s="115" t="s">
        <v>1314</v>
      </c>
      <c r="N152" s="115" t="s">
        <v>1315</v>
      </c>
      <c r="O152" s="115" t="s">
        <v>1316</v>
      </c>
      <c r="P152" s="115" t="s">
        <v>1317</v>
      </c>
      <c r="Q152" s="115" t="s">
        <v>1317</v>
      </c>
      <c r="R152" s="116"/>
      <c r="S152" s="116"/>
      <c r="T152" s="116"/>
      <c r="U152" s="116"/>
      <c r="V152" s="116"/>
      <c r="W152" s="116"/>
      <c r="X152" s="116"/>
      <c r="Y152" s="116"/>
      <c r="Z152" s="116"/>
      <c r="AA152" s="116"/>
    </row>
    <row r="153" spans="1:27" ht="49.5" customHeight="1">
      <c r="A153" s="26" t="str">
        <v>Salt Point</v>
      </c>
      <c r="B153" s="27" t="str">
        <v>NY</v>
      </c>
      <c r="C153" s="25" t="str">
        <f>Sites[[#This Row],[SOL'#]]</f>
        <v>SOL-10888</v>
      </c>
      <c r="D153" s="74">
        <v>338230</v>
      </c>
      <c r="E153" s="14" t="s">
        <v>1088</v>
      </c>
      <c r="F153" s="14" t="str">
        <f t="shared" si="12"/>
        <v/>
      </c>
      <c r="G153" s="76" t="str">
        <f t="shared" si="13"/>
        <v/>
      </c>
      <c r="H153" s="77">
        <v>482241.17</v>
      </c>
      <c r="I153" s="77">
        <f t="shared" si="14"/>
        <v>-144011.16999999998</v>
      </c>
      <c r="J153" s="76">
        <f t="shared" si="15"/>
        <v>-0.29862894119969058</v>
      </c>
      <c r="K153" s="155" t="s">
        <v>1318</v>
      </c>
      <c r="L153" s="129" t="s">
        <v>684</v>
      </c>
      <c r="M153" s="116"/>
      <c r="N153" s="116"/>
      <c r="O153" s="116"/>
      <c r="P153" s="116"/>
      <c r="Q153" s="116"/>
      <c r="R153" s="116"/>
      <c r="S153" s="116"/>
      <c r="T153" s="116"/>
      <c r="U153" s="116"/>
      <c r="V153" s="116"/>
      <c r="W153" s="116"/>
      <c r="X153" s="116"/>
      <c r="Y153" s="116"/>
      <c r="Z153" s="116"/>
      <c r="AA153" s="116"/>
    </row>
    <row r="154" spans="1:27" ht="108.75" customHeight="1">
      <c r="A154" s="24" t="str">
        <v>Wheatland 2A</v>
      </c>
      <c r="B154" s="25" t="str">
        <v>NY</v>
      </c>
      <c r="C154" s="25" t="str">
        <f>Sites[[#This Row],[SOL'#]]</f>
        <v>SOL-10971</v>
      </c>
      <c r="D154" s="60">
        <v>681340</v>
      </c>
      <c r="E154" s="10" t="s">
        <v>1088</v>
      </c>
      <c r="F154" s="10" t="str">
        <f t="shared" si="12"/>
        <v/>
      </c>
      <c r="G154" s="61" t="str">
        <f t="shared" si="13"/>
        <v/>
      </c>
      <c r="H154" s="75">
        <v>1053224.69</v>
      </c>
      <c r="I154" s="75">
        <f t="shared" si="14"/>
        <v>-371884.68999999994</v>
      </c>
      <c r="J154" s="72">
        <f t="shared" si="15"/>
        <v>-0.35309150414998336</v>
      </c>
      <c r="K154" s="63" t="s">
        <v>1319</v>
      </c>
      <c r="L154" s="124" t="s">
        <v>1320</v>
      </c>
      <c r="M154" s="115" t="s">
        <v>687</v>
      </c>
      <c r="N154" s="115" t="s">
        <v>1321</v>
      </c>
      <c r="O154" s="115" t="s">
        <v>1322</v>
      </c>
      <c r="P154" s="116"/>
      <c r="Q154" s="116"/>
      <c r="R154" s="116"/>
      <c r="S154" s="116"/>
      <c r="T154" s="116"/>
      <c r="U154" s="116"/>
      <c r="V154" s="116"/>
      <c r="W154" s="116"/>
      <c r="X154" s="116"/>
      <c r="Y154" s="116"/>
      <c r="Z154" s="116"/>
      <c r="AA154" s="116"/>
    </row>
    <row r="155" spans="1:27" ht="28.9">
      <c r="A155" s="26" t="str">
        <v>Wheatland 2B</v>
      </c>
      <c r="B155" s="27" t="str">
        <v>NY</v>
      </c>
      <c r="C155" s="25" t="str">
        <f>Sites[[#This Row],[SOL'#]]</f>
        <v>SOL-10961</v>
      </c>
      <c r="D155" s="74">
        <v>812620</v>
      </c>
      <c r="E155" s="14" t="s">
        <v>1088</v>
      </c>
      <c r="F155" s="14" t="str">
        <f t="shared" si="12"/>
        <v/>
      </c>
      <c r="G155" s="76" t="str">
        <f t="shared" si="13"/>
        <v/>
      </c>
      <c r="H155" s="77">
        <v>1046530.35</v>
      </c>
      <c r="I155" s="77">
        <f t="shared" si="14"/>
        <v>-233910.34999999998</v>
      </c>
      <c r="J155" s="76">
        <f t="shared" si="15"/>
        <v>-0.22351033584453617</v>
      </c>
      <c r="K155" s="38" t="s">
        <v>1323</v>
      </c>
      <c r="L155" s="129" t="s">
        <v>1324</v>
      </c>
      <c r="M155" s="116"/>
      <c r="N155" s="116"/>
      <c r="O155" s="116"/>
      <c r="P155" s="116"/>
      <c r="Q155" s="116"/>
      <c r="R155" s="116"/>
      <c r="S155" s="116"/>
      <c r="T155" s="116"/>
      <c r="U155" s="116"/>
      <c r="V155" s="116"/>
      <c r="W155" s="116"/>
      <c r="X155" s="116"/>
      <c r="Y155" s="116"/>
      <c r="Z155" s="116"/>
      <c r="AA155" s="116"/>
    </row>
    <row r="156" spans="1:27" ht="28.9">
      <c r="A156" s="24" t="str">
        <v>Brickchurch</v>
      </c>
      <c r="B156" s="25" t="str">
        <v>NY</v>
      </c>
      <c r="C156" s="25" t="str">
        <f>Sites[[#This Row],[SOL'#]]</f>
        <v>SOL-10889</v>
      </c>
      <c r="D156" s="60">
        <v>350550</v>
      </c>
      <c r="E156" s="10">
        <v>335777.97</v>
      </c>
      <c r="F156" s="10">
        <f t="shared" si="12"/>
        <v>14772.030000000028</v>
      </c>
      <c r="G156" s="61">
        <f t="shared" si="13"/>
        <v>4.3993446026253685E-2</v>
      </c>
      <c r="H156" s="75">
        <v>499951.85</v>
      </c>
      <c r="I156" s="75">
        <f t="shared" si="14"/>
        <v>-149401.84999999998</v>
      </c>
      <c r="J156" s="72">
        <f t="shared" si="15"/>
        <v>-0.29883247756758974</v>
      </c>
      <c r="K156" s="63" t="s">
        <v>1325</v>
      </c>
      <c r="L156" s="124" t="s">
        <v>1326</v>
      </c>
      <c r="M156" s="115" t="s">
        <v>696</v>
      </c>
      <c r="N156" s="116"/>
      <c r="O156" s="116"/>
      <c r="P156" s="116"/>
      <c r="Q156" s="116"/>
      <c r="R156" s="116"/>
      <c r="S156" s="116"/>
      <c r="T156" s="116"/>
      <c r="U156" s="116"/>
      <c r="V156" s="116"/>
      <c r="W156" s="116"/>
      <c r="X156" s="116"/>
      <c r="Y156" s="116"/>
      <c r="Z156" s="116"/>
      <c r="AA156" s="116"/>
    </row>
    <row r="157" spans="1:27" ht="15.6">
      <c r="A157" s="26" t="str">
        <v>McCarthy Solar</v>
      </c>
      <c r="B157" s="27" t="str">
        <v>NY</v>
      </c>
      <c r="C157" s="25" t="str">
        <f>Sites[[#This Row],[SOL'#]]</f>
        <v>SOL-10992</v>
      </c>
      <c r="D157" s="74">
        <v>333660</v>
      </c>
      <c r="E157" s="14" t="s">
        <v>1088</v>
      </c>
      <c r="F157" s="14" t="str">
        <f t="shared" si="12"/>
        <v/>
      </c>
      <c r="G157" s="76" t="str">
        <f t="shared" si="13"/>
        <v/>
      </c>
      <c r="H157" s="77">
        <v>404376.89</v>
      </c>
      <c r="I157" s="77">
        <f t="shared" si="14"/>
        <v>-70716.890000000014</v>
      </c>
      <c r="J157" s="76">
        <f t="shared" si="15"/>
        <v>-0.17487866331827226</v>
      </c>
      <c r="K157" s="38" t="s">
        <v>1327</v>
      </c>
      <c r="L157" s="17"/>
      <c r="M157" s="116"/>
      <c r="N157" s="116"/>
      <c r="O157" s="116"/>
      <c r="P157" s="116"/>
      <c r="Q157" s="116"/>
      <c r="R157" s="116"/>
      <c r="S157" s="116"/>
      <c r="T157" s="116"/>
      <c r="U157" s="116"/>
      <c r="V157" s="116"/>
      <c r="W157" s="116"/>
      <c r="X157" s="116"/>
      <c r="Y157" s="116"/>
      <c r="Z157" s="116"/>
      <c r="AA157" s="116"/>
    </row>
    <row r="158" spans="1:27" ht="80.25" customHeight="1">
      <c r="A158" s="24" t="str">
        <v>Costanza</v>
      </c>
      <c r="B158" s="25" t="str">
        <v>NY</v>
      </c>
      <c r="C158" s="25" t="str">
        <f>Sites[[#This Row],[SOL'#]]</f>
        <v>SOL-10907</v>
      </c>
      <c r="D158" s="60">
        <v>281340</v>
      </c>
      <c r="E158" s="10" t="s">
        <v>1088</v>
      </c>
      <c r="F158" s="10" t="str">
        <f t="shared" si="12"/>
        <v/>
      </c>
      <c r="G158" s="61" t="str">
        <f t="shared" si="13"/>
        <v/>
      </c>
      <c r="H158" s="75">
        <v>411425.54</v>
      </c>
      <c r="I158" s="75">
        <f t="shared" si="14"/>
        <v>-130085.53999999998</v>
      </c>
      <c r="J158" s="72">
        <f t="shared" si="15"/>
        <v>-0.31618246159438712</v>
      </c>
      <c r="K158" s="63" t="s">
        <v>1328</v>
      </c>
      <c r="L158" s="124" t="s">
        <v>1329</v>
      </c>
      <c r="M158" s="115" t="s">
        <v>1330</v>
      </c>
      <c r="N158" s="115" t="s">
        <v>1331</v>
      </c>
      <c r="O158" s="115" t="s">
        <v>1332</v>
      </c>
      <c r="P158" s="116"/>
      <c r="Q158" s="116"/>
      <c r="R158" s="116"/>
      <c r="S158" s="116"/>
      <c r="T158" s="116"/>
      <c r="U158" s="116"/>
      <c r="V158" s="116"/>
      <c r="W158" s="116"/>
      <c r="X158" s="116"/>
      <c r="Y158" s="116"/>
      <c r="Z158" s="116"/>
      <c r="AA158" s="116"/>
    </row>
    <row r="159" spans="1:27" ht="15.6">
      <c r="A159" s="26" t="str">
        <v>Lockenhurst Pond</v>
      </c>
      <c r="B159" s="27" t="str">
        <v>NY</v>
      </c>
      <c r="C159" s="25" t="str">
        <f>Sites[[#This Row],[SOL'#]]</f>
        <v>SOL-11000</v>
      </c>
      <c r="D159" s="74">
        <v>343913.716417911</v>
      </c>
      <c r="E159" s="14">
        <v>369550</v>
      </c>
      <c r="F159" s="14">
        <f t="shared" si="12"/>
        <v>-25636.283582089003</v>
      </c>
      <c r="G159" s="76">
        <f t="shared" si="13"/>
        <v>-6.9371623818398065E-2</v>
      </c>
      <c r="H159" s="77">
        <v>473503</v>
      </c>
      <c r="I159" s="77">
        <f t="shared" si="14"/>
        <v>-129589.283582089</v>
      </c>
      <c r="J159" s="76">
        <f t="shared" si="15"/>
        <v>-0.27368207504934289</v>
      </c>
      <c r="K159" s="57" t="s">
        <v>1333</v>
      </c>
      <c r="L159" s="129" t="s">
        <v>1334</v>
      </c>
      <c r="M159" s="116"/>
      <c r="N159" s="116"/>
      <c r="O159" s="116"/>
      <c r="P159" s="116"/>
      <c r="Q159" s="116"/>
      <c r="R159" s="116"/>
      <c r="S159" s="116"/>
      <c r="T159" s="116"/>
      <c r="U159" s="116"/>
      <c r="V159" s="116"/>
      <c r="W159" s="116"/>
      <c r="X159" s="116"/>
      <c r="Y159" s="116"/>
      <c r="Z159" s="116"/>
      <c r="AA159" s="116"/>
    </row>
    <row r="160" spans="1:27" ht="15.6">
      <c r="A160" s="24" t="str">
        <v>Drinkwater</v>
      </c>
      <c r="B160" s="25" t="str">
        <v>NY</v>
      </c>
      <c r="C160" s="25" t="str">
        <f>Sites[[#This Row],[SOL'#]]</f>
        <v>SOL-10896</v>
      </c>
      <c r="D160" s="60">
        <v>322920</v>
      </c>
      <c r="E160" s="10" t="s">
        <v>1088</v>
      </c>
      <c r="F160" s="10" t="str">
        <f t="shared" si="12"/>
        <v/>
      </c>
      <c r="G160" s="61" t="str">
        <f t="shared" si="13"/>
        <v/>
      </c>
      <c r="H160" s="75">
        <v>423972.67</v>
      </c>
      <c r="I160" s="75">
        <f t="shared" si="14"/>
        <v>-101052.66999999998</v>
      </c>
      <c r="J160" s="72">
        <f t="shared" si="15"/>
        <v>-0.23834713213943717</v>
      </c>
      <c r="K160" s="63" t="s">
        <v>1335</v>
      </c>
      <c r="L160" s="37"/>
      <c r="M160" s="116"/>
      <c r="N160" s="116"/>
      <c r="O160" s="116"/>
      <c r="P160" s="116"/>
      <c r="Q160" s="116"/>
      <c r="R160" s="116"/>
      <c r="S160" s="116"/>
      <c r="T160" s="116"/>
      <c r="U160" s="116"/>
      <c r="V160" s="116"/>
      <c r="W160" s="116"/>
      <c r="X160" s="116"/>
      <c r="Y160" s="116"/>
      <c r="Z160" s="116"/>
      <c r="AA160" s="116"/>
    </row>
    <row r="161" spans="1:27" ht="15.6">
      <c r="A161" s="26" t="str">
        <v>Altamont</v>
      </c>
      <c r="B161" s="27" t="str">
        <v>NY</v>
      </c>
      <c r="C161" s="25" t="str">
        <f>Sites[[#This Row],[SOL'#]]</f>
        <v>SOL-11085</v>
      </c>
      <c r="D161" s="74">
        <v>668025</v>
      </c>
      <c r="E161" s="14">
        <v>683749.6</v>
      </c>
      <c r="F161" s="14"/>
      <c r="G161" s="76"/>
      <c r="H161" s="77">
        <v>709911.2</v>
      </c>
      <c r="I161" s="77">
        <f t="shared" si="14"/>
        <v>-41886.199999999953</v>
      </c>
      <c r="J161" s="76">
        <f t="shared" si="15"/>
        <v>-5.9002027295808203E-2</v>
      </c>
      <c r="K161" s="38" t="s">
        <v>1335</v>
      </c>
      <c r="L161" s="17"/>
      <c r="M161" s="116"/>
      <c r="N161" s="116"/>
      <c r="O161" s="116"/>
      <c r="P161" s="116"/>
      <c r="Q161" s="116"/>
      <c r="R161" s="116"/>
      <c r="S161" s="116"/>
      <c r="T161" s="116"/>
      <c r="U161" s="116"/>
      <c r="V161" s="116"/>
      <c r="W161" s="116"/>
      <c r="X161" s="116"/>
      <c r="Y161" s="116"/>
      <c r="Z161" s="116"/>
      <c r="AA161" s="116"/>
    </row>
    <row r="162" spans="1:27" ht="15.6">
      <c r="A162" s="24" t="str">
        <v>Krumkill North</v>
      </c>
      <c r="B162" s="25" t="str">
        <v>NY</v>
      </c>
      <c r="C162" s="25" t="str">
        <f>Sites[[#This Row],[SOL'#]]</f>
        <v>SOL-11086</v>
      </c>
      <c r="D162" s="60">
        <v>624527</v>
      </c>
      <c r="E162" s="10">
        <v>670096.30000000005</v>
      </c>
      <c r="F162" s="10">
        <f t="shared" ref="F162" si="16">IF(AND(ISNUMBER(D162),ISNUMBER(E162)), D162-E162, "")</f>
        <v>-45569.300000000047</v>
      </c>
      <c r="G162" s="61">
        <f t="shared" ref="G162" si="17">IFERROR(F162/E162, "")</f>
        <v>-6.8004106275471224E-2</v>
      </c>
      <c r="H162" s="75">
        <v>776930.2</v>
      </c>
      <c r="I162" s="75">
        <f t="shared" si="14"/>
        <v>-152403.19999999995</v>
      </c>
      <c r="J162" s="72">
        <f t="shared" si="15"/>
        <v>-0.19616073618968596</v>
      </c>
      <c r="K162" s="63" t="s">
        <v>1335</v>
      </c>
      <c r="L162" s="37"/>
      <c r="M162" s="116"/>
      <c r="N162" s="116"/>
      <c r="O162" s="116"/>
      <c r="P162" s="116"/>
      <c r="Q162" s="116"/>
      <c r="R162" s="116"/>
      <c r="S162" s="116"/>
      <c r="T162" s="116"/>
      <c r="U162" s="116"/>
      <c r="V162" s="116"/>
      <c r="W162" s="116"/>
      <c r="X162" s="116"/>
      <c r="Y162" s="116"/>
      <c r="Z162" s="116"/>
      <c r="AA162" s="116"/>
    </row>
    <row r="163" spans="1:27" ht="15.6">
      <c r="A163" s="26" t="str">
        <v>Krumkill South</v>
      </c>
      <c r="B163" s="27" t="str">
        <v>NY</v>
      </c>
      <c r="C163" s="25" t="str">
        <f>Sites[[#This Row],[SOL'#]]</f>
        <v>SOL-11087</v>
      </c>
      <c r="D163" s="74">
        <v>515330</v>
      </c>
      <c r="E163" s="14">
        <v>532603.6</v>
      </c>
      <c r="F163" s="14"/>
      <c r="G163" s="76"/>
      <c r="H163" s="77">
        <v>609090.30000000005</v>
      </c>
      <c r="I163" s="77">
        <f t="shared" si="14"/>
        <v>-93760.300000000047</v>
      </c>
      <c r="J163" s="76">
        <f t="shared" si="15"/>
        <v>-0.15393497483049728</v>
      </c>
      <c r="K163" s="38" t="s">
        <v>1335</v>
      </c>
      <c r="L163" s="17"/>
      <c r="M163" s="116"/>
      <c r="N163" s="116"/>
      <c r="O163" s="116"/>
      <c r="P163" s="116"/>
      <c r="Q163" s="116"/>
      <c r="R163" s="116"/>
      <c r="S163" s="116"/>
      <c r="T163" s="116"/>
      <c r="U163" s="116"/>
      <c r="V163" s="116"/>
      <c r="W163" s="116"/>
      <c r="X163" s="116"/>
      <c r="Y163" s="116"/>
      <c r="Z163" s="116"/>
      <c r="AA163" s="116"/>
    </row>
    <row r="164" spans="1:27" ht="15.6">
      <c r="A164" s="24" t="str">
        <v>X092</v>
      </c>
      <c r="B164" s="25" t="str">
        <v>NY</v>
      </c>
      <c r="C164" s="25" t="str">
        <f>Sites[[#This Row],[SOL'#]]</f>
        <v>SOL-11189</v>
      </c>
      <c r="D164" s="60">
        <v>17684.400000000001</v>
      </c>
      <c r="E164" s="10">
        <v>18009.21</v>
      </c>
      <c r="F164" s="10">
        <f t="shared" ref="F164" si="18">IF(AND(ISNUMBER(D164),ISNUMBER(E164)), D164-E164, "")</f>
        <v>-324.80999999999767</v>
      </c>
      <c r="G164" s="61">
        <f t="shared" ref="G164" si="19">IFERROR(F164/E164, "")</f>
        <v>-1.8035771696815001E-2</v>
      </c>
      <c r="H164" s="75">
        <v>22323</v>
      </c>
      <c r="I164" s="75">
        <f t="shared" si="14"/>
        <v>-4638.5999999999985</v>
      </c>
      <c r="J164" s="72">
        <f t="shared" si="15"/>
        <v>-0.20779465125655147</v>
      </c>
      <c r="K164" s="63" t="s">
        <v>1336</v>
      </c>
      <c r="L164" s="37"/>
      <c r="M164" s="116"/>
      <c r="N164" s="116"/>
      <c r="O164" s="116"/>
      <c r="P164" s="116"/>
      <c r="Q164" s="116"/>
      <c r="R164" s="116"/>
      <c r="S164" s="116"/>
      <c r="T164" s="116"/>
      <c r="U164" s="116"/>
      <c r="V164" s="116"/>
      <c r="W164" s="116"/>
      <c r="X164" s="116"/>
      <c r="Y164" s="116"/>
      <c r="Z164" s="116"/>
      <c r="AA164" s="116"/>
    </row>
    <row r="165" spans="1:27" ht="43.15">
      <c r="A165" s="26" t="str">
        <v>X093</v>
      </c>
      <c r="B165" s="27" t="str">
        <v>NY</v>
      </c>
      <c r="C165" s="25" t="str">
        <f>Sites[[#This Row],[SOL'#]]</f>
        <v>SOL-10932</v>
      </c>
      <c r="D165" s="74">
        <v>1862.18017578125</v>
      </c>
      <c r="E165" s="14">
        <v>12441.15</v>
      </c>
      <c r="F165" s="14"/>
      <c r="G165" s="76"/>
      <c r="H165" s="77">
        <v>15637</v>
      </c>
      <c r="I165" s="77">
        <f t="shared" si="14"/>
        <v>-13774.81982421875</v>
      </c>
      <c r="J165" s="76">
        <f t="shared" si="15"/>
        <v>-0.88091192838899723</v>
      </c>
      <c r="K165" s="57" t="s">
        <v>1337</v>
      </c>
      <c r="L165" s="139" t="s">
        <v>1338</v>
      </c>
      <c r="M165" s="115" t="s">
        <v>1017</v>
      </c>
      <c r="N165" s="116"/>
      <c r="O165" s="116"/>
      <c r="P165" s="116"/>
      <c r="Q165" s="116"/>
      <c r="R165" s="116"/>
      <c r="S165" s="116"/>
      <c r="T165" s="116"/>
      <c r="U165" s="116"/>
      <c r="V165" s="116"/>
      <c r="W165" s="116"/>
      <c r="X165" s="116"/>
      <c r="Y165" s="116"/>
      <c r="Z165" s="116"/>
      <c r="AA165" s="116"/>
    </row>
    <row r="166" spans="1:27" ht="15.6">
      <c r="A166" s="24" t="str">
        <v>X095</v>
      </c>
      <c r="B166" s="25" t="str">
        <v>NY</v>
      </c>
      <c r="C166" s="25" t="str">
        <f>Sites[[#This Row],[SOL'#]]</f>
        <v>SOL-10929</v>
      </c>
      <c r="D166" s="60">
        <v>17538.34765625</v>
      </c>
      <c r="E166" s="10" t="s">
        <v>1088</v>
      </c>
      <c r="F166" s="10" t="str">
        <f t="shared" ref="F166" si="20">IF(AND(ISNUMBER(D166),ISNUMBER(E166)), D166-E166, "")</f>
        <v/>
      </c>
      <c r="G166" s="61" t="str">
        <f t="shared" ref="G166" si="21">IFERROR(F166/E166, "")</f>
        <v/>
      </c>
      <c r="H166" s="75">
        <v>21123</v>
      </c>
      <c r="I166" s="75">
        <f t="shared" si="14"/>
        <v>-3584.65234375</v>
      </c>
      <c r="J166" s="72">
        <f t="shared" si="15"/>
        <v>-0.1697037515386072</v>
      </c>
      <c r="K166" s="63" t="s">
        <v>1339</v>
      </c>
      <c r="L166" s="124" t="s">
        <v>1340</v>
      </c>
      <c r="M166" s="116"/>
      <c r="N166" s="116"/>
      <c r="O166" s="116"/>
      <c r="P166" s="116"/>
      <c r="Q166" s="116"/>
      <c r="R166" s="116"/>
      <c r="S166" s="116"/>
      <c r="T166" s="116"/>
      <c r="U166" s="116"/>
      <c r="V166" s="116"/>
      <c r="W166" s="116"/>
      <c r="X166" s="116"/>
      <c r="Y166" s="116"/>
      <c r="Z166" s="116"/>
      <c r="AA166" s="116"/>
    </row>
    <row r="167" spans="1:27" ht="15.6">
      <c r="A167" s="26" t="str">
        <v>X181</v>
      </c>
      <c r="B167" s="27" t="str">
        <v>NY</v>
      </c>
      <c r="C167" s="25" t="str">
        <f>Sites[[#This Row],[SOL'#]]</f>
        <v>SOL-10428</v>
      </c>
      <c r="D167" s="74">
        <v>32339.283828125001</v>
      </c>
      <c r="E167" s="14" t="s">
        <v>1088</v>
      </c>
      <c r="F167" s="14"/>
      <c r="G167" s="76"/>
      <c r="H167" s="77">
        <v>39535</v>
      </c>
      <c r="I167" s="77">
        <f t="shared" si="14"/>
        <v>-7195.7161718749994</v>
      </c>
      <c r="J167" s="76">
        <f t="shared" si="15"/>
        <v>-0.18200875608637915</v>
      </c>
      <c r="K167" s="38" t="s">
        <v>1327</v>
      </c>
      <c r="L167" s="17"/>
      <c r="M167" s="116"/>
      <c r="N167" s="116"/>
      <c r="O167" s="116"/>
      <c r="P167" s="116"/>
      <c r="Q167" s="116"/>
      <c r="R167" s="116"/>
      <c r="S167" s="116"/>
      <c r="T167" s="116"/>
      <c r="U167" s="116"/>
      <c r="V167" s="116"/>
      <c r="W167" s="116"/>
      <c r="X167" s="116"/>
      <c r="Y167" s="116"/>
      <c r="Z167" s="116"/>
      <c r="AA167" s="116"/>
    </row>
    <row r="168" spans="1:27" ht="15.6">
      <c r="A168" s="24" t="str">
        <v>X415</v>
      </c>
      <c r="B168" s="25" t="str">
        <v>NY</v>
      </c>
      <c r="C168" s="25" t="str">
        <f>Sites[[#This Row],[SOL'#]]</f>
        <v>SOL-10429</v>
      </c>
      <c r="D168" s="60">
        <v>20586.1640625</v>
      </c>
      <c r="E168" s="10" t="s">
        <v>1088</v>
      </c>
      <c r="F168" s="10" t="str">
        <f t="shared" ref="F168" si="22">IF(AND(ISNUMBER(D168),ISNUMBER(E168)), D168-E168, "")</f>
        <v/>
      </c>
      <c r="G168" s="61" t="str">
        <f t="shared" ref="G168" si="23">IFERROR(F168/E168, "")</f>
        <v/>
      </c>
      <c r="H168" s="75">
        <v>23011</v>
      </c>
      <c r="I168" s="75">
        <f t="shared" si="14"/>
        <v>-2424.8359375</v>
      </c>
      <c r="J168" s="72">
        <f t="shared" si="15"/>
        <v>-0.10537725164051975</v>
      </c>
      <c r="K168" s="63" t="s">
        <v>1327</v>
      </c>
      <c r="L168" s="37"/>
      <c r="M168" s="116"/>
      <c r="N168" s="116"/>
      <c r="O168" s="116"/>
      <c r="P168" s="116"/>
      <c r="Q168" s="116"/>
      <c r="R168" s="116"/>
      <c r="S168" s="116"/>
      <c r="T168" s="116"/>
      <c r="U168" s="116"/>
      <c r="V168" s="116"/>
      <c r="W168" s="116"/>
      <c r="X168" s="116"/>
      <c r="Y168" s="116"/>
      <c r="Z168" s="116"/>
      <c r="AA168" s="116"/>
    </row>
    <row r="169" spans="1:27" ht="15.6">
      <c r="A169" s="26" t="str">
        <v>K198</v>
      </c>
      <c r="B169" s="27" t="str">
        <v>NY</v>
      </c>
      <c r="C169" s="25" t="str">
        <f>Sites[[#This Row],[SOL'#]]</f>
        <v>SOL-10930</v>
      </c>
      <c r="D169" s="74">
        <v>15353.96875</v>
      </c>
      <c r="E169" s="14">
        <v>14993.88</v>
      </c>
      <c r="F169" s="14"/>
      <c r="G169" s="76"/>
      <c r="H169" s="77">
        <v>17463</v>
      </c>
      <c r="I169" s="77">
        <f t="shared" si="14"/>
        <v>-2109.03125</v>
      </c>
      <c r="J169" s="76">
        <f t="shared" si="15"/>
        <v>-0.12077141670961461</v>
      </c>
      <c r="K169" s="38" t="s">
        <v>1327</v>
      </c>
      <c r="L169" s="17"/>
      <c r="M169" s="116"/>
      <c r="N169" s="116"/>
      <c r="O169" s="116"/>
      <c r="P169" s="116"/>
      <c r="Q169" s="116"/>
      <c r="R169" s="116"/>
      <c r="S169" s="116"/>
      <c r="T169" s="116"/>
      <c r="U169" s="116"/>
      <c r="V169" s="116"/>
      <c r="W169" s="116"/>
      <c r="X169" s="116"/>
      <c r="Y169" s="116"/>
      <c r="Z169" s="116"/>
      <c r="AA169" s="116"/>
    </row>
    <row r="170" spans="1:27" ht="15.6">
      <c r="A170" s="24" t="str">
        <v>K203</v>
      </c>
      <c r="B170" s="25" t="str">
        <v>NY</v>
      </c>
      <c r="C170" s="25" t="str">
        <f>Sites[[#This Row],[SOL'#]]</f>
        <v>SOL-11190</v>
      </c>
      <c r="D170" s="60">
        <v>19346.2</v>
      </c>
      <c r="E170" s="10">
        <v>17609.03</v>
      </c>
      <c r="F170" s="10">
        <f t="shared" ref="F170" si="24">IF(AND(ISNUMBER(D170),ISNUMBER(E170)), D170-E170, "")</f>
        <v>1737.1700000000019</v>
      </c>
      <c r="G170" s="61">
        <f t="shared" ref="G170" si="25">IFERROR(F170/E170, "")</f>
        <v>9.8652225591074699E-2</v>
      </c>
      <c r="H170" s="75">
        <v>23537</v>
      </c>
      <c r="I170" s="75">
        <f t="shared" si="14"/>
        <v>-4190.7999999999993</v>
      </c>
      <c r="J170" s="72">
        <f t="shared" si="15"/>
        <v>-0.17805157836597693</v>
      </c>
      <c r="K170" s="63" t="s">
        <v>1327</v>
      </c>
      <c r="L170" s="37"/>
      <c r="M170" s="116"/>
      <c r="N170" s="116"/>
      <c r="O170" s="116"/>
      <c r="P170" s="116"/>
      <c r="Q170" s="116"/>
      <c r="R170" s="116"/>
      <c r="S170" s="116"/>
      <c r="T170" s="116"/>
      <c r="U170" s="116"/>
      <c r="V170" s="116"/>
      <c r="W170" s="116"/>
      <c r="X170" s="116"/>
      <c r="Y170" s="116"/>
      <c r="Z170" s="116"/>
      <c r="AA170" s="116"/>
    </row>
    <row r="171" spans="1:27" ht="28.9">
      <c r="A171" s="26" t="str">
        <v>K213</v>
      </c>
      <c r="B171" s="27" t="str">
        <v>NY</v>
      </c>
      <c r="C171" s="25" t="str">
        <f>Sites[[#This Row],[SOL'#]]</f>
        <v>SOL-11191</v>
      </c>
      <c r="D171" s="74">
        <v>19297.599999999999</v>
      </c>
      <c r="E171" s="14">
        <v>23171.24</v>
      </c>
      <c r="F171" s="14"/>
      <c r="G171" s="76"/>
      <c r="H171" s="77">
        <v>24815</v>
      </c>
      <c r="I171" s="77">
        <f t="shared" si="14"/>
        <v>-5517.4000000000015</v>
      </c>
      <c r="J171" s="76">
        <f t="shared" si="15"/>
        <v>-0.22234132581100147</v>
      </c>
      <c r="K171" s="57" t="s">
        <v>1341</v>
      </c>
      <c r="L171" s="129" t="s">
        <v>1342</v>
      </c>
      <c r="M171" s="116"/>
      <c r="N171" s="116"/>
      <c r="O171" s="116"/>
      <c r="P171" s="116"/>
      <c r="Q171" s="116"/>
      <c r="R171" s="116"/>
      <c r="S171" s="116"/>
      <c r="T171" s="116"/>
      <c r="U171" s="116"/>
      <c r="V171" s="116"/>
      <c r="W171" s="116"/>
      <c r="X171" s="116"/>
      <c r="Y171" s="116"/>
      <c r="Z171" s="116"/>
      <c r="AA171" s="116"/>
    </row>
    <row r="172" spans="1:27" ht="35.25" customHeight="1">
      <c r="A172" s="24" t="str">
        <v>K217</v>
      </c>
      <c r="B172" s="25" t="str">
        <v>NY</v>
      </c>
      <c r="C172" s="25" t="str">
        <f>Sites[[#This Row],[SOL'#]]</f>
        <v>SOL-10933</v>
      </c>
      <c r="D172" s="60">
        <v>10659.7265625</v>
      </c>
      <c r="E172" s="10">
        <v>0</v>
      </c>
      <c r="F172" s="10">
        <f t="shared" ref="F172" si="26">IF(AND(ISNUMBER(D172),ISNUMBER(E172)), D172-E172, "")</f>
        <v>10659.7265625</v>
      </c>
      <c r="G172" s="61" t="str">
        <f t="shared" ref="G172" si="27">IFERROR(F172/E172, "")</f>
        <v/>
      </c>
      <c r="H172" s="75">
        <v>13842</v>
      </c>
      <c r="I172" s="75">
        <f t="shared" si="14"/>
        <v>-3182.2734375</v>
      </c>
      <c r="J172" s="72">
        <f t="shared" si="15"/>
        <v>-0.22989982932379713</v>
      </c>
      <c r="K172" s="63" t="s">
        <v>1343</v>
      </c>
      <c r="L172" s="124" t="s">
        <v>1344</v>
      </c>
      <c r="M172" s="116"/>
      <c r="N172" s="116"/>
      <c r="O172" s="116"/>
      <c r="P172" s="116"/>
      <c r="Q172" s="116"/>
      <c r="R172" s="116"/>
      <c r="S172" s="116"/>
      <c r="T172" s="116"/>
      <c r="U172" s="116"/>
      <c r="V172" s="116"/>
      <c r="W172" s="116"/>
      <c r="X172" s="116"/>
      <c r="Y172" s="116"/>
      <c r="Z172" s="116"/>
      <c r="AA172" s="116"/>
    </row>
    <row r="173" spans="1:27" ht="15.6">
      <c r="A173" s="26" t="str">
        <v>K307</v>
      </c>
      <c r="B173" s="27" t="str">
        <v>NY</v>
      </c>
      <c r="C173" s="25" t="str">
        <f>Sites[[#This Row],[SOL'#]]</f>
        <v>SOL-10876</v>
      </c>
      <c r="D173" s="74">
        <v>24381.5</v>
      </c>
      <c r="E173" s="14" t="s">
        <v>1088</v>
      </c>
      <c r="F173" s="14"/>
      <c r="G173" s="76"/>
      <c r="H173" s="77">
        <v>28916</v>
      </c>
      <c r="I173" s="77">
        <f t="shared" si="14"/>
        <v>-4534.5</v>
      </c>
      <c r="J173" s="76">
        <f t="shared" si="15"/>
        <v>-0.15681629547655276</v>
      </c>
      <c r="K173" s="38" t="s">
        <v>1327</v>
      </c>
      <c r="L173" s="17"/>
      <c r="M173" s="116"/>
      <c r="N173" s="116"/>
      <c r="O173" s="116"/>
      <c r="P173" s="116"/>
      <c r="Q173" s="116"/>
      <c r="R173" s="116"/>
      <c r="S173" s="116"/>
      <c r="T173" s="116"/>
      <c r="U173" s="116"/>
      <c r="V173" s="116"/>
      <c r="W173" s="116"/>
      <c r="X173" s="116"/>
      <c r="Y173" s="116"/>
      <c r="Z173" s="116"/>
      <c r="AA173" s="116"/>
    </row>
    <row r="174" spans="1:27" ht="15.6">
      <c r="A174" s="24" t="str">
        <v>K610</v>
      </c>
      <c r="B174" s="25" t="str">
        <v>NY</v>
      </c>
      <c r="C174" s="25" t="str">
        <f>Sites[[#This Row],[SOL'#]]</f>
        <v>SOL-11158</v>
      </c>
      <c r="D174" s="60">
        <v>29119.200000000001</v>
      </c>
      <c r="E174" s="10">
        <v>28022.01</v>
      </c>
      <c r="F174" s="10">
        <f t="shared" ref="F174" si="28">IF(AND(ISNUMBER(D174),ISNUMBER(E174)), D174-E174, "")</f>
        <v>1097.1900000000023</v>
      </c>
      <c r="G174" s="61">
        <f t="shared" ref="G174" si="29">IFERROR(F174/E174, "")</f>
        <v>3.9154578847127752E-2</v>
      </c>
      <c r="H174" s="75">
        <v>33621</v>
      </c>
      <c r="I174" s="75">
        <f t="shared" si="14"/>
        <v>-4501.7999999999993</v>
      </c>
      <c r="J174" s="72">
        <f t="shared" si="15"/>
        <v>-0.13389845632194161</v>
      </c>
      <c r="K174" s="63" t="s">
        <v>1345</v>
      </c>
      <c r="L174" s="124" t="s">
        <v>1346</v>
      </c>
      <c r="M174" s="116"/>
      <c r="N174" s="116"/>
      <c r="O174" s="116"/>
      <c r="P174" s="116"/>
      <c r="Q174" s="116"/>
      <c r="R174" s="116"/>
      <c r="S174" s="116"/>
      <c r="T174" s="116"/>
      <c r="U174" s="116"/>
      <c r="V174" s="116"/>
      <c r="W174" s="116"/>
      <c r="X174" s="116"/>
      <c r="Y174" s="116"/>
      <c r="Z174" s="116"/>
      <c r="AA174" s="116"/>
    </row>
    <row r="175" spans="1:27" ht="172.9">
      <c r="A175" s="26" t="str">
        <v>M025</v>
      </c>
      <c r="B175" s="27" t="str">
        <v>NY</v>
      </c>
      <c r="C175" s="25" t="str">
        <f>Sites[[#This Row],[SOL'#]]</f>
        <v>SOL-10392</v>
      </c>
      <c r="D175" s="74">
        <v>12201.24609375</v>
      </c>
      <c r="E175" s="14">
        <v>25807.5</v>
      </c>
      <c r="F175" s="14"/>
      <c r="G175" s="76"/>
      <c r="H175" s="77">
        <v>28833</v>
      </c>
      <c r="I175" s="77">
        <f t="shared" si="14"/>
        <v>-16631.75390625</v>
      </c>
      <c r="J175" s="76">
        <f t="shared" si="15"/>
        <v>-0.57683050345957754</v>
      </c>
      <c r="K175" s="57" t="s">
        <v>1347</v>
      </c>
      <c r="L175" s="139" t="s">
        <v>1348</v>
      </c>
      <c r="M175" s="115" t="s">
        <v>1023</v>
      </c>
      <c r="N175" s="115" t="s">
        <v>1023</v>
      </c>
      <c r="O175" s="115" t="s">
        <v>1024</v>
      </c>
      <c r="P175" s="115" t="s">
        <v>1025</v>
      </c>
      <c r="Q175" s="116"/>
      <c r="R175" s="116"/>
      <c r="S175" s="116"/>
      <c r="T175" s="116"/>
      <c r="U175" s="116"/>
      <c r="V175" s="116"/>
      <c r="W175" s="116"/>
      <c r="X175" s="116"/>
      <c r="Y175" s="116"/>
      <c r="Z175" s="116"/>
      <c r="AA175" s="116"/>
    </row>
    <row r="176" spans="1:27" ht="15.6">
      <c r="A176" s="24" t="str">
        <v>M028</v>
      </c>
      <c r="B176" s="25" t="str">
        <v>NY</v>
      </c>
      <c r="C176" s="25" t="str">
        <f>Sites[[#This Row],[SOL'#]]</f>
        <v>SOL-10381</v>
      </c>
      <c r="D176" s="60">
        <v>19068.1171875</v>
      </c>
      <c r="E176" s="10">
        <v>18609.490000000002</v>
      </c>
      <c r="F176" s="10">
        <f t="shared" ref="F176" si="30">IF(AND(ISNUMBER(D176),ISNUMBER(E176)), D176-E176, "")</f>
        <v>458.6271874999984</v>
      </c>
      <c r="G176" s="61">
        <f t="shared" ref="G176" si="31">IFERROR(F176/E176, "")</f>
        <v>2.4644801523308717E-2</v>
      </c>
      <c r="H176" s="75">
        <v>22886</v>
      </c>
      <c r="I176" s="75">
        <f t="shared" si="14"/>
        <v>-3817.8828125</v>
      </c>
      <c r="J176" s="72">
        <f t="shared" si="15"/>
        <v>-0.16682176057415013</v>
      </c>
      <c r="K176" s="63" t="s">
        <v>1131</v>
      </c>
      <c r="L176" s="37"/>
      <c r="M176" s="116"/>
      <c r="N176" s="116"/>
      <c r="O176" s="116"/>
      <c r="P176" s="116"/>
      <c r="Q176" s="116"/>
      <c r="R176" s="116"/>
      <c r="S176" s="116"/>
      <c r="T176" s="116"/>
      <c r="U176" s="116"/>
      <c r="V176" s="116"/>
      <c r="W176" s="116"/>
      <c r="X176" s="116"/>
      <c r="Y176" s="116"/>
      <c r="Z176" s="116"/>
      <c r="AA176" s="116"/>
    </row>
    <row r="177" spans="1:27" ht="15.6">
      <c r="A177" s="26" t="str">
        <v>Q030</v>
      </c>
      <c r="B177" s="27" t="str">
        <v>NY</v>
      </c>
      <c r="C177" s="25" t="str">
        <f>Sites[[#This Row],[SOL'#]]</f>
        <v>SOL-10878</v>
      </c>
      <c r="D177" s="74">
        <v>23733.2421875</v>
      </c>
      <c r="E177" s="14" t="s">
        <v>1088</v>
      </c>
      <c r="F177" s="14"/>
      <c r="G177" s="76"/>
      <c r="H177" s="77">
        <v>27337</v>
      </c>
      <c r="I177" s="77">
        <f t="shared" si="14"/>
        <v>-3603.7578125</v>
      </c>
      <c r="J177" s="76">
        <f t="shared" si="15"/>
        <v>-0.13182711389325821</v>
      </c>
      <c r="K177" s="38" t="s">
        <v>1131</v>
      </c>
      <c r="L177" s="17"/>
      <c r="M177" s="116"/>
      <c r="N177" s="116"/>
      <c r="O177" s="116"/>
      <c r="P177" s="116"/>
      <c r="Q177" s="116"/>
      <c r="R177" s="116"/>
      <c r="S177" s="116"/>
      <c r="T177" s="116"/>
      <c r="U177" s="116"/>
      <c r="V177" s="116"/>
      <c r="W177" s="116"/>
      <c r="X177" s="116"/>
      <c r="Y177" s="116"/>
      <c r="Z177" s="116"/>
      <c r="AA177" s="116"/>
    </row>
    <row r="178" spans="1:27" ht="15.6">
      <c r="A178" s="24" t="str">
        <v>Q130</v>
      </c>
      <c r="B178" s="25" t="str">
        <v>NY</v>
      </c>
      <c r="C178" s="25" t="str">
        <f>Sites[[#This Row],[SOL'#]]</f>
        <v>SOL-10877</v>
      </c>
      <c r="D178" s="60">
        <v>13589.536328124999</v>
      </c>
      <c r="E178" s="10" t="s">
        <v>1088</v>
      </c>
      <c r="F178" s="10" t="str">
        <f t="shared" ref="F178" si="32">IF(AND(ISNUMBER(D178),ISNUMBER(E178)), D178-E178, "")</f>
        <v/>
      </c>
      <c r="G178" s="61" t="str">
        <f t="shared" ref="G178" si="33">IFERROR(F178/E178, "")</f>
        <v/>
      </c>
      <c r="H178" s="75">
        <v>15497.39</v>
      </c>
      <c r="I178" s="75">
        <f t="shared" si="14"/>
        <v>-1907.8536718750001</v>
      </c>
      <c r="J178" s="72">
        <f t="shared" si="15"/>
        <v>-0.12310806347875353</v>
      </c>
      <c r="K178" s="63" t="s">
        <v>1131</v>
      </c>
      <c r="L178" s="37"/>
      <c r="M178" s="116"/>
      <c r="N178" s="116"/>
      <c r="O178" s="116"/>
      <c r="P178" s="116"/>
      <c r="Q178" s="116"/>
      <c r="R178" s="116"/>
      <c r="S178" s="116"/>
      <c r="T178" s="116"/>
      <c r="U178" s="116"/>
      <c r="V178" s="116"/>
      <c r="W178" s="116"/>
      <c r="X178" s="116"/>
      <c r="Y178" s="116"/>
      <c r="Z178" s="116"/>
      <c r="AA178" s="116"/>
    </row>
    <row r="179" spans="1:27" ht="15.6">
      <c r="A179" s="26" t="str">
        <v>Q196</v>
      </c>
      <c r="B179" s="27" t="str">
        <v>NY</v>
      </c>
      <c r="C179" s="25" t="str">
        <f>Sites[[#This Row],[SOL'#]]</f>
        <v>SOL-10879</v>
      </c>
      <c r="D179" s="74">
        <v>17875.938339843698</v>
      </c>
      <c r="E179" s="14" t="s">
        <v>1088</v>
      </c>
      <c r="F179" s="14"/>
      <c r="G179" s="76"/>
      <c r="H179" s="77">
        <v>20173</v>
      </c>
      <c r="I179" s="77">
        <f t="shared" si="14"/>
        <v>-2297.0616601563015</v>
      </c>
      <c r="J179" s="76">
        <f t="shared" si="15"/>
        <v>-0.11386812373748582</v>
      </c>
      <c r="K179" s="38" t="s">
        <v>1131</v>
      </c>
      <c r="L179" s="17"/>
      <c r="M179" s="116"/>
      <c r="N179" s="116"/>
      <c r="O179" s="116"/>
      <c r="P179" s="116"/>
      <c r="Q179" s="116"/>
      <c r="R179" s="116"/>
      <c r="S179" s="116"/>
      <c r="T179" s="116"/>
      <c r="U179" s="116"/>
      <c r="V179" s="116"/>
      <c r="W179" s="116"/>
      <c r="X179" s="116"/>
      <c r="Y179" s="116"/>
      <c r="Z179" s="116"/>
      <c r="AA179" s="116"/>
    </row>
    <row r="180" spans="1:27" ht="15.6">
      <c r="A180" s="24" t="str">
        <v>Q220</v>
      </c>
      <c r="B180" s="25" t="str">
        <v>NY</v>
      </c>
      <c r="C180" s="25" t="str">
        <f>Sites[[#This Row],[SOL'#]]</f>
        <v>SOL-10873</v>
      </c>
      <c r="D180" s="60">
        <v>20956.796875</v>
      </c>
      <c r="E180" s="10" t="s">
        <v>1088</v>
      </c>
      <c r="F180" s="10" t="str">
        <f t="shared" ref="F180" si="34">IF(AND(ISNUMBER(D180),ISNUMBER(E180)), D180-E180, "")</f>
        <v/>
      </c>
      <c r="G180" s="61" t="str">
        <f t="shared" ref="G180" si="35">IFERROR(F180/E180, "")</f>
        <v/>
      </c>
      <c r="H180" s="75">
        <v>23174</v>
      </c>
      <c r="I180" s="75">
        <f t="shared" si="14"/>
        <v>-2217.203125</v>
      </c>
      <c r="J180" s="72">
        <f t="shared" si="15"/>
        <v>-9.5676323681712264E-2</v>
      </c>
      <c r="K180" s="63" t="s">
        <v>1349</v>
      </c>
      <c r="L180" s="124" t="s">
        <v>1027</v>
      </c>
      <c r="M180" s="116"/>
      <c r="N180" s="116"/>
      <c r="O180" s="116"/>
      <c r="P180" s="116"/>
      <c r="Q180" s="116"/>
      <c r="R180" s="116"/>
      <c r="S180" s="116"/>
      <c r="T180" s="116"/>
      <c r="U180" s="116"/>
      <c r="V180" s="116"/>
      <c r="W180" s="116"/>
      <c r="X180" s="116"/>
      <c r="Y180" s="116"/>
      <c r="Z180" s="116"/>
      <c r="AA180" s="116"/>
    </row>
    <row r="181" spans="1:27" ht="93.75" customHeight="1">
      <c r="A181" s="26" t="str">
        <v>Q205</v>
      </c>
      <c r="B181" s="27" t="str">
        <v>NY</v>
      </c>
      <c r="C181" s="25" t="str">
        <f>Sites[[#This Row],[SOL'#]]</f>
        <v>SOL-10922</v>
      </c>
      <c r="D181" s="74">
        <v>24385.046875</v>
      </c>
      <c r="E181" s="14">
        <v>28274.799999999999</v>
      </c>
      <c r="F181" s="14"/>
      <c r="G181" s="76"/>
      <c r="H181" s="77">
        <v>28124</v>
      </c>
      <c r="I181" s="77">
        <f t="shared" si="14"/>
        <v>-3738.953125</v>
      </c>
      <c r="J181" s="76">
        <f t="shared" si="15"/>
        <v>-0.13294528249893328</v>
      </c>
      <c r="K181" s="56" t="s">
        <v>1350</v>
      </c>
      <c r="L181" s="139" t="s">
        <v>1351</v>
      </c>
      <c r="M181" s="115" t="s">
        <v>1352</v>
      </c>
      <c r="N181" s="115" t="s">
        <v>1353</v>
      </c>
      <c r="O181" s="116"/>
      <c r="P181" s="116"/>
      <c r="Q181" s="116"/>
      <c r="R181" s="116"/>
      <c r="S181" s="116"/>
      <c r="T181" s="116"/>
      <c r="U181" s="116"/>
      <c r="V181" s="116"/>
      <c r="W181" s="116"/>
      <c r="X181" s="116"/>
      <c r="Y181" s="116"/>
      <c r="Z181" s="116"/>
      <c r="AA181" s="116"/>
    </row>
    <row r="182" spans="1:27" ht="108.75" customHeight="1">
      <c r="A182" s="24" t="str">
        <v>Q400</v>
      </c>
      <c r="B182" s="25" t="str">
        <v>NY</v>
      </c>
      <c r="C182" s="25" t="str">
        <f>Sites[[#This Row],[SOL'#]]</f>
        <v>SOL-10871</v>
      </c>
      <c r="D182" s="60">
        <v>26544.5859375</v>
      </c>
      <c r="E182" s="10" t="s">
        <v>1088</v>
      </c>
      <c r="F182" s="10" t="str">
        <f t="shared" ref="F182" si="36">IF(AND(ISNUMBER(D182),ISNUMBER(E182)), D182-E182, "")</f>
        <v/>
      </c>
      <c r="G182" s="61" t="str">
        <f t="shared" ref="G182" si="37">IFERROR(F182/E182, "")</f>
        <v/>
      </c>
      <c r="H182" s="75">
        <v>45134</v>
      </c>
      <c r="I182" s="75">
        <f t="shared" si="14"/>
        <v>-18589.4140625</v>
      </c>
      <c r="J182" s="72">
        <f t="shared" si="15"/>
        <v>-0.41187162809633537</v>
      </c>
      <c r="K182" s="63" t="s">
        <v>1354</v>
      </c>
      <c r="L182" s="124" t="s">
        <v>1355</v>
      </c>
      <c r="M182" s="115" t="s">
        <v>729</v>
      </c>
      <c r="N182" s="115" t="s">
        <v>730</v>
      </c>
      <c r="O182" s="115" t="s">
        <v>1032</v>
      </c>
      <c r="P182" s="115" t="s">
        <v>1033</v>
      </c>
      <c r="Q182" s="116"/>
      <c r="R182" s="116"/>
      <c r="S182" s="116"/>
      <c r="T182" s="116"/>
      <c r="U182" s="116"/>
      <c r="V182" s="116"/>
      <c r="W182" s="116"/>
      <c r="X182" s="116"/>
      <c r="Y182" s="116"/>
      <c r="Z182" s="116"/>
      <c r="AA182" s="116"/>
    </row>
    <row r="183" spans="1:27" ht="15.6">
      <c r="A183" s="26" t="str">
        <v>R003</v>
      </c>
      <c r="B183" s="27" t="str">
        <v>NY</v>
      </c>
      <c r="C183" s="25" t="str">
        <f>Sites[[#This Row],[SOL'#]]</f>
        <v>SOL-10416</v>
      </c>
      <c r="D183" s="74">
        <v>35329.273125</v>
      </c>
      <c r="E183" s="14" t="s">
        <v>1088</v>
      </c>
      <c r="F183" s="14"/>
      <c r="G183" s="76"/>
      <c r="H183" s="77">
        <v>40507</v>
      </c>
      <c r="I183" s="77">
        <f t="shared" si="14"/>
        <v>-5177.7268750000003</v>
      </c>
      <c r="J183" s="76">
        <f t="shared" si="15"/>
        <v>-0.12782301515787395</v>
      </c>
      <c r="K183" s="38" t="s">
        <v>1356</v>
      </c>
      <c r="L183" s="17"/>
      <c r="M183" s="116"/>
      <c r="N183" s="116"/>
      <c r="O183" s="116"/>
      <c r="P183" s="116"/>
      <c r="Q183" s="116"/>
      <c r="R183" s="116"/>
      <c r="S183" s="116"/>
      <c r="T183" s="116"/>
      <c r="U183" s="116"/>
      <c r="V183" s="116"/>
      <c r="W183" s="116"/>
      <c r="X183" s="116"/>
      <c r="Y183" s="116"/>
      <c r="Z183" s="116"/>
      <c r="AA183" s="116"/>
    </row>
    <row r="184" spans="1:27" ht="15.6">
      <c r="A184" s="24" t="str">
        <v>R007</v>
      </c>
      <c r="B184" s="25" t="str">
        <v>NY</v>
      </c>
      <c r="C184" s="25" t="str">
        <f>Sites[[#This Row],[SOL'#]]</f>
        <v>SOL-10417</v>
      </c>
      <c r="D184" s="60">
        <v>37098.3671875</v>
      </c>
      <c r="E184" s="10">
        <v>37305.19</v>
      </c>
      <c r="F184" s="10">
        <f t="shared" ref="F184" si="38">IF(AND(ISNUMBER(D184),ISNUMBER(E184)), D184-E184, "")</f>
        <v>-206.82281250000233</v>
      </c>
      <c r="G184" s="61">
        <f t="shared" ref="G184" si="39">IFERROR(F184/E184, "")</f>
        <v>-5.5440761057644339E-3</v>
      </c>
      <c r="H184" s="75">
        <v>45611.62</v>
      </c>
      <c r="I184" s="75">
        <f t="shared" si="14"/>
        <v>-8513.2528125000026</v>
      </c>
      <c r="J184" s="72">
        <f t="shared" si="15"/>
        <v>-0.18664657849249824</v>
      </c>
      <c r="K184" s="63" t="s">
        <v>1356</v>
      </c>
      <c r="L184" s="37"/>
      <c r="M184" s="116"/>
      <c r="N184" s="116"/>
      <c r="O184" s="116"/>
      <c r="P184" s="116"/>
      <c r="Q184" s="116"/>
      <c r="R184" s="116"/>
      <c r="S184" s="116"/>
      <c r="T184" s="116"/>
      <c r="U184" s="116"/>
      <c r="V184" s="116"/>
      <c r="W184" s="116"/>
      <c r="X184" s="116"/>
      <c r="Y184" s="116"/>
      <c r="Z184" s="116"/>
      <c r="AA184" s="116"/>
    </row>
    <row r="185" spans="1:27" ht="15.6">
      <c r="A185" s="26" t="str">
        <v>BK16</v>
      </c>
      <c r="B185" s="27" t="str">
        <v>NY</v>
      </c>
      <c r="C185" s="25" t="str">
        <f>Sites[[#This Row],[SOL'#]]</f>
        <v>SOL-11093</v>
      </c>
      <c r="D185" s="74">
        <v>39286.96875</v>
      </c>
      <c r="E185" s="14" t="s">
        <v>1088</v>
      </c>
      <c r="F185" s="14"/>
      <c r="G185" s="76"/>
      <c r="H185" s="77">
        <v>43901</v>
      </c>
      <c r="I185" s="77">
        <f t="shared" si="14"/>
        <v>-4614.03125</v>
      </c>
      <c r="J185" s="76">
        <f t="shared" si="15"/>
        <v>-0.10510082344365732</v>
      </c>
      <c r="K185" s="38" t="s">
        <v>1356</v>
      </c>
      <c r="L185" s="17"/>
      <c r="M185" s="116"/>
      <c r="N185" s="116"/>
      <c r="O185" s="116"/>
      <c r="P185" s="116"/>
      <c r="Q185" s="116"/>
      <c r="R185" s="116"/>
      <c r="S185" s="116"/>
      <c r="T185" s="116"/>
      <c r="U185" s="116"/>
      <c r="V185" s="116"/>
      <c r="W185" s="116"/>
      <c r="X185" s="116"/>
      <c r="Y185" s="116"/>
      <c r="Z185" s="116"/>
      <c r="AA185" s="116"/>
    </row>
    <row r="186" spans="1:27" ht="86.45">
      <c r="A186" s="24" t="str">
        <v>Trenton - Trenton East</v>
      </c>
      <c r="B186" s="25" t="str">
        <v>IL</v>
      </c>
      <c r="C186" s="25" t="str">
        <f>Sites[[#This Row],[SOL'#]]</f>
        <v>SOL-11060</v>
      </c>
      <c r="D186" s="60">
        <v>401135</v>
      </c>
      <c r="E186" s="10">
        <v>427249</v>
      </c>
      <c r="F186" s="10"/>
      <c r="G186" s="61"/>
      <c r="H186" s="75">
        <v>488196</v>
      </c>
      <c r="I186" s="75">
        <f t="shared" si="14"/>
        <v>-87061</v>
      </c>
      <c r="J186" s="72">
        <f t="shared" si="15"/>
        <v>-0.17833206335160467</v>
      </c>
      <c r="K186" s="63" t="s">
        <v>1357</v>
      </c>
      <c r="L186" s="131" t="s">
        <v>1358</v>
      </c>
      <c r="M186" s="116"/>
      <c r="N186" s="116"/>
      <c r="O186" s="116"/>
      <c r="P186" s="116"/>
      <c r="Q186" s="116"/>
      <c r="R186" s="116"/>
      <c r="S186" s="116"/>
      <c r="T186" s="116"/>
      <c r="U186" s="116"/>
      <c r="V186" s="116"/>
      <c r="W186" s="116"/>
      <c r="X186" s="116"/>
      <c r="Y186" s="116"/>
      <c r="Z186" s="116"/>
      <c r="AA186" s="116"/>
    </row>
    <row r="187" spans="1:27" ht="15.6">
      <c r="A187" s="26" t="str">
        <v>Trenton - Trenton West</v>
      </c>
      <c r="B187" s="27" t="str">
        <v>IL</v>
      </c>
      <c r="C187" s="25" t="str">
        <f>Sites[[#This Row],[SOL'#]]</f>
        <v>SOL-11061</v>
      </c>
      <c r="D187" s="74">
        <v>154211</v>
      </c>
      <c r="E187" s="14">
        <v>253964.7</v>
      </c>
      <c r="F187" s="14">
        <f>IF(AND(ISNUMBER(D187),ISNUMBER(E187)), D187-E187, "")</f>
        <v>-99753.700000000012</v>
      </c>
      <c r="G187" s="76">
        <f>IFERROR(F187/E187, "")</f>
        <v>-0.39278569029475358</v>
      </c>
      <c r="H187" s="77">
        <v>486768</v>
      </c>
      <c r="I187" s="77">
        <f t="shared" si="14"/>
        <v>-332557</v>
      </c>
      <c r="J187" s="76">
        <f t="shared" si="15"/>
        <v>-0.6831940472668705</v>
      </c>
      <c r="K187" s="38" t="s">
        <v>1359</v>
      </c>
      <c r="L187" s="126" t="s">
        <v>1360</v>
      </c>
      <c r="M187" s="116"/>
      <c r="N187" s="116"/>
      <c r="O187" s="116"/>
      <c r="P187" s="116"/>
      <c r="Q187" s="116"/>
      <c r="R187" s="116"/>
      <c r="S187" s="116"/>
      <c r="T187" s="116"/>
      <c r="U187" s="116"/>
      <c r="V187" s="116"/>
      <c r="W187" s="116"/>
      <c r="X187" s="116"/>
      <c r="Y187" s="116"/>
      <c r="Z187" s="116"/>
      <c r="AA187" s="116"/>
    </row>
    <row r="188" spans="1:27" ht="49.5" customHeight="1">
      <c r="A188" s="24" t="str">
        <v>Dakota - Dakota Solar 1</v>
      </c>
      <c r="B188" s="25" t="str">
        <v>IL</v>
      </c>
      <c r="C188" s="25" t="str">
        <f>Sites[[#This Row],[SOL'#]]</f>
        <v>SOL-11113</v>
      </c>
      <c r="D188" s="60">
        <v>504703</v>
      </c>
      <c r="E188" s="10">
        <v>600136</v>
      </c>
      <c r="F188" s="10"/>
      <c r="G188" s="61"/>
      <c r="H188" s="75">
        <v>0</v>
      </c>
      <c r="I188" s="75">
        <f t="shared" si="14"/>
        <v>504703</v>
      </c>
      <c r="J188" s="72" t="str">
        <f t="shared" si="15"/>
        <v/>
      </c>
      <c r="K188" s="63" t="s">
        <v>1361</v>
      </c>
      <c r="L188" s="131" t="s">
        <v>1362</v>
      </c>
      <c r="M188" s="115" t="s">
        <v>1363</v>
      </c>
      <c r="N188" s="115" t="s">
        <v>1364</v>
      </c>
      <c r="O188" s="116"/>
      <c r="P188" s="116"/>
      <c r="Q188" s="116"/>
      <c r="R188" s="116"/>
      <c r="S188" s="116"/>
      <c r="T188" s="116"/>
      <c r="U188" s="116"/>
      <c r="V188" s="116"/>
      <c r="W188" s="116"/>
      <c r="X188" s="116"/>
      <c r="Y188" s="116"/>
      <c r="Z188" s="116"/>
      <c r="AA188" s="116"/>
    </row>
    <row r="189" spans="1:27" ht="60" customHeight="1">
      <c r="A189" s="26" t="str">
        <v>X018</v>
      </c>
      <c r="B189" s="27" t="str">
        <v>NY</v>
      </c>
      <c r="C189" s="25" t="str">
        <f>Sites[[#This Row],[SOL'#]]</f>
        <v>SOL-10418</v>
      </c>
      <c r="D189" s="74">
        <v>13614.8196128731</v>
      </c>
      <c r="E189" s="14">
        <v>11268.16</v>
      </c>
      <c r="F189" s="14"/>
      <c r="G189" s="76"/>
      <c r="H189" s="77">
        <v>22512</v>
      </c>
      <c r="I189" s="77">
        <f t="shared" si="14"/>
        <v>-8897.1803871269003</v>
      </c>
      <c r="J189" s="76">
        <f t="shared" si="15"/>
        <v>-0.39521945571814587</v>
      </c>
      <c r="K189" s="57" t="s">
        <v>1365</v>
      </c>
      <c r="L189" s="126" t="s">
        <v>1366</v>
      </c>
      <c r="M189" s="115" t="s">
        <v>745</v>
      </c>
      <c r="N189" s="115" t="s">
        <v>1046</v>
      </c>
      <c r="O189" s="116"/>
      <c r="P189" s="116"/>
      <c r="Q189" s="116"/>
      <c r="R189" s="116"/>
      <c r="S189" s="116"/>
      <c r="T189" s="116"/>
      <c r="U189" s="116"/>
      <c r="V189" s="116"/>
      <c r="W189" s="116"/>
      <c r="X189" s="116"/>
      <c r="Y189" s="116"/>
      <c r="Z189" s="116"/>
      <c r="AA189" s="116"/>
    </row>
    <row r="190" spans="1:27" ht="28.9">
      <c r="A190" s="24" t="str">
        <v>Janiak Solar</v>
      </c>
      <c r="B190" s="25" t="str">
        <v>NY</v>
      </c>
      <c r="C190" s="25" t="str">
        <f>Sites[[#This Row],[SOL'#]]</f>
        <v>SOL-10898</v>
      </c>
      <c r="D190" s="60">
        <v>318017</v>
      </c>
      <c r="E190" s="10">
        <v>333604</v>
      </c>
      <c r="F190" s="10">
        <f>IF(AND(ISNUMBER(D190),ISNUMBER(E190)), D190-E190, "")</f>
        <v>-15587</v>
      </c>
      <c r="G190" s="61">
        <f>IFERROR(F190/E190, "")</f>
        <v>-4.6723060874569851E-2</v>
      </c>
      <c r="H190" s="75">
        <v>412625</v>
      </c>
      <c r="I190" s="75">
        <f t="shared" si="14"/>
        <v>-94608</v>
      </c>
      <c r="J190" s="72">
        <f t="shared" si="15"/>
        <v>-0.22928324750075735</v>
      </c>
      <c r="K190" s="63" t="s">
        <v>1367</v>
      </c>
      <c r="L190" s="131" t="s">
        <v>1368</v>
      </c>
      <c r="M190" s="116"/>
      <c r="N190" s="116"/>
      <c r="O190" s="116"/>
      <c r="P190" s="116"/>
      <c r="Q190" s="116"/>
      <c r="R190" s="116"/>
      <c r="S190" s="116"/>
      <c r="T190" s="116"/>
      <c r="U190" s="116"/>
      <c r="V190" s="116"/>
      <c r="W190" s="116"/>
      <c r="X190" s="116"/>
      <c r="Y190" s="116"/>
      <c r="Z190" s="116"/>
      <c r="AA190" s="116"/>
    </row>
    <row r="191" spans="1:27" ht="50.25" customHeight="1">
      <c r="A191" s="26" t="str">
        <v>County Route 11B</v>
      </c>
      <c r="B191" s="27" t="str">
        <v>NY</v>
      </c>
      <c r="C191" s="25" t="str">
        <f>Sites[[#This Row],[SOL'#]]</f>
        <v>SOL-10983</v>
      </c>
      <c r="D191" s="74">
        <v>556820</v>
      </c>
      <c r="E191" s="14" t="s">
        <v>1088</v>
      </c>
      <c r="F191" s="14"/>
      <c r="G191" s="76"/>
      <c r="H191" s="147" t="s">
        <v>1088</v>
      </c>
      <c r="I191" s="77" t="str">
        <f t="shared" si="14"/>
        <v/>
      </c>
      <c r="J191" s="76" t="str">
        <f t="shared" si="15"/>
        <v/>
      </c>
      <c r="K191" s="57" t="s">
        <v>1369</v>
      </c>
      <c r="L191" s="126" t="s">
        <v>1370</v>
      </c>
      <c r="M191" s="115" t="s">
        <v>1053</v>
      </c>
      <c r="N191" s="115" t="s">
        <v>1371</v>
      </c>
      <c r="O191" s="116"/>
      <c r="P191" s="116"/>
      <c r="Q191" s="116"/>
      <c r="R191" s="116"/>
      <c r="S191" s="116"/>
      <c r="T191" s="116"/>
      <c r="U191" s="116"/>
      <c r="V191" s="116"/>
      <c r="W191" s="116"/>
      <c r="X191" s="116"/>
      <c r="Y191" s="116"/>
      <c r="Z191" s="116"/>
      <c r="AA191" s="116"/>
    </row>
    <row r="192" spans="1:27" ht="75" customHeight="1">
      <c r="A192" s="24" t="str">
        <v>Barone</v>
      </c>
      <c r="B192" s="25" t="str">
        <v>NY</v>
      </c>
      <c r="C192" s="25" t="str">
        <f>Sites[[#This Row],[SOL'#]]</f>
        <v>SOL-11034</v>
      </c>
      <c r="D192" s="60">
        <v>549573</v>
      </c>
      <c r="E192" s="10" t="s">
        <v>1088</v>
      </c>
      <c r="F192" s="10"/>
      <c r="G192" s="61"/>
      <c r="H192" s="75">
        <v>684560</v>
      </c>
      <c r="I192" s="75">
        <f t="shared" si="14"/>
        <v>-134987</v>
      </c>
      <c r="J192" s="72">
        <f t="shared" si="15"/>
        <v>-0.19718797475750846</v>
      </c>
      <c r="K192" s="63" t="s">
        <v>1372</v>
      </c>
      <c r="L192" s="131" t="s">
        <v>1373</v>
      </c>
      <c r="M192" s="115" t="s">
        <v>1056</v>
      </c>
      <c r="N192" s="116"/>
      <c r="O192" s="116"/>
      <c r="P192" s="116"/>
      <c r="Q192" s="116"/>
      <c r="R192" s="116"/>
      <c r="S192" s="116"/>
      <c r="T192" s="116"/>
      <c r="U192" s="116"/>
      <c r="V192" s="116"/>
      <c r="W192" s="116"/>
      <c r="X192" s="116"/>
      <c r="Y192" s="116"/>
      <c r="Z192" s="116"/>
      <c r="AA192" s="116"/>
    </row>
    <row r="193" spans="1:27" ht="43.15">
      <c r="A193" s="26" t="str">
        <v>Cedarville</v>
      </c>
      <c r="B193" s="27" t="str">
        <v>IL</v>
      </c>
      <c r="C193" s="25" t="str">
        <f>Sites[[#This Row],[SOL'#]]</f>
        <v>SOL-11069</v>
      </c>
      <c r="D193" s="74">
        <v>428027</v>
      </c>
      <c r="E193" s="14">
        <v>423775.7</v>
      </c>
      <c r="F193" s="14">
        <f>IF(AND(ISNUMBER(D193),ISNUMBER(E193)), D193-E193, "")</f>
        <v>4251.2999999999884</v>
      </c>
      <c r="G193" s="76">
        <f>IFERROR(F193/E193, "")</f>
        <v>1.0031957943789575E-2</v>
      </c>
      <c r="H193" s="77">
        <v>525847.69999999995</v>
      </c>
      <c r="I193" s="77">
        <f t="shared" si="14"/>
        <v>-97820.699999999953</v>
      </c>
      <c r="J193" s="76">
        <f t="shared" si="15"/>
        <v>-0.18602477485401184</v>
      </c>
      <c r="K193" s="57" t="s">
        <v>1374</v>
      </c>
      <c r="L193" s="126" t="s">
        <v>1375</v>
      </c>
      <c r="M193" s="115" t="s">
        <v>1376</v>
      </c>
      <c r="N193" s="116"/>
      <c r="O193" s="116"/>
      <c r="P193" s="116"/>
      <c r="Q193" s="116"/>
      <c r="R193" s="116"/>
      <c r="S193" s="116"/>
      <c r="T193" s="116"/>
      <c r="U193" s="116"/>
      <c r="V193" s="116"/>
      <c r="W193" s="116"/>
      <c r="X193" s="116"/>
      <c r="Y193" s="116"/>
      <c r="Z193" s="116"/>
      <c r="AA193" s="116"/>
    </row>
    <row r="194" spans="1:27" ht="28.9">
      <c r="A194" s="24" t="str">
        <v xml:space="preserve"> O'Brien Hill #1</v>
      </c>
      <c r="B194" s="25" t="str">
        <v>NY</v>
      </c>
      <c r="C194" s="25" t="str">
        <f>Sites[[#This Row],[SOL'#]]</f>
        <v>SOL-11098</v>
      </c>
      <c r="D194" s="60"/>
      <c r="E194" s="10" t="s">
        <v>1088</v>
      </c>
      <c r="F194" s="10"/>
      <c r="G194" s="61"/>
      <c r="H194" s="75"/>
      <c r="I194" s="75" t="str">
        <f t="shared" si="14"/>
        <v/>
      </c>
      <c r="J194" s="72" t="str">
        <f t="shared" si="15"/>
        <v/>
      </c>
      <c r="K194" s="63" t="s">
        <v>1057</v>
      </c>
      <c r="L194" s="131" t="s">
        <v>1058</v>
      </c>
      <c r="M194" s="115" t="s">
        <v>1059</v>
      </c>
      <c r="N194" s="116"/>
      <c r="O194" s="116"/>
      <c r="P194" s="116"/>
      <c r="Q194" s="116"/>
      <c r="R194" s="116"/>
      <c r="S194" s="116"/>
      <c r="T194" s="116"/>
      <c r="U194" s="116"/>
      <c r="V194" s="116"/>
      <c r="W194" s="116"/>
      <c r="X194" s="116"/>
      <c r="Y194" s="116"/>
      <c r="Z194" s="116"/>
      <c r="AA194" s="116"/>
    </row>
    <row r="195" spans="1:27" ht="43.15">
      <c r="A195" s="26" t="str">
        <v xml:space="preserve"> O'Brien Hill #2</v>
      </c>
      <c r="B195" s="27" t="str">
        <v>NY</v>
      </c>
      <c r="C195" s="25" t="str">
        <f>Sites[[#This Row],[SOL'#]]</f>
        <v>SOL-11099</v>
      </c>
      <c r="D195" s="74">
        <v>710692</v>
      </c>
      <c r="E195" s="14" t="s">
        <v>1088</v>
      </c>
      <c r="F195" s="14"/>
      <c r="G195" s="76"/>
      <c r="H195" s="147" t="s">
        <v>777</v>
      </c>
      <c r="I195" s="77" t="str">
        <f t="shared" si="14"/>
        <v/>
      </c>
      <c r="J195" s="76" t="str">
        <f t="shared" si="15"/>
        <v/>
      </c>
      <c r="K195" s="57" t="s">
        <v>1377</v>
      </c>
      <c r="L195" s="126" t="s">
        <v>1378</v>
      </c>
      <c r="M195" s="115" t="s">
        <v>1379</v>
      </c>
      <c r="N195" s="116"/>
      <c r="O195" s="116"/>
      <c r="P195" s="116"/>
      <c r="Q195" s="116"/>
      <c r="R195" s="116"/>
      <c r="S195" s="116"/>
      <c r="T195" s="116"/>
      <c r="U195" s="116"/>
      <c r="V195" s="116"/>
      <c r="W195" s="116"/>
      <c r="X195" s="116"/>
      <c r="Y195" s="116"/>
      <c r="Z195" s="116"/>
      <c r="AA195" s="116"/>
    </row>
    <row r="196" spans="1:27" ht="28.9">
      <c r="A196" s="24" t="str">
        <v>Trinity - Freeport</v>
      </c>
      <c r="B196" s="25" t="str">
        <v>IL</v>
      </c>
      <c r="C196" s="25" t="str">
        <f>Sites[[#This Row],[SOL'#]]</f>
        <v>SOL-11057</v>
      </c>
      <c r="D196" s="60">
        <v>479568</v>
      </c>
      <c r="E196" s="10">
        <v>471609</v>
      </c>
      <c r="F196" s="10">
        <f>IF(AND(ISNUMBER(D196),ISNUMBER(E196)), D196-E196, "")</f>
        <v>7959</v>
      </c>
      <c r="G196" s="61">
        <f>IFERROR(F196/E196, "")</f>
        <v>1.687626826460055E-2</v>
      </c>
      <c r="H196" s="75">
        <v>522288</v>
      </c>
      <c r="I196" s="75">
        <f t="shared" si="14"/>
        <v>-42720</v>
      </c>
      <c r="J196" s="72">
        <f t="shared" si="15"/>
        <v>-8.1793952761694697E-2</v>
      </c>
      <c r="K196" s="63" t="s">
        <v>1380</v>
      </c>
      <c r="L196" s="131" t="s">
        <v>1065</v>
      </c>
      <c r="M196" s="115" t="s">
        <v>1066</v>
      </c>
      <c r="N196" s="116"/>
      <c r="O196" s="116"/>
      <c r="P196" s="116"/>
      <c r="Q196" s="116"/>
      <c r="R196" s="116"/>
      <c r="S196" s="116"/>
      <c r="T196" s="116"/>
      <c r="U196" s="116"/>
      <c r="V196" s="116"/>
      <c r="W196" s="116"/>
      <c r="X196" s="116"/>
      <c r="Y196" s="116"/>
      <c r="Z196" s="116"/>
      <c r="AA196" s="116"/>
    </row>
    <row r="197" spans="1:27" ht="72">
      <c r="A197" s="26" t="str">
        <v>Ransom</v>
      </c>
      <c r="B197" s="27" t="str">
        <v>NY</v>
      </c>
      <c r="C197" s="25" t="str">
        <f>Sites[[#This Row],[SOL'#]]</f>
        <v>SOL-11157</v>
      </c>
      <c r="D197" s="74">
        <v>743877.8</v>
      </c>
      <c r="E197" s="14" t="s">
        <v>1088</v>
      </c>
      <c r="F197" s="14"/>
      <c r="G197" s="76"/>
      <c r="H197" s="147" t="s">
        <v>1088</v>
      </c>
      <c r="I197" s="77" t="str">
        <f t="shared" si="14"/>
        <v/>
      </c>
      <c r="J197" s="76" t="str">
        <f t="shared" si="15"/>
        <v/>
      </c>
      <c r="K197" s="57" t="s">
        <v>1381</v>
      </c>
      <c r="L197" s="114" t="s">
        <v>1382</v>
      </c>
      <c r="M197" s="115" t="s">
        <v>1383</v>
      </c>
      <c r="N197" s="115" t="s">
        <v>1071</v>
      </c>
      <c r="O197" s="116"/>
      <c r="P197" s="116"/>
      <c r="Q197" s="116"/>
      <c r="R197" s="116"/>
      <c r="S197" s="116"/>
      <c r="T197" s="116"/>
      <c r="U197" s="116"/>
      <c r="V197" s="116"/>
      <c r="W197" s="116"/>
      <c r="X197" s="116"/>
      <c r="Y197" s="116"/>
      <c r="Z197" s="116"/>
      <c r="AA197" s="116"/>
    </row>
    <row r="198" spans="1:27" ht="34.5" customHeight="1">
      <c r="A198" s="24" t="str">
        <v>Horseheads - Wedge</v>
      </c>
      <c r="B198" s="25" t="str">
        <v>NY</v>
      </c>
      <c r="C198" s="25" t="str">
        <f>Sites[[#This Row],[SOL'#]]</f>
        <v>SOL-11160</v>
      </c>
      <c r="D198" s="60">
        <v>523669</v>
      </c>
      <c r="E198" s="10" t="s">
        <v>1088</v>
      </c>
      <c r="F198" s="10"/>
      <c r="G198" s="61"/>
      <c r="H198" s="151" t="s">
        <v>1088</v>
      </c>
      <c r="I198" s="75" t="str">
        <f t="shared" si="14"/>
        <v/>
      </c>
      <c r="J198" s="72" t="str">
        <f t="shared" si="15"/>
        <v/>
      </c>
      <c r="K198" s="63" t="s">
        <v>1384</v>
      </c>
      <c r="L198" s="131" t="s">
        <v>1385</v>
      </c>
      <c r="M198" s="115" t="s">
        <v>1386</v>
      </c>
      <c r="N198" s="116"/>
      <c r="O198" s="116"/>
      <c r="P198" s="116"/>
      <c r="Q198" s="116"/>
      <c r="R198" s="116"/>
      <c r="S198" s="116"/>
      <c r="T198" s="116"/>
      <c r="U198" s="116"/>
      <c r="V198" s="116"/>
      <c r="W198" s="116"/>
      <c r="X198" s="116"/>
      <c r="Y198" s="116"/>
      <c r="Z198" s="116"/>
      <c r="AA198" s="116"/>
    </row>
    <row r="199" spans="1:27" ht="28.9">
      <c r="A199" s="26" t="str">
        <v>Otisville - Shoddy Hollow</v>
      </c>
      <c r="B199" s="27" t="str">
        <v>NY</v>
      </c>
      <c r="C199" s="25" t="str">
        <f>Sites[[#This Row],[SOL'#]]</f>
        <v>SOL-11185</v>
      </c>
      <c r="D199" s="74">
        <v>758134.8</v>
      </c>
      <c r="E199" s="14" t="s">
        <v>1088</v>
      </c>
      <c r="F199" s="14" t="str">
        <f>IF(AND(ISNUMBER(D199),ISNUMBER(E199)), D199-E199, "")</f>
        <v/>
      </c>
      <c r="G199" s="76" t="str">
        <f>IFERROR(F199/E199, "")</f>
        <v/>
      </c>
      <c r="H199" s="147" t="s">
        <v>1088</v>
      </c>
      <c r="I199" s="77" t="str">
        <f t="shared" si="14"/>
        <v/>
      </c>
      <c r="J199" s="76" t="str">
        <f t="shared" si="15"/>
        <v/>
      </c>
      <c r="K199" s="57" t="s">
        <v>1387</v>
      </c>
      <c r="L199" s="139" t="s">
        <v>1388</v>
      </c>
      <c r="M199" s="115" t="s">
        <v>1078</v>
      </c>
      <c r="N199" s="116"/>
      <c r="O199" s="116"/>
      <c r="P199" s="116"/>
      <c r="Q199" s="116"/>
      <c r="R199" s="116"/>
      <c r="S199" s="116"/>
      <c r="T199" s="116"/>
      <c r="U199" s="116"/>
      <c r="V199" s="116"/>
      <c r="W199" s="116"/>
      <c r="X199" s="116"/>
      <c r="Y199" s="116"/>
      <c r="Z199" s="116"/>
      <c r="AA199" s="116"/>
    </row>
    <row r="200" spans="1:27" ht="63.75" customHeight="1">
      <c r="A200" s="24" t="str">
        <v>Wellsville - Chenunda Creek</v>
      </c>
      <c r="B200" s="25" t="str">
        <v>NY</v>
      </c>
      <c r="C200" s="25" t="str">
        <f>Sites[[#This Row],[SOL'#]]</f>
        <v>SOL-11187</v>
      </c>
      <c r="D200" s="60">
        <v>395137</v>
      </c>
      <c r="E200" s="10" t="s">
        <v>1088</v>
      </c>
      <c r="F200" s="10"/>
      <c r="G200" s="61"/>
      <c r="H200" s="151" t="s">
        <v>1088</v>
      </c>
      <c r="I200" s="75" t="str">
        <f t="shared" si="14"/>
        <v/>
      </c>
      <c r="J200" s="72" t="str">
        <f t="shared" si="15"/>
        <v/>
      </c>
      <c r="K200" s="63" t="s">
        <v>1389</v>
      </c>
      <c r="L200" s="131" t="s">
        <v>1390</v>
      </c>
      <c r="M200" s="115" t="s">
        <v>1391</v>
      </c>
      <c r="N200" s="115" t="s">
        <v>1392</v>
      </c>
      <c r="O200" s="116"/>
      <c r="P200" s="116"/>
      <c r="Q200" s="116"/>
      <c r="R200" s="116"/>
      <c r="S200" s="116"/>
      <c r="T200" s="116"/>
      <c r="U200" s="116"/>
      <c r="V200" s="116"/>
      <c r="W200" s="116"/>
      <c r="X200" s="116"/>
      <c r="Y200" s="116"/>
      <c r="Z200" s="116"/>
      <c r="AA200" s="116"/>
    </row>
  </sheetData>
  <mergeCells count="4">
    <mergeCell ref="H1:J1"/>
    <mergeCell ref="A1:D1"/>
    <mergeCell ref="E1:G1"/>
    <mergeCell ref="A2:B2"/>
  </mergeCells>
  <phoneticPr fontId="40" type="noConversion"/>
  <conditionalFormatting sqref="G2 J2">
    <cfRule type="cellIs" dxfId="40" priority="15" stopIfTrue="1" operator="lessThanOrEqual">
      <formula>-0.1</formula>
    </cfRule>
    <cfRule type="expression" dxfId="39" priority="16">
      <formula>AND(ISNUMBER(G2), G2&gt;=0.1)</formula>
    </cfRule>
  </conditionalFormatting>
  <conditionalFormatting sqref="G4:G83 G90:G200">
    <cfRule type="cellIs" dxfId="38" priority="3" stopIfTrue="1" operator="lessThanOrEqual">
      <formula>-0.1</formula>
    </cfRule>
    <cfRule type="expression" dxfId="37" priority="4">
      <formula>AND(ISNUMBER(G4), G4&gt;=0.1)</formula>
    </cfRule>
  </conditionalFormatting>
  <conditionalFormatting sqref="J4:J200">
    <cfRule type="cellIs" dxfId="36" priority="1" stopIfTrue="1" operator="lessThanOrEqual">
      <formula>-0.1</formula>
    </cfRule>
    <cfRule type="expression" dxfId="35" priority="2">
      <formula>AND(ISNUMBER(J4), J4&gt;=0.1)</formula>
    </cfRule>
  </conditionalFormatting>
  <hyperlinks>
    <hyperlink ref="L5" r:id="rId1" display="https://us3.assetplanner.com/service_request?ID=101016" xr:uid="{8A8BD359-E96B-4D1A-8C39-37651BB78EB9}"/>
    <hyperlink ref="L6" r:id="rId2" display="https://us3.assetplanner.com/service_request?ID=100109" xr:uid="{A0A9FA92-9EF1-46C4-935C-BC56679BE398}"/>
    <hyperlink ref="L11" r:id="rId3" display="https://us3.assetplanner.com/service_request?ID=099666" xr:uid="{00AB1BCC-2739-4245-B28F-B1F8B1BEB066}"/>
    <hyperlink ref="L12" r:id="rId4" display="https://us3.assetplanner.com/service_request?ID=101037" xr:uid="{2601023A-1BEC-4886-97B1-B5E082AA5E72}"/>
    <hyperlink ref="L13" r:id="rId5" display="https://us3.assetplanner.com/service_request?ID=092555" xr:uid="{2D81BF5A-5413-4D67-B925-0B257730D27A}"/>
    <hyperlink ref="L14" r:id="rId6" display="https://us3.assetplanner.com/service_request?ID=092556" xr:uid="{FF6EACDF-F88E-4083-9EBE-8BA19773A294}"/>
    <hyperlink ref="L15" r:id="rId7" display="https://us3.assetplanner.com/service_request?ID=100160" xr:uid="{52686BC8-D7CB-4038-A8D7-0457E4E29912}"/>
    <hyperlink ref="L16" r:id="rId8" display="https://us3.assetplanner.com/service_request?ID=093028" xr:uid="{3E494C81-FE4D-49F4-BD3A-CECBFE9F2044}"/>
    <hyperlink ref="L17" r:id="rId9" display="https://us3.assetplanner.com/service_request?ID=101453" xr:uid="{3A294226-C9E0-48EE-8770-AA7E4165257B}"/>
    <hyperlink ref="L18" r:id="rId10" display="https://us3.assetplanner.com/service_request?ID=101130" xr:uid="{A63EC4B9-E224-4D98-8724-F4A6FD5DF6D3}"/>
    <hyperlink ref="L19" r:id="rId11" display="https://us3.assetplanner.com/service_request?ID=093047" xr:uid="{6EC291B2-304F-4D1C-B32B-1345C8DC4A6C}"/>
    <hyperlink ref="M19" r:id="rId12" display="https://us3.assetplanner.com/service_request?ID=101688" xr:uid="{009A84C2-8AD5-4FC1-AD41-F9D8C4DC2D5E}"/>
    <hyperlink ref="L20" r:id="rId13" display="https://us3.assetplanner.com/service_request?ID=101222" xr:uid="{23ADCE52-CA6E-41EA-A75D-45A83947DBB6}"/>
    <hyperlink ref="L22" r:id="rId14" display="https://us3.assetplanner.com/service_request?ID=093289" xr:uid="{4E7B79EA-868B-47F8-9351-3A58DA2293BD}"/>
    <hyperlink ref="L24" r:id="rId15" display="https://us3.assetplanner.com/service_request?ID=097569" xr:uid="{2B789D45-B01F-429A-B04E-C5ABF89D5B1D}"/>
    <hyperlink ref="L25" r:id="rId16" display="https://us3.assetplanner.com/service_request?ID=093291" xr:uid="{F8C16F4A-D5D1-494F-BAEC-E6C2462F6C71}"/>
    <hyperlink ref="L29" r:id="rId17" display="https://us3.assetplanner.com/service_request?ID=093633" xr:uid="{6CC04766-84EE-43F9-AF4A-C22D6222E3F9}"/>
    <hyperlink ref="L31" r:id="rId18" display="https://us3.assetplanner.com/service_request?ID=093294" xr:uid="{8A2DE366-EE52-4FEE-AC04-37BC385175BB}"/>
    <hyperlink ref="M31" r:id="rId19" display="https://us3.assetplanner.com/service_request?ID=098958" xr:uid="{60076131-B611-48EF-B44C-F74A9D2C1389}"/>
    <hyperlink ref="N31" r:id="rId20" display="https://us3.assetplanner.com/service_request?ID=086842" xr:uid="{406B2646-5CE3-4C0F-9135-DAFBF0D12C28}"/>
    <hyperlink ref="L37" r:id="rId21" display="https://us3.assetplanner.com/service_request?ID=101786" xr:uid="{7773A07A-57CD-4993-990A-0F42F23BE6A5}"/>
    <hyperlink ref="L38" r:id="rId22" display="https://us3.assetplanner.com/service_request?ID=101646" xr:uid="{75D8F3C2-B8DB-4469-AD22-867B0F701BE4}"/>
    <hyperlink ref="L40" r:id="rId23" display="https://us3.assetplanner.com/service_request?ID=101363" xr:uid="{C63E9E28-8699-4707-B3EF-EF2E417AB46F}"/>
    <hyperlink ref="L43" r:id="rId24" display="https://us3.assetplanner.com/service_request?ID=100476" xr:uid="{567B0581-4AA8-4442-892E-69D820834131}"/>
    <hyperlink ref="M43" r:id="rId25" display="https://us3.assetplanner.com/service_request?ID=101267" xr:uid="{2F79F746-BFB7-4E7F-86FF-DF4E62E9E834}"/>
    <hyperlink ref="L45" r:id="rId26" display="https://us3.assetplanner.com/service_request?ID=098981" xr:uid="{458F2900-22CA-42CB-8023-364ECCDF60E6}"/>
    <hyperlink ref="L55" r:id="rId27" display="https://us3.assetplanner.com/service_request?ID=088813" xr:uid="{278B1CEA-7275-43CE-93FB-35313DF5CA26}"/>
    <hyperlink ref="L57" r:id="rId28" display="https://us3.assetplanner.com/service_request?ID=093324" xr:uid="{5B689C14-D9F6-466C-BAB2-0AEBACC2E857}"/>
    <hyperlink ref="L58" r:id="rId29" display="https://us3.assetplanner.com/service_request?ID=099970" xr:uid="{0435229B-EACC-4927-9551-3C268283C682}"/>
    <hyperlink ref="M58" r:id="rId30" display="https://us3.assetplanner.com/service_request?ID=101290" xr:uid="{52BD2614-8804-4EE3-B947-961D3863CDFC}"/>
    <hyperlink ref="L59" r:id="rId31" display="https://us3.assetplanner.com/service_request?ID=100803" xr:uid="{7738AA48-FDBB-4F2F-B6DD-DDF49A0D38C4}"/>
    <hyperlink ref="M59" r:id="rId32" display="https://us3.assetplanner.com/service_request?ID=101356" xr:uid="{B70DCBC4-B82B-49AB-913F-4540D3486F03}"/>
    <hyperlink ref="L60" r:id="rId33" display="https://us3.assetplanner.com/service_request?ID=093326" xr:uid="{534E9D83-EE63-443B-AD8E-2F2CC792ECC9}"/>
    <hyperlink ref="L63" r:id="rId34" display="https://us3.assetplanner.com/service_request?ID=096294" xr:uid="{6E94727C-8F60-4714-ACA7-30D791D1C4C8}"/>
    <hyperlink ref="L64" r:id="rId35" display="https://us3.assetplanner.com/service_request?ID=095662" xr:uid="{7B38EAE2-2487-4A06-A0FF-05103A9C80AB}"/>
    <hyperlink ref="L73" r:id="rId36" display="https://us3.assetplanner.com/service_request?ID=101910" xr:uid="{56A11ABF-3DFE-4829-B4D7-6B87EE884D77}"/>
    <hyperlink ref="M73" r:id="rId37" display="https://us3.assetplanner.com/service_request?ID=101354" xr:uid="{061AC3EF-41AE-437E-B24F-465D7C9559A0}"/>
    <hyperlink ref="N73" r:id="rId38" display="https://us3.assetplanner.com/service_request?ID=100141" xr:uid="{C16A1603-2BEF-4FA5-B58D-4465EA2D5D7F}"/>
    <hyperlink ref="L75" r:id="rId39" display="https://us3.assetplanner.com/service_request?ID=101620" xr:uid="{7C1701D1-3EC1-4A3A-9F15-189DDAC2DE38}"/>
    <hyperlink ref="M75" r:id="rId40" display="https://us3.assetplanner.com/service_request?ID=098641" xr:uid="{D9B28777-1539-4C18-A0DE-5218DB8404B3}"/>
    <hyperlink ref="L76" r:id="rId41" display="https://us3.assetplanner.com/service_request?ID=101641" xr:uid="{927E4FA3-07FB-4D14-8CD9-154F00F99914}"/>
    <hyperlink ref="M76" r:id="rId42" display="https://us3.assetplanner.com/service_request?ID=100447" xr:uid="{CE21FF06-FDBB-4D4D-9811-F291A51A37C1}"/>
    <hyperlink ref="N76" r:id="rId43" display="https://us3.assetplanner.com/service_request?ID=098640" xr:uid="{4AFCB0B8-9600-4741-B293-21EEDB35C80B}"/>
    <hyperlink ref="L78" r:id="rId44" display="https://us3.assetplanner.com/service_request?ID=100623" xr:uid="{77711C60-1929-497A-8CBC-497FA58A1124}"/>
    <hyperlink ref="M78" r:id="rId45" display="https://us3.assetplanner.com/service_request?ID=099149" xr:uid="{9CED785C-8F51-4939-BB77-512D9DE81F86}"/>
    <hyperlink ref="N78" r:id="rId46" display="https://us3.assetplanner.com/service_request?ID=101482" xr:uid="{B4578398-C2D1-4D38-A8E5-CE56D9434B23}"/>
    <hyperlink ref="L80" r:id="rId47" display="https://us3.assetplanner.com/service_request?ID=099403" xr:uid="{7D3D9E79-3CC6-425F-9FBF-3BD6EAC63A07}"/>
    <hyperlink ref="L83" r:id="rId48" display="https://us3.assetplanner.com/service_request?ID=100629" xr:uid="{171CA2B4-B4FE-45ED-BB6A-4ACCF3DC68E3}"/>
    <hyperlink ref="M83" r:id="rId49" display="https://us3.assetplanner.com/service_request?ID=100190" xr:uid="{8B307F83-BC6A-4301-89C0-56B45106B198}"/>
    <hyperlink ref="N83" r:id="rId50" display="https://us3.assetplanner.com/service_request?ID=093024" xr:uid="{6F3DAF43-56B5-45DE-AC9B-29D63A1BE890}"/>
    <hyperlink ref="L84" r:id="rId51" display="https://us3.assetplanner.com/service_request?ID=100200" xr:uid="{3840B1DA-4370-4ECE-991C-E3C064B78C60}"/>
    <hyperlink ref="M84" r:id="rId52" display="https://us3.assetplanner.com/service_request?ID=098198" xr:uid="{A06EED58-F4A1-4CFE-9551-DAF6733B2A83}"/>
    <hyperlink ref="L85" r:id="rId53" display="https://us3.assetplanner.com/service_request?ID=098866" xr:uid="{CB8BB1C6-67CB-4287-A470-59317925CE61}"/>
    <hyperlink ref="L86" r:id="rId54" display="https://us3.assetplanner.com/service_request?ID=098998" xr:uid="{A27D94B8-C12E-4A8A-B504-8047AE4E06C3}"/>
    <hyperlink ref="L87" r:id="rId55" display="https://us3.assetplanner.com/service_request?ID=101929" xr:uid="{8AB757E3-5415-4632-B68F-B257B9DC5A27}"/>
    <hyperlink ref="L88" r:id="rId56" display="https://us3.assetplanner.com/service_request?ID=092964" xr:uid="{23C5EEB6-5D5C-4744-B8ED-5B87AFD65150}"/>
    <hyperlink ref="M88" r:id="rId57" display="https://us3.assetplanner.com/service_request?ID=098877" xr:uid="{C309FC4C-28CD-45E5-BDFD-7B2481A1154B}"/>
    <hyperlink ref="N88" r:id="rId58" display="https://us3.assetplanner.com/service_request?ID=095253" xr:uid="{0D3EEA9F-81CF-41A5-B03D-C64A5BD3F11B}"/>
    <hyperlink ref="L89" r:id="rId59" display="https://us3.assetplanner.com/service_request?ID=101625" xr:uid="{57036A39-6059-4EDB-A0F2-6AB73EE246D5}"/>
    <hyperlink ref="M89" r:id="rId60" display="https://us3.assetplanner.com/service_request?ID=101020" xr:uid="{5F88FA7A-7EA5-4403-B12D-179B5B326CD6}"/>
    <hyperlink ref="L90" r:id="rId61" display="https://us3.assetplanner.com/service_request?ID=100387" xr:uid="{DC73D2AD-0350-42F5-9713-79410566F2DE}"/>
    <hyperlink ref="M90" r:id="rId62" display="https://us3.assetplanner.com/service_request?ID=100721" xr:uid="{5DE19295-DBB6-4054-9AF2-CCB6E897A9F1}"/>
    <hyperlink ref="N90" r:id="rId63" display="https://us3.assetplanner.com/service_request?ID=100387" xr:uid="{0146222A-D350-4632-9852-C5BB279FBBCB}"/>
    <hyperlink ref="L91" r:id="rId64" display="https://us3.assetplanner.com/service_request?ID=100811" xr:uid="{9CBF7224-FE1A-4CCD-A69A-3AA7183981E7}"/>
    <hyperlink ref="M91" r:id="rId65" display="https://us3.assetplanner.com/service_request?ID=101403" xr:uid="{4A17B8C9-80EF-4981-B15A-93B2057F9BCC}"/>
    <hyperlink ref="N91" r:id="rId66" display="https://us3.assetplanner.com/service_request?ID=101938" xr:uid="{EFBEA9FF-C3B3-4567-82CB-34C2DDE6A9F2}"/>
    <hyperlink ref="O91" r:id="rId67" display="https://us3.assetplanner.com/service_request?ID=101263" xr:uid="{29DBB7DA-CF8E-4BC3-92FB-56CD4E1A3E5E}"/>
    <hyperlink ref="P91" r:id="rId68" display="https://us3.assetplanner.com/service_request?ID=101594" xr:uid="{1D0FFDCB-F7DB-4833-B669-1100714393FE}"/>
    <hyperlink ref="Q91" r:id="rId69" display="https://us3.assetplanner.com/service_request?ID=101938" xr:uid="{F53C3114-88D7-4AD3-8F7F-EE9220B66C8A}"/>
    <hyperlink ref="R91" r:id="rId70" display="https://us3.assetplanner.com/service_request?ID=101263" xr:uid="{96299BB9-5ACD-44F7-AA75-38CC5A83BF41}"/>
    <hyperlink ref="S91" r:id="rId71" display="https://us3.assetplanner.com/service_request?ID=101594" xr:uid="{0C0307F8-D858-46C7-85CD-A8D30FA67A53}"/>
    <hyperlink ref="T91" r:id="rId72" display="https://us3.assetplanner.com/service_request?ID=101938" xr:uid="{7385088D-9F47-43D8-8D15-AEE55E8F6036}"/>
    <hyperlink ref="U91" r:id="rId73" display="https://us3.assetplanner.com/service_request?ID=101263" xr:uid="{6A150FE9-1D04-4337-9788-88FBDBCAE1AE}"/>
    <hyperlink ref="V91" r:id="rId74" display="https://us3.assetplanner.com/service_request?ID=101938" xr:uid="{713BC7AE-F5A5-4B9E-9C27-1819C33EEB9D}"/>
    <hyperlink ref="W91" r:id="rId75" display="https://us3.assetplanner.com/service_request?ID=101912" xr:uid="{642E0960-9FB6-4FCB-AFA4-A58DD6DEDB62}"/>
    <hyperlink ref="X91" r:id="rId76" display="https://us3.assetplanner.com/service_request?ID=101938" xr:uid="{415842AA-EE08-4048-9103-250631096226}"/>
    <hyperlink ref="L94" r:id="rId77" display="https://us3.assetplanner.com/service_request?ID=099347" xr:uid="{9A0DE0A2-31CC-48BE-9D8E-D01F9434CB2C}"/>
    <hyperlink ref="M94" r:id="rId78" display="https://us3.assetplanner.com/service_request?ID=101820" xr:uid="{B635DFD0-A012-4D3C-A02C-F3350E26C3B9}"/>
    <hyperlink ref="L95" r:id="rId79" display="https://us3.assetplanner.com/service_request?ID=101160" xr:uid="{5390AB6C-6EDA-4B33-9E9D-009FF3C8A7A3}"/>
    <hyperlink ref="M95" r:id="rId80" display="https://us3.assetplanner.com/service_request?ID=101416" xr:uid="{1F97A802-C970-46BC-AA7A-A141B8653BEB}"/>
    <hyperlink ref="L96" r:id="rId81" display="https://us3.assetplanner.com/service_request?ID=100997" xr:uid="{C1FC788B-F1B4-4AC9-8802-8D5208196170}"/>
    <hyperlink ref="M96" r:id="rId82" display="https://us3.assetplanner.com/service_request?ID=100997" xr:uid="{67163DD7-92B4-4223-A51D-D349EEDC42F6}"/>
    <hyperlink ref="N96" r:id="rId83" display="https://us3.assetplanner.com/service_request?ID=101109" xr:uid="{A079CB86-EBE3-47B8-A96F-3DEF8BF29503}"/>
    <hyperlink ref="L97" r:id="rId84" display="https://us3.assetplanner.com/service_request?ID=101078" xr:uid="{DB4D825B-055B-40FE-BBE6-E03A99ACD4D5}"/>
    <hyperlink ref="M97" r:id="rId85" display="https://us3.assetplanner.com/service_request?ID=101078" xr:uid="{597FC586-C208-4C85-9297-0151EEDB35A3}"/>
    <hyperlink ref="N97" r:id="rId86" display="https://us3.assetplanner.com/service_request?ID=101652" xr:uid="{DB38BBA0-0B4C-4331-A792-A4AFBADB2DFB}"/>
    <hyperlink ref="L98" r:id="rId87" display="https://us3.assetplanner.com/service_request?ID=101079" xr:uid="{9BEBD040-C814-41E5-BF9B-0FE2AEA3E2DA}"/>
    <hyperlink ref="M98" r:id="rId88" display="https://us3.assetplanner.com/service_request?ID=101079" xr:uid="{7C34D164-92AE-4A00-9F03-F7DC8396D39C}"/>
    <hyperlink ref="L102" r:id="rId89" display="https://us3.assetplanner.com/service_request?ID=095109" xr:uid="{89B94946-3A19-4AA8-87E6-79D1F361108D}"/>
    <hyperlink ref="L105" r:id="rId90" display="https://us3.assetplanner.com/service_request?ID=101632" xr:uid="{2966428B-8ECA-4749-9B3D-B4400B9DBD62}"/>
    <hyperlink ref="L106" r:id="rId91" display="https://us3.assetplanner.com/service_request?ID=101091" xr:uid="{A4864F73-26D7-4DA3-926E-AF50BBCA1B8B}"/>
    <hyperlink ref="L107" r:id="rId92" display="https://us3.assetplanner.com/service_request?ID=101633" xr:uid="{91A7A85C-C4F8-4C9B-BA01-52E36576CF53}"/>
    <hyperlink ref="L109" r:id="rId93" display="https://us3.assetplanner.com/service_request?ID=099360" xr:uid="{DFC07389-536E-460D-9D24-44F5DBF29570}"/>
    <hyperlink ref="M109" r:id="rId94" display="https://us3.assetplanner.com/service_request?ID=101282" xr:uid="{FB7EAFC9-5ED2-43F5-A16E-DA13C65838AB}"/>
    <hyperlink ref="L110" r:id="rId95" display="https://us3.assetplanner.com/service_request?ID=100044" xr:uid="{5132D669-642F-4C43-BDDA-54B5B345AE26}"/>
    <hyperlink ref="M110" r:id="rId96" display="https://us3.assetplanner.com/service_request?ID=099140" xr:uid="{EA1EA43F-B6DE-4302-9517-8212705311BE}"/>
    <hyperlink ref="L111" r:id="rId97" display="https://us3.assetplanner.com/service_request?ID=099726" xr:uid="{931A2A90-C589-45B8-B2B6-871CDD4B2F3D}"/>
    <hyperlink ref="L112" r:id="rId98" display="https://us3.assetplanner.com/service_request?ID=095073" xr:uid="{981BAC29-A4B5-4763-A16C-6F80B9513323}"/>
    <hyperlink ref="L119" r:id="rId99" display="https://us3.assetplanner.com/service_request?ID=091182" xr:uid="{66F58BFA-3A8B-4157-BAAD-734882C75D57}"/>
    <hyperlink ref="L121" r:id="rId100" display="https://us3.assetplanner.com/service_request?ID=100771" xr:uid="{49A5762B-B17E-4E48-A78A-D65512674D71}"/>
    <hyperlink ref="M121" r:id="rId101" display="https://us3.assetplanner.com/service_request?ID=100622" xr:uid="{A739D158-F70F-456D-9232-EBC7CF822D3F}"/>
    <hyperlink ref="N121" r:id="rId102" display="https://us3.assetplanner.com/service_request?ID=095581" xr:uid="{0D9DBC37-601F-4F47-A825-F4A6BF6BADC5}"/>
    <hyperlink ref="O121" r:id="rId103" display="https://us3.assetplanner.com/service_request?ID=099162" xr:uid="{B312AAE1-DBE0-47D4-91E1-EC351141DA62}"/>
    <hyperlink ref="L125" r:id="rId104" display="https://us3.assetplanner.com/service_request?ID=100924" xr:uid="{5131E71D-2868-4DA8-8B6B-F566D153CAB7}"/>
    <hyperlink ref="M125" r:id="rId105" display="https://us3.assetplanner.com/service_request?ID=099268" xr:uid="{112CDDF3-6E2E-42B9-A0AB-CFA940F80E98}"/>
    <hyperlink ref="L126" r:id="rId106" display="https://us3.assetplanner.com/service_request?ID=101744" xr:uid="{B3013471-85A6-44A3-8CE5-A59EE202A9AF}"/>
    <hyperlink ref="M126" r:id="rId107" display="https://us3.assetplanner.com/service_request?ID=101102" xr:uid="{03B6A93D-3C4D-4D68-ADD3-E1D52E6F6682}"/>
    <hyperlink ref="N126" r:id="rId108" display="https://us3.assetplanner.com/service_request?ID=100464" xr:uid="{D6B61F7F-B6A7-46D2-AC1D-0895B1FA59C9}"/>
    <hyperlink ref="O126" r:id="rId109" display="https://us3.assetplanner.com/service_request?ID=098883" xr:uid="{274658BC-FEAC-4258-B856-AA9647511457}"/>
    <hyperlink ref="P126" r:id="rId110" display="https://us3.assetplanner.com/service_request?ID=098311" xr:uid="{17CC07B6-A66E-48B4-A331-3905472C692C}"/>
    <hyperlink ref="Q126" r:id="rId111" display="https://us3.assetplanner.com/service_request?ID=095649" xr:uid="{EFA57281-780C-486A-AD5C-E2B61E86D09C}"/>
    <hyperlink ref="L127" r:id="rId112" display="https://us3.assetplanner.com/service_request?ID=099423" xr:uid="{2511DE7F-4595-469A-8E2B-14FD08EA6C63}"/>
    <hyperlink ref="M127" r:id="rId113" display="https://us3.assetplanner.com/service_request?ID=101942" xr:uid="{373483F1-73BD-462F-950C-340F50AE3417}"/>
    <hyperlink ref="N127" r:id="rId114" display="https://us3.assetplanner.com/service_request?ID=102198" xr:uid="{469F1FCF-B8B9-4853-97C5-19A510184DB8}"/>
    <hyperlink ref="O127" r:id="rId115" display="https://us3.assetplanner.com/service_request?ID=088869" xr:uid="{D99CA901-6436-4E2F-A5B8-FF9A3C992EF5}"/>
    <hyperlink ref="P127" r:id="rId116" display="https://us3.assetplanner.com/service_request?ID=101035" xr:uid="{C1A20505-40A6-4A26-8D51-CE2D528EB9A3}"/>
    <hyperlink ref="Q127" r:id="rId117" display="https://us3.assetplanner.com/service_request?ID=101942" xr:uid="{2C98D53F-5516-46C8-9269-8DBCD4816F63}"/>
    <hyperlink ref="R127" r:id="rId118" display="https://us3.assetplanner.com/service_request?ID=101469" xr:uid="{48FAFC81-954C-4CAD-B4BB-31807402A4E4}"/>
    <hyperlink ref="S127" r:id="rId119" display="https://us3.assetplanner.com/service_request?ID=101942" xr:uid="{C91CD0CE-0CE4-4B01-9B4F-F26D03DC6E5E}"/>
    <hyperlink ref="T127" r:id="rId120" display="https://us3.assetplanner.com/service_request?ID=101997" xr:uid="{55772768-F208-452E-893F-4A0ED8E5037F}"/>
    <hyperlink ref="U127" r:id="rId121" display="https://us3.assetplanner.com/service_request?ID=092209" xr:uid="{697D4D7E-BEA0-4C68-BF46-396B765BA755}"/>
    <hyperlink ref="V127" r:id="rId122" display="https://us3.assetplanner.com/service_request?ID=101998" xr:uid="{461C9542-FCF6-4410-9CC3-7E57CF419660}"/>
    <hyperlink ref="W127" r:id="rId123" display="https://us3.assetplanner.com/service_request?ID=092751" xr:uid="{2122DBBA-77EE-4232-AC8B-E2EFE469DC13}"/>
    <hyperlink ref="X127" r:id="rId124" display="https://us3.assetplanner.com/service_request?ID=092255" xr:uid="{8AB2A798-F420-422F-9562-19DA8DE94B98}"/>
    <hyperlink ref="Y127" r:id="rId125" display="https://us3.assetplanner.com/service_request?ID=092095" xr:uid="{0FB0EE5E-6C00-4B57-AE58-036261D7209A}"/>
    <hyperlink ref="L128" r:id="rId126" display="https://us3.assetplanner.com/service_request?ID=095305" xr:uid="{2603A2FC-C619-4738-ACB0-4390B878F038}"/>
    <hyperlink ref="M128" r:id="rId127" display="https://us3.assetplanner.com/service_request?ID=101219" xr:uid="{6AAD4EE2-4E89-4D8C-BB7E-F9CB2274F828}"/>
    <hyperlink ref="L129" r:id="rId128" display="https://us3.assetplanner.com/service_request?ID=099583" xr:uid="{E10C627B-D6AE-4C13-B5EC-80EA372B8C95}"/>
    <hyperlink ref="M129" r:id="rId129" display="https://us3.assetplanner.com/service_request?ID=101010" xr:uid="{DB361E64-4E0E-409E-87F1-92C755E5FA39}"/>
    <hyperlink ref="L130" r:id="rId130" display="https://us3.assetplanner.com/service_request?ID=100958" xr:uid="{03879E1A-255B-40F9-8A5B-BC8B930FD537}"/>
    <hyperlink ref="M130" r:id="rId131" display="https://us3.assetplanner.com/service_request?ID=100985" xr:uid="{4D48C5F4-C2FB-4590-9DA7-D4ED2EFA7571}"/>
    <hyperlink ref="N130" r:id="rId132" display="https://us3.assetplanner.com/service_request?ID=101223" xr:uid="{0F7AA4DA-7AB6-4A73-BADE-236EE41D4222}"/>
    <hyperlink ref="L135" r:id="rId133" display="https://us3.assetplanner.com/service_request?ID=095531" xr:uid="{0BA9A999-1B4A-4890-99C9-F85925BA42E4}"/>
    <hyperlink ref="L137" r:id="rId134" display="https://us3.assetplanner.com/service_request?ID=101158" xr:uid="{CE583777-3238-4F4B-B530-9FD58AEEA6E7}"/>
    <hyperlink ref="L138" r:id="rId135" display="https://us3.assetplanner.com/service_request?ID=100042" xr:uid="{11F959D2-0867-44A0-9FA7-EA96DB4188D3}"/>
    <hyperlink ref="L139" r:id="rId136" display="https://us3.assetplanner.com/service_request?ID=101152" xr:uid="{784C6C26-CAE0-4045-AA0B-8932261B9883}"/>
    <hyperlink ref="L142" r:id="rId137" display="https://us3.assetplanner.com/service_request?ID=100032" xr:uid="{1A78EAD5-AE6A-4502-86AB-0740517006E8}"/>
    <hyperlink ref="M142" r:id="rId138" display="https://us3.assetplanner.com/service_request?ID=101327" xr:uid="{85387AEA-F154-4F11-A562-1EDE6406522C}"/>
    <hyperlink ref="N142" r:id="rId139" display="https://us3.assetplanner.com/service_request?ID=101956" xr:uid="{7C03C03B-3211-4594-95CE-A81403075103}"/>
    <hyperlink ref="L143" r:id="rId140" display="https://us3.assetplanner.com/service_request?ID=100101" xr:uid="{534E2893-50C3-4173-B36E-2CF71C62C5EB}"/>
    <hyperlink ref="L145" r:id="rId141" display="https://us3.assetplanner.com/service_request?ID=100509" xr:uid="{5C0CAC67-A5A4-4B22-B935-31D8EAE75FF7}"/>
    <hyperlink ref="M145" r:id="rId142" display="https://us3.assetplanner.com/service_request?ID=100448" xr:uid="{1CDC70A1-2FCE-46EB-A565-170FAB8DED95}"/>
    <hyperlink ref="N145" r:id="rId143" display="https://us3.assetplanner.com/service_request?ID=101460" xr:uid="{A52F1928-DE70-4867-91A1-F996B8CCB267}"/>
    <hyperlink ref="O145" r:id="rId144" display="https://us3.assetplanner.com/service_request?ID=101476" xr:uid="{1605AE78-15B6-4C6B-B8F6-28E8E4B21687}"/>
    <hyperlink ref="P145" r:id="rId145" display="https://us3.assetplanner.com/service_request?ID=101572" xr:uid="{8F0C10E2-9BB9-4A5A-A346-19CB99D2A203}"/>
    <hyperlink ref="Q145" r:id="rId146" display="https://us3.assetplanner.com/service_request?ID=101848" xr:uid="{E1DDC625-73CB-412B-A107-9AC71CFB7067}"/>
    <hyperlink ref="R145" r:id="rId147" display="https://us3.assetplanner.com/service_request?ID=101225" xr:uid="{FB61C89D-899B-421B-8C7F-6227BE295272}"/>
    <hyperlink ref="S145" r:id="rId148" display="https://us3.assetplanner.com/service_request?ID=102056" xr:uid="{7CF9F1F6-2935-4C1B-92F6-7724FBD31C92}"/>
    <hyperlink ref="T145" r:id="rId149" display="https://us3.assetplanner.com/service_request?ID=101237" xr:uid="{3845B51C-CD92-47BC-8A67-3E7004329A9D}"/>
    <hyperlink ref="L146" r:id="rId150" display="https://us3.assetplanner.com/service_request?ID=101915" xr:uid="{C380ECFA-4877-4A47-A538-62E99AD72020}"/>
    <hyperlink ref="L148" r:id="rId151" display="https://us3.assetplanner.com/service_request?ID=095624" xr:uid="{475AB7BF-2CE5-480B-9A57-4D9138002134}"/>
    <hyperlink ref="M148" r:id="rId152" display="https://us3.assetplanner.com/service_request?ID=097725" xr:uid="{5D03F392-B7B7-4825-B59C-9CF06EDCA692}"/>
    <hyperlink ref="L149" r:id="rId153" display="https://us3.assetplanner.com/service_request?ID=101028" xr:uid="{152D2901-DB14-49B8-A167-36D80BB12751}"/>
    <hyperlink ref="M149" r:id="rId154" display="https://us3.assetplanner.com/service_request?ID=101305" xr:uid="{BA2B1067-D1DF-437D-94BB-D35FA597F5E2}"/>
    <hyperlink ref="N149" r:id="rId155" display="https://us3.assetplanner.com/service_request?ID=101878" xr:uid="{4C5A150F-6375-4723-8B2E-CCD8FEE6E177}"/>
    <hyperlink ref="L150" r:id="rId156" display="https://us3.assetplanner.com/service_request?ID=101011" xr:uid="{D087ECFE-2531-4D47-83D2-BED20700C58B}"/>
    <hyperlink ref="M150" r:id="rId157" display="https://us3.assetplanner.com/service_request?ID=101314" xr:uid="{DB438673-6E24-4ED0-A794-7949AFD5D4F6}"/>
    <hyperlink ref="N150" r:id="rId158" display="https://us3.assetplanner.com/service_request?ID=101647" xr:uid="{59EB0160-047B-4BC7-AFEE-8BD41A6DCEF3}"/>
    <hyperlink ref="O150" r:id="rId159" display="https://us3.assetplanner.com/service_request?ID=101947" xr:uid="{6EB5B22F-1425-4E1C-B39B-C4A8137688DA}"/>
    <hyperlink ref="P150" r:id="rId160" display="https://us3.assetplanner.com/service_request?ID=102015" xr:uid="{E028FCDB-015F-49AB-AC38-30605D5A9EC3}"/>
    <hyperlink ref="L151" r:id="rId161" display="https://us3.assetplanner.com/service_request?ID=096006" xr:uid="{05590DCE-CA4F-494D-BEEA-0B9F69FA4ED8}"/>
    <hyperlink ref="L152" r:id="rId162" display="https://us3.assetplanner.com/service_request?ID=101022" xr:uid="{2A8BA067-DB04-443F-B868-EF71B216959D}"/>
    <hyperlink ref="M152" r:id="rId163" display="https://us3.assetplanner.com/service_request?ID=101023" xr:uid="{30950C3F-7DC6-41A8-BE04-33F551194140}"/>
    <hyperlink ref="N152" r:id="rId164" display="https://us3.assetplanner.com/service_request?ID=101048" xr:uid="{F7D80916-0656-4A5F-BEA3-FCBC5FF8485C}"/>
    <hyperlink ref="O152" r:id="rId165" display="https://us3.assetplanner.com/service_request?ID=101642" xr:uid="{79A6071F-9A70-419C-BEDE-47A6F74C1F0B}"/>
    <hyperlink ref="P152" r:id="rId166" display="https://us3.assetplanner.com/service_request?ID=101845" xr:uid="{1A4028D1-40BF-4EAA-BF22-4B62C4B9C51F}"/>
    <hyperlink ref="Q152" r:id="rId167" display="https://us3.assetplanner.com/service_request?ID=101845" xr:uid="{08FBF46D-FB00-4CC6-BEC1-0165FBB89693}"/>
    <hyperlink ref="L153" r:id="rId168" display="https://us3.assetplanner.com/service_request?ID=098692" xr:uid="{156FF3DE-96CE-4824-8A5D-2B37958E48D3}"/>
    <hyperlink ref="L154" r:id="rId169" display="https://us3.assetplanner.com/service_request?ID=099686" xr:uid="{CA921C4E-5B2C-41A9-9203-0EF3E654E160}"/>
    <hyperlink ref="M154" r:id="rId170" display="https://us3.assetplanner.com/service_request?ID=094820" xr:uid="{207AFE78-DE21-4C64-B5FA-3FFAA5EB5B62}"/>
    <hyperlink ref="N154" r:id="rId171" display="https://us3.assetplanner.com/service_request?ID=101909" xr:uid="{75031053-EE6B-44D1-95B8-2A4E832ECDA6}"/>
    <hyperlink ref="O154" r:id="rId172" display="https://us3.assetplanner.com/service_request?ID=101931" xr:uid="{32546325-1A31-424C-98D0-B7F2F578E697}"/>
    <hyperlink ref="L155" r:id="rId173" display="https://us3.assetplanner.com/service_request?ID=098860" xr:uid="{D72A69F1-5D05-4975-B7BE-FA46ADEB4470}"/>
    <hyperlink ref="L156" r:id="rId174" display="https://us3.assetplanner.com/service_request?ID=09745" xr:uid="{C5E82399-1E8D-4BD9-9DDC-054B0C9CA290}"/>
    <hyperlink ref="M156" r:id="rId175" display="https://us3.assetplanner.com/service_request?ID=099118" xr:uid="{4F77ADCE-FFE1-4F66-A60F-2B9C742882BD}"/>
    <hyperlink ref="L158" r:id="rId176" display="https://us3.assetplanner.com/service_request?ID=101005" xr:uid="{F9DB079F-9922-41BB-8137-C800402FE236}"/>
    <hyperlink ref="M158" r:id="rId177" display="https://us3.assetplanner.com/service_request?ID=101164" xr:uid="{CC390BED-F70A-41DE-856F-158C0EA8D303}"/>
    <hyperlink ref="N158" r:id="rId178" display="https://us3.assetplanner.com/service_request?ID=101616" xr:uid="{0C640E7C-E600-44A8-B6CB-0C169B735406}"/>
    <hyperlink ref="O158" r:id="rId179" display="https://us3.assetplanner.com/service_request?ID=102212" xr:uid="{E7E53CA9-ED27-4F48-A02D-01286E0CC3D4}"/>
    <hyperlink ref="L159" r:id="rId180" display="https://us3.assetplanner.com/service_request?ID=102178" xr:uid="{75FA2020-A18B-4A00-90AA-9D5789AEC884}"/>
    <hyperlink ref="L165" r:id="rId181" display="https://us3.assetplanner.com/service_request?ID=098724" xr:uid="{EEB09210-15DD-4B44-AF94-DDCB0215B86D}"/>
    <hyperlink ref="M165" r:id="rId182" display="https://us3.assetplanner.com/service_request?ID=095945" xr:uid="{D73A4D34-4F91-4410-BA81-348A6A17A206}"/>
    <hyperlink ref="L166" r:id="rId183" display="https://us3.assetplanner.com/service_request?ID=095946" xr:uid="{6FF6FF07-69F5-432A-B4B6-16F58B5BB122}"/>
    <hyperlink ref="L171" r:id="rId184" display="https://us3.assetplanner.com/service_request?ID=099930" xr:uid="{07D2E77C-092B-48C0-977C-24F098C336DA}"/>
    <hyperlink ref="L172" r:id="rId185" display="https://us3.assetplanner.com/service_request?ID=101266" xr:uid="{9CC06750-E75E-4A8B-BBD2-216FCDAE30DA}"/>
    <hyperlink ref="L174" r:id="rId186" display="https://us3.assetplanner.com/service_request?ID=102229" xr:uid="{DE42D23A-3ECE-434F-BE82-B00890C9264A}"/>
    <hyperlink ref="L175" r:id="rId187" display="https://us3.assetplanner.com/service_request?ID=095956" xr:uid="{06592029-49C1-4CFB-A76E-AD8BB0BCD905}"/>
    <hyperlink ref="M175" r:id="rId188" display="https://us3.assetplanner.com/service_request?ID=099791" xr:uid="{EE76C46E-F513-44E3-A617-88FE1FC1A102}"/>
    <hyperlink ref="N175" r:id="rId189" display="https://us3.assetplanner.com/service_request?ID=099791" xr:uid="{8473493B-2546-4732-AB12-AA7C0325B73F}"/>
    <hyperlink ref="O175" r:id="rId190" display="https://us3.assetplanner.com/service_request?ID=099792" xr:uid="{D7638C0F-E325-434B-90E8-23C3FBC26CB0}"/>
    <hyperlink ref="P175" r:id="rId191" display="https://us3.assetplanner.com/service_request?ID=099793" xr:uid="{5702367B-FE24-48CE-A027-848A9A51EEC7}"/>
    <hyperlink ref="L180" r:id="rId192" display="https://us3.assetplanner.com/service_request?ID=100524" xr:uid="{7CDF1709-3675-4D3E-9BF9-0499061D3771}"/>
    <hyperlink ref="L181" r:id="rId193" display="https://us3.assetplanner.com/service_request?ID=100036" xr:uid="{02EE63BC-3F80-47B1-A7D8-50F172CE48D9}"/>
    <hyperlink ref="M181" r:id="rId194" display="https://us3.assetplanner.com/service_request?ID=101922" xr:uid="{F6B2F5E9-85D2-48FC-A113-036CA0C172E6}"/>
    <hyperlink ref="N181" r:id="rId195" display="https://us3.assetplanner.com/service_request?ID=101940" xr:uid="{E04F576F-1532-4BB1-9D60-D28CC48CACC8}"/>
    <hyperlink ref="L182" r:id="rId196" display="https://us3.assetplanner.com/service_request?ID=095941" xr:uid="{68EFC1B9-C6CE-46F3-B495-AA50EF0DBF88}"/>
    <hyperlink ref="M182" r:id="rId197" display="https://us3.assetplanner.com/service_request?ID=098490" xr:uid="{85B7037C-A6E5-4075-B8BF-B26AD71E6BCE}"/>
    <hyperlink ref="N182" r:id="rId198" display="https://us3.assetplanner.com/service_request?ID=099138" xr:uid="{9ED4995E-C97F-4E13-A09B-26DD13D25D07}"/>
    <hyperlink ref="O182" r:id="rId199" display="https://us3.assetplanner.com/service_request?ID=099857" xr:uid="{EB1AFB30-CF59-4224-A0A0-7BD1D6D0790D}"/>
    <hyperlink ref="P182" r:id="rId200" display="https://us3.assetplanner.com/service_request?ID=100587" xr:uid="{A093D6FC-BB69-451D-BE57-6E13A6F121FC}"/>
    <hyperlink ref="L186" r:id="rId201" display="https://us3.assetplanner.com/service_request?ID=100220" xr:uid="{EAD30455-3913-42EF-802C-BBB42F544941}"/>
    <hyperlink ref="L187" r:id="rId202" display="https://us3.assetplanner.com/service_request?ID=102012" xr:uid="{763131EB-843E-4645-B81D-938021B05E40}"/>
    <hyperlink ref="L188" r:id="rId203" display="https://us3.assetplanner.com/service_request?ID=098315" xr:uid="{B64326F9-8985-484C-AFA8-C4F024FB24D8}"/>
    <hyperlink ref="M188" r:id="rId204" display="https://us3.assetplanner.com/service_request?ID=101778" xr:uid="{754BB6D9-958E-49FB-B9E9-6E2FB550413C}"/>
    <hyperlink ref="N188" r:id="rId205" display="https://us3.assetplanner.com/service_request?ID=101328" xr:uid="{42D8BF5E-879A-4217-827C-182E5A8A826A}"/>
    <hyperlink ref="L189" r:id="rId206" display="https://us3.assetplanner.com/service_request?ID=096257" xr:uid="{81342986-5D8D-47CC-9326-CCCCD1EF911E}"/>
    <hyperlink ref="M189" r:id="rId207" display="https://us3.assetplanner.com/service_request?ID=099018" xr:uid="{068D37CF-E768-4AD9-B9AB-78FDA1CFA1B7}"/>
    <hyperlink ref="N189" r:id="rId208" display="https://us3.assetplanner.com/service_request?ID=099951" xr:uid="{C571AA9D-2440-4993-A45D-D573AA0318BB}"/>
    <hyperlink ref="L190" r:id="rId209" display="https://us3.assetplanner.com/service_request?ID=101588" xr:uid="{3DDC8AD3-2C86-40A3-97FF-5A06DB5C9442}"/>
    <hyperlink ref="L191" r:id="rId210" display="https://us3.assetplanner.com/service_request?ID=101645" xr:uid="{A778FDAE-EB97-4470-B1AB-5E3DD31DEAB7}"/>
    <hyperlink ref="M191" r:id="rId211" display="https://us3.assetplanner.com/service_request?ID=097816" xr:uid="{82EA2CB1-64CC-4F6E-B603-DE292C6A222C}"/>
    <hyperlink ref="N191" r:id="rId212" display="https://us3.assetplanner.com/service_request?ID=099947" xr:uid="{B95297CF-E7F7-4B9E-9C64-281CC30A7279}"/>
    <hyperlink ref="L192" r:id="rId213" display="https://us3.assetplanner.com/service_request?ID=101206" xr:uid="{0416FFD3-EA6C-4E4E-9F75-E758F72A0874}"/>
    <hyperlink ref="M192" r:id="rId214" display="https://us3.assetplanner.com/service_request?ID=100609" xr:uid="{E1753A08-D227-4404-8DFA-BE89F98B1A5B}"/>
    <hyperlink ref="L193" r:id="rId215" display="https://us3.assetplanner.com/service_request?ID=101685" xr:uid="{342A3081-3F38-49BD-A7A2-C8A590905E15}"/>
    <hyperlink ref="M193" r:id="rId216" display="https://us3.assetplanner.com/service_request?ID=101228" xr:uid="{33E2A208-267E-4CF6-9B02-A4417CFFC24D}"/>
    <hyperlink ref="L194" r:id="rId217" display="https://us3.assetplanner.com/service_request?ID=098278" xr:uid="{40227F87-ED8E-429E-99A6-7FB23E6739EA}"/>
    <hyperlink ref="M194" r:id="rId218" display="https://us3.assetplanner.com/service_request?ID=098670" xr:uid="{350B64E5-30C1-4D30-A9B8-29EEDE42222E}"/>
    <hyperlink ref="L195" r:id="rId219" display="https://us3.assetplanner.com/service_request?ID=101801" xr:uid="{ED4D55FE-71CB-4609-A389-7DDA20FA6832}"/>
    <hyperlink ref="M195" r:id="rId220" display="https://us3.assetplanner.com/service_request?ID=101819" xr:uid="{59E880B8-FCC2-4633-8D6D-6E57FF9DE712}"/>
    <hyperlink ref="L196" r:id="rId221" display="https://us3.assetplanner.com/service_request?ID=098066" xr:uid="{09862F65-DAB2-4152-B07B-C166CB953552}"/>
    <hyperlink ref="M196" r:id="rId222" display="https://us3.assetplanner.com/service_request?ID=099545" xr:uid="{F49728D1-B95A-4D9D-BB43-3490DD5DFBB2}"/>
    <hyperlink ref="L197" r:id="rId223" display="https://us3.assetplanner.com/service_request?ID=100701" xr:uid="{1C99A1D0-5A8B-488D-AC7C-8A5ACCC4167F}"/>
    <hyperlink ref="M197" r:id="rId224" display="https://us3.assetplanner.com/service_request?ID=102028" xr:uid="{FD976428-FD2E-432E-9A6F-034DDD160BAA}"/>
    <hyperlink ref="N197" r:id="rId225" display="https://us3.assetplanner.com/service_request?ID=099473" xr:uid="{00B340F8-1C87-4530-B2DF-E32C3C6C6542}"/>
    <hyperlink ref="L198" r:id="rId226" display="https://us3.assetplanner.com/service_request?ID=099014" xr:uid="{9F6DDA94-9868-4518-820B-01110E0A7D8C}"/>
    <hyperlink ref="M198" r:id="rId227" display="https://us3.assetplanner.com/service_request?ID=100026" xr:uid="{6E5962C4-22D7-4DF4-8ECC-7B80E304D169}"/>
    <hyperlink ref="L199" r:id="rId228" display="https://us3.assetplanner.com/service_request?ID=098693" xr:uid="{48C4B5E0-055C-4476-ABA1-0E29E2E825D3}"/>
    <hyperlink ref="M199" r:id="rId229" display="https://us3.assetplanner.com/service_request?ID=100729" xr:uid="{471A6602-A86D-4916-8ED7-814B8DB370F1}"/>
    <hyperlink ref="L200" r:id="rId230" display="https://us3.assetplanner.com/service_request?ID=100662" xr:uid="{5C8FE84A-4663-4474-802A-F27ED3E1B5C2}"/>
    <hyperlink ref="M200" r:id="rId231" display="https://us3.assetplanner.com/service_request?ID=101669" xr:uid="{56596459-B2B2-4A6F-800E-220AF18680B9}"/>
    <hyperlink ref="N200" r:id="rId232" display="https://us3.assetplanner.com/service_request?ID=101745" xr:uid="{8C83BB53-57F2-43D7-8591-2034F1FD805E}"/>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204"/>
  <sheetViews>
    <sheetView zoomScale="70" zoomScaleNormal="70" workbookViewId="0">
      <pane xSplit="2" ySplit="3" topLeftCell="G134" activePane="bottomRight" state="frozen"/>
      <selection pane="bottomRight" activeCell="A135" sqref="A135"/>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65" t="str" cm="1">
        <f t="array" ref="A1">portfolio</f>
        <v>Generate Capital</v>
      </c>
      <c r="B1" s="165"/>
      <c r="C1" s="165"/>
      <c r="D1" s="165"/>
      <c r="E1" s="166" t="s">
        <v>1393</v>
      </c>
      <c r="F1" s="166"/>
      <c r="G1" s="166"/>
      <c r="H1" s="164" t="s">
        <v>1394</v>
      </c>
      <c r="I1" s="164"/>
      <c r="J1" s="164"/>
      <c r="K1" s="4"/>
      <c r="L1" s="4"/>
    </row>
    <row r="2" spans="1:18" ht="19.5" customHeight="1">
      <c r="A2" s="167" t="s">
        <v>2</v>
      </c>
      <c r="B2" s="167"/>
      <c r="C2" s="65"/>
      <c r="D2" s="5">
        <f>SUM(D4:D200)</f>
        <v>43942455.145172134</v>
      </c>
      <c r="E2" s="5">
        <f>SUM(E4:E200)</f>
        <v>18706846.430000003</v>
      </c>
      <c r="F2" s="5">
        <f>D2-E2</f>
        <v>25235608.715172131</v>
      </c>
      <c r="G2" s="6">
        <f>IFERROR(F2/E2, 0)</f>
        <v>1.3490038959587549</v>
      </c>
      <c r="H2" s="5">
        <f>SUM(H4:H200)</f>
        <v>52035758.962000005</v>
      </c>
      <c r="I2" s="7">
        <f>D2-H2</f>
        <v>-8093303.8168278709</v>
      </c>
      <c r="J2" s="6">
        <f>IFERROR(I2/H2, 0)</f>
        <v>-0.1555335019277444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15.6">
      <c r="A4" s="28" t="str" cm="1">
        <f t="array" ref="A4:A200">Sites[Site]</f>
        <v>Farmer</v>
      </c>
      <c r="B4" s="25" t="str" cm="1">
        <f t="array" ref="B4:B200">Sites[State]</f>
        <v>AZ</v>
      </c>
      <c r="C4" s="25" t="str">
        <f>Sites[[#This Row],[SOL'#]]</f>
        <v>SOL-10748</v>
      </c>
      <c r="D4" s="20">
        <v>14132.6427358814</v>
      </c>
      <c r="E4" s="10">
        <v>9227.8169999999991</v>
      </c>
      <c r="F4" s="10">
        <f>IF(AND(ISNUMBER(D4),ISNUMBER(E4)), D4-E4, "")</f>
        <v>4904.8257358814008</v>
      </c>
      <c r="G4" s="11">
        <f>IFERROR(F4/E4, "")</f>
        <v>0.53152611672743411</v>
      </c>
      <c r="H4" s="12">
        <v>13622.29</v>
      </c>
      <c r="I4" s="12">
        <f>IF(AND(ISNUMBER(D4),ISNUMBER(H4)), D4-H4, "")</f>
        <v>510.35273588139898</v>
      </c>
      <c r="J4" s="13">
        <f>IFERROR(I4/H4, "")</f>
        <v>3.7464533193860866E-2</v>
      </c>
      <c r="K4" s="53"/>
      <c r="L4" s="53"/>
      <c r="M4" s="116"/>
      <c r="N4" s="116"/>
      <c r="O4" s="116"/>
      <c r="P4" s="116"/>
      <c r="Q4" s="116"/>
      <c r="R4" s="116"/>
    </row>
    <row r="5" spans="1:18" ht="43.15">
      <c r="A5" s="26" t="str">
        <v>Fulton</v>
      </c>
      <c r="B5" s="27" t="str">
        <v>AZ</v>
      </c>
      <c r="C5" s="9" t="str">
        <f>Sites[[#This Row],[SOL'#]]</f>
        <v>SOL-10749</v>
      </c>
      <c r="D5" s="9">
        <v>53820.5</v>
      </c>
      <c r="E5" s="14">
        <v>65784.53</v>
      </c>
      <c r="F5" s="14">
        <f t="shared" ref="F5:F68" si="0">IF(AND(ISNUMBER(D5),ISNUMBER(E5)), D5-E5, "")</f>
        <v>-11964.029999999999</v>
      </c>
      <c r="G5" s="15">
        <f>IFERROR(F5/E5, "")</f>
        <v>-0.18186692220800238</v>
      </c>
      <c r="H5" s="16">
        <v>74919.360000000001</v>
      </c>
      <c r="I5" s="16">
        <f t="shared" ref="I5:I17" si="1">IF(AND(ISNUMBER(D5),ISNUMBER(H5)), D5-H5, "")</f>
        <v>-21098.86</v>
      </c>
      <c r="J5" s="15">
        <f t="shared" ref="J5:J17" si="2">IFERROR(I5/H5, "")</f>
        <v>-0.28162093215959133</v>
      </c>
      <c r="K5" s="155" t="s">
        <v>1395</v>
      </c>
      <c r="L5" s="112" t="s">
        <v>1396</v>
      </c>
      <c r="M5" s="116"/>
      <c r="N5" s="116"/>
      <c r="O5" s="116"/>
      <c r="P5" s="116"/>
      <c r="Q5" s="116"/>
      <c r="R5" s="116"/>
    </row>
    <row r="6" spans="1:18" ht="28.9">
      <c r="A6" s="24" t="str">
        <v>JFK Elementary</v>
      </c>
      <c r="B6" s="25" t="str">
        <v>AZ</v>
      </c>
      <c r="C6" s="25" t="str">
        <f>Sites[[#This Row],[SOL'#]]</f>
        <v>SOL-10758</v>
      </c>
      <c r="D6" s="20">
        <v>20068.579619096399</v>
      </c>
      <c r="E6" s="10" t="s">
        <v>777</v>
      </c>
      <c r="F6" s="10" t="str">
        <f t="shared" si="0"/>
        <v/>
      </c>
      <c r="G6" s="11" t="str">
        <f t="shared" ref="G6:G69" si="3">IFERROR(F6/E6, "")</f>
        <v/>
      </c>
      <c r="H6" s="12">
        <v>18608</v>
      </c>
      <c r="I6" s="12">
        <f t="shared" si="1"/>
        <v>1460.5796190963993</v>
      </c>
      <c r="J6" s="13">
        <f t="shared" si="2"/>
        <v>7.8492025961758347E-2</v>
      </c>
      <c r="K6" s="53" t="s">
        <v>1397</v>
      </c>
      <c r="L6" s="111" t="s">
        <v>1398</v>
      </c>
      <c r="M6" s="116"/>
      <c r="N6" s="116"/>
      <c r="O6" s="116"/>
      <c r="P6" s="116"/>
      <c r="Q6" s="116"/>
      <c r="R6" s="116"/>
    </row>
    <row r="7" spans="1:18" ht="15.6">
      <c r="A7" s="26" t="str">
        <v>Noble</v>
      </c>
      <c r="B7" s="27" t="str">
        <v>AZ</v>
      </c>
      <c r="C7" s="9" t="str">
        <f>Sites[[#This Row],[SOL'#]]</f>
        <v>SOL-10750</v>
      </c>
      <c r="D7" s="9">
        <v>13096.5834160412</v>
      </c>
      <c r="E7" s="14">
        <v>15764.47</v>
      </c>
      <c r="F7" s="14">
        <f t="shared" si="0"/>
        <v>-2667.8865839587997</v>
      </c>
      <c r="G7" s="15">
        <f t="shared" si="3"/>
        <v>-0.16923414386647948</v>
      </c>
      <c r="H7" s="16">
        <v>15310.78</v>
      </c>
      <c r="I7" s="16">
        <f t="shared" si="1"/>
        <v>-2214.1965839588011</v>
      </c>
      <c r="J7" s="15">
        <f t="shared" si="2"/>
        <v>-0.14461683754575541</v>
      </c>
      <c r="K7" s="155" t="s">
        <v>1399</v>
      </c>
      <c r="L7" s="155"/>
      <c r="M7" s="116"/>
      <c r="N7" s="116"/>
      <c r="O7" s="116"/>
      <c r="P7" s="116"/>
      <c r="Q7" s="116"/>
      <c r="R7" s="116"/>
    </row>
    <row r="8" spans="1:18" ht="15.6">
      <c r="A8" s="24" t="str">
        <v>Parking 3</v>
      </c>
      <c r="B8" s="25" t="str">
        <v>AZ</v>
      </c>
      <c r="C8" s="25" t="str">
        <f>Sites[[#This Row],[SOL'#]]</f>
        <v>SOL-10751</v>
      </c>
      <c r="D8" s="20">
        <v>35421.762499999997</v>
      </c>
      <c r="E8" s="10">
        <v>37406.49</v>
      </c>
      <c r="F8" s="10">
        <f t="shared" si="0"/>
        <v>-1984.7275000000009</v>
      </c>
      <c r="G8" s="11">
        <f t="shared" si="3"/>
        <v>-5.3058373025643438E-2</v>
      </c>
      <c r="H8" s="12">
        <v>31444.080000000002</v>
      </c>
      <c r="I8" s="12">
        <f t="shared" si="1"/>
        <v>3977.6824999999953</v>
      </c>
      <c r="J8" s="13">
        <f t="shared" si="2"/>
        <v>0.12650020289987798</v>
      </c>
      <c r="K8" s="53"/>
      <c r="L8" s="53"/>
      <c r="M8" s="116"/>
      <c r="N8" s="116"/>
      <c r="O8" s="116"/>
      <c r="P8" s="116"/>
      <c r="Q8" s="116"/>
      <c r="R8" s="116"/>
    </row>
    <row r="9" spans="1:18" ht="15.6">
      <c r="A9" s="26" t="str">
        <v>PE East</v>
      </c>
      <c r="B9" s="27" t="str">
        <v>AZ</v>
      </c>
      <c r="C9" s="9" t="str">
        <f>Sites[[#This Row],[SOL'#]]</f>
        <v>SOL-10752</v>
      </c>
      <c r="D9" s="9">
        <v>31507.651278985901</v>
      </c>
      <c r="E9" s="14">
        <v>27547.01</v>
      </c>
      <c r="F9" s="14">
        <f t="shared" si="0"/>
        <v>3960.6412789859023</v>
      </c>
      <c r="G9" s="15">
        <f t="shared" si="3"/>
        <v>0.14377753806986321</v>
      </c>
      <c r="H9" s="16">
        <v>32063.42</v>
      </c>
      <c r="I9" s="16">
        <f t="shared" si="1"/>
        <v>-555.76872101409754</v>
      </c>
      <c r="J9" s="15">
        <f t="shared" si="2"/>
        <v>-1.7333419860205104E-2</v>
      </c>
      <c r="K9" s="155"/>
      <c r="L9" s="155"/>
      <c r="M9" s="116"/>
      <c r="N9" s="116"/>
      <c r="O9" s="116"/>
      <c r="P9" s="116"/>
      <c r="Q9" s="116"/>
      <c r="R9" s="116"/>
    </row>
    <row r="10" spans="1:18" ht="15.6">
      <c r="A10" s="24" t="str">
        <v>Schwada</v>
      </c>
      <c r="B10" s="25" t="str">
        <v>AZ</v>
      </c>
      <c r="C10" s="25" t="str">
        <f>Sites[[#This Row],[SOL'#]]</f>
        <v>SOL-10753</v>
      </c>
      <c r="D10" s="20">
        <v>14268.6138917221</v>
      </c>
      <c r="E10" s="10">
        <v>11341.32</v>
      </c>
      <c r="F10" s="10">
        <f t="shared" si="0"/>
        <v>2927.2938917220999</v>
      </c>
      <c r="G10" s="11">
        <f t="shared" si="3"/>
        <v>0.25810874675276774</v>
      </c>
      <c r="H10" s="12">
        <v>13911</v>
      </c>
      <c r="I10" s="12">
        <f t="shared" si="1"/>
        <v>357.61389172209965</v>
      </c>
      <c r="J10" s="13">
        <f t="shared" si="2"/>
        <v>2.570727422342748E-2</v>
      </c>
      <c r="K10" s="53"/>
      <c r="L10" s="53"/>
      <c r="M10" s="116"/>
      <c r="N10" s="116"/>
      <c r="O10" s="116"/>
      <c r="P10" s="116"/>
      <c r="Q10" s="116"/>
      <c r="R10" s="116"/>
    </row>
    <row r="11" spans="1:18" ht="43.15">
      <c r="A11" s="26" t="str">
        <v>Starshine</v>
      </c>
      <c r="B11" s="27" t="str">
        <v>AZ</v>
      </c>
      <c r="C11" s="9" t="str">
        <f>Sites[[#This Row],[SOL'#]]</f>
        <v>SOL-10757</v>
      </c>
      <c r="D11" s="9">
        <v>6785</v>
      </c>
      <c r="E11" s="14" t="s">
        <v>777</v>
      </c>
      <c r="F11" s="14" t="str">
        <f t="shared" si="0"/>
        <v/>
      </c>
      <c r="G11" s="15" t="str">
        <f t="shared" si="3"/>
        <v/>
      </c>
      <c r="H11" s="16">
        <v>12274</v>
      </c>
      <c r="I11" s="16">
        <f t="shared" si="1"/>
        <v>-5489</v>
      </c>
      <c r="J11" s="15">
        <f t="shared" si="2"/>
        <v>-0.44720547498777907</v>
      </c>
      <c r="K11" s="155" t="s">
        <v>1400</v>
      </c>
      <c r="L11" s="112" t="s">
        <v>785</v>
      </c>
      <c r="M11" s="116"/>
      <c r="N11" s="116"/>
      <c r="O11" s="116"/>
      <c r="P11" s="116"/>
      <c r="Q11" s="116"/>
      <c r="R11" s="116"/>
    </row>
    <row r="12" spans="1:18" ht="43.15">
      <c r="A12" s="24" t="str">
        <v>Yuma Airport</v>
      </c>
      <c r="B12" s="25" t="str">
        <v>AZ</v>
      </c>
      <c r="C12" s="25" t="str">
        <f>Sites[[#This Row],[SOL'#]]</f>
        <v>SOL-10754</v>
      </c>
      <c r="D12" s="20">
        <v>80640</v>
      </c>
      <c r="E12" s="10">
        <v>93456.9</v>
      </c>
      <c r="F12" s="10">
        <f t="shared" si="0"/>
        <v>-12816.899999999994</v>
      </c>
      <c r="G12" s="11">
        <f t="shared" si="3"/>
        <v>-0.13714236188018214</v>
      </c>
      <c r="H12" s="12">
        <v>75946</v>
      </c>
      <c r="I12" s="12">
        <f t="shared" si="1"/>
        <v>4694</v>
      </c>
      <c r="J12" s="13">
        <f t="shared" si="2"/>
        <v>6.1807073446922815E-2</v>
      </c>
      <c r="K12" s="53" t="s">
        <v>1401</v>
      </c>
      <c r="L12" s="111" t="s">
        <v>1402</v>
      </c>
      <c r="M12" s="116"/>
      <c r="N12" s="116"/>
      <c r="O12" s="116"/>
      <c r="P12" s="116"/>
      <c r="Q12" s="116"/>
      <c r="R12" s="116"/>
    </row>
    <row r="13" spans="1:18" ht="100.9">
      <c r="A13" s="26" t="str">
        <v>Kinsman</v>
      </c>
      <c r="B13" s="27" t="str">
        <v>OH</v>
      </c>
      <c r="C13" s="9" t="str">
        <f>Sites[[#This Row],[SOL'#]]</f>
        <v>SOL-10762</v>
      </c>
      <c r="D13" s="9">
        <v>87414.5546875</v>
      </c>
      <c r="E13" s="14">
        <v>127235.5</v>
      </c>
      <c r="F13" s="14">
        <f t="shared" si="0"/>
        <v>-39820.9453125</v>
      </c>
      <c r="G13" s="15">
        <f t="shared" si="3"/>
        <v>-0.31297039986874731</v>
      </c>
      <c r="H13" s="16">
        <v>134720</v>
      </c>
      <c r="I13" s="16">
        <f t="shared" si="1"/>
        <v>-47305.4453125</v>
      </c>
      <c r="J13" s="15">
        <f t="shared" si="2"/>
        <v>-0.35113899430299883</v>
      </c>
      <c r="K13" s="155" t="s">
        <v>1403</v>
      </c>
      <c r="L13" s="112" t="s">
        <v>1404</v>
      </c>
      <c r="M13" s="115" t="s">
        <v>1405</v>
      </c>
      <c r="N13" s="115" t="s">
        <v>1406</v>
      </c>
      <c r="O13" s="115" t="s">
        <v>1407</v>
      </c>
      <c r="P13" s="116"/>
      <c r="Q13" s="116"/>
      <c r="R13" s="116"/>
    </row>
    <row r="14" spans="1:18" ht="43.15">
      <c r="A14" s="24" t="str">
        <v>Wooster</v>
      </c>
      <c r="B14" s="25" t="str">
        <v>OH</v>
      </c>
      <c r="C14" s="25" t="str">
        <f>Sites[[#This Row],[SOL'#]]</f>
        <v>SOL-10763</v>
      </c>
      <c r="D14" s="20">
        <v>20999.5</v>
      </c>
      <c r="E14" s="10" t="s">
        <v>777</v>
      </c>
      <c r="F14" s="10" t="str">
        <f t="shared" si="0"/>
        <v/>
      </c>
      <c r="G14" s="11" t="str">
        <f t="shared" si="3"/>
        <v/>
      </c>
      <c r="H14" s="12">
        <v>32422</v>
      </c>
      <c r="I14" s="12">
        <f t="shared" si="1"/>
        <v>-11422.5</v>
      </c>
      <c r="J14" s="13">
        <f t="shared" si="2"/>
        <v>-0.3523070754426007</v>
      </c>
      <c r="K14" s="53" t="s">
        <v>1408</v>
      </c>
      <c r="L14" s="111" t="s">
        <v>1409</v>
      </c>
      <c r="M14" s="116"/>
      <c r="N14" s="116"/>
      <c r="O14" s="116"/>
      <c r="P14" s="116"/>
      <c r="Q14" s="116"/>
      <c r="R14" s="116"/>
    </row>
    <row r="15" spans="1:18" ht="15.6">
      <c r="A15" s="26" t="str">
        <v>Globe Gila CC</v>
      </c>
      <c r="B15" s="27" t="str">
        <v>AZ</v>
      </c>
      <c r="C15" s="9" t="str">
        <f>Sites[[#This Row],[SOL'#]]</f>
        <v>SOL-10755</v>
      </c>
      <c r="D15" s="9">
        <v>21670.773007376101</v>
      </c>
      <c r="E15" s="14" t="s">
        <v>777</v>
      </c>
      <c r="F15" s="14" t="str">
        <f t="shared" si="0"/>
        <v/>
      </c>
      <c r="G15" s="15" t="str">
        <f t="shared" si="3"/>
        <v/>
      </c>
      <c r="H15" s="16">
        <v>20459</v>
      </c>
      <c r="I15" s="16">
        <f t="shared" si="1"/>
        <v>1211.7730073761013</v>
      </c>
      <c r="J15" s="15">
        <f t="shared" si="2"/>
        <v>5.9229337082755816E-2</v>
      </c>
      <c r="K15" s="155"/>
      <c r="L15" s="155"/>
      <c r="M15" s="116"/>
      <c r="N15" s="116"/>
      <c r="O15" s="116"/>
      <c r="P15" s="116"/>
      <c r="Q15" s="116"/>
      <c r="R15" s="116"/>
    </row>
    <row r="16" spans="1:18" ht="28.9">
      <c r="A16" s="24" t="str">
        <v>Payson Gila CC</v>
      </c>
      <c r="B16" s="25" t="str">
        <v>AZ</v>
      </c>
      <c r="C16" s="25" t="str">
        <f>Sites[[#This Row],[SOL'#]]</f>
        <v>SOL-10756</v>
      </c>
      <c r="D16" s="20">
        <v>15106.5847300687</v>
      </c>
      <c r="E16" s="10">
        <v>7007.2449999999999</v>
      </c>
      <c r="F16" s="10">
        <f t="shared" si="0"/>
        <v>8099.3397300687002</v>
      </c>
      <c r="G16" s="11">
        <f t="shared" si="3"/>
        <v>1.1558522258132404</v>
      </c>
      <c r="H16" s="12">
        <v>16247</v>
      </c>
      <c r="I16" s="12">
        <f t="shared" si="1"/>
        <v>-1140.4152699312999</v>
      </c>
      <c r="J16" s="13">
        <f t="shared" si="2"/>
        <v>-7.0192359816046032E-2</v>
      </c>
      <c r="K16" s="53" t="s">
        <v>36</v>
      </c>
      <c r="L16" s="111" t="s">
        <v>275</v>
      </c>
      <c r="M16" s="116"/>
      <c r="N16" s="116"/>
      <c r="O16" s="116"/>
      <c r="P16" s="116"/>
      <c r="Q16" s="116"/>
      <c r="R16" s="116"/>
    </row>
    <row r="17" spans="1:18" ht="43.15">
      <c r="A17" s="26" t="str">
        <v>SCNM</v>
      </c>
      <c r="B17" s="27" t="str">
        <v>AZ</v>
      </c>
      <c r="C17" s="9" t="str">
        <f>Sites[[#This Row],[SOL'#]]</f>
        <v>SOL-10760</v>
      </c>
      <c r="D17" s="9">
        <v>74855.5</v>
      </c>
      <c r="E17" s="14">
        <v>52704.99</v>
      </c>
      <c r="F17" s="14">
        <f t="shared" si="0"/>
        <v>22150.510000000002</v>
      </c>
      <c r="G17" s="15">
        <f t="shared" si="3"/>
        <v>0.42027348833573447</v>
      </c>
      <c r="H17" s="16">
        <v>97978</v>
      </c>
      <c r="I17" s="16">
        <f t="shared" si="1"/>
        <v>-23122.5</v>
      </c>
      <c r="J17" s="15">
        <f t="shared" si="2"/>
        <v>-0.23599685643715937</v>
      </c>
      <c r="K17" s="155" t="s">
        <v>1410</v>
      </c>
      <c r="L17" s="112" t="s">
        <v>1411</v>
      </c>
      <c r="M17" s="115" t="s">
        <v>1412</v>
      </c>
      <c r="N17" s="116"/>
      <c r="O17" s="116"/>
      <c r="P17" s="116"/>
      <c r="Q17" s="116"/>
      <c r="R17" s="116"/>
    </row>
    <row r="18" spans="1:18" ht="42.75" customHeight="1">
      <c r="A18" s="24" t="str">
        <v>Sequoia Charter School</v>
      </c>
      <c r="B18" s="25" t="str">
        <v>AZ</v>
      </c>
      <c r="C18" s="25" t="str">
        <f>Sites[[#This Row],[SOL'#]]</f>
        <v>SOL-10759</v>
      </c>
      <c r="D18" s="20">
        <v>35699.180000000102</v>
      </c>
      <c r="E18" s="10" t="s">
        <v>777</v>
      </c>
      <c r="F18" s="10" t="str">
        <f t="shared" si="0"/>
        <v/>
      </c>
      <c r="G18" s="11" t="str">
        <f t="shared" si="3"/>
        <v/>
      </c>
      <c r="H18" s="12">
        <v>54702</v>
      </c>
      <c r="I18" s="12">
        <f t="shared" ref="I18:I81" si="4">IF(AND(ISNUMBER(D18),ISNUMBER(H18)), D18-H18, "")</f>
        <v>-19002.819999999898</v>
      </c>
      <c r="J18" s="13">
        <f t="shared" ref="J18:J81" si="5">IFERROR(I18/H18, "")</f>
        <v>-0.34738802968812654</v>
      </c>
      <c r="K18" s="53" t="s">
        <v>1413</v>
      </c>
      <c r="L18" s="111" t="s">
        <v>1414</v>
      </c>
      <c r="M18" s="116"/>
      <c r="N18" s="116"/>
      <c r="O18" s="116"/>
      <c r="P18" s="116"/>
      <c r="Q18" s="116"/>
      <c r="R18" s="116"/>
    </row>
    <row r="19" spans="1:18" ht="28.9">
      <c r="A19" s="26" t="str">
        <v>RCAB</v>
      </c>
      <c r="B19" s="27" t="str">
        <v>MA</v>
      </c>
      <c r="C19" s="9" t="str">
        <f>Sites[[#This Row],[SOL'#]]</f>
        <v>SOL-10838</v>
      </c>
      <c r="D19" s="9">
        <v>139446.5</v>
      </c>
      <c r="E19" s="14">
        <v>170738</v>
      </c>
      <c r="F19" s="14">
        <f t="shared" si="0"/>
        <v>-31291.5</v>
      </c>
      <c r="G19" s="15">
        <f t="shared" si="3"/>
        <v>-0.18327203083086366</v>
      </c>
      <c r="H19" s="16">
        <v>137932.4</v>
      </c>
      <c r="I19" s="16">
        <f t="shared" si="4"/>
        <v>1514.1000000000058</v>
      </c>
      <c r="J19" s="15">
        <f t="shared" si="5"/>
        <v>1.097711632654841E-2</v>
      </c>
      <c r="K19" s="155" t="s">
        <v>1415</v>
      </c>
      <c r="L19" s="112" t="s">
        <v>796</v>
      </c>
      <c r="M19" s="116"/>
      <c r="N19" s="116"/>
      <c r="O19" s="116"/>
      <c r="P19" s="116"/>
      <c r="Q19" s="116"/>
      <c r="R19" s="116"/>
    </row>
    <row r="20" spans="1:18" ht="57.6">
      <c r="A20" s="24" t="str">
        <v>Spectro Coatings</v>
      </c>
      <c r="B20" s="25" t="str">
        <v>MA</v>
      </c>
      <c r="C20" s="25" t="str">
        <f>Sites[[#This Row],[SOL'#]]</f>
        <v>SOL-10074</v>
      </c>
      <c r="D20" s="20">
        <v>6573.5</v>
      </c>
      <c r="E20" s="10">
        <v>36552.29</v>
      </c>
      <c r="F20" s="10">
        <f t="shared" si="0"/>
        <v>-29978.79</v>
      </c>
      <c r="G20" s="11">
        <f t="shared" si="3"/>
        <v>-0.82016174636390771</v>
      </c>
      <c r="H20" s="12">
        <v>36387.01</v>
      </c>
      <c r="I20" s="12">
        <f t="shared" si="4"/>
        <v>-29813.510000000002</v>
      </c>
      <c r="J20" s="13">
        <f t="shared" si="5"/>
        <v>-0.81934487060079964</v>
      </c>
      <c r="K20" s="53" t="s">
        <v>1416</v>
      </c>
      <c r="L20" s="111" t="s">
        <v>1417</v>
      </c>
      <c r="M20" s="116"/>
      <c r="N20" s="116"/>
      <c r="O20" s="116"/>
      <c r="P20" s="116"/>
      <c r="Q20" s="116"/>
      <c r="R20" s="116"/>
    </row>
    <row r="21" spans="1:18" ht="86.45">
      <c r="A21" s="26" t="str">
        <v>K026</v>
      </c>
      <c r="B21" s="27" t="str">
        <v>NY</v>
      </c>
      <c r="C21" s="9" t="str">
        <f>Sites[[#This Row],[SOL'#]]</f>
        <v>SOL-10356</v>
      </c>
      <c r="D21" s="9">
        <v>19970.625</v>
      </c>
      <c r="E21" s="14">
        <v>37270.35</v>
      </c>
      <c r="F21" s="14">
        <f t="shared" si="0"/>
        <v>-17299.724999999999</v>
      </c>
      <c r="G21" s="15">
        <f t="shared" si="3"/>
        <v>-0.46416856831234476</v>
      </c>
      <c r="H21" s="16">
        <v>38094.400000000001</v>
      </c>
      <c r="I21" s="16">
        <f t="shared" si="4"/>
        <v>-18123.775000000001</v>
      </c>
      <c r="J21" s="15">
        <f t="shared" si="5"/>
        <v>-0.47575956046033013</v>
      </c>
      <c r="K21" s="155" t="s">
        <v>1418</v>
      </c>
      <c r="L21" s="112" t="s">
        <v>1419</v>
      </c>
      <c r="M21" s="115" t="s">
        <v>1420</v>
      </c>
      <c r="N21" s="115" t="s">
        <v>1421</v>
      </c>
      <c r="O21" s="116"/>
      <c r="P21" s="116"/>
      <c r="Q21" s="116"/>
      <c r="R21" s="116"/>
    </row>
    <row r="22" spans="1:18" ht="86.25" customHeight="1">
      <c r="A22" s="24" t="str">
        <v>K041</v>
      </c>
      <c r="B22" s="25" t="str">
        <v>NY</v>
      </c>
      <c r="C22" s="25" t="str">
        <f>Sites[[#This Row],[SOL'#]]</f>
        <v>SOL-10357</v>
      </c>
      <c r="D22" s="20">
        <v>26654.78125</v>
      </c>
      <c r="E22" s="10">
        <v>30754.17</v>
      </c>
      <c r="F22" s="10">
        <f t="shared" si="0"/>
        <v>-4099.3887499999983</v>
      </c>
      <c r="G22" s="11">
        <f t="shared" si="3"/>
        <v>-0.13329537913069994</v>
      </c>
      <c r="H22" s="12">
        <v>31695</v>
      </c>
      <c r="I22" s="12">
        <f t="shared" si="4"/>
        <v>-5040.21875</v>
      </c>
      <c r="J22" s="13">
        <f t="shared" si="5"/>
        <v>-0.15902251932481465</v>
      </c>
      <c r="K22" s="53" t="s">
        <v>1422</v>
      </c>
      <c r="L22" s="111" t="s">
        <v>1423</v>
      </c>
      <c r="M22" s="116"/>
      <c r="N22" s="116"/>
      <c r="O22" s="116"/>
      <c r="P22" s="116"/>
      <c r="Q22" s="116"/>
      <c r="R22" s="116"/>
    </row>
    <row r="23" spans="1:18" ht="64.5" customHeight="1">
      <c r="A23" s="26" t="str">
        <v>K043</v>
      </c>
      <c r="B23" s="27" t="str">
        <v>NY</v>
      </c>
      <c r="C23" s="9" t="str">
        <f>Sites[[#This Row],[SOL'#]]</f>
        <v>SOL-10358</v>
      </c>
      <c r="D23" s="9">
        <v>30931</v>
      </c>
      <c r="E23" s="14">
        <v>33675</v>
      </c>
      <c r="F23" s="14">
        <f t="shared" si="0"/>
        <v>-2744</v>
      </c>
      <c r="G23" s="15">
        <f t="shared" si="3"/>
        <v>-8.148478099480326E-2</v>
      </c>
      <c r="H23" s="16">
        <v>6951</v>
      </c>
      <c r="I23" s="16">
        <f t="shared" si="4"/>
        <v>23980</v>
      </c>
      <c r="J23" s="15">
        <f t="shared" si="5"/>
        <v>3.4498633290174077</v>
      </c>
      <c r="K23" s="155" t="s">
        <v>1424</v>
      </c>
      <c r="L23" s="112" t="s">
        <v>1425</v>
      </c>
      <c r="M23" s="116"/>
      <c r="N23" s="116"/>
      <c r="O23" s="116"/>
      <c r="P23" s="116"/>
      <c r="Q23" s="116"/>
      <c r="R23" s="116"/>
    </row>
    <row r="24" spans="1:18" ht="28.9">
      <c r="A24" s="24" t="str">
        <v>K058</v>
      </c>
      <c r="B24" s="25" t="str">
        <v>NY</v>
      </c>
      <c r="C24" s="25" t="str">
        <f>Sites[[#This Row],[SOL'#]]</f>
        <v>SOL-10360</v>
      </c>
      <c r="D24" s="20">
        <v>0</v>
      </c>
      <c r="E24" s="10">
        <v>0</v>
      </c>
      <c r="F24" s="10">
        <f t="shared" si="0"/>
        <v>0</v>
      </c>
      <c r="G24" s="11" t="str">
        <f t="shared" si="3"/>
        <v/>
      </c>
      <c r="H24" s="12">
        <v>28924</v>
      </c>
      <c r="I24" s="12">
        <f t="shared" si="4"/>
        <v>-28924</v>
      </c>
      <c r="J24" s="13">
        <f t="shared" si="5"/>
        <v>-1</v>
      </c>
      <c r="K24" s="53" t="s">
        <v>798</v>
      </c>
      <c r="L24" s="111" t="s">
        <v>1426</v>
      </c>
      <c r="M24" s="116"/>
      <c r="N24" s="116"/>
      <c r="O24" s="116"/>
      <c r="P24" s="116"/>
      <c r="Q24" s="116"/>
      <c r="R24" s="116"/>
    </row>
    <row r="25" spans="1:18" ht="15.6">
      <c r="A25" s="26" t="str">
        <v>K115</v>
      </c>
      <c r="B25" s="27" t="str">
        <v>NY</v>
      </c>
      <c r="C25" s="9" t="str">
        <f>Sites[[#This Row],[SOL'#]]</f>
        <v>SOL-10361</v>
      </c>
      <c r="D25" s="9">
        <v>5326.640625</v>
      </c>
      <c r="E25" s="14">
        <v>13256.49</v>
      </c>
      <c r="F25" s="14">
        <f t="shared" si="0"/>
        <v>-7929.8493749999998</v>
      </c>
      <c r="G25" s="15">
        <f t="shared" si="3"/>
        <v>-0.59818619974065534</v>
      </c>
      <c r="H25" s="16">
        <v>18308.64</v>
      </c>
      <c r="I25" s="16">
        <f t="shared" si="4"/>
        <v>-12981.999374999999</v>
      </c>
      <c r="J25" s="15">
        <f t="shared" si="5"/>
        <v>-0.70906410170280265</v>
      </c>
      <c r="K25" s="101" t="s">
        <v>48</v>
      </c>
      <c r="L25" s="114" t="s">
        <v>1427</v>
      </c>
      <c r="M25" s="116"/>
      <c r="N25" s="116"/>
      <c r="O25" s="116"/>
      <c r="P25" s="116"/>
      <c r="Q25" s="116"/>
      <c r="R25" s="116"/>
    </row>
    <row r="26" spans="1:18" ht="15.6">
      <c r="A26" s="24" t="str">
        <v>K152</v>
      </c>
      <c r="B26" s="25" t="str">
        <v>NY</v>
      </c>
      <c r="C26" s="25" t="str">
        <f>Sites[[#This Row],[SOL'#]]</f>
        <v>SOL-10362</v>
      </c>
      <c r="D26" s="20">
        <v>9851.25</v>
      </c>
      <c r="E26" s="10">
        <v>10260.33</v>
      </c>
      <c r="F26" s="10">
        <f t="shared" si="0"/>
        <v>-409.07999999999993</v>
      </c>
      <c r="G26" s="11">
        <f t="shared" si="3"/>
        <v>-3.9870062658803364E-2</v>
      </c>
      <c r="H26" s="12">
        <v>10940</v>
      </c>
      <c r="I26" s="12">
        <f t="shared" si="4"/>
        <v>-1088.75</v>
      </c>
      <c r="J26" s="13">
        <f t="shared" si="5"/>
        <v>-9.952010968921389E-2</v>
      </c>
      <c r="K26" s="53"/>
      <c r="L26" s="53"/>
      <c r="M26" s="116"/>
      <c r="N26" s="116"/>
      <c r="O26" s="116"/>
      <c r="P26" s="116"/>
      <c r="Q26" s="116"/>
      <c r="R26" s="116"/>
    </row>
    <row r="27" spans="1:18" ht="28.9">
      <c r="A27" s="26" t="str">
        <v>K166</v>
      </c>
      <c r="B27" s="27" t="str">
        <v>NY</v>
      </c>
      <c r="C27" s="9" t="str">
        <f>Sites[[#This Row],[SOL'#]]</f>
        <v>SOL-10363</v>
      </c>
      <c r="D27" s="9">
        <v>36140</v>
      </c>
      <c r="E27" s="14">
        <v>39102.92</v>
      </c>
      <c r="F27" s="14">
        <f t="shared" si="0"/>
        <v>-2962.9199999999983</v>
      </c>
      <c r="G27" s="15">
        <f t="shared" si="3"/>
        <v>-7.5772346413004413E-2</v>
      </c>
      <c r="H27" s="16">
        <v>40314.5</v>
      </c>
      <c r="I27" s="16">
        <f t="shared" si="4"/>
        <v>-4174.5</v>
      </c>
      <c r="J27" s="15">
        <f t="shared" si="5"/>
        <v>-0.10354835108955834</v>
      </c>
      <c r="K27" s="155" t="s">
        <v>1428</v>
      </c>
      <c r="L27" s="112" t="s">
        <v>1429</v>
      </c>
      <c r="M27" s="116"/>
      <c r="N27" s="116"/>
      <c r="O27" s="116"/>
      <c r="P27" s="116"/>
      <c r="Q27" s="116"/>
      <c r="R27" s="116"/>
    </row>
    <row r="28" spans="1:18" ht="15.6">
      <c r="A28" s="24" t="str">
        <v>K206</v>
      </c>
      <c r="B28" s="25" t="str">
        <v>NY</v>
      </c>
      <c r="C28" s="25" t="str">
        <f>Sites[[#This Row],[SOL'#]]</f>
        <v>SOL-10927</v>
      </c>
      <c r="D28" s="20">
        <v>21537.671875</v>
      </c>
      <c r="E28" s="10">
        <v>20572.7</v>
      </c>
      <c r="F28" s="10">
        <f t="shared" si="0"/>
        <v>964.97187499999927</v>
      </c>
      <c r="G28" s="11">
        <f t="shared" si="3"/>
        <v>4.6905456016954471E-2</v>
      </c>
      <c r="H28" s="12">
        <v>23702</v>
      </c>
      <c r="I28" s="12">
        <f t="shared" si="4"/>
        <v>-2164.328125</v>
      </c>
      <c r="J28" s="13">
        <f t="shared" si="5"/>
        <v>-9.1314155978398454E-2</v>
      </c>
      <c r="K28" s="53"/>
      <c r="L28" s="53"/>
      <c r="M28" s="116"/>
      <c r="N28" s="116"/>
      <c r="O28" s="116"/>
      <c r="P28" s="116"/>
      <c r="Q28" s="116"/>
      <c r="R28" s="116"/>
    </row>
    <row r="29" spans="1:18" ht="72">
      <c r="A29" s="26" t="str">
        <v>K251</v>
      </c>
      <c r="B29" s="27" t="str">
        <v>NY</v>
      </c>
      <c r="C29" s="9" t="str">
        <f>Sites[[#This Row],[SOL'#]]</f>
        <v>SOL-10365</v>
      </c>
      <c r="D29" s="9">
        <v>13051.4375</v>
      </c>
      <c r="E29" s="14">
        <v>0</v>
      </c>
      <c r="F29" s="14">
        <f t="shared" si="0"/>
        <v>13051.4375</v>
      </c>
      <c r="G29" s="15" t="str">
        <f t="shared" si="3"/>
        <v/>
      </c>
      <c r="H29" s="16">
        <v>25462.41</v>
      </c>
      <c r="I29" s="16">
        <f t="shared" si="4"/>
        <v>-12410.9725</v>
      </c>
      <c r="J29" s="15">
        <f t="shared" si="5"/>
        <v>-0.4874233232439506</v>
      </c>
      <c r="K29" s="155" t="s">
        <v>1430</v>
      </c>
      <c r="L29" s="112" t="s">
        <v>1431</v>
      </c>
      <c r="M29" s="115" t="s">
        <v>1432</v>
      </c>
      <c r="N29" s="115" t="s">
        <v>1433</v>
      </c>
      <c r="O29" s="116"/>
      <c r="P29" s="116"/>
      <c r="Q29" s="116"/>
      <c r="R29" s="116"/>
    </row>
    <row r="30" spans="1:18" ht="46.5" customHeight="1">
      <c r="A30" s="24" t="str">
        <v>K269</v>
      </c>
      <c r="B30" s="25" t="str">
        <v>NY</v>
      </c>
      <c r="C30" s="25" t="str">
        <f>Sites[[#This Row],[SOL'#]]</f>
        <v>SOL-10366</v>
      </c>
      <c r="D30" s="20">
        <v>21627.8125</v>
      </c>
      <c r="E30" s="10">
        <v>25278.65</v>
      </c>
      <c r="F30" s="10">
        <f t="shared" si="0"/>
        <v>-3650.8375000000015</v>
      </c>
      <c r="G30" s="11">
        <f t="shared" si="3"/>
        <v>-0.14442375285072587</v>
      </c>
      <c r="H30" s="12">
        <v>25051.98</v>
      </c>
      <c r="I30" s="12">
        <f t="shared" si="4"/>
        <v>-3424.1674999999996</v>
      </c>
      <c r="J30" s="13">
        <f t="shared" si="5"/>
        <v>-0.13668250972577814</v>
      </c>
      <c r="K30" s="53" t="s">
        <v>1434</v>
      </c>
      <c r="L30" s="53"/>
      <c r="M30" s="116"/>
      <c r="N30" s="116"/>
      <c r="O30" s="116"/>
      <c r="P30" s="116"/>
      <c r="Q30" s="116"/>
      <c r="R30" s="116"/>
    </row>
    <row r="31" spans="1:18" ht="43.15">
      <c r="A31" s="26" t="str">
        <v>K273</v>
      </c>
      <c r="B31" s="27" t="str">
        <v>NY</v>
      </c>
      <c r="C31" s="9" t="str">
        <f>Sites[[#This Row],[SOL'#]]</f>
        <v>SOL-10367</v>
      </c>
      <c r="D31" s="9">
        <v>20960.1875</v>
      </c>
      <c r="E31" s="14">
        <v>0</v>
      </c>
      <c r="F31" s="14">
        <f t="shared" si="0"/>
        <v>20960.1875</v>
      </c>
      <c r="G31" s="15" t="str">
        <f t="shared" si="3"/>
        <v/>
      </c>
      <c r="H31" s="16">
        <v>30934</v>
      </c>
      <c r="I31" s="16">
        <f t="shared" si="4"/>
        <v>-9973.8125</v>
      </c>
      <c r="J31" s="15">
        <f t="shared" si="5"/>
        <v>-0.32242233464796016</v>
      </c>
      <c r="K31" s="155" t="s">
        <v>1435</v>
      </c>
      <c r="L31" s="112" t="s">
        <v>1436</v>
      </c>
      <c r="M31" s="116"/>
      <c r="N31" s="116"/>
      <c r="O31" s="116"/>
      <c r="P31" s="116"/>
      <c r="Q31" s="116"/>
      <c r="R31" s="116"/>
    </row>
    <row r="32" spans="1:18" ht="28.9">
      <c r="A32" s="24" t="str">
        <v>K287</v>
      </c>
      <c r="B32" s="25" t="str">
        <v>NY</v>
      </c>
      <c r="C32" s="25" t="str">
        <f>Sites[[#This Row],[SOL'#]]</f>
        <v>SOL-10919</v>
      </c>
      <c r="D32" s="20">
        <v>18763.96875</v>
      </c>
      <c r="E32" s="10">
        <v>16103.01</v>
      </c>
      <c r="F32" s="10">
        <f t="shared" si="0"/>
        <v>2660.9587499999998</v>
      </c>
      <c r="G32" s="11">
        <f t="shared" si="3"/>
        <v>0.16524604716757921</v>
      </c>
      <c r="H32" s="12">
        <v>21718</v>
      </c>
      <c r="I32" s="12">
        <f t="shared" si="4"/>
        <v>-2954.03125</v>
      </c>
      <c r="J32" s="13">
        <f t="shared" si="5"/>
        <v>-0.13601764665254629</v>
      </c>
      <c r="K32" s="53" t="s">
        <v>1437</v>
      </c>
      <c r="L32" s="53"/>
      <c r="M32" s="116"/>
      <c r="N32" s="116"/>
      <c r="O32" s="116"/>
      <c r="P32" s="116"/>
      <c r="Q32" s="116"/>
      <c r="R32" s="116"/>
    </row>
    <row r="33" spans="1:18" ht="28.9">
      <c r="A33" s="26" t="str">
        <v>K298</v>
      </c>
      <c r="B33" s="27" t="str">
        <v>NY</v>
      </c>
      <c r="C33" s="9" t="str">
        <f>Sites[[#This Row],[SOL'#]]</f>
        <v>SOL-10368</v>
      </c>
      <c r="D33" s="9">
        <v>20591.34375</v>
      </c>
      <c r="E33" s="14">
        <v>21440.240000000002</v>
      </c>
      <c r="F33" s="14">
        <f t="shared" si="0"/>
        <v>-848.8962500000016</v>
      </c>
      <c r="G33" s="15">
        <f t="shared" si="3"/>
        <v>-3.9593598299272843E-2</v>
      </c>
      <c r="H33" s="16">
        <v>25175</v>
      </c>
      <c r="I33" s="16">
        <f t="shared" si="4"/>
        <v>-4583.65625</v>
      </c>
      <c r="J33" s="15">
        <f t="shared" si="5"/>
        <v>-0.18207174776564053</v>
      </c>
      <c r="K33" s="155" t="s">
        <v>1437</v>
      </c>
      <c r="L33" s="97"/>
      <c r="M33" s="116"/>
      <c r="N33" s="116"/>
      <c r="O33" s="116"/>
      <c r="P33" s="116"/>
      <c r="Q33" s="116"/>
      <c r="R33" s="116"/>
    </row>
    <row r="34" spans="1:18" ht="28.9">
      <c r="A34" s="24" t="str">
        <v>K335</v>
      </c>
      <c r="B34" s="25" t="str">
        <v>NY</v>
      </c>
      <c r="C34" s="25" t="str">
        <f>Sites[[#This Row],[SOL'#]]</f>
        <v>SOL-10370</v>
      </c>
      <c r="D34" s="20">
        <v>20569.9375</v>
      </c>
      <c r="E34" s="10">
        <v>24021.24</v>
      </c>
      <c r="F34" s="10">
        <f t="shared" si="0"/>
        <v>-3451.3025000000016</v>
      </c>
      <c r="G34" s="11">
        <f t="shared" si="3"/>
        <v>-0.14367711658515553</v>
      </c>
      <c r="H34" s="12">
        <v>25592</v>
      </c>
      <c r="I34" s="12">
        <f t="shared" si="4"/>
        <v>-5022.0625</v>
      </c>
      <c r="J34" s="13">
        <f t="shared" si="5"/>
        <v>-0.19623564004376368</v>
      </c>
      <c r="K34" s="53" t="s">
        <v>1438</v>
      </c>
      <c r="L34" s="111" t="s">
        <v>1439</v>
      </c>
      <c r="M34" s="116"/>
      <c r="N34" s="116"/>
      <c r="O34" s="116"/>
      <c r="P34" s="116"/>
      <c r="Q34" s="116"/>
      <c r="R34" s="116"/>
    </row>
    <row r="35" spans="1:18" ht="43.5" customHeight="1">
      <c r="A35" s="26" t="str">
        <v>K345</v>
      </c>
      <c r="B35" s="27" t="str">
        <v>NY</v>
      </c>
      <c r="C35" s="9" t="str">
        <f>Sites[[#This Row],[SOL'#]]</f>
        <v>SOL-10920</v>
      </c>
      <c r="D35" s="9">
        <v>24507.28125</v>
      </c>
      <c r="E35" s="14">
        <v>14335.24</v>
      </c>
      <c r="F35" s="14">
        <f t="shared" si="0"/>
        <v>10172.04125</v>
      </c>
      <c r="G35" s="15">
        <f t="shared" si="3"/>
        <v>0.70958290548327063</v>
      </c>
      <c r="H35" s="16">
        <v>29326</v>
      </c>
      <c r="I35" s="16">
        <f t="shared" si="4"/>
        <v>-4818.71875</v>
      </c>
      <c r="J35" s="15">
        <f t="shared" si="5"/>
        <v>-0.16431558173634317</v>
      </c>
      <c r="K35" s="155" t="s">
        <v>1440</v>
      </c>
      <c r="L35" s="112" t="s">
        <v>1441</v>
      </c>
      <c r="M35" s="116"/>
      <c r="N35" s="116"/>
      <c r="O35" s="116"/>
      <c r="P35" s="116"/>
      <c r="Q35" s="116"/>
      <c r="R35" s="116"/>
    </row>
    <row r="36" spans="1:18" ht="28.9">
      <c r="A36" s="24" t="str">
        <v>K445</v>
      </c>
      <c r="B36" s="25" t="str">
        <v>NY</v>
      </c>
      <c r="C36" s="25" t="str">
        <f>Sites[[#This Row],[SOL'#]]</f>
        <v>SOL-10373</v>
      </c>
      <c r="D36" s="20">
        <v>20602.40625</v>
      </c>
      <c r="E36" s="10">
        <v>22293.98</v>
      </c>
      <c r="F36" s="10">
        <f t="shared" si="0"/>
        <v>-1691.5737499999996</v>
      </c>
      <c r="G36" s="11">
        <f t="shared" si="3"/>
        <v>-7.5875808177813003E-2</v>
      </c>
      <c r="H36" s="12">
        <v>23683.37</v>
      </c>
      <c r="I36" s="12">
        <f t="shared" si="4"/>
        <v>-3080.963749999999</v>
      </c>
      <c r="J36" s="13">
        <f t="shared" si="5"/>
        <v>-0.13008975285189561</v>
      </c>
      <c r="K36" s="53" t="s">
        <v>1437</v>
      </c>
      <c r="L36" s="53"/>
      <c r="M36" s="116"/>
      <c r="N36" s="116"/>
      <c r="O36" s="116"/>
      <c r="P36" s="116"/>
      <c r="Q36" s="116"/>
      <c r="R36" s="116"/>
    </row>
    <row r="37" spans="1:18" ht="72">
      <c r="A37" s="26" t="str">
        <v>K495</v>
      </c>
      <c r="B37" s="27" t="str">
        <v>NY</v>
      </c>
      <c r="C37" s="9" t="str">
        <f>Sites[[#This Row],[SOL'#]]</f>
        <v>SOL-10374</v>
      </c>
      <c r="D37" s="9">
        <v>84354</v>
      </c>
      <c r="E37" s="14">
        <v>83864.09</v>
      </c>
      <c r="F37" s="14">
        <f t="shared" si="0"/>
        <v>489.91000000000349</v>
      </c>
      <c r="G37" s="15">
        <f t="shared" si="3"/>
        <v>5.8417136583727731E-3</v>
      </c>
      <c r="H37" s="16">
        <v>97327.32</v>
      </c>
      <c r="I37" s="16">
        <f t="shared" si="4"/>
        <v>-12973.320000000007</v>
      </c>
      <c r="J37" s="15">
        <f t="shared" si="5"/>
        <v>-0.13329576936876517</v>
      </c>
      <c r="K37" s="155" t="s">
        <v>1119</v>
      </c>
      <c r="L37" s="112" t="s">
        <v>1442</v>
      </c>
      <c r="M37" s="116"/>
      <c r="N37" s="116"/>
      <c r="O37" s="116"/>
      <c r="P37" s="116"/>
      <c r="Q37" s="116"/>
      <c r="R37" s="116"/>
    </row>
    <row r="38" spans="1:18" ht="28.9">
      <c r="A38" s="24" t="str">
        <v>M020</v>
      </c>
      <c r="B38" s="25" t="str">
        <v>NY</v>
      </c>
      <c r="C38" s="25" t="str">
        <f>Sites[[#This Row],[SOL'#]]</f>
        <v>SOL-10380</v>
      </c>
      <c r="D38" s="20">
        <v>22387.4375</v>
      </c>
      <c r="E38" s="10">
        <v>23071</v>
      </c>
      <c r="F38" s="10">
        <f t="shared" si="0"/>
        <v>-683.5625</v>
      </c>
      <c r="G38" s="11">
        <f t="shared" si="3"/>
        <v>-2.9628646352563823E-2</v>
      </c>
      <c r="H38" s="12">
        <v>27263</v>
      </c>
      <c r="I38" s="12">
        <f t="shared" si="4"/>
        <v>-4875.5625</v>
      </c>
      <c r="J38" s="13">
        <f t="shared" si="5"/>
        <v>-0.17883440927264058</v>
      </c>
      <c r="K38" s="53" t="s">
        <v>1437</v>
      </c>
      <c r="L38" s="53"/>
      <c r="M38" s="116"/>
      <c r="N38" s="116"/>
      <c r="O38" s="116"/>
      <c r="P38" s="116"/>
      <c r="Q38" s="116"/>
      <c r="R38" s="116"/>
    </row>
    <row r="39" spans="1:18" ht="28.9">
      <c r="A39" s="26" t="str">
        <v>M092</v>
      </c>
      <c r="B39" s="27" t="str">
        <v>NY</v>
      </c>
      <c r="C39" s="9" t="str">
        <f>Sites[[#This Row],[SOL'#]]</f>
        <v>SOL-10383</v>
      </c>
      <c r="D39" s="9">
        <v>22328.875</v>
      </c>
      <c r="E39" s="14">
        <v>23813.759999999998</v>
      </c>
      <c r="F39" s="14">
        <f t="shared" si="0"/>
        <v>-1484.8849999999984</v>
      </c>
      <c r="G39" s="15">
        <f t="shared" si="3"/>
        <v>-6.2354075962804636E-2</v>
      </c>
      <c r="H39" s="16">
        <v>26112.959999999999</v>
      </c>
      <c r="I39" s="16">
        <f t="shared" si="4"/>
        <v>-3784.0849999999991</v>
      </c>
      <c r="J39" s="15">
        <f t="shared" si="5"/>
        <v>-0.14491214324228274</v>
      </c>
      <c r="K39" s="155" t="s">
        <v>1437</v>
      </c>
      <c r="L39" s="97"/>
      <c r="M39" s="116"/>
      <c r="N39" s="116"/>
      <c r="O39" s="116"/>
      <c r="P39" s="116"/>
      <c r="Q39" s="116"/>
      <c r="R39" s="116"/>
    </row>
    <row r="40" spans="1:18" ht="28.9">
      <c r="A40" s="24" t="str">
        <v>M143</v>
      </c>
      <c r="B40" s="25" t="str">
        <v>NY</v>
      </c>
      <c r="C40" s="25" t="str">
        <f>Sites[[#This Row],[SOL'#]]</f>
        <v>SOL-10384</v>
      </c>
      <c r="D40" s="20">
        <v>24011.4375</v>
      </c>
      <c r="E40" s="10">
        <v>29585.279999999999</v>
      </c>
      <c r="F40" s="10">
        <f t="shared" si="0"/>
        <v>-5573.8424999999988</v>
      </c>
      <c r="G40" s="11">
        <f t="shared" si="3"/>
        <v>-0.18839918026802516</v>
      </c>
      <c r="H40" s="12">
        <v>28779.79</v>
      </c>
      <c r="I40" s="12">
        <f t="shared" si="4"/>
        <v>-4768.3525000000009</v>
      </c>
      <c r="J40" s="13">
        <f t="shared" si="5"/>
        <v>-0.16568406162796881</v>
      </c>
      <c r="K40" s="53" t="s">
        <v>1443</v>
      </c>
      <c r="L40" s="111" t="s">
        <v>1444</v>
      </c>
      <c r="M40" s="116"/>
      <c r="N40" s="116"/>
      <c r="O40" s="116"/>
      <c r="P40" s="116"/>
      <c r="Q40" s="116"/>
      <c r="R40" s="116"/>
    </row>
    <row r="41" spans="1:18" ht="28.9">
      <c r="A41" s="26" t="str">
        <v>M144</v>
      </c>
      <c r="B41" s="27" t="str">
        <v>NY</v>
      </c>
      <c r="C41" s="9" t="str">
        <f>Sites[[#This Row],[SOL'#]]</f>
        <v>SOL-10385</v>
      </c>
      <c r="D41" s="9">
        <v>36137.0625</v>
      </c>
      <c r="E41" s="14">
        <v>39456.57</v>
      </c>
      <c r="F41" s="14">
        <f t="shared" si="0"/>
        <v>-3319.5074999999997</v>
      </c>
      <c r="G41" s="15">
        <f t="shared" si="3"/>
        <v>-8.4130665691417167E-2</v>
      </c>
      <c r="H41" s="16">
        <v>47489.14</v>
      </c>
      <c r="I41" s="16">
        <f t="shared" si="4"/>
        <v>-11352.077499999999</v>
      </c>
      <c r="J41" s="15">
        <f t="shared" si="5"/>
        <v>-0.23904575867240382</v>
      </c>
      <c r="K41" s="155" t="s">
        <v>1437</v>
      </c>
      <c r="L41" s="155"/>
      <c r="M41" s="116"/>
      <c r="N41" s="116"/>
      <c r="O41" s="116"/>
      <c r="P41" s="116"/>
      <c r="Q41" s="116"/>
      <c r="R41" s="116"/>
    </row>
    <row r="42" spans="1:18" ht="28.9">
      <c r="A42" s="24" t="str">
        <v>M167</v>
      </c>
      <c r="B42" s="25" t="str">
        <v>NY</v>
      </c>
      <c r="C42" s="25" t="str">
        <f>Sites[[#This Row],[SOL'#]]</f>
        <v>SOL-10386</v>
      </c>
      <c r="D42" s="20">
        <v>28733.28125</v>
      </c>
      <c r="E42" s="10">
        <v>20908.97</v>
      </c>
      <c r="F42" s="10">
        <f t="shared" si="0"/>
        <v>7824.3112499999988</v>
      </c>
      <c r="G42" s="11">
        <f t="shared" si="3"/>
        <v>0.37420835411787373</v>
      </c>
      <c r="H42" s="12">
        <v>35467.9</v>
      </c>
      <c r="I42" s="12">
        <f t="shared" si="4"/>
        <v>-6734.6187500000015</v>
      </c>
      <c r="J42" s="13">
        <f t="shared" si="5"/>
        <v>-0.18987926406694508</v>
      </c>
      <c r="K42" s="53" t="s">
        <v>1437</v>
      </c>
      <c r="L42" s="53"/>
      <c r="M42" s="116"/>
      <c r="N42" s="116"/>
      <c r="O42" s="116"/>
      <c r="P42" s="116"/>
      <c r="Q42" s="116"/>
      <c r="R42" s="116"/>
    </row>
    <row r="43" spans="1:18" ht="28.9">
      <c r="A43" s="26" t="str">
        <v>M188</v>
      </c>
      <c r="B43" s="27" t="str">
        <v>NY</v>
      </c>
      <c r="C43" s="9" t="str">
        <f>Sites[[#This Row],[SOL'#]]</f>
        <v>SOL-10387</v>
      </c>
      <c r="D43" s="9">
        <v>19170.21875</v>
      </c>
      <c r="E43" s="14">
        <v>19623.05</v>
      </c>
      <c r="F43" s="14">
        <f t="shared" si="0"/>
        <v>-452.83124999999927</v>
      </c>
      <c r="G43" s="15">
        <f t="shared" si="3"/>
        <v>-2.307649677292772E-2</v>
      </c>
      <c r="H43" s="16">
        <v>23732.02</v>
      </c>
      <c r="I43" s="16">
        <f t="shared" si="4"/>
        <v>-4561.8012500000004</v>
      </c>
      <c r="J43" s="15">
        <f t="shared" si="5"/>
        <v>-0.19222136379456956</v>
      </c>
      <c r="K43" s="155" t="s">
        <v>1437</v>
      </c>
      <c r="L43" s="97"/>
      <c r="M43" s="116"/>
      <c r="N43" s="116"/>
      <c r="O43" s="116"/>
      <c r="P43" s="116"/>
      <c r="Q43" s="116"/>
      <c r="R43" s="116"/>
    </row>
    <row r="44" spans="1:18" ht="28.9">
      <c r="A44" s="24" t="str">
        <v>EMHC</v>
      </c>
      <c r="B44" s="25" t="str">
        <v>NY</v>
      </c>
      <c r="C44" s="25" t="str">
        <f>Sites[[#This Row],[SOL'#]]</f>
        <v>SOL-10351</v>
      </c>
      <c r="D44" s="20">
        <v>7915.9609375</v>
      </c>
      <c r="E44" s="10">
        <v>6589.2969999999996</v>
      </c>
      <c r="F44" s="10">
        <f t="shared" si="0"/>
        <v>1326.6639375000004</v>
      </c>
      <c r="G44" s="11">
        <f t="shared" si="3"/>
        <v>0.20133618768436154</v>
      </c>
      <c r="H44" s="12">
        <v>12239.52</v>
      </c>
      <c r="I44" s="12">
        <f t="shared" si="4"/>
        <v>-4323.5590625000004</v>
      </c>
      <c r="J44" s="13">
        <f t="shared" si="5"/>
        <v>-0.35324580232721547</v>
      </c>
      <c r="K44" s="53" t="s">
        <v>1437</v>
      </c>
      <c r="L44" s="53"/>
      <c r="M44" s="116"/>
      <c r="N44" s="116"/>
      <c r="O44" s="116"/>
      <c r="P44" s="116"/>
      <c r="Q44" s="116"/>
      <c r="R44" s="116"/>
    </row>
    <row r="45" spans="1:18" ht="57.6">
      <c r="A45" s="26" t="str">
        <v>Q008</v>
      </c>
      <c r="B45" s="27" t="str">
        <v>NY</v>
      </c>
      <c r="C45" s="9" t="str">
        <f>Sites[[#This Row],[SOL'#]]</f>
        <v>SOL-10397</v>
      </c>
      <c r="D45" s="9">
        <v>0</v>
      </c>
      <c r="E45" s="14">
        <v>0</v>
      </c>
      <c r="F45" s="14">
        <f t="shared" si="0"/>
        <v>0</v>
      </c>
      <c r="G45" s="15" t="str">
        <f t="shared" si="3"/>
        <v/>
      </c>
      <c r="H45" s="16">
        <v>35176</v>
      </c>
      <c r="I45" s="16">
        <f t="shared" si="4"/>
        <v>-35176</v>
      </c>
      <c r="J45" s="15">
        <f t="shared" si="5"/>
        <v>-1</v>
      </c>
      <c r="K45" s="155" t="s">
        <v>1445</v>
      </c>
      <c r="L45" s="112" t="s">
        <v>1446</v>
      </c>
      <c r="M45" s="116"/>
      <c r="N45" s="116"/>
      <c r="O45" s="116"/>
      <c r="P45" s="116"/>
      <c r="Q45" s="116"/>
      <c r="R45" s="116"/>
    </row>
    <row r="46" spans="1:18" ht="15.6">
      <c r="A46" s="24" t="str">
        <v>Q018</v>
      </c>
      <c r="B46" s="25" t="str">
        <v>NY</v>
      </c>
      <c r="C46" s="25" t="str">
        <f>Sites[[#This Row],[SOL'#]]</f>
        <v>SOL-10398</v>
      </c>
      <c r="D46" s="20">
        <v>19132.875</v>
      </c>
      <c r="E46" s="10">
        <v>20700.88</v>
      </c>
      <c r="F46" s="10">
        <f t="shared" si="0"/>
        <v>-1568.005000000001</v>
      </c>
      <c r="G46" s="11">
        <f t="shared" si="3"/>
        <v>-7.5745813704538215E-2</v>
      </c>
      <c r="H46" s="12">
        <v>19976.3</v>
      </c>
      <c r="I46" s="12">
        <f t="shared" si="4"/>
        <v>-843.42499999999927</v>
      </c>
      <c r="J46" s="13">
        <f t="shared" si="5"/>
        <v>-4.2221282219429987E-2</v>
      </c>
      <c r="K46" s="53" t="s">
        <v>1447</v>
      </c>
      <c r="L46" s="111" t="s">
        <v>1448</v>
      </c>
      <c r="M46" s="116"/>
      <c r="N46" s="116"/>
      <c r="O46" s="116"/>
      <c r="P46" s="116"/>
      <c r="Q46" s="116"/>
      <c r="R46" s="116"/>
    </row>
    <row r="47" spans="1:18" ht="15.6">
      <c r="A47" s="26" t="str">
        <v>Q021</v>
      </c>
      <c r="B47" s="27" t="str">
        <v>NY</v>
      </c>
      <c r="C47" s="9" t="str">
        <f>Sites[[#This Row],[SOL'#]]</f>
        <v>SOL-10399</v>
      </c>
      <c r="D47" s="9">
        <v>15640.0625</v>
      </c>
      <c r="E47" s="14">
        <v>15031.53</v>
      </c>
      <c r="F47" s="14">
        <f t="shared" si="0"/>
        <v>608.53249999999935</v>
      </c>
      <c r="G47" s="15">
        <f t="shared" si="3"/>
        <v>4.0483736519169991E-2</v>
      </c>
      <c r="H47" s="16">
        <v>16758.830000000002</v>
      </c>
      <c r="I47" s="16">
        <f t="shared" si="4"/>
        <v>-1118.7675000000017</v>
      </c>
      <c r="J47" s="15">
        <f t="shared" si="5"/>
        <v>-6.6756897707059601E-2</v>
      </c>
      <c r="K47" s="155"/>
      <c r="L47" s="97"/>
      <c r="M47" s="116"/>
      <c r="N47" s="116"/>
      <c r="O47" s="116"/>
      <c r="P47" s="116"/>
      <c r="Q47" s="116"/>
      <c r="R47" s="116"/>
    </row>
    <row r="48" spans="1:18" ht="15.6">
      <c r="A48" s="24" t="str">
        <v>Q025</v>
      </c>
      <c r="B48" s="25" t="str">
        <v>NY</v>
      </c>
      <c r="C48" s="25" t="str">
        <f>Sites[[#This Row],[SOL'#]]</f>
        <v>SOL-10400</v>
      </c>
      <c r="D48" s="20">
        <v>27194.3125</v>
      </c>
      <c r="E48" s="10">
        <v>26758.959999999999</v>
      </c>
      <c r="F48" s="10">
        <f t="shared" si="0"/>
        <v>435.35250000000087</v>
      </c>
      <c r="G48" s="11">
        <f t="shared" si="3"/>
        <v>1.626941032087947E-2</v>
      </c>
      <c r="H48" s="12">
        <v>15102</v>
      </c>
      <c r="I48" s="12">
        <f t="shared" si="4"/>
        <v>12092.3125</v>
      </c>
      <c r="J48" s="13">
        <f t="shared" si="5"/>
        <v>0.80070934313335984</v>
      </c>
      <c r="K48" s="53"/>
      <c r="L48" s="53"/>
      <c r="M48" s="116"/>
      <c r="N48" s="116"/>
      <c r="O48" s="116"/>
      <c r="P48" s="116"/>
      <c r="Q48" s="116"/>
      <c r="R48" s="116"/>
    </row>
    <row r="49" spans="1:18" ht="15.6">
      <c r="A49" s="26" t="str">
        <v>Q074</v>
      </c>
      <c r="B49" s="27" t="str">
        <v>NY</v>
      </c>
      <c r="C49" s="9" t="str">
        <f>Sites[[#This Row],[SOL'#]]</f>
        <v>SOL-10402</v>
      </c>
      <c r="D49" s="9">
        <v>17398.375</v>
      </c>
      <c r="E49" s="14">
        <v>17593.240000000002</v>
      </c>
      <c r="F49" s="14">
        <f t="shared" si="0"/>
        <v>-194.8650000000016</v>
      </c>
      <c r="G49" s="15">
        <f t="shared" si="3"/>
        <v>-1.1076129240549301E-2</v>
      </c>
      <c r="H49" s="16">
        <v>18971.07</v>
      </c>
      <c r="I49" s="16">
        <f t="shared" si="4"/>
        <v>-1572.6949999999997</v>
      </c>
      <c r="J49" s="15">
        <f t="shared" si="5"/>
        <v>-8.2899646672538754E-2</v>
      </c>
      <c r="K49" s="155"/>
      <c r="L49" s="97"/>
      <c r="M49" s="116"/>
      <c r="N49" s="116"/>
      <c r="O49" s="116"/>
      <c r="P49" s="116"/>
      <c r="Q49" s="116"/>
      <c r="R49" s="116"/>
    </row>
    <row r="50" spans="1:18" ht="15.6">
      <c r="A50" s="24" t="str">
        <v>Q115</v>
      </c>
      <c r="B50" s="25" t="str">
        <v>NY</v>
      </c>
      <c r="C50" s="25" t="str">
        <f>Sites[[#This Row],[SOL'#]]</f>
        <v>SOL-10872</v>
      </c>
      <c r="D50" s="20">
        <v>22855.1875</v>
      </c>
      <c r="E50" s="10">
        <v>24405.24</v>
      </c>
      <c r="F50" s="10">
        <f t="shared" si="0"/>
        <v>-1550.0525000000016</v>
      </c>
      <c r="G50" s="11">
        <f t="shared" si="3"/>
        <v>-6.3513102104302249E-2</v>
      </c>
      <c r="H50" s="12">
        <v>25038.25</v>
      </c>
      <c r="I50" s="12">
        <f t="shared" si="4"/>
        <v>-2183.0625</v>
      </c>
      <c r="J50" s="13">
        <f t="shared" si="5"/>
        <v>-8.7189100675965775E-2</v>
      </c>
      <c r="K50" s="53"/>
      <c r="L50" s="53"/>
      <c r="M50" s="116"/>
      <c r="N50" s="116"/>
      <c r="O50" s="116"/>
      <c r="P50" s="116"/>
      <c r="Q50" s="116"/>
      <c r="R50" s="116"/>
    </row>
    <row r="51" spans="1:18" ht="28.9">
      <c r="A51" s="26" t="str">
        <v>Q139</v>
      </c>
      <c r="B51" s="27" t="str">
        <v>NY</v>
      </c>
      <c r="C51" s="9" t="str">
        <f>Sites[[#This Row],[SOL'#]]</f>
        <v>SOL-10403</v>
      </c>
      <c r="D51" s="9">
        <v>13673.46875</v>
      </c>
      <c r="E51" s="14">
        <v>15136.32</v>
      </c>
      <c r="F51" s="14">
        <f t="shared" si="0"/>
        <v>-1462.8512499999997</v>
      </c>
      <c r="G51" s="15">
        <f t="shared" si="3"/>
        <v>-9.6645105943848952E-2</v>
      </c>
      <c r="H51" s="16">
        <v>16017</v>
      </c>
      <c r="I51" s="16">
        <f t="shared" si="4"/>
        <v>-2343.53125</v>
      </c>
      <c r="J51" s="15">
        <f t="shared" si="5"/>
        <v>-0.14631524317912217</v>
      </c>
      <c r="K51" s="155" t="s">
        <v>1437</v>
      </c>
      <c r="L51" s="97"/>
      <c r="M51" s="116"/>
      <c r="N51" s="116"/>
      <c r="O51" s="116"/>
      <c r="P51" s="116"/>
      <c r="Q51" s="116"/>
      <c r="R51" s="116"/>
    </row>
    <row r="52" spans="1:18" ht="15.6">
      <c r="A52" s="24" t="str">
        <v>Q157</v>
      </c>
      <c r="B52" s="25" t="str">
        <v>NY</v>
      </c>
      <c r="C52" s="25" t="str">
        <f>Sites[[#This Row],[SOL'#]]</f>
        <v>SOL-10404</v>
      </c>
      <c r="D52" s="20">
        <v>24393.5625</v>
      </c>
      <c r="E52" s="10">
        <v>25953.17</v>
      </c>
      <c r="F52" s="10">
        <f t="shared" si="0"/>
        <v>-1559.6074999999983</v>
      </c>
      <c r="G52" s="11">
        <f t="shared" si="3"/>
        <v>-6.0093140837901432E-2</v>
      </c>
      <c r="H52" s="12">
        <v>27305.78</v>
      </c>
      <c r="I52" s="12">
        <f t="shared" si="4"/>
        <v>-2912.2174999999988</v>
      </c>
      <c r="J52" s="13">
        <f t="shared" si="5"/>
        <v>-0.10665205315504625</v>
      </c>
      <c r="K52" s="53" t="s">
        <v>1449</v>
      </c>
      <c r="L52" s="111" t="s">
        <v>1450</v>
      </c>
      <c r="M52" s="116"/>
      <c r="N52" s="116"/>
      <c r="O52" s="116"/>
      <c r="P52" s="116"/>
      <c r="Q52" s="116"/>
      <c r="R52" s="116"/>
    </row>
    <row r="53" spans="1:18" ht="100.9">
      <c r="A53" s="26" t="str">
        <v>Q192</v>
      </c>
      <c r="B53" s="27" t="str">
        <v>NY</v>
      </c>
      <c r="C53" s="9" t="str">
        <f>Sites[[#This Row],[SOL'#]]</f>
        <v>SOL-10406</v>
      </c>
      <c r="D53" s="9">
        <v>37709.75</v>
      </c>
      <c r="E53" s="14">
        <v>41865.54</v>
      </c>
      <c r="F53" s="14">
        <f t="shared" si="0"/>
        <v>-4155.7900000000009</v>
      </c>
      <c r="G53" s="15">
        <f t="shared" si="3"/>
        <v>-9.9265171307954009E-2</v>
      </c>
      <c r="H53" s="16">
        <v>4113.07</v>
      </c>
      <c r="I53" s="16">
        <f t="shared" si="4"/>
        <v>33596.68</v>
      </c>
      <c r="J53" s="15">
        <f t="shared" si="5"/>
        <v>8.1682733335440449</v>
      </c>
      <c r="K53" s="155" t="s">
        <v>1451</v>
      </c>
      <c r="L53" s="155"/>
      <c r="M53" s="116"/>
      <c r="N53" s="116"/>
      <c r="O53" s="116"/>
      <c r="P53" s="116"/>
      <c r="Q53" s="116"/>
      <c r="R53" s="116"/>
    </row>
    <row r="54" spans="1:18" ht="28.9">
      <c r="A54" s="24" t="str">
        <v>Q210</v>
      </c>
      <c r="B54" s="25" t="str">
        <v>NY</v>
      </c>
      <c r="C54" s="25" t="str">
        <f>Sites[[#This Row],[SOL'#]]</f>
        <v>SOL-10407</v>
      </c>
      <c r="D54" s="20">
        <v>29576.625</v>
      </c>
      <c r="E54" s="10">
        <v>31213.15</v>
      </c>
      <c r="F54" s="10">
        <f t="shared" si="0"/>
        <v>-1636.5250000000015</v>
      </c>
      <c r="G54" s="11">
        <f t="shared" si="3"/>
        <v>-5.243062619440849E-2</v>
      </c>
      <c r="H54" s="12">
        <v>34306</v>
      </c>
      <c r="I54" s="12">
        <f t="shared" si="4"/>
        <v>-4729.375</v>
      </c>
      <c r="J54" s="13">
        <f t="shared" si="5"/>
        <v>-0.1378585378650965</v>
      </c>
      <c r="K54" s="53" t="s">
        <v>1452</v>
      </c>
      <c r="L54" s="111" t="s">
        <v>1453</v>
      </c>
      <c r="M54" s="116"/>
      <c r="N54" s="116"/>
      <c r="O54" s="116"/>
      <c r="P54" s="116"/>
      <c r="Q54" s="116"/>
      <c r="R54" s="116"/>
    </row>
    <row r="55" spans="1:18" ht="28.9">
      <c r="A55" s="26" t="str">
        <v>Q229</v>
      </c>
      <c r="B55" s="27" t="str">
        <v>NY</v>
      </c>
      <c r="C55" s="9" t="str">
        <f>Sites[[#This Row],[SOL'#]]</f>
        <v>SOL-10408</v>
      </c>
      <c r="D55" s="9">
        <v>13318.34375</v>
      </c>
      <c r="E55" s="14">
        <v>15154.58</v>
      </c>
      <c r="F55" s="14">
        <f t="shared" si="0"/>
        <v>-1836.2362499999999</v>
      </c>
      <c r="G55" s="15">
        <f t="shared" si="3"/>
        <v>-0.12116708282248666</v>
      </c>
      <c r="H55" s="16">
        <v>14832.6</v>
      </c>
      <c r="I55" s="16">
        <f t="shared" si="4"/>
        <v>-1514.2562500000004</v>
      </c>
      <c r="J55" s="15">
        <f t="shared" si="5"/>
        <v>-0.10208973814435772</v>
      </c>
      <c r="K55" s="155" t="s">
        <v>1136</v>
      </c>
      <c r="L55" s="112" t="s">
        <v>1454</v>
      </c>
      <c r="M55" s="116"/>
      <c r="N55" s="116"/>
      <c r="O55" s="116"/>
      <c r="P55" s="116"/>
      <c r="Q55" s="116"/>
      <c r="R55" s="116"/>
    </row>
    <row r="56" spans="1:18" ht="28.9">
      <c r="A56" s="24" t="str">
        <v>Q231</v>
      </c>
      <c r="B56" s="25" t="str">
        <v>NY</v>
      </c>
      <c r="C56" s="25" t="str">
        <f>Sites[[#This Row],[SOL'#]]</f>
        <v>SOL-10870</v>
      </c>
      <c r="D56" s="20">
        <v>50798</v>
      </c>
      <c r="E56" s="10">
        <v>52427.44</v>
      </c>
      <c r="F56" s="10">
        <f t="shared" si="0"/>
        <v>-1629.4400000000023</v>
      </c>
      <c r="G56" s="11">
        <f t="shared" si="3"/>
        <v>-3.1079907773486598E-2</v>
      </c>
      <c r="H56" s="12">
        <v>58879</v>
      </c>
      <c r="I56" s="12">
        <f t="shared" si="4"/>
        <v>-8081</v>
      </c>
      <c r="J56" s="13">
        <f t="shared" si="5"/>
        <v>-0.13724757553626929</v>
      </c>
      <c r="K56" s="53" t="s">
        <v>1437</v>
      </c>
      <c r="L56" s="53"/>
      <c r="M56" s="116"/>
      <c r="N56" s="116"/>
      <c r="O56" s="116"/>
      <c r="P56" s="116"/>
      <c r="Q56" s="116"/>
      <c r="R56" s="116"/>
    </row>
    <row r="57" spans="1:18" ht="28.9">
      <c r="A57" s="26" t="str">
        <v>Q405</v>
      </c>
      <c r="B57" s="27" t="str">
        <v>NY</v>
      </c>
      <c r="C57" s="9" t="str">
        <f>Sites[[#This Row],[SOL'#]]</f>
        <v>SOL-10409</v>
      </c>
      <c r="D57" s="9">
        <v>56298.75</v>
      </c>
      <c r="E57" s="14">
        <v>62728.45</v>
      </c>
      <c r="F57" s="14">
        <f t="shared" si="0"/>
        <v>-6429.6999999999971</v>
      </c>
      <c r="G57" s="15">
        <f t="shared" si="3"/>
        <v>-0.10250054002609657</v>
      </c>
      <c r="H57" s="16">
        <v>61347.86</v>
      </c>
      <c r="I57" s="16">
        <f t="shared" si="4"/>
        <v>-5049.1100000000006</v>
      </c>
      <c r="J57" s="15">
        <f t="shared" si="5"/>
        <v>-8.2302952376822933E-2</v>
      </c>
      <c r="K57" s="155" t="s">
        <v>1455</v>
      </c>
      <c r="L57" s="112" t="s">
        <v>830</v>
      </c>
      <c r="M57" s="116"/>
      <c r="N57" s="116"/>
      <c r="O57" s="116"/>
      <c r="P57" s="116"/>
      <c r="Q57" s="116"/>
      <c r="R57" s="116"/>
    </row>
    <row r="58" spans="1:18" ht="48" customHeight="1">
      <c r="A58" s="24" t="str">
        <v>Q435</v>
      </c>
      <c r="B58" s="25" t="str">
        <v>NY</v>
      </c>
      <c r="C58" s="25" t="str">
        <f>Sites[[#This Row],[SOL'#]]</f>
        <v>SOL-10923</v>
      </c>
      <c r="D58" s="20">
        <v>60990.437500000102</v>
      </c>
      <c r="E58" s="10">
        <v>61208.12</v>
      </c>
      <c r="F58" s="10">
        <f t="shared" si="0"/>
        <v>-217.68249999990076</v>
      </c>
      <c r="G58" s="11">
        <f t="shared" si="3"/>
        <v>-3.5564317283376902E-3</v>
      </c>
      <c r="H58" s="12">
        <v>83541</v>
      </c>
      <c r="I58" s="12">
        <f t="shared" si="4"/>
        <v>-22550.562499999898</v>
      </c>
      <c r="J58" s="13">
        <f t="shared" si="5"/>
        <v>-0.26993407428687588</v>
      </c>
      <c r="K58" s="53" t="s">
        <v>1456</v>
      </c>
      <c r="L58" s="111" t="s">
        <v>1457</v>
      </c>
      <c r="M58" s="116"/>
      <c r="N58" s="116"/>
      <c r="O58" s="116"/>
      <c r="P58" s="116"/>
      <c r="Q58" s="116"/>
      <c r="R58" s="116"/>
    </row>
    <row r="59" spans="1:18" ht="63" customHeight="1">
      <c r="A59" s="26" t="str">
        <v>Q485</v>
      </c>
      <c r="B59" s="27" t="str">
        <v>NY</v>
      </c>
      <c r="C59" s="9" t="str">
        <f>Sites[[#This Row],[SOL'#]]</f>
        <v>SOL-10869</v>
      </c>
      <c r="D59" s="9">
        <v>68410.75</v>
      </c>
      <c r="E59" s="14">
        <v>53323.040000000001</v>
      </c>
      <c r="F59" s="14">
        <f t="shared" si="0"/>
        <v>15087.71</v>
      </c>
      <c r="G59" s="15">
        <f t="shared" si="3"/>
        <v>0.28294917169013617</v>
      </c>
      <c r="H59" s="16">
        <v>79147.91</v>
      </c>
      <c r="I59" s="16">
        <f t="shared" si="4"/>
        <v>-10737.160000000003</v>
      </c>
      <c r="J59" s="15">
        <f t="shared" si="5"/>
        <v>-0.13565942549841181</v>
      </c>
      <c r="K59" s="155" t="s">
        <v>1458</v>
      </c>
      <c r="L59" s="112" t="s">
        <v>1459</v>
      </c>
      <c r="M59" s="116"/>
      <c r="N59" s="116"/>
      <c r="O59" s="116"/>
      <c r="P59" s="116"/>
      <c r="Q59" s="116"/>
      <c r="R59" s="116"/>
    </row>
    <row r="60" spans="1:18" ht="43.15">
      <c r="A60" s="24" t="str">
        <v>Q490</v>
      </c>
      <c r="B60" s="25" t="str">
        <v>NY</v>
      </c>
      <c r="C60" s="25" t="str">
        <f>Sites[[#This Row],[SOL'#]]</f>
        <v>SOL-10411</v>
      </c>
      <c r="D60" s="20">
        <v>48688.986250000104</v>
      </c>
      <c r="E60" s="10" t="s">
        <v>777</v>
      </c>
      <c r="F60" s="10" t="str">
        <f t="shared" si="0"/>
        <v/>
      </c>
      <c r="G60" s="11" t="str">
        <f t="shared" si="3"/>
        <v/>
      </c>
      <c r="H60" s="12">
        <v>53116.12</v>
      </c>
      <c r="I60" s="12">
        <f t="shared" si="4"/>
        <v>-4427.133749999899</v>
      </c>
      <c r="J60" s="13">
        <f t="shared" si="5"/>
        <v>-8.3348214252093322E-2</v>
      </c>
      <c r="K60" s="53" t="s">
        <v>1460</v>
      </c>
      <c r="L60" s="111" t="s">
        <v>292</v>
      </c>
      <c r="M60" s="116"/>
      <c r="N60" s="116"/>
      <c r="O60" s="116"/>
      <c r="P60" s="116"/>
      <c r="Q60" s="116"/>
      <c r="R60" s="116"/>
    </row>
    <row r="61" spans="1:18" ht="15.6">
      <c r="A61" s="26" t="str">
        <v>Q620</v>
      </c>
      <c r="B61" s="27" t="str">
        <v>NY</v>
      </c>
      <c r="C61" s="9" t="str">
        <f>Sites[[#This Row],[SOL'#]]</f>
        <v>SOL-10867</v>
      </c>
      <c r="D61" s="9">
        <v>74928.25</v>
      </c>
      <c r="E61" s="14">
        <v>75703.92</v>
      </c>
      <c r="F61" s="14">
        <f t="shared" si="0"/>
        <v>-775.66999999999825</v>
      </c>
      <c r="G61" s="15">
        <f t="shared" si="3"/>
        <v>-1.0246100862412386E-2</v>
      </c>
      <c r="H61" s="16">
        <v>83113.84</v>
      </c>
      <c r="I61" s="16">
        <f t="shared" si="4"/>
        <v>-8185.5899999999965</v>
      </c>
      <c r="J61" s="15">
        <f t="shared" si="5"/>
        <v>-9.8486485523951214E-2</v>
      </c>
      <c r="K61" s="155"/>
      <c r="L61" s="97"/>
      <c r="M61" s="116"/>
      <c r="N61" s="116"/>
      <c r="O61" s="116"/>
      <c r="P61" s="116"/>
      <c r="Q61" s="116"/>
      <c r="R61" s="116"/>
    </row>
    <row r="62" spans="1:18" ht="28.9">
      <c r="A62" s="24" t="str">
        <v>QMOA</v>
      </c>
      <c r="B62" s="25" t="str">
        <v>NY</v>
      </c>
      <c r="C62" s="25" t="str">
        <f>Sites[[#This Row],[SOL'#]]</f>
        <v>SOL-10415</v>
      </c>
      <c r="D62" s="20">
        <v>6248.7999999999902</v>
      </c>
      <c r="E62" s="10" t="s">
        <v>777</v>
      </c>
      <c r="F62" s="10" t="str">
        <f t="shared" si="0"/>
        <v/>
      </c>
      <c r="G62" s="11" t="str">
        <f t="shared" si="3"/>
        <v/>
      </c>
      <c r="H62" s="12">
        <v>7429.65</v>
      </c>
      <c r="I62" s="12">
        <f t="shared" si="4"/>
        <v>-1180.8500000000095</v>
      </c>
      <c r="J62" s="13">
        <f t="shared" si="5"/>
        <v>-0.15893750042061328</v>
      </c>
      <c r="K62" s="53" t="s">
        <v>1437</v>
      </c>
      <c r="L62" s="53"/>
      <c r="M62" s="116"/>
      <c r="N62" s="116"/>
      <c r="O62" s="116"/>
      <c r="P62" s="116"/>
      <c r="Q62" s="116"/>
      <c r="R62" s="116"/>
    </row>
    <row r="63" spans="1:18" ht="57.6">
      <c r="A63" s="26" t="str">
        <v>X024</v>
      </c>
      <c r="B63" s="27" t="str">
        <v>NY</v>
      </c>
      <c r="C63" s="9" t="str">
        <f>Sites[[#This Row],[SOL'#]]</f>
        <v>SOL-10419</v>
      </c>
      <c r="D63" s="9">
        <v>27652.53125</v>
      </c>
      <c r="E63" s="14">
        <v>28471.48</v>
      </c>
      <c r="F63" s="14">
        <f t="shared" si="0"/>
        <v>-818.94874999999956</v>
      </c>
      <c r="G63" s="15">
        <f t="shared" si="3"/>
        <v>-2.8763827872664138E-2</v>
      </c>
      <c r="H63" s="16">
        <v>28806</v>
      </c>
      <c r="I63" s="16">
        <f t="shared" si="4"/>
        <v>-1153.46875</v>
      </c>
      <c r="J63" s="15">
        <f t="shared" si="5"/>
        <v>-4.004265604387975E-2</v>
      </c>
      <c r="K63" s="155" t="s">
        <v>1461</v>
      </c>
      <c r="L63" s="112" t="s">
        <v>1462</v>
      </c>
      <c r="M63" s="116"/>
      <c r="N63" s="116"/>
      <c r="O63" s="116"/>
      <c r="P63" s="116"/>
      <c r="Q63" s="116"/>
      <c r="R63" s="116"/>
    </row>
    <row r="64" spans="1:18" ht="28.9">
      <c r="A64" s="24" t="str">
        <v>X026</v>
      </c>
      <c r="B64" s="25" t="str">
        <v>NY</v>
      </c>
      <c r="C64" s="25" t="str">
        <f>Sites[[#This Row],[SOL'#]]</f>
        <v>SOL-10420</v>
      </c>
      <c r="D64" s="20">
        <v>25041</v>
      </c>
      <c r="E64" s="10">
        <v>22800</v>
      </c>
      <c r="F64" s="10">
        <f t="shared" si="0"/>
        <v>2241</v>
      </c>
      <c r="G64" s="11">
        <f t="shared" si="3"/>
        <v>9.8289473684210524E-2</v>
      </c>
      <c r="H64" s="12">
        <v>38026</v>
      </c>
      <c r="I64" s="12">
        <f t="shared" si="4"/>
        <v>-12985</v>
      </c>
      <c r="J64" s="13">
        <f t="shared" si="5"/>
        <v>-0.34147688423710093</v>
      </c>
      <c r="K64" s="53" t="s">
        <v>1147</v>
      </c>
      <c r="L64" s="111" t="s">
        <v>841</v>
      </c>
      <c r="M64" s="116"/>
      <c r="N64" s="116"/>
      <c r="O64" s="116"/>
      <c r="P64" s="116"/>
      <c r="Q64" s="116"/>
      <c r="R64" s="116"/>
    </row>
    <row r="65" spans="1:18" ht="15.6">
      <c r="A65" s="26" t="str">
        <v>X090</v>
      </c>
      <c r="B65" s="27" t="str">
        <v>NY</v>
      </c>
      <c r="C65" s="9" t="str">
        <f>Sites[[#This Row],[SOL'#]]</f>
        <v>SOL-10925</v>
      </c>
      <c r="D65" s="9">
        <v>19835</v>
      </c>
      <c r="E65" s="14">
        <v>18734</v>
      </c>
      <c r="F65" s="14">
        <f t="shared" si="0"/>
        <v>1101</v>
      </c>
      <c r="G65" s="15">
        <f t="shared" si="3"/>
        <v>5.8770150528450943E-2</v>
      </c>
      <c r="H65" s="16">
        <v>23966</v>
      </c>
      <c r="I65" s="16">
        <f t="shared" si="4"/>
        <v>-4131</v>
      </c>
      <c r="J65" s="15">
        <f t="shared" si="5"/>
        <v>-0.17236918968538764</v>
      </c>
      <c r="K65" s="155" t="s">
        <v>1463</v>
      </c>
      <c r="L65" s="112" t="s">
        <v>1464</v>
      </c>
      <c r="M65" s="116"/>
      <c r="N65" s="116"/>
      <c r="O65" s="116"/>
      <c r="P65" s="116"/>
      <c r="Q65" s="116"/>
      <c r="R65" s="116"/>
    </row>
    <row r="66" spans="1:18" ht="28.9">
      <c r="A66" s="24" t="str">
        <v>X117</v>
      </c>
      <c r="B66" s="25" t="str">
        <v>NY</v>
      </c>
      <c r="C66" s="25" t="str">
        <f>Sites[[#This Row],[SOL'#]]</f>
        <v>SOL-10422</v>
      </c>
      <c r="D66" s="20">
        <v>17607</v>
      </c>
      <c r="E66" s="10">
        <v>19618</v>
      </c>
      <c r="F66" s="10">
        <f t="shared" si="0"/>
        <v>-2011</v>
      </c>
      <c r="G66" s="11">
        <f t="shared" si="3"/>
        <v>-0.10250790090733</v>
      </c>
      <c r="H66" s="12">
        <v>20473</v>
      </c>
      <c r="I66" s="12">
        <f t="shared" si="4"/>
        <v>-2866</v>
      </c>
      <c r="J66" s="13">
        <f t="shared" si="5"/>
        <v>-0.13998925413959851</v>
      </c>
      <c r="K66" s="53" t="s">
        <v>1465</v>
      </c>
      <c r="L66" s="111" t="s">
        <v>1466</v>
      </c>
      <c r="M66" s="116"/>
      <c r="N66" s="116"/>
      <c r="O66" s="116"/>
      <c r="P66" s="116"/>
      <c r="Q66" s="116"/>
      <c r="R66" s="116"/>
    </row>
    <row r="67" spans="1:18" ht="60" customHeight="1">
      <c r="A67" s="26" t="str">
        <v>X125</v>
      </c>
      <c r="B67" s="27" t="str">
        <v>NY</v>
      </c>
      <c r="C67" s="9" t="str">
        <f>Sites[[#This Row],[SOL'#]]</f>
        <v>SOL-10423</v>
      </c>
      <c r="D67" s="9">
        <v>32830</v>
      </c>
      <c r="E67" s="14">
        <v>33471</v>
      </c>
      <c r="F67" s="14">
        <f t="shared" si="0"/>
        <v>-641</v>
      </c>
      <c r="G67" s="15">
        <f t="shared" si="3"/>
        <v>-1.9150906755101432E-2</v>
      </c>
      <c r="H67" s="16">
        <v>36856.22</v>
      </c>
      <c r="I67" s="16">
        <f t="shared" si="4"/>
        <v>-4026.2200000000012</v>
      </c>
      <c r="J67" s="15">
        <f t="shared" si="5"/>
        <v>-0.10924126239750037</v>
      </c>
      <c r="K67" s="155" t="s">
        <v>1437</v>
      </c>
      <c r="L67" s="155"/>
      <c r="M67" s="116"/>
      <c r="N67" s="116"/>
      <c r="O67" s="116"/>
      <c r="P67" s="116"/>
      <c r="Q67" s="116"/>
      <c r="R67" s="116"/>
    </row>
    <row r="68" spans="1:18" ht="28.9">
      <c r="A68" s="24" t="str">
        <v>X134</v>
      </c>
      <c r="B68" s="25" t="str">
        <v>NY</v>
      </c>
      <c r="C68" s="25" t="str">
        <f>Sites[[#This Row],[SOL'#]]</f>
        <v>SOL-10424</v>
      </c>
      <c r="D68" s="20">
        <v>31871</v>
      </c>
      <c r="E68" s="10">
        <v>32985</v>
      </c>
      <c r="F68" s="10">
        <f t="shared" si="0"/>
        <v>-1114</v>
      </c>
      <c r="G68" s="11">
        <f t="shared" si="3"/>
        <v>-3.3772927088070337E-2</v>
      </c>
      <c r="H68" s="12">
        <v>37077</v>
      </c>
      <c r="I68" s="12">
        <f t="shared" si="4"/>
        <v>-5206</v>
      </c>
      <c r="J68" s="13">
        <f t="shared" si="5"/>
        <v>-0.14041049707365752</v>
      </c>
      <c r="K68" s="53" t="s">
        <v>1437</v>
      </c>
      <c r="L68" s="53"/>
      <c r="M68" s="116"/>
      <c r="N68" s="116"/>
      <c r="O68" s="116"/>
      <c r="P68" s="116"/>
      <c r="Q68" s="116"/>
      <c r="R68" s="116"/>
    </row>
    <row r="69" spans="1:18" ht="28.9">
      <c r="A69" s="26" t="str">
        <v>X135</v>
      </c>
      <c r="B69" s="27" t="str">
        <v>NY</v>
      </c>
      <c r="C69" s="9" t="str">
        <f>Sites[[#This Row],[SOL'#]]</f>
        <v>SOL-10425</v>
      </c>
      <c r="D69" s="9">
        <v>26049</v>
      </c>
      <c r="E69" s="14">
        <v>30015</v>
      </c>
      <c r="F69" s="14">
        <f t="shared" ref="F69:F132" si="6">IF(AND(ISNUMBER(D69),ISNUMBER(E69)), D69-E69, "")</f>
        <v>-3966</v>
      </c>
      <c r="G69" s="15">
        <f t="shared" si="3"/>
        <v>-0.13213393303348325</v>
      </c>
      <c r="H69" s="16">
        <v>29467</v>
      </c>
      <c r="I69" s="16">
        <f t="shared" si="4"/>
        <v>-3418</v>
      </c>
      <c r="J69" s="15">
        <f t="shared" si="5"/>
        <v>-0.11599416296195744</v>
      </c>
      <c r="K69" s="155" t="s">
        <v>1437</v>
      </c>
      <c r="L69" s="97"/>
      <c r="M69" s="116"/>
      <c r="N69" s="116"/>
      <c r="O69" s="116"/>
      <c r="P69" s="116"/>
      <c r="Q69" s="116"/>
      <c r="R69" s="116"/>
    </row>
    <row r="70" spans="1:18" ht="15.6">
      <c r="A70" s="24" t="str">
        <v>X139 JHS 222</v>
      </c>
      <c r="B70" s="25" t="str">
        <v>NY</v>
      </c>
      <c r="C70" s="25" t="str">
        <f>Sites[[#This Row],[SOL'#]]</f>
        <v>SOL-10426</v>
      </c>
      <c r="D70" s="20">
        <v>39810</v>
      </c>
      <c r="E70" s="10">
        <v>42093</v>
      </c>
      <c r="F70" s="10">
        <f t="shared" si="6"/>
        <v>-2283</v>
      </c>
      <c r="G70" s="11">
        <f t="shared" ref="G70:G133" si="7">IFERROR(F70/E70, "")</f>
        <v>-5.4237046539804719E-2</v>
      </c>
      <c r="H70" s="12">
        <v>46791</v>
      </c>
      <c r="I70" s="12">
        <f t="shared" si="4"/>
        <v>-6981</v>
      </c>
      <c r="J70" s="13">
        <f t="shared" si="5"/>
        <v>-0.14919535808168238</v>
      </c>
      <c r="K70" s="53" t="s">
        <v>1467</v>
      </c>
      <c r="L70" s="111" t="s">
        <v>1468</v>
      </c>
      <c r="M70" s="116"/>
      <c r="N70" s="116"/>
      <c r="O70" s="116"/>
      <c r="P70" s="116"/>
      <c r="Q70" s="116"/>
      <c r="R70" s="116"/>
    </row>
    <row r="71" spans="1:18" ht="15.6">
      <c r="A71" s="26" t="str">
        <v>X140</v>
      </c>
      <c r="B71" s="27" t="str">
        <v>NY</v>
      </c>
      <c r="C71" s="9" t="str">
        <f>Sites[[#This Row],[SOL'#]]</f>
        <v>SOL-10926</v>
      </c>
      <c r="D71" s="9">
        <v>22680.78125</v>
      </c>
      <c r="E71" s="14">
        <v>18924.189999999999</v>
      </c>
      <c r="F71" s="14">
        <f t="shared" si="6"/>
        <v>3756.5912500000013</v>
      </c>
      <c r="G71" s="15">
        <f t="shared" si="7"/>
        <v>0.19850737336710325</v>
      </c>
      <c r="H71" s="16">
        <v>25042</v>
      </c>
      <c r="I71" s="16">
        <f t="shared" si="4"/>
        <v>-2361.21875</v>
      </c>
      <c r="J71" s="15">
        <f t="shared" si="5"/>
        <v>-9.4290342225061899E-2</v>
      </c>
      <c r="K71" s="155"/>
      <c r="L71" s="97"/>
      <c r="M71" s="116"/>
      <c r="N71" s="116"/>
      <c r="O71" s="116"/>
      <c r="P71" s="116"/>
      <c r="Q71" s="116"/>
      <c r="R71" s="116"/>
    </row>
    <row r="72" spans="1:18" ht="72">
      <c r="A72" s="24" t="str">
        <v>X166</v>
      </c>
      <c r="B72" s="25" t="str">
        <v>NY</v>
      </c>
      <c r="C72" s="25" t="str">
        <f>Sites[[#This Row],[SOL'#]]</f>
        <v>SOL-10427</v>
      </c>
      <c r="D72" s="20">
        <v>23196</v>
      </c>
      <c r="E72" s="10">
        <v>22514</v>
      </c>
      <c r="F72" s="10">
        <f t="shared" si="6"/>
        <v>682</v>
      </c>
      <c r="G72" s="11">
        <f t="shared" si="7"/>
        <v>3.0292262592164877E-2</v>
      </c>
      <c r="H72" s="12">
        <v>27533</v>
      </c>
      <c r="I72" s="12">
        <f t="shared" si="4"/>
        <v>-4337</v>
      </c>
      <c r="J72" s="13">
        <f t="shared" si="5"/>
        <v>-0.15752006682889624</v>
      </c>
      <c r="K72" s="120" t="s">
        <v>1469</v>
      </c>
      <c r="L72" s="53"/>
      <c r="M72" s="116"/>
      <c r="N72" s="116"/>
      <c r="O72" s="116"/>
      <c r="P72" s="116"/>
      <c r="Q72" s="116"/>
      <c r="R72" s="116"/>
    </row>
    <row r="73" spans="1:18" ht="129.6">
      <c r="A73" s="26" t="str">
        <v>Murphy</v>
      </c>
      <c r="B73" s="27" t="str">
        <v>MN</v>
      </c>
      <c r="C73" s="9" t="str">
        <f>Sites[[#This Row],[SOL'#]]</f>
        <v>SOL-10094</v>
      </c>
      <c r="D73" s="9">
        <v>787760</v>
      </c>
      <c r="E73" s="14">
        <v>843351.2</v>
      </c>
      <c r="F73" s="14">
        <f t="shared" si="6"/>
        <v>-55591.199999999953</v>
      </c>
      <c r="G73" s="15">
        <f t="shared" si="7"/>
        <v>-6.591702246940534E-2</v>
      </c>
      <c r="H73" s="16">
        <v>943113.3</v>
      </c>
      <c r="I73" s="16">
        <f t="shared" si="4"/>
        <v>-155353.30000000005</v>
      </c>
      <c r="J73" s="15">
        <f t="shared" si="5"/>
        <v>-0.16472389902676596</v>
      </c>
      <c r="K73" s="155" t="s">
        <v>1470</v>
      </c>
      <c r="L73" s="112" t="s">
        <v>1471</v>
      </c>
      <c r="M73" s="115" t="s">
        <v>1472</v>
      </c>
      <c r="N73" s="116"/>
      <c r="O73" s="116"/>
      <c r="P73" s="116"/>
      <c r="Q73" s="116"/>
      <c r="R73" s="116"/>
    </row>
    <row r="74" spans="1:18" ht="15.6">
      <c r="A74" s="24" t="str">
        <v>Terning</v>
      </c>
      <c r="B74" s="25" t="str">
        <v>MN</v>
      </c>
      <c r="C74" s="25" t="str">
        <f>Sites[[#This Row],[SOL'#]]</f>
        <v>SOL-10093</v>
      </c>
      <c r="D74" s="20">
        <v>846213.99999999802</v>
      </c>
      <c r="E74" s="10">
        <v>880245.1</v>
      </c>
      <c r="F74" s="10">
        <f t="shared" si="6"/>
        <v>-34031.100000001956</v>
      </c>
      <c r="G74" s="11">
        <f t="shared" si="7"/>
        <v>-3.8660936595957145E-2</v>
      </c>
      <c r="H74" s="12">
        <v>962294.1</v>
      </c>
      <c r="I74" s="12">
        <f t="shared" si="4"/>
        <v>-116080.10000000196</v>
      </c>
      <c r="J74" s="13">
        <f t="shared" si="5"/>
        <v>-0.12062850639944894</v>
      </c>
      <c r="K74" s="53" t="s">
        <v>1473</v>
      </c>
      <c r="L74" s="111" t="s">
        <v>1474</v>
      </c>
      <c r="M74" s="116"/>
      <c r="N74" s="116"/>
      <c r="O74" s="116"/>
      <c r="P74" s="116"/>
      <c r="Q74" s="116"/>
      <c r="R74" s="116"/>
    </row>
    <row r="75" spans="1:18" ht="100.9">
      <c r="A75" s="26" t="str">
        <v>Boas Road 04</v>
      </c>
      <c r="B75" s="27" t="str">
        <v>NY</v>
      </c>
      <c r="C75" s="9" t="str">
        <f>Sites[[#This Row],[SOL'#]]</f>
        <v>SOL-10908</v>
      </c>
      <c r="D75" s="9" t="s">
        <v>1475</v>
      </c>
      <c r="E75" s="14">
        <v>399796</v>
      </c>
      <c r="F75" s="14" t="str">
        <f t="shared" si="6"/>
        <v/>
      </c>
      <c r="G75" s="15" t="str">
        <f t="shared" si="7"/>
        <v/>
      </c>
      <c r="H75" s="16">
        <v>381322</v>
      </c>
      <c r="I75" s="16" t="str">
        <f t="shared" si="4"/>
        <v/>
      </c>
      <c r="J75" s="15" t="str">
        <f t="shared" si="5"/>
        <v/>
      </c>
      <c r="K75" s="155" t="s">
        <v>1476</v>
      </c>
      <c r="L75" s="112" t="s">
        <v>1477</v>
      </c>
      <c r="M75" s="115" t="s">
        <v>1478</v>
      </c>
      <c r="N75" s="115" t="s">
        <v>1479</v>
      </c>
      <c r="O75" s="115" t="s">
        <v>1480</v>
      </c>
      <c r="P75" s="115" t="s">
        <v>1478</v>
      </c>
      <c r="Q75" s="116"/>
      <c r="R75" s="116"/>
    </row>
    <row r="76" spans="1:18" ht="187.15">
      <c r="A76" s="24" t="str">
        <v>Kelly Bridge Farm</v>
      </c>
      <c r="B76" s="25" t="str">
        <v>NY</v>
      </c>
      <c r="C76" s="25" t="str">
        <f>Sites[[#This Row],[SOL'#]]</f>
        <v>SOL-10911</v>
      </c>
      <c r="D76" s="20">
        <v>66233</v>
      </c>
      <c r="E76" s="10">
        <v>336303</v>
      </c>
      <c r="F76" s="10">
        <f t="shared" si="6"/>
        <v>-270070</v>
      </c>
      <c r="G76" s="11">
        <f t="shared" si="7"/>
        <v>-0.80305557785687309</v>
      </c>
      <c r="H76" s="12">
        <v>373520</v>
      </c>
      <c r="I76" s="12">
        <f t="shared" si="4"/>
        <v>-307287</v>
      </c>
      <c r="J76" s="13">
        <f t="shared" si="5"/>
        <v>-0.82267883915185269</v>
      </c>
      <c r="K76" s="53" t="s">
        <v>1481</v>
      </c>
      <c r="L76" s="111" t="s">
        <v>1482</v>
      </c>
      <c r="M76" s="115" t="s">
        <v>1483</v>
      </c>
      <c r="N76" s="115" t="s">
        <v>1484</v>
      </c>
      <c r="O76" s="115" t="s">
        <v>1485</v>
      </c>
      <c r="P76" s="115" t="s">
        <v>1486</v>
      </c>
      <c r="Q76" s="115" t="s">
        <v>1486</v>
      </c>
      <c r="R76" s="116"/>
    </row>
    <row r="77" spans="1:18" ht="28.9">
      <c r="A77" s="26" t="str">
        <v>Pool Brook Road</v>
      </c>
      <c r="B77" s="27" t="str">
        <v>NY</v>
      </c>
      <c r="C77" s="9" t="str">
        <f>Sites[[#This Row],[SOL'#]]</f>
        <v>SOL-10909</v>
      </c>
      <c r="D77" s="9">
        <v>207378</v>
      </c>
      <c r="E77" s="14">
        <v>242450</v>
      </c>
      <c r="F77" s="14">
        <f t="shared" si="6"/>
        <v>-35072</v>
      </c>
      <c r="G77" s="15">
        <f t="shared" si="7"/>
        <v>-0.14465663023303774</v>
      </c>
      <c r="H77" s="16">
        <v>361532</v>
      </c>
      <c r="I77" s="16">
        <f t="shared" si="4"/>
        <v>-154154</v>
      </c>
      <c r="J77" s="15">
        <f t="shared" si="5"/>
        <v>-0.42639102486086983</v>
      </c>
      <c r="K77" s="155" t="s">
        <v>1487</v>
      </c>
      <c r="L77" s="112" t="s">
        <v>1488</v>
      </c>
      <c r="M77" s="116"/>
      <c r="N77" s="116"/>
      <c r="O77" s="116"/>
      <c r="P77" s="116"/>
      <c r="Q77" s="116"/>
      <c r="R77" s="116"/>
    </row>
    <row r="78" spans="1:18" ht="100.9">
      <c r="A78" s="24" t="str">
        <v>Sackett Lake</v>
      </c>
      <c r="B78" s="25" t="str">
        <v>NY</v>
      </c>
      <c r="C78" s="25" t="str">
        <f>Sites[[#This Row],[SOL'#]]</f>
        <v>SOL-10910</v>
      </c>
      <c r="D78" s="20">
        <v>265315</v>
      </c>
      <c r="E78" s="10">
        <v>341765</v>
      </c>
      <c r="F78" s="10">
        <f t="shared" si="6"/>
        <v>-76450</v>
      </c>
      <c r="G78" s="11">
        <f t="shared" si="7"/>
        <v>-0.22369171799335802</v>
      </c>
      <c r="H78" s="12">
        <v>364487</v>
      </c>
      <c r="I78" s="12">
        <f t="shared" si="4"/>
        <v>-99172</v>
      </c>
      <c r="J78" s="13">
        <f t="shared" si="5"/>
        <v>-0.27208652160433705</v>
      </c>
      <c r="K78" s="53" t="s">
        <v>1489</v>
      </c>
      <c r="L78" s="111" t="s">
        <v>1490</v>
      </c>
      <c r="M78" s="115" t="s">
        <v>1166</v>
      </c>
      <c r="N78" s="115" t="s">
        <v>1167</v>
      </c>
      <c r="O78" s="115" t="s">
        <v>1491</v>
      </c>
      <c r="P78" s="116"/>
      <c r="Q78" s="116"/>
      <c r="R78" s="116"/>
    </row>
    <row r="79" spans="1:18" ht="15.6">
      <c r="A79" s="26" t="str">
        <v>Burritt Road</v>
      </c>
      <c r="B79" s="27" t="str">
        <v>NY</v>
      </c>
      <c r="C79" s="9" t="str">
        <f>Sites[[#This Row],[SOL'#]]</f>
        <v>SOL-10913</v>
      </c>
      <c r="D79" s="9">
        <v>390310</v>
      </c>
      <c r="E79" s="14">
        <v>421201</v>
      </c>
      <c r="F79" s="14">
        <f t="shared" si="6"/>
        <v>-30891</v>
      </c>
      <c r="G79" s="15">
        <f t="shared" si="7"/>
        <v>-7.3340281718229539E-2</v>
      </c>
      <c r="H79" s="16">
        <v>413053</v>
      </c>
      <c r="I79" s="16">
        <f t="shared" si="4"/>
        <v>-22743</v>
      </c>
      <c r="J79" s="15">
        <f t="shared" si="5"/>
        <v>-5.5060730705260581E-2</v>
      </c>
      <c r="K79" s="155"/>
      <c r="L79" s="155"/>
      <c r="M79" s="116"/>
      <c r="N79" s="116"/>
      <c r="O79" s="116"/>
      <c r="P79" s="116"/>
      <c r="Q79" s="116"/>
      <c r="R79" s="116"/>
    </row>
    <row r="80" spans="1:18" ht="28.9">
      <c r="A80" s="24" t="str">
        <v>Villa Roma 1</v>
      </c>
      <c r="B80" s="25" t="str">
        <v>NY</v>
      </c>
      <c r="C80" s="25" t="str">
        <f>Sites[[#This Row],[SOL'#]]</f>
        <v>SOL-10914</v>
      </c>
      <c r="D80" s="20">
        <v>298826</v>
      </c>
      <c r="E80" s="10">
        <v>2112</v>
      </c>
      <c r="F80" s="10">
        <f t="shared" si="6"/>
        <v>296714</v>
      </c>
      <c r="G80" s="11">
        <f t="shared" si="7"/>
        <v>140.48958333333334</v>
      </c>
      <c r="H80" s="12">
        <v>347740</v>
      </c>
      <c r="I80" s="12">
        <f t="shared" si="4"/>
        <v>-48914</v>
      </c>
      <c r="J80" s="13">
        <f t="shared" si="5"/>
        <v>-0.14066256398458618</v>
      </c>
      <c r="K80" s="53" t="s">
        <v>1170</v>
      </c>
      <c r="L80" s="111" t="s">
        <v>1492</v>
      </c>
      <c r="M80" s="116"/>
      <c r="N80" s="116"/>
      <c r="O80" s="116"/>
      <c r="P80" s="116"/>
      <c r="Q80" s="116"/>
      <c r="R80" s="116"/>
    </row>
    <row r="81" spans="1:23" ht="15.6">
      <c r="A81" s="26" t="str">
        <v>Villa Roma 2</v>
      </c>
      <c r="B81" s="27" t="str">
        <v>NY</v>
      </c>
      <c r="C81" s="9" t="str">
        <f>Sites[[#This Row],[SOL'#]]</f>
        <v>SOL-10915</v>
      </c>
      <c r="D81" s="9">
        <v>295810</v>
      </c>
      <c r="E81" s="14">
        <v>310718</v>
      </c>
      <c r="F81" s="14">
        <f t="shared" si="6"/>
        <v>-14908</v>
      </c>
      <c r="G81" s="15">
        <f t="shared" si="7"/>
        <v>-4.7979196570523755E-2</v>
      </c>
      <c r="H81" s="16">
        <v>336904</v>
      </c>
      <c r="I81" s="16">
        <f t="shared" si="4"/>
        <v>-41094</v>
      </c>
      <c r="J81" s="15">
        <f t="shared" si="5"/>
        <v>-0.12197539952033813</v>
      </c>
      <c r="K81" s="155"/>
      <c r="L81" s="155"/>
      <c r="M81" s="116"/>
      <c r="N81" s="116"/>
      <c r="O81" s="116"/>
      <c r="P81" s="116"/>
      <c r="Q81" s="116"/>
      <c r="R81" s="116"/>
    </row>
    <row r="82" spans="1:23" ht="28.9">
      <c r="A82" s="24" t="str">
        <v>Washington 1</v>
      </c>
      <c r="B82" s="25" t="str">
        <v>NY</v>
      </c>
      <c r="C82" s="25" t="str">
        <f>Sites[[#This Row],[SOL'#]]</f>
        <v>SOL-10912</v>
      </c>
      <c r="D82" s="20">
        <v>396720</v>
      </c>
      <c r="E82" s="10">
        <v>415588</v>
      </c>
      <c r="F82" s="10">
        <f t="shared" si="6"/>
        <v>-18868</v>
      </c>
      <c r="G82" s="11">
        <f t="shared" si="7"/>
        <v>-4.5400733418674261E-2</v>
      </c>
      <c r="H82" s="12">
        <v>408816</v>
      </c>
      <c r="I82" s="12">
        <f t="shared" ref="I82:I145" si="8">IF(AND(ISNUMBER(D82),ISNUMBER(H82)), D82-H82, "")</f>
        <v>-12096</v>
      </c>
      <c r="J82" s="13">
        <f t="shared" ref="J82:J145" si="9">IFERROR(I82/H82, "")</f>
        <v>-2.9587883057414582E-2</v>
      </c>
      <c r="K82" s="53" t="s">
        <v>1493</v>
      </c>
      <c r="L82" s="111" t="s">
        <v>1494</v>
      </c>
      <c r="M82" s="116"/>
      <c r="N82" s="116"/>
      <c r="O82" s="116"/>
      <c r="P82" s="116"/>
      <c r="Q82" s="116"/>
      <c r="R82" s="116"/>
    </row>
    <row r="83" spans="1:23" ht="86.45">
      <c r="A83" s="26" t="str">
        <v>Washington 3</v>
      </c>
      <c r="B83" s="27" t="str">
        <v>NY</v>
      </c>
      <c r="C83" s="9" t="str">
        <f>Sites[[#This Row],[SOL'#]]</f>
        <v>SOL-10828</v>
      </c>
      <c r="D83" s="9">
        <v>433898</v>
      </c>
      <c r="E83" s="14">
        <v>675268</v>
      </c>
      <c r="F83" s="14">
        <f t="shared" si="6"/>
        <v>-241370</v>
      </c>
      <c r="G83" s="15">
        <f t="shared" si="7"/>
        <v>-0.35744326696955875</v>
      </c>
      <c r="H83" s="16">
        <v>499324</v>
      </c>
      <c r="I83" s="16">
        <f t="shared" si="8"/>
        <v>-65426</v>
      </c>
      <c r="J83" s="15">
        <f t="shared" si="9"/>
        <v>-0.13102915141270999</v>
      </c>
      <c r="K83" s="155" t="s">
        <v>1495</v>
      </c>
      <c r="L83" s="112" t="s">
        <v>1496</v>
      </c>
      <c r="M83" s="115" t="s">
        <v>870</v>
      </c>
      <c r="N83" s="116"/>
      <c r="O83" s="116"/>
      <c r="P83" s="116"/>
      <c r="Q83" s="116"/>
      <c r="R83" s="116"/>
    </row>
    <row r="84" spans="1:23" ht="28.9">
      <c r="A84" s="24" t="str">
        <v>Washington 4</v>
      </c>
      <c r="B84" s="25" t="str">
        <v>NY</v>
      </c>
      <c r="C84" s="25" t="str">
        <f>Sites[[#This Row],[SOL'#]]</f>
        <v>SOL-10829</v>
      </c>
      <c r="D84" s="20">
        <v>411504</v>
      </c>
      <c r="E84" s="10">
        <v>495599</v>
      </c>
      <c r="F84" s="10">
        <f t="shared" si="6"/>
        <v>-84095</v>
      </c>
      <c r="G84" s="11">
        <f t="shared" si="7"/>
        <v>-0.1696835546480118</v>
      </c>
      <c r="H84" s="12">
        <v>500452</v>
      </c>
      <c r="I84" s="12">
        <f t="shared" si="8"/>
        <v>-88948</v>
      </c>
      <c r="J84" s="13">
        <f t="shared" si="9"/>
        <v>-0.1777353272641532</v>
      </c>
      <c r="K84" s="53" t="s">
        <v>1497</v>
      </c>
      <c r="L84" s="111" t="s">
        <v>1498</v>
      </c>
      <c r="M84" s="115" t="s">
        <v>1499</v>
      </c>
      <c r="N84" s="116"/>
      <c r="O84" s="116"/>
      <c r="P84" s="116"/>
      <c r="Q84" s="116"/>
      <c r="R84" s="116"/>
    </row>
    <row r="85" spans="1:23" ht="57.6">
      <c r="A85" s="26" t="str">
        <v>Big Tree</v>
      </c>
      <c r="B85" s="27" t="str">
        <v>NY</v>
      </c>
      <c r="C85" s="9" t="str">
        <f>Sites[[#This Row],[SOL'#]]</f>
        <v>SOL-10966</v>
      </c>
      <c r="D85" s="9">
        <v>404899</v>
      </c>
      <c r="E85" s="14" t="s">
        <v>777</v>
      </c>
      <c r="F85" s="14" t="str">
        <f t="shared" si="6"/>
        <v/>
      </c>
      <c r="G85" s="15" t="str">
        <f t="shared" si="7"/>
        <v/>
      </c>
      <c r="H85" s="16">
        <v>429682</v>
      </c>
      <c r="I85" s="16">
        <f t="shared" si="8"/>
        <v>-24783</v>
      </c>
      <c r="J85" s="15">
        <f t="shared" si="9"/>
        <v>-5.7677538272489885E-2</v>
      </c>
      <c r="K85" s="155" t="s">
        <v>1500</v>
      </c>
      <c r="L85" s="112" t="s">
        <v>1501</v>
      </c>
      <c r="M85" s="115" t="s">
        <v>1502</v>
      </c>
      <c r="N85" s="116"/>
      <c r="O85" s="116"/>
      <c r="P85" s="116"/>
      <c r="Q85" s="116"/>
      <c r="R85" s="116"/>
    </row>
    <row r="86" spans="1:23" ht="15.6">
      <c r="A86" s="24" t="str">
        <v>Canoga</v>
      </c>
      <c r="B86" s="25" t="str">
        <v>NY</v>
      </c>
      <c r="C86" s="25" t="str">
        <f>Sites[[#This Row],[SOL'#]]</f>
        <v>SOL-10965</v>
      </c>
      <c r="D86" s="20" t="s">
        <v>1475</v>
      </c>
      <c r="E86" s="10" t="s">
        <v>777</v>
      </c>
      <c r="F86" s="10" t="str">
        <f t="shared" si="6"/>
        <v/>
      </c>
      <c r="G86" s="11" t="str">
        <f t="shared" si="7"/>
        <v/>
      </c>
      <c r="H86" s="12"/>
      <c r="I86" s="12" t="str">
        <f t="shared" si="8"/>
        <v/>
      </c>
      <c r="J86" s="13" t="str">
        <f t="shared" si="9"/>
        <v/>
      </c>
      <c r="K86" s="53" t="s">
        <v>1503</v>
      </c>
      <c r="L86" s="111" t="s">
        <v>874</v>
      </c>
      <c r="M86" s="116"/>
      <c r="N86" s="116"/>
      <c r="O86" s="116"/>
      <c r="P86" s="116"/>
      <c r="Q86" s="116"/>
      <c r="R86" s="116"/>
    </row>
    <row r="87" spans="1:23" ht="172.5" customHeight="1">
      <c r="A87" s="26" t="str">
        <v>County Route 84</v>
      </c>
      <c r="B87" s="27" t="str">
        <v>NY</v>
      </c>
      <c r="C87" s="9" t="str">
        <f>Sites[[#This Row],[SOL'#]]</f>
        <v>SOL-10967</v>
      </c>
      <c r="D87" s="9">
        <v>887510</v>
      </c>
      <c r="E87" s="14" t="s">
        <v>777</v>
      </c>
      <c r="F87" s="14" t="str">
        <f t="shared" si="6"/>
        <v/>
      </c>
      <c r="G87" s="15" t="str">
        <f t="shared" si="7"/>
        <v/>
      </c>
      <c r="H87" s="16">
        <v>972096</v>
      </c>
      <c r="I87" s="16">
        <f t="shared" si="8"/>
        <v>-84586</v>
      </c>
      <c r="J87" s="15">
        <f t="shared" si="9"/>
        <v>-8.7014039765619861E-2</v>
      </c>
      <c r="K87" s="155" t="s">
        <v>1504</v>
      </c>
      <c r="L87" s="112" t="s">
        <v>1505</v>
      </c>
      <c r="M87" s="115" t="s">
        <v>1506</v>
      </c>
      <c r="N87" s="116"/>
      <c r="O87" s="116"/>
      <c r="P87" s="116"/>
      <c r="Q87" s="116"/>
      <c r="R87" s="116"/>
    </row>
    <row r="88" spans="1:23" ht="57.6">
      <c r="A88" s="24" t="str">
        <v>Donati</v>
      </c>
      <c r="B88" s="25" t="str">
        <v>NY</v>
      </c>
      <c r="C88" s="25" t="str">
        <f>Sites[[#This Row],[SOL'#]]</f>
        <v>SOL-10968</v>
      </c>
      <c r="D88" s="20">
        <v>476881</v>
      </c>
      <c r="E88" s="10" t="s">
        <v>777</v>
      </c>
      <c r="F88" s="10" t="str">
        <f t="shared" si="6"/>
        <v/>
      </c>
      <c r="G88" s="11" t="str">
        <f t="shared" si="7"/>
        <v/>
      </c>
      <c r="H88" s="12">
        <v>550490</v>
      </c>
      <c r="I88" s="12">
        <f t="shared" si="8"/>
        <v>-73609</v>
      </c>
      <c r="J88" s="13">
        <f t="shared" si="9"/>
        <v>-0.13371541717379062</v>
      </c>
      <c r="K88" s="53" t="s">
        <v>1507</v>
      </c>
      <c r="L88" s="111" t="s">
        <v>1508</v>
      </c>
      <c r="M88" s="115" t="s">
        <v>107</v>
      </c>
      <c r="N88" s="115" t="s">
        <v>879</v>
      </c>
      <c r="O88" s="116"/>
      <c r="P88" s="116"/>
      <c r="Q88" s="116"/>
      <c r="R88" s="116"/>
    </row>
    <row r="89" spans="1:23" ht="15.6">
      <c r="A89" s="26" t="str">
        <v>Henrietta</v>
      </c>
      <c r="B89" s="27" t="str">
        <v>NY</v>
      </c>
      <c r="C89" s="9" t="str">
        <f>Sites[[#This Row],[SOL'#]]</f>
        <v>SOL-10972</v>
      </c>
      <c r="D89" s="9">
        <v>1065880</v>
      </c>
      <c r="E89" s="14" t="s">
        <v>777</v>
      </c>
      <c r="F89" s="14" t="str">
        <f t="shared" si="6"/>
        <v/>
      </c>
      <c r="G89" s="15" t="str">
        <f t="shared" si="7"/>
        <v/>
      </c>
      <c r="H89" s="16">
        <v>1172239</v>
      </c>
      <c r="I89" s="16">
        <f t="shared" si="8"/>
        <v>-106359</v>
      </c>
      <c r="J89" s="15">
        <f t="shared" si="9"/>
        <v>-9.0731497587096144E-2</v>
      </c>
      <c r="K89" s="155" t="s">
        <v>1509</v>
      </c>
      <c r="L89" s="112" t="s">
        <v>1510</v>
      </c>
      <c r="M89" s="116"/>
      <c r="N89" s="116"/>
      <c r="O89" s="116"/>
      <c r="P89" s="116"/>
      <c r="Q89" s="116"/>
      <c r="R89" s="116"/>
    </row>
    <row r="90" spans="1:23" ht="119.25" customHeight="1">
      <c r="A90" s="24" t="str">
        <v>NY 70</v>
      </c>
      <c r="B90" s="25" t="str">
        <v>NY</v>
      </c>
      <c r="C90" s="25" t="str">
        <f>Sites[[#This Row],[SOL'#]]</f>
        <v>SOL-10970</v>
      </c>
      <c r="D90" s="20">
        <v>1143230</v>
      </c>
      <c r="E90" s="10" t="s">
        <v>777</v>
      </c>
      <c r="F90" s="10" t="str">
        <f t="shared" si="6"/>
        <v/>
      </c>
      <c r="G90" s="11" t="str">
        <f t="shared" si="7"/>
        <v/>
      </c>
      <c r="H90" s="12">
        <v>1263015</v>
      </c>
      <c r="I90" s="12">
        <f t="shared" si="8"/>
        <v>-119785</v>
      </c>
      <c r="J90" s="13">
        <f t="shared" si="9"/>
        <v>-9.4840520500548295E-2</v>
      </c>
      <c r="K90" s="53"/>
      <c r="L90" s="53"/>
      <c r="M90" s="116"/>
      <c r="N90" s="116"/>
      <c r="O90" s="116"/>
      <c r="P90" s="116"/>
      <c r="Q90" s="116"/>
      <c r="R90" s="116"/>
    </row>
    <row r="91" spans="1:23" ht="272.25" customHeight="1">
      <c r="A91" s="26" t="str">
        <v>Reid</v>
      </c>
      <c r="B91" s="27" t="str">
        <v>NY</v>
      </c>
      <c r="C91" s="9" t="str">
        <f>Sites[[#This Row],[SOL'#]]</f>
        <v>SOL-10991</v>
      </c>
      <c r="D91" s="9">
        <v>599906.10409975797</v>
      </c>
      <c r="E91" s="14">
        <v>636437.80000000005</v>
      </c>
      <c r="F91" s="14">
        <f t="shared" si="6"/>
        <v>-36531.695900242077</v>
      </c>
      <c r="G91" s="15">
        <f t="shared" si="7"/>
        <v>-5.7400261109949904E-2</v>
      </c>
      <c r="H91" s="16">
        <v>917075</v>
      </c>
      <c r="I91" s="16">
        <f t="shared" si="8"/>
        <v>-317168.89590024203</v>
      </c>
      <c r="J91" s="15">
        <f t="shared" si="9"/>
        <v>-0.34584837216175562</v>
      </c>
      <c r="K91" s="155" t="s">
        <v>1511</v>
      </c>
      <c r="L91" s="112" t="s">
        <v>1512</v>
      </c>
      <c r="M91" s="115" t="s">
        <v>1513</v>
      </c>
      <c r="N91" s="115" t="s">
        <v>1514</v>
      </c>
      <c r="O91" s="115" t="s">
        <v>1514</v>
      </c>
      <c r="P91" s="115" t="s">
        <v>1515</v>
      </c>
      <c r="Q91" s="115" t="s">
        <v>1516</v>
      </c>
      <c r="R91" s="115" t="s">
        <v>1517</v>
      </c>
      <c r="S91" s="126" t="s">
        <v>1518</v>
      </c>
      <c r="T91" s="126" t="s">
        <v>1519</v>
      </c>
      <c r="U91" s="126" t="s">
        <v>1515</v>
      </c>
      <c r="V91" s="126" t="s">
        <v>1517</v>
      </c>
      <c r="W91" s="126" t="s">
        <v>1518</v>
      </c>
    </row>
    <row r="92" spans="1:23" ht="28.9">
      <c r="A92" s="24" t="str">
        <v>Sangolqui</v>
      </c>
      <c r="B92" s="25" t="str">
        <v>NY</v>
      </c>
      <c r="C92" s="25" t="str">
        <f>Sites[[#This Row],[SOL'#]]</f>
        <v>SOL-10975</v>
      </c>
      <c r="D92" s="20">
        <v>437080</v>
      </c>
      <c r="E92" s="10" t="s">
        <v>777</v>
      </c>
      <c r="F92" s="10" t="str">
        <f t="shared" si="6"/>
        <v/>
      </c>
      <c r="G92" s="11" t="str">
        <f t="shared" si="7"/>
        <v/>
      </c>
      <c r="H92" s="12">
        <v>538488</v>
      </c>
      <c r="I92" s="12">
        <f t="shared" si="8"/>
        <v>-101408</v>
      </c>
      <c r="J92" s="13">
        <f t="shared" si="9"/>
        <v>-0.18831988827977597</v>
      </c>
      <c r="K92" s="53" t="s">
        <v>1520</v>
      </c>
      <c r="L92" s="111" t="s">
        <v>1521</v>
      </c>
      <c r="M92" s="116"/>
      <c r="N92" s="116"/>
      <c r="O92" s="116"/>
      <c r="P92" s="116"/>
      <c r="Q92" s="116"/>
      <c r="R92" s="116"/>
    </row>
    <row r="93" spans="1:23" ht="125.25" customHeight="1">
      <c r="A93" s="26" t="str">
        <v>State Highway 17B</v>
      </c>
      <c r="B93" s="27" t="str">
        <v>NY</v>
      </c>
      <c r="C93" s="9" t="str">
        <f>Sites[[#This Row],[SOL'#]]</f>
        <v>SOL-10988</v>
      </c>
      <c r="D93" s="9">
        <v>719330</v>
      </c>
      <c r="E93" s="14" t="s">
        <v>777</v>
      </c>
      <c r="F93" s="14" t="str">
        <f t="shared" si="6"/>
        <v/>
      </c>
      <c r="G93" s="15" t="str">
        <f t="shared" si="7"/>
        <v/>
      </c>
      <c r="H93" s="16"/>
      <c r="I93" s="16" t="str">
        <f t="shared" si="8"/>
        <v/>
      </c>
      <c r="J93" s="15" t="str">
        <f t="shared" si="9"/>
        <v/>
      </c>
      <c r="K93" s="155" t="s">
        <v>1522</v>
      </c>
      <c r="L93" s="112" t="s">
        <v>1523</v>
      </c>
      <c r="M93" s="115" t="s">
        <v>1524</v>
      </c>
      <c r="N93" s="115" t="s">
        <v>1525</v>
      </c>
      <c r="O93" s="115" t="s">
        <v>1525</v>
      </c>
      <c r="P93" s="116"/>
      <c r="Q93" s="116"/>
      <c r="R93" s="116"/>
    </row>
    <row r="94" spans="1:23" ht="93" customHeight="1">
      <c r="A94" s="24" t="str">
        <v>State Route 14A</v>
      </c>
      <c r="B94" s="25" t="str">
        <v>NY</v>
      </c>
      <c r="C94" s="25" t="str">
        <f>Sites[[#This Row],[SOL'#]]</f>
        <v>SOL-10997</v>
      </c>
      <c r="D94" s="20" t="s">
        <v>1475</v>
      </c>
      <c r="E94" s="10" t="s">
        <v>777</v>
      </c>
      <c r="F94" s="10" t="str">
        <f t="shared" si="6"/>
        <v/>
      </c>
      <c r="G94" s="11" t="str">
        <f t="shared" si="7"/>
        <v/>
      </c>
      <c r="H94" s="12">
        <v>967648</v>
      </c>
      <c r="I94" s="12" t="str">
        <f t="shared" si="8"/>
        <v/>
      </c>
      <c r="J94" s="13" t="str">
        <f t="shared" si="9"/>
        <v/>
      </c>
      <c r="K94" s="53" t="s">
        <v>1526</v>
      </c>
      <c r="L94" s="111" t="s">
        <v>1527</v>
      </c>
      <c r="M94" s="115" t="s">
        <v>1528</v>
      </c>
      <c r="N94" s="116"/>
      <c r="O94" s="116"/>
      <c r="P94" s="116"/>
      <c r="Q94" s="116"/>
      <c r="R94" s="116"/>
    </row>
    <row r="95" spans="1:23" ht="30" customHeight="1">
      <c r="A95" s="26" t="str">
        <v>West Creek</v>
      </c>
      <c r="B95" s="27" t="str">
        <v>NY</v>
      </c>
      <c r="C95" s="9" t="str">
        <f>Sites[[#This Row],[SOL'#]]</f>
        <v>SOL-10995</v>
      </c>
      <c r="D95" s="9">
        <v>836200</v>
      </c>
      <c r="E95" s="14" t="s">
        <v>777</v>
      </c>
      <c r="F95" s="14" t="str">
        <f t="shared" si="6"/>
        <v/>
      </c>
      <c r="G95" s="15" t="str">
        <f t="shared" si="7"/>
        <v/>
      </c>
      <c r="H95" s="16">
        <v>960614</v>
      </c>
      <c r="I95" s="16">
        <f t="shared" si="8"/>
        <v>-124414</v>
      </c>
      <c r="J95" s="15">
        <f t="shared" si="9"/>
        <v>-0.12951508097945688</v>
      </c>
      <c r="K95" s="155" t="s">
        <v>1529</v>
      </c>
      <c r="L95" s="112" t="s">
        <v>1530</v>
      </c>
      <c r="M95" s="115" t="s">
        <v>1531</v>
      </c>
      <c r="N95" s="116"/>
      <c r="O95" s="116"/>
      <c r="P95" s="116"/>
      <c r="Q95" s="116"/>
      <c r="R95" s="116"/>
    </row>
    <row r="96" spans="1:23" ht="57.6">
      <c r="A96" s="24" t="str">
        <v>Wildflower</v>
      </c>
      <c r="B96" s="25" t="str">
        <v>NY</v>
      </c>
      <c r="C96" s="25" t="str">
        <f>Sites[[#This Row],[SOL'#]]</f>
        <v>SOL-10982</v>
      </c>
      <c r="D96" s="20">
        <v>777681</v>
      </c>
      <c r="E96" s="10" t="s">
        <v>777</v>
      </c>
      <c r="F96" s="10" t="str">
        <f t="shared" si="6"/>
        <v/>
      </c>
      <c r="G96" s="11" t="str">
        <f t="shared" si="7"/>
        <v/>
      </c>
      <c r="H96" s="12">
        <v>972382.4</v>
      </c>
      <c r="I96" s="12">
        <f t="shared" si="8"/>
        <v>-194701.40000000002</v>
      </c>
      <c r="J96" s="13">
        <f t="shared" si="9"/>
        <v>-0.20023130817670087</v>
      </c>
      <c r="K96" s="53" t="s">
        <v>1532</v>
      </c>
      <c r="L96" s="111" t="s">
        <v>1533</v>
      </c>
      <c r="M96" s="116"/>
      <c r="N96" s="116"/>
      <c r="O96" s="116"/>
      <c r="P96" s="116"/>
      <c r="Q96" s="116"/>
      <c r="R96" s="116"/>
    </row>
    <row r="97" spans="1:18" ht="33.6" customHeight="1">
      <c r="A97" s="26" t="str">
        <v>Glen Mary 1</v>
      </c>
      <c r="B97" s="27" t="str">
        <v>NY</v>
      </c>
      <c r="C97" s="9" t="str">
        <f>Sites[[#This Row],[SOL'#]]</f>
        <v>SOL-10993</v>
      </c>
      <c r="D97" s="9">
        <v>883350</v>
      </c>
      <c r="E97" s="14" t="s">
        <v>777</v>
      </c>
      <c r="F97" s="14" t="str">
        <f t="shared" si="6"/>
        <v/>
      </c>
      <c r="G97" s="15" t="str">
        <f t="shared" si="7"/>
        <v/>
      </c>
      <c r="H97" s="16">
        <v>1006679</v>
      </c>
      <c r="I97" s="16">
        <f t="shared" si="8"/>
        <v>-123329</v>
      </c>
      <c r="J97" s="15">
        <f t="shared" si="9"/>
        <v>-0.12251075069610075</v>
      </c>
      <c r="K97" s="155" t="s">
        <v>1534</v>
      </c>
      <c r="L97" s="112" t="s">
        <v>1535</v>
      </c>
      <c r="M97" s="116"/>
      <c r="N97" s="116"/>
      <c r="O97" s="116"/>
      <c r="P97" s="116"/>
      <c r="Q97" s="116"/>
      <c r="R97" s="116"/>
    </row>
    <row r="98" spans="1:18" ht="15.6">
      <c r="A98" s="24" t="str">
        <v>Glen Mary 2</v>
      </c>
      <c r="B98" s="25" t="str">
        <v>NY</v>
      </c>
      <c r="C98" s="25" t="str">
        <f>Sites[[#This Row],[SOL'#]]</f>
        <v>SOL-10994</v>
      </c>
      <c r="D98" s="20">
        <v>396430</v>
      </c>
      <c r="E98" s="10" t="s">
        <v>777</v>
      </c>
      <c r="F98" s="10" t="str">
        <f t="shared" si="6"/>
        <v/>
      </c>
      <c r="G98" s="11" t="str">
        <f t="shared" si="7"/>
        <v/>
      </c>
      <c r="H98" s="12">
        <v>429189</v>
      </c>
      <c r="I98" s="12">
        <f t="shared" si="8"/>
        <v>-32759</v>
      </c>
      <c r="J98" s="13">
        <f t="shared" si="9"/>
        <v>-7.6327678481974137E-2</v>
      </c>
      <c r="K98" s="53"/>
      <c r="L98" s="53"/>
      <c r="M98" s="116"/>
      <c r="N98" s="116"/>
      <c r="O98" s="116"/>
      <c r="P98" s="116"/>
      <c r="Q98" s="116"/>
      <c r="R98" s="116"/>
    </row>
    <row r="99" spans="1:18" ht="15.6">
      <c r="A99" s="26" t="str">
        <v>Telegraph 1</v>
      </c>
      <c r="B99" s="27" t="str">
        <v>NY</v>
      </c>
      <c r="C99" s="9" t="str">
        <f>Sites[[#This Row],[SOL'#]]</f>
        <v>SOL-11003</v>
      </c>
      <c r="D99" s="9">
        <v>724888</v>
      </c>
      <c r="E99" s="14" t="s">
        <v>777</v>
      </c>
      <c r="F99" s="14" t="str">
        <f t="shared" si="6"/>
        <v/>
      </c>
      <c r="G99" s="15" t="str">
        <f t="shared" si="7"/>
        <v/>
      </c>
      <c r="H99" s="16">
        <v>758222</v>
      </c>
      <c r="I99" s="16">
        <f t="shared" si="8"/>
        <v>-33334</v>
      </c>
      <c r="J99" s="15">
        <f t="shared" si="9"/>
        <v>-4.3963377480474054E-2</v>
      </c>
      <c r="K99" s="155"/>
      <c r="L99" s="155"/>
      <c r="M99" s="116"/>
      <c r="N99" s="116"/>
      <c r="O99" s="116"/>
      <c r="P99" s="116"/>
      <c r="Q99" s="116"/>
      <c r="R99" s="116"/>
    </row>
    <row r="100" spans="1:18" ht="15.6">
      <c r="A100" s="24" t="str">
        <v>Telegraph 2</v>
      </c>
      <c r="B100" s="25" t="str">
        <v>NY</v>
      </c>
      <c r="C100" s="25" t="str">
        <f>Sites[[#This Row],[SOL'#]]</f>
        <v>SOL-11004</v>
      </c>
      <c r="D100" s="20">
        <v>383510</v>
      </c>
      <c r="E100" s="10" t="s">
        <v>777</v>
      </c>
      <c r="F100" s="10" t="str">
        <f t="shared" si="6"/>
        <v/>
      </c>
      <c r="G100" s="11" t="str">
        <f t="shared" si="7"/>
        <v/>
      </c>
      <c r="H100" s="12">
        <v>395820</v>
      </c>
      <c r="I100" s="12">
        <f t="shared" si="8"/>
        <v>-12310</v>
      </c>
      <c r="J100" s="13">
        <f t="shared" si="9"/>
        <v>-3.1099994947198221E-2</v>
      </c>
      <c r="K100" s="53"/>
      <c r="L100" s="53"/>
      <c r="M100" s="116"/>
      <c r="N100" s="116"/>
      <c r="O100" s="116"/>
      <c r="P100" s="116"/>
      <c r="Q100" s="116"/>
      <c r="R100" s="116"/>
    </row>
    <row r="101" spans="1:18" ht="15.6">
      <c r="A101" s="26" t="str">
        <v>Cafferty Hill</v>
      </c>
      <c r="B101" s="27" t="str">
        <v>NY</v>
      </c>
      <c r="C101" s="9" t="str">
        <f>Sites[[#This Row],[SOL'#]]</f>
        <v>SOL-10996</v>
      </c>
      <c r="D101" s="9">
        <v>887090</v>
      </c>
      <c r="E101" s="14" t="s">
        <v>777</v>
      </c>
      <c r="F101" s="14" t="str">
        <f t="shared" si="6"/>
        <v/>
      </c>
      <c r="G101" s="15" t="str">
        <f t="shared" si="7"/>
        <v/>
      </c>
      <c r="H101" s="16">
        <v>945865</v>
      </c>
      <c r="I101" s="16">
        <f t="shared" si="8"/>
        <v>-58775</v>
      </c>
      <c r="J101" s="15">
        <f t="shared" si="9"/>
        <v>-6.2138888742050924E-2</v>
      </c>
      <c r="K101" s="155"/>
      <c r="L101" s="155"/>
      <c r="M101" s="116"/>
      <c r="N101" s="116"/>
      <c r="O101" s="116"/>
      <c r="P101" s="116"/>
      <c r="Q101" s="116"/>
      <c r="R101" s="116"/>
    </row>
    <row r="102" spans="1:18" ht="57.6">
      <c r="A102" s="24" t="str">
        <v>Dunkleman</v>
      </c>
      <c r="B102" s="25" t="str">
        <v>NY</v>
      </c>
      <c r="C102" s="25" t="str">
        <f>Sites[[#This Row],[SOL'#]]</f>
        <v>SOL-11008</v>
      </c>
      <c r="D102" s="20">
        <v>1191520</v>
      </c>
      <c r="E102" s="10" t="s">
        <v>777</v>
      </c>
      <c r="F102" s="10" t="str">
        <f t="shared" si="6"/>
        <v/>
      </c>
      <c r="G102" s="11" t="str">
        <f t="shared" si="7"/>
        <v/>
      </c>
      <c r="H102" s="12">
        <v>1303096</v>
      </c>
      <c r="I102" s="12">
        <f t="shared" si="8"/>
        <v>-111576</v>
      </c>
      <c r="J102" s="13">
        <f t="shared" si="9"/>
        <v>-8.5623775991945331E-2</v>
      </c>
      <c r="K102" s="53" t="s">
        <v>1536</v>
      </c>
      <c r="L102" s="111" t="s">
        <v>1537</v>
      </c>
      <c r="M102" s="116"/>
      <c r="N102" s="116"/>
      <c r="O102" s="116"/>
      <c r="P102" s="116"/>
      <c r="Q102" s="116"/>
      <c r="R102" s="116"/>
    </row>
    <row r="103" spans="1:18" ht="28.9">
      <c r="A103" s="26" t="str">
        <v>Route 19 1</v>
      </c>
      <c r="B103" s="27" t="str">
        <v>NY</v>
      </c>
      <c r="C103" s="9" t="str">
        <f>Sites[[#This Row],[SOL'#]]</f>
        <v>SOL-11001</v>
      </c>
      <c r="D103" s="9">
        <v>485730</v>
      </c>
      <c r="E103" s="14" t="s">
        <v>777</v>
      </c>
      <c r="F103" s="14" t="str">
        <f t="shared" si="6"/>
        <v/>
      </c>
      <c r="G103" s="15" t="str">
        <f t="shared" si="7"/>
        <v/>
      </c>
      <c r="H103" s="16">
        <v>540517</v>
      </c>
      <c r="I103" s="16">
        <f t="shared" si="8"/>
        <v>-54787</v>
      </c>
      <c r="J103" s="15">
        <f t="shared" si="9"/>
        <v>-0.10136036424386281</v>
      </c>
      <c r="K103" s="155" t="s">
        <v>1437</v>
      </c>
      <c r="L103" s="97"/>
      <c r="M103" s="116"/>
      <c r="N103" s="116"/>
      <c r="O103" s="116"/>
      <c r="P103" s="116"/>
      <c r="Q103" s="116"/>
      <c r="R103" s="116"/>
    </row>
    <row r="104" spans="1:18" ht="28.9">
      <c r="A104" s="24" t="str">
        <v>Route 19 2</v>
      </c>
      <c r="B104" s="25" t="str">
        <v>NY</v>
      </c>
      <c r="C104" s="25" t="str">
        <f>Sites[[#This Row],[SOL'#]]</f>
        <v>SOL-11002</v>
      </c>
      <c r="D104" s="20">
        <v>1170370</v>
      </c>
      <c r="E104" s="10" t="s">
        <v>777</v>
      </c>
      <c r="F104" s="10" t="str">
        <f t="shared" si="6"/>
        <v/>
      </c>
      <c r="G104" s="11" t="str">
        <f t="shared" si="7"/>
        <v/>
      </c>
      <c r="H104" s="12">
        <v>1328891</v>
      </c>
      <c r="I104" s="12">
        <f t="shared" si="8"/>
        <v>-158521</v>
      </c>
      <c r="J104" s="13">
        <f t="shared" si="9"/>
        <v>-0.11928818842177424</v>
      </c>
      <c r="K104" s="53" t="s">
        <v>1437</v>
      </c>
      <c r="L104" s="53"/>
      <c r="M104" s="116"/>
      <c r="N104" s="116"/>
      <c r="O104" s="116"/>
      <c r="P104" s="116"/>
      <c r="Q104" s="116"/>
      <c r="R104" s="116"/>
    </row>
    <row r="105" spans="1:18" ht="129.6">
      <c r="A105" s="26" t="str">
        <v>Yellow Mills 1</v>
      </c>
      <c r="B105" s="27" t="str">
        <v>NY</v>
      </c>
      <c r="C105" s="9" t="str">
        <f>Sites[[#This Row],[SOL'#]]</f>
        <v>SOL-11006</v>
      </c>
      <c r="D105" s="9">
        <v>271062</v>
      </c>
      <c r="E105" s="14" t="s">
        <v>777</v>
      </c>
      <c r="F105" s="14" t="str">
        <f t="shared" si="6"/>
        <v/>
      </c>
      <c r="G105" s="15" t="str">
        <f t="shared" si="7"/>
        <v/>
      </c>
      <c r="H105" s="16">
        <v>404357</v>
      </c>
      <c r="I105" s="16">
        <f t="shared" si="8"/>
        <v>-133295</v>
      </c>
      <c r="J105" s="15">
        <f t="shared" si="9"/>
        <v>-0.32964682199145806</v>
      </c>
      <c r="K105" s="155" t="s">
        <v>1538</v>
      </c>
      <c r="L105" s="112" t="s">
        <v>1539</v>
      </c>
      <c r="M105" s="115" t="s">
        <v>1540</v>
      </c>
      <c r="N105" s="115" t="s">
        <v>1541</v>
      </c>
      <c r="O105" s="116"/>
      <c r="P105" s="116"/>
      <c r="Q105" s="116"/>
      <c r="R105" s="116"/>
    </row>
    <row r="106" spans="1:18" ht="57.6">
      <c r="A106" s="24" t="str">
        <v>Yellow Mills 2</v>
      </c>
      <c r="B106" s="25" t="str">
        <v>NY</v>
      </c>
      <c r="C106" s="25" t="str">
        <f>Sites[[#This Row],[SOL'#]]</f>
        <v>SOL-11005</v>
      </c>
      <c r="D106" s="20">
        <v>368106</v>
      </c>
      <c r="E106" s="10" t="s">
        <v>777</v>
      </c>
      <c r="F106" s="10" t="str">
        <f t="shared" si="6"/>
        <v/>
      </c>
      <c r="G106" s="11" t="str">
        <f t="shared" si="7"/>
        <v/>
      </c>
      <c r="H106" s="12">
        <v>418478</v>
      </c>
      <c r="I106" s="12">
        <f t="shared" si="8"/>
        <v>-50372</v>
      </c>
      <c r="J106" s="13">
        <f t="shared" si="9"/>
        <v>-0.12036952958100545</v>
      </c>
      <c r="K106" s="53" t="s">
        <v>1542</v>
      </c>
      <c r="L106" s="111" t="s">
        <v>1543</v>
      </c>
      <c r="M106" s="116"/>
      <c r="N106" s="116"/>
      <c r="O106" s="116"/>
      <c r="P106" s="116"/>
      <c r="Q106" s="116"/>
      <c r="R106" s="116"/>
    </row>
    <row r="107" spans="1:18" ht="43.15">
      <c r="A107" s="26" t="str">
        <v>Yellow Mills 3</v>
      </c>
      <c r="B107" s="27" t="str">
        <v>NY</v>
      </c>
      <c r="C107" s="9" t="str">
        <f>Sites[[#This Row],[SOL'#]]</f>
        <v>SOL-11007</v>
      </c>
      <c r="D107" s="9">
        <v>351235</v>
      </c>
      <c r="E107" s="14" t="s">
        <v>777</v>
      </c>
      <c r="F107" s="14" t="str">
        <f t="shared" si="6"/>
        <v/>
      </c>
      <c r="G107" s="15" t="str">
        <f t="shared" si="7"/>
        <v/>
      </c>
      <c r="H107" s="16">
        <v>398512</v>
      </c>
      <c r="I107" s="16">
        <f t="shared" si="8"/>
        <v>-47277</v>
      </c>
      <c r="J107" s="15">
        <f t="shared" si="9"/>
        <v>-0.11863381780222428</v>
      </c>
      <c r="K107" s="155" t="s">
        <v>1544</v>
      </c>
      <c r="L107" s="112" t="s">
        <v>1545</v>
      </c>
      <c r="M107" s="116"/>
      <c r="N107" s="116"/>
      <c r="O107" s="116"/>
      <c r="P107" s="116"/>
      <c r="Q107" s="116"/>
      <c r="R107" s="116"/>
    </row>
    <row r="108" spans="1:18" ht="57.6">
      <c r="A108" s="24" t="str">
        <v>Catskill</v>
      </c>
      <c r="B108" s="25" t="str">
        <v>NY</v>
      </c>
      <c r="C108" s="25" t="str">
        <f>Sites[[#This Row],[SOL'#]]</f>
        <v>SOL-11021</v>
      </c>
      <c r="D108" s="20">
        <v>676307</v>
      </c>
      <c r="E108" s="10" t="s">
        <v>777</v>
      </c>
      <c r="F108" s="10" t="str">
        <f t="shared" si="6"/>
        <v/>
      </c>
      <c r="G108" s="11" t="str">
        <f t="shared" si="7"/>
        <v/>
      </c>
      <c r="H108" s="12">
        <v>722557</v>
      </c>
      <c r="I108" s="12">
        <f t="shared" si="8"/>
        <v>-46250</v>
      </c>
      <c r="J108" s="13">
        <f t="shared" si="9"/>
        <v>-6.4008791001955556E-2</v>
      </c>
      <c r="K108" s="53" t="s">
        <v>1546</v>
      </c>
      <c r="L108" s="111" t="s">
        <v>1547</v>
      </c>
      <c r="M108" s="116"/>
      <c r="N108" s="116"/>
      <c r="O108" s="116"/>
      <c r="P108" s="116"/>
      <c r="Q108" s="116"/>
      <c r="R108" s="116"/>
    </row>
    <row r="109" spans="1:18" ht="15.6">
      <c r="A109" s="26" t="str">
        <v>Eddy Ridge</v>
      </c>
      <c r="B109" s="27" t="str">
        <v>NY</v>
      </c>
      <c r="C109" s="9" t="str">
        <f>Sites[[#This Row],[SOL'#]]</f>
        <v>SOL-11054</v>
      </c>
      <c r="D109" s="9">
        <v>615336</v>
      </c>
      <c r="E109" s="14" t="s">
        <v>777</v>
      </c>
      <c r="F109" s="14" t="str">
        <f t="shared" si="6"/>
        <v/>
      </c>
      <c r="G109" s="15" t="str">
        <f t="shared" si="7"/>
        <v/>
      </c>
      <c r="H109" s="16">
        <v>626850</v>
      </c>
      <c r="I109" s="16">
        <f t="shared" si="8"/>
        <v>-11514</v>
      </c>
      <c r="J109" s="15">
        <f t="shared" si="9"/>
        <v>-1.8368030629337163E-2</v>
      </c>
      <c r="K109" s="155" t="s">
        <v>1548</v>
      </c>
      <c r="L109" s="112" t="s">
        <v>1549</v>
      </c>
      <c r="M109" s="116"/>
      <c r="N109" s="116"/>
      <c r="O109" s="116"/>
      <c r="P109" s="116"/>
      <c r="Q109" s="116"/>
      <c r="R109" s="116"/>
    </row>
    <row r="110" spans="1:18" ht="15.6">
      <c r="A110" s="24" t="str">
        <v>Ridgeway #1</v>
      </c>
      <c r="B110" s="25" t="str">
        <v>NY</v>
      </c>
      <c r="C110" s="25" t="str">
        <f>Sites[[#This Row],[SOL'#]]</f>
        <v>SOL-11018</v>
      </c>
      <c r="D110" s="20">
        <v>1316830</v>
      </c>
      <c r="E110" s="10" t="s">
        <v>777</v>
      </c>
      <c r="F110" s="10" t="str">
        <f t="shared" si="6"/>
        <v/>
      </c>
      <c r="G110" s="11" t="str">
        <f t="shared" si="7"/>
        <v/>
      </c>
      <c r="H110" s="12">
        <v>1266592.7</v>
      </c>
      <c r="I110" s="12">
        <f t="shared" si="8"/>
        <v>50237.300000000047</v>
      </c>
      <c r="J110" s="13">
        <f t="shared" si="9"/>
        <v>3.9663342446233936E-2</v>
      </c>
      <c r="K110" s="53"/>
      <c r="L110" s="53"/>
      <c r="M110" s="116"/>
      <c r="N110" s="116"/>
      <c r="O110" s="116"/>
      <c r="P110" s="116"/>
      <c r="Q110" s="116"/>
      <c r="R110" s="116"/>
    </row>
    <row r="111" spans="1:18" ht="67.5" customHeight="1">
      <c r="A111" s="26" t="str">
        <v>Rivard 1</v>
      </c>
      <c r="B111" s="27" t="str">
        <v>NY</v>
      </c>
      <c r="C111" s="9" t="str">
        <f>Sites[[#This Row],[SOL'#]]</f>
        <v>SOL-11011</v>
      </c>
      <c r="D111" s="9">
        <v>1088066.8957346</v>
      </c>
      <c r="E111" s="14">
        <v>0</v>
      </c>
      <c r="F111" s="14">
        <f t="shared" si="6"/>
        <v>1088066.8957346</v>
      </c>
      <c r="G111" s="15" t="str">
        <f t="shared" si="7"/>
        <v/>
      </c>
      <c r="H111" s="16">
        <v>138294.79999999999</v>
      </c>
      <c r="I111" s="16">
        <f t="shared" si="8"/>
        <v>949772.09573459998</v>
      </c>
      <c r="J111" s="15">
        <f t="shared" si="9"/>
        <v>6.8677354154646455</v>
      </c>
      <c r="K111" s="155" t="s">
        <v>1550</v>
      </c>
      <c r="L111" s="112" t="s">
        <v>1551</v>
      </c>
      <c r="M111" s="116"/>
      <c r="N111" s="116"/>
      <c r="O111" s="116"/>
      <c r="P111" s="116"/>
      <c r="Q111" s="116"/>
      <c r="R111" s="116"/>
    </row>
    <row r="112" spans="1:18" ht="100.9">
      <c r="A112" s="24" t="str">
        <v>Rivard 2</v>
      </c>
      <c r="B112" s="25" t="str">
        <v>NY</v>
      </c>
      <c r="C112" s="25" t="str">
        <f>Sites[[#This Row],[SOL'#]]</f>
        <v>SOL-11012</v>
      </c>
      <c r="D112" s="20">
        <v>1057218.7549999999</v>
      </c>
      <c r="E112" s="10">
        <v>1026533</v>
      </c>
      <c r="F112" s="10">
        <f t="shared" si="6"/>
        <v>30685.754999999888</v>
      </c>
      <c r="G112" s="11">
        <f t="shared" si="7"/>
        <v>2.9892614265688379E-2</v>
      </c>
      <c r="H112" s="12">
        <v>1086602</v>
      </c>
      <c r="I112" s="12">
        <f t="shared" si="8"/>
        <v>-29383.245000000112</v>
      </c>
      <c r="J112" s="13">
        <f t="shared" si="9"/>
        <v>-2.7041405224728199E-2</v>
      </c>
      <c r="K112" s="53" t="s">
        <v>1552</v>
      </c>
      <c r="L112" s="111" t="s">
        <v>1553</v>
      </c>
      <c r="M112" s="115" t="s">
        <v>1554</v>
      </c>
      <c r="N112" s="115" t="s">
        <v>1554</v>
      </c>
      <c r="O112" s="116"/>
      <c r="P112" s="116"/>
      <c r="Q112" s="116"/>
      <c r="R112" s="116"/>
    </row>
    <row r="113" spans="1:21" ht="28.9">
      <c r="A113" s="26" t="str">
        <v>Essex</v>
      </c>
      <c r="B113" s="27" t="str">
        <v>DC</v>
      </c>
      <c r="C113" s="9" t="str">
        <f>Sites[[#This Row],[SOL'#]]</f>
        <v>SOL-10036</v>
      </c>
      <c r="D113" s="9">
        <v>4453</v>
      </c>
      <c r="E113" s="14">
        <v>5876.9309999999996</v>
      </c>
      <c r="F113" s="14">
        <f t="shared" si="6"/>
        <v>-1423.9309999999996</v>
      </c>
      <c r="G113" s="15">
        <f t="shared" si="7"/>
        <v>-0.24229159743410289</v>
      </c>
      <c r="H113" s="16">
        <v>5419.4120000000003</v>
      </c>
      <c r="I113" s="16">
        <f t="shared" si="8"/>
        <v>-966.41200000000026</v>
      </c>
      <c r="J113" s="15">
        <f t="shared" si="9"/>
        <v>-0.17832414291439738</v>
      </c>
      <c r="K113" s="155" t="s">
        <v>1437</v>
      </c>
      <c r="L113" s="155"/>
      <c r="M113" s="116"/>
      <c r="N113" s="116"/>
      <c r="O113" s="116"/>
      <c r="P113" s="116"/>
      <c r="Q113" s="116"/>
      <c r="R113" s="116"/>
    </row>
    <row r="114" spans="1:21" ht="28.9">
      <c r="A114" s="24" t="str">
        <v>Temple Sinai</v>
      </c>
      <c r="B114" s="25" t="str">
        <v>DC</v>
      </c>
      <c r="C114" s="25" t="str">
        <f>Sites[[#This Row],[SOL'#]]</f>
        <v>SOL-10028</v>
      </c>
      <c r="D114" s="20">
        <v>10357.120000000001</v>
      </c>
      <c r="E114" s="10">
        <v>14746.18</v>
      </c>
      <c r="F114" s="10">
        <f t="shared" si="6"/>
        <v>-4389.0599999999995</v>
      </c>
      <c r="G114" s="11">
        <f t="shared" si="7"/>
        <v>-0.29764047366843477</v>
      </c>
      <c r="H114" s="12">
        <v>12624.08</v>
      </c>
      <c r="I114" s="12">
        <f t="shared" si="8"/>
        <v>-2266.9599999999991</v>
      </c>
      <c r="J114" s="13">
        <f t="shared" si="9"/>
        <v>-0.17957427392728809</v>
      </c>
      <c r="K114" s="53" t="s">
        <v>1437</v>
      </c>
      <c r="L114" s="53"/>
      <c r="M114" s="116"/>
      <c r="N114" s="116"/>
      <c r="O114" s="116"/>
      <c r="P114" s="116"/>
      <c r="Q114" s="116"/>
      <c r="R114" s="116"/>
    </row>
    <row r="115" spans="1:21" ht="15.6">
      <c r="A115" s="26" t="str">
        <v>Weinberg Commons #1</v>
      </c>
      <c r="B115" s="27" t="str">
        <v>DC</v>
      </c>
      <c r="C115" s="9" t="str">
        <f>Sites[[#This Row],[SOL'#]]</f>
        <v>SOL-10039</v>
      </c>
      <c r="D115" s="9">
        <v>1713</v>
      </c>
      <c r="E115" s="14">
        <v>1762</v>
      </c>
      <c r="F115" s="14">
        <f t="shared" si="6"/>
        <v>-49</v>
      </c>
      <c r="G115" s="15">
        <f t="shared" si="7"/>
        <v>-2.7809307604994324E-2</v>
      </c>
      <c r="H115" s="16">
        <v>1824</v>
      </c>
      <c r="I115" s="16">
        <f t="shared" si="8"/>
        <v>-111</v>
      </c>
      <c r="J115" s="15">
        <f t="shared" si="9"/>
        <v>-6.0855263157894739E-2</v>
      </c>
      <c r="K115" s="155"/>
      <c r="L115" s="97"/>
      <c r="M115" s="116"/>
      <c r="N115" s="116"/>
      <c r="O115" s="116"/>
      <c r="P115" s="116"/>
      <c r="Q115" s="116"/>
      <c r="R115" s="116"/>
    </row>
    <row r="116" spans="1:21" ht="28.9">
      <c r="A116" s="24" t="str">
        <v>Weinberg Commons #2</v>
      </c>
      <c r="B116" s="25" t="str">
        <v>DC</v>
      </c>
      <c r="C116" s="25" t="str">
        <f>Sites[[#This Row],[SOL'#]]</f>
        <v>SOL-10045</v>
      </c>
      <c r="D116" s="20">
        <v>1521</v>
      </c>
      <c r="E116" s="10">
        <v>1544</v>
      </c>
      <c r="F116" s="10">
        <f t="shared" si="6"/>
        <v>-23</v>
      </c>
      <c r="G116" s="11">
        <f t="shared" si="7"/>
        <v>-1.4896373056994818E-2</v>
      </c>
      <c r="H116" s="12">
        <v>1827</v>
      </c>
      <c r="I116" s="12">
        <f t="shared" si="8"/>
        <v>-306</v>
      </c>
      <c r="J116" s="13">
        <f t="shared" si="9"/>
        <v>-0.16748768472906403</v>
      </c>
      <c r="K116" s="53" t="s">
        <v>1437</v>
      </c>
      <c r="L116" s="53"/>
      <c r="M116" s="116"/>
      <c r="N116" s="116"/>
      <c r="O116" s="116"/>
      <c r="P116" s="116"/>
      <c r="Q116" s="116"/>
      <c r="R116" s="116"/>
    </row>
    <row r="117" spans="1:21" ht="15.6">
      <c r="A117" s="26" t="str">
        <v>Weinberg Commons #3</v>
      </c>
      <c r="B117" s="27" t="str">
        <v>DC</v>
      </c>
      <c r="C117" s="9" t="str">
        <f>Sites[[#This Row],[SOL'#]]</f>
        <v>SOL-10042</v>
      </c>
      <c r="D117" s="9">
        <v>1877</v>
      </c>
      <c r="E117" s="14">
        <v>1775</v>
      </c>
      <c r="F117" s="14">
        <f t="shared" si="6"/>
        <v>102</v>
      </c>
      <c r="G117" s="15">
        <f t="shared" si="7"/>
        <v>5.7464788732394363E-2</v>
      </c>
      <c r="H117" s="16">
        <v>1907</v>
      </c>
      <c r="I117" s="16">
        <f t="shared" si="8"/>
        <v>-30</v>
      </c>
      <c r="J117" s="15">
        <f t="shared" si="9"/>
        <v>-1.5731515469323543E-2</v>
      </c>
      <c r="K117" s="155"/>
      <c r="L117" s="97"/>
      <c r="M117" s="116"/>
      <c r="N117" s="116"/>
      <c r="O117" s="116"/>
      <c r="P117" s="116"/>
      <c r="Q117" s="116"/>
      <c r="R117" s="116"/>
    </row>
    <row r="118" spans="1:21" ht="28.9">
      <c r="A118" s="24" t="str">
        <v>Clayton Hall</v>
      </c>
      <c r="B118" s="25" t="str">
        <v>DE</v>
      </c>
      <c r="C118" s="25" t="str">
        <f>Sites[[#This Row],[SOL'#]]</f>
        <v>SOL-10820</v>
      </c>
      <c r="D118" s="20">
        <v>19646</v>
      </c>
      <c r="E118" s="10">
        <v>21842</v>
      </c>
      <c r="F118" s="10">
        <f t="shared" si="6"/>
        <v>-2196</v>
      </c>
      <c r="G118" s="11">
        <f t="shared" si="7"/>
        <v>-0.10054024356743888</v>
      </c>
      <c r="H118" s="12">
        <v>20527</v>
      </c>
      <c r="I118" s="12">
        <f t="shared" si="8"/>
        <v>-881</v>
      </c>
      <c r="J118" s="13">
        <f t="shared" si="9"/>
        <v>-4.2919082184440009E-2</v>
      </c>
      <c r="K118" s="53" t="s">
        <v>1555</v>
      </c>
      <c r="L118" s="53" t="s">
        <v>1556</v>
      </c>
      <c r="M118" s="116"/>
      <c r="N118" s="116"/>
      <c r="O118" s="116"/>
      <c r="P118" s="116"/>
      <c r="Q118" s="116"/>
      <c r="R118" s="116"/>
    </row>
    <row r="119" spans="1:21" ht="28.9">
      <c r="A119" s="26" t="str">
        <v>Field House</v>
      </c>
      <c r="B119" s="27" t="str">
        <v>DE</v>
      </c>
      <c r="C119" s="9" t="str">
        <f>Sites[[#This Row],[SOL'#]]</f>
        <v>SOL-10821</v>
      </c>
      <c r="D119" s="9">
        <v>49610</v>
      </c>
      <c r="E119" s="14" t="s">
        <v>777</v>
      </c>
      <c r="F119" s="14" t="str">
        <f t="shared" si="6"/>
        <v/>
      </c>
      <c r="G119" s="15" t="str">
        <f t="shared" si="7"/>
        <v/>
      </c>
      <c r="H119" s="16">
        <v>49968</v>
      </c>
      <c r="I119" s="16">
        <f t="shared" si="8"/>
        <v>-358</v>
      </c>
      <c r="J119" s="15">
        <f t="shared" si="9"/>
        <v>-7.1645853346141535E-3</v>
      </c>
      <c r="K119" s="155" t="s">
        <v>623</v>
      </c>
      <c r="L119" s="112" t="s">
        <v>1557</v>
      </c>
      <c r="M119" s="116"/>
      <c r="N119" s="116"/>
      <c r="O119" s="116"/>
      <c r="P119" s="116"/>
      <c r="Q119" s="116"/>
      <c r="R119" s="116"/>
    </row>
    <row r="120" spans="1:21" ht="57.6">
      <c r="A120" s="24" t="str">
        <v>Wyoming Road</v>
      </c>
      <c r="B120" s="25" t="str">
        <v>DE</v>
      </c>
      <c r="C120" s="25" t="str">
        <f>Sites[[#This Row],[SOL'#]]</f>
        <v>SOL-10819</v>
      </c>
      <c r="D120" s="20">
        <v>17039</v>
      </c>
      <c r="E120" s="10">
        <v>33912</v>
      </c>
      <c r="F120" s="10">
        <f t="shared" si="6"/>
        <v>-16873</v>
      </c>
      <c r="G120" s="11">
        <f t="shared" si="7"/>
        <v>-0.49755248879452701</v>
      </c>
      <c r="H120" s="12">
        <v>38016</v>
      </c>
      <c r="I120" s="12">
        <f t="shared" si="8"/>
        <v>-20977</v>
      </c>
      <c r="J120" s="13">
        <f t="shared" si="9"/>
        <v>-0.55179398148148151</v>
      </c>
      <c r="K120" s="53" t="s">
        <v>1558</v>
      </c>
      <c r="L120" s="111" t="s">
        <v>1559</v>
      </c>
      <c r="M120" s="116"/>
      <c r="N120" s="116"/>
      <c r="O120" s="116"/>
      <c r="P120" s="116"/>
      <c r="Q120" s="116"/>
      <c r="R120" s="116"/>
    </row>
    <row r="121" spans="1:21" ht="86.45">
      <c r="A121" s="26" t="str">
        <v>94-246 Leoku St. - PV Bldg E, F, G</v>
      </c>
      <c r="B121" s="27" t="str">
        <v>HI</v>
      </c>
      <c r="C121" s="9" t="str">
        <f>Sites[[#This Row],[SOL'#]]</f>
        <v>SOL-10071</v>
      </c>
      <c r="D121" s="9">
        <v>6506</v>
      </c>
      <c r="E121" s="14">
        <v>11997</v>
      </c>
      <c r="F121" s="14">
        <f t="shared" si="6"/>
        <v>-5491</v>
      </c>
      <c r="G121" s="15">
        <f t="shared" si="7"/>
        <v>-0.45769775777277655</v>
      </c>
      <c r="H121" s="16">
        <v>13161</v>
      </c>
      <c r="I121" s="16">
        <f t="shared" si="8"/>
        <v>-6655</v>
      </c>
      <c r="J121" s="15">
        <f t="shared" si="9"/>
        <v>-0.50566066408327637</v>
      </c>
      <c r="K121" s="155" t="s">
        <v>1560</v>
      </c>
      <c r="L121" s="112" t="s">
        <v>1561</v>
      </c>
      <c r="M121" s="115" t="s">
        <v>630</v>
      </c>
      <c r="N121" s="115" t="s">
        <v>937</v>
      </c>
      <c r="O121" s="116"/>
      <c r="P121" s="116"/>
      <c r="Q121" s="116"/>
      <c r="R121" s="116"/>
    </row>
    <row r="122" spans="1:21" ht="15.6">
      <c r="A122" s="24" t="str">
        <v>94-099 Waipahu St - PV</v>
      </c>
      <c r="B122" s="25" t="str">
        <v>HI</v>
      </c>
      <c r="C122" s="25" t="str">
        <f>Sites[[#This Row],[SOL'#]]</f>
        <v>SOL-10068</v>
      </c>
      <c r="D122" s="20">
        <v>13229</v>
      </c>
      <c r="E122" s="10">
        <v>10354</v>
      </c>
      <c r="F122" s="10">
        <f t="shared" si="6"/>
        <v>2875</v>
      </c>
      <c r="G122" s="11">
        <f t="shared" si="7"/>
        <v>0.27767046552057179</v>
      </c>
      <c r="H122" s="12">
        <v>13154</v>
      </c>
      <c r="I122" s="12">
        <f t="shared" si="8"/>
        <v>75</v>
      </c>
      <c r="J122" s="13">
        <f t="shared" si="9"/>
        <v>5.7016876995590691E-3</v>
      </c>
      <c r="K122" s="53"/>
      <c r="L122" s="53"/>
      <c r="M122" s="116"/>
      <c r="N122" s="116"/>
      <c r="O122" s="116"/>
      <c r="P122" s="116"/>
      <c r="Q122" s="116"/>
      <c r="R122" s="116"/>
    </row>
    <row r="123" spans="1:21" ht="100.9">
      <c r="A123" s="26" t="str">
        <v>TES Bird in Hand</v>
      </c>
      <c r="B123" s="27" t="str">
        <v>MD</v>
      </c>
      <c r="C123" s="9" t="str">
        <f>Sites[[#This Row],[SOL'#]]</f>
        <v>SOL-10092</v>
      </c>
      <c r="D123" s="9">
        <v>178592</v>
      </c>
      <c r="E123" s="14">
        <v>175799</v>
      </c>
      <c r="F123" s="14">
        <f t="shared" si="6"/>
        <v>2793</v>
      </c>
      <c r="G123" s="15">
        <f t="shared" si="7"/>
        <v>1.5887462386020398E-2</v>
      </c>
      <c r="H123" s="16">
        <v>172752</v>
      </c>
      <c r="I123" s="16">
        <f t="shared" si="8"/>
        <v>5840</v>
      </c>
      <c r="J123" s="15">
        <f t="shared" si="9"/>
        <v>3.3805686764842087E-2</v>
      </c>
      <c r="K123" s="155" t="s">
        <v>1562</v>
      </c>
      <c r="L123" s="112" t="s">
        <v>1563</v>
      </c>
      <c r="M123" s="115" t="s">
        <v>1564</v>
      </c>
      <c r="N123" s="115" t="s">
        <v>1565</v>
      </c>
      <c r="O123" s="116"/>
      <c r="P123" s="116"/>
      <c r="Q123" s="116"/>
      <c r="R123" s="116"/>
    </row>
    <row r="124" spans="1:21" ht="15.6">
      <c r="A124" s="24" t="str">
        <v>TES Shortal Solar LLC</v>
      </c>
      <c r="B124" s="25" t="str">
        <v>MD</v>
      </c>
      <c r="C124" s="25" t="str">
        <f>Sites[[#This Row],[SOL'#]]</f>
        <v>SOL-10091</v>
      </c>
      <c r="D124" s="20">
        <v>178575</v>
      </c>
      <c r="E124" s="10">
        <v>176387</v>
      </c>
      <c r="F124" s="10">
        <f t="shared" si="6"/>
        <v>2188</v>
      </c>
      <c r="G124" s="11">
        <f t="shared" si="7"/>
        <v>1.2404542284862263E-2</v>
      </c>
      <c r="H124" s="12">
        <v>188697</v>
      </c>
      <c r="I124" s="12">
        <f t="shared" si="8"/>
        <v>-10122</v>
      </c>
      <c r="J124" s="13">
        <f t="shared" si="9"/>
        <v>-5.3641552329925755E-2</v>
      </c>
      <c r="K124" s="53"/>
      <c r="L124" s="53"/>
      <c r="M124" s="116"/>
      <c r="N124" s="116"/>
      <c r="O124" s="116"/>
      <c r="P124" s="116"/>
      <c r="Q124" s="116"/>
      <c r="R124" s="116"/>
    </row>
    <row r="125" spans="1:21" ht="28.9">
      <c r="A125" s="26" t="str">
        <v>Coca Cola Aguadilla</v>
      </c>
      <c r="B125" s="27" t="str">
        <v>PR</v>
      </c>
      <c r="C125" s="9" t="str">
        <f>Sites[[#This Row],[SOL'#]]</f>
        <v>SOL-10072</v>
      </c>
      <c r="D125" s="9">
        <v>15746</v>
      </c>
      <c r="E125" s="14">
        <v>19733</v>
      </c>
      <c r="F125" s="14">
        <f t="shared" si="6"/>
        <v>-3987</v>
      </c>
      <c r="G125" s="15">
        <f t="shared" si="7"/>
        <v>-0.20204733188060608</v>
      </c>
      <c r="H125" s="16">
        <v>21822</v>
      </c>
      <c r="I125" s="16">
        <f t="shared" si="8"/>
        <v>-6076</v>
      </c>
      <c r="J125" s="15">
        <f t="shared" si="9"/>
        <v>-0.27843460727705982</v>
      </c>
      <c r="K125" s="155" t="s">
        <v>1566</v>
      </c>
      <c r="L125" s="112" t="s">
        <v>1567</v>
      </c>
      <c r="M125" s="115" t="s">
        <v>1568</v>
      </c>
      <c r="N125" s="116"/>
      <c r="O125" s="116"/>
      <c r="P125" s="116"/>
      <c r="Q125" s="116"/>
      <c r="R125" s="116"/>
    </row>
    <row r="126" spans="1:21" ht="86.45">
      <c r="A126" s="24" t="str">
        <v>Coca Cola Bayamon</v>
      </c>
      <c r="B126" s="25" t="str">
        <v>PR</v>
      </c>
      <c r="C126" s="25" t="str">
        <f>Sites[[#This Row],[SOL'#]]</f>
        <v>SOL-10073</v>
      </c>
      <c r="D126" s="20">
        <v>53872</v>
      </c>
      <c r="E126" s="10">
        <v>76353</v>
      </c>
      <c r="F126" s="10">
        <f t="shared" si="6"/>
        <v>-22481</v>
      </c>
      <c r="G126" s="11">
        <f t="shared" si="7"/>
        <v>-0.29443505821644206</v>
      </c>
      <c r="H126" s="12">
        <v>89262</v>
      </c>
      <c r="I126" s="12">
        <f t="shared" si="8"/>
        <v>-35390</v>
      </c>
      <c r="J126" s="13">
        <f t="shared" si="9"/>
        <v>-0.39647330330935898</v>
      </c>
      <c r="K126" s="53" t="s">
        <v>1569</v>
      </c>
      <c r="L126" s="111" t="s">
        <v>1570</v>
      </c>
      <c r="M126" s="115" t="s">
        <v>1571</v>
      </c>
      <c r="N126" s="115" t="s">
        <v>948</v>
      </c>
      <c r="O126" s="115" t="s">
        <v>637</v>
      </c>
      <c r="P126" s="115" t="s">
        <v>946</v>
      </c>
      <c r="Q126" s="115" t="s">
        <v>171</v>
      </c>
      <c r="R126" s="116"/>
    </row>
    <row r="127" spans="1:21" ht="129.6">
      <c r="A127" s="26" t="str">
        <v>St Francis School</v>
      </c>
      <c r="B127" s="27" t="str">
        <v>PR</v>
      </c>
      <c r="C127" s="9" t="str">
        <f>Sites[[#This Row],[SOL'#]]</f>
        <v>SOL-10034</v>
      </c>
      <c r="D127" s="9">
        <v>20236</v>
      </c>
      <c r="E127" s="14">
        <v>59400</v>
      </c>
      <c r="F127" s="14">
        <f t="shared" si="6"/>
        <v>-39164</v>
      </c>
      <c r="G127" s="15">
        <f t="shared" si="7"/>
        <v>-0.65932659932659932</v>
      </c>
      <c r="H127" s="16">
        <v>43796</v>
      </c>
      <c r="I127" s="16">
        <f t="shared" si="8"/>
        <v>-23560</v>
      </c>
      <c r="J127" s="15">
        <f t="shared" si="9"/>
        <v>-0.53794867111151701</v>
      </c>
      <c r="K127" s="155" t="s">
        <v>1572</v>
      </c>
      <c r="L127" s="112" t="s">
        <v>1573</v>
      </c>
      <c r="M127" s="115" t="s">
        <v>1252</v>
      </c>
      <c r="N127" s="115" t="s">
        <v>1254</v>
      </c>
      <c r="O127" s="115" t="s">
        <v>176</v>
      </c>
      <c r="P127" s="115" t="s">
        <v>1258</v>
      </c>
      <c r="Q127" s="115" t="s">
        <v>177</v>
      </c>
      <c r="R127" s="115" t="s">
        <v>178</v>
      </c>
      <c r="S127" s="126" t="s">
        <v>174</v>
      </c>
      <c r="T127" s="126" t="s">
        <v>1257</v>
      </c>
      <c r="U127" s="126" t="s">
        <v>1574</v>
      </c>
    </row>
    <row r="128" spans="1:21" ht="57.6">
      <c r="A128" s="24" t="str">
        <v>645 Summer Street - (Seaport Solar)</v>
      </c>
      <c r="B128" s="25" t="str">
        <v>MA</v>
      </c>
      <c r="C128" s="25" t="str">
        <f>Sites[[#This Row],[SOL'#]]</f>
        <v>SOL-10772</v>
      </c>
      <c r="D128" s="20">
        <v>31226</v>
      </c>
      <c r="E128" s="10">
        <v>6312</v>
      </c>
      <c r="F128" s="10">
        <f t="shared" si="6"/>
        <v>24914</v>
      </c>
      <c r="G128" s="11">
        <f t="shared" si="7"/>
        <v>3.9470849176172371</v>
      </c>
      <c r="H128" s="12">
        <v>81749</v>
      </c>
      <c r="I128" s="12">
        <f t="shared" si="8"/>
        <v>-50523</v>
      </c>
      <c r="J128" s="13">
        <f t="shared" si="9"/>
        <v>-0.61802590857380524</v>
      </c>
      <c r="K128" s="53" t="s">
        <v>1575</v>
      </c>
      <c r="L128" s="111" t="s">
        <v>1576</v>
      </c>
      <c r="M128" s="115" t="s">
        <v>1577</v>
      </c>
      <c r="N128" s="116"/>
      <c r="O128" s="116"/>
      <c r="P128" s="116"/>
      <c r="Q128" s="116"/>
      <c r="R128" s="116"/>
    </row>
    <row r="129" spans="1:18" ht="72">
      <c r="A129" s="26" t="str">
        <v>480 Sprague St</v>
      </c>
      <c r="B129" s="27" t="str">
        <v>MA</v>
      </c>
      <c r="C129" s="9" t="str">
        <f>Sites[[#This Row],[SOL'#]]</f>
        <v>SOL-10773</v>
      </c>
      <c r="D129" s="9">
        <v>166228</v>
      </c>
      <c r="E129" s="14">
        <v>0</v>
      </c>
      <c r="F129" s="14">
        <f t="shared" si="6"/>
        <v>166228</v>
      </c>
      <c r="G129" s="15" t="str">
        <f t="shared" si="7"/>
        <v/>
      </c>
      <c r="H129" s="16">
        <v>181375</v>
      </c>
      <c r="I129" s="16">
        <f t="shared" si="8"/>
        <v>-15147</v>
      </c>
      <c r="J129" s="15">
        <f t="shared" si="9"/>
        <v>-8.3512060647829081E-2</v>
      </c>
      <c r="K129" s="155" t="s">
        <v>1578</v>
      </c>
      <c r="L129" s="112" t="s">
        <v>1579</v>
      </c>
      <c r="M129" s="115" t="s">
        <v>1264</v>
      </c>
      <c r="N129" s="116"/>
      <c r="O129" s="116"/>
      <c r="P129" s="116"/>
      <c r="Q129" s="116"/>
      <c r="R129" s="116"/>
    </row>
    <row r="130" spans="1:18" ht="72" customHeight="1">
      <c r="A130" s="24" t="str">
        <v>647 Summer Street - (Summer Street Solar)</v>
      </c>
      <c r="B130" s="25" t="str">
        <v>MA</v>
      </c>
      <c r="C130" s="25" t="str">
        <f>Sites[[#This Row],[SOL'#]]</f>
        <v>SOL-10764</v>
      </c>
      <c r="D130" s="20">
        <v>0</v>
      </c>
      <c r="E130" s="10">
        <v>28310.16</v>
      </c>
      <c r="F130" s="10">
        <f t="shared" si="6"/>
        <v>-28310.16</v>
      </c>
      <c r="G130" s="11">
        <f t="shared" si="7"/>
        <v>-1</v>
      </c>
      <c r="H130" s="12">
        <v>381481</v>
      </c>
      <c r="I130" s="12">
        <f t="shared" si="8"/>
        <v>-381481</v>
      </c>
      <c r="J130" s="13">
        <f t="shared" si="9"/>
        <v>-1</v>
      </c>
      <c r="K130" s="53" t="s">
        <v>1580</v>
      </c>
      <c r="L130" s="111" t="s">
        <v>1581</v>
      </c>
      <c r="M130" s="115" t="s">
        <v>1268</v>
      </c>
      <c r="N130" s="116"/>
      <c r="O130" s="116"/>
      <c r="P130" s="116"/>
      <c r="Q130" s="116"/>
      <c r="R130" s="116"/>
    </row>
    <row r="131" spans="1:18" ht="28.9">
      <c r="A131" s="26" t="str">
        <v>Rochester Technical School (Wakefield Street)</v>
      </c>
      <c r="B131" s="27" t="str">
        <v>NH</v>
      </c>
      <c r="C131" s="9" t="str">
        <f>Sites[[#This Row],[SOL'#]]</f>
        <v>SOL-10768</v>
      </c>
      <c r="D131" s="9">
        <v>16232</v>
      </c>
      <c r="E131" s="14">
        <v>15894</v>
      </c>
      <c r="F131" s="14">
        <f t="shared" si="6"/>
        <v>338</v>
      </c>
      <c r="G131" s="15">
        <f t="shared" si="7"/>
        <v>2.1265886498049578E-2</v>
      </c>
      <c r="H131" s="16">
        <v>13724</v>
      </c>
      <c r="I131" s="16">
        <f t="shared" si="8"/>
        <v>2508</v>
      </c>
      <c r="J131" s="15">
        <f t="shared" si="9"/>
        <v>0.18274555523171088</v>
      </c>
      <c r="K131" s="155" t="s">
        <v>1437</v>
      </c>
      <c r="L131" s="97"/>
      <c r="M131" s="116"/>
      <c r="N131" s="116"/>
      <c r="O131" s="116"/>
      <c r="P131" s="116"/>
      <c r="Q131" s="116"/>
      <c r="R131" s="116"/>
    </row>
    <row r="132" spans="1:18" ht="15.6">
      <c r="A132" s="24" t="str">
        <v>McClelland ES</v>
      </c>
      <c r="B132" s="25" t="str">
        <v>NH</v>
      </c>
      <c r="C132" s="25" t="str">
        <f>Sites[[#This Row],[SOL'#]]</f>
        <v>SOL-10766</v>
      </c>
      <c r="D132" s="20">
        <v>11973.1875</v>
      </c>
      <c r="E132" s="10">
        <v>12834.45</v>
      </c>
      <c r="F132" s="10">
        <f t="shared" si="6"/>
        <v>-861.26250000000073</v>
      </c>
      <c r="G132" s="11">
        <f t="shared" si="7"/>
        <v>-6.7105524584224543E-2</v>
      </c>
      <c r="H132" s="12">
        <v>10302.08</v>
      </c>
      <c r="I132" s="12">
        <f t="shared" si="8"/>
        <v>1671.1075000000001</v>
      </c>
      <c r="J132" s="13">
        <f t="shared" si="9"/>
        <v>0.16221068949183079</v>
      </c>
      <c r="K132" s="53"/>
      <c r="L132" s="53"/>
      <c r="M132" s="116"/>
      <c r="N132" s="116"/>
      <c r="O132" s="116"/>
      <c r="P132" s="116"/>
      <c r="Q132" s="116"/>
      <c r="R132" s="116"/>
    </row>
    <row r="133" spans="1:18" ht="15.6">
      <c r="A133" s="26" t="str">
        <v>Portland St</v>
      </c>
      <c r="B133" s="27" t="str">
        <v>NH</v>
      </c>
      <c r="C133" s="9" t="str">
        <f>Sites[[#This Row],[SOL'#]]</f>
        <v>SOL-10771</v>
      </c>
      <c r="D133" s="9">
        <v>10491</v>
      </c>
      <c r="E133" s="14">
        <v>7509</v>
      </c>
      <c r="F133" s="14">
        <f t="shared" ref="F133:F196" si="10">IF(AND(ISNUMBER(D133),ISNUMBER(E133)), D133-E133, "")</f>
        <v>2982</v>
      </c>
      <c r="G133" s="15">
        <f t="shared" si="7"/>
        <v>0.39712345185777065</v>
      </c>
      <c r="H133" s="16">
        <v>8896</v>
      </c>
      <c r="I133" s="16">
        <f t="shared" si="8"/>
        <v>1595</v>
      </c>
      <c r="J133" s="15">
        <f t="shared" si="9"/>
        <v>0.17929406474820145</v>
      </c>
      <c r="K133" s="155"/>
      <c r="L133" s="97"/>
      <c r="M133" s="116"/>
      <c r="N133" s="116"/>
      <c r="O133" s="116"/>
      <c r="P133" s="116"/>
      <c r="Q133" s="116"/>
      <c r="R133" s="116"/>
    </row>
    <row r="134" spans="1:18" ht="15.6">
      <c r="A134" s="24" t="str">
        <v>Freshet Road -PHS</v>
      </c>
      <c r="B134" s="25" t="str">
        <v>NH</v>
      </c>
      <c r="C134" s="25" t="str">
        <f>Sites[[#This Row],[SOL'#]]</f>
        <v>SOL-10769</v>
      </c>
      <c r="D134" s="20">
        <v>41159</v>
      </c>
      <c r="E134" s="10" t="s">
        <v>777</v>
      </c>
      <c r="F134" s="10" t="str">
        <f t="shared" si="10"/>
        <v/>
      </c>
      <c r="G134" s="11" t="str">
        <f t="shared" ref="G134:G197" si="11">IFERROR(F134/E134, "")</f>
        <v/>
      </c>
      <c r="H134" s="12">
        <v>31706</v>
      </c>
      <c r="I134" s="12">
        <f t="shared" si="8"/>
        <v>9453</v>
      </c>
      <c r="J134" s="13">
        <f t="shared" si="9"/>
        <v>0.29814546142685927</v>
      </c>
      <c r="K134" s="53"/>
      <c r="L134" s="53"/>
      <c r="M134" s="116"/>
      <c r="N134" s="116"/>
      <c r="O134" s="116"/>
      <c r="P134" s="116"/>
      <c r="Q134" s="116"/>
      <c r="R134" s="116"/>
    </row>
    <row r="135" spans="1:18" ht="43.15">
      <c r="A135" s="26" t="str">
        <v>Freshet Road - PWTP</v>
      </c>
      <c r="B135" s="27" t="str">
        <v>NH</v>
      </c>
      <c r="C135" s="9" t="str">
        <f>Sites[[#This Row],[SOL'#]]</f>
        <v>SOL-10770</v>
      </c>
      <c r="D135" s="9" t="s">
        <v>1475</v>
      </c>
      <c r="E135" s="14">
        <v>0</v>
      </c>
      <c r="F135" s="14" t="str">
        <f t="shared" si="10"/>
        <v/>
      </c>
      <c r="G135" s="15" t="str">
        <f t="shared" si="11"/>
        <v/>
      </c>
      <c r="H135" s="16">
        <v>0</v>
      </c>
      <c r="I135" s="16" t="str">
        <f t="shared" si="8"/>
        <v/>
      </c>
      <c r="J135" s="15" t="str">
        <f t="shared" si="9"/>
        <v/>
      </c>
      <c r="K135" s="155" t="s">
        <v>646</v>
      </c>
      <c r="L135" s="112" t="s">
        <v>187</v>
      </c>
      <c r="M135" s="116"/>
      <c r="N135" s="116"/>
      <c r="O135" s="116"/>
      <c r="P135" s="116"/>
      <c r="Q135" s="116"/>
      <c r="R135" s="116"/>
    </row>
    <row r="136" spans="1:18" ht="15.6">
      <c r="A136" s="24" t="str">
        <v>Rochester Middle School (Brock Street)</v>
      </c>
      <c r="B136" s="25" t="str">
        <v>NH</v>
      </c>
      <c r="C136" s="25" t="str">
        <f>Sites[[#This Row],[SOL'#]]</f>
        <v>SOL-10765</v>
      </c>
      <c r="D136" s="20">
        <v>34612</v>
      </c>
      <c r="E136" s="10">
        <v>36179</v>
      </c>
      <c r="F136" s="10">
        <f t="shared" si="10"/>
        <v>-1567</v>
      </c>
      <c r="G136" s="11">
        <f t="shared" si="11"/>
        <v>-4.331241880648995E-2</v>
      </c>
      <c r="H136" s="12">
        <v>31654</v>
      </c>
      <c r="I136" s="12">
        <f t="shared" si="8"/>
        <v>2958</v>
      </c>
      <c r="J136" s="13">
        <f t="shared" si="9"/>
        <v>9.3447905477980667E-2</v>
      </c>
      <c r="K136" s="53"/>
      <c r="L136" s="53"/>
      <c r="M136" s="116"/>
      <c r="N136" s="116"/>
      <c r="O136" s="116"/>
      <c r="P136" s="116"/>
      <c r="Q136" s="116"/>
      <c r="R136" s="116"/>
    </row>
    <row r="137" spans="1:18" ht="15.6">
      <c r="A137" s="26" t="str">
        <v>Spaulding High School (Wakefield Street)</v>
      </c>
      <c r="B137" s="27" t="str">
        <v>NH</v>
      </c>
      <c r="C137" s="9" t="str">
        <f>Sites[[#This Row],[SOL'#]]</f>
        <v>SOL-10767</v>
      </c>
      <c r="D137" s="9">
        <v>16232</v>
      </c>
      <c r="E137" s="14">
        <v>15894</v>
      </c>
      <c r="F137" s="14">
        <f t="shared" si="10"/>
        <v>338</v>
      </c>
      <c r="G137" s="15">
        <f t="shared" si="11"/>
        <v>2.1265886498049578E-2</v>
      </c>
      <c r="H137" s="16">
        <v>13724</v>
      </c>
      <c r="I137" s="16">
        <f t="shared" si="8"/>
        <v>2508</v>
      </c>
      <c r="J137" s="15">
        <f t="shared" si="9"/>
        <v>0.18274555523171088</v>
      </c>
      <c r="K137" s="155"/>
      <c r="L137" s="97"/>
      <c r="M137" s="116"/>
      <c r="N137" s="116"/>
      <c r="O137" s="116"/>
      <c r="P137" s="116"/>
      <c r="Q137" s="116"/>
      <c r="R137" s="116"/>
    </row>
    <row r="138" spans="1:18" ht="15.6">
      <c r="A138" s="24" t="str">
        <v>Ridgeway #2</v>
      </c>
      <c r="B138" s="25" t="str">
        <v>NY</v>
      </c>
      <c r="C138" s="25" t="str">
        <f>Sites[[#This Row],[SOL'#]]</f>
        <v>SOL-11027</v>
      </c>
      <c r="D138" s="20">
        <v>659346</v>
      </c>
      <c r="E138" s="10" t="s">
        <v>777</v>
      </c>
      <c r="F138" s="10" t="str">
        <f t="shared" si="10"/>
        <v/>
      </c>
      <c r="G138" s="11" t="str">
        <f t="shared" si="11"/>
        <v/>
      </c>
      <c r="H138" s="12">
        <v>645978</v>
      </c>
      <c r="I138" s="12">
        <f t="shared" si="8"/>
        <v>13368</v>
      </c>
      <c r="J138" s="13">
        <f t="shared" si="9"/>
        <v>2.069420320815879E-2</v>
      </c>
      <c r="K138" s="53"/>
      <c r="L138" s="53"/>
      <c r="M138" s="116"/>
      <c r="N138" s="116"/>
      <c r="O138" s="116"/>
      <c r="P138" s="116"/>
      <c r="Q138" s="116"/>
      <c r="R138" s="116"/>
    </row>
    <row r="139" spans="1:18" ht="15.6">
      <c r="A139" s="26" t="str">
        <v>Spencer</v>
      </c>
      <c r="B139" s="27" t="str">
        <v>NY</v>
      </c>
      <c r="C139" s="9" t="str">
        <f>Sites[[#This Row],[SOL'#]]</f>
        <v>SOL-11017</v>
      </c>
      <c r="D139" s="74">
        <v>1160891</v>
      </c>
      <c r="E139" s="14" t="s">
        <v>777</v>
      </c>
      <c r="F139" s="14" t="str">
        <f t="shared" si="10"/>
        <v/>
      </c>
      <c r="G139" s="76" t="str">
        <f t="shared" si="11"/>
        <v/>
      </c>
      <c r="H139" s="77">
        <v>1233800</v>
      </c>
      <c r="I139" s="77">
        <f t="shared" si="8"/>
        <v>-72909</v>
      </c>
      <c r="J139" s="76">
        <f t="shared" si="9"/>
        <v>-5.9093045874533963E-2</v>
      </c>
      <c r="K139" s="155" t="s">
        <v>1582</v>
      </c>
      <c r="L139" s="115" t="s">
        <v>1583</v>
      </c>
      <c r="M139" s="116"/>
      <c r="N139" s="116"/>
      <c r="O139" s="116"/>
      <c r="P139" s="116"/>
      <c r="Q139" s="116"/>
      <c r="R139" s="116"/>
    </row>
    <row r="140" spans="1:18" ht="15.6">
      <c r="A140" s="28" t="str">
        <v>Reisender</v>
      </c>
      <c r="B140" s="25" t="str">
        <v>NY</v>
      </c>
      <c r="C140" s="25" t="str">
        <f>Sites[[#This Row],[SOL'#]]</f>
        <v>SOL-10886</v>
      </c>
      <c r="D140" s="60">
        <v>331750</v>
      </c>
      <c r="E140" s="10">
        <v>333637</v>
      </c>
      <c r="F140" s="10">
        <f t="shared" si="10"/>
        <v>-1887</v>
      </c>
      <c r="G140" s="61">
        <f t="shared" si="11"/>
        <v>-5.6558475229066324E-3</v>
      </c>
      <c r="H140" s="75">
        <v>383449</v>
      </c>
      <c r="I140" s="75">
        <f t="shared" si="8"/>
        <v>-51699</v>
      </c>
      <c r="J140" s="72">
        <f t="shared" si="9"/>
        <v>-0.13482627415901463</v>
      </c>
      <c r="K140" s="120" t="s">
        <v>1584</v>
      </c>
      <c r="L140" s="111" t="s">
        <v>1585</v>
      </c>
      <c r="M140" s="116"/>
      <c r="N140" s="116"/>
      <c r="O140" s="116"/>
      <c r="P140" s="116"/>
      <c r="Q140" s="116"/>
      <c r="R140" s="116"/>
    </row>
    <row r="141" spans="1:18" ht="115.15">
      <c r="A141" s="26" t="str">
        <v>Finney</v>
      </c>
      <c r="B141" s="27" t="str">
        <v>NY</v>
      </c>
      <c r="C141" s="9" t="str">
        <f>Sites[[#This Row],[SOL'#]]</f>
        <v>SOL-10999</v>
      </c>
      <c r="D141" s="74">
        <v>1023680</v>
      </c>
      <c r="E141" s="14" t="s">
        <v>777</v>
      </c>
      <c r="F141" s="14" t="str">
        <f t="shared" si="10"/>
        <v/>
      </c>
      <c r="G141" s="76" t="str">
        <f t="shared" si="11"/>
        <v/>
      </c>
      <c r="H141" s="77">
        <v>1241407</v>
      </c>
      <c r="I141" s="77">
        <f t="shared" si="8"/>
        <v>-217727</v>
      </c>
      <c r="J141" s="76">
        <f t="shared" si="9"/>
        <v>-0.17538728233367462</v>
      </c>
      <c r="K141" s="155" t="s">
        <v>1586</v>
      </c>
      <c r="L141" s="114" t="s">
        <v>1587</v>
      </c>
      <c r="M141" s="115" t="s">
        <v>1588</v>
      </c>
      <c r="N141" s="115" t="s">
        <v>1589</v>
      </c>
      <c r="O141" s="115" t="s">
        <v>1590</v>
      </c>
      <c r="P141" s="116"/>
      <c r="Q141" s="116"/>
      <c r="R141" s="116"/>
    </row>
    <row r="142" spans="1:18" ht="99.75" customHeight="1">
      <c r="A142" s="24" t="str">
        <v>Davis Solar</v>
      </c>
      <c r="B142" s="25" t="str">
        <v>NY</v>
      </c>
      <c r="C142" s="25" t="str">
        <f>Sites[[#This Row],[SOL'#]]</f>
        <v>SOL-10958</v>
      </c>
      <c r="D142" s="60">
        <v>292865</v>
      </c>
      <c r="E142" s="10">
        <v>374601.7</v>
      </c>
      <c r="F142" s="10">
        <f t="shared" si="10"/>
        <v>-81736.700000000012</v>
      </c>
      <c r="G142" s="61">
        <f t="shared" si="11"/>
        <v>-0.21819628688284118</v>
      </c>
      <c r="H142" s="75">
        <v>452578</v>
      </c>
      <c r="I142" s="75">
        <f t="shared" si="8"/>
        <v>-159713</v>
      </c>
      <c r="J142" s="72">
        <f t="shared" si="9"/>
        <v>-0.35289607537264295</v>
      </c>
      <c r="K142" s="120" t="s">
        <v>1591</v>
      </c>
      <c r="L142" s="111" t="s">
        <v>1592</v>
      </c>
      <c r="M142" s="115" t="s">
        <v>1593</v>
      </c>
      <c r="N142" s="116"/>
      <c r="O142" s="116"/>
      <c r="P142" s="116"/>
      <c r="Q142" s="116"/>
      <c r="R142" s="116"/>
    </row>
    <row r="143" spans="1:18" ht="72">
      <c r="A143" s="26" t="str">
        <v>Genesee</v>
      </c>
      <c r="B143" s="27" t="str">
        <v>NY</v>
      </c>
      <c r="C143" s="9" t="str">
        <f>Sites[[#This Row],[SOL'#]]</f>
        <v>SOL-10951</v>
      </c>
      <c r="D143" s="74">
        <v>706865</v>
      </c>
      <c r="E143" s="14" t="s">
        <v>777</v>
      </c>
      <c r="F143" s="14" t="str">
        <f t="shared" si="10"/>
        <v/>
      </c>
      <c r="G143" s="76" t="str">
        <f t="shared" si="11"/>
        <v/>
      </c>
      <c r="H143" s="77">
        <v>958340</v>
      </c>
      <c r="I143" s="77">
        <f t="shared" si="8"/>
        <v>-251475</v>
      </c>
      <c r="J143" s="76">
        <f t="shared" si="9"/>
        <v>-0.26240687021307679</v>
      </c>
      <c r="K143" s="155" t="s">
        <v>1594</v>
      </c>
      <c r="L143" s="114" t="s">
        <v>1595</v>
      </c>
      <c r="M143" s="115" t="s">
        <v>1596</v>
      </c>
      <c r="N143" s="115" t="s">
        <v>1597</v>
      </c>
      <c r="O143" s="116"/>
      <c r="P143" s="116"/>
      <c r="Q143" s="116"/>
      <c r="R143" s="116"/>
    </row>
    <row r="144" spans="1:18" ht="15.6">
      <c r="A144" s="24" t="str">
        <v>Landau I</v>
      </c>
      <c r="B144" s="25" t="str">
        <v>NY</v>
      </c>
      <c r="C144" s="25" t="str">
        <f>Sites[[#This Row],[SOL'#]]</f>
        <v>SOL-10891</v>
      </c>
      <c r="D144" s="60">
        <v>378150</v>
      </c>
      <c r="E144" s="10" t="s">
        <v>777</v>
      </c>
      <c r="F144" s="10" t="str">
        <f t="shared" si="10"/>
        <v/>
      </c>
      <c r="G144" s="61" t="str">
        <f t="shared" si="11"/>
        <v/>
      </c>
      <c r="H144" s="75">
        <v>415759</v>
      </c>
      <c r="I144" s="75">
        <f t="shared" si="8"/>
        <v>-37609</v>
      </c>
      <c r="J144" s="72">
        <f t="shared" si="9"/>
        <v>-9.0458655134344659E-2</v>
      </c>
      <c r="K144" s="120"/>
      <c r="L144" s="53"/>
      <c r="M144" s="116"/>
      <c r="N144" s="116"/>
      <c r="O144" s="116"/>
      <c r="P144" s="116"/>
      <c r="Q144" s="116"/>
      <c r="R144" s="116"/>
    </row>
    <row r="145" spans="1:18" ht="43.15">
      <c r="A145" s="26" t="str">
        <v>Landau II</v>
      </c>
      <c r="B145" s="27" t="str">
        <v>NY</v>
      </c>
      <c r="C145" s="9" t="str">
        <f>Sites[[#This Row],[SOL'#]]</f>
        <v>SOL-10895</v>
      </c>
      <c r="D145" s="74">
        <v>22460</v>
      </c>
      <c r="E145" s="14" t="s">
        <v>777</v>
      </c>
      <c r="F145" s="14" t="str">
        <f t="shared" si="10"/>
        <v/>
      </c>
      <c r="G145" s="76" t="str">
        <f t="shared" si="11"/>
        <v/>
      </c>
      <c r="H145" s="77"/>
      <c r="I145" s="77" t="str">
        <f t="shared" si="8"/>
        <v/>
      </c>
      <c r="J145" s="76" t="str">
        <f t="shared" si="9"/>
        <v/>
      </c>
      <c r="K145" s="155" t="s">
        <v>1598</v>
      </c>
      <c r="L145" s="115" t="s">
        <v>1599</v>
      </c>
      <c r="M145" s="115" t="s">
        <v>1293</v>
      </c>
      <c r="N145" s="115" t="s">
        <v>1600</v>
      </c>
      <c r="O145" s="116"/>
      <c r="P145" s="116"/>
      <c r="Q145" s="116"/>
      <c r="R145" s="116"/>
    </row>
    <row r="146" spans="1:18" ht="39.75" customHeight="1">
      <c r="A146" s="24" t="str">
        <v>New Beginnings</v>
      </c>
      <c r="B146" s="25" t="str">
        <v>NY</v>
      </c>
      <c r="C146" s="25" t="str">
        <f>Sites[[#This Row],[SOL'#]]</f>
        <v>SOL-10890</v>
      </c>
      <c r="D146" s="60">
        <v>63410</v>
      </c>
      <c r="E146" s="10">
        <v>371839</v>
      </c>
      <c r="F146" s="10">
        <f t="shared" si="10"/>
        <v>-308429</v>
      </c>
      <c r="G146" s="61">
        <f t="shared" si="11"/>
        <v>-0.82946920575840621</v>
      </c>
      <c r="H146" s="75">
        <v>402875</v>
      </c>
      <c r="I146" s="75">
        <f t="shared" ref="I146:I200" si="12">IF(AND(ISNUMBER(D146),ISNUMBER(H146)), D146-H146, "")</f>
        <v>-339465</v>
      </c>
      <c r="J146" s="72">
        <f t="shared" ref="J146:J200" si="13">IFERROR(I146/H146, "")</f>
        <v>-0.84260626745268385</v>
      </c>
      <c r="K146" s="120" t="s">
        <v>1601</v>
      </c>
      <c r="L146" s="111" t="s">
        <v>1298</v>
      </c>
      <c r="M146" s="116"/>
      <c r="N146" s="116"/>
      <c r="O146" s="116"/>
      <c r="P146" s="116"/>
      <c r="Q146" s="116"/>
      <c r="R146" s="116"/>
    </row>
    <row r="147" spans="1:18" ht="15.6">
      <c r="A147" s="26" t="str">
        <v>Bullitt Farm Solar, LLC</v>
      </c>
      <c r="B147" s="27" t="str">
        <v>NY</v>
      </c>
      <c r="C147" s="9" t="str">
        <f>Sites[[#This Row],[SOL'#]]</f>
        <v>SOL-10998</v>
      </c>
      <c r="D147" s="74">
        <v>1089099</v>
      </c>
      <c r="E147" s="14">
        <v>1103979</v>
      </c>
      <c r="F147" s="14">
        <f t="shared" si="10"/>
        <v>-14880</v>
      </c>
      <c r="G147" s="76">
        <f t="shared" si="11"/>
        <v>-1.3478517254404295E-2</v>
      </c>
      <c r="H147" s="77">
        <v>1188892</v>
      </c>
      <c r="I147" s="77">
        <f t="shared" si="12"/>
        <v>-99793</v>
      </c>
      <c r="J147" s="76">
        <f t="shared" si="13"/>
        <v>-8.3937817732813405E-2</v>
      </c>
      <c r="K147" s="155"/>
      <c r="L147" s="100"/>
      <c r="M147" s="116"/>
      <c r="N147" s="116"/>
      <c r="O147" s="116"/>
      <c r="P147" s="116"/>
      <c r="Q147" s="116"/>
      <c r="R147" s="116"/>
    </row>
    <row r="148" spans="1:18" ht="86.45">
      <c r="A148" s="24" t="str">
        <v>Brodhead Solar, LLC</v>
      </c>
      <c r="B148" s="25" t="str">
        <v>NY</v>
      </c>
      <c r="C148" s="25" t="str">
        <f>Sites[[#This Row],[SOL'#]]</f>
        <v>SOL-10899</v>
      </c>
      <c r="D148" s="60">
        <v>370257</v>
      </c>
      <c r="E148" s="10">
        <v>453079</v>
      </c>
      <c r="F148" s="10">
        <f t="shared" si="10"/>
        <v>-82822</v>
      </c>
      <c r="G148" s="61">
        <f t="shared" si="11"/>
        <v>-0.18279814337014075</v>
      </c>
      <c r="H148" s="75">
        <v>517267</v>
      </c>
      <c r="I148" s="75">
        <f t="shared" si="12"/>
        <v>-147010</v>
      </c>
      <c r="J148" s="72">
        <f t="shared" si="13"/>
        <v>-0.2842052556996677</v>
      </c>
      <c r="K148" s="120" t="s">
        <v>1602</v>
      </c>
      <c r="L148" s="111" t="s">
        <v>1301</v>
      </c>
      <c r="M148" s="115" t="s">
        <v>675</v>
      </c>
      <c r="N148" s="116"/>
      <c r="O148" s="116"/>
      <c r="P148" s="116"/>
      <c r="Q148" s="116"/>
      <c r="R148" s="116"/>
    </row>
    <row r="149" spans="1:18" ht="28.9">
      <c r="A149" s="26" t="str">
        <v>Svenski</v>
      </c>
      <c r="B149" s="27" t="str">
        <v>NY</v>
      </c>
      <c r="C149" s="9" t="str">
        <f>Sites[[#This Row],[SOL'#]]</f>
        <v>SOL-10894</v>
      </c>
      <c r="D149" s="74">
        <v>365745</v>
      </c>
      <c r="E149" s="14" t="s">
        <v>777</v>
      </c>
      <c r="F149" s="14" t="str">
        <f t="shared" si="10"/>
        <v/>
      </c>
      <c r="G149" s="76" t="str">
        <f t="shared" si="11"/>
        <v/>
      </c>
      <c r="H149" s="77">
        <v>437648</v>
      </c>
      <c r="I149" s="77">
        <f t="shared" si="12"/>
        <v>-71903</v>
      </c>
      <c r="J149" s="76">
        <f t="shared" si="13"/>
        <v>-0.1642941359265894</v>
      </c>
      <c r="K149" s="155" t="s">
        <v>1603</v>
      </c>
      <c r="L149" s="115" t="s">
        <v>1604</v>
      </c>
      <c r="M149" s="116"/>
      <c r="N149" s="116"/>
      <c r="O149" s="116"/>
      <c r="P149" s="116"/>
      <c r="Q149" s="116"/>
      <c r="R149" s="116"/>
    </row>
    <row r="150" spans="1:18" ht="144">
      <c r="A150" s="24" t="str">
        <v>Bantam</v>
      </c>
      <c r="B150" s="25" t="str">
        <v>NY</v>
      </c>
      <c r="C150" s="25" t="str">
        <f>Sites[[#This Row],[SOL'#]]</f>
        <v>SOL-10986</v>
      </c>
      <c r="D150" s="60">
        <v>94580</v>
      </c>
      <c r="E150" s="10" t="s">
        <v>777</v>
      </c>
      <c r="F150" s="10" t="str">
        <f t="shared" si="10"/>
        <v/>
      </c>
      <c r="G150" s="61" t="str">
        <f t="shared" si="11"/>
        <v/>
      </c>
      <c r="H150" s="75">
        <v>1178744</v>
      </c>
      <c r="I150" s="75">
        <f t="shared" si="12"/>
        <v>-1084164</v>
      </c>
      <c r="J150" s="72">
        <f t="shared" si="13"/>
        <v>-0.91976205181108028</v>
      </c>
      <c r="K150" s="120" t="s">
        <v>1605</v>
      </c>
      <c r="L150" s="111" t="s">
        <v>1606</v>
      </c>
      <c r="M150" s="115" t="s">
        <v>1310</v>
      </c>
      <c r="N150" s="115" t="s">
        <v>1311</v>
      </c>
      <c r="O150" s="116"/>
      <c r="P150" s="116"/>
      <c r="Q150" s="116"/>
      <c r="R150" s="116"/>
    </row>
    <row r="151" spans="1:18" ht="28.9">
      <c r="A151" s="26" t="str">
        <v>Bogart</v>
      </c>
      <c r="B151" s="27" t="str">
        <v>NY</v>
      </c>
      <c r="C151" s="9" t="str">
        <f>Sites[[#This Row],[SOL'#]]</f>
        <v>SOL-10887</v>
      </c>
      <c r="D151" s="74">
        <v>319950</v>
      </c>
      <c r="E151" s="14">
        <v>372889</v>
      </c>
      <c r="F151" s="14">
        <f t="shared" si="10"/>
        <v>-52939</v>
      </c>
      <c r="G151" s="76">
        <f t="shared" si="11"/>
        <v>-0.14196986234509465</v>
      </c>
      <c r="H151" s="77">
        <v>395717</v>
      </c>
      <c r="I151" s="77">
        <f t="shared" si="12"/>
        <v>-75767</v>
      </c>
      <c r="J151" s="76">
        <f t="shared" si="13"/>
        <v>-0.19146763975265152</v>
      </c>
      <c r="K151" s="155" t="s">
        <v>1607</v>
      </c>
      <c r="L151" s="115" t="s">
        <v>1608</v>
      </c>
      <c r="M151" s="116"/>
      <c r="N151" s="116"/>
      <c r="O151" s="116"/>
      <c r="P151" s="116"/>
      <c r="Q151" s="116"/>
      <c r="R151" s="116"/>
    </row>
    <row r="152" spans="1:18" ht="115.15">
      <c r="A152" s="24" t="str">
        <v>Dubois</v>
      </c>
      <c r="B152" s="25" t="str">
        <v>NY</v>
      </c>
      <c r="C152" s="25" t="str">
        <f>Sites[[#This Row],[SOL'#]]</f>
        <v>SOL-10892</v>
      </c>
      <c r="D152" s="60">
        <v>275800</v>
      </c>
      <c r="E152" s="10" t="s">
        <v>777</v>
      </c>
      <c r="F152" s="10" t="str">
        <f t="shared" si="10"/>
        <v/>
      </c>
      <c r="G152" s="61" t="str">
        <f t="shared" si="11"/>
        <v/>
      </c>
      <c r="H152" s="75"/>
      <c r="I152" s="75" t="str">
        <f t="shared" si="12"/>
        <v/>
      </c>
      <c r="J152" s="72" t="str">
        <f t="shared" si="13"/>
        <v/>
      </c>
      <c r="K152" s="120" t="s">
        <v>1609</v>
      </c>
      <c r="L152" s="111" t="s">
        <v>1610</v>
      </c>
      <c r="M152" s="115" t="s">
        <v>1611</v>
      </c>
      <c r="N152" s="115" t="s">
        <v>1612</v>
      </c>
      <c r="O152" s="115" t="s">
        <v>1613</v>
      </c>
      <c r="P152" s="116"/>
      <c r="Q152" s="116"/>
      <c r="R152" s="116"/>
    </row>
    <row r="153" spans="1:18" ht="86.45">
      <c r="A153" s="26" t="str">
        <v>Salt Point</v>
      </c>
      <c r="B153" s="27" t="str">
        <v>NY</v>
      </c>
      <c r="C153" s="9" t="str">
        <f>Sites[[#This Row],[SOL'#]]</f>
        <v>SOL-10888</v>
      </c>
      <c r="D153" s="74">
        <v>385040</v>
      </c>
      <c r="E153" s="14" t="s">
        <v>777</v>
      </c>
      <c r="F153" s="14" t="str">
        <f t="shared" si="10"/>
        <v/>
      </c>
      <c r="G153" s="76" t="str">
        <f t="shared" si="11"/>
        <v/>
      </c>
      <c r="H153" s="77">
        <v>482846</v>
      </c>
      <c r="I153" s="77">
        <f t="shared" si="12"/>
        <v>-97806</v>
      </c>
      <c r="J153" s="76">
        <f t="shared" si="13"/>
        <v>-0.20256147922940235</v>
      </c>
      <c r="K153" s="155" t="s">
        <v>1614</v>
      </c>
      <c r="L153" s="114" t="s">
        <v>1615</v>
      </c>
      <c r="M153" s="115" t="s">
        <v>1616</v>
      </c>
      <c r="N153" s="116"/>
      <c r="O153" s="116"/>
      <c r="P153" s="116"/>
      <c r="Q153" s="116"/>
      <c r="R153" s="116"/>
    </row>
    <row r="154" spans="1:18" ht="144">
      <c r="A154" s="24" t="str">
        <v>Wheatland 2A</v>
      </c>
      <c r="B154" s="25" t="str">
        <v>NY</v>
      </c>
      <c r="C154" s="25" t="str">
        <f>Sites[[#This Row],[SOL'#]]</f>
        <v>SOL-10971</v>
      </c>
      <c r="D154" s="60">
        <v>864380</v>
      </c>
      <c r="E154" s="10" t="s">
        <v>777</v>
      </c>
      <c r="F154" s="10" t="str">
        <f t="shared" si="10"/>
        <v/>
      </c>
      <c r="G154" s="61" t="str">
        <f t="shared" si="11"/>
        <v/>
      </c>
      <c r="H154" s="75">
        <v>1095784</v>
      </c>
      <c r="I154" s="75">
        <f t="shared" si="12"/>
        <v>-231404</v>
      </c>
      <c r="J154" s="72">
        <f t="shared" si="13"/>
        <v>-0.2111766552532251</v>
      </c>
      <c r="K154" s="120" t="s">
        <v>1617</v>
      </c>
      <c r="L154" s="111" t="s">
        <v>1618</v>
      </c>
      <c r="M154" s="115" t="s">
        <v>687</v>
      </c>
      <c r="N154" s="115" t="s">
        <v>1322</v>
      </c>
      <c r="O154" s="115" t="s">
        <v>1619</v>
      </c>
      <c r="P154" s="116"/>
      <c r="Q154" s="116"/>
      <c r="R154" s="116"/>
    </row>
    <row r="155" spans="1:18" ht="28.9">
      <c r="A155" s="26" t="str">
        <v>Wheatland 2B</v>
      </c>
      <c r="B155" s="27" t="str">
        <v>NY</v>
      </c>
      <c r="C155" s="9" t="str">
        <f>Sites[[#This Row],[SOL'#]]</f>
        <v>SOL-10961</v>
      </c>
      <c r="D155" s="74">
        <v>1027920</v>
      </c>
      <c r="E155" s="14" t="s">
        <v>777</v>
      </c>
      <c r="F155" s="14" t="str">
        <f t="shared" si="10"/>
        <v/>
      </c>
      <c r="G155" s="76" t="str">
        <f t="shared" si="11"/>
        <v/>
      </c>
      <c r="H155" s="77">
        <v>1088223</v>
      </c>
      <c r="I155" s="77">
        <f t="shared" si="12"/>
        <v>-60303</v>
      </c>
      <c r="J155" s="76">
        <f t="shared" si="13"/>
        <v>-5.5414193598187139E-2</v>
      </c>
      <c r="K155" s="155" t="s">
        <v>1620</v>
      </c>
      <c r="L155" s="115" t="s">
        <v>1621</v>
      </c>
      <c r="M155" s="116"/>
      <c r="N155" s="116"/>
      <c r="O155" s="116"/>
      <c r="P155" s="116"/>
      <c r="Q155" s="116"/>
      <c r="R155" s="116"/>
    </row>
    <row r="156" spans="1:18" ht="57.6">
      <c r="A156" s="24" t="str">
        <v>Brickchurch</v>
      </c>
      <c r="B156" s="25" t="str">
        <v>NY</v>
      </c>
      <c r="C156" s="25" t="str">
        <f>Sites[[#This Row],[SOL'#]]</f>
        <v>SOL-10889</v>
      </c>
      <c r="D156" s="60">
        <v>459310</v>
      </c>
      <c r="E156" s="10">
        <v>459002</v>
      </c>
      <c r="F156" s="10">
        <f t="shared" si="10"/>
        <v>308</v>
      </c>
      <c r="G156" s="61">
        <f t="shared" si="11"/>
        <v>6.7102104130265232E-4</v>
      </c>
      <c r="H156" s="75">
        <v>502386</v>
      </c>
      <c r="I156" s="75">
        <f t="shared" si="12"/>
        <v>-43076</v>
      </c>
      <c r="J156" s="72">
        <f t="shared" si="13"/>
        <v>-8.5742835190471073E-2</v>
      </c>
      <c r="K156" s="120" t="s">
        <v>1325</v>
      </c>
      <c r="L156" s="111" t="s">
        <v>1622</v>
      </c>
      <c r="M156" s="115" t="s">
        <v>696</v>
      </c>
      <c r="N156" s="116"/>
      <c r="O156" s="116"/>
      <c r="P156" s="116"/>
      <c r="Q156" s="116"/>
      <c r="R156" s="116"/>
    </row>
    <row r="157" spans="1:18" ht="28.9">
      <c r="A157" s="26" t="str">
        <v>McCarthy Solar</v>
      </c>
      <c r="B157" s="27" t="str">
        <v>NY</v>
      </c>
      <c r="C157" s="9" t="str">
        <f>Sites[[#This Row],[SOL'#]]</f>
        <v>SOL-10992</v>
      </c>
      <c r="D157" s="74">
        <v>283530</v>
      </c>
      <c r="E157" s="14" t="s">
        <v>777</v>
      </c>
      <c r="F157" s="14" t="str">
        <f t="shared" si="10"/>
        <v/>
      </c>
      <c r="G157" s="76" t="str">
        <f t="shared" si="11"/>
        <v/>
      </c>
      <c r="H157" s="77">
        <v>418645</v>
      </c>
      <c r="I157" s="77">
        <f t="shared" si="12"/>
        <v>-135115</v>
      </c>
      <c r="J157" s="76">
        <f t="shared" si="13"/>
        <v>-0.32274361332393792</v>
      </c>
      <c r="K157" s="155" t="s">
        <v>1623</v>
      </c>
      <c r="L157" s="115" t="s">
        <v>1624</v>
      </c>
      <c r="M157" s="116"/>
      <c r="N157" s="116"/>
      <c r="O157" s="116"/>
      <c r="P157" s="116"/>
      <c r="Q157" s="116"/>
      <c r="R157" s="116"/>
    </row>
    <row r="158" spans="1:18" ht="100.9">
      <c r="A158" s="24" t="str">
        <v>Costanza</v>
      </c>
      <c r="B158" s="25" t="str">
        <v>NY</v>
      </c>
      <c r="C158" s="25" t="str">
        <f>Sites[[#This Row],[SOL'#]]</f>
        <v>SOL-10907</v>
      </c>
      <c r="D158" s="60">
        <v>364360</v>
      </c>
      <c r="E158" s="10" t="s">
        <v>777</v>
      </c>
      <c r="F158" s="10" t="str">
        <f t="shared" si="10"/>
        <v/>
      </c>
      <c r="G158" s="61" t="str">
        <f t="shared" si="11"/>
        <v/>
      </c>
      <c r="H158" s="75">
        <v>414587</v>
      </c>
      <c r="I158" s="75">
        <f t="shared" si="12"/>
        <v>-50227</v>
      </c>
      <c r="J158" s="72">
        <f t="shared" si="13"/>
        <v>-0.12114948129101974</v>
      </c>
      <c r="K158" s="120" t="s">
        <v>1625</v>
      </c>
      <c r="L158" s="111" t="s">
        <v>1626</v>
      </c>
      <c r="M158" s="115" t="s">
        <v>1627</v>
      </c>
      <c r="N158" s="115" t="s">
        <v>1628</v>
      </c>
      <c r="O158" s="116"/>
      <c r="P158" s="116"/>
      <c r="Q158" s="116"/>
      <c r="R158" s="116"/>
    </row>
    <row r="159" spans="1:18" ht="86.45">
      <c r="A159" s="26" t="str">
        <v>Lockenhurst Pond</v>
      </c>
      <c r="B159" s="27" t="str">
        <v>NY</v>
      </c>
      <c r="C159" s="9" t="str">
        <f>Sites[[#This Row],[SOL'#]]</f>
        <v>SOL-11000</v>
      </c>
      <c r="D159" s="74">
        <v>416911.283582089</v>
      </c>
      <c r="E159" s="14">
        <v>444563.9</v>
      </c>
      <c r="F159" s="14">
        <f t="shared" si="10"/>
        <v>-27652.61641791102</v>
      </c>
      <c r="G159" s="76">
        <f t="shared" si="11"/>
        <v>-6.2201668686798495E-2</v>
      </c>
      <c r="H159" s="77">
        <v>498681</v>
      </c>
      <c r="I159" s="77">
        <f t="shared" si="12"/>
        <v>-81769.716417910997</v>
      </c>
      <c r="J159" s="76">
        <f t="shared" si="13"/>
        <v>-0.16397199094794265</v>
      </c>
      <c r="K159" s="155" t="s">
        <v>1629</v>
      </c>
      <c r="L159" s="100"/>
      <c r="M159" s="116"/>
      <c r="N159" s="116"/>
      <c r="O159" s="116"/>
      <c r="P159" s="116"/>
      <c r="Q159" s="116"/>
      <c r="R159" s="116"/>
    </row>
    <row r="160" spans="1:18" ht="15.6">
      <c r="A160" s="24" t="str">
        <v>Drinkwater</v>
      </c>
      <c r="B160" s="25" t="str">
        <v>NY</v>
      </c>
      <c r="C160" s="25" t="str">
        <f>Sites[[#This Row],[SOL'#]]</f>
        <v>SOL-10896</v>
      </c>
      <c r="D160" s="60">
        <v>392340</v>
      </c>
      <c r="E160" s="10" t="s">
        <v>777</v>
      </c>
      <c r="F160" s="10" t="str">
        <f t="shared" si="10"/>
        <v/>
      </c>
      <c r="G160" s="61" t="str">
        <f t="shared" si="11"/>
        <v/>
      </c>
      <c r="H160" s="75">
        <v>416568</v>
      </c>
      <c r="I160" s="75">
        <f t="shared" si="12"/>
        <v>-24228</v>
      </c>
      <c r="J160" s="72">
        <f t="shared" si="13"/>
        <v>-5.8160972518292331E-2</v>
      </c>
      <c r="K160" s="120"/>
      <c r="L160" s="53"/>
      <c r="M160" s="116"/>
      <c r="N160" s="116"/>
      <c r="O160" s="116"/>
      <c r="P160" s="116"/>
      <c r="Q160" s="116"/>
      <c r="R160" s="116"/>
    </row>
    <row r="161" spans="1:18" ht="15.6">
      <c r="A161" s="26" t="str">
        <v>Altamont</v>
      </c>
      <c r="B161" s="27" t="str">
        <v>NY</v>
      </c>
      <c r="C161" s="9" t="str">
        <f>Sites[[#This Row],[SOL'#]]</f>
        <v>SOL-11085</v>
      </c>
      <c r="D161" s="74">
        <v>691328</v>
      </c>
      <c r="E161" s="14">
        <v>694252.9</v>
      </c>
      <c r="F161" s="14">
        <f t="shared" si="10"/>
        <v>-2924.9000000000233</v>
      </c>
      <c r="G161" s="76">
        <f t="shared" si="11"/>
        <v>-4.2130180514910682E-3</v>
      </c>
      <c r="H161" s="77">
        <v>722079.4</v>
      </c>
      <c r="I161" s="77">
        <f t="shared" si="12"/>
        <v>-30751.400000000023</v>
      </c>
      <c r="J161" s="76">
        <f t="shared" si="13"/>
        <v>-4.2587283337538813E-2</v>
      </c>
      <c r="K161" s="155"/>
      <c r="L161" s="100"/>
      <c r="M161" s="116"/>
      <c r="N161" s="116"/>
      <c r="O161" s="116"/>
      <c r="P161" s="116"/>
      <c r="Q161" s="116"/>
      <c r="R161" s="116"/>
    </row>
    <row r="162" spans="1:18" ht="28.9">
      <c r="A162" s="24" t="str">
        <v>Krumkill North</v>
      </c>
      <c r="B162" s="25" t="str">
        <v>NY</v>
      </c>
      <c r="C162" s="25" t="str">
        <f>Sites[[#This Row],[SOL'#]]</f>
        <v>SOL-11086</v>
      </c>
      <c r="D162" s="60">
        <v>713039</v>
      </c>
      <c r="E162" s="10">
        <v>821994.6</v>
      </c>
      <c r="F162" s="10">
        <f t="shared" si="10"/>
        <v>-108955.59999999998</v>
      </c>
      <c r="G162" s="61">
        <f t="shared" si="11"/>
        <v>-0.13255026249564167</v>
      </c>
      <c r="H162" s="75">
        <v>819211.9</v>
      </c>
      <c r="I162" s="75">
        <f t="shared" si="12"/>
        <v>-106172.90000000002</v>
      </c>
      <c r="J162" s="72">
        <f t="shared" si="13"/>
        <v>-0.12960370814925909</v>
      </c>
      <c r="K162" s="120" t="s">
        <v>1630</v>
      </c>
      <c r="L162" s="111" t="s">
        <v>1631</v>
      </c>
      <c r="M162" s="116"/>
      <c r="N162" s="116"/>
      <c r="O162" s="116"/>
      <c r="P162" s="116"/>
      <c r="Q162" s="116"/>
      <c r="R162" s="116"/>
    </row>
    <row r="163" spans="1:18" ht="28.9">
      <c r="A163" s="26" t="str">
        <v>Krumkill South</v>
      </c>
      <c r="B163" s="27" t="str">
        <v>NY</v>
      </c>
      <c r="C163" s="9" t="str">
        <f>Sites[[#This Row],[SOL'#]]</f>
        <v>SOL-11087</v>
      </c>
      <c r="D163" s="74">
        <v>590962</v>
      </c>
      <c r="E163" s="14">
        <v>652801.5</v>
      </c>
      <c r="F163" s="14">
        <f t="shared" si="10"/>
        <v>-61839.5</v>
      </c>
      <c r="G163" s="76">
        <f t="shared" si="11"/>
        <v>-9.4729408556812444E-2</v>
      </c>
      <c r="H163" s="77">
        <v>642237.6</v>
      </c>
      <c r="I163" s="77">
        <f t="shared" si="12"/>
        <v>-51275.599999999977</v>
      </c>
      <c r="J163" s="76">
        <f t="shared" si="13"/>
        <v>-7.9838987938420258E-2</v>
      </c>
      <c r="K163" s="155" t="s">
        <v>1632</v>
      </c>
      <c r="L163" s="115" t="s">
        <v>1633</v>
      </c>
      <c r="M163" s="116"/>
      <c r="N163" s="116"/>
      <c r="O163" s="116"/>
      <c r="P163" s="116"/>
      <c r="Q163" s="116"/>
      <c r="R163" s="116"/>
    </row>
    <row r="164" spans="1:18" ht="15.6">
      <c r="A164" s="24" t="str">
        <v>X092</v>
      </c>
      <c r="B164" s="25" t="str">
        <v>NY</v>
      </c>
      <c r="C164" s="25" t="str">
        <f>Sites[[#This Row],[SOL'#]]</f>
        <v>SOL-11189</v>
      </c>
      <c r="D164" s="60">
        <v>19330.2</v>
      </c>
      <c r="E164" s="10">
        <v>19496.43</v>
      </c>
      <c r="F164" s="10">
        <f t="shared" si="10"/>
        <v>-166.22999999999956</v>
      </c>
      <c r="G164" s="61">
        <f t="shared" si="11"/>
        <v>-8.526176330743606E-3</v>
      </c>
      <c r="H164" s="75">
        <v>22556</v>
      </c>
      <c r="I164" s="75">
        <f t="shared" si="12"/>
        <v>-3225.7999999999993</v>
      </c>
      <c r="J164" s="72">
        <f t="shared" si="13"/>
        <v>-0.14301294555772298</v>
      </c>
      <c r="K164" s="120"/>
      <c r="L164" s="53"/>
      <c r="M164" s="116"/>
      <c r="N164" s="116"/>
      <c r="O164" s="116"/>
      <c r="P164" s="116"/>
      <c r="Q164" s="116"/>
      <c r="R164" s="116"/>
    </row>
    <row r="165" spans="1:18" ht="43.15">
      <c r="A165" s="26" t="str">
        <v>X093</v>
      </c>
      <c r="B165" s="27" t="str">
        <v>NY</v>
      </c>
      <c r="C165" s="9" t="str">
        <f>Sites[[#This Row],[SOL'#]]</f>
        <v>SOL-10932</v>
      </c>
      <c r="D165" s="74">
        <v>12912.2643066406</v>
      </c>
      <c r="E165" s="14">
        <v>13336.82</v>
      </c>
      <c r="F165" s="14">
        <f t="shared" si="10"/>
        <v>-424.55569335939981</v>
      </c>
      <c r="G165" s="76">
        <f t="shared" si="11"/>
        <v>-3.1833352580255249E-2</v>
      </c>
      <c r="H165" s="77">
        <v>16028</v>
      </c>
      <c r="I165" s="77">
        <f t="shared" si="12"/>
        <v>-3115.7356933594001</v>
      </c>
      <c r="J165" s="76">
        <f t="shared" si="13"/>
        <v>-0.19439329257295981</v>
      </c>
      <c r="K165" s="155" t="s">
        <v>1634</v>
      </c>
      <c r="L165" s="114" t="s">
        <v>1635</v>
      </c>
      <c r="M165" s="115" t="s">
        <v>1636</v>
      </c>
      <c r="N165" s="116"/>
      <c r="O165" s="116"/>
      <c r="P165" s="116"/>
      <c r="Q165" s="116"/>
      <c r="R165" s="116"/>
    </row>
    <row r="166" spans="1:18" ht="100.9">
      <c r="A166" s="24" t="str">
        <v>X095</v>
      </c>
      <c r="B166" s="25" t="str">
        <v>NY</v>
      </c>
      <c r="C166" s="25" t="str">
        <f>Sites[[#This Row],[SOL'#]]</f>
        <v>SOL-10929</v>
      </c>
      <c r="D166" s="60">
        <v>19363.9609375</v>
      </c>
      <c r="E166" s="10" t="s">
        <v>777</v>
      </c>
      <c r="F166" s="10" t="str">
        <f t="shared" si="10"/>
        <v/>
      </c>
      <c r="G166" s="61" t="str">
        <f t="shared" si="11"/>
        <v/>
      </c>
      <c r="H166" s="75">
        <v>21772</v>
      </c>
      <c r="I166" s="75">
        <f t="shared" si="12"/>
        <v>-2408.0390625</v>
      </c>
      <c r="J166" s="72">
        <f t="shared" si="13"/>
        <v>-0.11060256579551718</v>
      </c>
      <c r="K166" s="120" t="s">
        <v>1637</v>
      </c>
      <c r="L166" s="111" t="s">
        <v>232</v>
      </c>
      <c r="M166" s="116"/>
      <c r="N166" s="116"/>
      <c r="O166" s="116"/>
      <c r="P166" s="116"/>
      <c r="Q166" s="116"/>
      <c r="R166" s="116"/>
    </row>
    <row r="167" spans="1:18" ht="15.6">
      <c r="A167" s="26" t="str">
        <v>X181</v>
      </c>
      <c r="B167" s="27" t="str">
        <v>NY</v>
      </c>
      <c r="C167" s="9" t="str">
        <f>Sites[[#This Row],[SOL'#]]</f>
        <v>SOL-10428</v>
      </c>
      <c r="D167" s="74">
        <v>31533.84375</v>
      </c>
      <c r="E167" s="14" t="s">
        <v>777</v>
      </c>
      <c r="F167" s="14" t="str">
        <f t="shared" si="10"/>
        <v/>
      </c>
      <c r="G167" s="76" t="str">
        <f t="shared" si="11"/>
        <v/>
      </c>
      <c r="H167" s="77">
        <v>40286</v>
      </c>
      <c r="I167" s="77">
        <f t="shared" si="12"/>
        <v>-8752.15625</v>
      </c>
      <c r="J167" s="76">
        <f t="shared" si="13"/>
        <v>-0.217250564712307</v>
      </c>
      <c r="K167" s="155" t="s">
        <v>1638</v>
      </c>
      <c r="L167" s="115" t="s">
        <v>1639</v>
      </c>
      <c r="M167" s="116"/>
      <c r="N167" s="116"/>
      <c r="O167" s="116"/>
      <c r="P167" s="116"/>
      <c r="Q167" s="116"/>
      <c r="R167" s="116"/>
    </row>
    <row r="168" spans="1:18" ht="15.6">
      <c r="A168" s="24" t="str">
        <v>X415</v>
      </c>
      <c r="B168" s="25" t="str">
        <v>NY</v>
      </c>
      <c r="C168" s="25" t="str">
        <f>Sites[[#This Row],[SOL'#]]</f>
        <v>SOL-10429</v>
      </c>
      <c r="D168" s="60">
        <v>22569.3984375</v>
      </c>
      <c r="E168" s="10" t="s">
        <v>777</v>
      </c>
      <c r="F168" s="10" t="str">
        <f t="shared" si="10"/>
        <v/>
      </c>
      <c r="G168" s="61" t="str">
        <f t="shared" si="11"/>
        <v/>
      </c>
      <c r="H168" s="75">
        <v>23788</v>
      </c>
      <c r="I168" s="75">
        <f t="shared" si="12"/>
        <v>-1218.6015625</v>
      </c>
      <c r="J168" s="72">
        <f t="shared" si="13"/>
        <v>-5.1227575353119219E-2</v>
      </c>
      <c r="K168" s="120"/>
      <c r="L168" s="53"/>
      <c r="M168" s="116"/>
      <c r="N168" s="116"/>
      <c r="O168" s="116"/>
      <c r="P168" s="116"/>
      <c r="Q168" s="116"/>
      <c r="R168" s="116"/>
    </row>
    <row r="169" spans="1:18" ht="15.6">
      <c r="A169" s="26" t="str">
        <v>K198</v>
      </c>
      <c r="B169" s="27" t="str">
        <v>NY</v>
      </c>
      <c r="C169" s="9" t="str">
        <f>Sites[[#This Row],[SOL'#]]</f>
        <v>SOL-10930</v>
      </c>
      <c r="D169" s="74">
        <v>16595.4765625</v>
      </c>
      <c r="E169" s="14">
        <v>15968.67</v>
      </c>
      <c r="F169" s="14">
        <f t="shared" si="10"/>
        <v>626.80656249999993</v>
      </c>
      <c r="G169" s="76">
        <f t="shared" si="11"/>
        <v>3.9252271009420317E-2</v>
      </c>
      <c r="H169" s="77">
        <v>18100</v>
      </c>
      <c r="I169" s="77">
        <f t="shared" si="12"/>
        <v>-1504.5234375</v>
      </c>
      <c r="J169" s="76">
        <f t="shared" si="13"/>
        <v>-8.312284185082873E-2</v>
      </c>
      <c r="K169" s="155"/>
      <c r="L169" s="100"/>
      <c r="M169" s="116"/>
      <c r="N169" s="116"/>
      <c r="O169" s="116"/>
      <c r="P169" s="116"/>
      <c r="Q169" s="116"/>
      <c r="R169" s="116"/>
    </row>
    <row r="170" spans="1:18" ht="86.45">
      <c r="A170" s="24" t="str">
        <v>K203</v>
      </c>
      <c r="B170" s="25" t="str">
        <v>NY</v>
      </c>
      <c r="C170" s="25" t="str">
        <f>Sites[[#This Row],[SOL'#]]</f>
        <v>SOL-11190</v>
      </c>
      <c r="D170" s="60">
        <v>21003.599999999999</v>
      </c>
      <c r="E170" s="10">
        <v>18798.59</v>
      </c>
      <c r="F170" s="10">
        <f t="shared" si="10"/>
        <v>2205.0099999999984</v>
      </c>
      <c r="G170" s="61">
        <f t="shared" si="11"/>
        <v>0.1172965631996867</v>
      </c>
      <c r="H170" s="75">
        <v>24585</v>
      </c>
      <c r="I170" s="75">
        <f t="shared" si="12"/>
        <v>-3581.4000000000015</v>
      </c>
      <c r="J170" s="72">
        <f t="shared" si="13"/>
        <v>-0.1456741915802319</v>
      </c>
      <c r="K170" s="120" t="s">
        <v>1629</v>
      </c>
      <c r="L170" s="53"/>
      <c r="M170" s="116"/>
      <c r="N170" s="116"/>
      <c r="O170" s="116"/>
      <c r="P170" s="116"/>
      <c r="Q170" s="116"/>
      <c r="R170" s="116"/>
    </row>
    <row r="171" spans="1:18" ht="28.9">
      <c r="A171" s="26" t="str">
        <v>K213</v>
      </c>
      <c r="B171" s="27" t="str">
        <v>NY</v>
      </c>
      <c r="C171" s="9" t="str">
        <f>Sites[[#This Row],[SOL'#]]</f>
        <v>SOL-11191</v>
      </c>
      <c r="D171" s="74">
        <v>23157.200000000001</v>
      </c>
      <c r="E171" s="14">
        <v>24726.14</v>
      </c>
      <c r="F171" s="14">
        <f t="shared" si="10"/>
        <v>-1568.9399999999987</v>
      </c>
      <c r="G171" s="76">
        <f t="shared" si="11"/>
        <v>-6.3452686104664896E-2</v>
      </c>
      <c r="H171" s="77">
        <v>25727</v>
      </c>
      <c r="I171" s="77">
        <f t="shared" si="12"/>
        <v>-2569.7999999999993</v>
      </c>
      <c r="J171" s="76">
        <f t="shared" si="13"/>
        <v>-9.988727795701012E-2</v>
      </c>
      <c r="K171" s="155" t="s">
        <v>1640</v>
      </c>
      <c r="L171" s="115" t="s">
        <v>1020</v>
      </c>
      <c r="M171" s="116"/>
      <c r="N171" s="116"/>
      <c r="O171" s="116"/>
      <c r="P171" s="116"/>
      <c r="Q171" s="116"/>
      <c r="R171" s="116"/>
    </row>
    <row r="172" spans="1:18" ht="15.6">
      <c r="A172" s="24" t="str">
        <v>K217</v>
      </c>
      <c r="B172" s="25" t="str">
        <v>NY</v>
      </c>
      <c r="C172" s="25" t="str">
        <f>Sites[[#This Row],[SOL'#]]</f>
        <v>SOL-10933</v>
      </c>
      <c r="D172" s="60">
        <v>13048.0546875</v>
      </c>
      <c r="E172" s="10">
        <v>0</v>
      </c>
      <c r="F172" s="10">
        <f t="shared" si="10"/>
        <v>13048.0546875</v>
      </c>
      <c r="G172" s="61" t="str">
        <f t="shared" si="11"/>
        <v/>
      </c>
      <c r="H172" s="75">
        <v>14344</v>
      </c>
      <c r="I172" s="75">
        <f t="shared" si="12"/>
        <v>-1295.9453125</v>
      </c>
      <c r="J172" s="72">
        <f t="shared" si="13"/>
        <v>-9.034755385527049E-2</v>
      </c>
      <c r="K172" s="120"/>
      <c r="L172" s="53"/>
      <c r="M172" s="116"/>
      <c r="N172" s="116"/>
      <c r="O172" s="116"/>
      <c r="P172" s="116"/>
      <c r="Q172" s="116"/>
      <c r="R172" s="116"/>
    </row>
    <row r="173" spans="1:18" ht="15.6">
      <c r="A173" s="26" t="str">
        <v>K307</v>
      </c>
      <c r="B173" s="27" t="str">
        <v>NY</v>
      </c>
      <c r="C173" s="9" t="str">
        <f>Sites[[#This Row],[SOL'#]]</f>
        <v>SOL-10876</v>
      </c>
      <c r="D173" s="74">
        <v>26644.9921875</v>
      </c>
      <c r="E173" s="14" t="s">
        <v>777</v>
      </c>
      <c r="F173" s="14" t="str">
        <f t="shared" si="10"/>
        <v/>
      </c>
      <c r="G173" s="76" t="str">
        <f t="shared" si="11"/>
        <v/>
      </c>
      <c r="H173" s="77">
        <v>29938</v>
      </c>
      <c r="I173" s="77">
        <f t="shared" si="12"/>
        <v>-3293.0078125</v>
      </c>
      <c r="J173" s="76">
        <f t="shared" si="13"/>
        <v>-0.10999424853029595</v>
      </c>
      <c r="K173" s="155"/>
      <c r="L173" s="100"/>
      <c r="M173" s="116"/>
      <c r="N173" s="116"/>
      <c r="O173" s="116"/>
      <c r="P173" s="116"/>
      <c r="Q173" s="116"/>
      <c r="R173" s="116"/>
    </row>
    <row r="174" spans="1:18" ht="43.15">
      <c r="A174" s="24" t="str">
        <v>K610</v>
      </c>
      <c r="B174" s="25" t="str">
        <v>NY</v>
      </c>
      <c r="C174" s="25" t="str">
        <f>Sites[[#This Row],[SOL'#]]</f>
        <v>SOL-11158</v>
      </c>
      <c r="D174" s="60">
        <v>26998.1</v>
      </c>
      <c r="E174" s="10">
        <v>29381.58</v>
      </c>
      <c r="F174" s="10">
        <f t="shared" si="10"/>
        <v>-2383.4800000000032</v>
      </c>
      <c r="G174" s="61">
        <f t="shared" si="11"/>
        <v>-8.1121573448398723E-2</v>
      </c>
      <c r="H174" s="75">
        <v>34545</v>
      </c>
      <c r="I174" s="75">
        <f t="shared" si="12"/>
        <v>-7546.9000000000015</v>
      </c>
      <c r="J174" s="72">
        <f t="shared" si="13"/>
        <v>-0.21846576928643802</v>
      </c>
      <c r="K174" s="120" t="s">
        <v>1641</v>
      </c>
      <c r="L174" s="111" t="s">
        <v>1642</v>
      </c>
      <c r="M174" s="116"/>
      <c r="N174" s="116"/>
      <c r="O174" s="116"/>
      <c r="P174" s="116"/>
      <c r="Q174" s="116"/>
      <c r="R174" s="116"/>
    </row>
    <row r="175" spans="1:18" ht="201.6">
      <c r="A175" s="26" t="str">
        <v>M025</v>
      </c>
      <c r="B175" s="27" t="str">
        <v>NY</v>
      </c>
      <c r="C175" s="9" t="str">
        <f>Sites[[#This Row],[SOL'#]]</f>
        <v>SOL-10392</v>
      </c>
      <c r="D175" s="74">
        <v>14378.1796875</v>
      </c>
      <c r="E175" s="14">
        <v>27168.34</v>
      </c>
      <c r="F175" s="14">
        <f t="shared" si="10"/>
        <v>-12790.1603125</v>
      </c>
      <c r="G175" s="76">
        <f t="shared" si="11"/>
        <v>-0.4707744496903381</v>
      </c>
      <c r="H175" s="77">
        <v>29661</v>
      </c>
      <c r="I175" s="77">
        <f t="shared" si="12"/>
        <v>-15282.8203125</v>
      </c>
      <c r="J175" s="76">
        <f t="shared" si="13"/>
        <v>-0.5152496649640943</v>
      </c>
      <c r="K175" s="155" t="s">
        <v>1643</v>
      </c>
      <c r="L175" s="114" t="s">
        <v>1644</v>
      </c>
      <c r="M175" s="115" t="s">
        <v>1024</v>
      </c>
      <c r="N175" s="115" t="s">
        <v>1645</v>
      </c>
      <c r="O175" s="115" t="s">
        <v>1025</v>
      </c>
      <c r="P175" s="115" t="s">
        <v>1646</v>
      </c>
      <c r="Q175" s="116"/>
      <c r="R175" s="116"/>
    </row>
    <row r="176" spans="1:18" ht="15.6">
      <c r="A176" s="24" t="str">
        <v>M028</v>
      </c>
      <c r="B176" s="25" t="str">
        <v>NY</v>
      </c>
      <c r="C176" s="25" t="str">
        <f>Sites[[#This Row],[SOL'#]]</f>
        <v>SOL-10381</v>
      </c>
      <c r="D176" s="60">
        <v>21351.798828125</v>
      </c>
      <c r="E176" s="10">
        <v>20259.09</v>
      </c>
      <c r="F176" s="10">
        <f t="shared" si="10"/>
        <v>1092.7088281249999</v>
      </c>
      <c r="G176" s="61">
        <f t="shared" si="11"/>
        <v>5.3936718190451788E-2</v>
      </c>
      <c r="H176" s="75">
        <v>23402</v>
      </c>
      <c r="I176" s="75">
        <f t="shared" si="12"/>
        <v>-2050.201171875</v>
      </c>
      <c r="J176" s="72">
        <f t="shared" si="13"/>
        <v>-8.7607946836808823E-2</v>
      </c>
      <c r="K176" s="120"/>
      <c r="L176" s="53"/>
      <c r="M176" s="116"/>
      <c r="N176" s="116"/>
      <c r="O176" s="116"/>
      <c r="P176" s="116"/>
      <c r="Q176" s="116"/>
      <c r="R176" s="116"/>
    </row>
    <row r="177" spans="1:18" ht="15.6">
      <c r="A177" s="26" t="str">
        <v>Q030</v>
      </c>
      <c r="B177" s="27" t="str">
        <v>NY</v>
      </c>
      <c r="C177" s="9" t="str">
        <f>Sites[[#This Row],[SOL'#]]</f>
        <v>SOL-10878</v>
      </c>
      <c r="D177" s="74">
        <v>25762.8359375</v>
      </c>
      <c r="E177" s="14" t="s">
        <v>777</v>
      </c>
      <c r="F177" s="14" t="str">
        <f t="shared" si="10"/>
        <v/>
      </c>
      <c r="G177" s="76" t="str">
        <f t="shared" si="11"/>
        <v/>
      </c>
      <c r="H177" s="77">
        <v>27991</v>
      </c>
      <c r="I177" s="77">
        <f t="shared" si="12"/>
        <v>-2228.1640625</v>
      </c>
      <c r="J177" s="76">
        <f t="shared" si="13"/>
        <v>-7.9602874584687941E-2</v>
      </c>
      <c r="K177" s="155"/>
      <c r="L177" s="100"/>
      <c r="M177" s="116"/>
      <c r="N177" s="116"/>
      <c r="O177" s="116"/>
      <c r="P177" s="116"/>
      <c r="Q177" s="116"/>
      <c r="R177" s="116"/>
    </row>
    <row r="178" spans="1:18" ht="15.6">
      <c r="A178" s="24" t="str">
        <v>Q130</v>
      </c>
      <c r="B178" s="25" t="str">
        <v>NY</v>
      </c>
      <c r="C178" s="25" t="str">
        <f>Sites[[#This Row],[SOL'#]]</f>
        <v>SOL-10877</v>
      </c>
      <c r="D178" s="60">
        <v>14657.908984375001</v>
      </c>
      <c r="E178" s="10" t="s">
        <v>777</v>
      </c>
      <c r="F178" s="10" t="str">
        <f t="shared" si="10"/>
        <v/>
      </c>
      <c r="G178" s="61" t="str">
        <f t="shared" si="11"/>
        <v/>
      </c>
      <c r="H178" s="75">
        <v>16011.71</v>
      </c>
      <c r="I178" s="75">
        <f t="shared" si="12"/>
        <v>-1353.8010156249984</v>
      </c>
      <c r="J178" s="72">
        <f t="shared" si="13"/>
        <v>-8.4550682945481681E-2</v>
      </c>
      <c r="K178" s="120"/>
      <c r="L178" s="53"/>
      <c r="M178" s="116"/>
      <c r="N178" s="116"/>
      <c r="O178" s="116"/>
      <c r="P178" s="116"/>
      <c r="Q178" s="116"/>
      <c r="R178" s="116"/>
    </row>
    <row r="179" spans="1:18" ht="15.6">
      <c r="A179" s="26" t="str">
        <v>Q196</v>
      </c>
      <c r="B179" s="27" t="str">
        <v>NY</v>
      </c>
      <c r="C179" s="9" t="str">
        <f>Sites[[#This Row],[SOL'#]]</f>
        <v>SOL-10879</v>
      </c>
      <c r="D179" s="74">
        <v>19067.674023437499</v>
      </c>
      <c r="E179" s="14" t="s">
        <v>777</v>
      </c>
      <c r="F179" s="14" t="str">
        <f t="shared" si="10"/>
        <v/>
      </c>
      <c r="G179" s="76" t="str">
        <f t="shared" si="11"/>
        <v/>
      </c>
      <c r="H179" s="77">
        <v>20705</v>
      </c>
      <c r="I179" s="77">
        <f t="shared" si="12"/>
        <v>-1637.3259765625007</v>
      </c>
      <c r="J179" s="76">
        <f t="shared" si="13"/>
        <v>-7.9078772111205065E-2</v>
      </c>
      <c r="K179" s="155"/>
      <c r="L179" s="100"/>
      <c r="M179" s="116"/>
      <c r="N179" s="116"/>
      <c r="O179" s="116"/>
      <c r="P179" s="116"/>
      <c r="Q179" s="116"/>
      <c r="R179" s="116"/>
    </row>
    <row r="180" spans="1:18" ht="15.6">
      <c r="A180" s="24" t="str">
        <v>Q220</v>
      </c>
      <c r="B180" s="25" t="str">
        <v>NY</v>
      </c>
      <c r="C180" s="25" t="str">
        <f>Sites[[#This Row],[SOL'#]]</f>
        <v>SOL-10873</v>
      </c>
      <c r="D180" s="60">
        <v>22339.375</v>
      </c>
      <c r="E180" s="10" t="s">
        <v>777</v>
      </c>
      <c r="F180" s="10" t="str">
        <f t="shared" si="10"/>
        <v/>
      </c>
      <c r="G180" s="61" t="str">
        <f t="shared" si="11"/>
        <v/>
      </c>
      <c r="H180" s="75">
        <v>24264</v>
      </c>
      <c r="I180" s="75">
        <f t="shared" si="12"/>
        <v>-1924.625</v>
      </c>
      <c r="J180" s="72">
        <f t="shared" si="13"/>
        <v>-7.9320186284207062E-2</v>
      </c>
      <c r="K180" s="120" t="s">
        <v>1647</v>
      </c>
      <c r="L180" s="111" t="s">
        <v>1648</v>
      </c>
      <c r="M180" s="116"/>
      <c r="N180" s="116"/>
      <c r="O180" s="116"/>
      <c r="P180" s="116"/>
      <c r="Q180" s="116"/>
      <c r="R180" s="116"/>
    </row>
    <row r="181" spans="1:18" ht="28.9">
      <c r="A181" s="26" t="str">
        <v>Q205</v>
      </c>
      <c r="B181" s="27" t="str">
        <v>NY</v>
      </c>
      <c r="C181" s="9" t="str">
        <f>Sites[[#This Row],[SOL'#]]</f>
        <v>SOL-10922</v>
      </c>
      <c r="D181" s="74">
        <v>26836.78125</v>
      </c>
      <c r="E181" s="14">
        <v>31288.28</v>
      </c>
      <c r="F181" s="14">
        <f t="shared" si="10"/>
        <v>-4451.4987499999988</v>
      </c>
      <c r="G181" s="76">
        <f t="shared" si="11"/>
        <v>-0.14227368043241748</v>
      </c>
      <c r="H181" s="77">
        <v>28490</v>
      </c>
      <c r="I181" s="77">
        <f t="shared" si="12"/>
        <v>-1653.21875</v>
      </c>
      <c r="J181" s="76">
        <f t="shared" si="13"/>
        <v>-5.8028036153036151E-2</v>
      </c>
      <c r="K181" s="155" t="s">
        <v>1649</v>
      </c>
      <c r="L181" s="115" t="s">
        <v>1650</v>
      </c>
      <c r="M181" s="116"/>
      <c r="N181" s="116"/>
      <c r="O181" s="116"/>
      <c r="P181" s="116"/>
      <c r="Q181" s="116"/>
      <c r="R181" s="116"/>
    </row>
    <row r="182" spans="1:18" ht="172.9">
      <c r="A182" s="24" t="str">
        <v>Q400</v>
      </c>
      <c r="B182" s="25" t="str">
        <v>NY</v>
      </c>
      <c r="C182" s="25" t="str">
        <f>Sites[[#This Row],[SOL'#]]</f>
        <v>SOL-10871</v>
      </c>
      <c r="D182" s="60">
        <v>34967.640625</v>
      </c>
      <c r="E182" s="10" t="s">
        <v>777</v>
      </c>
      <c r="F182" s="10" t="str">
        <f t="shared" si="10"/>
        <v/>
      </c>
      <c r="G182" s="61" t="str">
        <f t="shared" si="11"/>
        <v/>
      </c>
      <c r="H182" s="75">
        <v>47087</v>
      </c>
      <c r="I182" s="75">
        <f t="shared" si="12"/>
        <v>-12119.359375</v>
      </c>
      <c r="J182" s="72">
        <f t="shared" si="13"/>
        <v>-0.25738227907915134</v>
      </c>
      <c r="K182" s="120" t="s">
        <v>1651</v>
      </c>
      <c r="L182" s="111" t="s">
        <v>1652</v>
      </c>
      <c r="M182" s="115" t="s">
        <v>1653</v>
      </c>
      <c r="N182" s="115" t="s">
        <v>1654</v>
      </c>
      <c r="O182" s="115" t="s">
        <v>1655</v>
      </c>
      <c r="P182" s="115" t="s">
        <v>1656</v>
      </c>
      <c r="Q182" s="116"/>
      <c r="R182" s="116"/>
    </row>
    <row r="183" spans="1:18" ht="28.9">
      <c r="A183" s="26" t="str">
        <v>R003</v>
      </c>
      <c r="B183" s="27" t="str">
        <v>NY</v>
      </c>
      <c r="C183" s="9" t="str">
        <f>Sites[[#This Row],[SOL'#]]</f>
        <v>SOL-10416</v>
      </c>
      <c r="D183" s="74">
        <v>35472.33625</v>
      </c>
      <c r="E183" s="14">
        <v>31288</v>
      </c>
      <c r="F183" s="14">
        <f t="shared" si="10"/>
        <v>4184.3362500000003</v>
      </c>
      <c r="G183" s="76">
        <f t="shared" si="11"/>
        <v>0.13373613685758118</v>
      </c>
      <c r="H183" s="77">
        <v>42621</v>
      </c>
      <c r="I183" s="77">
        <f t="shared" si="12"/>
        <v>-7148.6637499999997</v>
      </c>
      <c r="J183" s="76">
        <f t="shared" si="13"/>
        <v>-0.16772632622416178</v>
      </c>
      <c r="K183" s="155" t="s">
        <v>1657</v>
      </c>
      <c r="L183" s="115" t="s">
        <v>1658</v>
      </c>
      <c r="M183" s="116"/>
      <c r="N183" s="116"/>
      <c r="O183" s="116"/>
      <c r="P183" s="116"/>
      <c r="Q183" s="116"/>
      <c r="R183" s="116"/>
    </row>
    <row r="184" spans="1:18" ht="15.6">
      <c r="A184" s="24" t="str">
        <v>R007</v>
      </c>
      <c r="B184" s="25" t="str">
        <v>NY</v>
      </c>
      <c r="C184" s="25" t="str">
        <f>Sites[[#This Row],[SOL'#]]</f>
        <v>SOL-10417</v>
      </c>
      <c r="D184" s="60">
        <v>40259.140625</v>
      </c>
      <c r="E184" s="10">
        <v>39836.050000000003</v>
      </c>
      <c r="F184" s="10">
        <f t="shared" si="10"/>
        <v>423.09062499999709</v>
      </c>
      <c r="G184" s="61">
        <f t="shared" si="11"/>
        <v>1.0620797619241795E-2</v>
      </c>
      <c r="H184" s="75">
        <v>45310.59</v>
      </c>
      <c r="I184" s="75">
        <f t="shared" si="12"/>
        <v>-5051.4493749999965</v>
      </c>
      <c r="J184" s="72">
        <f t="shared" si="13"/>
        <v>-0.1114849613523019</v>
      </c>
      <c r="K184" s="120"/>
      <c r="L184" s="53"/>
      <c r="M184" s="116"/>
      <c r="N184" s="116"/>
      <c r="O184" s="116"/>
      <c r="P184" s="116"/>
      <c r="Q184" s="116"/>
      <c r="R184" s="116"/>
    </row>
    <row r="185" spans="1:18" ht="28.9">
      <c r="A185" s="26" t="str">
        <v>BK16</v>
      </c>
      <c r="B185" s="27" t="str">
        <v>NY</v>
      </c>
      <c r="C185" s="9" t="str">
        <f>Sites[[#This Row],[SOL'#]]</f>
        <v>SOL-11093</v>
      </c>
      <c r="D185" s="74">
        <v>40757.8125</v>
      </c>
      <c r="E185" s="14" t="s">
        <v>777</v>
      </c>
      <c r="F185" s="14" t="str">
        <f t="shared" si="10"/>
        <v/>
      </c>
      <c r="G185" s="76" t="str">
        <f t="shared" si="11"/>
        <v/>
      </c>
      <c r="H185" s="77">
        <v>45236</v>
      </c>
      <c r="I185" s="77">
        <f t="shared" si="12"/>
        <v>-4478.1875</v>
      </c>
      <c r="J185" s="76">
        <f t="shared" si="13"/>
        <v>-9.8996098240339558E-2</v>
      </c>
      <c r="K185" s="155" t="s">
        <v>1659</v>
      </c>
      <c r="L185" s="115" t="s">
        <v>1660</v>
      </c>
      <c r="M185" s="116"/>
      <c r="N185" s="116"/>
      <c r="O185" s="116"/>
      <c r="P185" s="116"/>
      <c r="Q185" s="116"/>
      <c r="R185" s="116"/>
    </row>
    <row r="186" spans="1:18" ht="100.9">
      <c r="A186" s="24" t="str">
        <v>Trenton - Trenton East</v>
      </c>
      <c r="B186" s="25" t="str">
        <v>IL</v>
      </c>
      <c r="C186" s="25" t="str">
        <f>Sites[[#This Row],[SOL'#]]</f>
        <v>SOL-11060</v>
      </c>
      <c r="D186" s="60">
        <v>404610</v>
      </c>
      <c r="E186" s="10">
        <v>424129.5</v>
      </c>
      <c r="F186" s="10">
        <f t="shared" si="10"/>
        <v>-19519.5</v>
      </c>
      <c r="G186" s="61">
        <f t="shared" si="11"/>
        <v>-4.60225002033577E-2</v>
      </c>
      <c r="H186" s="75">
        <v>529693</v>
      </c>
      <c r="I186" s="75">
        <f t="shared" si="12"/>
        <v>-125083</v>
      </c>
      <c r="J186" s="72">
        <f t="shared" si="13"/>
        <v>-0.23614244477461474</v>
      </c>
      <c r="K186" s="120" t="s">
        <v>1357</v>
      </c>
      <c r="L186" s="111" t="s">
        <v>1358</v>
      </c>
      <c r="M186" s="116"/>
      <c r="N186" s="116"/>
      <c r="O186" s="116"/>
      <c r="P186" s="116"/>
      <c r="Q186" s="116"/>
      <c r="R186" s="116"/>
    </row>
    <row r="187" spans="1:18" ht="28.9">
      <c r="A187" s="26" t="str">
        <v>Trenton - Trenton West</v>
      </c>
      <c r="B187" s="27" t="str">
        <v>IL</v>
      </c>
      <c r="C187" s="9" t="str">
        <f>Sites[[#This Row],[SOL'#]]</f>
        <v>SOL-11061</v>
      </c>
      <c r="D187" s="74">
        <v>190756.05244172999</v>
      </c>
      <c r="E187" s="14">
        <v>284524.2</v>
      </c>
      <c r="F187" s="14">
        <f t="shared" si="10"/>
        <v>-93768.147558270022</v>
      </c>
      <c r="G187" s="76">
        <f t="shared" si="11"/>
        <v>-0.32956123787807862</v>
      </c>
      <c r="H187" s="77">
        <v>528624</v>
      </c>
      <c r="I187" s="77">
        <f t="shared" si="12"/>
        <v>-337867.94755827001</v>
      </c>
      <c r="J187" s="76">
        <f t="shared" si="13"/>
        <v>-0.6391460613938641</v>
      </c>
      <c r="K187" s="155" t="s">
        <v>1661</v>
      </c>
      <c r="L187" s="115" t="s">
        <v>1360</v>
      </c>
      <c r="M187" s="116"/>
      <c r="N187" s="116"/>
      <c r="O187" s="116"/>
      <c r="P187" s="116"/>
      <c r="Q187" s="116"/>
      <c r="R187" s="116"/>
    </row>
    <row r="188" spans="1:18" ht="15.6">
      <c r="A188" s="24" t="str">
        <v>Dakota - Dakota Solar 1</v>
      </c>
      <c r="B188" s="25" t="str">
        <v>IL</v>
      </c>
      <c r="C188" s="25" t="str">
        <f>Sites[[#This Row],[SOL'#]]</f>
        <v>SOL-11113</v>
      </c>
      <c r="D188" s="60">
        <v>532897</v>
      </c>
      <c r="E188" s="10">
        <v>637314.1</v>
      </c>
      <c r="F188" s="10">
        <f t="shared" si="10"/>
        <v>-104417.09999999998</v>
      </c>
      <c r="G188" s="61">
        <f t="shared" si="11"/>
        <v>-0.16383930623847798</v>
      </c>
      <c r="H188" s="75">
        <v>0</v>
      </c>
      <c r="I188" s="75">
        <f t="shared" si="12"/>
        <v>532897</v>
      </c>
      <c r="J188" s="72" t="str">
        <f t="shared" si="13"/>
        <v/>
      </c>
      <c r="K188" s="120"/>
      <c r="L188" s="53"/>
      <c r="M188" s="116"/>
      <c r="N188" s="116"/>
      <c r="O188" s="116"/>
      <c r="P188" s="116"/>
      <c r="Q188" s="116"/>
      <c r="R188" s="116"/>
    </row>
    <row r="189" spans="1:18" ht="15.6">
      <c r="A189" s="26" t="str">
        <v>X018</v>
      </c>
      <c r="B189" s="27" t="str">
        <v>NY</v>
      </c>
      <c r="C189" s="9" t="str">
        <f>Sites[[#This Row],[SOL'#]]</f>
        <v>SOL-10418</v>
      </c>
      <c r="D189" s="74">
        <v>15981.2804296875</v>
      </c>
      <c r="E189" s="14">
        <v>12217.07</v>
      </c>
      <c r="F189" s="14">
        <f t="shared" si="10"/>
        <v>3764.2104296875004</v>
      </c>
      <c r="G189" s="76">
        <f t="shared" si="11"/>
        <v>0.30811073601833339</v>
      </c>
      <c r="H189" s="77">
        <v>22996</v>
      </c>
      <c r="I189" s="77">
        <f t="shared" si="12"/>
        <v>-7014.7195703124999</v>
      </c>
      <c r="J189" s="76">
        <f t="shared" si="13"/>
        <v>-0.30504085798888936</v>
      </c>
      <c r="K189" s="155"/>
      <c r="L189" s="100"/>
      <c r="M189" s="116"/>
      <c r="N189" s="116"/>
      <c r="O189" s="116"/>
      <c r="P189" s="116"/>
      <c r="Q189" s="116"/>
      <c r="R189" s="116"/>
    </row>
    <row r="190" spans="1:18" ht="28.9">
      <c r="A190" s="24" t="str">
        <v>Janiak Solar</v>
      </c>
      <c r="B190" s="25" t="str">
        <v>NY</v>
      </c>
      <c r="C190" s="25" t="str">
        <f>Sites[[#This Row],[SOL'#]]</f>
        <v>SOL-10898</v>
      </c>
      <c r="D190" s="60">
        <v>361767</v>
      </c>
      <c r="E190" s="10">
        <v>384116.3</v>
      </c>
      <c r="F190" s="10">
        <f t="shared" si="10"/>
        <v>-22349.299999999988</v>
      </c>
      <c r="G190" s="61">
        <f t="shared" si="11"/>
        <v>-5.8183680307240256E-2</v>
      </c>
      <c r="H190" s="75">
        <v>426374</v>
      </c>
      <c r="I190" s="75">
        <f t="shared" si="12"/>
        <v>-64607</v>
      </c>
      <c r="J190" s="72">
        <f t="shared" si="13"/>
        <v>-0.15152659402308771</v>
      </c>
      <c r="K190" s="120" t="s">
        <v>1662</v>
      </c>
      <c r="L190" s="111" t="s">
        <v>1663</v>
      </c>
      <c r="M190" s="116"/>
      <c r="N190" s="116"/>
      <c r="O190" s="116"/>
      <c r="P190" s="116"/>
      <c r="Q190" s="116"/>
      <c r="R190" s="116"/>
    </row>
    <row r="191" spans="1:18" ht="100.9">
      <c r="A191" s="26" t="str">
        <v>County Route 11B</v>
      </c>
      <c r="B191" s="27" t="str">
        <v>NY</v>
      </c>
      <c r="C191" s="9" t="str">
        <f>Sites[[#This Row],[SOL'#]]</f>
        <v>SOL-10983</v>
      </c>
      <c r="D191" s="74">
        <v>108145</v>
      </c>
      <c r="E191" s="14" t="s">
        <v>777</v>
      </c>
      <c r="F191" s="14" t="str">
        <f t="shared" si="10"/>
        <v/>
      </c>
      <c r="G191" s="76" t="str">
        <f t="shared" si="11"/>
        <v/>
      </c>
      <c r="H191" s="147" t="s">
        <v>1088</v>
      </c>
      <c r="I191" s="77" t="str">
        <f t="shared" si="12"/>
        <v/>
      </c>
      <c r="J191" s="76" t="str">
        <f t="shared" si="13"/>
        <v/>
      </c>
      <c r="K191" s="155" t="s">
        <v>1664</v>
      </c>
      <c r="L191" s="114" t="s">
        <v>1665</v>
      </c>
      <c r="M191" s="115" t="s">
        <v>1666</v>
      </c>
      <c r="N191" s="116"/>
      <c r="O191" s="116"/>
      <c r="P191" s="116"/>
      <c r="Q191" s="116"/>
      <c r="R191" s="116"/>
    </row>
    <row r="192" spans="1:18" ht="129.6">
      <c r="A192" s="24" t="str">
        <v>Barone</v>
      </c>
      <c r="B192" s="25" t="str">
        <v>NY</v>
      </c>
      <c r="C192" s="25" t="str">
        <f>Sites[[#This Row],[SOL'#]]</f>
        <v>SOL-11034</v>
      </c>
      <c r="D192" s="60">
        <v>116276</v>
      </c>
      <c r="E192" s="10" t="s">
        <v>777</v>
      </c>
      <c r="F192" s="10" t="str">
        <f t="shared" si="10"/>
        <v/>
      </c>
      <c r="G192" s="61" t="str">
        <f t="shared" si="11"/>
        <v/>
      </c>
      <c r="H192" s="75">
        <v>233057</v>
      </c>
      <c r="I192" s="75">
        <f t="shared" si="12"/>
        <v>-116781</v>
      </c>
      <c r="J192" s="72">
        <f t="shared" si="13"/>
        <v>-0.5010834259430097</v>
      </c>
      <c r="K192" s="120" t="s">
        <v>1667</v>
      </c>
      <c r="L192" s="111" t="s">
        <v>1668</v>
      </c>
      <c r="M192" s="115" t="s">
        <v>1669</v>
      </c>
      <c r="N192" s="115" t="s">
        <v>1670</v>
      </c>
      <c r="O192" s="116"/>
      <c r="P192" s="116"/>
      <c r="Q192" s="116"/>
      <c r="R192" s="116"/>
    </row>
    <row r="193" spans="1:18" ht="15.6">
      <c r="A193" s="26" t="str">
        <v>Cedarville</v>
      </c>
      <c r="B193" s="27" t="str">
        <v>IL</v>
      </c>
      <c r="C193" s="9" t="str">
        <f>Sites[[#This Row],[SOL'#]]</f>
        <v>SOL-11069</v>
      </c>
      <c r="D193" s="74">
        <v>442351</v>
      </c>
      <c r="E193" s="14">
        <v>418595.1</v>
      </c>
      <c r="F193" s="14">
        <f t="shared" si="10"/>
        <v>23755.900000000023</v>
      </c>
      <c r="G193" s="76">
        <f t="shared" si="11"/>
        <v>5.6751500435623888E-2</v>
      </c>
      <c r="H193" s="77">
        <v>542601.1</v>
      </c>
      <c r="I193" s="77">
        <f t="shared" si="12"/>
        <v>-100250.09999999998</v>
      </c>
      <c r="J193" s="76">
        <f t="shared" si="13"/>
        <v>-0.18475837959045785</v>
      </c>
      <c r="K193" s="155" t="s">
        <v>1671</v>
      </c>
      <c r="L193" s="115" t="s">
        <v>1672</v>
      </c>
      <c r="M193" s="116"/>
      <c r="N193" s="116"/>
      <c r="O193" s="116"/>
      <c r="P193" s="116"/>
      <c r="Q193" s="116"/>
      <c r="R193" s="116"/>
    </row>
    <row r="194" spans="1:18" ht="28.9">
      <c r="A194" s="24" t="str">
        <v xml:space="preserve"> O'Brien Hill #1</v>
      </c>
      <c r="B194" s="25" t="str">
        <v>NY</v>
      </c>
      <c r="C194" s="25" t="str">
        <f>Sites[[#This Row],[SOL'#]]</f>
        <v>SOL-11098</v>
      </c>
      <c r="D194" s="60">
        <v>0</v>
      </c>
      <c r="E194" s="10" t="s">
        <v>777</v>
      </c>
      <c r="F194" s="10" t="str">
        <f t="shared" si="10"/>
        <v/>
      </c>
      <c r="G194" s="61" t="str">
        <f t="shared" si="11"/>
        <v/>
      </c>
      <c r="H194" s="148" t="s">
        <v>777</v>
      </c>
      <c r="I194" s="75" t="str">
        <f t="shared" si="12"/>
        <v/>
      </c>
      <c r="J194" s="72" t="str">
        <f t="shared" si="13"/>
        <v/>
      </c>
      <c r="K194" s="120" t="s">
        <v>1673</v>
      </c>
      <c r="L194" s="111" t="s">
        <v>1674</v>
      </c>
      <c r="M194" s="115" t="s">
        <v>1059</v>
      </c>
      <c r="N194" s="116"/>
      <c r="O194" s="116"/>
      <c r="P194" s="116"/>
      <c r="Q194" s="116"/>
      <c r="R194" s="116"/>
    </row>
    <row r="195" spans="1:18" ht="86.45">
      <c r="A195" s="26" t="str">
        <v xml:space="preserve"> O'Brien Hill #2</v>
      </c>
      <c r="B195" s="27" t="str">
        <v>NY</v>
      </c>
      <c r="C195" s="9" t="str">
        <f>Sites[[#This Row],[SOL'#]]</f>
        <v>SOL-11099</v>
      </c>
      <c r="D195" s="74">
        <v>140669</v>
      </c>
      <c r="E195" s="14" t="s">
        <v>777</v>
      </c>
      <c r="F195" s="14" t="str">
        <f t="shared" si="10"/>
        <v/>
      </c>
      <c r="G195" s="76" t="str">
        <f t="shared" si="11"/>
        <v/>
      </c>
      <c r="H195" s="77">
        <v>288848</v>
      </c>
      <c r="I195" s="77">
        <f t="shared" si="12"/>
        <v>-148179</v>
      </c>
      <c r="J195" s="76">
        <f t="shared" si="13"/>
        <v>-0.51299991691131663</v>
      </c>
      <c r="K195" s="155" t="s">
        <v>1675</v>
      </c>
      <c r="L195" s="114" t="s">
        <v>1676</v>
      </c>
      <c r="M195" s="115" t="s">
        <v>1677</v>
      </c>
      <c r="N195" s="115" t="s">
        <v>1678</v>
      </c>
      <c r="O195" s="116"/>
      <c r="P195" s="116"/>
      <c r="Q195" s="116"/>
      <c r="R195" s="116"/>
    </row>
    <row r="196" spans="1:18" ht="72">
      <c r="A196" s="24" t="str">
        <v>Trinity - Freeport</v>
      </c>
      <c r="B196" s="25" t="str">
        <v>IL</v>
      </c>
      <c r="C196" s="25" t="str">
        <f>Sites[[#This Row],[SOL'#]]</f>
        <v>SOL-11057</v>
      </c>
      <c r="D196" s="60">
        <v>481318</v>
      </c>
      <c r="E196" s="10">
        <v>411109.6</v>
      </c>
      <c r="F196" s="10">
        <f t="shared" si="10"/>
        <v>70208.400000000023</v>
      </c>
      <c r="G196" s="61">
        <f t="shared" si="11"/>
        <v>0.17077781691305682</v>
      </c>
      <c r="H196" s="75">
        <v>544048</v>
      </c>
      <c r="I196" s="75">
        <f t="shared" si="12"/>
        <v>-62730</v>
      </c>
      <c r="J196" s="72">
        <f t="shared" si="13"/>
        <v>-0.11530232626532953</v>
      </c>
      <c r="K196" s="120" t="s">
        <v>1679</v>
      </c>
      <c r="L196" s="111" t="s">
        <v>1680</v>
      </c>
      <c r="M196" s="115" t="s">
        <v>1066</v>
      </c>
      <c r="N196" s="115" t="s">
        <v>1681</v>
      </c>
      <c r="O196" s="116"/>
      <c r="P196" s="116"/>
      <c r="Q196" s="116"/>
      <c r="R196" s="116"/>
    </row>
    <row r="197" spans="1:18" ht="201.6">
      <c r="A197" s="26" t="str">
        <v>Ransom</v>
      </c>
      <c r="B197" s="27" t="str">
        <v>NY</v>
      </c>
      <c r="C197" s="9" t="str">
        <f>Sites[[#This Row],[SOL'#]]</f>
        <v>SOL-11157</v>
      </c>
      <c r="D197" s="74">
        <v>156931</v>
      </c>
      <c r="E197" s="14" t="s">
        <v>777</v>
      </c>
      <c r="F197" s="14" t="str">
        <f t="shared" ref="F197:F200" si="14">IF(AND(ISNUMBER(D197),ISNUMBER(E197)), D197-E197, "")</f>
        <v/>
      </c>
      <c r="G197" s="76" t="str">
        <f t="shared" si="11"/>
        <v/>
      </c>
      <c r="H197" s="77">
        <v>326042</v>
      </c>
      <c r="I197" s="77">
        <f t="shared" si="12"/>
        <v>-169111</v>
      </c>
      <c r="J197" s="76">
        <f t="shared" si="13"/>
        <v>-0.51867857515289439</v>
      </c>
      <c r="K197" s="155" t="s">
        <v>1682</v>
      </c>
      <c r="L197" s="114" t="s">
        <v>1683</v>
      </c>
      <c r="M197" s="115" t="s">
        <v>1684</v>
      </c>
      <c r="N197" s="115" t="s">
        <v>1685</v>
      </c>
      <c r="O197" s="115" t="s">
        <v>1686</v>
      </c>
      <c r="P197" s="115" t="s">
        <v>1687</v>
      </c>
      <c r="Q197" s="116"/>
      <c r="R197" s="116"/>
    </row>
    <row r="198" spans="1:18" ht="57.6">
      <c r="A198" s="24" t="str">
        <v>Horseheads - Wedge</v>
      </c>
      <c r="B198" s="25" t="str">
        <v>NY</v>
      </c>
      <c r="C198" s="25" t="str">
        <f>Sites[[#This Row],[SOL'#]]</f>
        <v>SOL-11160</v>
      </c>
      <c r="D198" s="60">
        <v>165061</v>
      </c>
      <c r="E198" s="10" t="s">
        <v>777</v>
      </c>
      <c r="F198" s="10" t="str">
        <f t="shared" si="14"/>
        <v/>
      </c>
      <c r="G198" s="61" t="str">
        <f t="shared" ref="G198:G200" si="15">IFERROR(F198/E198, "")</f>
        <v/>
      </c>
      <c r="H198" s="75">
        <v>344639</v>
      </c>
      <c r="I198" s="75">
        <f t="shared" si="12"/>
        <v>-179578</v>
      </c>
      <c r="J198" s="72">
        <f t="shared" si="13"/>
        <v>-0.52106116835297223</v>
      </c>
      <c r="K198" s="120" t="s">
        <v>1688</v>
      </c>
      <c r="L198" s="111" t="s">
        <v>1689</v>
      </c>
      <c r="M198" s="116"/>
      <c r="N198" s="116"/>
      <c r="O198" s="116"/>
      <c r="P198" s="116"/>
      <c r="Q198" s="116"/>
      <c r="R198" s="116"/>
    </row>
    <row r="199" spans="1:18" ht="172.9">
      <c r="A199" s="26" t="str">
        <v>Otisville - Shoddy Hollow</v>
      </c>
      <c r="B199" s="27" t="str">
        <v>NY</v>
      </c>
      <c r="C199" s="9" t="str">
        <f>Sites[[#This Row],[SOL'#]]</f>
        <v>SOL-11185</v>
      </c>
      <c r="D199" s="74">
        <v>173192</v>
      </c>
      <c r="E199" s="14" t="s">
        <v>777</v>
      </c>
      <c r="F199" s="14" t="str">
        <f t="shared" si="14"/>
        <v/>
      </c>
      <c r="G199" s="76" t="str">
        <f t="shared" si="15"/>
        <v/>
      </c>
      <c r="H199" s="77">
        <v>363236</v>
      </c>
      <c r="I199" s="77">
        <f t="shared" si="12"/>
        <v>-190044</v>
      </c>
      <c r="J199" s="76">
        <f t="shared" si="13"/>
        <v>-0.52319703994097499</v>
      </c>
      <c r="K199" s="155" t="s">
        <v>1690</v>
      </c>
      <c r="L199" s="114" t="s">
        <v>1691</v>
      </c>
      <c r="M199" s="115" t="s">
        <v>1692</v>
      </c>
      <c r="N199" s="115" t="s">
        <v>1693</v>
      </c>
      <c r="O199" s="115" t="s">
        <v>1694</v>
      </c>
      <c r="P199" s="115" t="s">
        <v>1695</v>
      </c>
      <c r="Q199" s="116"/>
      <c r="R199" s="116"/>
    </row>
    <row r="200" spans="1:18" ht="28.9">
      <c r="A200" s="24" t="str">
        <v>Wellsville - Chenunda Creek</v>
      </c>
      <c r="B200" s="25" t="str">
        <v>NY</v>
      </c>
      <c r="C200" s="25" t="str">
        <f>Sites[[#This Row],[SOL'#]]</f>
        <v>SOL-11187</v>
      </c>
      <c r="D200" s="60">
        <v>181323</v>
      </c>
      <c r="E200" s="10" t="s">
        <v>777</v>
      </c>
      <c r="F200" s="10" t="str">
        <f t="shared" si="14"/>
        <v/>
      </c>
      <c r="G200" s="61" t="str">
        <f t="shared" si="15"/>
        <v/>
      </c>
      <c r="H200" s="75">
        <v>381833</v>
      </c>
      <c r="I200" s="75">
        <f t="shared" si="12"/>
        <v>-200510</v>
      </c>
      <c r="J200" s="72">
        <f t="shared" si="13"/>
        <v>-0.52512485824954891</v>
      </c>
      <c r="K200" s="120" t="s">
        <v>1696</v>
      </c>
      <c r="L200" s="111" t="s">
        <v>1697</v>
      </c>
      <c r="M200" s="116"/>
      <c r="N200" s="116"/>
      <c r="O200" s="116"/>
      <c r="P200" s="116"/>
      <c r="Q200" s="116"/>
      <c r="R200" s="116"/>
    </row>
    <row r="201" spans="1:18">
      <c r="M201" s="116"/>
      <c r="N201" s="116"/>
      <c r="O201" s="116"/>
      <c r="P201" s="116"/>
      <c r="Q201" s="116"/>
      <c r="R201" s="116"/>
    </row>
    <row r="202" spans="1:18">
      <c r="M202" s="116"/>
      <c r="N202" s="116"/>
      <c r="O202" s="116"/>
      <c r="P202" s="116"/>
      <c r="Q202" s="116"/>
      <c r="R202" s="116"/>
    </row>
    <row r="203" spans="1:18">
      <c r="M203" s="116"/>
      <c r="N203" s="116"/>
      <c r="O203" s="116"/>
      <c r="P203" s="116"/>
      <c r="Q203" s="116"/>
      <c r="R203" s="116"/>
    </row>
    <row r="204" spans="1:18">
      <c r="M204" s="116"/>
      <c r="N204" s="116"/>
      <c r="O204" s="116"/>
      <c r="P204" s="116"/>
      <c r="Q204" s="116"/>
      <c r="R204" s="116"/>
    </row>
  </sheetData>
  <mergeCells count="4">
    <mergeCell ref="H1:J1"/>
    <mergeCell ref="A1:D1"/>
    <mergeCell ref="E1:G1"/>
    <mergeCell ref="A2:B2"/>
  </mergeCells>
  <phoneticPr fontId="40" type="noConversion"/>
  <conditionalFormatting sqref="G2 J2">
    <cfRule type="cellIs" dxfId="34" priority="39" stopIfTrue="1" operator="lessThanOrEqual">
      <formula>-0.1</formula>
    </cfRule>
    <cfRule type="expression" dxfId="33" priority="40">
      <formula>AND(ISNUMBER(G2), G2&gt;=0.1)</formula>
    </cfRule>
  </conditionalFormatting>
  <conditionalFormatting sqref="G4:G200 J4:J200">
    <cfRule type="cellIs" dxfId="32" priority="29" stopIfTrue="1" operator="lessThanOrEqual">
      <formula>-0.1</formula>
    </cfRule>
    <cfRule type="expression" dxfId="31" priority="30">
      <formula>AND(ISNUMBER(G4), G4&gt;=0.1)</formula>
    </cfRule>
  </conditionalFormatting>
  <hyperlinks>
    <hyperlink ref="L5" r:id="rId1" display="https://us3.assetplanner.com/service_request?ID=101016" xr:uid="{8888A22C-E8F8-401B-8C34-7991760C2E58}"/>
    <hyperlink ref="L6" r:id="rId2" display="https://us3.assetplanner.com/service_request?ID=103162" xr:uid="{8650114C-714F-4E50-B0F8-E4A1A0F11778}"/>
    <hyperlink ref="L11" r:id="rId3" display="https://us3.assetplanner.com/service_request?ID=099666" xr:uid="{EDF0537A-B506-42AA-AF6C-0B6A0F9BBEC6}"/>
    <hyperlink ref="L12" r:id="rId4" display="https://us3.assetplanner.com/service_request?ID=101037" xr:uid="{5430AD25-C8F8-4E25-B130-2E3498F171EB}"/>
    <hyperlink ref="L13" r:id="rId5" display="https://us3.assetplanner.com/service_request?ID=092555" xr:uid="{1E72E739-A223-4EFE-AD56-50FA95A52E44}"/>
    <hyperlink ref="M13" r:id="rId6" display="https://us3.assetplanner.com/service_request?ID=102842" xr:uid="{C09BC8B4-11FF-433F-B3B2-D15F3559DD53}"/>
    <hyperlink ref="N13" r:id="rId7" display="https://us3.assetplanner.com/service_request?ID=103545" xr:uid="{DA8FAB09-CBF9-4D7C-8985-E08D7C5BC09A}"/>
    <hyperlink ref="O13" r:id="rId8" display="https://us3.assetplanner.com/service_request?ID=103721" xr:uid="{D739996B-8759-437B-B70B-EDCA72FE309A}"/>
    <hyperlink ref="L14" r:id="rId9" display="https://us3.assetplanner.com/service_request?ID=092556" xr:uid="{31B519F4-F383-4D2E-B1A8-D94E16C98D13}"/>
    <hyperlink ref="L16" r:id="rId10" display="https://us3.assetplanner.com/service_request?ID=093028" xr:uid="{FC75EBC6-823B-42EA-921D-201FA4C3FBFD}"/>
    <hyperlink ref="L17" r:id="rId11" display="https://us3.assetplanner.com/service_request?ID=100106" xr:uid="{E954A576-488E-4E1C-ACAC-849EF04E04F2}"/>
    <hyperlink ref="M17" r:id="rId12" display="https://us3.assetplanner.com/service_request?ID=091894" xr:uid="{B4FD2724-7F8C-45EB-B6CC-C14DB08E6528}"/>
    <hyperlink ref="L18" r:id="rId13" display="https://us3.assetplanner.com/service_request?ID=103051" xr:uid="{ADEDD9B2-8695-4EF8-95DB-A1F79990D61D}"/>
    <hyperlink ref="L19" r:id="rId14" display="https://us3.assetplanner.com/service_request?ID=093047" xr:uid="{CEE1E5FC-779B-4CFA-9AAA-3C0E0C5E63C2}"/>
    <hyperlink ref="L20" r:id="rId15" display="https://us3.assetplanner.com/service_request?ID=102472" xr:uid="{A36FB178-A02B-43B5-A193-9DBBB2419F81}"/>
    <hyperlink ref="L21" r:id="rId16" display="https://us3.assetplanner.com/service_request?ID=103460" xr:uid="{ACD86566-EF34-433E-961E-4AC4A27BE79D}"/>
    <hyperlink ref="M21" r:id="rId17" display="https://us3.assetplanner.com/service_request?ID=103558" xr:uid="{88896255-FF3E-4BC7-A693-7EE8FBB4E430}"/>
    <hyperlink ref="N21" r:id="rId18" display="https://us3.assetplanner.com/service_request?ID=102435" xr:uid="{5C939AEC-7A49-44C1-995E-67156FEA6C69}"/>
    <hyperlink ref="L22" r:id="rId19" display="https://us3.assetplanner.com/service_request?ID=093289" xr:uid="{85736C2B-9AF1-418A-89F9-7465D53FDEEA}"/>
    <hyperlink ref="L23" r:id="rId20" display="https://us3.assetplanner.com/service_request?ID=102473" xr:uid="{DD0A5A4B-C4D4-4B26-9FA2-29E0559CCC8F}"/>
    <hyperlink ref="L24" r:id="rId21" display="https://us3.assetplanner.com/service_request?ID=097569" xr:uid="{6302DDB9-5C99-456E-A9AB-D7361613F729}"/>
    <hyperlink ref="L25" r:id="rId22" display="https://us3.assetplanner.com/service_request?ID=093291" xr:uid="{DD2FB699-368E-462F-9019-C77AAE8C5D42}"/>
    <hyperlink ref="L27" r:id="rId23" display="https://us3.assetplanner.com/service_request?ID=095666" xr:uid="{17DF3129-B4C7-4A87-9898-AFE5A9F81023}"/>
    <hyperlink ref="L29" r:id="rId24" display="https://us3.assetplanner.com/service_request?ID=102970" xr:uid="{B1077E77-4790-4701-935F-CEE3046DCAC1}"/>
    <hyperlink ref="M29" r:id="rId25" display="https://us3.assetplanner.com/service_request?ID=093292" xr:uid="{6764C691-69C8-412B-BC4B-D232AB9FB082}"/>
    <hyperlink ref="N29" r:id="rId26" display="https://us3.assetplanner.com/service_request?ID=093633" xr:uid="{A01C5B56-EAB2-4725-948A-8FA0FBF9F939}"/>
    <hyperlink ref="L31" r:id="rId27" display="https://us3.assetplanner.com/service_request?ID=093294" xr:uid="{BDF5EBF3-DCD5-4ED9-9799-0F7DF0602B55}"/>
    <hyperlink ref="L34" r:id="rId28" display="https://us3.assetplanner.com/service_request?ID=103533" xr:uid="{D9B48088-2E47-425D-9B88-25F157235432}"/>
    <hyperlink ref="L35" r:id="rId29" display="https://us3.assetplanner.com/service_request?ID=103259" xr:uid="{4FD7F892-FB91-4652-90F9-5D32A2E1B1F2}"/>
    <hyperlink ref="L37" r:id="rId30" display="https://us3.assetplanner.com/service_request?ID=101786" xr:uid="{C91BC638-8A2A-4D77-A675-4DA17C9462F2}"/>
    <hyperlink ref="L40" r:id="rId31" display="https://us3.assetplanner.com/service_request?ID=102672" xr:uid="{7D4A1042-235D-474F-968A-1624B1F8E862}"/>
    <hyperlink ref="L45" r:id="rId32" display="https://us3.assetplanner.com/service_request?ID=102532" xr:uid="{2C000883-6A68-481E-8AC2-AB8136F268E1}"/>
    <hyperlink ref="L46" r:id="rId33" display="https://us3.assetplanner.com/service_request?ID=103286" xr:uid="{638F26D0-0A7B-4814-A521-CE5BB9FF2C94}"/>
    <hyperlink ref="L52" r:id="rId34" display="https://us3.assetplanner.com/service_request?ID=103116" xr:uid="{2E2743A6-7467-443D-BA14-C8F57A30FE56}"/>
    <hyperlink ref="L54" r:id="rId35" display="https://us3.assetplanner.com/service_request?ID=103569" xr:uid="{0DD59CE0-9EB5-4AF6-BC1E-43D6A3844531}"/>
    <hyperlink ref="L55" r:id="rId36" display="https://us3.assetplanner.com/service_request?ID=088813" xr:uid="{04D45EAA-C436-4D6B-9D39-D3F2DA418C79}"/>
    <hyperlink ref="L57" r:id="rId37" display="https://us3.assetplanner.com/service_request?ID=093324" xr:uid="{B7D54FED-F897-460E-90EF-3F8986196B62}"/>
    <hyperlink ref="L58" r:id="rId38" display="https://us3.assetplanner.com/service_request?ID=102499" xr:uid="{4F995BD4-EFEA-4173-9319-488E159F94DF}"/>
    <hyperlink ref="L59" r:id="rId39" display="https://us3.assetplanner.com/service_request?ID=102920" xr:uid="{399360D5-F945-4A79-AA2C-BFCB93A952A8}"/>
    <hyperlink ref="L60" r:id="rId40" display="https://us3.assetplanner.com/service_request?ID=093326" xr:uid="{BFCDBC20-6047-4B0E-8AA0-3EC7C212C5C0}"/>
    <hyperlink ref="L63" r:id="rId41" display="https://us3.assetplanner.com/service_request?ID=096294" xr:uid="{C8FA6518-DD8E-48CC-9D10-DE4AFD017388}"/>
    <hyperlink ref="L64" r:id="rId42" display="https://us3.assetplanner.com/service_request?ID=095662" xr:uid="{6BE39C2A-2BBA-486E-9F6F-028F0E882940}"/>
    <hyperlink ref="L65" r:id="rId43" display="https://us3.assetplanner.com/service_request?ID=103568" xr:uid="{B39078E5-3430-4F8A-865A-39F10E0CCA65}"/>
    <hyperlink ref="L66" r:id="rId44" display="https://us3.assetplanner.com/service_request?ID=102436" xr:uid="{30BF822D-A777-435F-9AFC-3701728DBA1B}"/>
    <hyperlink ref="L70" r:id="rId45" display="https://us3.assetplanner.com/service_request?ID=102437" xr:uid="{1CD15EB8-8E4E-42E4-AFA2-1FCBA18E4C08}"/>
    <hyperlink ref="L73" r:id="rId46" display="https://us3.assetplanner.com/service_request?ID=101354" xr:uid="{1E213410-C00A-4F96-944F-04552AC19954}"/>
    <hyperlink ref="M73" r:id="rId47" display="https://us3.assetplanner.com/service_request?ID=102217" xr:uid="{D7322E6C-92B1-494B-A3BF-4F19A1F0BD74}"/>
    <hyperlink ref="L74" r:id="rId48" display="https://us3.assetplanner.com/service_request?ID=102507" xr:uid="{E65344ED-82D3-43BC-AF12-847B3AD38355}"/>
    <hyperlink ref="L75" r:id="rId49" display="https://us3.assetplanner.com/service_request?ID=098641" xr:uid="{E754E075-CC05-4BF7-B5D7-E1EF995F21B6}"/>
    <hyperlink ref="M75" r:id="rId50" display="https://us3.assetplanner.com/service_request?ID=101620" xr:uid="{B1CB3005-789A-45DA-BD43-839FEAA85A77}"/>
    <hyperlink ref="N75" r:id="rId51" display="https://us3.assetplanner.com/service_request?ID=103015" xr:uid="{C9885268-815B-48B4-ADDB-A7746B19CF8F}"/>
    <hyperlink ref="O75" r:id="rId52" display="https://us3.assetplanner.com/service_request?ID=103150" xr:uid="{647E396E-4272-4090-AC4D-66A860F64BC6}"/>
    <hyperlink ref="P75" r:id="rId53" display="https://us3.assetplanner.com/service_request?ID=101620" xr:uid="{4DA81A0F-03E8-4A5C-BC74-423DCC7DB15B}"/>
    <hyperlink ref="L76" r:id="rId54" display="https://us3.assetplanner.com/service_request?ID=102364" xr:uid="{045B1E3B-31E3-4D91-9305-62634F87F738}"/>
    <hyperlink ref="M76" r:id="rId55" display="https://us3.assetplanner.com/service_request?ID=102506" xr:uid="{7383DB12-6DC3-4EB4-99A4-C6131AE25406}"/>
    <hyperlink ref="N76" r:id="rId56" display="https://us3.assetplanner.com/service_request?ID=102821" xr:uid="{BB69ABE7-D746-4506-A0CF-32F3461E4E16}"/>
    <hyperlink ref="O76" r:id="rId57" display="https://us3.assetplanner.com/service_request?ID=102951" xr:uid="{EF7ACD66-7B47-4DE0-8BDC-5385A0635E28}"/>
    <hyperlink ref="P76" r:id="rId58" display="https://us3.assetplanner.com/service_request?ID=103185" xr:uid="{4AE14CAF-4A8F-401F-B701-B86FFE90B254}"/>
    <hyperlink ref="Q76" r:id="rId59" display="https://us3.assetplanner.com/service_request?ID=103185" xr:uid="{8008C54C-3CDD-4D6A-8EDF-076EEDB7FA8E}"/>
    <hyperlink ref="L77" r:id="rId60" display="https://us3.assetplanner.com/service_request?ID=102460" xr:uid="{97FE88B8-A400-4E63-82C3-C8054BE84DD9}"/>
    <hyperlink ref="L78" r:id="rId61" display="https://us3.assetplanner.com/service_request?ID=100623" xr:uid="{4BA012E0-D55E-4F01-B5B1-EBA32A7EC640}"/>
    <hyperlink ref="M78" r:id="rId62" display="https://us3.assetplanner.com/service_request?ID=099149" xr:uid="{1CCFC0AD-0E71-442E-A796-B57A9DA0CA26}"/>
    <hyperlink ref="N78" r:id="rId63" display="https://us3.assetplanner.com/service_request?ID=101482" xr:uid="{F4CFBA1A-C829-4714-8B43-8F41AB1C9FA4}"/>
    <hyperlink ref="O78" r:id="rId64" display="https://us3.assetplanner.com/service_request?ID=102219" xr:uid="{DFE14C55-6F9C-467B-8244-13FB610521C7}"/>
    <hyperlink ref="L80" r:id="rId65" display="https://us3.assetplanner.com/service_request?ID=099403" xr:uid="{3D239CA4-A733-49FB-B0B0-98B30F395CE1}"/>
    <hyperlink ref="L82" r:id="rId66" display="https://us3.assetplanner.com/service_request?ID=102665" xr:uid="{AF034762-E7FE-41A4-9286-66D3F34B0976}"/>
    <hyperlink ref="L83" r:id="rId67" display="https://us3.assetplanner.com/service_request?ID=102427" xr:uid="{FF137601-CADC-4845-A48E-B554407E64E3}"/>
    <hyperlink ref="M83" r:id="rId68" display="https://us3.assetplanner.com/service_request?ID=093024" xr:uid="{287517C5-2924-431B-A625-21C1823E1E11}"/>
    <hyperlink ref="L84" r:id="rId69" display="https://us3.assetplanner.com/service_request?ID=098198" xr:uid="{5627ECAC-27AA-467C-9314-D77BC8C78BE0}"/>
    <hyperlink ref="M84" r:id="rId70" display="https://us3.assetplanner.com/service_request?ID=100200" xr:uid="{4131762D-C3F3-44F5-9516-D0E063170F96}"/>
    <hyperlink ref="L85" r:id="rId71" display="https://us3.assetplanner.com/service_request?ID=100625" xr:uid="{24EA18FE-FB72-446E-A103-27E56EE60FC6}"/>
    <hyperlink ref="M85" r:id="rId72" display="https://us3.assetplanner.com/service_request?ID=098866" xr:uid="{B571E090-97E2-4D9F-873E-8E6FC4771214}"/>
    <hyperlink ref="L86" r:id="rId73" display="https://us3.assetplanner.com/service_request?ID=098998" xr:uid="{9FFC3119-D3FB-4336-8AB4-B162A4A444FF}"/>
    <hyperlink ref="L87" r:id="rId74" display="https://us3.assetplanner.com/service_request?ID=100373" xr:uid="{B3CB83BB-CE9A-4061-88AB-2F307B380055}"/>
    <hyperlink ref="M87" r:id="rId75" display="https://us3.assetplanner.com/service_request?ID=103651" xr:uid="{3A7CCB52-EEE5-4F30-9609-C433F325CE39}"/>
    <hyperlink ref="L88" r:id="rId76" display="https://us3.assetplanner.com/service_request?ID=092964" xr:uid="{851DBD4E-360A-4F88-A1D8-8A66F30E100B}"/>
    <hyperlink ref="M88" r:id="rId77" display="https://us3.assetplanner.com/service_request?ID=095253" xr:uid="{E1DB13AD-ADD1-4B94-9E8B-731D865EB0A5}"/>
    <hyperlink ref="N88" r:id="rId78" display="https://us3.assetplanner.com/service_request?ID=098877" xr:uid="{BA097B0F-B564-49BE-991A-F7FA5ECD5253}"/>
    <hyperlink ref="L89" r:id="rId79" display="https://us3.assetplanner.com/service_request?ID=102662" xr:uid="{1E24F5C2-DCC5-455E-8258-16374AEBC9AE}"/>
    <hyperlink ref="L91" r:id="rId80" display="https://us3.assetplanner.com/service_request?ID=101912" xr:uid="{36D3063C-C122-49C2-B59E-A1C1D85048F7}"/>
    <hyperlink ref="M91" r:id="rId81" display="https://us3.assetplanner.com/service_request?ID=102335" xr:uid="{B6318352-7694-4E40-881E-94916F0ADE27}"/>
    <hyperlink ref="N91" r:id="rId82" display="https://us3.assetplanner.com/service_request?ID=102682" xr:uid="{1D4422AB-9E0A-490E-ABD5-BF72C3F1EA02}"/>
    <hyperlink ref="O91" r:id="rId83" display="https://us3.assetplanner.com/service_request?ID=102682" xr:uid="{931912BE-8B18-4CE0-B4D0-15ED51F98103}"/>
    <hyperlink ref="P91" r:id="rId84" display="https://us3.assetplanner.com/service_request?ID=103181" xr:uid="{75946455-E330-46E1-88F8-5106FFD549A8}"/>
    <hyperlink ref="Q91" r:id="rId85" display="https://us3.assetplanner.com/service_request?ID=102996" xr:uid="{2637561C-F739-4056-A843-756C31479ED7}"/>
    <hyperlink ref="R91" r:id="rId86" display="https://us3.assetplanner.com/service_request?ID=103257" xr:uid="{FDCB38D9-BFEB-4A7B-AC4B-43862D6F313E}"/>
    <hyperlink ref="S91" r:id="rId87" display="https://us3.assetplanner.com/service_request?ID=103260" xr:uid="{8CAAAD43-C7E2-4004-80A1-1DD0A23E465F}"/>
    <hyperlink ref="T91" r:id="rId88" display="https://us3.assetplanner.com/service_request?ID=103266" xr:uid="{62B4E94A-0C20-4EFB-A22F-3484A9DE2682}"/>
    <hyperlink ref="U91" r:id="rId89" display="https://us3.assetplanner.com/service_request?ID=103181" xr:uid="{0F09D9E8-1395-4CFC-8C7A-CAC1AA11E8AA}"/>
    <hyperlink ref="V91" r:id="rId90" display="https://us3.assetplanner.com/service_request?ID=103257" xr:uid="{47705629-C4F2-4A79-B109-CEE0449720D7}"/>
    <hyperlink ref="W91" r:id="rId91" display="https://us3.assetplanner.com/service_request?ID=103260" xr:uid="{9DA0749A-077B-4662-AB6D-CAEFAB222232}"/>
    <hyperlink ref="L92" r:id="rId92" display="https://us3.assetplanner.com/service_request?ID=102298" xr:uid="{997A7304-3379-45A2-9550-3936F5CBD16E}"/>
    <hyperlink ref="L93" r:id="rId93" display="https://us3.assetplanner.com/service_request?ID=103256" xr:uid="{134BA591-7FEB-45C0-94A7-A50E67B95F78}"/>
    <hyperlink ref="M93" r:id="rId94" display="https://us3.assetplanner.com/service_request?ID=103314" xr:uid="{B3499319-7637-4C3B-B4C3-B0D2B29427A5}"/>
    <hyperlink ref="N93" r:id="rId95" display="https://us3.assetplanner.com/service_request?ID=103671" xr:uid="{273AB6EA-66C7-4876-8ADC-78F6E56F9C11}"/>
    <hyperlink ref="O93" r:id="rId96" display="https://us3.assetplanner.com/service_request?ID=103671" xr:uid="{C155857D-B1D1-495D-A4D3-BDF6D37DFE0A}"/>
    <hyperlink ref="L94" r:id="rId97" display="https://us3.assetplanner.com/service_request?ID=101820" xr:uid="{AA91A4D7-3DEC-4E02-88EF-DB4D82608BF4}"/>
    <hyperlink ref="M94" r:id="rId98" display="https://us3.assetplanner.com/service_request?ID=099347" xr:uid="{20637DD5-90ED-4322-96E3-C3E83CC36CD3}"/>
    <hyperlink ref="L95" r:id="rId99" display="https://us3.assetplanner.com/service_request?ID=102360" xr:uid="{D3DC3A21-8C95-4E51-AEC3-5220A7F502C7}"/>
    <hyperlink ref="M95" r:id="rId100" display="https://us3.assetplanner.com/service_request?ID=102937" xr:uid="{44F0BD89-F3EB-40E6-9EFE-91CB9ED9F208}"/>
    <hyperlink ref="L96" r:id="rId101" display="https://us3.assetplanner.com/service_request?ID=102637" xr:uid="{63A34919-7D86-4267-B354-CA4946666EB3}"/>
    <hyperlink ref="L97" r:id="rId102" display="https://us3.assetplanner.com/service_request?ID=103167" xr:uid="{829C65EA-A0C5-4451-9160-F74949B18209}"/>
    <hyperlink ref="L102" r:id="rId103" display="https://us3.assetplanner.com/service_request?ID=095109" xr:uid="{737F6BF9-2C09-4CBA-AF78-A6F1DFE2554A}"/>
    <hyperlink ref="L105" r:id="rId104" display="https://us3.assetplanner.com/service_request?ID=102378" xr:uid="{51104DCE-3663-4378-A1DD-6852DD33B91A}"/>
    <hyperlink ref="M105" r:id="rId105" display="https://us3.assetplanner.com/service_request?ID=102995" xr:uid="{1ACB6C03-0384-4FA6-B3DD-2086975899C0}"/>
    <hyperlink ref="N105" r:id="rId106" display="https://us3.assetplanner.com/service_request?ID=103080" xr:uid="{AD2EAC6B-2608-4A2D-8115-4F2D67F7EF8A}"/>
    <hyperlink ref="L106" r:id="rId107" display="https://us3.assetplanner.com/service_request?ID=102379" xr:uid="{DB63D241-962E-4B88-95B5-2E2C95E7F294}"/>
    <hyperlink ref="L107" r:id="rId108" display="https://us3.assetplanner.com/service_request?ID=102380" xr:uid="{D422DE71-C3E2-4393-98DF-685C8E96AB3B}"/>
    <hyperlink ref="L108" r:id="rId109" display="https://us3.assetplanner.com/service_request?ID=102984" xr:uid="{6697E664-8339-4433-A487-82129D84645F}"/>
    <hyperlink ref="L109" r:id="rId110" display="https://us3.assetplanner.com/service_request?ID=101282" xr:uid="{F8B132F7-A12D-49A0-A96E-BDBEA3F89FFB}"/>
    <hyperlink ref="L111" r:id="rId111" display="https://us3.assetplanner.com/service_request?ID=099726" xr:uid="{17C830AF-A5ED-47CE-AF2A-27720C305911}"/>
    <hyperlink ref="L112" r:id="rId112" display="https://us3.assetplanner.com/service_request?ID=095073" xr:uid="{82FDFADE-F9A5-4A16-A4AF-5F78B192ADAF}"/>
    <hyperlink ref="M112" r:id="rId113" display="https://us3.assetplanner.com/service_request?ID=103366" xr:uid="{D6344412-8732-4C1C-8DC6-C23A07DEA4A1}"/>
    <hyperlink ref="N112" r:id="rId114" display="https://us3.assetplanner.com/service_request?ID=103366" xr:uid="{EBDF882F-D332-4470-8F99-F4854CDEBC5C}"/>
    <hyperlink ref="L119" r:id="rId115" display="https://us3.assetplanner.com/service_request?ID=091181" xr:uid="{36943D33-AF60-4EF7-94C4-7A2A2967FB90}"/>
    <hyperlink ref="L120" r:id="rId116" display="https://us3.assetplanner.com/service_request?ID=103078" xr:uid="{16B8DA1F-8255-4FEA-8E41-A7244F082A20}"/>
    <hyperlink ref="L121" r:id="rId117" display="https://us3.assetplanner.com/service_request?ID=100622" xr:uid="{A4290C5A-7AEB-4940-B602-18D4BAFF0ADE}"/>
    <hyperlink ref="M121" r:id="rId118" display="https://us3.assetplanner.com/service_request?ID=095581" xr:uid="{0DA2B1C7-9425-4C3C-8D86-5A3CCF4E1495}"/>
    <hyperlink ref="N121" r:id="rId119" display="https://us3.assetplanner.com/service_request?ID=100771" xr:uid="{000508EF-5B97-427F-9CC4-CD65D54D8DDB}"/>
    <hyperlink ref="L123" r:id="rId120" display="https://us3.assetplanner.com/service_request?ID=103354" xr:uid="{8D120F6E-5F6F-4075-ACA4-09A870BF71A9}"/>
    <hyperlink ref="M123" r:id="rId121" display="https://us3.assetplanner.com/service_request?ID=102474" xr:uid="{69C67E0F-1D44-49AB-AF68-F04426808091}"/>
    <hyperlink ref="N123" r:id="rId122" display="https://us3.assetplanner.com/service_request?ID=102386" xr:uid="{8962755B-082B-4B0F-A3D5-FEFE958F4BBB}"/>
    <hyperlink ref="L125" r:id="rId123" display="https://us3.assetplanner.com/service_request?ID=099268" xr:uid="{7FB50A0E-E7C8-45F7-9D67-A22A9CCD5A8B}"/>
    <hyperlink ref="M125" r:id="rId124" display="https://us3.assetplanner.com/service_request?ID=093354" xr:uid="{77012A85-FC6B-4EB5-B4C3-B2209DF75C27}"/>
    <hyperlink ref="L126" r:id="rId125" display="https://us3.assetplanner.com/service_request?ID=101102" xr:uid="{44F2F25D-1B7F-4B4E-A0B3-B095E9F92CC1}"/>
    <hyperlink ref="M126" r:id="rId126" display="https://us3.assetplanner.com/service_request?ID=101744" xr:uid="{65959EB6-06E2-41C3-B9D4-A5C97A7D16B4}"/>
    <hyperlink ref="N126" r:id="rId127" display="https://us3.assetplanner.com/service_request?ID=100464" xr:uid="{F46971C3-E4A6-4213-BEB0-9BE07BEDFD08}"/>
    <hyperlink ref="O126" r:id="rId128" display="https://us3.assetplanner.com/service_request?ID=098883" xr:uid="{821648FC-D7B5-43CD-8716-12A7FD051985}"/>
    <hyperlink ref="P126" r:id="rId129" display="https://us3.assetplanner.com/service_request?ID=092332" xr:uid="{1BB899E2-289A-42FF-A916-A4FE57BA6644}"/>
    <hyperlink ref="Q126" r:id="rId130" display="https://us3.assetplanner.com/service_request?ID=095649" xr:uid="{F15E7882-8A20-465C-BFDC-2C0245441310}"/>
    <hyperlink ref="L127" r:id="rId131" display="https://us3.assetplanner.com/service_request?ID=102198" xr:uid="{1BFA03E9-44A0-424D-BE86-06DE80E4943A}"/>
    <hyperlink ref="M127" r:id="rId132" display="https://us3.assetplanner.com/service_request?ID=101942" xr:uid="{2C78458F-3724-4A2D-A039-C053795DCEFF}"/>
    <hyperlink ref="N127" r:id="rId133" display="https://us3.assetplanner.com/service_request?ID=088869" xr:uid="{43222189-443A-41BF-A9AD-E66DCA39EEFC}"/>
    <hyperlink ref="O127" r:id="rId134" display="https://us3.assetplanner.com/service_request?ID=092209" xr:uid="{501E0773-1774-4629-A966-6189B2D9C451}"/>
    <hyperlink ref="P127" r:id="rId135" display="https://us3.assetplanner.com/service_request?ID=101998" xr:uid="{F1796CDF-2E25-4CB5-99D6-4DBFAF809D3E}"/>
    <hyperlink ref="Q127" r:id="rId136" display="https://us3.assetplanner.com/service_request?ID=092255" xr:uid="{F165614A-2057-4069-AF35-C829E8D2C02E}"/>
    <hyperlink ref="R127" r:id="rId137" display="https://us3.assetplanner.com/service_request?ID=092751" xr:uid="{1B91BDD9-E94F-4A26-922D-F97B28F7023D}"/>
    <hyperlink ref="S127" r:id="rId138" display="https://us3.assetplanner.com/service_request?ID=092095" xr:uid="{F451FE97-EAA3-49B3-BBD4-C8A37D130BEC}"/>
    <hyperlink ref="T127" r:id="rId139" display="https://us3.assetplanner.com/service_request?ID=101997" xr:uid="{3CBCC6B6-10A5-487F-AF25-09754077C308}"/>
    <hyperlink ref="U127" r:id="rId140" display="https://us3.assetplanner.com/service_request?ID=103021" xr:uid="{7093E985-EFD2-4957-9EDA-B61A073FC337}"/>
    <hyperlink ref="L128" r:id="rId141" display="https://us3.assetplanner.com/service_request?ID=101219" xr:uid="{F587A9D8-67B5-4C2B-9D95-BEC6EF14F58E}"/>
    <hyperlink ref="M128" r:id="rId142" display="https://us3.assetplanner.com/service_request?ID=095305" xr:uid="{1F1AD923-FB8E-46F3-8A8B-B29D943A8F9B}"/>
    <hyperlink ref="L129" r:id="rId143" display="https://us3.assetplanner.com/service_request?ID=103423" xr:uid="{AA2F2BDA-E10D-40BA-9566-303A5A7D61BC}"/>
    <hyperlink ref="M129" r:id="rId144" display="https://us3.assetplanner.com/service_request?ID=101010" xr:uid="{6B159BE1-CD9C-486B-AEF4-D49E1A9C32AC}"/>
    <hyperlink ref="L130" r:id="rId145" display="https://us3.assetplanner.com/service_request?ID=100985" xr:uid="{957FE7C9-276C-4312-A6D3-9DB8754CD06A}"/>
    <hyperlink ref="M130" r:id="rId146" display="https://us3.assetplanner.com/service_request?ID=101223" xr:uid="{866B3BC9-7F8A-4BA0-9595-90AF18D3778B}"/>
    <hyperlink ref="L135" r:id="rId147" display="https://us3.assetplanner.com/service_request?ID=095531" xr:uid="{E1DF043D-0064-4D17-B6B6-FB510C882EC9}"/>
    <hyperlink ref="L139" r:id="rId148" display="https://us3.assetplanner.com/service_request?ID=101152" xr:uid="{297FBF4B-9D7C-4C7B-84F2-F514322B5CCD}"/>
    <hyperlink ref="L140" r:id="rId149" display="https://us3.assetplanner.com/service_request?ID=103760" xr:uid="{CACBEDB7-7A0B-46AA-AEA3-AB2933DB1C07}"/>
    <hyperlink ref="L141" r:id="rId150" display="https://us3.assetplanner.com/service_request?ID=103174" xr:uid="{21FAACED-FC84-429F-A2F7-D37AF444419A}"/>
    <hyperlink ref="M141" r:id="rId151" display="https://us3.assetplanner.com/service_request?ID=103321" xr:uid="{106E3E6B-AB23-425D-A934-CEB13891F3A1}"/>
    <hyperlink ref="N141" r:id="rId152" display="https://us3.assetplanner.com/service_request?ID=103538" xr:uid="{2CF2A752-4D51-4CC4-9817-54B592E36845}"/>
    <hyperlink ref="O141" r:id="rId153" display="https://us3.assetplanner.com/service_request?ID=103570" xr:uid="{EBB40756-48C8-421E-8F79-58990674B6B1}"/>
    <hyperlink ref="L142" r:id="rId154" display="https://us3.assetplanner.com/service_request?ID=102601" xr:uid="{CF29DEBF-5A02-4019-A804-38271D6BEF39}"/>
    <hyperlink ref="M142" r:id="rId155" display="https://us3.assetplanner.com/service_request?ID=102895" xr:uid="{D041677C-176A-495F-BC5D-610A7E487A55}"/>
    <hyperlink ref="L143" r:id="rId156" display="https://us3.assetplanner.com/service_request?ID=100101" xr:uid="{AC8F3845-FB2D-47C4-85CC-D58616176D51}"/>
    <hyperlink ref="M143" r:id="rId157" display="https://us3.assetplanner.com/service_request?ID=102328" xr:uid="{2210F183-8A5D-4057-A469-F387FD99359A}"/>
    <hyperlink ref="N143" r:id="rId158" display="https://us3.assetplanner.com/service_request?ID=102889" xr:uid="{10EB7489-137A-4A44-AF14-620EE6190A94}"/>
    <hyperlink ref="L145" r:id="rId159" display="https://us3.assetplanner.com/service_request?ID=101082" xr:uid="{791A7259-DDE7-4223-B009-D2EC59766F02}"/>
    <hyperlink ref="M145" r:id="rId160" display="https://us3.assetplanner.com/service_request?ID=101848" xr:uid="{7EB0E058-BD5D-4A0D-9646-BEE4BD4FA946}"/>
    <hyperlink ref="N145" r:id="rId161" display="https://us3.assetplanner.com/service_request?ID=103374" xr:uid="{512F3736-2699-4A51-88C4-BB6BD07A5901}"/>
    <hyperlink ref="L146" r:id="rId162" display="https://us3.assetplanner.com/service_request?ID=101915" xr:uid="{64EA8FBF-5370-4FEC-920D-EB00E92AF6C9}"/>
    <hyperlink ref="L148" r:id="rId163" display="https://us3.assetplanner.com/service_request?ID=095624" xr:uid="{14E5BD29-F2DB-4CCC-8FA8-E7660C7B7415}"/>
    <hyperlink ref="M148" r:id="rId164" display="https://us3.assetplanner.com/service_request?ID=097725" xr:uid="{E9E8640E-D02D-45CF-A14A-2A3B0D61BFA1}"/>
    <hyperlink ref="L149" r:id="rId165" display="https://us3.assetplanner.com/service_request?ID=102628" xr:uid="{6F642857-5771-4490-AE09-F46163F51A67}"/>
    <hyperlink ref="L150" r:id="rId166" display="https://us3.assetplanner.com/service_request?ID=101314" xr:uid="{75734717-3F80-422C-B7DE-3BF15EC48E3E}"/>
    <hyperlink ref="M150" r:id="rId167" display="https://us3.assetplanner.com/service_request?ID=101947" xr:uid="{F31EFD5E-04FD-4509-8336-92F1B0B7CA3C}"/>
    <hyperlink ref="N150" r:id="rId168" display="https://us3.assetplanner.com/service_request?ID=102015" xr:uid="{293C6563-585F-44DB-8B10-1EAE12196CAE}"/>
    <hyperlink ref="L151" r:id="rId169" display="https://us3.assetplanner.com/service_request?ID=103685" xr:uid="{B648A5E7-4DD0-4E90-88E9-DD3B485C938E}"/>
    <hyperlink ref="L152" r:id="rId170" display="https://us3.assetplanner.com/service_request?ID=102664" xr:uid="{55A61124-52C3-4120-82D4-0C1CDA9B0C91}"/>
    <hyperlink ref="M152" r:id="rId171" display="https://us3.assetplanner.com/service_request?ID=103019" xr:uid="{83767E0A-B173-4136-A5B7-16383EE54AAB}"/>
    <hyperlink ref="N152" r:id="rId172" display="https://us3.assetplanner.com/service_request?ID=103279" xr:uid="{8C1BFA3D-D927-4F99-A0FF-64F14D8AD1E6}"/>
    <hyperlink ref="O152" r:id="rId173" display="https://us3.assetplanner.com/service_request?ID=103668" xr:uid="{4DB52E74-8B78-4F01-8B0C-297001FD9D8D}"/>
    <hyperlink ref="L153" r:id="rId174" display="https://us3.assetplanner.com/service_request?ID=098692" xr:uid="{99C42585-994C-4924-A590-E0B746216641}"/>
    <hyperlink ref="M153" r:id="rId175" display="https://us3.assetplanner.com/service_request?ID=102638" xr:uid="{55DE9012-5DBD-4916-8683-CD85BDB95329}"/>
    <hyperlink ref="L154" r:id="rId176" display="https://us3.assetplanner.com/service_request?ID=099686" xr:uid="{32442C7E-15F2-4380-A178-99C70BFBDEA8}"/>
    <hyperlink ref="M154" r:id="rId177" display="https://us3.assetplanner.com/service_request?ID=094820" xr:uid="{5A75A2C7-0828-42FB-A668-3A7530BC5AE2}"/>
    <hyperlink ref="N154" r:id="rId178" display="https://us3.assetplanner.com/service_request?ID=101931" xr:uid="{8ED356D3-C300-4E93-BF9E-EC2288CB94F0}"/>
    <hyperlink ref="O154" r:id="rId179" display="https://us3.assetplanner.com/service_request?ID=102747" xr:uid="{CD243F10-6359-4205-8849-467CFD78F23D}"/>
    <hyperlink ref="L155" r:id="rId180" display="https://us3.assetplanner.com/service_request?ID=098860" xr:uid="{7ABD109B-70FB-4002-B097-6B965CE0DD69}"/>
    <hyperlink ref="L156" r:id="rId181" display="https://us3.assetplanner.com/service_request?ID=097454" xr:uid="{8F132632-E122-48A9-9CB1-D4EA992F0E08}"/>
    <hyperlink ref="M156" r:id="rId182" display="https://us3.assetplanner.com/service_request?ID=099118" xr:uid="{77862FC5-E5E3-4338-9B97-F8FBBB0A1D79}"/>
    <hyperlink ref="L157" r:id="rId183" display="https://us3.assetplanner.com/service_request?ID=103367" xr:uid="{FB36C194-A4D6-459B-AD94-FDE5A1EE5798}"/>
    <hyperlink ref="L158" r:id="rId184" display="https://us3.assetplanner.com/service_request?ID=102212" xr:uid="{51D38C10-CE02-43B8-9A93-63DD610531C9}"/>
    <hyperlink ref="M158" r:id="rId185" display="https://us3.assetplanner.com/service_request?ID=102640" xr:uid="{C7120129-CF18-46A3-8EA1-937F4343DCC5}"/>
    <hyperlink ref="N158" r:id="rId186" display="https://us3.assetplanner.com/service_request?ID=103552" xr:uid="{488073A5-5DAE-4AF0-9787-8B9495DBE4CA}"/>
    <hyperlink ref="L162" r:id="rId187" display="https://us3.assetplanner.com/service_request?ID=103476" xr:uid="{611FE0FC-B614-447D-83AA-6470D337C56D}"/>
    <hyperlink ref="L163" r:id="rId188" display="https://us3.assetplanner.com/service_request?ID=103477" xr:uid="{26149A34-EB07-4D88-8E51-EFF70D7E4F22}"/>
    <hyperlink ref="L165" r:id="rId189" display="https://us3.assetplanner.com/service_request?ID=095945" xr:uid="{1ED5E440-F81B-421E-B5A5-7C3AB77D8B25}"/>
    <hyperlink ref="M165" r:id="rId190" display="https://us3.assetplanner.com/service_request?ID=103457" xr:uid="{09A42404-4396-4BD7-841F-9AA6183CFE50}"/>
    <hyperlink ref="L166" r:id="rId191" display="https://us3.assetplanner.com/service_request?ID=095946" xr:uid="{15E60287-1439-4919-886D-E328C8A382D0}"/>
    <hyperlink ref="L167" r:id="rId192" display="https://us3.assetplanner.com/service_request?ID=103482" xr:uid="{13C0C662-CB9C-495D-A473-A7F03DD4BC99}"/>
    <hyperlink ref="L171" r:id="rId193" display="https://us3.assetplanner.com/service_request?ID=099930" xr:uid="{79EDC439-2EF8-41D0-86A2-80155BD191BE}"/>
    <hyperlink ref="L174" r:id="rId194" display="https://us3.assetplanner.com/service_request?ID=103141" xr:uid="{2AEF68D8-AD05-4C48-80F3-3D19DB54A66F}"/>
    <hyperlink ref="L175" r:id="rId195" display="https://us3.assetplanner.com/service_request?ID=099791" xr:uid="{2C7C0051-1905-4986-A48F-023CEF818E5B}"/>
    <hyperlink ref="M175" r:id="rId196" display="https://us3.assetplanner.com/service_request?ID=099792" xr:uid="{AED0FAE6-577F-4875-9724-0B3FD91C5CEE}"/>
    <hyperlink ref="N175" r:id="rId197" display="https://us3.assetplanner.com/service_request?ID=103096" xr:uid="{4AD21C8D-5B27-46CA-9D7A-1AB92F0489FB}"/>
    <hyperlink ref="O175" r:id="rId198" display="https://us3.assetplanner.com/service_request?ID=099793" xr:uid="{D94ADA93-6390-47F9-A87A-64AACD0095C6}"/>
    <hyperlink ref="P175" r:id="rId199" display="https://us3.assetplanner.com/service_request?ID=103710" xr:uid="{A0B4DD8D-BF9E-4104-A703-1519F4861A9C}"/>
    <hyperlink ref="L180" r:id="rId200" display="https://us3.assetplanner.com/service_request?ID=103361" xr:uid="{7517EED5-3499-473E-8483-793DF701F1AF}"/>
    <hyperlink ref="L181" r:id="rId201" display="https://us3.assetplanner.com/service_request?ID=101940" xr:uid="{B315B688-C912-48E4-B4A0-CE6C7F057701}"/>
    <hyperlink ref="L182" r:id="rId202" display="https://us3.assetplanner.com/service_request?ID=100587" xr:uid="{6594B697-7FB6-42D2-96FC-9FF391A6E10B}"/>
    <hyperlink ref="M182" r:id="rId203" display="https://us3.assetplanner.com/service_request?ID=103188" xr:uid="{3D25CE12-2A9C-4306-BB60-D549AB617839}"/>
    <hyperlink ref="N182" r:id="rId204" display="https://us3.assetplanner.com/service_request?ID=102888" xr:uid="{AAD6F7FA-6DB5-491E-B646-CCE56E601F6D}"/>
    <hyperlink ref="O182" r:id="rId205" display="https://us3.assetplanner.com/service_request?ID=103641" xr:uid="{F6E12773-3939-49A7-88AC-247AA88B3E31}"/>
    <hyperlink ref="P182" r:id="rId206" display="https://us3.assetplanner.com/service_request?ID=103805" xr:uid="{0695A77D-60B7-423A-893D-8FE43AB3D398}"/>
    <hyperlink ref="L183" r:id="rId207" display="https://us3.assetplanner.com/service_request?ID=103246" xr:uid="{7511E741-188A-47D2-9AF8-F28698C35710}"/>
    <hyperlink ref="L185" r:id="rId208" display="https://us3.assetplanner.com/service_request?ID=103557" xr:uid="{E6B89D7B-9449-4578-87C1-78709D9639D5}"/>
    <hyperlink ref="L186" r:id="rId209" display="https://us3.assetplanner.com/service_request?ID=100220" xr:uid="{026498A1-D094-448F-A48C-C91D55071082}"/>
    <hyperlink ref="L187" r:id="rId210" display="https://us3.assetplanner.com/service_request?ID=102012" xr:uid="{5CA16F86-43B8-4BE0-9743-673FFBAF1E11}"/>
    <hyperlink ref="L190" r:id="rId211" display="https://us3.assetplanner.com/service_request?ID=103076" xr:uid="{7C89886F-2F1A-4B57-8C66-917BFC09AFF5}"/>
    <hyperlink ref="L191" r:id="rId212" display="https://us3.assetplanner.com/service_request?ID=097816" xr:uid="{BEAE84F7-CEED-4BD0-BE2A-E569FD2CC333}"/>
    <hyperlink ref="M191" r:id="rId213" display="https://us3.assetplanner.com/service_request?ID=101645" xr:uid="{204E198D-1DF8-431E-AE64-2D4BCEA7AD05}"/>
    <hyperlink ref="L192" r:id="rId214" display="https://us3.assetplanner.com/service_request?ID=100609" xr:uid="{0A3FCE8E-308A-4A54-B283-0CD93436CB0C}"/>
    <hyperlink ref="M192" r:id="rId215" display="https://us3.assetplanner.com/service_request?ID=102630" xr:uid="{B1F07754-AE40-42C6-9F4F-0C4D8CC5F0B8}"/>
    <hyperlink ref="N192" r:id="rId216" display="https://us3.assetplanner.com/service_request?ID=103214" xr:uid="{31A3BE03-EB34-4E82-9662-6A589860E377}"/>
    <hyperlink ref="L193" r:id="rId217" display="https://us3.assetplanner.com/service_request?ID=101228" xr:uid="{CEE7FAE1-7B71-4A88-961E-C216CC1A6690}"/>
    <hyperlink ref="L194" r:id="rId218" display="https://us3.assetplanner.com/service_request?ID=098278" xr:uid="{8236CBDB-07A3-4F3E-BA04-422A1DFDB8BA}"/>
    <hyperlink ref="M194" r:id="rId219" display="https://us3.assetplanner.com/service_request?ID=098670" xr:uid="{351B226F-23CB-4184-9ACB-6D3E572D5CB3}"/>
    <hyperlink ref="L195" r:id="rId220" display="https://us3.assetplanner.com/service_request?ID=102684" xr:uid="{25C0F373-881F-4163-B393-081007948765}"/>
    <hyperlink ref="M195" r:id="rId221" display="https://us3.assetplanner.com/service_request?ID=103541" xr:uid="{67D53D3B-9E3D-4010-ACEF-7D0173F15D12}"/>
    <hyperlink ref="N195" r:id="rId222" display="https://us3.assetplanner.com/service_request?ID=103547" xr:uid="{62FF2281-55BA-4A03-BFD0-12F6A9919617}"/>
    <hyperlink ref="L196" r:id="rId223" display="https://us3.assetplanner.com/service_request?ID=098066" xr:uid="{00409DBC-2943-4145-896C-9E6DDAD14E3A}"/>
    <hyperlink ref="M196" r:id="rId224" display="https://us3.assetplanner.com/service_request?ID=099545" xr:uid="{A49C31BD-EF92-48E7-88BC-28248C1E2F3D}"/>
    <hyperlink ref="N196" r:id="rId225" display="https://us3.assetplanner.com/service_request?ID=103643" xr:uid="{616E21F7-4C40-428D-9D24-7DBA09C45CAE}"/>
    <hyperlink ref="L197" r:id="rId226" display="https://us3.assetplanner.com/service_request?ID=099473" xr:uid="{C94B69DE-6225-4C5A-98FD-AA74E3CA96E3}"/>
    <hyperlink ref="M197" r:id="rId227" display="https://us3.assetplanner.com/service_request?ID=102805" xr:uid="{50FDA3AB-3CE9-464C-A1D7-00152A20BB48}"/>
    <hyperlink ref="N197" r:id="rId228" display="https://us3.assetplanner.com/service_request?ID=103193" xr:uid="{595D6645-29F7-4DE5-B20D-B4FEE30DC4D9}"/>
    <hyperlink ref="O197" r:id="rId229" display="https://us3.assetplanner.com/service_request?ID=103271" xr:uid="{A7A40FCD-96F9-4399-985A-2FDF21D02090}"/>
    <hyperlink ref="P197" r:id="rId230" display="https://us3.assetplanner.com/service_request?ID=103687" xr:uid="{0C303234-E05B-4A40-B060-95155AD05B94}"/>
    <hyperlink ref="L198" r:id="rId231" display="https://us3.assetplanner.com/service_request?ID=103689" xr:uid="{EA0BD169-A426-457C-9A93-A550FB3E5C18}"/>
    <hyperlink ref="L199" r:id="rId232" display="https://us3.assetplanner.com/service_request?ID=098693" xr:uid="{A5249A62-B669-4EC3-95DF-81A5BB71B1A6}"/>
    <hyperlink ref="M199" r:id="rId233" display="https://us3.assetplanner.com/service_request?ID=103313" xr:uid="{62314FBE-C2CA-4FFA-85AF-1D1953836AE7}"/>
    <hyperlink ref="N199" r:id="rId234" display="https://us3.assetplanner.com/service_request?ID=103353" xr:uid="{D3AD2D5A-507B-485C-9526-AF7042758882}"/>
    <hyperlink ref="O199" r:id="rId235" display="https://us3.assetplanner.com/service_request?ID=103559" xr:uid="{0437EB61-37C0-45F5-9AA3-40E4F6759D3C}"/>
    <hyperlink ref="P199" r:id="rId236" display="https://us3.assetplanner.com/service_request?ID=102779" xr:uid="{0D1FD930-A082-45E6-BD36-E6035AABAFDB}"/>
    <hyperlink ref="L200" r:id="rId237"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200"/>
  <sheetViews>
    <sheetView zoomScale="70" zoomScaleNormal="70" workbookViewId="0">
      <pane xSplit="2" ySplit="3" topLeftCell="C94" activePane="bottomRight" state="frozen"/>
      <selection pane="bottomRight" activeCell="O98" sqref="O98"/>
      <selection pane="bottomLeft" activeCell="A4" sqref="A4"/>
      <selection pane="topRight" activeCell="C1" sqref="C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65" t="str" cm="1">
        <f t="array" ref="A1">portfolio</f>
        <v>Generate Capital</v>
      </c>
      <c r="B1" s="165"/>
      <c r="C1" s="165"/>
      <c r="D1" s="165"/>
      <c r="E1" s="166" t="s">
        <v>1698</v>
      </c>
      <c r="F1" s="166"/>
      <c r="G1" s="166"/>
      <c r="H1" s="164" t="s">
        <v>1699</v>
      </c>
      <c r="I1" s="164"/>
      <c r="J1" s="164"/>
      <c r="K1" s="4"/>
      <c r="L1" s="4"/>
    </row>
    <row r="2" spans="1:24" ht="19.5" customHeight="1">
      <c r="A2" s="167" t="s">
        <v>2</v>
      </c>
      <c r="B2" s="167"/>
      <c r="C2" s="65"/>
      <c r="D2" s="5">
        <f>SUM(D4:D201)</f>
        <v>55460752.289186232</v>
      </c>
      <c r="E2" s="5">
        <f>SUM(E4:E101)</f>
        <v>19007753.618999999</v>
      </c>
      <c r="F2" s="5">
        <f>D2-E2</f>
        <v>36452998.670186237</v>
      </c>
      <c r="G2" s="6">
        <f>IFERROR(F2/E2, 0)</f>
        <v>1.9177962530905341</v>
      </c>
      <c r="H2" s="5">
        <f>SUM(H4:H201)</f>
        <v>53487678.448800027</v>
      </c>
      <c r="I2" s="7">
        <f>D2-H2</f>
        <v>1973073.8403862044</v>
      </c>
      <c r="J2" s="6">
        <f>IFERROR(I2/H2, 0)</f>
        <v>3.6888380606664176E-2</v>
      </c>
      <c r="K2" s="22" t="str">
        <f ca="1">IF(AND(TODAY()&gt;DATE(2024, 7, 1), COUNTA(Sites[Site])&lt;&gt;(COUNT(D:D)-1)), "Some sites are missing actual data; if new sites were added, make sure they are aligned correctly (including prior months!)", "")</f>
        <v/>
      </c>
      <c r="L2" s="4"/>
    </row>
    <row r="3" spans="1:24" ht="14.25" customHeight="1">
      <c r="A3" s="8" t="s">
        <v>3</v>
      </c>
      <c r="B3" s="8" t="s">
        <v>4</v>
      </c>
      <c r="C3" s="8" t="s">
        <v>5</v>
      </c>
      <c r="D3" s="19" t="s">
        <v>6</v>
      </c>
      <c r="E3" s="31" t="s">
        <v>7</v>
      </c>
      <c r="F3" s="31" t="s">
        <v>8</v>
      </c>
      <c r="G3" s="32" t="s">
        <v>9</v>
      </c>
      <c r="H3" s="33" t="s">
        <v>10</v>
      </c>
      <c r="I3" s="34" t="s">
        <v>8</v>
      </c>
      <c r="J3" s="35" t="s">
        <v>9</v>
      </c>
      <c r="K3" s="21" t="s">
        <v>21</v>
      </c>
      <c r="L3" s="21" t="s">
        <v>22</v>
      </c>
    </row>
    <row r="4" spans="1:24" ht="15.6">
      <c r="A4" s="28" t="str" cm="1">
        <f t="array" ref="A4:A200">Sites[Site]</f>
        <v>Farmer</v>
      </c>
      <c r="B4" s="25" t="str" cm="1">
        <f t="array" ref="B4:B200">Sites[State]</f>
        <v>AZ</v>
      </c>
      <c r="C4" s="25" t="str">
        <f>Sites[[#This Row],[SOL'#]]</f>
        <v>SOL-10748</v>
      </c>
      <c r="D4" s="20">
        <v>13735.3356944444</v>
      </c>
      <c r="E4" s="10">
        <v>8816.8459999999995</v>
      </c>
      <c r="F4" s="10">
        <f>IF(AND(ISNUMBER(D4),ISNUMBER(E4)), D4-E4, "")</f>
        <v>4918.4896944444008</v>
      </c>
      <c r="G4" s="11">
        <f>IFERROR(F4/E4, "")</f>
        <v>0.55785137842312327</v>
      </c>
      <c r="H4" s="12">
        <v>13564.61</v>
      </c>
      <c r="I4" s="12">
        <f>IF(AND(ISNUMBER(D4),ISNUMBER(H4)), D4-H4, "")</f>
        <v>170.72569444439978</v>
      </c>
      <c r="J4" s="13">
        <f>IFERROR(I4/H4, "")</f>
        <v>1.2586111539100628E-2</v>
      </c>
      <c r="K4" s="59"/>
      <c r="L4" s="59"/>
      <c r="M4" s="116"/>
      <c r="N4" s="116"/>
      <c r="O4" s="116"/>
      <c r="P4" s="116"/>
      <c r="Q4" s="116"/>
      <c r="R4" s="116"/>
      <c r="S4" s="116"/>
      <c r="T4" s="116"/>
      <c r="U4" s="116"/>
      <c r="V4" s="116"/>
      <c r="W4" s="116"/>
      <c r="X4" s="116"/>
    </row>
    <row r="5" spans="1:24" ht="43.15">
      <c r="A5" s="26" t="str">
        <v>Fulton</v>
      </c>
      <c r="B5" s="27" t="str">
        <v>AZ</v>
      </c>
      <c r="C5" s="27" t="str">
        <f>Sites[[#This Row],[SOL'#]]</f>
        <v>SOL-10749</v>
      </c>
      <c r="D5" s="9">
        <v>51105</v>
      </c>
      <c r="E5" s="14">
        <v>60589.7</v>
      </c>
      <c r="F5" s="14">
        <f t="shared" ref="F5:F69" si="0">IF(AND(ISNUMBER(D5),ISNUMBER(E5)), D5-E5, "")</f>
        <v>-9484.6999999999971</v>
      </c>
      <c r="G5" s="15">
        <f>IFERROR(F5/E5, "")</f>
        <v>-0.15653980792114827</v>
      </c>
      <c r="H5" s="16">
        <v>68755.759999999995</v>
      </c>
      <c r="I5" s="16">
        <f t="shared" ref="I5:I68" si="1">IF(AND(ISNUMBER(D5),ISNUMBER(H5)), D5-H5, "")</f>
        <v>-17650.759999999995</v>
      </c>
      <c r="J5" s="15">
        <f t="shared" ref="J5:J68" si="2">IFERROR(I5/H5, "")</f>
        <v>-0.25671681907086763</v>
      </c>
      <c r="K5" s="57" t="s">
        <v>1395</v>
      </c>
      <c r="L5" s="112" t="s">
        <v>776</v>
      </c>
      <c r="M5" s="116"/>
      <c r="N5" s="116"/>
      <c r="O5" s="116"/>
      <c r="P5" s="116"/>
      <c r="Q5" s="116"/>
      <c r="R5" s="116"/>
      <c r="S5" s="116"/>
      <c r="T5" s="116"/>
      <c r="U5" s="116"/>
      <c r="V5" s="116"/>
      <c r="W5" s="116"/>
      <c r="X5" s="116"/>
    </row>
    <row r="6" spans="1:24" ht="65.25" customHeight="1">
      <c r="A6" s="28" t="str">
        <v>JFK Elementary</v>
      </c>
      <c r="B6" s="25" t="str">
        <v>AZ</v>
      </c>
      <c r="C6" s="25" t="str">
        <f>Sites[[#This Row],[SOL'#]]</f>
        <v>SOL-10758</v>
      </c>
      <c r="D6" s="20">
        <v>12132.179651275899</v>
      </c>
      <c r="E6" s="10" t="s">
        <v>777</v>
      </c>
      <c r="F6" s="10" t="str">
        <f t="shared" si="0"/>
        <v/>
      </c>
      <c r="G6" s="11" t="str">
        <f t="shared" ref="G6:G70" si="3">IFERROR(F6/E6, "")</f>
        <v/>
      </c>
      <c r="H6" s="12">
        <v>18696</v>
      </c>
      <c r="I6" s="12">
        <f t="shared" si="1"/>
        <v>-6563.8203487241008</v>
      </c>
      <c r="J6" s="13">
        <f t="shared" si="2"/>
        <v>-0.35108153341485349</v>
      </c>
      <c r="K6" s="59" t="s">
        <v>1700</v>
      </c>
      <c r="L6" s="111" t="s">
        <v>1701</v>
      </c>
      <c r="M6" s="116"/>
      <c r="N6" s="116"/>
      <c r="O6" s="116"/>
      <c r="P6" s="116"/>
      <c r="Q6" s="116"/>
      <c r="R6" s="116"/>
      <c r="S6" s="116"/>
      <c r="T6" s="116"/>
      <c r="U6" s="116"/>
      <c r="V6" s="116"/>
      <c r="W6" s="116"/>
      <c r="X6" s="116"/>
    </row>
    <row r="7" spans="1:24" ht="15.6">
      <c r="A7" s="26" t="str">
        <v>Noble</v>
      </c>
      <c r="B7" s="27" t="str">
        <v>AZ</v>
      </c>
      <c r="C7" s="27" t="str">
        <f>Sites[[#This Row],[SOL'#]]</f>
        <v>SOL-10750</v>
      </c>
      <c r="D7" s="9">
        <v>12583.461537700599</v>
      </c>
      <c r="E7" s="14">
        <v>15025.43</v>
      </c>
      <c r="F7" s="14">
        <f t="shared" si="0"/>
        <v>-2441.9684622994009</v>
      </c>
      <c r="G7" s="15">
        <f t="shared" si="3"/>
        <v>-0.16252236789891544</v>
      </c>
      <c r="H7" s="16">
        <v>15254.26</v>
      </c>
      <c r="I7" s="16">
        <f t="shared" si="1"/>
        <v>-2670.7984622994009</v>
      </c>
      <c r="J7" s="15">
        <f t="shared" si="2"/>
        <v>-0.17508541629022981</v>
      </c>
      <c r="K7" s="155" t="s">
        <v>1702</v>
      </c>
      <c r="L7" s="57"/>
      <c r="M7" s="116"/>
      <c r="N7" s="116"/>
      <c r="O7" s="116"/>
      <c r="P7" s="116"/>
      <c r="Q7" s="116"/>
      <c r="R7" s="116"/>
      <c r="S7" s="116"/>
      <c r="T7" s="116"/>
      <c r="U7" s="116"/>
      <c r="V7" s="116"/>
      <c r="W7" s="116"/>
      <c r="X7" s="116"/>
    </row>
    <row r="8" spans="1:24" ht="15.6">
      <c r="A8" s="28" t="str">
        <v>Parking 3</v>
      </c>
      <c r="B8" s="25" t="str">
        <v>AZ</v>
      </c>
      <c r="C8" s="25" t="str">
        <f>Sites[[#This Row],[SOL'#]]</f>
        <v>SOL-10751</v>
      </c>
      <c r="D8" s="20">
        <v>34337.612499999901</v>
      </c>
      <c r="E8" s="10">
        <v>35477.839999999997</v>
      </c>
      <c r="F8" s="10">
        <f t="shared" si="0"/>
        <v>-1140.2275000000955</v>
      </c>
      <c r="G8" s="11">
        <f t="shared" si="3"/>
        <v>-3.2139146577133661E-2</v>
      </c>
      <c r="H8" s="12">
        <v>31619.08</v>
      </c>
      <c r="I8" s="12">
        <f t="shared" si="1"/>
        <v>2718.5324999998993</v>
      </c>
      <c r="J8" s="13">
        <f t="shared" si="2"/>
        <v>8.5977596438602866E-2</v>
      </c>
      <c r="K8" s="59" t="s">
        <v>1703</v>
      </c>
      <c r="L8" s="111" t="s">
        <v>1704</v>
      </c>
      <c r="M8" s="116"/>
      <c r="N8" s="116"/>
      <c r="O8" s="116"/>
      <c r="P8" s="116"/>
      <c r="Q8" s="116"/>
      <c r="R8" s="116"/>
      <c r="S8" s="116"/>
      <c r="T8" s="116"/>
      <c r="U8" s="116"/>
      <c r="V8" s="116"/>
      <c r="W8" s="116"/>
      <c r="X8" s="116"/>
    </row>
    <row r="9" spans="1:24" ht="15.6">
      <c r="A9" s="26" t="str">
        <v>PE East</v>
      </c>
      <c r="B9" s="27" t="str">
        <v>AZ</v>
      </c>
      <c r="C9" s="27" t="str">
        <f>Sites[[#This Row],[SOL'#]]</f>
        <v>SOL-10752</v>
      </c>
      <c r="D9" s="9">
        <v>30211.9078319769</v>
      </c>
      <c r="E9" s="14">
        <v>25952.9</v>
      </c>
      <c r="F9" s="14">
        <f t="shared" si="0"/>
        <v>4259.0078319768982</v>
      </c>
      <c r="G9" s="15">
        <f t="shared" si="3"/>
        <v>0.16410527655779886</v>
      </c>
      <c r="H9" s="16">
        <v>31934.71</v>
      </c>
      <c r="I9" s="16">
        <f t="shared" si="1"/>
        <v>-1722.8021680230995</v>
      </c>
      <c r="J9" s="15">
        <f t="shared" si="2"/>
        <v>-5.394763779045119E-2</v>
      </c>
      <c r="K9" s="57"/>
      <c r="L9" s="57"/>
      <c r="M9" s="116"/>
      <c r="N9" s="116"/>
      <c r="O9" s="116"/>
      <c r="P9" s="116"/>
      <c r="Q9" s="116"/>
      <c r="R9" s="116"/>
      <c r="S9" s="116"/>
      <c r="T9" s="116"/>
      <c r="U9" s="116"/>
      <c r="V9" s="116"/>
      <c r="W9" s="116"/>
      <c r="X9" s="116"/>
    </row>
    <row r="10" spans="1:24" ht="37.5" customHeight="1">
      <c r="A10" s="28" t="str">
        <v>Schwada</v>
      </c>
      <c r="B10" s="25" t="str">
        <v>AZ</v>
      </c>
      <c r="C10" s="25" t="str">
        <f>Sites[[#This Row],[SOL'#]]</f>
        <v>SOL-10753</v>
      </c>
      <c r="D10" s="20">
        <v>9176.8896546379001</v>
      </c>
      <c r="E10" s="10">
        <v>10685.01</v>
      </c>
      <c r="F10" s="10">
        <f t="shared" si="0"/>
        <v>-1508.1203453621001</v>
      </c>
      <c r="G10" s="11">
        <f t="shared" si="3"/>
        <v>-0.14114355956261154</v>
      </c>
      <c r="H10" s="12">
        <v>13894</v>
      </c>
      <c r="I10" s="12">
        <f t="shared" si="1"/>
        <v>-4717.1103453620999</v>
      </c>
      <c r="J10" s="13">
        <f t="shared" si="2"/>
        <v>-0.33950700628775732</v>
      </c>
      <c r="K10" s="59" t="s">
        <v>1705</v>
      </c>
      <c r="L10" s="111" t="s">
        <v>1706</v>
      </c>
      <c r="M10" s="115" t="s">
        <v>1707</v>
      </c>
      <c r="N10" s="116"/>
      <c r="O10" s="116"/>
      <c r="P10" s="116"/>
      <c r="Q10" s="116"/>
      <c r="R10" s="116"/>
      <c r="S10" s="116"/>
      <c r="T10" s="116"/>
      <c r="U10" s="116"/>
      <c r="V10" s="116"/>
      <c r="W10" s="116"/>
      <c r="X10" s="116"/>
    </row>
    <row r="11" spans="1:24" ht="84.75" customHeight="1">
      <c r="A11" s="26" t="str">
        <v>Starshine</v>
      </c>
      <c r="B11" s="27" t="str">
        <v>AZ</v>
      </c>
      <c r="C11" s="27" t="str">
        <f>Sites[[#This Row],[SOL'#]]</f>
        <v>SOL-10757</v>
      </c>
      <c r="D11" s="9">
        <v>6047.7999999999902</v>
      </c>
      <c r="E11" s="14" t="s">
        <v>777</v>
      </c>
      <c r="F11" s="14" t="str">
        <f t="shared" si="0"/>
        <v/>
      </c>
      <c r="G11" s="15" t="str">
        <f t="shared" si="3"/>
        <v/>
      </c>
      <c r="H11" s="16">
        <v>11002</v>
      </c>
      <c r="I11" s="16">
        <f t="shared" si="1"/>
        <v>-4954.2000000000098</v>
      </c>
      <c r="J11" s="15">
        <f t="shared" si="2"/>
        <v>-0.45029994546446189</v>
      </c>
      <c r="K11" s="57" t="s">
        <v>1708</v>
      </c>
      <c r="L11" s="112" t="s">
        <v>1709</v>
      </c>
      <c r="M11" s="115" t="s">
        <v>1710</v>
      </c>
      <c r="N11" s="116"/>
      <c r="O11" s="116"/>
      <c r="P11" s="116"/>
      <c r="Q11" s="116"/>
      <c r="R11" s="116"/>
      <c r="S11" s="116"/>
      <c r="T11" s="116"/>
      <c r="U11" s="116"/>
      <c r="V11" s="116"/>
      <c r="W11" s="116"/>
      <c r="X11" s="116"/>
    </row>
    <row r="12" spans="1:24" ht="43.15">
      <c r="A12" s="28" t="str">
        <v>Yuma Airport</v>
      </c>
      <c r="B12" s="25" t="str">
        <v>AZ</v>
      </c>
      <c r="C12" s="25" t="str">
        <f>Sites[[#This Row],[SOL'#]]</f>
        <v>SOL-10754</v>
      </c>
      <c r="D12" s="20">
        <v>66601</v>
      </c>
      <c r="E12" s="10">
        <v>94129.73</v>
      </c>
      <c r="F12" s="10">
        <f t="shared" si="0"/>
        <v>-27528.729999999996</v>
      </c>
      <c r="G12" s="11">
        <f t="shared" si="3"/>
        <v>-0.29245521048450895</v>
      </c>
      <c r="H12" s="12">
        <v>82137</v>
      </c>
      <c r="I12" s="12">
        <f t="shared" si="1"/>
        <v>-15536</v>
      </c>
      <c r="J12" s="13">
        <f t="shared" si="2"/>
        <v>-0.18914740007548364</v>
      </c>
      <c r="K12" s="59" t="s">
        <v>1401</v>
      </c>
      <c r="L12" s="111" t="s">
        <v>1711</v>
      </c>
      <c r="M12" s="116"/>
      <c r="N12" s="116"/>
      <c r="O12" s="116"/>
      <c r="P12" s="116"/>
      <c r="Q12" s="116"/>
      <c r="R12" s="116"/>
      <c r="S12" s="116"/>
      <c r="T12" s="116"/>
      <c r="U12" s="116"/>
      <c r="V12" s="116"/>
      <c r="W12" s="116"/>
      <c r="X12" s="116"/>
    </row>
    <row r="13" spans="1:24" ht="60" customHeight="1">
      <c r="A13" s="26" t="str">
        <v>Kinsman</v>
      </c>
      <c r="B13" s="27" t="str">
        <v>OH</v>
      </c>
      <c r="C13" s="27" t="str">
        <f>Sites[[#This Row],[SOL'#]]</f>
        <v>SOL-10762</v>
      </c>
      <c r="D13" s="9">
        <v>714.0703125</v>
      </c>
      <c r="E13" s="14">
        <v>138037.1</v>
      </c>
      <c r="F13" s="14">
        <f t="shared" si="0"/>
        <v>-137323.02968750001</v>
      </c>
      <c r="G13" s="15">
        <f t="shared" si="3"/>
        <v>-0.99482696816652916</v>
      </c>
      <c r="H13" s="16">
        <v>133750</v>
      </c>
      <c r="I13" s="16">
        <f t="shared" si="1"/>
        <v>-133035.9296875</v>
      </c>
      <c r="J13" s="15">
        <f t="shared" si="2"/>
        <v>-0.99466115654205611</v>
      </c>
      <c r="K13" s="57" t="s">
        <v>1712</v>
      </c>
      <c r="L13" s="112" t="s">
        <v>1713</v>
      </c>
      <c r="M13" s="115" t="s">
        <v>1714</v>
      </c>
      <c r="N13" s="116"/>
      <c r="O13" s="116"/>
      <c r="P13" s="116"/>
      <c r="Q13" s="116"/>
      <c r="R13" s="116"/>
      <c r="S13" s="116"/>
      <c r="T13" s="116"/>
      <c r="U13" s="116"/>
      <c r="V13" s="116"/>
      <c r="W13" s="116"/>
      <c r="X13" s="116"/>
    </row>
    <row r="14" spans="1:24" ht="28.9">
      <c r="A14" s="28" t="str">
        <v>Wooster</v>
      </c>
      <c r="B14" s="25" t="str">
        <v>OH</v>
      </c>
      <c r="C14" s="25" t="str">
        <f>Sites[[#This Row],[SOL'#]]</f>
        <v>SOL-10763</v>
      </c>
      <c r="D14" s="20">
        <v>21528</v>
      </c>
      <c r="E14" s="10" t="s">
        <v>777</v>
      </c>
      <c r="F14" s="10" t="str">
        <f t="shared" si="0"/>
        <v/>
      </c>
      <c r="G14" s="11" t="str">
        <f t="shared" si="3"/>
        <v/>
      </c>
      <c r="H14" s="12">
        <v>32092</v>
      </c>
      <c r="I14" s="12">
        <f t="shared" si="1"/>
        <v>-10564</v>
      </c>
      <c r="J14" s="13">
        <f t="shared" si="2"/>
        <v>-0.32917861149196059</v>
      </c>
      <c r="K14" s="59" t="s">
        <v>1715</v>
      </c>
      <c r="L14" s="111" t="s">
        <v>1716</v>
      </c>
      <c r="M14" s="116"/>
      <c r="N14" s="116"/>
      <c r="O14" s="116"/>
      <c r="P14" s="116"/>
      <c r="Q14" s="116"/>
      <c r="R14" s="116"/>
      <c r="S14" s="116"/>
      <c r="T14" s="116"/>
      <c r="U14" s="116"/>
      <c r="V14" s="116"/>
      <c r="W14" s="116"/>
      <c r="X14" s="116"/>
    </row>
    <row r="15" spans="1:24" ht="15.6">
      <c r="A15" s="26" t="str">
        <v>Globe Gila CC</v>
      </c>
      <c r="B15" s="27" t="str">
        <v>AZ</v>
      </c>
      <c r="C15" s="27" t="str">
        <f>Sites[[#This Row],[SOL'#]]</f>
        <v>SOL-10755</v>
      </c>
      <c r="D15" s="9">
        <v>20373.3752302871</v>
      </c>
      <c r="E15" s="14" t="s">
        <v>777</v>
      </c>
      <c r="F15" s="14" t="str">
        <f t="shared" si="0"/>
        <v/>
      </c>
      <c r="G15" s="15" t="str">
        <f t="shared" si="3"/>
        <v/>
      </c>
      <c r="H15" s="16">
        <v>18652</v>
      </c>
      <c r="I15" s="16">
        <f t="shared" si="1"/>
        <v>1721.3752302870998</v>
      </c>
      <c r="J15" s="15">
        <f t="shared" si="2"/>
        <v>9.2289043013462357E-2</v>
      </c>
      <c r="K15" s="57"/>
      <c r="L15" s="57"/>
      <c r="M15" s="116"/>
      <c r="N15" s="116"/>
      <c r="O15" s="116"/>
      <c r="P15" s="116"/>
      <c r="Q15" s="116"/>
      <c r="R15" s="116"/>
      <c r="S15" s="116"/>
      <c r="T15" s="116"/>
      <c r="U15" s="116"/>
      <c r="V15" s="116"/>
      <c r="W15" s="116"/>
      <c r="X15" s="116"/>
    </row>
    <row r="16" spans="1:24" ht="28.9">
      <c r="A16" s="28" t="str">
        <v>Payson Gila CC</v>
      </c>
      <c r="B16" s="25" t="str">
        <v>AZ</v>
      </c>
      <c r="C16" s="25" t="str">
        <f>Sites[[#This Row],[SOL'#]]</f>
        <v>SOL-10756</v>
      </c>
      <c r="D16" s="20">
        <v>15205.8845466159</v>
      </c>
      <c r="E16" s="10">
        <v>6558.9120000000003</v>
      </c>
      <c r="F16" s="10">
        <f t="shared" si="0"/>
        <v>8646.9725466158998</v>
      </c>
      <c r="G16" s="11">
        <f t="shared" si="3"/>
        <v>1.318354712887732</v>
      </c>
      <c r="H16" s="12">
        <v>15449</v>
      </c>
      <c r="I16" s="12">
        <f t="shared" si="1"/>
        <v>-243.11545338409996</v>
      </c>
      <c r="J16" s="13">
        <f t="shared" si="2"/>
        <v>-1.5736646603929056E-2</v>
      </c>
      <c r="K16" s="59" t="s">
        <v>36</v>
      </c>
      <c r="L16" s="111" t="s">
        <v>275</v>
      </c>
      <c r="M16" s="116"/>
      <c r="N16" s="116"/>
      <c r="O16" s="116"/>
      <c r="P16" s="116"/>
      <c r="Q16" s="116"/>
      <c r="R16" s="116"/>
      <c r="S16" s="116"/>
      <c r="T16" s="116"/>
      <c r="U16" s="116"/>
      <c r="V16" s="116"/>
      <c r="W16" s="116"/>
      <c r="X16" s="116"/>
    </row>
    <row r="17" spans="1:24" ht="15.6">
      <c r="A17" s="26" t="str">
        <v>SCNM</v>
      </c>
      <c r="B17" s="27" t="str">
        <v>AZ</v>
      </c>
      <c r="C17" s="27" t="str">
        <f>Sites[[#This Row],[SOL'#]]</f>
        <v>SOL-10760</v>
      </c>
      <c r="D17" s="9">
        <v>67507.749445675901</v>
      </c>
      <c r="E17" s="14">
        <v>49080.480000000003</v>
      </c>
      <c r="F17" s="14">
        <f t="shared" si="0"/>
        <v>18427.269445675898</v>
      </c>
      <c r="G17" s="15">
        <f t="shared" si="3"/>
        <v>0.37545006580367385</v>
      </c>
      <c r="H17" s="16">
        <v>91007</v>
      </c>
      <c r="I17" s="16">
        <f t="shared" si="1"/>
        <v>-23499.250554324099</v>
      </c>
      <c r="J17" s="15">
        <f t="shared" si="2"/>
        <v>-0.2582136599857604</v>
      </c>
      <c r="K17" s="85" t="s">
        <v>1717</v>
      </c>
      <c r="L17" s="112" t="s">
        <v>1718</v>
      </c>
      <c r="M17" s="116"/>
      <c r="N17" s="116"/>
      <c r="O17" s="116"/>
      <c r="P17" s="116"/>
      <c r="Q17" s="116"/>
      <c r="R17" s="116"/>
      <c r="S17" s="116"/>
      <c r="T17" s="116"/>
      <c r="U17" s="116"/>
      <c r="V17" s="116"/>
      <c r="W17" s="116"/>
      <c r="X17" s="116"/>
    </row>
    <row r="18" spans="1:24" ht="58.5" customHeight="1">
      <c r="A18" s="28" t="str">
        <v>Sequoia Charter School</v>
      </c>
      <c r="B18" s="25" t="str">
        <v>AZ</v>
      </c>
      <c r="C18" s="25" t="str">
        <f>Sites[[#This Row],[SOL'#]]</f>
        <v>SOL-10759</v>
      </c>
      <c r="D18" s="20">
        <v>32820.180000000197</v>
      </c>
      <c r="E18" s="10" t="s">
        <v>777</v>
      </c>
      <c r="F18" s="10" t="str">
        <f t="shared" si="0"/>
        <v/>
      </c>
      <c r="G18" s="11" t="str">
        <f t="shared" si="3"/>
        <v/>
      </c>
      <c r="H18" s="12">
        <v>52037</v>
      </c>
      <c r="I18" s="12">
        <f t="shared" si="1"/>
        <v>-19216.819999999803</v>
      </c>
      <c r="J18" s="13">
        <f t="shared" si="2"/>
        <v>-0.36929146568787213</v>
      </c>
      <c r="K18" s="59" t="s">
        <v>1719</v>
      </c>
      <c r="L18" s="111" t="s">
        <v>1720</v>
      </c>
      <c r="M18" s="115" t="s">
        <v>1721</v>
      </c>
      <c r="N18" s="116"/>
      <c r="O18" s="116"/>
      <c r="P18" s="116"/>
      <c r="Q18" s="116"/>
      <c r="R18" s="116"/>
      <c r="S18" s="116"/>
      <c r="T18" s="116"/>
      <c r="U18" s="116"/>
      <c r="V18" s="116"/>
      <c r="W18" s="116"/>
      <c r="X18" s="116"/>
    </row>
    <row r="19" spans="1:24" ht="28.9">
      <c r="A19" s="26" t="str">
        <v>RCAB</v>
      </c>
      <c r="B19" s="27" t="str">
        <v>MA</v>
      </c>
      <c r="C19" s="27" t="str">
        <f>Sites[[#This Row],[SOL'#]]</f>
        <v>SOL-10838</v>
      </c>
      <c r="D19" s="9">
        <v>147058</v>
      </c>
      <c r="E19" s="14">
        <v>182019.3</v>
      </c>
      <c r="F19" s="14">
        <f t="shared" si="0"/>
        <v>-34961.299999999988</v>
      </c>
      <c r="G19" s="15">
        <f t="shared" si="3"/>
        <v>-0.19207468658543347</v>
      </c>
      <c r="H19" s="16">
        <v>146482.79999999999</v>
      </c>
      <c r="I19" s="16">
        <f t="shared" si="1"/>
        <v>575.20000000001164</v>
      </c>
      <c r="J19" s="15">
        <f t="shared" si="2"/>
        <v>3.9267408869847632E-3</v>
      </c>
      <c r="K19" s="57" t="s">
        <v>1415</v>
      </c>
      <c r="L19" s="112" t="s">
        <v>1722</v>
      </c>
      <c r="M19" s="116"/>
      <c r="N19" s="116"/>
      <c r="O19" s="116"/>
      <c r="P19" s="116"/>
      <c r="Q19" s="116"/>
      <c r="R19" s="116"/>
      <c r="S19" s="116"/>
      <c r="T19" s="116"/>
      <c r="U19" s="116"/>
      <c r="V19" s="116"/>
      <c r="W19" s="116"/>
      <c r="X19" s="116"/>
    </row>
    <row r="20" spans="1:24" ht="15.6">
      <c r="A20" s="28" t="str">
        <v>Spectro Coatings</v>
      </c>
      <c r="B20" s="25" t="str">
        <v>MA</v>
      </c>
      <c r="C20" s="25" t="str">
        <f>Sites[[#This Row],[SOL'#]]</f>
        <v>SOL-10074</v>
      </c>
      <c r="D20" s="60">
        <v>38126.625</v>
      </c>
      <c r="E20" s="10">
        <v>39199.726999999999</v>
      </c>
      <c r="F20" s="10">
        <f t="shared" si="0"/>
        <v>-1073.101999999999</v>
      </c>
      <c r="G20" s="11">
        <f t="shared" si="3"/>
        <v>-2.7375241669412621E-2</v>
      </c>
      <c r="H20" s="12">
        <v>38210.936999999998</v>
      </c>
      <c r="I20" s="12">
        <f t="shared" si="1"/>
        <v>-84.311999999998079</v>
      </c>
      <c r="J20" s="13">
        <f t="shared" si="2"/>
        <v>-2.2064886814996995E-3</v>
      </c>
      <c r="K20" s="59"/>
      <c r="L20" s="59"/>
      <c r="M20" s="116"/>
      <c r="N20" s="116"/>
      <c r="O20" s="116"/>
      <c r="P20" s="116"/>
      <c r="Q20" s="116"/>
      <c r="R20" s="116"/>
      <c r="S20" s="116"/>
      <c r="T20" s="116"/>
      <c r="U20" s="116"/>
      <c r="V20" s="116"/>
      <c r="W20" s="116"/>
      <c r="X20" s="116"/>
    </row>
    <row r="21" spans="1:24" ht="28.9">
      <c r="A21" s="26" t="str">
        <v>K026</v>
      </c>
      <c r="B21" s="27" t="str">
        <v>NY</v>
      </c>
      <c r="C21" s="27" t="str">
        <f>Sites[[#This Row],[SOL'#]]</f>
        <v>SOL-10356</v>
      </c>
      <c r="D21" s="74">
        <v>22080.75</v>
      </c>
      <c r="E21" s="14">
        <v>42520.39</v>
      </c>
      <c r="F21" s="14">
        <f t="shared" si="0"/>
        <v>-20439.64</v>
      </c>
      <c r="G21" s="15">
        <f t="shared" si="3"/>
        <v>-0.48070208198937026</v>
      </c>
      <c r="H21" s="16">
        <v>37634.39</v>
      </c>
      <c r="I21" s="16">
        <f t="shared" si="1"/>
        <v>-15553.64</v>
      </c>
      <c r="J21" s="15">
        <f t="shared" si="2"/>
        <v>-0.41328263856541847</v>
      </c>
      <c r="K21" s="57" t="s">
        <v>1723</v>
      </c>
      <c r="L21" s="112" t="s">
        <v>1724</v>
      </c>
      <c r="M21" s="116"/>
      <c r="N21" s="116"/>
      <c r="O21" s="116"/>
      <c r="P21" s="116"/>
      <c r="Q21" s="116"/>
      <c r="R21" s="116"/>
      <c r="S21" s="116"/>
      <c r="T21" s="116"/>
      <c r="U21" s="116"/>
      <c r="V21" s="116"/>
      <c r="W21" s="116"/>
      <c r="X21" s="116"/>
    </row>
    <row r="22" spans="1:24" ht="15.6">
      <c r="A22" s="28" t="str">
        <v>K041</v>
      </c>
      <c r="B22" s="25" t="str">
        <v>NY</v>
      </c>
      <c r="C22" s="25" t="str">
        <f>Sites[[#This Row],[SOL'#]]</f>
        <v>SOL-10357</v>
      </c>
      <c r="D22" s="20">
        <v>30806.78125</v>
      </c>
      <c r="E22" s="10">
        <v>35182.89</v>
      </c>
      <c r="F22" s="10">
        <f t="shared" si="0"/>
        <v>-4376.1087499999994</v>
      </c>
      <c r="G22" s="11">
        <f t="shared" si="3"/>
        <v>-0.12438173072195034</v>
      </c>
      <c r="H22" s="12">
        <v>32538</v>
      </c>
      <c r="I22" s="12">
        <f t="shared" si="1"/>
        <v>-1731.21875</v>
      </c>
      <c r="J22" s="13">
        <f t="shared" si="2"/>
        <v>-5.3206059069395781E-2</v>
      </c>
      <c r="K22" s="59" t="s">
        <v>1725</v>
      </c>
      <c r="L22" s="59"/>
      <c r="M22" s="116"/>
      <c r="N22" s="116"/>
      <c r="O22" s="116"/>
      <c r="P22" s="116"/>
      <c r="Q22" s="116"/>
      <c r="R22" s="116"/>
      <c r="S22" s="116"/>
      <c r="T22" s="116"/>
      <c r="U22" s="116"/>
      <c r="V22" s="116"/>
      <c r="W22" s="116"/>
      <c r="X22" s="116"/>
    </row>
    <row r="23" spans="1:24" ht="86.45">
      <c r="A23" s="26" t="str">
        <v>K043</v>
      </c>
      <c r="B23" s="27" t="str">
        <v>NY</v>
      </c>
      <c r="C23" s="27" t="str">
        <f>Sites[[#This Row],[SOL'#]]</f>
        <v>SOL-10358</v>
      </c>
      <c r="D23" s="9">
        <v>35140.5</v>
      </c>
      <c r="E23" s="14">
        <v>39838.042000000001</v>
      </c>
      <c r="F23" s="14">
        <f t="shared" si="0"/>
        <v>-4697.5420000000013</v>
      </c>
      <c r="G23" s="15">
        <f t="shared" si="3"/>
        <v>-0.11791598593123631</v>
      </c>
      <c r="H23" s="16">
        <v>7003.0330000000004</v>
      </c>
      <c r="I23" s="16">
        <f t="shared" si="1"/>
        <v>28137.467000000001</v>
      </c>
      <c r="J23" s="15">
        <f t="shared" si="2"/>
        <v>4.0178972453792516</v>
      </c>
      <c r="K23" s="57" t="s">
        <v>1726</v>
      </c>
      <c r="L23" s="112" t="s">
        <v>1727</v>
      </c>
      <c r="M23" s="115" t="s">
        <v>1728</v>
      </c>
      <c r="N23" s="116"/>
      <c r="O23" s="116"/>
      <c r="P23" s="116"/>
      <c r="Q23" s="116"/>
      <c r="R23" s="116"/>
      <c r="S23" s="116"/>
      <c r="T23" s="116"/>
      <c r="U23" s="116"/>
      <c r="V23" s="116"/>
      <c r="W23" s="116"/>
      <c r="X23" s="116"/>
    </row>
    <row r="24" spans="1:24" ht="27" customHeight="1">
      <c r="A24" s="28" t="str">
        <v>K058</v>
      </c>
      <c r="B24" s="25" t="str">
        <v>NY</v>
      </c>
      <c r="C24" s="25" t="str">
        <f>Sites[[#This Row],[SOL'#]]</f>
        <v>SOL-10360</v>
      </c>
      <c r="D24" s="20">
        <v>0</v>
      </c>
      <c r="E24" s="10">
        <v>0</v>
      </c>
      <c r="F24" s="10">
        <f t="shared" si="0"/>
        <v>0</v>
      </c>
      <c r="G24" s="11" t="str">
        <f t="shared" si="3"/>
        <v/>
      </c>
      <c r="H24" s="12">
        <v>28709</v>
      </c>
      <c r="I24" s="12">
        <f t="shared" si="1"/>
        <v>-28709</v>
      </c>
      <c r="J24" s="13">
        <f t="shared" si="2"/>
        <v>-1</v>
      </c>
      <c r="K24" s="59" t="s">
        <v>798</v>
      </c>
      <c r="L24" s="163" t="s">
        <v>1729</v>
      </c>
      <c r="M24" s="115" t="s">
        <v>1730</v>
      </c>
      <c r="N24" s="116"/>
      <c r="O24" s="116"/>
      <c r="P24" s="116"/>
      <c r="Q24" s="116"/>
      <c r="R24" s="116"/>
      <c r="S24" s="116"/>
      <c r="T24" s="116"/>
      <c r="U24" s="116"/>
      <c r="V24" s="116"/>
      <c r="W24" s="116"/>
      <c r="X24" s="116"/>
    </row>
    <row r="25" spans="1:24" ht="48" customHeight="1">
      <c r="A25" s="26" t="str">
        <v>K115</v>
      </c>
      <c r="B25" s="27" t="str">
        <v>NY</v>
      </c>
      <c r="C25" s="27" t="str">
        <f>Sites[[#This Row],[SOL'#]]</f>
        <v>SOL-10361</v>
      </c>
      <c r="D25" s="9">
        <v>5994.96875</v>
      </c>
      <c r="E25" s="14">
        <v>15981.37</v>
      </c>
      <c r="F25" s="14">
        <f t="shared" si="0"/>
        <v>-9986.4012500000008</v>
      </c>
      <c r="G25" s="15">
        <f t="shared" si="3"/>
        <v>-0.62487767006207851</v>
      </c>
      <c r="H25" s="16">
        <v>18780.490000000002</v>
      </c>
      <c r="I25" s="16">
        <f t="shared" si="1"/>
        <v>-12785.521250000002</v>
      </c>
      <c r="J25" s="15">
        <f t="shared" si="2"/>
        <v>-0.68078741555731515</v>
      </c>
      <c r="K25" s="57" t="s">
        <v>1731</v>
      </c>
      <c r="L25" s="112" t="s">
        <v>1732</v>
      </c>
      <c r="M25" s="115" t="s">
        <v>1733</v>
      </c>
      <c r="N25" s="116"/>
      <c r="O25" s="116"/>
      <c r="P25" s="116"/>
      <c r="Q25" s="116"/>
      <c r="R25" s="116"/>
      <c r="S25" s="116"/>
      <c r="T25" s="116"/>
      <c r="U25" s="116"/>
      <c r="V25" s="116"/>
      <c r="W25" s="116"/>
      <c r="X25" s="116"/>
    </row>
    <row r="26" spans="1:24" ht="15.6">
      <c r="A26" s="28" t="str">
        <v>K152</v>
      </c>
      <c r="B26" s="25" t="str">
        <v>NY</v>
      </c>
      <c r="C26" s="25" t="str">
        <f>Sites[[#This Row],[SOL'#]]</f>
        <v>SOL-10362</v>
      </c>
      <c r="D26" s="20">
        <v>11235.5</v>
      </c>
      <c r="E26" s="10">
        <v>11639.54</v>
      </c>
      <c r="F26" s="10">
        <f t="shared" si="0"/>
        <v>-404.04000000000087</v>
      </c>
      <c r="G26" s="11">
        <f t="shared" si="3"/>
        <v>-3.4712712014392397E-2</v>
      </c>
      <c r="H26" s="12">
        <v>10840</v>
      </c>
      <c r="I26" s="12">
        <f t="shared" si="1"/>
        <v>395.5</v>
      </c>
      <c r="J26" s="13">
        <f t="shared" si="2"/>
        <v>3.6485239852398522E-2</v>
      </c>
      <c r="K26" s="59"/>
      <c r="L26" s="59"/>
      <c r="M26" s="116"/>
      <c r="N26" s="116"/>
      <c r="O26" s="116"/>
      <c r="P26" s="116"/>
      <c r="Q26" s="116"/>
      <c r="R26" s="116"/>
      <c r="S26" s="116"/>
      <c r="T26" s="116"/>
      <c r="U26" s="116"/>
      <c r="V26" s="116"/>
      <c r="W26" s="116"/>
      <c r="X26" s="116"/>
    </row>
    <row r="27" spans="1:24" ht="15.6">
      <c r="A27" s="26" t="str">
        <v>K166</v>
      </c>
      <c r="B27" s="27" t="str">
        <v>NY</v>
      </c>
      <c r="C27" s="27" t="str">
        <f>Sites[[#This Row],[SOL'#]]</f>
        <v>SOL-10363</v>
      </c>
      <c r="D27" s="9">
        <v>42074.5</v>
      </c>
      <c r="E27" s="14">
        <v>45470.58</v>
      </c>
      <c r="F27" s="14">
        <f t="shared" si="0"/>
        <v>-3396.0800000000017</v>
      </c>
      <c r="G27" s="15">
        <f t="shared" si="3"/>
        <v>-7.4687413268095582E-2</v>
      </c>
      <c r="H27" s="16">
        <v>39952.559999999998</v>
      </c>
      <c r="I27" s="16">
        <f t="shared" si="1"/>
        <v>2121.9400000000023</v>
      </c>
      <c r="J27" s="15">
        <f t="shared" si="2"/>
        <v>5.3111490227409769E-2</v>
      </c>
      <c r="K27" s="57"/>
      <c r="L27" s="57"/>
      <c r="M27" s="116"/>
      <c r="N27" s="116"/>
      <c r="O27" s="116"/>
      <c r="P27" s="116"/>
      <c r="Q27" s="116"/>
      <c r="R27" s="116"/>
      <c r="S27" s="116"/>
      <c r="T27" s="116"/>
      <c r="U27" s="116"/>
      <c r="V27" s="116"/>
      <c r="W27" s="116"/>
      <c r="X27" s="116"/>
    </row>
    <row r="28" spans="1:24" ht="15.6">
      <c r="A28" s="28" t="str">
        <v>K206</v>
      </c>
      <c r="B28" s="25" t="str">
        <v>NY</v>
      </c>
      <c r="C28" s="25" t="str">
        <f>Sites[[#This Row],[SOL'#]]</f>
        <v>SOL-10927</v>
      </c>
      <c r="D28" s="20">
        <v>25801.21875</v>
      </c>
      <c r="E28" s="10">
        <v>24180.51</v>
      </c>
      <c r="F28" s="10">
        <f t="shared" si="0"/>
        <v>1620.7087500000016</v>
      </c>
      <c r="G28" s="11">
        <f t="shared" si="3"/>
        <v>6.7025416337372606E-2</v>
      </c>
      <c r="H28" s="12">
        <v>24570</v>
      </c>
      <c r="I28" s="12">
        <f t="shared" si="1"/>
        <v>1231.21875</v>
      </c>
      <c r="J28" s="13">
        <f t="shared" si="2"/>
        <v>5.0110653235653238E-2</v>
      </c>
      <c r="K28" s="59"/>
      <c r="L28" s="59"/>
      <c r="M28" s="116"/>
      <c r="N28" s="116"/>
      <c r="O28" s="116"/>
      <c r="P28" s="116"/>
      <c r="Q28" s="116"/>
      <c r="R28" s="116"/>
      <c r="S28" s="116"/>
      <c r="T28" s="116"/>
      <c r="U28" s="116"/>
      <c r="V28" s="116"/>
      <c r="W28" s="116"/>
      <c r="X28" s="116"/>
    </row>
    <row r="29" spans="1:24" ht="57.6">
      <c r="A29" s="26" t="str">
        <v>K251</v>
      </c>
      <c r="B29" s="27" t="str">
        <v>NY</v>
      </c>
      <c r="C29" s="27" t="str">
        <f>Sites[[#This Row],[SOL'#]]</f>
        <v>SOL-10365</v>
      </c>
      <c r="D29" s="9">
        <v>20454.375</v>
      </c>
      <c r="E29" s="14">
        <v>0</v>
      </c>
      <c r="F29" s="14">
        <f t="shared" si="0"/>
        <v>20454.375</v>
      </c>
      <c r="G29" s="15" t="str">
        <f t="shared" si="3"/>
        <v/>
      </c>
      <c r="H29" s="16">
        <v>25324.63</v>
      </c>
      <c r="I29" s="16">
        <f t="shared" si="1"/>
        <v>-4870.255000000001</v>
      </c>
      <c r="J29" s="15">
        <f t="shared" si="2"/>
        <v>-0.19231297752425211</v>
      </c>
      <c r="K29" s="57" t="s">
        <v>1734</v>
      </c>
      <c r="L29" s="112" t="s">
        <v>1735</v>
      </c>
      <c r="M29" s="115" t="s">
        <v>1432</v>
      </c>
      <c r="N29" s="115" t="s">
        <v>1433</v>
      </c>
      <c r="O29" s="116"/>
      <c r="P29" s="116"/>
      <c r="Q29" s="116"/>
      <c r="R29" s="116"/>
      <c r="S29" s="116"/>
      <c r="T29" s="116"/>
      <c r="U29" s="116"/>
      <c r="V29" s="116"/>
      <c r="W29" s="116"/>
      <c r="X29" s="116"/>
    </row>
    <row r="30" spans="1:24" ht="28.9">
      <c r="A30" s="28" t="str">
        <v>K269</v>
      </c>
      <c r="B30" s="25" t="str">
        <v>NY</v>
      </c>
      <c r="C30" s="25" t="str">
        <f>Sites[[#This Row],[SOL'#]]</f>
        <v>SOL-10366</v>
      </c>
      <c r="D30" s="20">
        <v>24601.3125</v>
      </c>
      <c r="E30" s="10">
        <v>28866.1</v>
      </c>
      <c r="F30" s="10">
        <f t="shared" si="0"/>
        <v>-4264.7874999999985</v>
      </c>
      <c r="G30" s="11">
        <f t="shared" si="3"/>
        <v>-0.14774380674909318</v>
      </c>
      <c r="H30" s="12">
        <v>25783.66</v>
      </c>
      <c r="I30" s="12">
        <f t="shared" si="1"/>
        <v>-1182.3474999999999</v>
      </c>
      <c r="J30" s="13">
        <f t="shared" si="2"/>
        <v>-4.585646490839547E-2</v>
      </c>
      <c r="K30" s="59" t="s">
        <v>1434</v>
      </c>
      <c r="L30" s="59"/>
      <c r="M30" s="116"/>
      <c r="N30" s="116"/>
      <c r="O30" s="116"/>
      <c r="P30" s="116"/>
      <c r="Q30" s="116"/>
      <c r="R30" s="116"/>
      <c r="S30" s="116"/>
      <c r="T30" s="116"/>
      <c r="U30" s="116"/>
      <c r="V30" s="116"/>
      <c r="W30" s="116"/>
      <c r="X30" s="116"/>
    </row>
    <row r="31" spans="1:24" ht="57.6">
      <c r="A31" s="26" t="str">
        <v>K273</v>
      </c>
      <c r="B31" s="27" t="str">
        <v>NY</v>
      </c>
      <c r="C31" s="27" t="str">
        <f>Sites[[#This Row],[SOL'#]]</f>
        <v>SOL-10367</v>
      </c>
      <c r="D31" s="9">
        <v>19989.1875</v>
      </c>
      <c r="E31" s="14">
        <v>0</v>
      </c>
      <c r="F31" s="14">
        <f t="shared" si="0"/>
        <v>19989.1875</v>
      </c>
      <c r="G31" s="15" t="str">
        <f t="shared" si="3"/>
        <v/>
      </c>
      <c r="H31" s="16">
        <v>30662</v>
      </c>
      <c r="I31" s="16">
        <f t="shared" si="1"/>
        <v>-10672.8125</v>
      </c>
      <c r="J31" s="15">
        <f t="shared" si="2"/>
        <v>-0.34807946317917943</v>
      </c>
      <c r="K31" s="57" t="s">
        <v>1736</v>
      </c>
      <c r="L31" s="112" t="s">
        <v>1737</v>
      </c>
      <c r="M31" s="115" t="s">
        <v>1738</v>
      </c>
      <c r="N31" s="116"/>
      <c r="O31" s="116"/>
      <c r="P31" s="116"/>
      <c r="Q31" s="116"/>
      <c r="R31" s="116"/>
      <c r="S31" s="116"/>
      <c r="T31" s="116"/>
      <c r="U31" s="116"/>
      <c r="V31" s="116"/>
      <c r="W31" s="116"/>
      <c r="X31" s="116"/>
    </row>
    <row r="32" spans="1:24" ht="15.6">
      <c r="A32" s="28" t="str">
        <v>K287</v>
      </c>
      <c r="B32" s="25" t="str">
        <v>NY</v>
      </c>
      <c r="C32" s="25" t="str">
        <f>Sites[[#This Row],[SOL'#]]</f>
        <v>SOL-10919</v>
      </c>
      <c r="D32" s="20">
        <v>21277.71875</v>
      </c>
      <c r="E32" s="10">
        <v>18223.169999999998</v>
      </c>
      <c r="F32" s="10">
        <f t="shared" si="0"/>
        <v>3054.5487500000017</v>
      </c>
      <c r="G32" s="11">
        <f t="shared" si="3"/>
        <v>0.16761895707497665</v>
      </c>
      <c r="H32" s="12">
        <v>22153</v>
      </c>
      <c r="I32" s="12">
        <f t="shared" si="1"/>
        <v>-875.28125</v>
      </c>
      <c r="J32" s="13">
        <f t="shared" si="2"/>
        <v>-3.9510732180743018E-2</v>
      </c>
      <c r="K32" s="59"/>
      <c r="L32" s="59"/>
      <c r="M32" s="116"/>
      <c r="N32" s="116"/>
      <c r="O32" s="116"/>
      <c r="P32" s="116"/>
      <c r="Q32" s="116"/>
      <c r="R32" s="116"/>
      <c r="S32" s="116"/>
      <c r="T32" s="116"/>
      <c r="U32" s="116"/>
      <c r="V32" s="116"/>
      <c r="W32" s="116"/>
      <c r="X32" s="116"/>
    </row>
    <row r="33" spans="1:24" ht="28.9">
      <c r="A33" s="26" t="str">
        <v>K298</v>
      </c>
      <c r="B33" s="27" t="str">
        <v>NY</v>
      </c>
      <c r="C33" s="27" t="str">
        <f>Sites[[#This Row],[SOL'#]]</f>
        <v>SOL-10368</v>
      </c>
      <c r="D33" s="9">
        <v>23346.625</v>
      </c>
      <c r="E33" s="14">
        <v>24604.5</v>
      </c>
      <c r="F33" s="14">
        <f t="shared" si="0"/>
        <v>-1257.875</v>
      </c>
      <c r="G33" s="15">
        <f t="shared" si="3"/>
        <v>-5.1123778170659842E-2</v>
      </c>
      <c r="H33" s="16">
        <v>26042</v>
      </c>
      <c r="I33" s="16">
        <f t="shared" si="1"/>
        <v>-2695.375</v>
      </c>
      <c r="J33" s="15">
        <f t="shared" si="2"/>
        <v>-0.10350107518623762</v>
      </c>
      <c r="K33" s="57" t="s">
        <v>1739</v>
      </c>
      <c r="L33" s="112" t="s">
        <v>803</v>
      </c>
      <c r="M33" s="116"/>
      <c r="N33" s="116"/>
      <c r="O33" s="116"/>
      <c r="P33" s="116"/>
      <c r="Q33" s="116"/>
      <c r="R33" s="116"/>
      <c r="S33" s="116"/>
      <c r="T33" s="116"/>
      <c r="U33" s="116"/>
      <c r="V33" s="116"/>
      <c r="W33" s="116"/>
      <c r="X33" s="116"/>
    </row>
    <row r="34" spans="1:24" ht="57.6">
      <c r="A34" s="28" t="str">
        <v>K335</v>
      </c>
      <c r="B34" s="25" t="str">
        <v>NY</v>
      </c>
      <c r="C34" s="25" t="str">
        <f>Sites[[#This Row],[SOL'#]]</f>
        <v>SOL-10370</v>
      </c>
      <c r="D34" s="20">
        <v>23818.1875</v>
      </c>
      <c r="E34" s="10">
        <v>27510.19</v>
      </c>
      <c r="F34" s="10">
        <f>IF(AND(ISNUMBER(D34),ISNUMBER(E34)), D34-E34, "")</f>
        <v>-3692.0024999999987</v>
      </c>
      <c r="G34" s="61">
        <f>IFERROR(F34/E34, "")</f>
        <v>-0.13420490734524185</v>
      </c>
      <c r="H34" s="12">
        <v>6708.5969999999998</v>
      </c>
      <c r="I34" s="12">
        <f t="shared" si="1"/>
        <v>17109.590499999998</v>
      </c>
      <c r="J34" s="13">
        <f t="shared" si="2"/>
        <v>2.5503977210137974</v>
      </c>
      <c r="K34" s="59" t="s">
        <v>1740</v>
      </c>
      <c r="L34" s="111" t="s">
        <v>1741</v>
      </c>
      <c r="M34" s="116"/>
      <c r="N34" s="116"/>
      <c r="O34" s="116"/>
      <c r="P34" s="116"/>
      <c r="Q34" s="116"/>
      <c r="R34" s="116"/>
      <c r="S34" s="116"/>
      <c r="T34" s="116"/>
      <c r="U34" s="116"/>
      <c r="V34" s="116"/>
      <c r="W34" s="116"/>
      <c r="X34" s="116"/>
    </row>
    <row r="35" spans="1:24" ht="28.9">
      <c r="A35" s="26" t="str">
        <v>K345</v>
      </c>
      <c r="B35" s="27" t="str">
        <v>NY</v>
      </c>
      <c r="C35" s="27" t="str">
        <f>Sites[[#This Row],[SOL'#]]</f>
        <v>SOL-10920</v>
      </c>
      <c r="D35" s="9">
        <v>28493.59375</v>
      </c>
      <c r="E35" s="14">
        <v>16426.560000000001</v>
      </c>
      <c r="F35" s="14">
        <f t="shared" si="0"/>
        <v>12067.033749999999</v>
      </c>
      <c r="G35" s="15">
        <f t="shared" si="3"/>
        <v>0.73460503903434426</v>
      </c>
      <c r="H35" s="16">
        <v>29496</v>
      </c>
      <c r="I35" s="16">
        <f t="shared" si="1"/>
        <v>-1002.40625</v>
      </c>
      <c r="J35" s="15">
        <f t="shared" si="2"/>
        <v>-3.3984480946569029E-2</v>
      </c>
      <c r="K35" s="57" t="s">
        <v>1440</v>
      </c>
      <c r="L35" s="112" t="s">
        <v>1742</v>
      </c>
      <c r="M35" s="116"/>
      <c r="N35" s="116"/>
      <c r="O35" s="116"/>
      <c r="P35" s="116"/>
      <c r="Q35" s="116"/>
      <c r="R35" s="116"/>
      <c r="S35" s="116"/>
      <c r="T35" s="116"/>
      <c r="U35" s="116"/>
      <c r="V35" s="116"/>
      <c r="W35" s="116"/>
      <c r="X35" s="116"/>
    </row>
    <row r="36" spans="1:24" ht="15.6">
      <c r="A36" s="28" t="str">
        <v>K445</v>
      </c>
      <c r="B36" s="25" t="str">
        <v>NY</v>
      </c>
      <c r="C36" s="25" t="str">
        <f>Sites[[#This Row],[SOL'#]]</f>
        <v>SOL-10373</v>
      </c>
      <c r="D36" s="20">
        <v>23873.90625</v>
      </c>
      <c r="E36" s="10">
        <v>25868.68</v>
      </c>
      <c r="F36" s="10">
        <f t="shared" si="0"/>
        <v>-1994.7737500000003</v>
      </c>
      <c r="G36" s="11">
        <f t="shared" si="3"/>
        <v>-7.7111539900760306E-2</v>
      </c>
      <c r="H36" s="12">
        <v>24192.71</v>
      </c>
      <c r="I36" s="12">
        <f t="shared" si="1"/>
        <v>-318.80374999999913</v>
      </c>
      <c r="J36" s="13">
        <f t="shared" si="2"/>
        <v>-1.3177678317145915E-2</v>
      </c>
      <c r="K36" s="59"/>
      <c r="L36" s="59"/>
      <c r="M36" s="116"/>
      <c r="N36" s="116"/>
      <c r="O36" s="116"/>
      <c r="P36" s="116"/>
      <c r="Q36" s="116"/>
      <c r="R36" s="116"/>
      <c r="S36" s="116"/>
      <c r="T36" s="116"/>
      <c r="U36" s="116"/>
      <c r="V36" s="116"/>
      <c r="W36" s="116"/>
      <c r="X36" s="116"/>
    </row>
    <row r="37" spans="1:24" ht="72">
      <c r="A37" s="26" t="str">
        <v>K495</v>
      </c>
      <c r="B37" s="27" t="str">
        <v>NY</v>
      </c>
      <c r="C37" s="27" t="str">
        <f>Sites[[#This Row],[SOL'#]]</f>
        <v>SOL-10374</v>
      </c>
      <c r="D37" s="9">
        <v>101785.470477387</v>
      </c>
      <c r="E37" s="14">
        <v>100102.3</v>
      </c>
      <c r="F37" s="14">
        <f t="shared" si="0"/>
        <v>1683.1704773870006</v>
      </c>
      <c r="G37" s="15">
        <f t="shared" si="3"/>
        <v>1.6814503536751908E-2</v>
      </c>
      <c r="H37" s="16">
        <v>100968.4</v>
      </c>
      <c r="I37" s="16">
        <f t="shared" si="1"/>
        <v>817.0704773870093</v>
      </c>
      <c r="J37" s="15">
        <f t="shared" si="2"/>
        <v>8.0923385671854697E-3</v>
      </c>
      <c r="K37" s="57" t="s">
        <v>1119</v>
      </c>
      <c r="L37" s="112" t="s">
        <v>1442</v>
      </c>
      <c r="M37" s="116"/>
      <c r="N37" s="116"/>
      <c r="O37" s="116"/>
      <c r="P37" s="116"/>
      <c r="Q37" s="116"/>
      <c r="R37" s="116"/>
      <c r="S37" s="116"/>
      <c r="T37" s="116"/>
      <c r="U37" s="116"/>
      <c r="V37" s="116"/>
      <c r="W37" s="116"/>
      <c r="X37" s="116"/>
    </row>
    <row r="38" spans="1:24" ht="15.6">
      <c r="A38" s="28" t="str">
        <v>M020</v>
      </c>
      <c r="B38" s="25" t="str">
        <v>NY</v>
      </c>
      <c r="C38" s="25" t="str">
        <f>Sites[[#This Row],[SOL'#]]</f>
        <v>SOL-10380</v>
      </c>
      <c r="D38" s="20">
        <v>26263.71875</v>
      </c>
      <c r="E38" s="10">
        <v>26808.87</v>
      </c>
      <c r="F38" s="10">
        <f t="shared" si="0"/>
        <v>-545.15124999999898</v>
      </c>
      <c r="G38" s="11">
        <f t="shared" si="3"/>
        <v>-2.0334734362171886E-2</v>
      </c>
      <c r="H38" s="12">
        <v>27263</v>
      </c>
      <c r="I38" s="12">
        <f t="shared" si="1"/>
        <v>-999.28125</v>
      </c>
      <c r="J38" s="13">
        <f t="shared" si="2"/>
        <v>-3.6653385540842902E-2</v>
      </c>
      <c r="K38" s="59"/>
      <c r="L38" s="59"/>
      <c r="M38" s="116"/>
      <c r="N38" s="116"/>
      <c r="O38" s="116"/>
      <c r="P38" s="116"/>
      <c r="Q38" s="116"/>
      <c r="R38" s="116"/>
      <c r="S38" s="116"/>
      <c r="T38" s="116"/>
      <c r="U38" s="116"/>
      <c r="V38" s="116"/>
      <c r="W38" s="116"/>
      <c r="X38" s="116"/>
    </row>
    <row r="39" spans="1:24" ht="15.6">
      <c r="A39" s="26" t="str">
        <v>M092</v>
      </c>
      <c r="B39" s="27" t="str">
        <v>NY</v>
      </c>
      <c r="C39" s="27" t="str">
        <f>Sites[[#This Row],[SOL'#]]</f>
        <v>SOL-10383</v>
      </c>
      <c r="D39" s="9">
        <v>25513.3125</v>
      </c>
      <c r="E39" s="14">
        <v>27052.52</v>
      </c>
      <c r="F39" s="14">
        <f t="shared" si="0"/>
        <v>-1539.2075000000004</v>
      </c>
      <c r="G39" s="15">
        <f t="shared" si="3"/>
        <v>-5.6897009964321267E-2</v>
      </c>
      <c r="H39" s="16">
        <v>26962.78</v>
      </c>
      <c r="I39" s="16">
        <f t="shared" si="1"/>
        <v>-1449.4674999999988</v>
      </c>
      <c r="J39" s="15">
        <f t="shared" si="2"/>
        <v>-5.3758088001311398E-2</v>
      </c>
      <c r="K39" s="57"/>
      <c r="L39" s="57"/>
      <c r="M39" s="116"/>
      <c r="N39" s="116"/>
      <c r="O39" s="116"/>
      <c r="P39" s="116"/>
      <c r="Q39" s="116"/>
      <c r="R39" s="116"/>
      <c r="S39" s="116"/>
      <c r="T39" s="116"/>
      <c r="U39" s="116"/>
      <c r="V39" s="116"/>
      <c r="W39" s="116"/>
      <c r="X39" s="116"/>
    </row>
    <row r="40" spans="1:24" ht="15.6">
      <c r="A40" s="28" t="str">
        <v>M143</v>
      </c>
      <c r="B40" s="25" t="str">
        <v>NY</v>
      </c>
      <c r="C40" s="25" t="str">
        <f>Sites[[#This Row],[SOL'#]]</f>
        <v>SOL-10384</v>
      </c>
      <c r="D40" s="20">
        <v>26932.8125</v>
      </c>
      <c r="E40" s="10">
        <v>33267.06</v>
      </c>
      <c r="F40" s="10">
        <f t="shared" si="0"/>
        <v>-6334.2474999999977</v>
      </c>
      <c r="G40" s="11">
        <f t="shared" si="3"/>
        <v>-0.19040599018969509</v>
      </c>
      <c r="H40" s="12">
        <v>28941.11</v>
      </c>
      <c r="I40" s="12">
        <f t="shared" si="1"/>
        <v>-2008.2975000000006</v>
      </c>
      <c r="J40" s="13">
        <f t="shared" si="2"/>
        <v>-6.9392552669887253E-2</v>
      </c>
      <c r="K40" s="59" t="s">
        <v>1443</v>
      </c>
      <c r="L40" s="111" t="s">
        <v>1743</v>
      </c>
      <c r="M40" s="116"/>
      <c r="N40" s="116"/>
      <c r="O40" s="116"/>
      <c r="P40" s="116"/>
      <c r="Q40" s="116"/>
      <c r="R40" s="116"/>
      <c r="S40" s="116"/>
      <c r="T40" s="116"/>
      <c r="U40" s="116"/>
      <c r="V40" s="116"/>
      <c r="W40" s="116"/>
      <c r="X40" s="116"/>
    </row>
    <row r="41" spans="1:24" ht="15.6">
      <c r="A41" s="26" t="str">
        <v>M144</v>
      </c>
      <c r="B41" s="27" t="str">
        <v>NY</v>
      </c>
      <c r="C41" s="27" t="str">
        <f>Sites[[#This Row],[SOL'#]]</f>
        <v>SOL-10385</v>
      </c>
      <c r="D41" s="9">
        <v>41808.0625</v>
      </c>
      <c r="E41" s="14">
        <v>45206.86</v>
      </c>
      <c r="F41" s="14">
        <f t="shared" si="0"/>
        <v>-3398.7975000000006</v>
      </c>
      <c r="G41" s="15">
        <f t="shared" si="3"/>
        <v>-7.518322440443774E-2</v>
      </c>
      <c r="H41" s="16">
        <v>48675.37</v>
      </c>
      <c r="I41" s="16">
        <f t="shared" si="1"/>
        <v>-6867.3075000000026</v>
      </c>
      <c r="J41" s="15">
        <f t="shared" si="2"/>
        <v>-0.1410838274059345</v>
      </c>
      <c r="K41" s="155" t="s">
        <v>1744</v>
      </c>
      <c r="L41" s="57"/>
      <c r="M41" s="116"/>
      <c r="N41" s="116"/>
      <c r="O41" s="116"/>
      <c r="P41" s="116"/>
      <c r="Q41" s="116"/>
      <c r="R41" s="116"/>
      <c r="S41" s="116"/>
      <c r="T41" s="116"/>
      <c r="U41" s="116"/>
      <c r="V41" s="116"/>
      <c r="W41" s="116"/>
      <c r="X41" s="116"/>
    </row>
    <row r="42" spans="1:24" ht="15.6">
      <c r="A42" s="28" t="str">
        <v>M167</v>
      </c>
      <c r="B42" s="25" t="str">
        <v>NY</v>
      </c>
      <c r="C42" s="25" t="str">
        <f>Sites[[#This Row],[SOL'#]]</f>
        <v>SOL-10386</v>
      </c>
      <c r="D42" s="20">
        <v>32401.5</v>
      </c>
      <c r="E42" s="10">
        <v>23815.59</v>
      </c>
      <c r="F42" s="10">
        <f t="shared" si="0"/>
        <v>8585.91</v>
      </c>
      <c r="G42" s="11">
        <f t="shared" si="3"/>
        <v>0.36051636763985273</v>
      </c>
      <c r="H42" s="12">
        <v>35855.980000000003</v>
      </c>
      <c r="I42" s="12">
        <f t="shared" si="1"/>
        <v>-3454.4800000000032</v>
      </c>
      <c r="J42" s="13">
        <f t="shared" si="2"/>
        <v>-9.6343204118253159E-2</v>
      </c>
      <c r="K42" s="59"/>
      <c r="L42" s="59"/>
      <c r="M42" s="116"/>
      <c r="N42" s="116"/>
      <c r="O42" s="116"/>
      <c r="P42" s="116"/>
      <c r="Q42" s="116"/>
      <c r="R42" s="116"/>
      <c r="S42" s="116"/>
      <c r="T42" s="116"/>
      <c r="U42" s="116"/>
      <c r="V42" s="116"/>
      <c r="W42" s="116"/>
      <c r="X42" s="116"/>
    </row>
    <row r="43" spans="1:24" ht="15.6">
      <c r="A43" s="26" t="str">
        <v>M188</v>
      </c>
      <c r="B43" s="27" t="str">
        <v>NY</v>
      </c>
      <c r="C43" s="27" t="str">
        <f>Sites[[#This Row],[SOL'#]]</f>
        <v>SOL-10387</v>
      </c>
      <c r="D43" s="9">
        <v>22118.3125</v>
      </c>
      <c r="E43" s="14">
        <v>22518.45</v>
      </c>
      <c r="F43" s="14">
        <f t="shared" si="0"/>
        <v>-400.13750000000073</v>
      </c>
      <c r="G43" s="15">
        <f t="shared" si="3"/>
        <v>-1.7769318048089486E-2</v>
      </c>
      <c r="H43" s="16">
        <v>24672.09</v>
      </c>
      <c r="I43" s="16">
        <f t="shared" si="1"/>
        <v>-2553.7775000000001</v>
      </c>
      <c r="J43" s="15">
        <f t="shared" si="2"/>
        <v>-0.10350876233022821</v>
      </c>
      <c r="K43" s="57" t="s">
        <v>1745</v>
      </c>
      <c r="L43" s="57"/>
      <c r="M43" s="116"/>
      <c r="N43" s="116"/>
      <c r="O43" s="116"/>
      <c r="P43" s="116"/>
      <c r="Q43" s="116"/>
      <c r="R43" s="116"/>
      <c r="S43" s="116"/>
      <c r="T43" s="116"/>
      <c r="U43" s="116"/>
      <c r="V43" s="116"/>
      <c r="W43" s="116"/>
      <c r="X43" s="116"/>
    </row>
    <row r="44" spans="1:24" ht="15.6">
      <c r="A44" s="28" t="str">
        <v>EMHC</v>
      </c>
      <c r="B44" s="25" t="str">
        <v>NY</v>
      </c>
      <c r="C44" s="25" t="str">
        <f>Sites[[#This Row],[SOL'#]]</f>
        <v>SOL-10351</v>
      </c>
      <c r="D44" s="20">
        <v>8553.828125</v>
      </c>
      <c r="E44" s="10">
        <v>7417.9120000000003</v>
      </c>
      <c r="F44" s="10">
        <f t="shared" si="0"/>
        <v>1135.9161249999997</v>
      </c>
      <c r="G44" s="11">
        <f t="shared" si="3"/>
        <v>0.15313151800668431</v>
      </c>
      <c r="H44" s="12">
        <v>12191.91</v>
      </c>
      <c r="I44" s="12">
        <f t="shared" si="1"/>
        <v>-3638.0818749999999</v>
      </c>
      <c r="J44" s="13">
        <f t="shared" si="2"/>
        <v>-0.298401306686155</v>
      </c>
      <c r="K44" s="59" t="s">
        <v>819</v>
      </c>
      <c r="L44" s="111" t="s">
        <v>820</v>
      </c>
      <c r="M44" s="116"/>
      <c r="N44" s="116"/>
      <c r="O44" s="116"/>
      <c r="P44" s="116"/>
      <c r="Q44" s="116"/>
      <c r="R44" s="116"/>
      <c r="S44" s="116"/>
      <c r="T44" s="116"/>
      <c r="U44" s="116"/>
      <c r="V44" s="116"/>
      <c r="W44" s="116"/>
      <c r="X44" s="116"/>
    </row>
    <row r="45" spans="1:24" ht="43.15">
      <c r="A45" s="26" t="str">
        <v>Q008</v>
      </c>
      <c r="B45" s="27" t="str">
        <v>NY</v>
      </c>
      <c r="C45" s="27" t="str">
        <f>Sites[[#This Row],[SOL'#]]</f>
        <v>SOL-10397</v>
      </c>
      <c r="D45" s="9">
        <v>0</v>
      </c>
      <c r="E45" s="14">
        <v>0</v>
      </c>
      <c r="F45" s="14">
        <f t="shared" si="0"/>
        <v>0</v>
      </c>
      <c r="G45" s="15" t="str">
        <f t="shared" si="3"/>
        <v/>
      </c>
      <c r="H45" s="16">
        <v>36312</v>
      </c>
      <c r="I45" s="16">
        <f t="shared" si="1"/>
        <v>-36312</v>
      </c>
      <c r="J45" s="15">
        <f t="shared" si="2"/>
        <v>-1</v>
      </c>
      <c r="K45" s="57" t="s">
        <v>1746</v>
      </c>
      <c r="L45" s="112" t="s">
        <v>1747</v>
      </c>
      <c r="M45" s="115" t="s">
        <v>1748</v>
      </c>
      <c r="N45" s="116"/>
      <c r="O45" s="116"/>
      <c r="P45" s="116"/>
      <c r="Q45" s="116"/>
      <c r="R45" s="116"/>
      <c r="S45" s="116"/>
      <c r="T45" s="116"/>
      <c r="U45" s="116"/>
      <c r="V45" s="116"/>
      <c r="W45" s="116"/>
      <c r="X45" s="116"/>
    </row>
    <row r="46" spans="1:24" ht="15.6">
      <c r="A46" s="28" t="str">
        <v>Q018</v>
      </c>
      <c r="B46" s="25" t="str">
        <v>NY</v>
      </c>
      <c r="C46" s="25" t="str">
        <f>Sites[[#This Row],[SOL'#]]</f>
        <v>SOL-10398</v>
      </c>
      <c r="D46" s="20">
        <v>22422.5625</v>
      </c>
      <c r="E46" s="10">
        <v>24285.08</v>
      </c>
      <c r="F46" s="10">
        <f t="shared" si="0"/>
        <v>-1862.5175000000017</v>
      </c>
      <c r="G46" s="11">
        <f t="shared" si="3"/>
        <v>-7.6693900123038575E-2</v>
      </c>
      <c r="H46" s="12">
        <v>19671.97</v>
      </c>
      <c r="I46" s="12">
        <f t="shared" si="1"/>
        <v>2750.5924999999988</v>
      </c>
      <c r="J46" s="13">
        <f t="shared" si="2"/>
        <v>0.13982293079950806</v>
      </c>
      <c r="K46" s="59"/>
      <c r="L46" s="59"/>
      <c r="M46" s="116"/>
      <c r="N46" s="116"/>
      <c r="O46" s="116"/>
      <c r="P46" s="116"/>
      <c r="Q46" s="116"/>
      <c r="R46" s="116"/>
      <c r="S46" s="116"/>
      <c r="T46" s="116"/>
      <c r="U46" s="116"/>
      <c r="V46" s="116"/>
      <c r="W46" s="116"/>
      <c r="X46" s="116"/>
    </row>
    <row r="47" spans="1:24" ht="15.6">
      <c r="A47" s="26" t="str">
        <v>Q021</v>
      </c>
      <c r="B47" s="27" t="str">
        <v>NY</v>
      </c>
      <c r="C47" s="27" t="str">
        <f>Sites[[#This Row],[SOL'#]]</f>
        <v>SOL-10399</v>
      </c>
      <c r="D47" s="9">
        <v>17811.25</v>
      </c>
      <c r="E47" s="14">
        <v>17422.689999999999</v>
      </c>
      <c r="F47" s="14">
        <f t="shared" si="0"/>
        <v>388.56000000000131</v>
      </c>
      <c r="G47" s="15">
        <f t="shared" si="3"/>
        <v>2.2301952224369564E-2</v>
      </c>
      <c r="H47" s="16">
        <v>16686.18</v>
      </c>
      <c r="I47" s="16">
        <f t="shared" si="1"/>
        <v>1125.0699999999997</v>
      </c>
      <c r="J47" s="15">
        <f t="shared" si="2"/>
        <v>6.7425258507339589E-2</v>
      </c>
      <c r="K47" s="57"/>
      <c r="L47" s="57"/>
      <c r="M47" s="116"/>
      <c r="N47" s="116"/>
      <c r="O47" s="116"/>
      <c r="P47" s="116"/>
      <c r="Q47" s="116"/>
      <c r="R47" s="116"/>
      <c r="S47" s="116"/>
      <c r="T47" s="116"/>
      <c r="U47" s="116"/>
      <c r="V47" s="116"/>
      <c r="W47" s="116"/>
      <c r="X47" s="116"/>
    </row>
    <row r="48" spans="1:24" ht="15.6">
      <c r="A48" s="28" t="str">
        <v>Q025</v>
      </c>
      <c r="B48" s="25" t="str">
        <v>NY</v>
      </c>
      <c r="C48" s="25" t="str">
        <f>Sites[[#This Row],[SOL'#]]</f>
        <v>SOL-10400</v>
      </c>
      <c r="D48" s="20">
        <v>30847.0625</v>
      </c>
      <c r="E48" s="10">
        <v>30210.9</v>
      </c>
      <c r="F48" s="10">
        <f t="shared" si="0"/>
        <v>636.16249999999854</v>
      </c>
      <c r="G48" s="11">
        <f t="shared" si="3"/>
        <v>2.1057383262332419E-2</v>
      </c>
      <c r="H48" s="12">
        <v>15399</v>
      </c>
      <c r="I48" s="12">
        <f t="shared" si="1"/>
        <v>15448.0625</v>
      </c>
      <c r="J48" s="13">
        <f t="shared" si="2"/>
        <v>1.0031860835119164</v>
      </c>
      <c r="K48" s="59"/>
      <c r="L48" s="59"/>
      <c r="M48" s="116"/>
      <c r="N48" s="116"/>
      <c r="O48" s="116"/>
      <c r="P48" s="116"/>
      <c r="Q48" s="116"/>
      <c r="R48" s="116"/>
      <c r="S48" s="116"/>
      <c r="T48" s="116"/>
      <c r="U48" s="116"/>
      <c r="V48" s="116"/>
      <c r="W48" s="116"/>
      <c r="X48" s="116"/>
    </row>
    <row r="49" spans="1:24" ht="15.6">
      <c r="A49" s="26" t="str">
        <v>Q074</v>
      </c>
      <c r="B49" s="27" t="str">
        <v>NY</v>
      </c>
      <c r="C49" s="27" t="str">
        <f>Sites[[#This Row],[SOL'#]]</f>
        <v>SOL-10402</v>
      </c>
      <c r="D49" s="9">
        <v>20091.25</v>
      </c>
      <c r="E49" s="14">
        <v>20099.009999999998</v>
      </c>
      <c r="F49" s="14">
        <f t="shared" si="0"/>
        <v>-7.7599999999983993</v>
      </c>
      <c r="G49" s="15">
        <f t="shared" si="3"/>
        <v>-3.8608866804874467E-4</v>
      </c>
      <c r="H49" s="16">
        <v>18770.07</v>
      </c>
      <c r="I49" s="16">
        <f t="shared" si="1"/>
        <v>1321.1800000000003</v>
      </c>
      <c r="J49" s="15">
        <f t="shared" si="2"/>
        <v>7.0387590456508706E-2</v>
      </c>
      <c r="K49" s="57"/>
      <c r="L49" s="57"/>
      <c r="M49" s="116"/>
      <c r="N49" s="116"/>
      <c r="O49" s="116"/>
      <c r="P49" s="116"/>
      <c r="Q49" s="116"/>
      <c r="R49" s="116"/>
      <c r="S49" s="116"/>
      <c r="T49" s="116"/>
      <c r="U49" s="116"/>
      <c r="V49" s="116"/>
      <c r="W49" s="116"/>
      <c r="X49" s="116"/>
    </row>
    <row r="50" spans="1:24" ht="15.6">
      <c r="A50" s="28" t="str">
        <v>Q115</v>
      </c>
      <c r="B50" s="25" t="str">
        <v>NY</v>
      </c>
      <c r="C50" s="25" t="str">
        <f>Sites[[#This Row],[SOL'#]]</f>
        <v>SOL-10872</v>
      </c>
      <c r="D50" s="20">
        <v>25668.562500000098</v>
      </c>
      <c r="E50" s="10">
        <v>27335.48</v>
      </c>
      <c r="F50" s="10">
        <f t="shared" si="0"/>
        <v>-1666.9174999999013</v>
      </c>
      <c r="G50" s="11">
        <f t="shared" si="3"/>
        <v>-6.09799974245889E-2</v>
      </c>
      <c r="H50" s="12">
        <v>24925.88</v>
      </c>
      <c r="I50" s="12">
        <f t="shared" si="1"/>
        <v>742.68250000009721</v>
      </c>
      <c r="J50" s="13">
        <f t="shared" si="2"/>
        <v>2.9795638107866087E-2</v>
      </c>
      <c r="K50" s="59"/>
      <c r="L50" s="59"/>
      <c r="M50" s="116"/>
      <c r="N50" s="116"/>
      <c r="O50" s="116"/>
      <c r="P50" s="116"/>
      <c r="Q50" s="116"/>
      <c r="R50" s="116"/>
      <c r="S50" s="116"/>
      <c r="T50" s="116"/>
      <c r="U50" s="116"/>
      <c r="V50" s="116"/>
      <c r="W50" s="116"/>
      <c r="X50" s="116"/>
    </row>
    <row r="51" spans="1:24" ht="28.9">
      <c r="A51" s="26" t="str">
        <v>Q139</v>
      </c>
      <c r="B51" s="27" t="str">
        <v>NY</v>
      </c>
      <c r="C51" s="27" t="str">
        <f>Sites[[#This Row],[SOL'#]]</f>
        <v>SOL-10403</v>
      </c>
      <c r="D51" s="9">
        <v>15708.0625</v>
      </c>
      <c r="E51" s="14">
        <v>17354.150000000001</v>
      </c>
      <c r="F51" s="14">
        <f t="shared" si="0"/>
        <v>-1646.0875000000015</v>
      </c>
      <c r="G51" s="15">
        <f t="shared" si="3"/>
        <v>-9.4852672127416285E-2</v>
      </c>
      <c r="H51" s="16">
        <v>15860</v>
      </c>
      <c r="I51" s="16">
        <f t="shared" si="1"/>
        <v>-151.9375</v>
      </c>
      <c r="J51" s="15">
        <f t="shared" si="2"/>
        <v>-9.5799180327868858E-3</v>
      </c>
      <c r="K51" s="57" t="s">
        <v>1749</v>
      </c>
      <c r="L51" s="112" t="s">
        <v>1750</v>
      </c>
      <c r="M51" s="116"/>
      <c r="N51" s="116"/>
      <c r="O51" s="116"/>
      <c r="P51" s="116"/>
      <c r="Q51" s="116"/>
      <c r="R51" s="116"/>
      <c r="S51" s="116"/>
      <c r="T51" s="116"/>
      <c r="U51" s="116"/>
      <c r="V51" s="116"/>
      <c r="W51" s="116"/>
      <c r="X51" s="116"/>
    </row>
    <row r="52" spans="1:24" ht="28.9">
      <c r="A52" s="28" t="str">
        <v>Q157</v>
      </c>
      <c r="B52" s="25" t="str">
        <v>NY</v>
      </c>
      <c r="C52" s="25" t="str">
        <f>Sites[[#This Row],[SOL'#]]</f>
        <v>SOL-10404</v>
      </c>
      <c r="D52" s="20">
        <v>27253.8125</v>
      </c>
      <c r="E52" s="10">
        <v>30897.83</v>
      </c>
      <c r="F52" s="10">
        <f t="shared" si="0"/>
        <v>-3644.0175000000017</v>
      </c>
      <c r="G52" s="11">
        <f t="shared" si="3"/>
        <v>-0.11793765128489611</v>
      </c>
      <c r="H52" s="12">
        <v>27966.37</v>
      </c>
      <c r="I52" s="12">
        <f t="shared" si="1"/>
        <v>-712.55749999999898</v>
      </c>
      <c r="J52" s="13">
        <f t="shared" si="2"/>
        <v>-2.5479084343087752E-2</v>
      </c>
      <c r="K52" s="59" t="s">
        <v>1751</v>
      </c>
      <c r="L52" s="111" t="s">
        <v>1752</v>
      </c>
      <c r="M52" s="116"/>
      <c r="N52" s="116"/>
      <c r="O52" s="116"/>
      <c r="P52" s="116"/>
      <c r="Q52" s="116"/>
      <c r="R52" s="116"/>
      <c r="S52" s="116"/>
      <c r="T52" s="116"/>
      <c r="U52" s="116"/>
      <c r="V52" s="116"/>
      <c r="W52" s="116"/>
      <c r="X52" s="116"/>
    </row>
    <row r="53" spans="1:24" ht="98.25" customHeight="1">
      <c r="A53" s="26" t="str">
        <v>Q192</v>
      </c>
      <c r="B53" s="27" t="str">
        <v>NY</v>
      </c>
      <c r="C53" s="27" t="str">
        <f>Sites[[#This Row],[SOL'#]]</f>
        <v>SOL-10406</v>
      </c>
      <c r="D53" s="9">
        <v>42644.875000000196</v>
      </c>
      <c r="E53" s="14">
        <v>46844.32</v>
      </c>
      <c r="F53" s="14">
        <f t="shared" si="0"/>
        <v>-4199.4449999998033</v>
      </c>
      <c r="G53" s="15">
        <f t="shared" si="3"/>
        <v>-8.9646834450789414E-2</v>
      </c>
      <c r="H53" s="16">
        <v>478.68180000000001</v>
      </c>
      <c r="I53" s="16">
        <f t="shared" si="1"/>
        <v>42166.193200000198</v>
      </c>
      <c r="J53" s="15">
        <f t="shared" si="2"/>
        <v>88.088147909530292</v>
      </c>
      <c r="K53" s="57" t="s">
        <v>1451</v>
      </c>
      <c r="L53" s="57"/>
      <c r="M53" s="116"/>
      <c r="N53" s="116"/>
      <c r="O53" s="116"/>
      <c r="P53" s="116"/>
      <c r="Q53" s="116"/>
      <c r="R53" s="116"/>
      <c r="S53" s="116"/>
      <c r="T53" s="116"/>
      <c r="U53" s="116"/>
      <c r="V53" s="116"/>
      <c r="W53" s="116"/>
      <c r="X53" s="116"/>
    </row>
    <row r="54" spans="1:24" ht="41.65" customHeight="1">
      <c r="A54" s="28" t="str">
        <v>Q210</v>
      </c>
      <c r="B54" s="25" t="str">
        <v>NY</v>
      </c>
      <c r="C54" s="25" t="str">
        <f>Sites[[#This Row],[SOL'#]]</f>
        <v>SOL-10407</v>
      </c>
      <c r="D54" s="20">
        <v>30659.75</v>
      </c>
      <c r="E54" s="10">
        <v>35721.360000000001</v>
      </c>
      <c r="F54" s="10">
        <f t="shared" si="0"/>
        <v>-5061.6100000000006</v>
      </c>
      <c r="G54" s="11">
        <f t="shared" si="3"/>
        <v>-0.14169701265573317</v>
      </c>
      <c r="H54" s="12">
        <v>33897</v>
      </c>
      <c r="I54" s="12">
        <f t="shared" si="1"/>
        <v>-3237.25</v>
      </c>
      <c r="J54" s="13">
        <f t="shared" si="2"/>
        <v>-9.5502551848246159E-2</v>
      </c>
      <c r="K54" s="59" t="s">
        <v>1753</v>
      </c>
      <c r="L54" s="111" t="s">
        <v>1754</v>
      </c>
      <c r="M54" s="116"/>
      <c r="N54" s="116"/>
      <c r="O54" s="116"/>
      <c r="P54" s="116"/>
      <c r="Q54" s="116"/>
      <c r="R54" s="116"/>
      <c r="S54" s="116"/>
      <c r="T54" s="116"/>
      <c r="U54" s="116"/>
      <c r="V54" s="116"/>
      <c r="W54" s="116"/>
      <c r="X54" s="116"/>
    </row>
    <row r="55" spans="1:24" ht="28.9">
      <c r="A55" s="26" t="str">
        <v>Q229</v>
      </c>
      <c r="B55" s="27" t="str">
        <v>NY</v>
      </c>
      <c r="C55" s="27" t="str">
        <f>Sites[[#This Row],[SOL'#]]</f>
        <v>SOL-10408</v>
      </c>
      <c r="D55" s="9">
        <v>15332.079186893199</v>
      </c>
      <c r="E55" s="14">
        <v>17350.71</v>
      </c>
      <c r="F55" s="14">
        <f t="shared" si="0"/>
        <v>-2018.6308131067999</v>
      </c>
      <c r="G55" s="15">
        <f t="shared" si="3"/>
        <v>-0.11634283629354648</v>
      </c>
      <c r="H55" s="16">
        <v>14637.41</v>
      </c>
      <c r="I55" s="16">
        <f t="shared" si="1"/>
        <v>694.66918689319937</v>
      </c>
      <c r="J55" s="15">
        <f t="shared" si="2"/>
        <v>4.7458477073006725E-2</v>
      </c>
      <c r="K55" s="57" t="s">
        <v>1136</v>
      </c>
      <c r="L55" s="112" t="s">
        <v>828</v>
      </c>
      <c r="M55" s="116"/>
      <c r="N55" s="116"/>
      <c r="O55" s="116"/>
      <c r="P55" s="116"/>
      <c r="Q55" s="116"/>
      <c r="R55" s="116"/>
      <c r="S55" s="116"/>
      <c r="T55" s="116"/>
      <c r="U55" s="116"/>
      <c r="V55" s="116"/>
      <c r="W55" s="116"/>
      <c r="X55" s="116"/>
    </row>
    <row r="56" spans="1:24" ht="28.9">
      <c r="A56" s="28" t="str">
        <v>Q231</v>
      </c>
      <c r="B56" s="25" t="str">
        <v>NY</v>
      </c>
      <c r="C56" s="25" t="str">
        <f>Sites[[#This Row],[SOL'#]]</f>
        <v>SOL-10870</v>
      </c>
      <c r="D56" s="20">
        <v>57414</v>
      </c>
      <c r="E56" s="10">
        <v>60749</v>
      </c>
      <c r="F56" s="10">
        <f t="shared" si="0"/>
        <v>-3335</v>
      </c>
      <c r="G56" s="11">
        <f t="shared" si="3"/>
        <v>-5.4898023012724492E-2</v>
      </c>
      <c r="H56" s="12">
        <v>61540</v>
      </c>
      <c r="I56" s="12">
        <f t="shared" si="1"/>
        <v>-4126</v>
      </c>
      <c r="J56" s="13">
        <f t="shared" si="2"/>
        <v>-6.7045823854403636E-2</v>
      </c>
      <c r="K56" s="59" t="s">
        <v>1755</v>
      </c>
      <c r="L56" s="111" t="s">
        <v>1756</v>
      </c>
      <c r="M56" s="116"/>
      <c r="N56" s="116"/>
      <c r="O56" s="116"/>
      <c r="P56" s="116"/>
      <c r="Q56" s="116"/>
      <c r="R56" s="116"/>
      <c r="S56" s="116"/>
      <c r="T56" s="116"/>
      <c r="U56" s="116"/>
      <c r="V56" s="116"/>
      <c r="W56" s="116"/>
      <c r="X56" s="116"/>
    </row>
    <row r="57" spans="1:24" ht="28.9">
      <c r="A57" s="26" t="str">
        <v>Q405</v>
      </c>
      <c r="B57" s="27" t="str">
        <v>NY</v>
      </c>
      <c r="C57" s="27" t="str">
        <f>Sites[[#This Row],[SOL'#]]</f>
        <v>SOL-10409</v>
      </c>
      <c r="D57" s="9">
        <v>65372.75</v>
      </c>
      <c r="E57" s="14">
        <v>71921.91</v>
      </c>
      <c r="F57" s="14">
        <f t="shared" si="0"/>
        <v>-6549.1600000000035</v>
      </c>
      <c r="G57" s="15">
        <f t="shared" si="3"/>
        <v>-9.1059316973089333E-2</v>
      </c>
      <c r="H57" s="16">
        <v>60634.29</v>
      </c>
      <c r="I57" s="16">
        <f t="shared" si="1"/>
        <v>4738.4599999999991</v>
      </c>
      <c r="J57" s="15">
        <f t="shared" si="2"/>
        <v>7.8148189745439411E-2</v>
      </c>
      <c r="K57" s="57" t="s">
        <v>1757</v>
      </c>
      <c r="L57" s="112" t="s">
        <v>1138</v>
      </c>
      <c r="M57" s="116"/>
      <c r="N57" s="116"/>
      <c r="O57" s="116"/>
      <c r="P57" s="116"/>
      <c r="Q57" s="116"/>
      <c r="R57" s="116"/>
      <c r="S57" s="116"/>
      <c r="T57" s="116"/>
      <c r="U57" s="116"/>
      <c r="V57" s="116"/>
      <c r="W57" s="116"/>
      <c r="X57" s="116"/>
    </row>
    <row r="58" spans="1:24" ht="15.6">
      <c r="A58" s="28" t="str">
        <v>Q435</v>
      </c>
      <c r="B58" s="25" t="str">
        <v>NY</v>
      </c>
      <c r="C58" s="25" t="str">
        <f>Sites[[#This Row],[SOL'#]]</f>
        <v>SOL-10923</v>
      </c>
      <c r="D58" s="20">
        <v>64450.375</v>
      </c>
      <c r="E58" s="10">
        <v>67828.89</v>
      </c>
      <c r="F58" s="10">
        <f t="shared" si="0"/>
        <v>-3378.5149999999994</v>
      </c>
      <c r="G58" s="11">
        <f t="shared" si="3"/>
        <v>-4.9809380634122116E-2</v>
      </c>
      <c r="H58" s="12">
        <v>84298</v>
      </c>
      <c r="I58" s="12">
        <f t="shared" si="1"/>
        <v>-19847.625</v>
      </c>
      <c r="J58" s="13">
        <f t="shared" si="2"/>
        <v>-0.23544597736601106</v>
      </c>
      <c r="K58" s="59" t="s">
        <v>1758</v>
      </c>
      <c r="L58" s="59"/>
      <c r="M58" s="116"/>
      <c r="N58" s="116"/>
      <c r="O58" s="116"/>
      <c r="P58" s="116"/>
      <c r="Q58" s="116"/>
      <c r="R58" s="116"/>
      <c r="S58" s="116"/>
      <c r="T58" s="116"/>
      <c r="U58" s="116"/>
      <c r="V58" s="116"/>
      <c r="W58" s="116"/>
      <c r="X58" s="116"/>
    </row>
    <row r="59" spans="1:24" ht="43.15">
      <c r="A59" s="26" t="str">
        <v>Q485</v>
      </c>
      <c r="B59" s="27" t="str">
        <v>NY</v>
      </c>
      <c r="C59" s="27" t="str">
        <f>Sites[[#This Row],[SOL'#]]</f>
        <v>SOL-10869</v>
      </c>
      <c r="D59" s="9">
        <v>77438.624999999898</v>
      </c>
      <c r="E59" s="14">
        <v>61581.27</v>
      </c>
      <c r="F59" s="14">
        <f t="shared" si="0"/>
        <v>15857.354999999901</v>
      </c>
      <c r="G59" s="15">
        <f t="shared" si="3"/>
        <v>0.25750289008329807</v>
      </c>
      <c r="H59" s="16">
        <v>80201.91</v>
      </c>
      <c r="I59" s="16">
        <f t="shared" si="1"/>
        <v>-2763.2850000001054</v>
      </c>
      <c r="J59" s="15">
        <f t="shared" si="2"/>
        <v>-3.4454104646636285E-2</v>
      </c>
      <c r="K59" s="57" t="s">
        <v>1759</v>
      </c>
      <c r="L59" s="112" t="s">
        <v>1760</v>
      </c>
      <c r="M59" s="116"/>
      <c r="N59" s="116"/>
      <c r="O59" s="116"/>
      <c r="P59" s="116"/>
      <c r="Q59" s="116"/>
      <c r="R59" s="116"/>
      <c r="S59" s="116"/>
      <c r="T59" s="116"/>
      <c r="U59" s="116"/>
      <c r="V59" s="116"/>
      <c r="W59" s="116"/>
      <c r="X59" s="116"/>
    </row>
    <row r="60" spans="1:24" ht="43.15">
      <c r="A60" s="28" t="str">
        <v>Q490</v>
      </c>
      <c r="B60" s="25" t="str">
        <v>NY</v>
      </c>
      <c r="C60" s="25" t="str">
        <f>Sites[[#This Row],[SOL'#]]</f>
        <v>SOL-10411</v>
      </c>
      <c r="D60" s="20">
        <v>54376.138749999896</v>
      </c>
      <c r="E60" s="10" t="s">
        <v>777</v>
      </c>
      <c r="F60" s="10" t="str">
        <f t="shared" si="0"/>
        <v/>
      </c>
      <c r="G60" s="11" t="str">
        <f t="shared" si="3"/>
        <v/>
      </c>
      <c r="H60" s="12">
        <v>52505.61</v>
      </c>
      <c r="I60" s="12">
        <f t="shared" si="1"/>
        <v>1870.5287499998958</v>
      </c>
      <c r="J60" s="13">
        <f t="shared" si="2"/>
        <v>3.562531222853893E-2</v>
      </c>
      <c r="K60" s="59" t="s">
        <v>1460</v>
      </c>
      <c r="L60" s="111" t="s">
        <v>292</v>
      </c>
      <c r="M60" s="116"/>
      <c r="N60" s="116"/>
      <c r="O60" s="116"/>
      <c r="P60" s="116"/>
      <c r="Q60" s="116"/>
      <c r="R60" s="116"/>
      <c r="S60" s="116"/>
      <c r="T60" s="116"/>
      <c r="U60" s="116"/>
      <c r="V60" s="116"/>
      <c r="W60" s="116"/>
      <c r="X60" s="116"/>
    </row>
    <row r="61" spans="1:24" ht="15.6">
      <c r="A61" s="26" t="str">
        <v>Q620</v>
      </c>
      <c r="B61" s="27" t="str">
        <v>NY</v>
      </c>
      <c r="C61" s="27" t="str">
        <f>Sites[[#This Row],[SOL'#]]</f>
        <v>SOL-10867</v>
      </c>
      <c r="D61" s="9">
        <v>83649</v>
      </c>
      <c r="E61" s="14">
        <v>85365.47</v>
      </c>
      <c r="F61" s="14">
        <f t="shared" si="0"/>
        <v>-1716.4700000000012</v>
      </c>
      <c r="G61" s="15">
        <f t="shared" si="3"/>
        <v>-2.0107310367997754E-2</v>
      </c>
      <c r="H61" s="16">
        <v>84122.95</v>
      </c>
      <c r="I61" s="16">
        <f t="shared" si="1"/>
        <v>-473.94999999999709</v>
      </c>
      <c r="J61" s="15">
        <f t="shared" si="2"/>
        <v>-5.6340154500049882E-3</v>
      </c>
      <c r="K61" s="57" t="s">
        <v>1761</v>
      </c>
      <c r="L61" s="112" t="s">
        <v>1762</v>
      </c>
      <c r="M61" s="116"/>
      <c r="N61" s="116"/>
      <c r="O61" s="116"/>
      <c r="P61" s="116"/>
      <c r="Q61" s="116"/>
      <c r="R61" s="116"/>
      <c r="S61" s="116"/>
      <c r="T61" s="116"/>
      <c r="U61" s="116"/>
      <c r="V61" s="116"/>
      <c r="W61" s="116"/>
      <c r="X61" s="116"/>
    </row>
    <row r="62" spans="1:24" ht="15.6">
      <c r="A62" s="28" t="str">
        <v>QMOA</v>
      </c>
      <c r="B62" s="25" t="str">
        <v>NY</v>
      </c>
      <c r="C62" s="25" t="str">
        <f>Sites[[#This Row],[SOL'#]]</f>
        <v>SOL-10415</v>
      </c>
      <c r="D62" s="20">
        <v>7003.7</v>
      </c>
      <c r="E62" s="10" t="s">
        <v>777</v>
      </c>
      <c r="F62" s="10" t="str">
        <f t="shared" si="0"/>
        <v/>
      </c>
      <c r="G62" s="11" t="str">
        <f t="shared" si="3"/>
        <v/>
      </c>
      <c r="H62" s="12">
        <v>7555.0460000000003</v>
      </c>
      <c r="I62" s="12">
        <f t="shared" si="1"/>
        <v>-551.34600000000046</v>
      </c>
      <c r="J62" s="13">
        <f t="shared" si="2"/>
        <v>-7.2977186373186925E-2</v>
      </c>
      <c r="K62" s="59"/>
      <c r="L62" s="59"/>
      <c r="M62" s="116"/>
      <c r="N62" s="116"/>
      <c r="O62" s="116"/>
      <c r="P62" s="116"/>
      <c r="Q62" s="116"/>
      <c r="R62" s="116"/>
      <c r="S62" s="116"/>
      <c r="T62" s="116"/>
      <c r="U62" s="116"/>
      <c r="V62" s="116"/>
      <c r="W62" s="116"/>
      <c r="X62" s="116"/>
    </row>
    <row r="63" spans="1:24" ht="15.6">
      <c r="A63" s="26" t="str">
        <v>X024</v>
      </c>
      <c r="B63" s="27" t="str">
        <v>NY</v>
      </c>
      <c r="C63" s="27" t="str">
        <f>Sites[[#This Row],[SOL'#]]</f>
        <v>SOL-10419</v>
      </c>
      <c r="D63" s="9">
        <v>31410.5</v>
      </c>
      <c r="E63" s="14">
        <v>32184.54</v>
      </c>
      <c r="F63" s="14">
        <f t="shared" si="0"/>
        <v>-774.04000000000087</v>
      </c>
      <c r="G63" s="15">
        <f t="shared" si="3"/>
        <v>-2.4050056331393919E-2</v>
      </c>
      <c r="H63" s="16">
        <v>28524</v>
      </c>
      <c r="I63" s="16">
        <f t="shared" si="1"/>
        <v>2886.5</v>
      </c>
      <c r="J63" s="15">
        <f t="shared" si="2"/>
        <v>0.10119548450427709</v>
      </c>
      <c r="K63" s="57" t="s">
        <v>1763</v>
      </c>
      <c r="L63" s="112" t="s">
        <v>294</v>
      </c>
      <c r="M63" s="116"/>
      <c r="N63" s="116"/>
      <c r="O63" s="116"/>
      <c r="P63" s="116"/>
      <c r="Q63" s="116"/>
      <c r="R63" s="116"/>
      <c r="S63" s="116"/>
      <c r="T63" s="116"/>
      <c r="U63" s="116"/>
      <c r="V63" s="116"/>
      <c r="W63" s="116"/>
      <c r="X63" s="116"/>
    </row>
    <row r="64" spans="1:24" ht="15.6">
      <c r="A64" s="28" t="str">
        <v>X026</v>
      </c>
      <c r="B64" s="25" t="str">
        <v>NY</v>
      </c>
      <c r="C64" s="25" t="str">
        <f>Sites[[#This Row],[SOL'#]]</f>
        <v>SOL-10420</v>
      </c>
      <c r="D64" s="20">
        <v>28396.400000000001</v>
      </c>
      <c r="E64" s="10">
        <v>25893.72</v>
      </c>
      <c r="F64" s="10">
        <f t="shared" si="0"/>
        <v>2502.6800000000003</v>
      </c>
      <c r="G64" s="11">
        <f t="shared" si="3"/>
        <v>9.6652006741402938E-2</v>
      </c>
      <c r="H64" s="12">
        <v>37688.65</v>
      </c>
      <c r="I64" s="12">
        <f t="shared" si="1"/>
        <v>-9292.25</v>
      </c>
      <c r="J64" s="13">
        <f t="shared" si="2"/>
        <v>-0.24655300733775287</v>
      </c>
      <c r="K64" s="59" t="s">
        <v>1147</v>
      </c>
      <c r="L64" s="111" t="s">
        <v>841</v>
      </c>
      <c r="M64" s="116"/>
      <c r="N64" s="116"/>
      <c r="O64" s="116"/>
      <c r="P64" s="116"/>
      <c r="Q64" s="116"/>
      <c r="R64" s="116"/>
      <c r="S64" s="116"/>
      <c r="T64" s="116"/>
      <c r="U64" s="116"/>
      <c r="V64" s="116"/>
      <c r="W64" s="116"/>
      <c r="X64" s="116"/>
    </row>
    <row r="65" spans="1:24" ht="43.15">
      <c r="A65" s="26" t="str">
        <v>X090</v>
      </c>
      <c r="B65" s="27" t="str">
        <v>NY</v>
      </c>
      <c r="C65" s="27" t="str">
        <f>Sites[[#This Row],[SOL'#]]</f>
        <v>SOL-10925</v>
      </c>
      <c r="D65" s="9">
        <v>20376.1875</v>
      </c>
      <c r="E65" s="14">
        <v>21371.14</v>
      </c>
      <c r="F65" s="14">
        <f t="shared" si="0"/>
        <v>-994.95249999999942</v>
      </c>
      <c r="G65" s="15">
        <f t="shared" si="3"/>
        <v>-4.6555892666465121E-2</v>
      </c>
      <c r="H65" s="16">
        <v>24800</v>
      </c>
      <c r="I65" s="16">
        <f t="shared" si="1"/>
        <v>-4423.8125</v>
      </c>
      <c r="J65" s="15">
        <f t="shared" si="2"/>
        <v>-0.17837953629032258</v>
      </c>
      <c r="K65" s="57" t="s">
        <v>1764</v>
      </c>
      <c r="L65" s="112" t="s">
        <v>1765</v>
      </c>
      <c r="M65" s="115" t="s">
        <v>1766</v>
      </c>
      <c r="N65" s="116"/>
      <c r="O65" s="116"/>
      <c r="P65" s="116"/>
      <c r="Q65" s="116"/>
      <c r="R65" s="116"/>
      <c r="S65" s="116"/>
      <c r="T65" s="116"/>
      <c r="U65" s="116"/>
      <c r="V65" s="116"/>
      <c r="W65" s="116"/>
      <c r="X65" s="116"/>
    </row>
    <row r="66" spans="1:24" ht="15.6">
      <c r="A66" s="28" t="str">
        <v>X117</v>
      </c>
      <c r="B66" s="25" t="str">
        <v>NY</v>
      </c>
      <c r="C66" s="25" t="str">
        <f>Sites[[#This Row],[SOL'#]]</f>
        <v>SOL-10422</v>
      </c>
      <c r="D66" s="20">
        <v>20442.5</v>
      </c>
      <c r="E66" s="10">
        <v>21974.400000000001</v>
      </c>
      <c r="F66" s="10">
        <f t="shared" si="0"/>
        <v>-1531.9000000000015</v>
      </c>
      <c r="G66" s="11">
        <f t="shared" si="3"/>
        <v>-6.9712938692296555E-2</v>
      </c>
      <c r="H66" s="12">
        <v>20331.66</v>
      </c>
      <c r="I66" s="12">
        <f t="shared" si="1"/>
        <v>110.84000000000015</v>
      </c>
      <c r="J66" s="13">
        <f t="shared" si="2"/>
        <v>5.451596180538143E-3</v>
      </c>
      <c r="K66" s="59"/>
      <c r="L66" s="59"/>
      <c r="M66" s="116"/>
      <c r="N66" s="116"/>
      <c r="O66" s="116"/>
      <c r="P66" s="116"/>
      <c r="Q66" s="116"/>
      <c r="R66" s="116"/>
      <c r="S66" s="116"/>
      <c r="T66" s="116"/>
      <c r="U66" s="116"/>
      <c r="V66" s="116"/>
      <c r="W66" s="116"/>
      <c r="X66" s="116"/>
    </row>
    <row r="67" spans="1:24" ht="15.6">
      <c r="A67" s="26" t="str">
        <v>X125</v>
      </c>
      <c r="B67" s="27" t="str">
        <v>NY</v>
      </c>
      <c r="C67" s="27" t="str">
        <f>Sites[[#This Row],[SOL'#]]</f>
        <v>SOL-10423</v>
      </c>
      <c r="D67" s="9">
        <v>37847.9375</v>
      </c>
      <c r="E67" s="14">
        <v>38359.230000000003</v>
      </c>
      <c r="F67" s="14">
        <f t="shared" si="0"/>
        <v>-511.2925000000032</v>
      </c>
      <c r="G67" s="15">
        <f t="shared" si="3"/>
        <v>-1.3329060567691352E-2</v>
      </c>
      <c r="H67" s="16">
        <v>37253.94</v>
      </c>
      <c r="I67" s="16">
        <f t="shared" si="1"/>
        <v>593.99749999999767</v>
      </c>
      <c r="J67" s="15">
        <f t="shared" si="2"/>
        <v>1.594455512624967E-2</v>
      </c>
      <c r="K67" s="57"/>
      <c r="L67" s="57"/>
      <c r="M67" s="116"/>
      <c r="N67" s="116"/>
      <c r="O67" s="116"/>
      <c r="P67" s="116"/>
      <c r="Q67" s="116"/>
      <c r="R67" s="116"/>
      <c r="S67" s="116"/>
      <c r="T67" s="116"/>
      <c r="U67" s="116"/>
      <c r="V67" s="116"/>
      <c r="W67" s="116"/>
      <c r="X67" s="116"/>
    </row>
    <row r="68" spans="1:24" ht="15.6">
      <c r="A68" s="28" t="str">
        <v>X134</v>
      </c>
      <c r="B68" s="25" t="str">
        <v>NY</v>
      </c>
      <c r="C68" s="25" t="str">
        <f>Sites[[#This Row],[SOL'#]]</f>
        <v>SOL-10424</v>
      </c>
      <c r="D68" s="20">
        <v>36328.625</v>
      </c>
      <c r="E68" s="10">
        <v>26292.3</v>
      </c>
      <c r="F68" s="10">
        <f t="shared" si="0"/>
        <v>10036.325000000001</v>
      </c>
      <c r="G68" s="11">
        <f t="shared" si="3"/>
        <v>0.38172107423085849</v>
      </c>
      <c r="H68" s="12">
        <v>37970</v>
      </c>
      <c r="I68" s="12">
        <f t="shared" si="1"/>
        <v>-1641.375</v>
      </c>
      <c r="J68" s="13">
        <f t="shared" si="2"/>
        <v>-4.3228206478799054E-2</v>
      </c>
      <c r="K68" s="59"/>
      <c r="L68" s="59"/>
      <c r="M68" s="116"/>
      <c r="N68" s="116"/>
      <c r="O68" s="116"/>
      <c r="P68" s="116"/>
      <c r="Q68" s="116"/>
      <c r="R68" s="116"/>
      <c r="S68" s="116"/>
      <c r="T68" s="116"/>
      <c r="U68" s="116"/>
      <c r="V68" s="116"/>
      <c r="W68" s="116"/>
      <c r="X68" s="116"/>
    </row>
    <row r="69" spans="1:24" ht="15.6">
      <c r="A69" s="26" t="str">
        <v>X135</v>
      </c>
      <c r="B69" s="27" t="str">
        <v>NY</v>
      </c>
      <c r="C69" s="27" t="str">
        <f>Sites[[#This Row],[SOL'#]]</f>
        <v>SOL-10425</v>
      </c>
      <c r="D69" s="9">
        <v>27094.9375</v>
      </c>
      <c r="E69" s="14">
        <v>34359.57</v>
      </c>
      <c r="F69" s="14">
        <f t="shared" si="0"/>
        <v>-7264.6324999999997</v>
      </c>
      <c r="G69" s="15">
        <f t="shared" si="3"/>
        <v>-0.21142966864835619</v>
      </c>
      <c r="H69" s="16">
        <v>30069</v>
      </c>
      <c r="I69" s="16">
        <f t="shared" ref="I69:I132" si="4">IF(AND(ISNUMBER(D69),ISNUMBER(H69)), D69-H69, "")</f>
        <v>-2974.0625</v>
      </c>
      <c r="J69" s="15">
        <f t="shared" ref="J69:J132" si="5">IFERROR(I69/H69, "")</f>
        <v>-9.890792843127473E-2</v>
      </c>
      <c r="K69" s="57" t="s">
        <v>1767</v>
      </c>
      <c r="L69" s="112" t="s">
        <v>1768</v>
      </c>
      <c r="M69" s="116"/>
      <c r="N69" s="116"/>
      <c r="O69" s="116"/>
      <c r="P69" s="116"/>
      <c r="Q69" s="116"/>
      <c r="R69" s="116"/>
      <c r="S69" s="116"/>
      <c r="T69" s="116"/>
      <c r="U69" s="116"/>
      <c r="V69" s="116"/>
      <c r="W69" s="116"/>
      <c r="X69" s="116"/>
    </row>
    <row r="70" spans="1:24" ht="15.6">
      <c r="A70" s="28" t="str">
        <v>X139 JHS 222</v>
      </c>
      <c r="B70" s="25" t="str">
        <v>NY</v>
      </c>
      <c r="C70" s="25" t="str">
        <f>Sites[[#This Row],[SOL'#]]</f>
        <v>SOL-10426</v>
      </c>
      <c r="D70" s="20">
        <v>45256.623460000003</v>
      </c>
      <c r="E70" s="10">
        <v>47698.11</v>
      </c>
      <c r="F70" s="10">
        <f t="shared" ref="F70:F109" si="6">IF(AND(ISNUMBER(D70),ISNUMBER(E70)), D70-E70, "")</f>
        <v>-2441.4865399999981</v>
      </c>
      <c r="G70" s="11">
        <f t="shared" si="3"/>
        <v>-5.1186232326605768E-2</v>
      </c>
      <c r="H70" s="12">
        <v>48383</v>
      </c>
      <c r="I70" s="12">
        <f t="shared" si="4"/>
        <v>-3126.3765399999975</v>
      </c>
      <c r="J70" s="13">
        <f t="shared" si="5"/>
        <v>-6.4617252754066462E-2</v>
      </c>
      <c r="K70" s="59"/>
      <c r="L70" s="59"/>
      <c r="M70" s="116"/>
      <c r="N70" s="116"/>
      <c r="O70" s="116"/>
      <c r="P70" s="116"/>
      <c r="Q70" s="116"/>
      <c r="R70" s="116"/>
      <c r="S70" s="116"/>
      <c r="T70" s="116"/>
      <c r="U70" s="116"/>
      <c r="V70" s="116"/>
      <c r="W70" s="116"/>
      <c r="X70" s="116"/>
    </row>
    <row r="71" spans="1:24" ht="15.6">
      <c r="A71" s="26" t="str">
        <v>X140</v>
      </c>
      <c r="B71" s="27" t="str">
        <v>NY</v>
      </c>
      <c r="C71" s="27" t="str">
        <f>Sites[[#This Row],[SOL'#]]</f>
        <v>SOL-10926</v>
      </c>
      <c r="D71" s="9">
        <v>25634.03125</v>
      </c>
      <c r="E71" s="14">
        <v>21347.360000000001</v>
      </c>
      <c r="F71" s="14">
        <f t="shared" si="6"/>
        <v>4286.6712499999994</v>
      </c>
      <c r="G71" s="15">
        <f t="shared" ref="G71:G110" si="7">IFERROR(F71/E71, "")</f>
        <v>0.20080568510579291</v>
      </c>
      <c r="H71" s="16">
        <v>25647</v>
      </c>
      <c r="I71" s="16">
        <f t="shared" si="4"/>
        <v>-12.96875</v>
      </c>
      <c r="J71" s="15">
        <f t="shared" si="5"/>
        <v>-5.0566343042071193E-4</v>
      </c>
      <c r="K71" s="57"/>
      <c r="L71" s="57"/>
      <c r="M71" s="116"/>
      <c r="N71" s="116"/>
      <c r="O71" s="116"/>
      <c r="P71" s="116"/>
      <c r="Q71" s="116"/>
      <c r="R71" s="116"/>
      <c r="S71" s="116"/>
      <c r="T71" s="116"/>
      <c r="U71" s="116"/>
      <c r="V71" s="116"/>
      <c r="W71" s="116"/>
      <c r="X71" s="116"/>
    </row>
    <row r="72" spans="1:24" ht="52.5" customHeight="1">
      <c r="A72" s="28" t="str">
        <v>X166</v>
      </c>
      <c r="B72" s="25" t="str">
        <v>NY</v>
      </c>
      <c r="C72" s="25" t="str">
        <f>Sites[[#This Row],[SOL'#]]</f>
        <v>SOL-10427</v>
      </c>
      <c r="D72" s="20">
        <v>26409.4</v>
      </c>
      <c r="E72" s="10">
        <v>25666.1</v>
      </c>
      <c r="F72" s="10">
        <f t="shared" si="6"/>
        <v>743.30000000000291</v>
      </c>
      <c r="G72" s="11">
        <f t="shared" si="7"/>
        <v>2.8960379644745519E-2</v>
      </c>
      <c r="H72" s="12">
        <v>28572</v>
      </c>
      <c r="I72" s="12">
        <f t="shared" si="4"/>
        <v>-2162.5999999999985</v>
      </c>
      <c r="J72" s="13">
        <f t="shared" si="5"/>
        <v>-7.5689486210275742E-2</v>
      </c>
      <c r="K72" s="120"/>
      <c r="L72" s="59"/>
      <c r="M72" s="116"/>
      <c r="N72" s="116"/>
      <c r="O72" s="116"/>
      <c r="P72" s="116"/>
      <c r="Q72" s="116"/>
      <c r="R72" s="116"/>
      <c r="S72" s="116"/>
      <c r="T72" s="116"/>
      <c r="U72" s="116"/>
      <c r="V72" s="116"/>
      <c r="W72" s="116"/>
      <c r="X72" s="116"/>
    </row>
    <row r="73" spans="1:24" ht="115.15">
      <c r="A73" s="26" t="str">
        <v>Murphy</v>
      </c>
      <c r="B73" s="27" t="str">
        <v>MN</v>
      </c>
      <c r="C73" s="27" t="str">
        <f>Sites[[#This Row],[SOL'#]]</f>
        <v>SOL-10094</v>
      </c>
      <c r="D73" s="9">
        <v>1027570</v>
      </c>
      <c r="E73" s="14">
        <v>1128104</v>
      </c>
      <c r="F73" s="14">
        <f t="shared" si="6"/>
        <v>-100534</v>
      </c>
      <c r="G73" s="15">
        <f t="shared" si="7"/>
        <v>-8.9117670002056545E-2</v>
      </c>
      <c r="H73" s="16">
        <v>1079999</v>
      </c>
      <c r="I73" s="16">
        <f t="shared" si="4"/>
        <v>-52429</v>
      </c>
      <c r="J73" s="15">
        <f t="shared" si="5"/>
        <v>-4.8545415319828998E-2</v>
      </c>
      <c r="K73" s="57" t="s">
        <v>1769</v>
      </c>
      <c r="L73" s="112" t="s">
        <v>1770</v>
      </c>
      <c r="M73" s="115" t="s">
        <v>1157</v>
      </c>
      <c r="N73" s="115" t="s">
        <v>1771</v>
      </c>
      <c r="O73" s="115" t="s">
        <v>1772</v>
      </c>
      <c r="P73" s="116"/>
      <c r="Q73" s="116"/>
      <c r="R73" s="116"/>
      <c r="S73" s="116"/>
      <c r="T73" s="116"/>
      <c r="U73" s="116"/>
      <c r="V73" s="116"/>
      <c r="W73" s="116"/>
      <c r="X73" s="116"/>
    </row>
    <row r="74" spans="1:24" ht="15.6">
      <c r="A74" s="28" t="str">
        <v>Terning</v>
      </c>
      <c r="B74" s="25" t="str">
        <v>MN</v>
      </c>
      <c r="C74" s="25" t="str">
        <f>Sites[[#This Row],[SOL'#]]</f>
        <v>SOL-10093</v>
      </c>
      <c r="D74" s="20">
        <v>1103539.33165829</v>
      </c>
      <c r="E74" s="10">
        <v>1177067</v>
      </c>
      <c r="F74" s="10">
        <f t="shared" si="6"/>
        <v>-73527.668341709999</v>
      </c>
      <c r="G74" s="11">
        <f t="shared" si="7"/>
        <v>-6.2466850520582089E-2</v>
      </c>
      <c r="H74" s="12">
        <v>1077330</v>
      </c>
      <c r="I74" s="12">
        <f t="shared" si="4"/>
        <v>26209.331658290001</v>
      </c>
      <c r="J74" s="13">
        <f t="shared" si="5"/>
        <v>2.4328044014638041E-2</v>
      </c>
      <c r="K74" s="59" t="s">
        <v>1773</v>
      </c>
      <c r="L74" s="111" t="s">
        <v>1774</v>
      </c>
      <c r="M74" s="116"/>
      <c r="N74" s="116"/>
      <c r="O74" s="116"/>
      <c r="P74" s="116"/>
      <c r="Q74" s="116"/>
      <c r="R74" s="116"/>
      <c r="S74" s="116"/>
      <c r="T74" s="116"/>
      <c r="U74" s="116"/>
      <c r="V74" s="116"/>
      <c r="W74" s="116"/>
      <c r="X74" s="116"/>
    </row>
    <row r="75" spans="1:24" ht="69.75" customHeight="1">
      <c r="A75" s="26" t="str">
        <v>Boas Road 04</v>
      </c>
      <c r="B75" s="27" t="str">
        <v>NY</v>
      </c>
      <c r="C75" s="27" t="str">
        <f>Sites[[#This Row],[SOL'#]]</f>
        <v>SOL-10908</v>
      </c>
      <c r="D75" s="9">
        <v>0</v>
      </c>
      <c r="E75" s="14">
        <v>418297.2</v>
      </c>
      <c r="F75" s="14"/>
      <c r="G75" s="14">
        <f t="shared" si="7"/>
        <v>0</v>
      </c>
      <c r="H75" s="16">
        <v>421307.46</v>
      </c>
      <c r="I75" s="16">
        <f t="shared" si="4"/>
        <v>-421307.46</v>
      </c>
      <c r="J75" s="15">
        <f t="shared" si="5"/>
        <v>-1</v>
      </c>
      <c r="K75" s="156" t="s">
        <v>1775</v>
      </c>
      <c r="L75" s="112" t="s">
        <v>1776</v>
      </c>
      <c r="M75" s="115" t="s">
        <v>1480</v>
      </c>
      <c r="N75" s="115" t="s">
        <v>1777</v>
      </c>
      <c r="O75" s="116"/>
      <c r="P75" s="116"/>
      <c r="Q75" s="116"/>
      <c r="R75" s="116"/>
      <c r="S75" s="116"/>
      <c r="T75" s="116"/>
      <c r="U75" s="116"/>
      <c r="V75" s="116"/>
      <c r="W75" s="116"/>
      <c r="X75" s="116"/>
    </row>
    <row r="76" spans="1:24" ht="149.25" customHeight="1">
      <c r="A76" s="28" t="str">
        <v>Kelly Bridge Farm</v>
      </c>
      <c r="B76" s="25" t="str">
        <v>NY</v>
      </c>
      <c r="C76" s="25" t="str">
        <f>Sites[[#This Row],[SOL'#]]</f>
        <v>SOL-10911</v>
      </c>
      <c r="D76" s="20">
        <v>356939</v>
      </c>
      <c r="E76" s="10">
        <v>395735.4</v>
      </c>
      <c r="F76" s="10"/>
      <c r="G76" s="11">
        <f t="shared" si="7"/>
        <v>0</v>
      </c>
      <c r="H76" s="12">
        <v>409604.48</v>
      </c>
      <c r="I76" s="12">
        <f t="shared" si="4"/>
        <v>-52665.479999999981</v>
      </c>
      <c r="J76" s="13">
        <f t="shared" si="5"/>
        <v>-0.12857642572659359</v>
      </c>
      <c r="K76" s="81" t="s">
        <v>1778</v>
      </c>
      <c r="L76" s="111" t="s">
        <v>1779</v>
      </c>
      <c r="M76" s="115" t="s">
        <v>1486</v>
      </c>
      <c r="N76" s="115" t="s">
        <v>1780</v>
      </c>
      <c r="O76" s="115" t="s">
        <v>1486</v>
      </c>
      <c r="P76" s="115" t="s">
        <v>1781</v>
      </c>
      <c r="Q76" s="116"/>
      <c r="R76" s="116"/>
      <c r="S76" s="116"/>
      <c r="T76" s="116"/>
      <c r="U76" s="116"/>
      <c r="V76" s="116"/>
      <c r="W76" s="116"/>
      <c r="X76" s="116"/>
    </row>
    <row r="77" spans="1:24" ht="43.15">
      <c r="A77" s="26" t="str">
        <v>Pool Brook Road</v>
      </c>
      <c r="B77" s="27" t="str">
        <v>NY</v>
      </c>
      <c r="C77" s="27" t="str">
        <f>Sites[[#This Row],[SOL'#]]</f>
        <v>SOL-10909</v>
      </c>
      <c r="D77" s="9">
        <v>304116</v>
      </c>
      <c r="E77" s="14">
        <v>391072.41</v>
      </c>
      <c r="F77" s="14"/>
      <c r="G77" s="15">
        <f t="shared" si="7"/>
        <v>0</v>
      </c>
      <c r="H77" s="16">
        <v>388129.3</v>
      </c>
      <c r="I77" s="16">
        <f t="shared" si="4"/>
        <v>-84013.299999999988</v>
      </c>
      <c r="J77" s="15">
        <f t="shared" si="5"/>
        <v>-0.21645698997730908</v>
      </c>
      <c r="K77" s="57" t="s">
        <v>1782</v>
      </c>
      <c r="L77" s="112" t="s">
        <v>1783</v>
      </c>
      <c r="M77" s="115" t="s">
        <v>1784</v>
      </c>
      <c r="N77" s="116"/>
      <c r="O77" s="116"/>
      <c r="P77" s="116"/>
      <c r="Q77" s="116"/>
      <c r="R77" s="116"/>
      <c r="S77" s="116"/>
      <c r="T77" s="116"/>
      <c r="U77" s="116"/>
      <c r="V77" s="116"/>
      <c r="W77" s="116"/>
      <c r="X77" s="116"/>
    </row>
    <row r="78" spans="1:24" ht="28.9">
      <c r="A78" s="28" t="str">
        <v>Sackett Lake</v>
      </c>
      <c r="B78" s="25" t="str">
        <v>NY</v>
      </c>
      <c r="C78" s="25" t="str">
        <f>Sites[[#This Row],[SOL'#]]</f>
        <v>SOL-10910</v>
      </c>
      <c r="D78" s="20">
        <v>372255</v>
      </c>
      <c r="E78" s="10">
        <v>182350.26</v>
      </c>
      <c r="F78" s="10"/>
      <c r="G78" s="11">
        <f t="shared" si="7"/>
        <v>0</v>
      </c>
      <c r="H78" s="12">
        <v>401920.7</v>
      </c>
      <c r="I78" s="12">
        <f t="shared" si="4"/>
        <v>-29665.700000000012</v>
      </c>
      <c r="J78" s="13">
        <f t="shared" si="5"/>
        <v>-7.3809833631360636E-2</v>
      </c>
      <c r="K78" s="59" t="s">
        <v>1785</v>
      </c>
      <c r="L78" s="111" t="s">
        <v>1786</v>
      </c>
      <c r="M78" s="116"/>
      <c r="N78" s="116"/>
      <c r="O78" s="116"/>
      <c r="P78" s="116"/>
      <c r="Q78" s="116"/>
      <c r="R78" s="116"/>
      <c r="S78" s="116"/>
      <c r="T78" s="116"/>
      <c r="U78" s="116"/>
      <c r="V78" s="116"/>
      <c r="W78" s="116"/>
      <c r="X78" s="116"/>
    </row>
    <row r="79" spans="1:24" ht="15.6">
      <c r="A79" s="26" t="str">
        <v>Burritt Road</v>
      </c>
      <c r="B79" s="27" t="str">
        <v>NY</v>
      </c>
      <c r="C79" s="27" t="str">
        <f>Sites[[#This Row],[SOL'#]]</f>
        <v>SOL-10913</v>
      </c>
      <c r="D79" s="9">
        <v>439000</v>
      </c>
      <c r="E79" s="14">
        <v>460347.77</v>
      </c>
      <c r="F79" s="14"/>
      <c r="G79" s="15">
        <f t="shared" si="7"/>
        <v>0</v>
      </c>
      <c r="H79" s="16">
        <v>411700.36</v>
      </c>
      <c r="I79" s="16">
        <f t="shared" si="4"/>
        <v>27299.640000000014</v>
      </c>
      <c r="J79" s="15">
        <f t="shared" si="5"/>
        <v>6.6309487803216924E-2</v>
      </c>
      <c r="K79" s="57"/>
      <c r="L79" s="57"/>
      <c r="M79" s="116"/>
      <c r="N79" s="116"/>
      <c r="O79" s="116"/>
      <c r="P79" s="116"/>
      <c r="Q79" s="116"/>
      <c r="R79" s="116"/>
      <c r="S79" s="116"/>
      <c r="T79" s="116"/>
      <c r="U79" s="116"/>
      <c r="V79" s="116"/>
      <c r="W79" s="116"/>
      <c r="X79" s="116"/>
    </row>
    <row r="80" spans="1:24" ht="28.9">
      <c r="A80" s="28" t="str">
        <v>Villa Roma 1</v>
      </c>
      <c r="B80" s="25" t="str">
        <v>NY</v>
      </c>
      <c r="C80" s="25" t="str">
        <f>Sites[[#This Row],[SOL'#]]</f>
        <v>SOL-10914</v>
      </c>
      <c r="D80" s="20">
        <v>338515</v>
      </c>
      <c r="E80" s="10">
        <v>3881.75</v>
      </c>
      <c r="F80" s="10"/>
      <c r="G80" s="11">
        <f t="shared" si="7"/>
        <v>0</v>
      </c>
      <c r="H80" s="12">
        <v>360546.51</v>
      </c>
      <c r="I80" s="12">
        <f t="shared" si="4"/>
        <v>-22031.510000000009</v>
      </c>
      <c r="J80" s="13">
        <f t="shared" si="5"/>
        <v>-6.1105875078363701E-2</v>
      </c>
      <c r="K80" s="59" t="s">
        <v>1170</v>
      </c>
      <c r="L80" s="111" t="s">
        <v>1171</v>
      </c>
      <c r="M80" s="116"/>
      <c r="N80" s="116"/>
      <c r="O80" s="116"/>
      <c r="P80" s="116"/>
      <c r="Q80" s="116"/>
      <c r="R80" s="116"/>
      <c r="S80" s="116"/>
      <c r="T80" s="116"/>
      <c r="U80" s="116"/>
      <c r="V80" s="116"/>
      <c r="W80" s="116"/>
      <c r="X80" s="116"/>
    </row>
    <row r="81" spans="1:29" ht="15.6">
      <c r="A81" s="26" t="str">
        <v>Villa Roma 2</v>
      </c>
      <c r="B81" s="27" t="str">
        <v>NY</v>
      </c>
      <c r="C81" s="27" t="str">
        <f>Sites[[#This Row],[SOL'#]]</f>
        <v>SOL-10915</v>
      </c>
      <c r="D81" s="9">
        <v>327962</v>
      </c>
      <c r="E81" s="14">
        <v>355213.51</v>
      </c>
      <c r="F81" s="14"/>
      <c r="G81" s="15">
        <f t="shared" si="7"/>
        <v>0</v>
      </c>
      <c r="H81" s="16">
        <v>349710.41</v>
      </c>
      <c r="I81" s="16">
        <f t="shared" si="4"/>
        <v>-21748.409999999974</v>
      </c>
      <c r="J81" s="15">
        <f t="shared" si="5"/>
        <v>-6.2189770101496192E-2</v>
      </c>
      <c r="K81" s="57"/>
      <c r="L81" s="57"/>
      <c r="M81" s="116"/>
      <c r="N81" s="116"/>
      <c r="O81" s="116"/>
      <c r="P81" s="116"/>
      <c r="Q81" s="116"/>
      <c r="R81" s="116"/>
      <c r="S81" s="116"/>
      <c r="T81" s="116"/>
      <c r="U81" s="116"/>
      <c r="V81" s="116"/>
      <c r="W81" s="116"/>
      <c r="X81" s="116"/>
    </row>
    <row r="82" spans="1:29" ht="28.9">
      <c r="A82" s="28" t="str">
        <v>Washington 1</v>
      </c>
      <c r="B82" s="25" t="str">
        <v>NY</v>
      </c>
      <c r="C82" s="25" t="str">
        <f>Sites[[#This Row],[SOL'#]]</f>
        <v>SOL-10912</v>
      </c>
      <c r="D82" s="20">
        <v>414100</v>
      </c>
      <c r="E82" s="10">
        <v>455057.17</v>
      </c>
      <c r="F82" s="10"/>
      <c r="G82" s="11">
        <f t="shared" si="7"/>
        <v>0</v>
      </c>
      <c r="H82" s="12">
        <v>406846.2</v>
      </c>
      <c r="I82" s="12">
        <f t="shared" si="4"/>
        <v>7253.7999999999884</v>
      </c>
      <c r="J82" s="13">
        <f t="shared" si="5"/>
        <v>1.7829341898732219E-2</v>
      </c>
      <c r="K82" s="59" t="s">
        <v>1787</v>
      </c>
      <c r="L82" s="111" t="s">
        <v>1494</v>
      </c>
      <c r="M82" s="116"/>
      <c r="N82" s="116"/>
      <c r="O82" s="116"/>
      <c r="P82" s="116"/>
      <c r="Q82" s="116"/>
      <c r="R82" s="116"/>
      <c r="S82" s="116"/>
      <c r="T82" s="116"/>
      <c r="U82" s="116"/>
      <c r="V82" s="116"/>
      <c r="W82" s="116"/>
      <c r="X82" s="116"/>
    </row>
    <row r="83" spans="1:29" ht="100.9">
      <c r="A83" s="26" t="str">
        <v>Washington 3</v>
      </c>
      <c r="B83" s="27" t="str">
        <v>NY</v>
      </c>
      <c r="C83" s="27" t="str">
        <f>Sites[[#This Row],[SOL'#]]</f>
        <v>SOL-10828</v>
      </c>
      <c r="D83" s="9">
        <v>468035</v>
      </c>
      <c r="E83" s="14">
        <v>1177020.71</v>
      </c>
      <c r="F83" s="14"/>
      <c r="G83" s="15">
        <f t="shared" si="7"/>
        <v>0</v>
      </c>
      <c r="H83" s="16">
        <v>497085.28</v>
      </c>
      <c r="I83" s="16">
        <f t="shared" si="4"/>
        <v>-29050.280000000028</v>
      </c>
      <c r="J83" s="15">
        <f t="shared" si="5"/>
        <v>-5.8441239700358916E-2</v>
      </c>
      <c r="K83" s="57" t="s">
        <v>1788</v>
      </c>
      <c r="L83" s="112" t="s">
        <v>1789</v>
      </c>
      <c r="M83" s="115" t="s">
        <v>870</v>
      </c>
      <c r="N83" s="116"/>
      <c r="O83" s="116"/>
      <c r="P83" s="116"/>
      <c r="Q83" s="116"/>
      <c r="R83" s="116"/>
      <c r="S83" s="116"/>
      <c r="T83" s="116"/>
      <c r="U83" s="116"/>
      <c r="V83" s="116"/>
      <c r="W83" s="116"/>
      <c r="X83" s="116"/>
    </row>
    <row r="84" spans="1:29" ht="15.6">
      <c r="A84" s="28" t="str">
        <v>Washington 4</v>
      </c>
      <c r="B84" s="25" t="str">
        <v>NY</v>
      </c>
      <c r="C84" s="25" t="str">
        <f>Sites[[#This Row],[SOL'#]]</f>
        <v>SOL-10829</v>
      </c>
      <c r="D84" s="20">
        <v>512454</v>
      </c>
      <c r="E84" s="10">
        <v>540275.93000000005</v>
      </c>
      <c r="F84" s="10"/>
      <c r="G84" s="11">
        <f t="shared" si="7"/>
        <v>0</v>
      </c>
      <c r="H84" s="12">
        <v>498240.8</v>
      </c>
      <c r="I84" s="12">
        <f t="shared" si="4"/>
        <v>14213.200000000012</v>
      </c>
      <c r="J84" s="13">
        <f t="shared" si="5"/>
        <v>2.8526768582580977E-2</v>
      </c>
      <c r="K84" s="59"/>
      <c r="L84" s="59"/>
      <c r="M84" s="116"/>
      <c r="N84" s="116"/>
      <c r="O84" s="116"/>
      <c r="P84" s="116"/>
      <c r="Q84" s="116"/>
      <c r="R84" s="116"/>
      <c r="S84" s="116"/>
      <c r="T84" s="116"/>
      <c r="U84" s="116"/>
      <c r="V84" s="116"/>
      <c r="W84" s="116"/>
      <c r="X84" s="116"/>
    </row>
    <row r="85" spans="1:29" ht="28.9">
      <c r="A85" s="26" t="str">
        <v>Big Tree</v>
      </c>
      <c r="B85" s="27" t="str">
        <v>NY</v>
      </c>
      <c r="C85" s="27" t="str">
        <f>Sites[[#This Row],[SOL'#]]</f>
        <v>SOL-10966</v>
      </c>
      <c r="D85" s="9">
        <v>436120</v>
      </c>
      <c r="E85" s="14">
        <v>435290</v>
      </c>
      <c r="F85" s="14">
        <f t="shared" si="6"/>
        <v>830</v>
      </c>
      <c r="G85" s="15">
        <f t="shared" si="7"/>
        <v>1.9067747938156172E-3</v>
      </c>
      <c r="H85" s="16">
        <v>416811.05</v>
      </c>
      <c r="I85" s="16">
        <f t="shared" si="4"/>
        <v>19308.950000000012</v>
      </c>
      <c r="J85" s="15">
        <f t="shared" si="5"/>
        <v>4.6325427312927554E-2</v>
      </c>
      <c r="K85" s="85" t="s">
        <v>1790</v>
      </c>
      <c r="L85" s="112" t="s">
        <v>1791</v>
      </c>
      <c r="M85" s="116"/>
      <c r="N85" s="116"/>
      <c r="O85" s="116"/>
      <c r="P85" s="116"/>
      <c r="Q85" s="116"/>
      <c r="R85" s="116"/>
      <c r="S85" s="116"/>
      <c r="T85" s="116"/>
      <c r="U85" s="116"/>
      <c r="V85" s="116"/>
      <c r="W85" s="116"/>
      <c r="X85" s="116"/>
    </row>
    <row r="86" spans="1:29" ht="72">
      <c r="A86" s="28" t="str">
        <v>Canoga</v>
      </c>
      <c r="B86" s="25" t="str">
        <v>NY</v>
      </c>
      <c r="C86" s="25" t="str">
        <f>Sites[[#This Row],[SOL'#]]</f>
        <v>SOL-10965</v>
      </c>
      <c r="D86" s="20">
        <v>564710</v>
      </c>
      <c r="E86" s="10" t="s">
        <v>777</v>
      </c>
      <c r="F86" s="10" t="str">
        <f t="shared" si="6"/>
        <v/>
      </c>
      <c r="G86" s="11" t="str">
        <f t="shared" si="7"/>
        <v/>
      </c>
      <c r="H86" s="12"/>
      <c r="I86" s="12" t="str">
        <f t="shared" si="4"/>
        <v/>
      </c>
      <c r="J86" s="13" t="str">
        <f t="shared" si="5"/>
        <v/>
      </c>
      <c r="K86" s="59" t="s">
        <v>1792</v>
      </c>
      <c r="L86" s="111" t="s">
        <v>1793</v>
      </c>
      <c r="M86" s="115" t="s">
        <v>1794</v>
      </c>
      <c r="N86" s="116"/>
      <c r="O86" s="116"/>
      <c r="P86" s="116"/>
      <c r="Q86" s="116"/>
      <c r="R86" s="116"/>
      <c r="S86" s="116"/>
      <c r="T86" s="116"/>
      <c r="U86" s="116"/>
      <c r="V86" s="116"/>
      <c r="W86" s="116"/>
      <c r="X86" s="116"/>
    </row>
    <row r="87" spans="1:29" ht="86.45">
      <c r="A87" s="26" t="str">
        <v>County Route 84</v>
      </c>
      <c r="B87" s="27" t="str">
        <v>NY</v>
      </c>
      <c r="C87" s="27" t="str">
        <f>Sites[[#This Row],[SOL'#]]</f>
        <v>SOL-10967</v>
      </c>
      <c r="D87" s="9">
        <v>935320</v>
      </c>
      <c r="E87" s="14">
        <v>914380</v>
      </c>
      <c r="F87" s="14">
        <f t="shared" si="6"/>
        <v>20940</v>
      </c>
      <c r="G87" s="15">
        <f t="shared" si="7"/>
        <v>2.2900763358778626E-2</v>
      </c>
      <c r="H87" s="16">
        <v>1051868.43</v>
      </c>
      <c r="I87" s="16">
        <f t="shared" si="4"/>
        <v>-116548.42999999993</v>
      </c>
      <c r="J87" s="15">
        <f t="shared" si="5"/>
        <v>-0.11080133852862181</v>
      </c>
      <c r="K87" s="57" t="s">
        <v>1795</v>
      </c>
      <c r="L87" s="112" t="s">
        <v>1796</v>
      </c>
      <c r="M87" s="115" t="s">
        <v>1797</v>
      </c>
      <c r="N87" s="116"/>
      <c r="O87" s="116"/>
      <c r="P87" s="116"/>
      <c r="Q87" s="116"/>
      <c r="R87" s="116"/>
      <c r="S87" s="116"/>
      <c r="T87" s="116"/>
      <c r="U87" s="116"/>
      <c r="V87" s="116"/>
      <c r="W87" s="116"/>
      <c r="X87" s="116"/>
    </row>
    <row r="88" spans="1:29" ht="57.6">
      <c r="A88" s="28" t="str">
        <v>Donati</v>
      </c>
      <c r="B88" s="25" t="str">
        <v>NY</v>
      </c>
      <c r="C88" s="25" t="str">
        <f>Sites[[#This Row],[SOL'#]]</f>
        <v>SOL-10968</v>
      </c>
      <c r="D88" s="20">
        <v>547550</v>
      </c>
      <c r="E88" s="10" t="s">
        <v>777</v>
      </c>
      <c r="F88" s="10" t="str">
        <f t="shared" si="6"/>
        <v/>
      </c>
      <c r="G88" s="11" t="str">
        <f t="shared" si="7"/>
        <v/>
      </c>
      <c r="H88" s="12">
        <v>545503.25</v>
      </c>
      <c r="I88" s="12">
        <f t="shared" si="4"/>
        <v>2046.75</v>
      </c>
      <c r="J88" s="13">
        <f t="shared" si="5"/>
        <v>3.7520399740973128E-3</v>
      </c>
      <c r="K88" s="59" t="s">
        <v>1507</v>
      </c>
      <c r="L88" s="111" t="s">
        <v>1508</v>
      </c>
      <c r="M88" s="115" t="s">
        <v>107</v>
      </c>
      <c r="N88" s="115" t="s">
        <v>879</v>
      </c>
      <c r="O88" s="116"/>
      <c r="P88" s="116"/>
      <c r="Q88" s="116"/>
      <c r="R88" s="116"/>
      <c r="S88" s="116"/>
      <c r="T88" s="116"/>
      <c r="U88" s="116"/>
      <c r="V88" s="116"/>
      <c r="W88" s="116"/>
      <c r="X88" s="116"/>
    </row>
    <row r="89" spans="1:29" ht="15.6">
      <c r="A89" s="26" t="str">
        <v>Henrietta</v>
      </c>
      <c r="B89" s="27" t="str">
        <v>NY</v>
      </c>
      <c r="C89" s="27" t="str">
        <f>Sites[[#This Row],[SOL'#]]</f>
        <v>SOL-10972</v>
      </c>
      <c r="D89" s="9">
        <v>1155000</v>
      </c>
      <c r="E89" s="14">
        <v>1113180</v>
      </c>
      <c r="F89" s="14">
        <f t="shared" si="6"/>
        <v>41820</v>
      </c>
      <c r="G89" s="15">
        <f t="shared" si="7"/>
        <v>3.756804829407643E-2</v>
      </c>
      <c r="H89" s="16">
        <v>1152537.6000000001</v>
      </c>
      <c r="I89" s="16">
        <f t="shared" si="4"/>
        <v>2462.3999999999069</v>
      </c>
      <c r="J89" s="15">
        <f t="shared" si="5"/>
        <v>2.1365029652827871E-3</v>
      </c>
      <c r="K89" s="57"/>
      <c r="L89" s="57"/>
      <c r="M89" s="116"/>
      <c r="N89" s="116"/>
      <c r="O89" s="116"/>
      <c r="P89" s="116"/>
      <c r="Q89" s="116"/>
      <c r="R89" s="116"/>
      <c r="S89" s="116"/>
      <c r="T89" s="116"/>
      <c r="U89" s="116"/>
      <c r="V89" s="116"/>
      <c r="W89" s="116"/>
      <c r="X89" s="116"/>
    </row>
    <row r="90" spans="1:29" ht="41.25" customHeight="1">
      <c r="A90" s="28" t="str">
        <v>NY 70</v>
      </c>
      <c r="B90" s="25" t="str">
        <v>NY</v>
      </c>
      <c r="C90" s="25" t="str">
        <f>Sites[[#This Row],[SOL'#]]</f>
        <v>SOL-10970</v>
      </c>
      <c r="D90" s="20">
        <v>1218390</v>
      </c>
      <c r="E90" s="10">
        <v>1215880</v>
      </c>
      <c r="F90" s="10">
        <f t="shared" si="6"/>
        <v>2510</v>
      </c>
      <c r="G90" s="11">
        <f t="shared" si="7"/>
        <v>2.0643484554396813E-3</v>
      </c>
      <c r="H90" s="12">
        <v>1269880.53</v>
      </c>
      <c r="I90" s="12">
        <f t="shared" si="4"/>
        <v>-51490.530000000028</v>
      </c>
      <c r="J90" s="13">
        <f t="shared" si="5"/>
        <v>-4.054753875153911E-2</v>
      </c>
      <c r="K90" s="59" t="s">
        <v>1798</v>
      </c>
      <c r="L90" s="111" t="s">
        <v>1799</v>
      </c>
      <c r="M90" s="116"/>
      <c r="N90" s="116"/>
      <c r="O90" s="116"/>
      <c r="P90" s="116"/>
      <c r="Q90" s="116"/>
      <c r="R90" s="116"/>
      <c r="S90" s="116"/>
      <c r="T90" s="116"/>
      <c r="U90" s="116"/>
      <c r="V90" s="116"/>
      <c r="W90" s="116"/>
      <c r="X90" s="116"/>
    </row>
    <row r="91" spans="1:29" ht="388.9">
      <c r="A91" s="26" t="str">
        <v>Reid</v>
      </c>
      <c r="B91" s="27" t="str">
        <v>NY</v>
      </c>
      <c r="C91" s="27" t="str">
        <f>Sites[[#This Row],[SOL'#]]</f>
        <v>SOL-10991</v>
      </c>
      <c r="D91" s="9">
        <v>827385.82587148203</v>
      </c>
      <c r="E91" s="14">
        <v>889116.1</v>
      </c>
      <c r="F91" s="14">
        <f>IF(AND(ISNUMBER(D91),ISNUMBER(E91)), D91-E91, "")</f>
        <v>-61730.274128517951</v>
      </c>
      <c r="G91" s="15">
        <f t="shared" si="7"/>
        <v>-6.94288115224974E-2</v>
      </c>
      <c r="H91" s="16">
        <v>94887</v>
      </c>
      <c r="I91" s="16">
        <f t="shared" si="4"/>
        <v>732498.82587148203</v>
      </c>
      <c r="J91" s="15">
        <f t="shared" si="5"/>
        <v>7.7196963321791401</v>
      </c>
      <c r="K91" s="57" t="s">
        <v>1800</v>
      </c>
      <c r="L91" s="112" t="s">
        <v>1801</v>
      </c>
      <c r="M91" s="115" t="s">
        <v>1517</v>
      </c>
      <c r="N91" s="115" t="s">
        <v>1513</v>
      </c>
      <c r="O91" s="115" t="s">
        <v>1514</v>
      </c>
      <c r="P91" s="115" t="s">
        <v>1802</v>
      </c>
      <c r="Q91" s="115" t="s">
        <v>1514</v>
      </c>
      <c r="R91" s="115" t="s">
        <v>1515</v>
      </c>
      <c r="S91" s="115" t="s">
        <v>1803</v>
      </c>
      <c r="T91" s="115" t="s">
        <v>1517</v>
      </c>
      <c r="U91" s="115" t="s">
        <v>1518</v>
      </c>
      <c r="V91" s="115" t="s">
        <v>1803</v>
      </c>
      <c r="W91" s="115" t="s">
        <v>1804</v>
      </c>
      <c r="X91" s="115" t="s">
        <v>1805</v>
      </c>
      <c r="Y91" s="126" t="s">
        <v>1806</v>
      </c>
      <c r="Z91" s="126" t="s">
        <v>1807</v>
      </c>
      <c r="AA91" s="126" t="s">
        <v>1808</v>
      </c>
      <c r="AB91" s="126" t="s">
        <v>1809</v>
      </c>
      <c r="AC91" s="126" t="s">
        <v>1810</v>
      </c>
    </row>
    <row r="92" spans="1:29" ht="15.6">
      <c r="A92" s="28" t="str">
        <v>Sangolqui</v>
      </c>
      <c r="B92" s="25" t="str">
        <v>NY</v>
      </c>
      <c r="C92" s="25" t="str">
        <f>Sites[[#This Row],[SOL'#]]</f>
        <v>SOL-10975</v>
      </c>
      <c r="D92" s="20">
        <v>556270</v>
      </c>
      <c r="E92" s="10">
        <v>555700</v>
      </c>
      <c r="F92" s="10">
        <f t="shared" si="6"/>
        <v>570</v>
      </c>
      <c r="G92" s="11">
        <f t="shared" si="7"/>
        <v>1.0257333093395718E-3</v>
      </c>
      <c r="H92" s="12">
        <v>534834.66</v>
      </c>
      <c r="I92" s="12">
        <f t="shared" si="4"/>
        <v>21435.339999999967</v>
      </c>
      <c r="J92" s="13">
        <f t="shared" si="5"/>
        <v>4.0078442186226235E-2</v>
      </c>
      <c r="K92" s="59"/>
      <c r="L92" s="59"/>
      <c r="M92" s="116"/>
      <c r="N92" s="116"/>
      <c r="O92" s="116"/>
      <c r="P92" s="116"/>
      <c r="Q92" s="116"/>
      <c r="R92" s="116"/>
      <c r="S92" s="116"/>
      <c r="T92" s="116"/>
      <c r="U92" s="116"/>
      <c r="V92" s="116"/>
      <c r="W92" s="116"/>
      <c r="X92" s="116"/>
    </row>
    <row r="93" spans="1:29" ht="57.6">
      <c r="A93" s="26" t="str">
        <v>State Highway 17B</v>
      </c>
      <c r="B93" s="27" t="str">
        <v>NY</v>
      </c>
      <c r="C93" s="27" t="str">
        <f>Sites[[#This Row],[SOL'#]]</f>
        <v>SOL-10988</v>
      </c>
      <c r="D93" s="9">
        <v>844420</v>
      </c>
      <c r="E93" s="14">
        <v>841370</v>
      </c>
      <c r="F93" s="14">
        <f t="shared" si="6"/>
        <v>3050</v>
      </c>
      <c r="G93" s="15">
        <f t="shared" si="7"/>
        <v>3.6250401131487932E-3</v>
      </c>
      <c r="H93" s="162" t="s">
        <v>1088</v>
      </c>
      <c r="I93" s="16" t="str">
        <f t="shared" si="4"/>
        <v/>
      </c>
      <c r="J93" s="15" t="str">
        <f t="shared" si="5"/>
        <v/>
      </c>
      <c r="K93" s="57" t="s">
        <v>1811</v>
      </c>
      <c r="L93" s="112" t="s">
        <v>1812</v>
      </c>
      <c r="M93" s="115" t="s">
        <v>1813</v>
      </c>
      <c r="N93" s="116"/>
      <c r="O93" s="116"/>
      <c r="P93" s="116"/>
      <c r="Q93" s="116"/>
      <c r="R93" s="116"/>
      <c r="S93" s="116"/>
      <c r="T93" s="116"/>
      <c r="U93" s="116"/>
      <c r="V93" s="116"/>
      <c r="W93" s="116"/>
      <c r="X93" s="116"/>
    </row>
    <row r="94" spans="1:29" ht="86.45">
      <c r="A94" s="28" t="str">
        <v>State Route 14A</v>
      </c>
      <c r="B94" s="25" t="str">
        <v>NY</v>
      </c>
      <c r="C94" s="25" t="str">
        <f>Sites[[#This Row],[SOL'#]]</f>
        <v>SOL-10997</v>
      </c>
      <c r="D94" s="20">
        <v>0</v>
      </c>
      <c r="E94" s="10" t="s">
        <v>777</v>
      </c>
      <c r="F94" s="10" t="str">
        <f t="shared" si="6"/>
        <v/>
      </c>
      <c r="G94" s="11" t="str">
        <f t="shared" si="7"/>
        <v/>
      </c>
      <c r="H94" s="12">
        <v>1023871.6</v>
      </c>
      <c r="I94" s="12">
        <f t="shared" si="4"/>
        <v>-1023871.6</v>
      </c>
      <c r="J94" s="13">
        <f t="shared" si="5"/>
        <v>-1</v>
      </c>
      <c r="K94" s="59" t="s">
        <v>1814</v>
      </c>
      <c r="L94" s="111" t="s">
        <v>1815</v>
      </c>
      <c r="M94" s="115" t="s">
        <v>1528</v>
      </c>
      <c r="N94" s="115" t="s">
        <v>1816</v>
      </c>
      <c r="O94" s="116"/>
      <c r="P94" s="116"/>
      <c r="Q94" s="116"/>
      <c r="R94" s="116"/>
      <c r="S94" s="116"/>
      <c r="T94" s="116"/>
      <c r="U94" s="116"/>
      <c r="V94" s="116"/>
      <c r="W94" s="116"/>
      <c r="X94" s="116"/>
    </row>
    <row r="95" spans="1:29" ht="28.9">
      <c r="A95" s="26" t="str">
        <v>West Creek</v>
      </c>
      <c r="B95" s="27" t="str">
        <v>NY</v>
      </c>
      <c r="C95" s="27" t="str">
        <f>Sites[[#This Row],[SOL'#]]</f>
        <v>SOL-10995</v>
      </c>
      <c r="D95" s="9">
        <v>952660</v>
      </c>
      <c r="E95" s="14">
        <v>905450</v>
      </c>
      <c r="F95" s="14">
        <f t="shared" si="6"/>
        <v>47210</v>
      </c>
      <c r="G95" s="15">
        <f t="shared" si="7"/>
        <v>5.2139819979015956E-2</v>
      </c>
      <c r="H95" s="16">
        <v>1056166.02</v>
      </c>
      <c r="I95" s="16">
        <f t="shared" si="4"/>
        <v>-103506.02000000002</v>
      </c>
      <c r="J95" s="15">
        <f t="shared" si="5"/>
        <v>-9.8001656974345777E-2</v>
      </c>
      <c r="K95" s="57" t="s">
        <v>1817</v>
      </c>
      <c r="L95" s="112" t="s">
        <v>1818</v>
      </c>
      <c r="M95" s="116"/>
      <c r="N95" s="116"/>
      <c r="O95" s="116"/>
      <c r="P95" s="116"/>
      <c r="Q95" s="116"/>
      <c r="R95" s="116"/>
      <c r="S95" s="116"/>
      <c r="T95" s="116"/>
      <c r="U95" s="116"/>
      <c r="V95" s="116"/>
      <c r="W95" s="116"/>
      <c r="X95" s="116"/>
    </row>
    <row r="96" spans="1:29" ht="86.45">
      <c r="A96" s="28" t="str">
        <v>Wildflower</v>
      </c>
      <c r="B96" s="25" t="str">
        <v>NY</v>
      </c>
      <c r="C96" s="25" t="str">
        <f>Sites[[#This Row],[SOL'#]]</f>
        <v>SOL-10982</v>
      </c>
      <c r="D96" s="20">
        <v>892850</v>
      </c>
      <c r="E96" s="10">
        <v>890492</v>
      </c>
      <c r="F96" s="10">
        <f t="shared" si="6"/>
        <v>2358</v>
      </c>
      <c r="G96" s="11">
        <f t="shared" si="7"/>
        <v>2.6479743782089004E-3</v>
      </c>
      <c r="H96" s="12">
        <v>992227.03</v>
      </c>
      <c r="I96" s="12">
        <f t="shared" si="4"/>
        <v>-99377.030000000028</v>
      </c>
      <c r="J96" s="13">
        <f t="shared" si="5"/>
        <v>-0.10015553597647912</v>
      </c>
      <c r="K96" s="59" t="s">
        <v>1819</v>
      </c>
      <c r="L96" s="111" t="s">
        <v>1820</v>
      </c>
      <c r="M96" s="116"/>
      <c r="N96" s="116"/>
      <c r="O96" s="116"/>
      <c r="P96" s="116"/>
      <c r="Q96" s="116"/>
      <c r="R96" s="116"/>
      <c r="S96" s="116"/>
      <c r="T96" s="116"/>
      <c r="U96" s="116"/>
      <c r="V96" s="116"/>
      <c r="W96" s="116"/>
      <c r="X96" s="116"/>
    </row>
    <row r="97" spans="1:24" ht="28.9">
      <c r="A97" s="26" t="str">
        <v>Glen Mary 1</v>
      </c>
      <c r="B97" s="27" t="str">
        <v>NY</v>
      </c>
      <c r="C97" s="27" t="str">
        <f>Sites[[#This Row],[SOL'#]]</f>
        <v>SOL-10993</v>
      </c>
      <c r="D97" s="9">
        <v>1034840</v>
      </c>
      <c r="E97" s="14">
        <v>1030810</v>
      </c>
      <c r="F97" s="14">
        <f t="shared" si="6"/>
        <v>4030</v>
      </c>
      <c r="G97" s="15">
        <f t="shared" si="7"/>
        <v>3.9095468612062355E-3</v>
      </c>
      <c r="H97" s="16">
        <v>998812.44</v>
      </c>
      <c r="I97" s="16">
        <f t="shared" si="4"/>
        <v>36027.560000000056</v>
      </c>
      <c r="J97" s="15">
        <f t="shared" si="5"/>
        <v>3.6070395759187836E-2</v>
      </c>
      <c r="K97" s="57" t="s">
        <v>1821</v>
      </c>
      <c r="L97" s="112" t="s">
        <v>1822</v>
      </c>
      <c r="M97" s="115" t="s">
        <v>1823</v>
      </c>
      <c r="N97" s="116"/>
      <c r="O97" s="116"/>
      <c r="P97" s="116"/>
      <c r="Q97" s="116"/>
      <c r="R97" s="116"/>
      <c r="S97" s="116"/>
      <c r="T97" s="116"/>
      <c r="U97" s="116"/>
      <c r="V97" s="116"/>
      <c r="W97" s="116"/>
      <c r="X97" s="116"/>
    </row>
    <row r="98" spans="1:24" ht="60.75">
      <c r="A98" s="28" t="str">
        <v>Glen Mary 2</v>
      </c>
      <c r="B98" s="25" t="str">
        <v>NY</v>
      </c>
      <c r="C98" s="25" t="str">
        <f>Sites[[#This Row],[SOL'#]]</f>
        <v>SOL-10994</v>
      </c>
      <c r="D98" s="20">
        <v>461130</v>
      </c>
      <c r="E98" s="10">
        <v>216810</v>
      </c>
      <c r="F98" s="10">
        <f t="shared" si="6"/>
        <v>244320</v>
      </c>
      <c r="G98" s="11">
        <f t="shared" si="7"/>
        <v>1.126885291268853</v>
      </c>
      <c r="H98" s="12">
        <v>425618.76</v>
      </c>
      <c r="I98" s="12">
        <f t="shared" si="4"/>
        <v>35511.239999999991</v>
      </c>
      <c r="J98" s="13">
        <f t="shared" si="5"/>
        <v>8.3434386209855951E-2</v>
      </c>
      <c r="K98" s="59" t="s">
        <v>1824</v>
      </c>
      <c r="L98" s="111" t="s">
        <v>1825</v>
      </c>
      <c r="M98" s="116"/>
      <c r="N98" s="116"/>
      <c r="O98" s="116"/>
      <c r="P98" s="116"/>
      <c r="Q98" s="116"/>
      <c r="R98" s="116"/>
      <c r="S98" s="116"/>
      <c r="T98" s="116"/>
      <c r="U98" s="116"/>
      <c r="V98" s="116"/>
      <c r="W98" s="116"/>
      <c r="X98" s="116"/>
    </row>
    <row r="99" spans="1:24" ht="28.9">
      <c r="A99" s="26" t="str">
        <v>Telegraph 1</v>
      </c>
      <c r="B99" s="27" t="str">
        <v>NY</v>
      </c>
      <c r="C99" s="27" t="str">
        <f>Sites[[#This Row],[SOL'#]]</f>
        <v>SOL-11003</v>
      </c>
      <c r="D99" s="9">
        <v>758150</v>
      </c>
      <c r="E99" s="14" t="s">
        <v>777</v>
      </c>
      <c r="F99" s="14" t="str">
        <f t="shared" si="6"/>
        <v/>
      </c>
      <c r="G99" s="15" t="str">
        <f t="shared" si="7"/>
        <v/>
      </c>
      <c r="H99" s="16">
        <v>748051.86</v>
      </c>
      <c r="I99" s="16">
        <f t="shared" si="4"/>
        <v>10098.140000000014</v>
      </c>
      <c r="J99" s="15">
        <f t="shared" si="5"/>
        <v>1.3499251241752162E-2</v>
      </c>
      <c r="K99" s="78" t="s">
        <v>1826</v>
      </c>
      <c r="L99" s="112" t="s">
        <v>1827</v>
      </c>
      <c r="M99" s="116"/>
      <c r="N99" s="116"/>
      <c r="O99" s="116"/>
      <c r="P99" s="116"/>
      <c r="Q99" s="116"/>
      <c r="R99" s="116"/>
      <c r="S99" s="116"/>
      <c r="T99" s="116"/>
      <c r="U99" s="116"/>
      <c r="V99" s="116"/>
      <c r="W99" s="116"/>
      <c r="X99" s="116"/>
    </row>
    <row r="100" spans="1:24" ht="28.9">
      <c r="A100" s="28" t="str">
        <v>Telegraph 2</v>
      </c>
      <c r="B100" s="25" t="str">
        <v>NY</v>
      </c>
      <c r="C100" s="25" t="str">
        <f>Sites[[#This Row],[SOL'#]]</f>
        <v>SOL-11004</v>
      </c>
      <c r="D100" s="20">
        <v>399640</v>
      </c>
      <c r="E100" s="10" t="s">
        <v>777</v>
      </c>
      <c r="F100" s="10" t="str">
        <f t="shared" si="6"/>
        <v/>
      </c>
      <c r="G100" s="11" t="str">
        <f t="shared" si="7"/>
        <v/>
      </c>
      <c r="H100" s="12">
        <v>390141.68</v>
      </c>
      <c r="I100" s="12">
        <f t="shared" si="4"/>
        <v>9498.320000000007</v>
      </c>
      <c r="J100" s="13">
        <f t="shared" si="5"/>
        <v>2.4345822266413596E-2</v>
      </c>
      <c r="K100" s="59" t="s">
        <v>1828</v>
      </c>
      <c r="L100" s="111" t="s">
        <v>1829</v>
      </c>
      <c r="M100" s="116"/>
      <c r="N100" s="116"/>
      <c r="O100" s="116"/>
      <c r="P100" s="116"/>
      <c r="Q100" s="116"/>
      <c r="R100" s="116"/>
      <c r="S100" s="116"/>
      <c r="T100" s="116"/>
      <c r="U100" s="116"/>
      <c r="V100" s="116"/>
      <c r="W100" s="116"/>
      <c r="X100" s="116"/>
    </row>
    <row r="101" spans="1:24" ht="15.6">
      <c r="A101" s="26" t="str">
        <v>Cafferty Hill</v>
      </c>
      <c r="B101" s="27" t="str">
        <v>NY</v>
      </c>
      <c r="C101" s="27" t="str">
        <f>Sites[[#This Row],[SOL'#]]</f>
        <v>SOL-10996</v>
      </c>
      <c r="D101" s="9">
        <v>1070170</v>
      </c>
      <c r="E101" s="14">
        <v>1096662.81</v>
      </c>
      <c r="F101" s="14">
        <f t="shared" si="6"/>
        <v>-26492.810000000056</v>
      </c>
      <c r="G101" s="15">
        <f t="shared" si="7"/>
        <v>-2.4157662463268954E-2</v>
      </c>
      <c r="H101" s="16">
        <v>1010963.44</v>
      </c>
      <c r="I101" s="16">
        <f t="shared" si="4"/>
        <v>59206.560000000056</v>
      </c>
      <c r="J101" s="15">
        <f t="shared" si="5"/>
        <v>5.8564491709017744E-2</v>
      </c>
      <c r="K101" s="57" t="s">
        <v>1830</v>
      </c>
      <c r="L101" s="112" t="s">
        <v>1831</v>
      </c>
      <c r="M101" s="116"/>
      <c r="N101" s="116"/>
      <c r="O101" s="116"/>
      <c r="P101" s="116"/>
      <c r="Q101" s="116"/>
      <c r="R101" s="116"/>
      <c r="S101" s="116"/>
      <c r="T101" s="116"/>
      <c r="U101" s="116"/>
      <c r="V101" s="116"/>
      <c r="W101" s="116"/>
      <c r="X101" s="116"/>
    </row>
    <row r="102" spans="1:24" ht="57.6">
      <c r="A102" s="28" t="str">
        <v>Dunkleman</v>
      </c>
      <c r="B102" s="25" t="str">
        <v>NY</v>
      </c>
      <c r="C102" s="25" t="str">
        <f>Sites[[#This Row],[SOL'#]]</f>
        <v>SOL-11008</v>
      </c>
      <c r="D102" s="20">
        <v>1328630</v>
      </c>
      <c r="E102" s="10">
        <v>1325930</v>
      </c>
      <c r="F102" s="10">
        <f t="shared" si="6"/>
        <v>2700</v>
      </c>
      <c r="G102" s="11">
        <f t="shared" si="7"/>
        <v>2.0363065923540459E-3</v>
      </c>
      <c r="H102" s="12">
        <v>1303096.45</v>
      </c>
      <c r="I102" s="12">
        <f t="shared" si="4"/>
        <v>25533.550000000047</v>
      </c>
      <c r="J102" s="13">
        <f t="shared" si="5"/>
        <v>1.959452042095583E-2</v>
      </c>
      <c r="K102" s="59" t="s">
        <v>1536</v>
      </c>
      <c r="L102" s="111" t="s">
        <v>1832</v>
      </c>
      <c r="M102" s="116"/>
      <c r="N102" s="116"/>
      <c r="O102" s="116"/>
      <c r="P102" s="116"/>
      <c r="Q102" s="116"/>
      <c r="R102" s="116"/>
      <c r="S102" s="116"/>
      <c r="T102" s="116"/>
      <c r="U102" s="116"/>
      <c r="V102" s="116"/>
      <c r="W102" s="116"/>
      <c r="X102" s="116"/>
    </row>
    <row r="103" spans="1:24" ht="15.6">
      <c r="A103" s="26" t="str">
        <v>Route 19 1</v>
      </c>
      <c r="B103" s="27" t="str">
        <v>NY</v>
      </c>
      <c r="C103" s="27" t="str">
        <f>Sites[[#This Row],[SOL'#]]</f>
        <v>SOL-11001</v>
      </c>
      <c r="D103" s="9">
        <v>526400</v>
      </c>
      <c r="E103" s="14">
        <v>524990</v>
      </c>
      <c r="F103" s="14">
        <f t="shared" si="6"/>
        <v>1410</v>
      </c>
      <c r="G103" s="15">
        <f t="shared" si="7"/>
        <v>2.6857654431512983E-3</v>
      </c>
      <c r="H103" s="16">
        <v>527552.5</v>
      </c>
      <c r="I103" s="16">
        <f t="shared" si="4"/>
        <v>-1152.5</v>
      </c>
      <c r="J103" s="15">
        <f t="shared" si="5"/>
        <v>-2.1846166969164207E-3</v>
      </c>
      <c r="K103" s="119" t="s">
        <v>1833</v>
      </c>
      <c r="L103" s="112" t="s">
        <v>1834</v>
      </c>
      <c r="M103" s="116"/>
      <c r="N103" s="116"/>
      <c r="O103" s="116"/>
      <c r="P103" s="116"/>
      <c r="Q103" s="116"/>
      <c r="R103" s="116"/>
      <c r="S103" s="116"/>
      <c r="T103" s="116"/>
      <c r="U103" s="116"/>
      <c r="V103" s="116"/>
      <c r="W103" s="116"/>
      <c r="X103" s="116"/>
    </row>
    <row r="104" spans="1:24" ht="15.6">
      <c r="A104" s="28" t="str">
        <v>Route 19 2</v>
      </c>
      <c r="B104" s="25" t="str">
        <v>NY</v>
      </c>
      <c r="C104" s="25" t="str">
        <f>Sites[[#This Row],[SOL'#]]</f>
        <v>SOL-11002</v>
      </c>
      <c r="D104" s="20">
        <v>1275880</v>
      </c>
      <c r="E104" s="10">
        <v>1272140</v>
      </c>
      <c r="F104" s="10">
        <f t="shared" si="6"/>
        <v>3740</v>
      </c>
      <c r="G104" s="11">
        <f t="shared" si="7"/>
        <v>2.9399279953464239E-3</v>
      </c>
      <c r="H104" s="12">
        <v>1305988.6299999999</v>
      </c>
      <c r="I104" s="12">
        <f t="shared" si="4"/>
        <v>-30108.629999999888</v>
      </c>
      <c r="J104" s="13">
        <f t="shared" si="5"/>
        <v>-2.3054281873801527E-2</v>
      </c>
      <c r="K104" s="59" t="s">
        <v>1835</v>
      </c>
      <c r="L104" s="111" t="s">
        <v>1836</v>
      </c>
      <c r="M104" s="116"/>
      <c r="N104" s="116"/>
      <c r="O104" s="116"/>
      <c r="P104" s="116"/>
      <c r="Q104" s="116"/>
      <c r="R104" s="116"/>
      <c r="S104" s="116"/>
      <c r="T104" s="116"/>
      <c r="U104" s="116"/>
      <c r="V104" s="116"/>
      <c r="W104" s="116"/>
      <c r="X104" s="116"/>
    </row>
    <row r="105" spans="1:24" ht="15.6">
      <c r="A105" s="26" t="str">
        <v>Yellow Mills 1</v>
      </c>
      <c r="B105" s="27" t="str">
        <v>NY</v>
      </c>
      <c r="C105" s="27" t="str">
        <f>Sites[[#This Row],[SOL'#]]</f>
        <v>SOL-11006</v>
      </c>
      <c r="D105" s="9">
        <v>457718</v>
      </c>
      <c r="E105" s="14">
        <v>455797</v>
      </c>
      <c r="F105" s="14">
        <f t="shared" si="6"/>
        <v>1921</v>
      </c>
      <c r="G105" s="15">
        <f t="shared" si="7"/>
        <v>4.2145955326603731E-3</v>
      </c>
      <c r="H105" s="16">
        <v>434537.61</v>
      </c>
      <c r="I105" s="16">
        <f t="shared" si="4"/>
        <v>23180.390000000014</v>
      </c>
      <c r="J105" s="15">
        <f t="shared" si="5"/>
        <v>5.3344956723078617E-2</v>
      </c>
      <c r="K105" s="57"/>
      <c r="L105" s="57"/>
      <c r="M105" s="116"/>
      <c r="N105" s="116"/>
      <c r="O105" s="116"/>
      <c r="P105" s="116"/>
      <c r="Q105" s="116"/>
      <c r="R105" s="116"/>
      <c r="S105" s="116"/>
      <c r="T105" s="116"/>
      <c r="U105" s="116"/>
      <c r="V105" s="116"/>
      <c r="W105" s="116"/>
      <c r="X105" s="116"/>
    </row>
    <row r="106" spans="1:24" ht="15.6">
      <c r="A106" s="28" t="str">
        <v>Yellow Mills 2</v>
      </c>
      <c r="B106" s="25" t="str">
        <v>NY</v>
      </c>
      <c r="C106" s="25" t="str">
        <f>Sites[[#This Row],[SOL'#]]</f>
        <v>SOL-11005</v>
      </c>
      <c r="D106" s="20">
        <v>452895</v>
      </c>
      <c r="E106" s="10" t="s">
        <v>777</v>
      </c>
      <c r="F106" s="10" t="str">
        <f t="shared" si="6"/>
        <v/>
      </c>
      <c r="G106" s="11" t="str">
        <f t="shared" si="7"/>
        <v/>
      </c>
      <c r="H106" s="12">
        <v>450519.38</v>
      </c>
      <c r="I106" s="12">
        <f t="shared" si="4"/>
        <v>2375.6199999999953</v>
      </c>
      <c r="J106" s="13">
        <f t="shared" si="5"/>
        <v>5.2730694959226736E-3</v>
      </c>
      <c r="K106" s="59"/>
      <c r="L106" s="59"/>
      <c r="M106" s="116"/>
      <c r="N106" s="116"/>
      <c r="O106" s="116"/>
      <c r="P106" s="116"/>
      <c r="Q106" s="116"/>
      <c r="R106" s="116"/>
      <c r="S106" s="116"/>
      <c r="T106" s="116"/>
      <c r="U106" s="116"/>
      <c r="V106" s="116"/>
      <c r="W106" s="116"/>
      <c r="X106" s="116"/>
    </row>
    <row r="107" spans="1:24" ht="15.6">
      <c r="A107" s="26" t="str">
        <v>Yellow Mills 3</v>
      </c>
      <c r="B107" s="27" t="str">
        <v>NY</v>
      </c>
      <c r="C107" s="27" t="str">
        <f>Sites[[#This Row],[SOL'#]]</f>
        <v>SOL-11007</v>
      </c>
      <c r="D107" s="9">
        <v>431452</v>
      </c>
      <c r="E107" s="14">
        <v>429805</v>
      </c>
      <c r="F107" s="14">
        <f t="shared" si="6"/>
        <v>1647</v>
      </c>
      <c r="G107" s="15">
        <f t="shared" si="7"/>
        <v>3.8319703121182862E-3</v>
      </c>
      <c r="H107" s="16">
        <v>428647.82</v>
      </c>
      <c r="I107" s="16">
        <f t="shared" si="4"/>
        <v>2804.179999999993</v>
      </c>
      <c r="J107" s="15">
        <f t="shared" si="5"/>
        <v>6.5419205911276838E-3</v>
      </c>
      <c r="K107" s="57"/>
      <c r="L107" s="57"/>
      <c r="M107" s="116"/>
      <c r="N107" s="116"/>
      <c r="O107" s="116"/>
      <c r="P107" s="116"/>
      <c r="Q107" s="116"/>
      <c r="R107" s="116"/>
      <c r="S107" s="116"/>
      <c r="T107" s="116"/>
      <c r="U107" s="116"/>
      <c r="V107" s="116"/>
      <c r="W107" s="116"/>
      <c r="X107" s="116"/>
    </row>
    <row r="108" spans="1:24" ht="78.75" customHeight="1">
      <c r="A108" s="28" t="str">
        <v>Catskill</v>
      </c>
      <c r="B108" s="25" t="str">
        <v>NY</v>
      </c>
      <c r="C108" s="25" t="str">
        <f>Sites[[#This Row],[SOL'#]]</f>
        <v>SOL-11021</v>
      </c>
      <c r="D108" s="20">
        <v>359700</v>
      </c>
      <c r="E108" s="10">
        <v>358236</v>
      </c>
      <c r="F108" s="10">
        <f t="shared" si="6"/>
        <v>1464</v>
      </c>
      <c r="G108" s="11">
        <f t="shared" si="7"/>
        <v>4.0866914547951633E-3</v>
      </c>
      <c r="H108" s="12">
        <v>783825.25</v>
      </c>
      <c r="I108" s="12">
        <f t="shared" si="4"/>
        <v>-424125.25</v>
      </c>
      <c r="J108" s="13">
        <f t="shared" si="5"/>
        <v>-0.5410966921517264</v>
      </c>
      <c r="K108" s="59" t="s">
        <v>1837</v>
      </c>
      <c r="L108" s="111" t="s">
        <v>1838</v>
      </c>
      <c r="M108" s="116"/>
      <c r="N108" s="116"/>
      <c r="O108" s="116"/>
      <c r="P108" s="116"/>
      <c r="Q108" s="116"/>
      <c r="R108" s="116"/>
      <c r="S108" s="116"/>
      <c r="T108" s="116"/>
      <c r="U108" s="116"/>
      <c r="V108" s="116"/>
      <c r="W108" s="116"/>
      <c r="X108" s="116"/>
    </row>
    <row r="109" spans="1:24" ht="54.75" customHeight="1">
      <c r="A109" s="26" t="str">
        <v>Eddy Ridge</v>
      </c>
      <c r="B109" s="27" t="str">
        <v>NY</v>
      </c>
      <c r="C109" s="27" t="str">
        <f>Sites[[#This Row],[SOL'#]]</f>
        <v>SOL-11054</v>
      </c>
      <c r="D109" s="9">
        <v>648019</v>
      </c>
      <c r="E109" s="14">
        <v>646353</v>
      </c>
      <c r="F109" s="14">
        <f t="shared" si="6"/>
        <v>1666</v>
      </c>
      <c r="G109" s="15">
        <f t="shared" si="7"/>
        <v>2.5775388990226704E-3</v>
      </c>
      <c r="H109" s="16">
        <v>648740</v>
      </c>
      <c r="I109" s="16">
        <f t="shared" si="4"/>
        <v>-721</v>
      </c>
      <c r="J109" s="15">
        <f t="shared" si="5"/>
        <v>-1.1113851465918551E-3</v>
      </c>
      <c r="K109" s="57" t="s">
        <v>1839</v>
      </c>
      <c r="L109" s="112" t="s">
        <v>1840</v>
      </c>
      <c r="M109" s="115" t="s">
        <v>1841</v>
      </c>
      <c r="N109" s="115" t="s">
        <v>1842</v>
      </c>
      <c r="O109" s="116"/>
      <c r="P109" s="116"/>
      <c r="Q109" s="116"/>
      <c r="R109" s="116"/>
      <c r="S109" s="116"/>
      <c r="T109" s="116"/>
      <c r="U109" s="116"/>
      <c r="V109" s="116"/>
      <c r="W109" s="116"/>
      <c r="X109" s="116"/>
    </row>
    <row r="110" spans="1:24" ht="43.15">
      <c r="A110" s="28" t="str">
        <v>Ridgeway #1</v>
      </c>
      <c r="B110" s="25" t="str">
        <v>NY</v>
      </c>
      <c r="C110" s="25" t="str">
        <f>Sites[[#This Row],[SOL'#]]</f>
        <v>SOL-11018</v>
      </c>
      <c r="D110" s="20">
        <v>1451284</v>
      </c>
      <c r="E110" s="10">
        <v>1447271</v>
      </c>
      <c r="F110" s="10">
        <f t="shared" ref="F110:F138" si="8">IF(AND(ISNUMBER(D110),ISNUMBER(E110)), D110-E110, "")</f>
        <v>4013</v>
      </c>
      <c r="G110" s="11">
        <f t="shared" si="7"/>
        <v>2.7728048167896683E-3</v>
      </c>
      <c r="H110" s="12">
        <v>1342085.1499999999</v>
      </c>
      <c r="I110" s="12">
        <f t="shared" si="4"/>
        <v>109198.85000000009</v>
      </c>
      <c r="J110" s="13">
        <f t="shared" si="5"/>
        <v>8.1365068378858152E-2</v>
      </c>
      <c r="K110" s="59" t="s">
        <v>1843</v>
      </c>
      <c r="L110" s="111" t="s">
        <v>1844</v>
      </c>
      <c r="M110" s="115" t="s">
        <v>1845</v>
      </c>
      <c r="N110" s="116"/>
      <c r="O110" s="116"/>
      <c r="P110" s="116"/>
      <c r="Q110" s="116"/>
      <c r="R110" s="116"/>
      <c r="S110" s="116"/>
      <c r="T110" s="116"/>
      <c r="U110" s="116"/>
      <c r="V110" s="116"/>
      <c r="W110" s="116"/>
      <c r="X110" s="116"/>
    </row>
    <row r="111" spans="1:24" ht="57.6">
      <c r="A111" s="26" t="str">
        <v>Rivard 1</v>
      </c>
      <c r="B111" s="27" t="str">
        <v>NY</v>
      </c>
      <c r="C111" s="27" t="str">
        <f>Sites[[#This Row],[SOL'#]]</f>
        <v>SOL-11011</v>
      </c>
      <c r="D111" s="9">
        <v>1028409.2892654</v>
      </c>
      <c r="E111" s="14">
        <v>1098061</v>
      </c>
      <c r="F111" s="14">
        <f t="shared" si="8"/>
        <v>-69651.710734599968</v>
      </c>
      <c r="G111" s="15">
        <f t="shared" ref="G111:G138" si="9">IFERROR(F111/E111, "")</f>
        <v>-6.3431549553804353E-2</v>
      </c>
      <c r="H111" s="16">
        <v>1115777</v>
      </c>
      <c r="I111" s="16">
        <f t="shared" si="4"/>
        <v>-87367.710734599968</v>
      </c>
      <c r="J111" s="15">
        <f t="shared" si="5"/>
        <v>-7.8302125545337442E-2</v>
      </c>
      <c r="K111" s="57" t="s">
        <v>1846</v>
      </c>
      <c r="L111" s="112" t="s">
        <v>1847</v>
      </c>
      <c r="M111" s="116"/>
      <c r="N111" s="116"/>
      <c r="O111" s="116"/>
      <c r="P111" s="116"/>
      <c r="Q111" s="116"/>
      <c r="R111" s="116"/>
      <c r="S111" s="116"/>
      <c r="T111" s="116"/>
      <c r="U111" s="116"/>
      <c r="V111" s="116"/>
      <c r="W111" s="116"/>
      <c r="X111" s="116"/>
    </row>
    <row r="112" spans="1:24" ht="72">
      <c r="A112" s="28" t="str">
        <v>Rivard 2</v>
      </c>
      <c r="B112" s="25" t="str">
        <v>NY</v>
      </c>
      <c r="C112" s="25" t="str">
        <f>Sites[[#This Row],[SOL'#]]</f>
        <v>SOL-11012</v>
      </c>
      <c r="D112" s="20">
        <v>1175701.7910447801</v>
      </c>
      <c r="E112" s="10">
        <v>1148796</v>
      </c>
      <c r="F112" s="10">
        <f t="shared" si="8"/>
        <v>26905.791044780053</v>
      </c>
      <c r="G112" s="11">
        <f t="shared" si="9"/>
        <v>2.3420860661753744E-2</v>
      </c>
      <c r="H112" s="12">
        <v>1076280</v>
      </c>
      <c r="I112" s="12">
        <f t="shared" si="4"/>
        <v>99421.791044780053</v>
      </c>
      <c r="J112" s="13">
        <f t="shared" si="5"/>
        <v>9.2375395849388683E-2</v>
      </c>
      <c r="K112" s="59" t="s">
        <v>1848</v>
      </c>
      <c r="L112" s="111" t="s">
        <v>377</v>
      </c>
      <c r="M112" s="116"/>
      <c r="N112" s="116"/>
      <c r="O112" s="116"/>
      <c r="P112" s="116"/>
      <c r="Q112" s="116"/>
      <c r="R112" s="116"/>
      <c r="S112" s="116"/>
      <c r="T112" s="116"/>
      <c r="U112" s="116"/>
      <c r="V112" s="116"/>
      <c r="W112" s="116"/>
      <c r="X112" s="116"/>
    </row>
    <row r="113" spans="1:24" ht="15.6">
      <c r="A113" s="26" t="str">
        <v>Essex</v>
      </c>
      <c r="B113" s="27" t="str">
        <v>DC</v>
      </c>
      <c r="C113" s="27" t="str">
        <f>Sites[[#This Row],[SOL'#]]</f>
        <v>SOL-10036</v>
      </c>
      <c r="D113" s="9">
        <v>4372</v>
      </c>
      <c r="E113" s="14">
        <v>5738.8450000000003</v>
      </c>
      <c r="F113" s="14">
        <f t="shared" si="8"/>
        <v>-1366.8450000000003</v>
      </c>
      <c r="G113" s="15">
        <f t="shared" si="9"/>
        <v>-0.23817423192297407</v>
      </c>
      <c r="H113" s="16">
        <v>5313.9589999999998</v>
      </c>
      <c r="I113" s="16">
        <f t="shared" si="4"/>
        <v>-941.95899999999983</v>
      </c>
      <c r="J113" s="15">
        <f t="shared" si="5"/>
        <v>-0.17726124721699957</v>
      </c>
      <c r="K113" s="57" t="s">
        <v>1849</v>
      </c>
      <c r="L113" s="57"/>
      <c r="M113" s="116"/>
      <c r="N113" s="116"/>
      <c r="O113" s="116"/>
      <c r="P113" s="116"/>
      <c r="Q113" s="116"/>
      <c r="R113" s="116"/>
      <c r="S113" s="116"/>
      <c r="T113" s="116"/>
      <c r="U113" s="116"/>
      <c r="V113" s="116"/>
      <c r="W113" s="116"/>
      <c r="X113" s="116"/>
    </row>
    <row r="114" spans="1:24" ht="15.6">
      <c r="A114" s="28" t="str">
        <v>Temple Sinai</v>
      </c>
      <c r="B114" s="25" t="str">
        <v>DC</v>
      </c>
      <c r="C114" s="25" t="str">
        <f>Sites[[#This Row],[SOL'#]]</f>
        <v>SOL-10028</v>
      </c>
      <c r="D114" s="20">
        <v>10028.8199999999</v>
      </c>
      <c r="E114" s="10">
        <v>14969.03</v>
      </c>
      <c r="F114" s="10">
        <f t="shared" si="8"/>
        <v>-4940.210000000101</v>
      </c>
      <c r="G114" s="11">
        <f t="shared" si="9"/>
        <v>-0.33002873265669858</v>
      </c>
      <c r="H114" s="12">
        <v>12371.16</v>
      </c>
      <c r="I114" s="12">
        <f t="shared" si="4"/>
        <v>-2342.3400000001002</v>
      </c>
      <c r="J114" s="13">
        <f t="shared" si="5"/>
        <v>-0.18933875238862807</v>
      </c>
      <c r="K114" s="59" t="s">
        <v>1850</v>
      </c>
      <c r="L114" s="111" t="s">
        <v>1851</v>
      </c>
      <c r="M114" s="116"/>
      <c r="N114" s="116"/>
      <c r="O114" s="116"/>
      <c r="P114" s="116"/>
      <c r="Q114" s="116"/>
      <c r="R114" s="116"/>
      <c r="S114" s="116"/>
      <c r="T114" s="116"/>
      <c r="U114" s="116"/>
      <c r="V114" s="116"/>
      <c r="W114" s="116"/>
      <c r="X114" s="116"/>
    </row>
    <row r="115" spans="1:24" ht="15.6">
      <c r="A115" s="26" t="str">
        <v>Weinberg Commons #1</v>
      </c>
      <c r="B115" s="27" t="str">
        <v>DC</v>
      </c>
      <c r="C115" s="27" t="str">
        <f>Sites[[#This Row],[SOL'#]]</f>
        <v>SOL-10039</v>
      </c>
      <c r="D115" s="9">
        <v>1770</v>
      </c>
      <c r="E115" s="14">
        <v>1824.1030000000001</v>
      </c>
      <c r="F115" s="14">
        <f t="shared" si="8"/>
        <v>-54.103000000000065</v>
      </c>
      <c r="G115" s="15">
        <f t="shared" si="9"/>
        <v>-2.9660057573503287E-2</v>
      </c>
      <c r="H115" s="16">
        <v>1843.51</v>
      </c>
      <c r="I115" s="16">
        <f t="shared" si="4"/>
        <v>-73.509999999999991</v>
      </c>
      <c r="J115" s="15">
        <f t="shared" si="5"/>
        <v>-3.9875021019685271E-2</v>
      </c>
      <c r="K115" s="57"/>
      <c r="L115" s="57"/>
      <c r="M115" s="116"/>
      <c r="N115" s="116"/>
      <c r="O115" s="116"/>
      <c r="P115" s="116"/>
      <c r="Q115" s="116"/>
      <c r="R115" s="116"/>
      <c r="S115" s="116"/>
      <c r="T115" s="116"/>
      <c r="U115" s="116"/>
      <c r="V115" s="116"/>
      <c r="W115" s="116"/>
      <c r="X115" s="116"/>
    </row>
    <row r="116" spans="1:24" ht="15.6">
      <c r="A116" s="28" t="str">
        <v>Weinberg Commons #2</v>
      </c>
      <c r="B116" s="25" t="str">
        <v>DC</v>
      </c>
      <c r="C116" s="25" t="str">
        <f>Sites[[#This Row],[SOL'#]]</f>
        <v>SOL-10045</v>
      </c>
      <c r="D116" s="20">
        <v>1604</v>
      </c>
      <c r="E116" s="10">
        <v>1599.9059999999999</v>
      </c>
      <c r="F116" s="10">
        <f t="shared" si="8"/>
        <v>4.0940000000000509</v>
      </c>
      <c r="G116" s="11">
        <f t="shared" si="9"/>
        <v>2.5589003353947365E-3</v>
      </c>
      <c r="H116" s="12">
        <v>1860.7560000000001</v>
      </c>
      <c r="I116" s="12">
        <f t="shared" si="4"/>
        <v>-256.75600000000009</v>
      </c>
      <c r="J116" s="13">
        <f t="shared" si="5"/>
        <v>-0.13798477608025989</v>
      </c>
      <c r="K116" s="59" t="s">
        <v>1852</v>
      </c>
      <c r="L116" s="59"/>
      <c r="M116" s="116"/>
      <c r="N116" s="116"/>
      <c r="O116" s="116"/>
      <c r="P116" s="116"/>
      <c r="Q116" s="116"/>
      <c r="R116" s="116"/>
      <c r="S116" s="116"/>
      <c r="T116" s="116"/>
      <c r="U116" s="116"/>
      <c r="V116" s="116"/>
      <c r="W116" s="116"/>
      <c r="X116" s="116"/>
    </row>
    <row r="117" spans="1:24" ht="15.6">
      <c r="A117" s="26" t="str">
        <v>Weinberg Commons #3</v>
      </c>
      <c r="B117" s="27" t="str">
        <v>DC</v>
      </c>
      <c r="C117" s="27" t="str">
        <f>Sites[[#This Row],[SOL'#]]</f>
        <v>SOL-10042</v>
      </c>
      <c r="D117" s="9">
        <v>1948</v>
      </c>
      <c r="E117" s="14">
        <v>1836.37</v>
      </c>
      <c r="F117" s="14">
        <f t="shared" si="8"/>
        <v>111.63000000000011</v>
      </c>
      <c r="G117" s="15">
        <f t="shared" si="9"/>
        <v>6.0788403208503795E-2</v>
      </c>
      <c r="H117" s="16">
        <v>1942</v>
      </c>
      <c r="I117" s="16">
        <f t="shared" si="4"/>
        <v>6</v>
      </c>
      <c r="J117" s="15">
        <f t="shared" si="5"/>
        <v>3.089598352214212E-3</v>
      </c>
      <c r="K117" s="57"/>
      <c r="L117" s="57"/>
      <c r="M117" s="116"/>
      <c r="N117" s="116"/>
      <c r="O117" s="116"/>
      <c r="P117" s="116"/>
      <c r="Q117" s="116"/>
      <c r="R117" s="116"/>
      <c r="S117" s="116"/>
      <c r="T117" s="116"/>
      <c r="U117" s="116"/>
      <c r="V117" s="116"/>
      <c r="W117" s="116"/>
      <c r="X117" s="116"/>
    </row>
    <row r="118" spans="1:24" ht="15.6">
      <c r="A118" s="28" t="str">
        <v>Clayton Hall</v>
      </c>
      <c r="B118" s="25" t="str">
        <v>DE</v>
      </c>
      <c r="C118" s="25" t="str">
        <f>Sites[[#This Row],[SOL'#]]</f>
        <v>SOL-10820</v>
      </c>
      <c r="D118" s="20">
        <v>21726</v>
      </c>
      <c r="E118" s="10">
        <v>23826.591</v>
      </c>
      <c r="F118" s="10">
        <f t="shared" si="8"/>
        <v>-2100.5910000000003</v>
      </c>
      <c r="G118" s="11">
        <f t="shared" si="9"/>
        <v>-8.8161625807065741E-2</v>
      </c>
      <c r="H118" s="12">
        <v>20228.258000000002</v>
      </c>
      <c r="I118" s="12">
        <f t="shared" si="4"/>
        <v>1497.7419999999984</v>
      </c>
      <c r="J118" s="13">
        <f t="shared" si="5"/>
        <v>7.4042065312791561E-2</v>
      </c>
      <c r="K118" s="59"/>
      <c r="L118" s="59"/>
      <c r="M118" s="116"/>
      <c r="N118" s="116"/>
      <c r="O118" s="116"/>
      <c r="P118" s="116"/>
      <c r="Q118" s="116"/>
      <c r="R118" s="116"/>
      <c r="S118" s="116"/>
      <c r="T118" s="116"/>
      <c r="U118" s="116"/>
      <c r="V118" s="116"/>
      <c r="W118" s="116"/>
      <c r="X118" s="116"/>
    </row>
    <row r="119" spans="1:24" ht="28.9">
      <c r="A119" s="26" t="str">
        <v>Field House</v>
      </c>
      <c r="B119" s="27" t="str">
        <v>DE</v>
      </c>
      <c r="C119" s="27" t="str">
        <f>Sites[[#This Row],[SOL'#]]</f>
        <v>SOL-10821</v>
      </c>
      <c r="D119" s="9">
        <v>55764</v>
      </c>
      <c r="E119" s="14" t="s">
        <v>777</v>
      </c>
      <c r="F119" s="14" t="str">
        <f>IF(AND(ISNUMBER(D119),ISNUMBER(E119)), D119-E119, "")</f>
        <v/>
      </c>
      <c r="G119" s="15" t="str">
        <f t="shared" si="9"/>
        <v/>
      </c>
      <c r="H119" s="16">
        <v>49697</v>
      </c>
      <c r="I119" s="16">
        <f t="shared" si="4"/>
        <v>6067</v>
      </c>
      <c r="J119" s="15">
        <f t="shared" si="5"/>
        <v>0.12207980360987584</v>
      </c>
      <c r="K119" s="57" t="s">
        <v>623</v>
      </c>
      <c r="L119" s="112" t="s">
        <v>1853</v>
      </c>
      <c r="M119" s="116"/>
      <c r="N119" s="116"/>
      <c r="O119" s="116"/>
      <c r="P119" s="116"/>
      <c r="Q119" s="116"/>
      <c r="R119" s="116"/>
      <c r="S119" s="116"/>
      <c r="T119" s="116"/>
      <c r="U119" s="116"/>
      <c r="V119" s="116"/>
      <c r="W119" s="116"/>
      <c r="X119" s="116"/>
    </row>
    <row r="120" spans="1:24" ht="57.6">
      <c r="A120" s="28" t="str">
        <v>Wyoming Road</v>
      </c>
      <c r="B120" s="25" t="str">
        <v>DE</v>
      </c>
      <c r="C120" s="25" t="str">
        <f>Sites[[#This Row],[SOL'#]]</f>
        <v>SOL-10819</v>
      </c>
      <c r="D120" s="20">
        <v>0</v>
      </c>
      <c r="E120" s="10">
        <v>36216.917000000001</v>
      </c>
      <c r="F120" s="10">
        <f>IF(AND(ISNUMBER(D120),ISNUMBER(E120)), D120-E120, "")</f>
        <v>-36216.917000000001</v>
      </c>
      <c r="G120" s="11">
        <f t="shared" si="9"/>
        <v>-1</v>
      </c>
      <c r="H120" s="12">
        <v>37582.678</v>
      </c>
      <c r="I120" s="12">
        <f t="shared" si="4"/>
        <v>-37582.678</v>
      </c>
      <c r="J120" s="13">
        <f t="shared" si="5"/>
        <v>-1</v>
      </c>
      <c r="K120" s="59" t="s">
        <v>1558</v>
      </c>
      <c r="L120" s="111" t="s">
        <v>1854</v>
      </c>
      <c r="M120" s="116"/>
      <c r="N120" s="116"/>
      <c r="O120" s="116"/>
      <c r="P120" s="116"/>
      <c r="Q120" s="116"/>
      <c r="R120" s="116"/>
      <c r="S120" s="116"/>
      <c r="T120" s="116"/>
      <c r="U120" s="116"/>
      <c r="V120" s="116"/>
      <c r="W120" s="116"/>
      <c r="X120" s="116"/>
    </row>
    <row r="121" spans="1:24" ht="57.6">
      <c r="A121" s="26" t="str">
        <v>94-246 Leoku St. - PV Bldg E, F, G</v>
      </c>
      <c r="B121" s="27" t="str">
        <v>HI</v>
      </c>
      <c r="C121" s="27" t="str">
        <f>Sites[[#This Row],[SOL'#]]</f>
        <v>SOL-10071</v>
      </c>
      <c r="D121" s="9">
        <v>10048</v>
      </c>
      <c r="E121" s="14">
        <v>13191.17</v>
      </c>
      <c r="F121" s="14">
        <f t="shared" si="8"/>
        <v>-3143.17</v>
      </c>
      <c r="G121" s="15">
        <f t="shared" si="9"/>
        <v>-0.2382783331577108</v>
      </c>
      <c r="H121" s="16">
        <v>13676.54</v>
      </c>
      <c r="I121" s="16">
        <f t="shared" si="4"/>
        <v>-3628.5400000000009</v>
      </c>
      <c r="J121" s="15">
        <f t="shared" si="5"/>
        <v>-0.26531125562459518</v>
      </c>
      <c r="K121" s="57" t="s">
        <v>1855</v>
      </c>
      <c r="L121" s="112" t="s">
        <v>1856</v>
      </c>
      <c r="M121" s="115" t="s">
        <v>937</v>
      </c>
      <c r="N121" s="116"/>
      <c r="O121" s="116"/>
      <c r="P121" s="116"/>
      <c r="Q121" s="116"/>
      <c r="R121" s="116"/>
      <c r="S121" s="116"/>
      <c r="T121" s="116"/>
      <c r="U121" s="116"/>
      <c r="V121" s="116"/>
      <c r="W121" s="116"/>
      <c r="X121" s="116"/>
    </row>
    <row r="122" spans="1:24" ht="15.6">
      <c r="A122" s="28" t="str">
        <v>94-099 Waipahu St - PV</v>
      </c>
      <c r="B122" s="25" t="str">
        <v>HI</v>
      </c>
      <c r="C122" s="25" t="str">
        <f>Sites[[#This Row],[SOL'#]]</f>
        <v>SOL-10068</v>
      </c>
      <c r="D122" s="20">
        <v>14836</v>
      </c>
      <c r="E122" s="10">
        <v>11475.55</v>
      </c>
      <c r="F122" s="10">
        <f t="shared" si="8"/>
        <v>3360.4500000000007</v>
      </c>
      <c r="G122" s="11">
        <f t="shared" si="9"/>
        <v>0.29283563750757052</v>
      </c>
      <c r="H122" s="12">
        <v>13669.23</v>
      </c>
      <c r="I122" s="12">
        <f t="shared" si="4"/>
        <v>1166.7700000000004</v>
      </c>
      <c r="J122" s="13">
        <f t="shared" si="5"/>
        <v>8.5357404916004812E-2</v>
      </c>
      <c r="K122" s="59"/>
      <c r="L122" s="59"/>
      <c r="M122" s="116"/>
      <c r="N122" s="116"/>
      <c r="O122" s="116"/>
      <c r="P122" s="116"/>
      <c r="Q122" s="116"/>
      <c r="R122" s="116"/>
      <c r="S122" s="116"/>
      <c r="T122" s="116"/>
      <c r="U122" s="116"/>
      <c r="V122" s="116"/>
      <c r="W122" s="116"/>
      <c r="X122" s="116"/>
    </row>
    <row r="123" spans="1:24" ht="115.15">
      <c r="A123" s="26" t="str">
        <v>TES Bird in Hand</v>
      </c>
      <c r="B123" s="27" t="str">
        <v>MD</v>
      </c>
      <c r="C123" s="27" t="str">
        <f>Sites[[#This Row],[SOL'#]]</f>
        <v>SOL-10092</v>
      </c>
      <c r="D123" s="9">
        <v>145779</v>
      </c>
      <c r="E123" s="14">
        <v>144638.70000000001</v>
      </c>
      <c r="F123" s="14">
        <f t="shared" si="8"/>
        <v>1140.2999999999884</v>
      </c>
      <c r="G123" s="15">
        <f t="shared" si="9"/>
        <v>7.8837821412940535E-3</v>
      </c>
      <c r="H123" s="16">
        <v>179658.6</v>
      </c>
      <c r="I123" s="16">
        <f t="shared" si="4"/>
        <v>-33879.600000000006</v>
      </c>
      <c r="J123" s="15">
        <f t="shared" si="5"/>
        <v>-0.18857766897882988</v>
      </c>
      <c r="K123" s="57" t="s">
        <v>1857</v>
      </c>
      <c r="L123" s="112" t="s">
        <v>1858</v>
      </c>
      <c r="M123" s="115" t="s">
        <v>1859</v>
      </c>
      <c r="N123" s="115" t="s">
        <v>1860</v>
      </c>
      <c r="O123" s="116"/>
      <c r="P123" s="116"/>
      <c r="Q123" s="116"/>
      <c r="R123" s="116"/>
      <c r="S123" s="116"/>
      <c r="T123" s="116"/>
      <c r="U123" s="116"/>
      <c r="V123" s="116"/>
      <c r="W123" s="116"/>
      <c r="X123" s="116"/>
    </row>
    <row r="124" spans="1:24" ht="28.9">
      <c r="A124" s="28" t="str">
        <v>TES Shortal Solar LLC</v>
      </c>
      <c r="B124" s="25" t="str">
        <v>MD</v>
      </c>
      <c r="C124" s="25" t="str">
        <f>Sites[[#This Row],[SOL'#]]</f>
        <v>SOL-10091</v>
      </c>
      <c r="D124" s="20">
        <v>188462</v>
      </c>
      <c r="E124" s="10">
        <v>193996.5</v>
      </c>
      <c r="F124" s="10">
        <f t="shared" si="8"/>
        <v>-5534.5</v>
      </c>
      <c r="G124" s="11">
        <f t="shared" si="9"/>
        <v>-2.8528865211485774E-2</v>
      </c>
      <c r="H124" s="12">
        <v>158875.9</v>
      </c>
      <c r="I124" s="12">
        <f t="shared" si="4"/>
        <v>29586.100000000006</v>
      </c>
      <c r="J124" s="13">
        <f t="shared" si="5"/>
        <v>0.18622144705395852</v>
      </c>
      <c r="K124" s="59" t="s">
        <v>1861</v>
      </c>
      <c r="L124" s="111" t="s">
        <v>1862</v>
      </c>
      <c r="M124" s="115" t="s">
        <v>1863</v>
      </c>
      <c r="N124" s="116"/>
      <c r="O124" s="116"/>
      <c r="P124" s="116"/>
      <c r="Q124" s="116"/>
      <c r="R124" s="116"/>
      <c r="S124" s="116"/>
      <c r="T124" s="116"/>
      <c r="U124" s="116"/>
      <c r="V124" s="116"/>
      <c r="W124" s="116"/>
      <c r="X124" s="116"/>
    </row>
    <row r="125" spans="1:24" ht="28.9">
      <c r="A125" s="26" t="str">
        <v>Coca Cola Aguadilla</v>
      </c>
      <c r="B125" s="27" t="str">
        <v>PR</v>
      </c>
      <c r="C125" s="27" t="str">
        <f>Sites[[#This Row],[SOL'#]]</f>
        <v>SOL-10072</v>
      </c>
      <c r="D125" s="9">
        <v>15714</v>
      </c>
      <c r="E125" s="14">
        <v>20085.89</v>
      </c>
      <c r="F125" s="14">
        <f t="shared" si="8"/>
        <v>-4371.8899999999994</v>
      </c>
      <c r="G125" s="15">
        <f t="shared" si="9"/>
        <v>-0.21765976015999289</v>
      </c>
      <c r="H125" s="16">
        <v>23213</v>
      </c>
      <c r="I125" s="16">
        <f t="shared" si="4"/>
        <v>-7499</v>
      </c>
      <c r="J125" s="15">
        <f t="shared" si="5"/>
        <v>-0.32305173825011846</v>
      </c>
      <c r="K125" s="57" t="s">
        <v>1566</v>
      </c>
      <c r="L125" s="112" t="s">
        <v>1864</v>
      </c>
      <c r="M125" s="115" t="s">
        <v>1568</v>
      </c>
      <c r="N125" s="116"/>
      <c r="O125" s="116"/>
      <c r="P125" s="116"/>
      <c r="Q125" s="116"/>
      <c r="R125" s="116"/>
      <c r="S125" s="116"/>
      <c r="T125" s="116"/>
      <c r="U125" s="116"/>
      <c r="V125" s="116"/>
      <c r="W125" s="116"/>
      <c r="X125" s="116"/>
    </row>
    <row r="126" spans="1:24" ht="100.9">
      <c r="A126" s="28" t="str">
        <v>Coca Cola Bayamon</v>
      </c>
      <c r="B126" s="25" t="str">
        <v>PR</v>
      </c>
      <c r="C126" s="25" t="str">
        <f>Sites[[#This Row],[SOL'#]]</f>
        <v>SOL-10073</v>
      </c>
      <c r="D126" s="20">
        <v>53577</v>
      </c>
      <c r="E126" s="10">
        <v>82116.61</v>
      </c>
      <c r="F126" s="10">
        <f t="shared" si="8"/>
        <v>-28539.61</v>
      </c>
      <c r="G126" s="11">
        <f t="shared" si="9"/>
        <v>-0.34754978316810692</v>
      </c>
      <c r="H126" s="12">
        <v>86974</v>
      </c>
      <c r="I126" s="12">
        <f t="shared" si="4"/>
        <v>-33397</v>
      </c>
      <c r="J126" s="13">
        <f t="shared" si="5"/>
        <v>-0.38398831834801206</v>
      </c>
      <c r="K126" s="59" t="s">
        <v>1865</v>
      </c>
      <c r="L126" s="112" t="s">
        <v>1866</v>
      </c>
      <c r="M126" s="115" t="s">
        <v>1571</v>
      </c>
      <c r="N126" s="115" t="s">
        <v>948</v>
      </c>
      <c r="O126" s="115" t="s">
        <v>637</v>
      </c>
      <c r="P126" s="115" t="s">
        <v>946</v>
      </c>
      <c r="Q126" s="115" t="s">
        <v>171</v>
      </c>
      <c r="R126" s="115" t="s">
        <v>1249</v>
      </c>
      <c r="S126" s="116"/>
      <c r="T126" s="116"/>
      <c r="U126" s="116"/>
      <c r="V126" s="116"/>
      <c r="W126" s="116"/>
      <c r="X126" s="116"/>
    </row>
    <row r="127" spans="1:24" ht="162.4" customHeight="1">
      <c r="A127" s="26" t="str">
        <v>St Francis School</v>
      </c>
      <c r="B127" s="27" t="str">
        <v>PR</v>
      </c>
      <c r="C127" s="27" t="str">
        <f>Sites[[#This Row],[SOL'#]]</f>
        <v>SOL-10034</v>
      </c>
      <c r="D127" s="9">
        <v>18667</v>
      </c>
      <c r="E127" s="14">
        <v>64278.93</v>
      </c>
      <c r="F127" s="14">
        <f t="shared" si="8"/>
        <v>-45611.93</v>
      </c>
      <c r="G127" s="15">
        <f t="shared" si="9"/>
        <v>-0.70959379690981161</v>
      </c>
      <c r="H127" s="16">
        <v>44155</v>
      </c>
      <c r="I127" s="16">
        <f t="shared" si="4"/>
        <v>-25488</v>
      </c>
      <c r="J127" s="15">
        <f t="shared" si="5"/>
        <v>-0.57723927075076431</v>
      </c>
      <c r="K127" s="57" t="s">
        <v>1867</v>
      </c>
      <c r="L127" s="111" t="s">
        <v>1868</v>
      </c>
      <c r="M127" s="115" t="s">
        <v>1252</v>
      </c>
      <c r="N127" s="115" t="s">
        <v>1254</v>
      </c>
      <c r="O127" s="115" t="s">
        <v>176</v>
      </c>
      <c r="P127" s="115" t="s">
        <v>1258</v>
      </c>
      <c r="Q127" s="115" t="s">
        <v>177</v>
      </c>
      <c r="R127" s="115" t="s">
        <v>178</v>
      </c>
      <c r="S127" s="115" t="s">
        <v>174</v>
      </c>
      <c r="T127" s="115" t="s">
        <v>1257</v>
      </c>
      <c r="U127" s="115" t="s">
        <v>1574</v>
      </c>
      <c r="V127" s="115" t="s">
        <v>1869</v>
      </c>
      <c r="W127" s="115" t="s">
        <v>1870</v>
      </c>
      <c r="X127" s="116"/>
    </row>
    <row r="128" spans="1:24" ht="28.9">
      <c r="A128" s="28" t="str">
        <v>645 Summer Street - (Seaport Solar)</v>
      </c>
      <c r="B128" s="25" t="str">
        <v>MA</v>
      </c>
      <c r="C128" s="25" t="str">
        <f>Sites[[#This Row],[SOL'#]]</f>
        <v>SOL-10772</v>
      </c>
      <c r="D128" s="20">
        <v>85397.5</v>
      </c>
      <c r="E128" s="10">
        <v>14365.66</v>
      </c>
      <c r="F128" s="10">
        <f t="shared" si="8"/>
        <v>71031.839999999997</v>
      </c>
      <c r="G128" s="11">
        <f t="shared" si="9"/>
        <v>4.94455806416134</v>
      </c>
      <c r="H128" s="12">
        <v>86009.04</v>
      </c>
      <c r="I128" s="12">
        <f t="shared" si="4"/>
        <v>-611.5399999999936</v>
      </c>
      <c r="J128" s="13">
        <f t="shared" si="5"/>
        <v>-7.1101828365947774E-3</v>
      </c>
      <c r="K128" s="59" t="s">
        <v>1871</v>
      </c>
      <c r="L128" s="111" t="s">
        <v>394</v>
      </c>
      <c r="M128" s="116"/>
      <c r="N128" s="116"/>
      <c r="O128" s="116"/>
      <c r="P128" s="116"/>
      <c r="Q128" s="116"/>
      <c r="R128" s="116"/>
      <c r="S128" s="116"/>
      <c r="T128" s="116"/>
      <c r="U128" s="116"/>
      <c r="V128" s="116"/>
      <c r="W128" s="116"/>
      <c r="X128" s="116"/>
    </row>
    <row r="129" spans="1:24" ht="28.9">
      <c r="A129" s="26" t="str">
        <v>480 Sprague St</v>
      </c>
      <c r="B129" s="27" t="str">
        <v>MA</v>
      </c>
      <c r="C129" s="27" t="str">
        <f>Sites[[#This Row],[SOL'#]]</f>
        <v>SOL-10773</v>
      </c>
      <c r="D129" s="9">
        <v>185825</v>
      </c>
      <c r="E129" s="14">
        <v>0</v>
      </c>
      <c r="F129" s="14">
        <f t="shared" si="8"/>
        <v>185825</v>
      </c>
      <c r="G129" s="15" t="str">
        <f t="shared" si="9"/>
        <v/>
      </c>
      <c r="H129" s="16">
        <v>193250.7</v>
      </c>
      <c r="I129" s="16">
        <f t="shared" si="4"/>
        <v>-7425.7000000000116</v>
      </c>
      <c r="J129" s="15">
        <f t="shared" si="5"/>
        <v>-3.8425216571013769E-2</v>
      </c>
      <c r="K129" s="57" t="s">
        <v>1872</v>
      </c>
      <c r="L129" s="112" t="s">
        <v>1873</v>
      </c>
      <c r="M129" s="116"/>
      <c r="N129" s="116"/>
      <c r="O129" s="116"/>
      <c r="P129" s="116"/>
      <c r="Q129" s="116"/>
      <c r="R129" s="116"/>
      <c r="S129" s="116"/>
      <c r="T129" s="116"/>
      <c r="U129" s="116"/>
      <c r="V129" s="116"/>
      <c r="W129" s="116"/>
      <c r="X129" s="116"/>
    </row>
    <row r="130" spans="1:24" ht="72">
      <c r="A130" s="28" t="str">
        <v>647 Summer Street - (Summer Street Solar)</v>
      </c>
      <c r="B130" s="25" t="str">
        <v>MA</v>
      </c>
      <c r="C130" s="25" t="str">
        <f>Sites[[#This Row],[SOL'#]]</f>
        <v>SOL-10764</v>
      </c>
      <c r="D130" s="20">
        <v>0</v>
      </c>
      <c r="E130" s="10">
        <v>64247.81</v>
      </c>
      <c r="F130" s="10">
        <f t="shared" si="8"/>
        <v>-64247.81</v>
      </c>
      <c r="G130" s="11">
        <f t="shared" si="9"/>
        <v>-1</v>
      </c>
      <c r="H130" s="12">
        <v>409224.3</v>
      </c>
      <c r="I130" s="12">
        <f t="shared" si="4"/>
        <v>-409224.3</v>
      </c>
      <c r="J130" s="13">
        <f t="shared" si="5"/>
        <v>-1</v>
      </c>
      <c r="K130" s="59" t="s">
        <v>1580</v>
      </c>
      <c r="L130" s="111" t="s">
        <v>1581</v>
      </c>
      <c r="M130" s="115" t="s">
        <v>1268</v>
      </c>
      <c r="N130" s="116"/>
      <c r="O130" s="116"/>
      <c r="P130" s="116"/>
      <c r="Q130" s="116"/>
      <c r="R130" s="116"/>
      <c r="S130" s="116"/>
      <c r="T130" s="116"/>
      <c r="U130" s="116"/>
      <c r="V130" s="116"/>
      <c r="W130" s="116"/>
      <c r="X130" s="116"/>
    </row>
    <row r="131" spans="1:24" ht="15.6">
      <c r="A131" s="26" t="str">
        <v>Rochester Technical School (Wakefield Street)</v>
      </c>
      <c r="B131" s="27" t="str">
        <v>NH</v>
      </c>
      <c r="C131" s="27" t="str">
        <f>Sites[[#This Row],[SOL'#]]</f>
        <v>SOL-10768</v>
      </c>
      <c r="D131" s="9">
        <v>17978.129069999999</v>
      </c>
      <c r="E131" s="14">
        <v>17518.419999999998</v>
      </c>
      <c r="F131" s="14">
        <f t="shared" si="8"/>
        <v>459.70907000000079</v>
      </c>
      <c r="G131" s="15">
        <f t="shared" si="9"/>
        <v>2.6241468694094605E-2</v>
      </c>
      <c r="H131" s="16">
        <v>13220.3</v>
      </c>
      <c r="I131" s="16">
        <f t="shared" si="4"/>
        <v>4757.8290699999998</v>
      </c>
      <c r="J131" s="15">
        <f t="shared" si="5"/>
        <v>0.35988813188808122</v>
      </c>
      <c r="L131" s="57"/>
      <c r="M131" s="116"/>
      <c r="N131" s="116"/>
      <c r="O131" s="116"/>
      <c r="P131" s="116"/>
      <c r="Q131" s="116"/>
      <c r="R131" s="116"/>
      <c r="S131" s="116"/>
      <c r="T131" s="116"/>
      <c r="U131" s="116"/>
      <c r="V131" s="116"/>
      <c r="W131" s="116"/>
      <c r="X131" s="116"/>
    </row>
    <row r="132" spans="1:24" ht="15.6">
      <c r="A132" s="28" t="str">
        <v>McClelland ES</v>
      </c>
      <c r="B132" s="25" t="str">
        <v>NH</v>
      </c>
      <c r="C132" s="25" t="str">
        <f>Sites[[#This Row],[SOL'#]]</f>
        <v>SOL-10766</v>
      </c>
      <c r="D132" s="20">
        <v>13246.875</v>
      </c>
      <c r="E132" s="10">
        <v>13989</v>
      </c>
      <c r="F132" s="10">
        <f t="shared" si="8"/>
        <v>-742.125</v>
      </c>
      <c r="G132" s="11">
        <f t="shared" si="9"/>
        <v>-5.3050611194509975E-2</v>
      </c>
      <c r="H132" s="12">
        <v>9803.6689999999999</v>
      </c>
      <c r="I132" s="12">
        <f t="shared" si="4"/>
        <v>3443.2060000000001</v>
      </c>
      <c r="J132" s="13">
        <f t="shared" si="5"/>
        <v>0.35121606002813849</v>
      </c>
      <c r="K132" s="81"/>
      <c r="L132" s="59"/>
      <c r="M132" s="116"/>
      <c r="N132" s="116"/>
      <c r="O132" s="116"/>
      <c r="P132" s="116"/>
      <c r="Q132" s="116"/>
      <c r="R132" s="116"/>
      <c r="S132" s="116"/>
      <c r="T132" s="116"/>
      <c r="U132" s="116"/>
      <c r="V132" s="116"/>
      <c r="W132" s="116"/>
      <c r="X132" s="116"/>
    </row>
    <row r="133" spans="1:24" ht="15.6">
      <c r="A133" s="26" t="str">
        <v>Portland St</v>
      </c>
      <c r="B133" s="27" t="str">
        <v>NH</v>
      </c>
      <c r="C133" s="27" t="str">
        <f>Sites[[#This Row],[SOL'#]]</f>
        <v>SOL-10771</v>
      </c>
      <c r="D133" s="9">
        <v>11535.627</v>
      </c>
      <c r="E133" s="14">
        <v>8215.9359999999997</v>
      </c>
      <c r="F133" s="14">
        <f t="shared" si="8"/>
        <v>3319.6910000000007</v>
      </c>
      <c r="G133" s="15">
        <f t="shared" si="9"/>
        <v>0.40405511922196091</v>
      </c>
      <c r="H133" s="16">
        <v>9368.7739999999994</v>
      </c>
      <c r="I133" s="16">
        <f t="shared" ref="I133:I196" si="10">IF(AND(ISNUMBER(D133),ISNUMBER(H133)), D133-H133, "")</f>
        <v>2166.853000000001</v>
      </c>
      <c r="J133" s="15">
        <f t="shared" ref="J133:J196" si="11">IFERROR(I133/H133, "")</f>
        <v>0.2312845843009983</v>
      </c>
      <c r="K133" s="57"/>
      <c r="L133" s="57"/>
      <c r="M133" s="116"/>
      <c r="N133" s="116"/>
      <c r="O133" s="116"/>
      <c r="P133" s="116"/>
      <c r="Q133" s="116"/>
      <c r="R133" s="116"/>
      <c r="S133" s="116"/>
      <c r="T133" s="116"/>
      <c r="U133" s="116"/>
      <c r="V133" s="116"/>
      <c r="W133" s="116"/>
      <c r="X133" s="116"/>
    </row>
    <row r="134" spans="1:24" ht="15.6">
      <c r="A134" s="28" t="str">
        <v>Freshet Road -PHS</v>
      </c>
      <c r="B134" s="25" t="str">
        <v>NH</v>
      </c>
      <c r="C134" s="25" t="str">
        <f>Sites[[#This Row],[SOL'#]]</f>
        <v>SOL-10769</v>
      </c>
      <c r="D134" s="20">
        <v>44411.625</v>
      </c>
      <c r="E134" s="10" t="s">
        <v>777</v>
      </c>
      <c r="F134" s="10" t="str">
        <f t="shared" si="8"/>
        <v/>
      </c>
      <c r="G134" s="11" t="str">
        <f t="shared" si="9"/>
        <v/>
      </c>
      <c r="H134" s="12">
        <v>35518.29</v>
      </c>
      <c r="I134" s="12">
        <f t="shared" si="10"/>
        <v>8893.3349999999991</v>
      </c>
      <c r="J134" s="13">
        <f t="shared" si="11"/>
        <v>0.25038747642411835</v>
      </c>
      <c r="K134" s="59" t="s">
        <v>1874</v>
      </c>
      <c r="L134" s="111" t="s">
        <v>1875</v>
      </c>
      <c r="M134" s="116"/>
      <c r="N134" s="116"/>
      <c r="O134" s="116"/>
      <c r="P134" s="116"/>
      <c r="Q134" s="116"/>
      <c r="R134" s="116"/>
      <c r="S134" s="116"/>
      <c r="T134" s="116"/>
      <c r="U134" s="116"/>
      <c r="V134" s="116"/>
      <c r="W134" s="116"/>
      <c r="X134" s="116"/>
    </row>
    <row r="135" spans="1:24" ht="127.5" customHeight="1">
      <c r="A135" s="26" t="str">
        <v>Freshet Road - PWTP</v>
      </c>
      <c r="B135" s="27" t="str">
        <v>NH</v>
      </c>
      <c r="C135" s="27" t="str">
        <f>Sites[[#This Row],[SOL'#]]</f>
        <v>SOL-10770</v>
      </c>
      <c r="D135" s="9">
        <v>0</v>
      </c>
      <c r="E135" s="14">
        <v>0</v>
      </c>
      <c r="F135" s="14">
        <f t="shared" si="8"/>
        <v>0</v>
      </c>
      <c r="G135" s="15" t="str">
        <f t="shared" si="9"/>
        <v/>
      </c>
      <c r="H135" s="16">
        <v>0</v>
      </c>
      <c r="I135" s="16">
        <f t="shared" si="10"/>
        <v>0</v>
      </c>
      <c r="J135" s="15" t="str">
        <f t="shared" si="11"/>
        <v/>
      </c>
      <c r="K135" s="57" t="s">
        <v>1876</v>
      </c>
      <c r="L135" s="112" t="s">
        <v>1877</v>
      </c>
      <c r="M135" s="115" t="s">
        <v>1878</v>
      </c>
      <c r="N135" s="116"/>
      <c r="O135" s="116"/>
      <c r="P135" s="116"/>
      <c r="Q135" s="116"/>
      <c r="R135" s="116"/>
      <c r="S135" s="116"/>
      <c r="T135" s="116"/>
      <c r="U135" s="116"/>
      <c r="V135" s="116"/>
      <c r="W135" s="116"/>
      <c r="X135" s="116"/>
    </row>
    <row r="136" spans="1:24" ht="15.6">
      <c r="A136" s="28" t="str">
        <v>Rochester Middle School (Brock Street)</v>
      </c>
      <c r="B136" s="25" t="str">
        <v>NH</v>
      </c>
      <c r="C136" s="25" t="str">
        <f>Sites[[#This Row],[SOL'#]]</f>
        <v>SOL-10765</v>
      </c>
      <c r="D136" s="20">
        <v>38047.617380000003</v>
      </c>
      <c r="E136" s="10">
        <v>40396.32</v>
      </c>
      <c r="F136" s="10">
        <f t="shared" si="8"/>
        <v>-2348.7026199999964</v>
      </c>
      <c r="G136" s="11">
        <f t="shared" si="9"/>
        <v>-5.8141499522728714E-2</v>
      </c>
      <c r="H136" s="12">
        <v>30355.119999999999</v>
      </c>
      <c r="I136" s="12">
        <f t="shared" si="10"/>
        <v>7692.4973800000043</v>
      </c>
      <c r="J136" s="13">
        <f t="shared" si="11"/>
        <v>0.25341680019713331</v>
      </c>
      <c r="K136" s="59"/>
      <c r="L136" s="59"/>
      <c r="M136" s="116"/>
      <c r="N136" s="116"/>
      <c r="O136" s="116"/>
      <c r="P136" s="116"/>
      <c r="Q136" s="116"/>
      <c r="R136" s="116"/>
      <c r="S136" s="116"/>
      <c r="T136" s="116"/>
      <c r="U136" s="116"/>
      <c r="V136" s="116"/>
      <c r="W136" s="116"/>
      <c r="X136" s="116"/>
    </row>
    <row r="137" spans="1:24" ht="15.6">
      <c r="A137" s="26" t="str">
        <v>Spaulding High School (Wakefield Street)</v>
      </c>
      <c r="B137" s="27" t="str">
        <v>NH</v>
      </c>
      <c r="C137" s="27" t="str">
        <f>Sites[[#This Row],[SOL'#]]</f>
        <v>SOL-10767</v>
      </c>
      <c r="D137" s="9">
        <v>17978.129069999999</v>
      </c>
      <c r="E137" s="14">
        <v>17518.419999999998</v>
      </c>
      <c r="F137" s="14">
        <f t="shared" si="8"/>
        <v>459.70907000000079</v>
      </c>
      <c r="G137" s="15">
        <f t="shared" si="9"/>
        <v>2.6241468694094605E-2</v>
      </c>
      <c r="H137" s="16">
        <v>13220.3</v>
      </c>
      <c r="I137" s="16">
        <f t="shared" si="10"/>
        <v>4757.8290699999998</v>
      </c>
      <c r="J137" s="15">
        <f t="shared" si="11"/>
        <v>0.35988813188808122</v>
      </c>
      <c r="K137" s="57"/>
      <c r="L137" s="57"/>
      <c r="M137" s="116"/>
      <c r="N137" s="116"/>
      <c r="O137" s="116"/>
      <c r="P137" s="116"/>
      <c r="Q137" s="116"/>
      <c r="R137" s="116"/>
      <c r="S137" s="116"/>
      <c r="T137" s="116"/>
      <c r="U137" s="116"/>
      <c r="V137" s="116"/>
      <c r="W137" s="116"/>
      <c r="X137" s="116"/>
    </row>
    <row r="138" spans="1:24" ht="15.6">
      <c r="A138" s="28" t="str">
        <v>Ridgeway #2</v>
      </c>
      <c r="B138" s="25" t="str">
        <v>NY</v>
      </c>
      <c r="C138" s="25" t="str">
        <f>Sites[[#This Row],[SOL'#]]</f>
        <v>SOL-11027</v>
      </c>
      <c r="D138" s="20">
        <v>729749</v>
      </c>
      <c r="E138" s="10">
        <v>727161</v>
      </c>
      <c r="F138" s="10">
        <f t="shared" si="8"/>
        <v>2588</v>
      </c>
      <c r="G138" s="11">
        <f t="shared" si="9"/>
        <v>3.5590467585582836E-3</v>
      </c>
      <c r="H138" s="12">
        <v>682250.39</v>
      </c>
      <c r="I138" s="12">
        <f t="shared" si="10"/>
        <v>47498.609999999986</v>
      </c>
      <c r="J138" s="13">
        <f t="shared" si="11"/>
        <v>6.9620495196785426E-2</v>
      </c>
      <c r="K138" s="59"/>
      <c r="L138" s="59"/>
      <c r="M138" s="116"/>
      <c r="N138" s="116"/>
      <c r="O138" s="116"/>
      <c r="P138" s="116"/>
      <c r="Q138" s="116"/>
      <c r="R138" s="116"/>
      <c r="S138" s="116"/>
      <c r="T138" s="116"/>
      <c r="U138" s="116"/>
      <c r="V138" s="116"/>
      <c r="W138" s="116"/>
      <c r="X138" s="116"/>
    </row>
    <row r="139" spans="1:24" ht="15.6">
      <c r="A139" s="26" t="str">
        <v>Spencer</v>
      </c>
      <c r="B139" s="27" t="str">
        <v>NY</v>
      </c>
      <c r="C139" s="27" t="str">
        <f>Sites[[#This Row],[SOL'#]]</f>
        <v>SOL-11017</v>
      </c>
      <c r="D139" s="9">
        <v>1365998</v>
      </c>
      <c r="E139" s="14">
        <v>1361782</v>
      </c>
      <c r="F139" s="14">
        <f t="shared" ref="F139:F200" si="12">IF(AND(ISNUMBER(D139),ISNUMBER(E139)), D139-E139, "")</f>
        <v>4216</v>
      </c>
      <c r="G139" s="15">
        <f t="shared" ref="G139:G200" si="13">IFERROR(F139/E139, "")</f>
        <v>3.0959434035697344E-3</v>
      </c>
      <c r="H139" s="16">
        <v>1303450</v>
      </c>
      <c r="I139" s="16">
        <f t="shared" si="10"/>
        <v>62548</v>
      </c>
      <c r="J139" s="15">
        <f t="shared" si="11"/>
        <v>4.7986497372357974E-2</v>
      </c>
      <c r="K139" s="57" t="s">
        <v>1879</v>
      </c>
      <c r="L139" s="112" t="s">
        <v>1880</v>
      </c>
      <c r="M139" s="116"/>
      <c r="N139" s="116"/>
      <c r="O139" s="116"/>
      <c r="P139" s="116"/>
      <c r="Q139" s="116"/>
      <c r="R139" s="116"/>
      <c r="S139" s="116"/>
      <c r="T139" s="116"/>
      <c r="U139" s="116"/>
      <c r="V139" s="116"/>
      <c r="W139" s="116"/>
      <c r="X139" s="116"/>
    </row>
    <row r="140" spans="1:24" ht="28.9">
      <c r="A140" s="28" t="str">
        <v>Reisender</v>
      </c>
      <c r="B140" s="25" t="str">
        <v>NY</v>
      </c>
      <c r="C140" s="25" t="str">
        <f>Sites[[#This Row],[SOL'#]]</f>
        <v>SOL-10886</v>
      </c>
      <c r="D140" s="20">
        <v>383420</v>
      </c>
      <c r="E140" s="10">
        <v>391343</v>
      </c>
      <c r="F140" s="10">
        <f t="shared" si="12"/>
        <v>-7923</v>
      </c>
      <c r="G140" s="11">
        <f t="shared" si="13"/>
        <v>-2.0245666844686119E-2</v>
      </c>
      <c r="H140" s="12">
        <v>415133.27</v>
      </c>
      <c r="I140" s="12">
        <f t="shared" si="10"/>
        <v>-31713.270000000019</v>
      </c>
      <c r="J140" s="13">
        <f t="shared" si="11"/>
        <v>-7.6392985799475954E-2</v>
      </c>
      <c r="K140" s="59" t="s">
        <v>1881</v>
      </c>
      <c r="L140" s="111" t="s">
        <v>1585</v>
      </c>
      <c r="M140" s="116"/>
      <c r="N140" s="116"/>
      <c r="O140" s="116"/>
      <c r="P140" s="116"/>
      <c r="Q140" s="116"/>
      <c r="R140" s="116"/>
      <c r="S140" s="116"/>
      <c r="T140" s="116"/>
      <c r="U140" s="116"/>
      <c r="V140" s="116"/>
      <c r="W140" s="116"/>
      <c r="X140" s="116"/>
    </row>
    <row r="141" spans="1:24" ht="57.6">
      <c r="A141" s="26" t="str">
        <v>Finney</v>
      </c>
      <c r="B141" s="27" t="str">
        <v>NY</v>
      </c>
      <c r="C141" s="27" t="str">
        <f>Sites[[#This Row],[SOL'#]]</f>
        <v>SOL-10999</v>
      </c>
      <c r="D141" s="9">
        <v>996120</v>
      </c>
      <c r="E141" s="14">
        <v>994390</v>
      </c>
      <c r="F141" s="14">
        <f t="shared" si="12"/>
        <v>1730</v>
      </c>
      <c r="G141" s="15">
        <f t="shared" si="13"/>
        <v>1.7397600539023924E-3</v>
      </c>
      <c r="H141" s="16">
        <v>1313701.1499999999</v>
      </c>
      <c r="I141" s="16">
        <f t="shared" si="10"/>
        <v>-317581.14999999991</v>
      </c>
      <c r="J141" s="15">
        <f t="shared" si="11"/>
        <v>-0.24174535433724781</v>
      </c>
      <c r="K141" s="57" t="s">
        <v>1882</v>
      </c>
      <c r="L141" s="112" t="s">
        <v>1883</v>
      </c>
      <c r="M141" s="115" t="s">
        <v>1589</v>
      </c>
      <c r="N141" s="115" t="s">
        <v>1884</v>
      </c>
      <c r="O141" s="116"/>
      <c r="P141" s="116"/>
      <c r="Q141" s="116"/>
      <c r="R141" s="116"/>
      <c r="S141" s="116"/>
      <c r="T141" s="116"/>
      <c r="U141" s="116"/>
      <c r="V141" s="116"/>
      <c r="W141" s="116"/>
      <c r="X141" s="116"/>
    </row>
    <row r="142" spans="1:24" ht="121.5" customHeight="1">
      <c r="A142" s="28" t="str">
        <v>Davis Solar</v>
      </c>
      <c r="B142" s="25" t="str">
        <v>NY</v>
      </c>
      <c r="C142" s="25" t="str">
        <f>Sites[[#This Row],[SOL'#]]</f>
        <v>SOL-10958</v>
      </c>
      <c r="D142" s="20">
        <v>392668</v>
      </c>
      <c r="E142" s="10">
        <v>443281.7</v>
      </c>
      <c r="F142" s="10">
        <f t="shared" si="12"/>
        <v>-50613.700000000012</v>
      </c>
      <c r="G142" s="11">
        <f t="shared" si="13"/>
        <v>-0.11417953865453956</v>
      </c>
      <c r="H142" s="12">
        <v>479574</v>
      </c>
      <c r="I142" s="12">
        <f t="shared" si="10"/>
        <v>-86906</v>
      </c>
      <c r="J142" s="13">
        <f t="shared" si="11"/>
        <v>-0.18121499497470672</v>
      </c>
      <c r="K142" s="81" t="s">
        <v>1885</v>
      </c>
      <c r="L142" s="111" t="s">
        <v>1886</v>
      </c>
      <c r="M142" s="115" t="s">
        <v>1887</v>
      </c>
      <c r="N142" s="115" t="s">
        <v>1888</v>
      </c>
      <c r="O142" s="115" t="s">
        <v>1889</v>
      </c>
      <c r="P142" s="115" t="s">
        <v>1889</v>
      </c>
      <c r="Q142" s="116"/>
      <c r="R142" s="116"/>
      <c r="S142" s="116"/>
      <c r="T142" s="116"/>
      <c r="U142" s="116"/>
      <c r="V142" s="116"/>
      <c r="W142" s="116"/>
      <c r="X142" s="116"/>
    </row>
    <row r="143" spans="1:24" ht="15.6">
      <c r="A143" s="26" t="str">
        <v>Genesee</v>
      </c>
      <c r="B143" s="27" t="str">
        <v>NY</v>
      </c>
      <c r="C143" s="27" t="str">
        <f>Sites[[#This Row],[SOL'#]]</f>
        <v>SOL-10951</v>
      </c>
      <c r="D143" s="9">
        <v>1001760.5</v>
      </c>
      <c r="E143" s="14">
        <v>1000080.71</v>
      </c>
      <c r="F143" s="14">
        <f t="shared" si="12"/>
        <v>1679.7900000000373</v>
      </c>
      <c r="G143" s="15">
        <f t="shared" si="13"/>
        <v>1.6796544350905812E-3</v>
      </c>
      <c r="H143" s="16">
        <v>1013360.34</v>
      </c>
      <c r="I143" s="16">
        <f t="shared" si="10"/>
        <v>-11599.839999999967</v>
      </c>
      <c r="J143" s="15">
        <f t="shared" si="11"/>
        <v>-1.1446905451223765E-2</v>
      </c>
      <c r="K143" s="57" t="s">
        <v>1890</v>
      </c>
      <c r="L143" s="112" t="s">
        <v>1891</v>
      </c>
      <c r="M143" s="116"/>
      <c r="N143" s="116"/>
      <c r="O143" s="116"/>
      <c r="P143" s="116"/>
      <c r="Q143" s="116"/>
      <c r="R143" s="116"/>
      <c r="S143" s="116"/>
      <c r="T143" s="116"/>
      <c r="U143" s="116"/>
      <c r="V143" s="116"/>
      <c r="W143" s="116"/>
      <c r="X143" s="116"/>
    </row>
    <row r="144" spans="1:24" ht="15.6">
      <c r="A144" s="28" t="str">
        <v>Landau I</v>
      </c>
      <c r="B144" s="25" t="str">
        <v>NY</v>
      </c>
      <c r="C144" s="25" t="str">
        <f>Sites[[#This Row],[SOL'#]]</f>
        <v>SOL-10891</v>
      </c>
      <c r="D144" s="20">
        <v>429340</v>
      </c>
      <c r="E144" s="10" t="s">
        <v>777</v>
      </c>
      <c r="F144" s="10" t="str">
        <f t="shared" si="12"/>
        <v/>
      </c>
      <c r="G144" s="11" t="str">
        <f t="shared" si="13"/>
        <v/>
      </c>
      <c r="H144" s="12">
        <v>448929.38</v>
      </c>
      <c r="I144" s="12">
        <f t="shared" si="10"/>
        <v>-19589.380000000005</v>
      </c>
      <c r="J144" s="13">
        <f t="shared" si="11"/>
        <v>-4.3635771844560509E-2</v>
      </c>
      <c r="K144" s="59"/>
      <c r="L144" s="59"/>
      <c r="M144" s="116"/>
      <c r="N144" s="116"/>
      <c r="O144" s="116"/>
      <c r="P144" s="116"/>
      <c r="Q144" s="116"/>
      <c r="R144" s="116"/>
      <c r="S144" s="116"/>
      <c r="T144" s="116"/>
      <c r="U144" s="116"/>
      <c r="V144" s="116"/>
      <c r="W144" s="116"/>
      <c r="X144" s="116"/>
    </row>
    <row r="145" spans="1:24" ht="209.25" customHeight="1">
      <c r="A145" s="26" t="str">
        <v>Landau II</v>
      </c>
      <c r="B145" s="27" t="str">
        <v>NY</v>
      </c>
      <c r="C145" s="27" t="str">
        <f>Sites[[#This Row],[SOL'#]]</f>
        <v>SOL-10895</v>
      </c>
      <c r="D145" s="9">
        <v>374100</v>
      </c>
      <c r="E145" s="14" t="s">
        <v>777</v>
      </c>
      <c r="F145" s="14" t="str">
        <f t="shared" si="12"/>
        <v/>
      </c>
      <c r="G145" s="15" t="str">
        <f t="shared" si="13"/>
        <v/>
      </c>
      <c r="H145" s="162" t="s">
        <v>1088</v>
      </c>
      <c r="I145" s="16" t="str">
        <f t="shared" si="10"/>
        <v/>
      </c>
      <c r="J145" s="15" t="str">
        <f t="shared" si="11"/>
        <v/>
      </c>
      <c r="K145" s="57" t="s">
        <v>1892</v>
      </c>
      <c r="L145" s="112" t="s">
        <v>1893</v>
      </c>
      <c r="M145" s="115" t="s">
        <v>1894</v>
      </c>
      <c r="N145" s="115" t="s">
        <v>1895</v>
      </c>
      <c r="O145" s="115" t="s">
        <v>1896</v>
      </c>
      <c r="P145" s="115" t="s">
        <v>1897</v>
      </c>
      <c r="Q145" s="115" t="s">
        <v>1898</v>
      </c>
      <c r="R145" s="115" t="s">
        <v>1899</v>
      </c>
      <c r="S145" s="116"/>
      <c r="T145" s="116"/>
      <c r="U145" s="116"/>
      <c r="V145" s="116"/>
      <c r="W145" s="116"/>
      <c r="X145" s="116"/>
    </row>
    <row r="146" spans="1:24" ht="15.6">
      <c r="A146" s="28" t="str">
        <v>New Beginnings</v>
      </c>
      <c r="B146" s="25" t="str">
        <v>NY</v>
      </c>
      <c r="C146" s="25" t="str">
        <f>Sites[[#This Row],[SOL'#]]</f>
        <v>SOL-10890</v>
      </c>
      <c r="D146" s="20">
        <v>420830</v>
      </c>
      <c r="E146" s="10">
        <v>435980.89</v>
      </c>
      <c r="F146" s="10"/>
      <c r="G146" s="11"/>
      <c r="H146" s="12">
        <v>430014.12</v>
      </c>
      <c r="I146" s="12">
        <f t="shared" si="10"/>
        <v>-9184.1199999999953</v>
      </c>
      <c r="J146" s="13">
        <f t="shared" si="11"/>
        <v>-2.1357717276818712E-2</v>
      </c>
      <c r="K146" s="59"/>
      <c r="L146" s="59"/>
      <c r="M146" s="116"/>
      <c r="N146" s="116"/>
      <c r="O146" s="116"/>
      <c r="P146" s="116"/>
      <c r="Q146" s="116"/>
      <c r="R146" s="116"/>
      <c r="S146" s="116"/>
      <c r="T146" s="116"/>
      <c r="U146" s="116"/>
      <c r="V146" s="116"/>
      <c r="W146" s="116"/>
      <c r="X146" s="116"/>
    </row>
    <row r="147" spans="1:24" ht="15.6">
      <c r="A147" s="26" t="str">
        <v>Bullitt Farm Solar, LLC</v>
      </c>
      <c r="B147" s="27" t="str">
        <v>NY</v>
      </c>
      <c r="C147" s="27" t="str">
        <f>Sites[[#This Row],[SOL'#]]</f>
        <v>SOL-10998</v>
      </c>
      <c r="D147" s="9">
        <v>1262399</v>
      </c>
      <c r="E147" s="14">
        <v>1316479</v>
      </c>
      <c r="F147" s="14">
        <f t="shared" si="12"/>
        <v>-54080</v>
      </c>
      <c r="G147" s="15">
        <f t="shared" si="13"/>
        <v>-4.107927281787252E-2</v>
      </c>
      <c r="H147" s="16">
        <v>1265415</v>
      </c>
      <c r="I147" s="16">
        <f t="shared" si="10"/>
        <v>-3016</v>
      </c>
      <c r="J147" s="15">
        <f t="shared" si="11"/>
        <v>-2.3834078148275467E-3</v>
      </c>
      <c r="K147" s="57" t="s">
        <v>1900</v>
      </c>
      <c r="L147" s="112" t="s">
        <v>1901</v>
      </c>
      <c r="M147" s="116"/>
      <c r="N147" s="116"/>
      <c r="O147" s="116"/>
      <c r="P147" s="116"/>
      <c r="Q147" s="116"/>
      <c r="R147" s="116"/>
      <c r="S147" s="116"/>
      <c r="T147" s="116"/>
      <c r="U147" s="116"/>
      <c r="V147" s="116"/>
      <c r="W147" s="116"/>
      <c r="X147" s="116"/>
    </row>
    <row r="148" spans="1:24" ht="28.9">
      <c r="A148" s="28" t="str">
        <v>Brodhead Solar, LLC</v>
      </c>
      <c r="B148" s="25" t="str">
        <v>NY</v>
      </c>
      <c r="C148" s="25" t="str">
        <f>Sites[[#This Row],[SOL'#]]</f>
        <v>SOL-10899</v>
      </c>
      <c r="D148" s="20">
        <v>450232</v>
      </c>
      <c r="E148" s="10">
        <v>464945.2</v>
      </c>
      <c r="F148" s="10">
        <f t="shared" si="12"/>
        <v>-14713.200000000012</v>
      </c>
      <c r="G148" s="11">
        <f t="shared" si="13"/>
        <v>-3.1645019671135463E-2</v>
      </c>
      <c r="H148" s="12">
        <v>543814.19999999995</v>
      </c>
      <c r="I148" s="12">
        <f t="shared" si="10"/>
        <v>-93582.199999999953</v>
      </c>
      <c r="J148" s="13">
        <f t="shared" si="11"/>
        <v>-0.17208487751882898</v>
      </c>
      <c r="K148" s="59" t="s">
        <v>1902</v>
      </c>
      <c r="L148" s="111" t="s">
        <v>1903</v>
      </c>
      <c r="M148" s="116"/>
      <c r="N148" s="116"/>
      <c r="O148" s="116"/>
      <c r="P148" s="116"/>
      <c r="Q148" s="116"/>
      <c r="R148" s="116"/>
      <c r="S148" s="116"/>
      <c r="T148" s="116"/>
      <c r="U148" s="116"/>
      <c r="V148" s="116"/>
      <c r="W148" s="116"/>
      <c r="X148" s="116"/>
    </row>
    <row r="149" spans="1:24" ht="84.75" customHeight="1">
      <c r="A149" s="26" t="str">
        <v>Svenski</v>
      </c>
      <c r="B149" s="27" t="str">
        <v>NY</v>
      </c>
      <c r="C149" s="27" t="str">
        <f>Sites[[#This Row],[SOL'#]]</f>
        <v>SOL-10894</v>
      </c>
      <c r="D149" s="9">
        <v>406997</v>
      </c>
      <c r="E149" s="14" t="s">
        <v>777</v>
      </c>
      <c r="F149" s="14" t="str">
        <f t="shared" si="12"/>
        <v/>
      </c>
      <c r="G149" s="15" t="str">
        <f t="shared" si="13"/>
        <v/>
      </c>
      <c r="H149" s="16">
        <v>455483.42</v>
      </c>
      <c r="I149" s="16">
        <f t="shared" si="10"/>
        <v>-48486.419999999984</v>
      </c>
      <c r="J149" s="15">
        <f t="shared" si="11"/>
        <v>-0.10645046091908238</v>
      </c>
      <c r="K149" s="57" t="s">
        <v>1904</v>
      </c>
      <c r="L149" s="112" t="s">
        <v>1905</v>
      </c>
      <c r="M149" s="115" t="s">
        <v>1906</v>
      </c>
      <c r="N149" s="116"/>
      <c r="O149" s="116"/>
      <c r="P149" s="116"/>
      <c r="Q149" s="116"/>
      <c r="R149" s="116"/>
      <c r="S149" s="116"/>
      <c r="T149" s="116"/>
      <c r="U149" s="116"/>
      <c r="V149" s="116"/>
      <c r="W149" s="116"/>
      <c r="X149" s="116"/>
    </row>
    <row r="150" spans="1:24" ht="115.15">
      <c r="A150" s="28" t="str">
        <v>Bantam</v>
      </c>
      <c r="B150" s="25" t="str">
        <v>NY</v>
      </c>
      <c r="C150" s="25" t="str">
        <f>Sites[[#This Row],[SOL'#]]</f>
        <v>SOL-10986</v>
      </c>
      <c r="D150" s="20">
        <v>109500</v>
      </c>
      <c r="E150" s="10">
        <v>418980</v>
      </c>
      <c r="F150" s="10">
        <f t="shared" si="12"/>
        <v>-309480</v>
      </c>
      <c r="G150" s="11">
        <f t="shared" si="13"/>
        <v>-0.73865100959473007</v>
      </c>
      <c r="H150" s="12">
        <v>1295680.06</v>
      </c>
      <c r="I150" s="12">
        <f t="shared" si="10"/>
        <v>-1186180.06</v>
      </c>
      <c r="J150" s="13">
        <f t="shared" si="11"/>
        <v>-0.91548839610914445</v>
      </c>
      <c r="K150" s="59" t="s">
        <v>1907</v>
      </c>
      <c r="L150" s="111" t="s">
        <v>1908</v>
      </c>
      <c r="M150" s="115" t="s">
        <v>1311</v>
      </c>
      <c r="N150" s="115" t="s">
        <v>1909</v>
      </c>
      <c r="O150" s="116"/>
      <c r="P150" s="116"/>
      <c r="Q150" s="116"/>
      <c r="R150" s="116"/>
      <c r="S150" s="116"/>
      <c r="T150" s="116"/>
      <c r="U150" s="116"/>
      <c r="V150" s="116"/>
      <c r="W150" s="116"/>
      <c r="X150" s="116"/>
    </row>
    <row r="151" spans="1:24" ht="28.9">
      <c r="A151" s="26" t="str">
        <v>Bogart</v>
      </c>
      <c r="B151" s="27" t="str">
        <v>NY</v>
      </c>
      <c r="C151" s="27" t="str">
        <f>Sites[[#This Row],[SOL'#]]</f>
        <v>SOL-10887</v>
      </c>
      <c r="D151" s="9">
        <v>0</v>
      </c>
      <c r="E151" s="14">
        <v>398556.15999999997</v>
      </c>
      <c r="F151" s="14">
        <f t="shared" si="12"/>
        <v>-398556.15999999997</v>
      </c>
      <c r="G151" s="15">
        <f t="shared" si="13"/>
        <v>-1</v>
      </c>
      <c r="H151" s="16">
        <v>419353.86</v>
      </c>
      <c r="I151" s="16">
        <f t="shared" si="10"/>
        <v>-419353.86</v>
      </c>
      <c r="J151" s="15">
        <f t="shared" si="11"/>
        <v>-1</v>
      </c>
      <c r="K151" s="57" t="s">
        <v>1607</v>
      </c>
      <c r="L151" s="112" t="s">
        <v>1910</v>
      </c>
      <c r="M151" s="116"/>
      <c r="N151" s="116"/>
      <c r="O151" s="116"/>
      <c r="P151" s="116"/>
      <c r="Q151" s="116"/>
      <c r="R151" s="116"/>
      <c r="S151" s="116"/>
      <c r="T151" s="116"/>
      <c r="U151" s="116"/>
      <c r="V151" s="116"/>
      <c r="W151" s="116"/>
      <c r="X151" s="116"/>
    </row>
    <row r="152" spans="1:24" ht="28.9">
      <c r="A152" s="28" t="str">
        <v>Dubois</v>
      </c>
      <c r="B152" s="25" t="str">
        <v>NY</v>
      </c>
      <c r="C152" s="25" t="str">
        <f>Sites[[#This Row],[SOL'#]]</f>
        <v>SOL-10892</v>
      </c>
      <c r="D152" s="20">
        <v>386460</v>
      </c>
      <c r="E152" s="10">
        <v>386385.12</v>
      </c>
      <c r="F152" s="10">
        <f t="shared" si="12"/>
        <v>74.880000000004657</v>
      </c>
      <c r="G152" s="11">
        <f t="shared" si="13"/>
        <v>1.9379628283823315E-4</v>
      </c>
      <c r="H152" s="161" t="s">
        <v>1088</v>
      </c>
      <c r="I152" s="12" t="str">
        <f t="shared" si="10"/>
        <v/>
      </c>
      <c r="J152" s="13" t="str">
        <f t="shared" si="11"/>
        <v/>
      </c>
      <c r="K152" s="59" t="s">
        <v>1911</v>
      </c>
      <c r="L152" s="111" t="s">
        <v>1912</v>
      </c>
      <c r="M152" s="116"/>
      <c r="N152" s="116"/>
      <c r="O152" s="116"/>
      <c r="P152" s="116"/>
      <c r="Q152" s="116"/>
      <c r="R152" s="116"/>
      <c r="S152" s="116"/>
      <c r="T152" s="116"/>
      <c r="U152" s="116"/>
      <c r="V152" s="116"/>
      <c r="W152" s="116"/>
      <c r="X152" s="116"/>
    </row>
    <row r="153" spans="1:24" ht="129.6">
      <c r="A153" s="26" t="str">
        <v>Salt Point</v>
      </c>
      <c r="B153" s="27" t="str">
        <v>NY</v>
      </c>
      <c r="C153" s="27" t="str">
        <f>Sites[[#This Row],[SOL'#]]</f>
        <v>SOL-10888</v>
      </c>
      <c r="D153" s="9">
        <v>416220</v>
      </c>
      <c r="E153" s="14">
        <v>416220</v>
      </c>
      <c r="F153" s="14">
        <f t="shared" si="12"/>
        <v>0</v>
      </c>
      <c r="G153" s="15">
        <f t="shared" si="13"/>
        <v>0</v>
      </c>
      <c r="H153" s="16">
        <v>514904.5</v>
      </c>
      <c r="I153" s="16">
        <f t="shared" si="10"/>
        <v>-98684.5</v>
      </c>
      <c r="J153" s="15">
        <f t="shared" si="11"/>
        <v>-0.19165592842944662</v>
      </c>
      <c r="K153" s="57" t="s">
        <v>1913</v>
      </c>
      <c r="L153" s="112" t="s">
        <v>1914</v>
      </c>
      <c r="M153" s="115" t="s">
        <v>1915</v>
      </c>
      <c r="N153" s="115" t="s">
        <v>1916</v>
      </c>
      <c r="O153" s="115" t="s">
        <v>1917</v>
      </c>
      <c r="P153" s="115" t="s">
        <v>1918</v>
      </c>
      <c r="Q153" s="115" t="s">
        <v>1919</v>
      </c>
      <c r="R153" s="116"/>
      <c r="S153" s="116"/>
      <c r="T153" s="116"/>
      <c r="U153" s="116"/>
      <c r="V153" s="116"/>
      <c r="W153" s="116"/>
      <c r="X153" s="116"/>
    </row>
    <row r="154" spans="1:24" ht="28.9">
      <c r="A154" s="28" t="str">
        <v>Wheatland 2A</v>
      </c>
      <c r="B154" s="25" t="str">
        <v>NY</v>
      </c>
      <c r="C154" s="25" t="str">
        <f>Sites[[#This Row],[SOL'#]]</f>
        <v>SOL-10971</v>
      </c>
      <c r="D154" s="20">
        <v>1082680</v>
      </c>
      <c r="E154" s="10">
        <v>1080840</v>
      </c>
      <c r="F154" s="10">
        <f t="shared" si="12"/>
        <v>1840</v>
      </c>
      <c r="G154" s="11">
        <f t="shared" si="13"/>
        <v>1.7023796306576367E-3</v>
      </c>
      <c r="H154" s="12">
        <v>1177354.56</v>
      </c>
      <c r="I154" s="12">
        <f t="shared" si="10"/>
        <v>-94674.560000000056</v>
      </c>
      <c r="J154" s="13">
        <f t="shared" si="11"/>
        <v>-8.0412955635046801E-2</v>
      </c>
      <c r="K154" s="59" t="s">
        <v>1920</v>
      </c>
      <c r="L154" s="111" t="s">
        <v>1921</v>
      </c>
      <c r="M154" s="115" t="s">
        <v>1922</v>
      </c>
      <c r="N154" s="116"/>
      <c r="O154" s="116"/>
      <c r="P154" s="116"/>
      <c r="Q154" s="116"/>
      <c r="R154" s="116"/>
      <c r="S154" s="116"/>
      <c r="T154" s="116"/>
      <c r="U154" s="116"/>
      <c r="V154" s="116"/>
      <c r="W154" s="116"/>
      <c r="X154" s="116"/>
    </row>
    <row r="155" spans="1:24" ht="57.6">
      <c r="A155" s="26" t="str">
        <v>Wheatland 2B</v>
      </c>
      <c r="B155" s="27" t="str">
        <v>NY</v>
      </c>
      <c r="C155" s="27" t="str">
        <f>Sites[[#This Row],[SOL'#]]</f>
        <v>SOL-10961</v>
      </c>
      <c r="D155" s="9">
        <v>1133400</v>
      </c>
      <c r="E155" s="14">
        <v>1131560</v>
      </c>
      <c r="F155" s="14">
        <f t="shared" si="12"/>
        <v>1840</v>
      </c>
      <c r="G155" s="15">
        <f t="shared" si="13"/>
        <v>1.6260737389091166E-3</v>
      </c>
      <c r="H155" s="16">
        <v>1168051.71</v>
      </c>
      <c r="I155" s="16">
        <f t="shared" si="10"/>
        <v>-34651.709999999963</v>
      </c>
      <c r="J155" s="15">
        <f t="shared" si="11"/>
        <v>-2.9666246539718659E-2</v>
      </c>
      <c r="K155" s="57" t="s">
        <v>1923</v>
      </c>
      <c r="L155" s="112" t="s">
        <v>1924</v>
      </c>
      <c r="M155" s="115" t="s">
        <v>1925</v>
      </c>
      <c r="N155" s="116"/>
      <c r="O155" s="116"/>
      <c r="P155" s="116"/>
      <c r="Q155" s="116"/>
      <c r="R155" s="116"/>
      <c r="S155" s="116"/>
      <c r="T155" s="116"/>
      <c r="U155" s="116"/>
      <c r="V155" s="116"/>
      <c r="W155" s="116"/>
      <c r="X155" s="116"/>
    </row>
    <row r="156" spans="1:24" ht="28.9">
      <c r="A156" s="28" t="str">
        <v>Brickchurch</v>
      </c>
      <c r="B156" s="25" t="str">
        <v>NY</v>
      </c>
      <c r="C156" s="25" t="str">
        <f>Sites[[#This Row],[SOL'#]]</f>
        <v>SOL-10889</v>
      </c>
      <c r="D156" s="20">
        <v>0</v>
      </c>
      <c r="E156" s="10">
        <v>519962.55</v>
      </c>
      <c r="F156" s="10">
        <f t="shared" si="12"/>
        <v>-519962.55</v>
      </c>
      <c r="G156" s="11">
        <f t="shared" si="13"/>
        <v>-1</v>
      </c>
      <c r="H156" s="12">
        <v>532046.63</v>
      </c>
      <c r="I156" s="12">
        <f t="shared" si="10"/>
        <v>-532046.63</v>
      </c>
      <c r="J156" s="13">
        <f t="shared" si="11"/>
        <v>-1</v>
      </c>
      <c r="K156" s="59" t="s">
        <v>1926</v>
      </c>
      <c r="L156" s="111" t="s">
        <v>1927</v>
      </c>
      <c r="M156" s="116"/>
      <c r="N156" s="116"/>
      <c r="O156" s="116"/>
      <c r="P156" s="116"/>
      <c r="Q156" s="116"/>
      <c r="R156" s="116"/>
      <c r="S156" s="116"/>
      <c r="T156" s="116"/>
      <c r="U156" s="116"/>
      <c r="V156" s="116"/>
      <c r="W156" s="116"/>
      <c r="X156" s="116"/>
    </row>
    <row r="157" spans="1:24" ht="43.15">
      <c r="A157" s="26" t="str">
        <v>McCarthy Solar</v>
      </c>
      <c r="B157" s="27" t="str">
        <v>NY</v>
      </c>
      <c r="C157" s="27" t="str">
        <f>Sites[[#This Row],[SOL'#]]</f>
        <v>SOL-10992</v>
      </c>
      <c r="D157" s="9">
        <v>211620</v>
      </c>
      <c r="E157" s="14" t="s">
        <v>777</v>
      </c>
      <c r="F157" s="14" t="str">
        <f t="shared" si="12"/>
        <v/>
      </c>
      <c r="G157" s="15" t="str">
        <f t="shared" si="13"/>
        <v/>
      </c>
      <c r="H157" s="16">
        <v>448453.17</v>
      </c>
      <c r="I157" s="16">
        <f t="shared" si="10"/>
        <v>-236833.16999999998</v>
      </c>
      <c r="J157" s="15">
        <f t="shared" si="11"/>
        <v>-0.52811126298873079</v>
      </c>
      <c r="K157" s="38" t="s">
        <v>1928</v>
      </c>
      <c r="L157" s="112" t="s">
        <v>1929</v>
      </c>
      <c r="M157" s="115" t="s">
        <v>1930</v>
      </c>
      <c r="N157" s="116"/>
      <c r="O157" s="116"/>
      <c r="P157" s="116"/>
      <c r="Q157" s="116"/>
      <c r="R157" s="116"/>
      <c r="S157" s="116"/>
      <c r="T157" s="116"/>
      <c r="U157" s="116"/>
      <c r="V157" s="116"/>
      <c r="W157" s="116"/>
      <c r="X157" s="116"/>
    </row>
    <row r="158" spans="1:24" ht="133.5" customHeight="1">
      <c r="A158" s="28" t="str">
        <v>Costanza</v>
      </c>
      <c r="B158" s="25" t="str">
        <v>NY</v>
      </c>
      <c r="C158" s="25" t="str">
        <f>Sites[[#This Row],[SOL'#]]</f>
        <v>SOL-10907</v>
      </c>
      <c r="D158" s="20">
        <v>404580</v>
      </c>
      <c r="E158" s="10">
        <v>404631.91</v>
      </c>
      <c r="F158" s="10">
        <f t="shared" si="12"/>
        <v>-51.909999999974389</v>
      </c>
      <c r="G158" s="11">
        <f t="shared" si="13"/>
        <v>-1.2828943718248617E-4</v>
      </c>
      <c r="H158" s="12">
        <v>449076.09</v>
      </c>
      <c r="I158" s="12">
        <f t="shared" si="10"/>
        <v>-44496.090000000026</v>
      </c>
      <c r="J158" s="13">
        <f t="shared" si="11"/>
        <v>-9.9083631907456976E-2</v>
      </c>
      <c r="K158" s="59" t="s">
        <v>1931</v>
      </c>
      <c r="L158" s="111" t="s">
        <v>1932</v>
      </c>
      <c r="M158" s="115" t="s">
        <v>1933</v>
      </c>
      <c r="N158" s="115" t="s">
        <v>1934</v>
      </c>
      <c r="O158" s="115" t="s">
        <v>1935</v>
      </c>
      <c r="P158" s="115" t="s">
        <v>1936</v>
      </c>
      <c r="Q158" s="116"/>
      <c r="R158" s="116"/>
      <c r="S158" s="116"/>
      <c r="T158" s="116"/>
      <c r="U158" s="116"/>
      <c r="V158" s="116"/>
      <c r="W158" s="116"/>
      <c r="X158" s="116"/>
    </row>
    <row r="159" spans="1:24" ht="15.6">
      <c r="A159" s="26" t="str">
        <v>Lockenhurst Pond</v>
      </c>
      <c r="B159" s="27" t="str">
        <v>NY</v>
      </c>
      <c r="C159" s="27" t="str">
        <f>Sites[[#This Row],[SOL'#]]</f>
        <v>SOL-11000</v>
      </c>
      <c r="D159" s="9">
        <v>484585</v>
      </c>
      <c r="E159" s="14">
        <v>522005.2</v>
      </c>
      <c r="F159" s="14">
        <f t="shared" si="12"/>
        <v>-37420.200000000012</v>
      </c>
      <c r="G159" s="15">
        <f t="shared" si="13"/>
        <v>-7.1685492788194471E-2</v>
      </c>
      <c r="H159" s="16">
        <v>531355</v>
      </c>
      <c r="I159" s="16">
        <f t="shared" si="10"/>
        <v>-46770</v>
      </c>
      <c r="J159" s="15">
        <f t="shared" si="11"/>
        <v>-8.8020250115271328E-2</v>
      </c>
      <c r="K159" s="57"/>
      <c r="L159" s="57"/>
      <c r="M159" s="116"/>
      <c r="N159" s="116"/>
      <c r="O159" s="116"/>
      <c r="P159" s="116"/>
      <c r="Q159" s="116"/>
      <c r="R159" s="116"/>
      <c r="S159" s="116"/>
      <c r="T159" s="116"/>
      <c r="U159" s="116"/>
      <c r="V159" s="116"/>
      <c r="W159" s="116"/>
      <c r="X159" s="116"/>
    </row>
    <row r="160" spans="1:24" ht="15.6">
      <c r="A160" s="28" t="str">
        <v>Drinkwater</v>
      </c>
      <c r="B160" s="25" t="str">
        <v>NY</v>
      </c>
      <c r="C160" s="25" t="str">
        <f>Sites[[#This Row],[SOL'#]]</f>
        <v>SOL-10896</v>
      </c>
      <c r="D160" s="20">
        <v>466130</v>
      </c>
      <c r="E160" s="10">
        <v>454000</v>
      </c>
      <c r="F160" s="10">
        <f t="shared" si="12"/>
        <v>12130</v>
      </c>
      <c r="G160" s="11">
        <f t="shared" si="13"/>
        <v>2.6718061674008812E-2</v>
      </c>
      <c r="H160" s="12">
        <v>460623.61</v>
      </c>
      <c r="I160" s="12">
        <f t="shared" si="10"/>
        <v>5506.390000000014</v>
      </c>
      <c r="J160" s="13">
        <f t="shared" si="11"/>
        <v>1.1954207036847317E-2</v>
      </c>
      <c r="K160" s="59"/>
      <c r="L160" s="59"/>
      <c r="M160" s="116"/>
      <c r="N160" s="116"/>
      <c r="O160" s="116"/>
      <c r="P160" s="116"/>
      <c r="Q160" s="116"/>
      <c r="R160" s="116"/>
      <c r="S160" s="116"/>
      <c r="T160" s="116"/>
      <c r="U160" s="116"/>
      <c r="V160" s="116"/>
      <c r="W160" s="116"/>
      <c r="X160" s="116"/>
    </row>
    <row r="161" spans="1:24" ht="15.6">
      <c r="A161" s="26" t="str">
        <v>Altamont</v>
      </c>
      <c r="B161" s="27" t="str">
        <v>NY</v>
      </c>
      <c r="C161" s="27" t="str">
        <f>Sites[[#This Row],[SOL'#]]</f>
        <v>SOL-11085</v>
      </c>
      <c r="D161" s="9">
        <v>877117</v>
      </c>
      <c r="E161" s="14">
        <v>899395.7</v>
      </c>
      <c r="F161" s="14">
        <f t="shared" si="12"/>
        <v>-22278.699999999953</v>
      </c>
      <c r="G161" s="15">
        <f t="shared" si="13"/>
        <v>-2.477074328907727E-2</v>
      </c>
      <c r="H161" s="16">
        <v>754982.6</v>
      </c>
      <c r="I161" s="16">
        <f t="shared" si="10"/>
        <v>122134.40000000002</v>
      </c>
      <c r="J161" s="15">
        <f t="shared" si="11"/>
        <v>0.16177114545421314</v>
      </c>
      <c r="K161" s="57"/>
      <c r="L161" s="57"/>
      <c r="M161" s="116"/>
      <c r="N161" s="116"/>
      <c r="O161" s="116"/>
      <c r="P161" s="116"/>
      <c r="Q161" s="116"/>
      <c r="R161" s="116"/>
      <c r="S161" s="116"/>
      <c r="T161" s="116"/>
      <c r="U161" s="116"/>
      <c r="V161" s="116"/>
      <c r="W161" s="116"/>
      <c r="X161" s="116"/>
    </row>
    <row r="162" spans="1:24" ht="15.6">
      <c r="A162" s="28" t="str">
        <v>Krumkill North</v>
      </c>
      <c r="B162" s="25" t="str">
        <v>NY</v>
      </c>
      <c r="C162" s="25" t="str">
        <f>Sites[[#This Row],[SOL'#]]</f>
        <v>SOL-11086</v>
      </c>
      <c r="D162" s="20">
        <v>836577</v>
      </c>
      <c r="E162" s="10">
        <v>922798.5</v>
      </c>
      <c r="F162" s="10">
        <f t="shared" si="12"/>
        <v>-86221.5</v>
      </c>
      <c r="G162" s="11">
        <f t="shared" si="13"/>
        <v>-9.3434807273743939E-2</v>
      </c>
      <c r="H162" s="12">
        <v>844821.9</v>
      </c>
      <c r="I162" s="12">
        <f t="shared" si="10"/>
        <v>-8244.9000000000233</v>
      </c>
      <c r="J162" s="13">
        <f t="shared" si="11"/>
        <v>-9.7593350740552802E-3</v>
      </c>
      <c r="K162" s="59"/>
      <c r="L162" s="59"/>
      <c r="M162" s="116"/>
      <c r="N162" s="116"/>
      <c r="O162" s="116"/>
      <c r="P162" s="116"/>
      <c r="Q162" s="116"/>
      <c r="R162" s="116"/>
      <c r="S162" s="116"/>
      <c r="T162" s="116"/>
      <c r="U162" s="116"/>
      <c r="V162" s="116"/>
      <c r="W162" s="116"/>
      <c r="X162" s="116"/>
    </row>
    <row r="163" spans="1:24" ht="15.6">
      <c r="A163" s="26" t="str">
        <v>Krumkill South</v>
      </c>
      <c r="B163" s="27" t="str">
        <v>NY</v>
      </c>
      <c r="C163" s="27" t="str">
        <f>Sites[[#This Row],[SOL'#]]</f>
        <v>SOL-11087</v>
      </c>
      <c r="D163" s="9">
        <v>695464</v>
      </c>
      <c r="E163" s="14">
        <v>735498</v>
      </c>
      <c r="F163" s="14">
        <f t="shared" si="12"/>
        <v>-40034</v>
      </c>
      <c r="G163" s="15">
        <f t="shared" si="13"/>
        <v>-5.4431147331467929E-2</v>
      </c>
      <c r="H163" s="16">
        <v>662314.19999999995</v>
      </c>
      <c r="I163" s="16">
        <f t="shared" si="10"/>
        <v>33149.800000000047</v>
      </c>
      <c r="J163" s="15">
        <f t="shared" si="11"/>
        <v>5.0051471038972215E-2</v>
      </c>
      <c r="K163" s="57"/>
      <c r="L163" s="57"/>
      <c r="M163" s="116"/>
      <c r="N163" s="116"/>
      <c r="O163" s="116"/>
      <c r="P163" s="116"/>
      <c r="Q163" s="116"/>
      <c r="R163" s="116"/>
      <c r="S163" s="116"/>
      <c r="T163" s="116"/>
      <c r="U163" s="116"/>
      <c r="V163" s="116"/>
      <c r="W163" s="116"/>
      <c r="X163" s="116"/>
    </row>
    <row r="164" spans="1:24" ht="15.6">
      <c r="A164" s="28" t="str">
        <v>X092</v>
      </c>
      <c r="B164" s="25" t="str">
        <v>NY</v>
      </c>
      <c r="C164" s="25" t="str">
        <f>Sites[[#This Row],[SOL'#]]</f>
        <v>SOL-11189</v>
      </c>
      <c r="D164" s="20">
        <v>21888</v>
      </c>
      <c r="E164" s="10">
        <v>22130.17</v>
      </c>
      <c r="F164" s="10">
        <f t="shared" si="12"/>
        <v>-242.16999999999825</v>
      </c>
      <c r="G164" s="11">
        <f t="shared" si="13"/>
        <v>-1.0942979651760392E-2</v>
      </c>
      <c r="H164" s="12">
        <v>23075</v>
      </c>
      <c r="I164" s="12">
        <f t="shared" si="10"/>
        <v>-1187</v>
      </c>
      <c r="J164" s="13">
        <f t="shared" si="11"/>
        <v>-5.1440953412784401E-2</v>
      </c>
      <c r="K164" s="59"/>
      <c r="L164" s="59"/>
      <c r="M164" s="116"/>
      <c r="N164" s="116"/>
      <c r="O164" s="116"/>
      <c r="P164" s="116"/>
      <c r="Q164" s="116"/>
      <c r="R164" s="116"/>
      <c r="S164" s="116"/>
      <c r="T164" s="116"/>
      <c r="U164" s="116"/>
      <c r="V164" s="116"/>
      <c r="W164" s="116"/>
      <c r="X164" s="116"/>
    </row>
    <row r="165" spans="1:24" ht="28.9">
      <c r="A165" s="26" t="str">
        <v>X093</v>
      </c>
      <c r="B165" s="27" t="str">
        <v>NY</v>
      </c>
      <c r="C165" s="27" t="str">
        <f>Sites[[#This Row],[SOL'#]]</f>
        <v>SOL-10932</v>
      </c>
      <c r="D165" s="9">
        <v>11283.919921875</v>
      </c>
      <c r="E165" s="14">
        <v>15307.49</v>
      </c>
      <c r="F165" s="14">
        <f t="shared" si="12"/>
        <v>-4023.5700781249998</v>
      </c>
      <c r="G165" s="15">
        <f t="shared" si="13"/>
        <v>-0.2628497603542449</v>
      </c>
      <c r="H165" s="16">
        <v>16257</v>
      </c>
      <c r="I165" s="16">
        <f t="shared" si="10"/>
        <v>-4973.080078125</v>
      </c>
      <c r="J165" s="15">
        <f t="shared" si="11"/>
        <v>-0.3059039231177339</v>
      </c>
      <c r="K165" s="57" t="s">
        <v>1937</v>
      </c>
      <c r="L165" s="112" t="s">
        <v>1938</v>
      </c>
      <c r="M165" s="116"/>
      <c r="N165" s="116"/>
      <c r="O165" s="116"/>
      <c r="P165" s="116"/>
      <c r="Q165" s="116"/>
      <c r="R165" s="116"/>
      <c r="S165" s="116"/>
      <c r="T165" s="116"/>
      <c r="U165" s="116"/>
      <c r="V165" s="116"/>
      <c r="W165" s="116"/>
      <c r="X165" s="116"/>
    </row>
    <row r="166" spans="1:24" ht="15.6">
      <c r="A166" s="28" t="str">
        <v>X095</v>
      </c>
      <c r="B166" s="25" t="str">
        <v>NY</v>
      </c>
      <c r="C166" s="25" t="str">
        <f>Sites[[#This Row],[SOL'#]]</f>
        <v>SOL-10929</v>
      </c>
      <c r="D166" s="20">
        <v>21468.9140625</v>
      </c>
      <c r="E166" s="10">
        <v>19545.91</v>
      </c>
      <c r="F166" s="10">
        <f t="shared" si="12"/>
        <v>1923.0040625000001</v>
      </c>
      <c r="G166" s="11">
        <f t="shared" si="13"/>
        <v>9.838396178535562E-2</v>
      </c>
      <c r="H166" s="12">
        <v>22228</v>
      </c>
      <c r="I166" s="12">
        <f t="shared" si="10"/>
        <v>-759.0859375</v>
      </c>
      <c r="J166" s="13">
        <f t="shared" si="11"/>
        <v>-3.4149988190570454E-2</v>
      </c>
      <c r="K166" s="59"/>
      <c r="L166" s="59"/>
      <c r="M166" s="116"/>
      <c r="N166" s="116"/>
      <c r="O166" s="116"/>
      <c r="P166" s="116"/>
      <c r="Q166" s="116"/>
      <c r="R166" s="116"/>
      <c r="S166" s="116"/>
      <c r="T166" s="116"/>
      <c r="U166" s="116"/>
      <c r="V166" s="116"/>
      <c r="W166" s="116"/>
      <c r="X166" s="116"/>
    </row>
    <row r="167" spans="1:24" ht="28.9">
      <c r="A167" s="26" t="str">
        <v>X181</v>
      </c>
      <c r="B167" s="27" t="str">
        <v>NY</v>
      </c>
      <c r="C167" s="27" t="str">
        <f>Sites[[#This Row],[SOL'#]]</f>
        <v>SOL-10428</v>
      </c>
      <c r="D167" s="9">
        <v>40966.734375</v>
      </c>
      <c r="E167" s="14">
        <v>34560.46</v>
      </c>
      <c r="F167" s="14">
        <f t="shared" si="12"/>
        <v>6406.2743750000009</v>
      </c>
      <c r="G167" s="15">
        <f t="shared" si="13"/>
        <v>0.18536426815499565</v>
      </c>
      <c r="H167" s="16">
        <v>41522</v>
      </c>
      <c r="I167" s="16">
        <f t="shared" si="10"/>
        <v>-555.265625</v>
      </c>
      <c r="J167" s="15">
        <f t="shared" si="11"/>
        <v>-1.3372805380280333E-2</v>
      </c>
      <c r="K167" s="57" t="s">
        <v>1939</v>
      </c>
      <c r="L167" s="112" t="s">
        <v>1940</v>
      </c>
      <c r="M167" s="116"/>
      <c r="N167" s="116"/>
      <c r="O167" s="116"/>
      <c r="P167" s="116"/>
      <c r="Q167" s="116"/>
      <c r="R167" s="116"/>
      <c r="S167" s="116"/>
      <c r="T167" s="116"/>
      <c r="U167" s="116"/>
      <c r="V167" s="116"/>
      <c r="W167" s="116"/>
      <c r="X167" s="116"/>
    </row>
    <row r="168" spans="1:24" ht="15.6">
      <c r="A168" s="28" t="str">
        <v>X415</v>
      </c>
      <c r="B168" s="25" t="str">
        <v>NY</v>
      </c>
      <c r="C168" s="25" t="str">
        <f>Sites[[#This Row],[SOL'#]]</f>
        <v>SOL-10429</v>
      </c>
      <c r="D168" s="20">
        <v>25868.9765625</v>
      </c>
      <c r="E168" s="10">
        <v>22259.89</v>
      </c>
      <c r="F168" s="10">
        <f t="shared" si="12"/>
        <v>3609.0865625000006</v>
      </c>
      <c r="G168" s="11">
        <f t="shared" si="13"/>
        <v>0.16213406995721905</v>
      </c>
      <c r="H168" s="12">
        <v>24392</v>
      </c>
      <c r="I168" s="12">
        <f t="shared" si="10"/>
        <v>1476.9765625</v>
      </c>
      <c r="J168" s="13">
        <f t="shared" si="11"/>
        <v>6.0551679341587408E-2</v>
      </c>
      <c r="K168" s="59"/>
      <c r="L168" s="59"/>
      <c r="M168" s="116"/>
      <c r="N168" s="116"/>
      <c r="O168" s="116"/>
      <c r="P168" s="116"/>
      <c r="Q168" s="116"/>
      <c r="R168" s="116"/>
      <c r="S168" s="116"/>
      <c r="T168" s="116"/>
      <c r="U168" s="116"/>
      <c r="V168" s="116"/>
      <c r="W168" s="116"/>
      <c r="X168" s="116"/>
    </row>
    <row r="169" spans="1:24" ht="15.6">
      <c r="A169" s="26" t="str">
        <v>K198</v>
      </c>
      <c r="B169" s="27" t="str">
        <v>NY</v>
      </c>
      <c r="C169" s="27" t="str">
        <f>Sites[[#This Row],[SOL'#]]</f>
        <v>SOL-10930</v>
      </c>
      <c r="D169" s="9">
        <v>18358.1640625</v>
      </c>
      <c r="E169" s="14">
        <v>18103.169999999998</v>
      </c>
      <c r="F169" s="14">
        <f t="shared" si="12"/>
        <v>254.99406250000175</v>
      </c>
      <c r="G169" s="15">
        <f t="shared" si="13"/>
        <v>1.4085602825361624E-2</v>
      </c>
      <c r="H169" s="16">
        <v>18689</v>
      </c>
      <c r="I169" s="16">
        <f t="shared" si="10"/>
        <v>-330.8359375</v>
      </c>
      <c r="J169" s="15">
        <f t="shared" si="11"/>
        <v>-1.7702174407405426E-2</v>
      </c>
      <c r="K169" s="57" t="s">
        <v>1941</v>
      </c>
      <c r="L169" s="112" t="s">
        <v>1942</v>
      </c>
      <c r="M169" s="116"/>
      <c r="N169" s="116"/>
      <c r="O169" s="116"/>
      <c r="P169" s="116"/>
      <c r="Q169" s="116"/>
      <c r="R169" s="116"/>
      <c r="S169" s="116"/>
      <c r="T169" s="116"/>
      <c r="U169" s="116"/>
      <c r="V169" s="116"/>
      <c r="W169" s="116"/>
      <c r="X169" s="116"/>
    </row>
    <row r="170" spans="1:24" ht="86.45">
      <c r="A170" s="28" t="str">
        <v>K203</v>
      </c>
      <c r="B170" s="25" t="str">
        <v>NY</v>
      </c>
      <c r="C170" s="25" t="str">
        <f>Sites[[#This Row],[SOL'#]]</f>
        <v>SOL-11190</v>
      </c>
      <c r="D170" s="20">
        <v>24407.1</v>
      </c>
      <c r="E170" s="10">
        <v>21909.75</v>
      </c>
      <c r="F170" s="10">
        <f t="shared" si="12"/>
        <v>2497.3499999999985</v>
      </c>
      <c r="G170" s="11">
        <f t="shared" si="13"/>
        <v>0.11398350049635429</v>
      </c>
      <c r="H170" s="12">
        <v>25198</v>
      </c>
      <c r="I170" s="12">
        <f t="shared" si="10"/>
        <v>-790.90000000000146</v>
      </c>
      <c r="J170" s="13">
        <f t="shared" si="11"/>
        <v>-3.1387411699341276E-2</v>
      </c>
      <c r="K170" s="59" t="s">
        <v>1629</v>
      </c>
      <c r="L170" s="59"/>
      <c r="M170" s="116"/>
      <c r="N170" s="116"/>
      <c r="O170" s="116"/>
      <c r="P170" s="116"/>
      <c r="Q170" s="116"/>
      <c r="R170" s="116"/>
      <c r="S170" s="116"/>
      <c r="T170" s="116"/>
      <c r="U170" s="116"/>
      <c r="V170" s="116"/>
      <c r="W170" s="116"/>
      <c r="X170" s="116"/>
    </row>
    <row r="171" spans="1:24" ht="15.6">
      <c r="A171" s="26" t="str">
        <v>K213</v>
      </c>
      <c r="B171" s="27" t="str">
        <v>NY</v>
      </c>
      <c r="C171" s="27" t="str">
        <f>Sites[[#This Row],[SOL'#]]</f>
        <v>SOL-11191</v>
      </c>
      <c r="D171" s="9">
        <v>27870.1</v>
      </c>
      <c r="E171" s="14">
        <v>29258.25</v>
      </c>
      <c r="F171" s="14">
        <f t="shared" si="12"/>
        <v>-1388.1500000000015</v>
      </c>
      <c r="G171" s="15">
        <f t="shared" si="13"/>
        <v>-4.7444737808994095E-2</v>
      </c>
      <c r="H171" s="16">
        <v>26555</v>
      </c>
      <c r="I171" s="16">
        <f t="shared" si="10"/>
        <v>1315.0999999999985</v>
      </c>
      <c r="J171" s="15">
        <f t="shared" si="11"/>
        <v>4.9523630201468598E-2</v>
      </c>
      <c r="K171" s="57"/>
      <c r="L171" s="57"/>
      <c r="M171" s="116"/>
      <c r="N171" s="116"/>
      <c r="O171" s="116"/>
      <c r="P171" s="116"/>
      <c r="Q171" s="116"/>
      <c r="R171" s="116"/>
      <c r="S171" s="116"/>
      <c r="T171" s="116"/>
      <c r="U171" s="116"/>
      <c r="V171" s="116"/>
      <c r="W171" s="116"/>
      <c r="X171" s="116"/>
    </row>
    <row r="172" spans="1:24" ht="15.6">
      <c r="A172" s="28" t="str">
        <v>K217</v>
      </c>
      <c r="B172" s="25" t="str">
        <v>NY</v>
      </c>
      <c r="C172" s="25" t="str">
        <f>Sites[[#This Row],[SOL'#]]</f>
        <v>SOL-10933</v>
      </c>
      <c r="D172" s="20">
        <v>14644.6484375</v>
      </c>
      <c r="E172" s="10">
        <v>13647.47</v>
      </c>
      <c r="F172" s="10">
        <f t="shared" si="12"/>
        <v>997.17843750000065</v>
      </c>
      <c r="G172" s="11">
        <f t="shared" si="13"/>
        <v>7.3066908188843843E-2</v>
      </c>
      <c r="H172" s="12">
        <v>14632</v>
      </c>
      <c r="I172" s="12">
        <f t="shared" si="10"/>
        <v>12.6484375</v>
      </c>
      <c r="J172" s="13">
        <f t="shared" si="11"/>
        <v>8.6443667987971568E-4</v>
      </c>
      <c r="K172" s="59"/>
      <c r="L172" s="59"/>
      <c r="M172" s="116"/>
      <c r="N172" s="116"/>
      <c r="O172" s="116"/>
      <c r="P172" s="116"/>
      <c r="Q172" s="116"/>
      <c r="R172" s="116"/>
      <c r="S172" s="116"/>
      <c r="T172" s="116"/>
      <c r="U172" s="116"/>
      <c r="V172" s="116"/>
      <c r="W172" s="116"/>
      <c r="X172" s="116"/>
    </row>
    <row r="173" spans="1:24" ht="15.6">
      <c r="A173" s="26" t="str">
        <v>K307</v>
      </c>
      <c r="B173" s="27" t="str">
        <v>NY</v>
      </c>
      <c r="C173" s="27" t="str">
        <f>Sites[[#This Row],[SOL'#]]</f>
        <v>SOL-10876</v>
      </c>
      <c r="D173" s="9">
        <v>30193.328125</v>
      </c>
      <c r="E173" s="14">
        <v>28697.91</v>
      </c>
      <c r="F173" s="14">
        <f t="shared" si="12"/>
        <v>1495.4181250000001</v>
      </c>
      <c r="G173" s="15">
        <f t="shared" si="13"/>
        <v>5.2108955843822781E-2</v>
      </c>
      <c r="H173" s="16">
        <v>30546</v>
      </c>
      <c r="I173" s="16">
        <f t="shared" si="10"/>
        <v>-352.671875</v>
      </c>
      <c r="J173" s="15">
        <f t="shared" si="11"/>
        <v>-1.154559926013226E-2</v>
      </c>
      <c r="K173" s="57"/>
      <c r="L173" s="57"/>
      <c r="M173" s="116"/>
      <c r="N173" s="116"/>
      <c r="O173" s="116"/>
      <c r="P173" s="116"/>
      <c r="Q173" s="116"/>
      <c r="R173" s="116"/>
      <c r="S173" s="116"/>
      <c r="T173" s="116"/>
      <c r="U173" s="116"/>
      <c r="V173" s="116"/>
      <c r="W173" s="116"/>
      <c r="X173" s="116"/>
    </row>
    <row r="174" spans="1:24" ht="43.15">
      <c r="A174" s="28" t="str">
        <v>K610</v>
      </c>
      <c r="B174" s="25" t="str">
        <v>NY</v>
      </c>
      <c r="C174" s="25" t="str">
        <f>Sites[[#This Row],[SOL'#]]</f>
        <v>SOL-11158</v>
      </c>
      <c r="D174" s="20">
        <v>25973.599999999999</v>
      </c>
      <c r="E174" s="10">
        <v>33773.86</v>
      </c>
      <c r="F174" s="10">
        <f t="shared" si="12"/>
        <v>-7800.260000000002</v>
      </c>
      <c r="G174" s="11">
        <f t="shared" si="13"/>
        <v>-0.23095553780349662</v>
      </c>
      <c r="H174" s="12">
        <v>35413</v>
      </c>
      <c r="I174" s="12">
        <f t="shared" si="10"/>
        <v>-9439.4000000000015</v>
      </c>
      <c r="J174" s="13">
        <f t="shared" si="11"/>
        <v>-0.26655183124841164</v>
      </c>
      <c r="K174" s="59" t="s">
        <v>1943</v>
      </c>
      <c r="L174" s="111" t="s">
        <v>1944</v>
      </c>
      <c r="M174" s="116"/>
      <c r="N174" s="116"/>
      <c r="O174" s="116"/>
      <c r="P174" s="116"/>
      <c r="Q174" s="116"/>
      <c r="R174" s="116"/>
      <c r="S174" s="116"/>
      <c r="T174" s="116"/>
      <c r="U174" s="116"/>
      <c r="V174" s="116"/>
      <c r="W174" s="116"/>
      <c r="X174" s="116"/>
    </row>
    <row r="175" spans="1:24" ht="115.15">
      <c r="A175" s="26" t="str">
        <v>M025</v>
      </c>
      <c r="B175" s="27" t="str">
        <v>NY</v>
      </c>
      <c r="C175" s="27" t="str">
        <f>Sites[[#This Row],[SOL'#]]</f>
        <v>SOL-10392</v>
      </c>
      <c r="D175" s="9">
        <v>17221.1328125</v>
      </c>
      <c r="E175" s="14">
        <v>31789.360000000001</v>
      </c>
      <c r="F175" s="14">
        <f t="shared" si="12"/>
        <v>-14568.227187500001</v>
      </c>
      <c r="G175" s="15">
        <f t="shared" si="13"/>
        <v>-0.45827368614844716</v>
      </c>
      <c r="H175" s="16">
        <v>31160</v>
      </c>
      <c r="I175" s="16">
        <f t="shared" si="10"/>
        <v>-13938.8671875</v>
      </c>
      <c r="J175" s="15">
        <f t="shared" si="11"/>
        <v>-0.44733206635109113</v>
      </c>
      <c r="K175" s="57" t="s">
        <v>1945</v>
      </c>
      <c r="L175" s="112" t="s">
        <v>1946</v>
      </c>
      <c r="M175" s="115" t="s">
        <v>1646</v>
      </c>
      <c r="N175" s="115" t="s">
        <v>1947</v>
      </c>
      <c r="O175" s="115" t="s">
        <v>1948</v>
      </c>
      <c r="P175" s="116"/>
      <c r="Q175" s="116"/>
      <c r="R175" s="116"/>
      <c r="S175" s="116"/>
      <c r="T175" s="116"/>
      <c r="U175" s="116"/>
      <c r="V175" s="116"/>
      <c r="W175" s="116"/>
      <c r="X175" s="116"/>
    </row>
    <row r="176" spans="1:24" ht="15.6">
      <c r="A176" s="28" t="str">
        <v>M028</v>
      </c>
      <c r="B176" s="25" t="str">
        <v>NY</v>
      </c>
      <c r="C176" s="25" t="str">
        <f>Sites[[#This Row],[SOL'#]]</f>
        <v>SOL-10381</v>
      </c>
      <c r="D176" s="20">
        <v>24044.498046875</v>
      </c>
      <c r="E176" s="10">
        <v>22765.21</v>
      </c>
      <c r="F176" s="10">
        <f t="shared" si="12"/>
        <v>1279.2880468750009</v>
      </c>
      <c r="G176" s="11">
        <f t="shared" si="13"/>
        <v>5.6194871335472019E-2</v>
      </c>
      <c r="H176" s="12">
        <v>24106</v>
      </c>
      <c r="I176" s="12">
        <f t="shared" si="10"/>
        <v>-61.501953125</v>
      </c>
      <c r="J176" s="13">
        <f t="shared" si="11"/>
        <v>-2.5513130807682735E-3</v>
      </c>
      <c r="K176" s="59"/>
      <c r="L176" s="59"/>
      <c r="M176" s="116"/>
      <c r="N176" s="116"/>
      <c r="O176" s="116"/>
      <c r="P176" s="116"/>
      <c r="Q176" s="116"/>
      <c r="R176" s="116"/>
      <c r="S176" s="116"/>
      <c r="T176" s="116"/>
      <c r="U176" s="116"/>
      <c r="V176" s="116"/>
      <c r="W176" s="116"/>
      <c r="X176" s="116"/>
    </row>
    <row r="177" spans="1:24" ht="15.6">
      <c r="A177" s="26" t="str">
        <v>Q030</v>
      </c>
      <c r="B177" s="27" t="str">
        <v>NY</v>
      </c>
      <c r="C177" s="27" t="str">
        <f>Sites[[#This Row],[SOL'#]]</f>
        <v>SOL-10878</v>
      </c>
      <c r="D177" s="9">
        <v>28858.4609375</v>
      </c>
      <c r="E177" s="14">
        <v>28301.79</v>
      </c>
      <c r="F177" s="14">
        <f t="shared" si="12"/>
        <v>556.67093749999913</v>
      </c>
      <c r="G177" s="15">
        <f t="shared" si="13"/>
        <v>1.9669107060012781E-2</v>
      </c>
      <c r="H177" s="16">
        <v>28977</v>
      </c>
      <c r="I177" s="16">
        <f t="shared" si="10"/>
        <v>-118.5390625</v>
      </c>
      <c r="J177" s="15">
        <f t="shared" si="11"/>
        <v>-4.09079830555268E-3</v>
      </c>
      <c r="K177" s="57"/>
      <c r="L177" s="57"/>
      <c r="M177" s="116"/>
      <c r="N177" s="116"/>
      <c r="O177" s="116"/>
      <c r="P177" s="116"/>
      <c r="Q177" s="116"/>
      <c r="R177" s="116"/>
      <c r="S177" s="116"/>
      <c r="T177" s="116"/>
      <c r="U177" s="116"/>
      <c r="V177" s="116"/>
      <c r="W177" s="116"/>
      <c r="X177" s="116"/>
    </row>
    <row r="178" spans="1:24" ht="15.6">
      <c r="A178" s="28" t="str">
        <v>Q130</v>
      </c>
      <c r="B178" s="25" t="str">
        <v>NY</v>
      </c>
      <c r="C178" s="25" t="str">
        <f>Sites[[#This Row],[SOL'#]]</f>
        <v>SOL-10877</v>
      </c>
      <c r="D178" s="20">
        <v>16564.2890625</v>
      </c>
      <c r="E178" s="10">
        <v>15232.4</v>
      </c>
      <c r="F178" s="10">
        <f t="shared" si="12"/>
        <v>1331.8890625000004</v>
      </c>
      <c r="G178" s="11">
        <f t="shared" si="13"/>
        <v>8.743789964155356E-2</v>
      </c>
      <c r="H178" s="12">
        <v>16423.27</v>
      </c>
      <c r="I178" s="12">
        <f t="shared" si="10"/>
        <v>141.01906249999956</v>
      </c>
      <c r="J178" s="13">
        <f t="shared" si="11"/>
        <v>8.5865398608194077E-3</v>
      </c>
      <c r="K178" s="59"/>
      <c r="L178" s="59"/>
      <c r="M178" s="116"/>
      <c r="N178" s="116"/>
      <c r="O178" s="116"/>
      <c r="P178" s="116"/>
      <c r="Q178" s="116"/>
      <c r="R178" s="116"/>
      <c r="S178" s="116"/>
      <c r="T178" s="116"/>
      <c r="U178" s="116"/>
      <c r="V178" s="116"/>
      <c r="W178" s="116"/>
      <c r="X178" s="116"/>
    </row>
    <row r="179" spans="1:24" ht="15.6">
      <c r="A179" s="26" t="str">
        <v>Q196</v>
      </c>
      <c r="B179" s="27" t="str">
        <v>NY</v>
      </c>
      <c r="C179" s="27" t="str">
        <f>Sites[[#This Row],[SOL'#]]</f>
        <v>SOL-10879</v>
      </c>
      <c r="D179" s="9">
        <v>21595.458789062501</v>
      </c>
      <c r="E179" s="14">
        <v>21688.12</v>
      </c>
      <c r="F179" s="14">
        <f t="shared" si="12"/>
        <v>-92.661210937498254</v>
      </c>
      <c r="G179" s="15">
        <f t="shared" si="13"/>
        <v>-4.2724409002485352E-3</v>
      </c>
      <c r="H179" s="16">
        <v>21304</v>
      </c>
      <c r="I179" s="16">
        <f t="shared" si="10"/>
        <v>291.45878906250073</v>
      </c>
      <c r="J179" s="15">
        <f t="shared" si="11"/>
        <v>1.3680942032599546E-2</v>
      </c>
      <c r="K179" s="57"/>
      <c r="L179" s="57"/>
      <c r="M179" s="116"/>
      <c r="N179" s="116"/>
      <c r="O179" s="116"/>
      <c r="P179" s="116"/>
      <c r="Q179" s="116"/>
      <c r="R179" s="116"/>
      <c r="S179" s="116"/>
      <c r="T179" s="116"/>
      <c r="U179" s="116"/>
      <c r="V179" s="116"/>
      <c r="W179" s="116"/>
      <c r="X179" s="116"/>
    </row>
    <row r="180" spans="1:24" ht="15.6">
      <c r="A180" s="28" t="str">
        <v>Q220</v>
      </c>
      <c r="B180" s="25" t="str">
        <v>NY</v>
      </c>
      <c r="C180" s="25" t="str">
        <f>Sites[[#This Row],[SOL'#]]</f>
        <v>SOL-10873</v>
      </c>
      <c r="D180" s="20">
        <v>25706.390625</v>
      </c>
      <c r="E180" s="10">
        <v>28923</v>
      </c>
      <c r="F180" s="10">
        <f t="shared" si="12"/>
        <v>-3216.609375</v>
      </c>
      <c r="G180" s="11">
        <f t="shared" si="13"/>
        <v>-0.11121285395705839</v>
      </c>
      <c r="H180" s="12">
        <v>24647</v>
      </c>
      <c r="I180" s="12">
        <f t="shared" si="10"/>
        <v>1059.390625</v>
      </c>
      <c r="J180" s="13">
        <f t="shared" si="11"/>
        <v>4.298253844281251E-2</v>
      </c>
      <c r="K180" s="59" t="s">
        <v>1647</v>
      </c>
      <c r="L180" s="111" t="s">
        <v>1949</v>
      </c>
      <c r="M180" s="116"/>
      <c r="N180" s="116"/>
      <c r="O180" s="116"/>
      <c r="P180" s="116"/>
      <c r="Q180" s="116"/>
      <c r="R180" s="116"/>
      <c r="S180" s="116"/>
      <c r="T180" s="116"/>
      <c r="U180" s="116"/>
      <c r="V180" s="116"/>
      <c r="W180" s="116"/>
      <c r="X180" s="116"/>
    </row>
    <row r="181" spans="1:24" ht="15.6">
      <c r="A181" s="26" t="str">
        <v>Q205</v>
      </c>
      <c r="B181" s="27" t="str">
        <v>NY</v>
      </c>
      <c r="C181" s="27" t="str">
        <f>Sites[[#This Row],[SOL'#]]</f>
        <v>SOL-10922</v>
      </c>
      <c r="D181" s="9">
        <v>29880.34375</v>
      </c>
      <c r="E181" s="14">
        <v>35274.04</v>
      </c>
      <c r="F181" s="14">
        <f t="shared" si="12"/>
        <v>-5393.6962500000009</v>
      </c>
      <c r="G181" s="15">
        <f t="shared" si="13"/>
        <v>-0.15290837822942879</v>
      </c>
      <c r="H181" s="16">
        <v>29435</v>
      </c>
      <c r="I181" s="16">
        <f t="shared" si="10"/>
        <v>445.34375</v>
      </c>
      <c r="J181" s="15">
        <f t="shared" si="11"/>
        <v>1.5129735009342619E-2</v>
      </c>
      <c r="K181" s="57"/>
      <c r="L181" s="57"/>
      <c r="M181" s="116"/>
      <c r="N181" s="116"/>
      <c r="O181" s="116"/>
      <c r="P181" s="116"/>
      <c r="Q181" s="116"/>
      <c r="R181" s="116"/>
      <c r="S181" s="116"/>
      <c r="T181" s="116"/>
      <c r="U181" s="116"/>
      <c r="V181" s="116"/>
      <c r="W181" s="116"/>
      <c r="X181" s="116"/>
    </row>
    <row r="182" spans="1:24" ht="72">
      <c r="A182" s="28" t="str">
        <v>Q400</v>
      </c>
      <c r="B182" s="25" t="str">
        <v>NY</v>
      </c>
      <c r="C182" s="25" t="str">
        <f>Sites[[#This Row],[SOL'#]]</f>
        <v>SOL-10871</v>
      </c>
      <c r="D182" s="20">
        <v>28683.4375</v>
      </c>
      <c r="E182" s="10" t="s">
        <v>777</v>
      </c>
      <c r="F182" s="10" t="str">
        <f t="shared" si="12"/>
        <v/>
      </c>
      <c r="G182" s="11" t="str">
        <f t="shared" si="13"/>
        <v/>
      </c>
      <c r="H182" s="12">
        <v>48524</v>
      </c>
      <c r="I182" s="12">
        <f t="shared" si="10"/>
        <v>-19840.5625</v>
      </c>
      <c r="J182" s="13">
        <f t="shared" si="11"/>
        <v>-0.40888142980793007</v>
      </c>
      <c r="K182" s="59" t="s">
        <v>1950</v>
      </c>
      <c r="L182" s="111" t="s">
        <v>1951</v>
      </c>
      <c r="M182" s="115" t="s">
        <v>1656</v>
      </c>
      <c r="N182" s="116"/>
      <c r="O182" s="116"/>
      <c r="P182" s="116"/>
      <c r="Q182" s="116"/>
      <c r="R182" s="116"/>
      <c r="S182" s="116"/>
      <c r="T182" s="116"/>
      <c r="U182" s="116"/>
      <c r="V182" s="116"/>
      <c r="W182" s="116"/>
      <c r="X182" s="116"/>
    </row>
    <row r="183" spans="1:24" ht="28.9">
      <c r="A183" s="26" t="str">
        <v>R003</v>
      </c>
      <c r="B183" s="27" t="str">
        <v>NY</v>
      </c>
      <c r="C183" s="27" t="str">
        <f>Sites[[#This Row],[SOL'#]]</f>
        <v>SOL-10416</v>
      </c>
      <c r="D183" s="9">
        <v>38385.109375</v>
      </c>
      <c r="E183" s="14">
        <v>44378.38</v>
      </c>
      <c r="F183" s="14">
        <f t="shared" si="12"/>
        <v>-5993.2706249999974</v>
      </c>
      <c r="G183" s="15">
        <f t="shared" si="13"/>
        <v>-0.13504933314375148</v>
      </c>
      <c r="H183" s="16">
        <v>43732</v>
      </c>
      <c r="I183" s="16">
        <f t="shared" si="10"/>
        <v>-5346.890625</v>
      </c>
      <c r="J183" s="15">
        <f t="shared" si="11"/>
        <v>-0.12226494614927284</v>
      </c>
      <c r="K183" s="57" t="s">
        <v>1657</v>
      </c>
      <c r="L183" s="112" t="s">
        <v>1952</v>
      </c>
      <c r="M183" s="116"/>
      <c r="N183" s="116"/>
      <c r="O183" s="116"/>
      <c r="P183" s="116"/>
      <c r="Q183" s="116"/>
      <c r="R183" s="116"/>
      <c r="S183" s="116"/>
      <c r="T183" s="116"/>
      <c r="U183" s="116"/>
      <c r="V183" s="116"/>
      <c r="W183" s="116"/>
      <c r="X183" s="116"/>
    </row>
    <row r="184" spans="1:24" ht="15.6">
      <c r="A184" s="28" t="str">
        <v>R007</v>
      </c>
      <c r="B184" s="25" t="str">
        <v>NY</v>
      </c>
      <c r="C184" s="25" t="str">
        <f>Sites[[#This Row],[SOL'#]]</f>
        <v>SOL-10417</v>
      </c>
      <c r="D184" s="20">
        <v>47890.6875</v>
      </c>
      <c r="E184" s="10">
        <v>47595.02</v>
      </c>
      <c r="F184" s="10">
        <f t="shared" si="12"/>
        <v>295.6675000000032</v>
      </c>
      <c r="G184" s="11">
        <f t="shared" si="13"/>
        <v>6.2121520276701894E-3</v>
      </c>
      <c r="H184" s="12">
        <v>47903.21</v>
      </c>
      <c r="I184" s="12">
        <f t="shared" si="10"/>
        <v>-12.522499999999127</v>
      </c>
      <c r="J184" s="13">
        <f t="shared" si="11"/>
        <v>-2.6141254416977747E-4</v>
      </c>
      <c r="K184" s="59"/>
      <c r="L184" s="59"/>
      <c r="M184" s="116"/>
      <c r="N184" s="116"/>
      <c r="O184" s="116"/>
      <c r="P184" s="116"/>
      <c r="Q184" s="116"/>
      <c r="R184" s="116"/>
      <c r="S184" s="116"/>
      <c r="T184" s="116"/>
      <c r="U184" s="116"/>
      <c r="V184" s="116"/>
      <c r="W184" s="116"/>
      <c r="X184" s="116"/>
    </row>
    <row r="185" spans="1:24" ht="15.6">
      <c r="A185" s="26" t="str">
        <v>BK16</v>
      </c>
      <c r="B185" s="27" t="str">
        <v>NY</v>
      </c>
      <c r="C185" s="27" t="str">
        <f>Sites[[#This Row],[SOL'#]]</f>
        <v>SOL-11093</v>
      </c>
      <c r="D185" s="9">
        <v>47968.984375</v>
      </c>
      <c r="E185" s="14">
        <v>47268.57</v>
      </c>
      <c r="F185" s="14">
        <f t="shared" si="12"/>
        <v>700.41437500000029</v>
      </c>
      <c r="G185" s="15">
        <f t="shared" si="13"/>
        <v>1.4817761040793074E-2</v>
      </c>
      <c r="H185" s="16">
        <v>46590</v>
      </c>
      <c r="I185" s="16">
        <f t="shared" si="10"/>
        <v>1378.984375</v>
      </c>
      <c r="J185" s="15">
        <f t="shared" si="11"/>
        <v>2.9598290942262288E-2</v>
      </c>
      <c r="K185" s="57"/>
      <c r="L185" s="57"/>
      <c r="M185" s="116"/>
      <c r="N185" s="116"/>
      <c r="O185" s="116"/>
      <c r="P185" s="116"/>
      <c r="Q185" s="116"/>
      <c r="R185" s="116"/>
      <c r="S185" s="116"/>
      <c r="T185" s="116"/>
      <c r="U185" s="116"/>
      <c r="V185" s="116"/>
      <c r="W185" s="116"/>
      <c r="X185" s="116"/>
    </row>
    <row r="186" spans="1:24" ht="115.15">
      <c r="A186" s="28" t="str">
        <v>Trenton - Trenton East</v>
      </c>
      <c r="B186" s="25" t="str">
        <v>IL</v>
      </c>
      <c r="C186" s="25" t="str">
        <f>Sites[[#This Row],[SOL'#]]</f>
        <v>SOL-11060</v>
      </c>
      <c r="D186" s="20">
        <v>408839</v>
      </c>
      <c r="E186" s="10">
        <v>466838</v>
      </c>
      <c r="F186" s="10">
        <f t="shared" si="12"/>
        <v>-57999</v>
      </c>
      <c r="G186" s="11">
        <f t="shared" si="13"/>
        <v>-0.12423795834957736</v>
      </c>
      <c r="H186" s="12">
        <v>551866</v>
      </c>
      <c r="I186" s="12">
        <f t="shared" si="10"/>
        <v>-143027</v>
      </c>
      <c r="J186" s="13">
        <f t="shared" si="11"/>
        <v>-0.25916979846556953</v>
      </c>
      <c r="K186" s="59" t="s">
        <v>1953</v>
      </c>
      <c r="L186" s="111" t="s">
        <v>1954</v>
      </c>
      <c r="M186" s="115" t="s">
        <v>1955</v>
      </c>
      <c r="N186" s="116"/>
      <c r="O186" s="116"/>
      <c r="P186" s="116"/>
      <c r="Q186" s="116"/>
      <c r="R186" s="116"/>
      <c r="S186" s="116"/>
      <c r="T186" s="116"/>
      <c r="U186" s="116"/>
      <c r="V186" s="116"/>
      <c r="W186" s="116"/>
      <c r="X186" s="116"/>
    </row>
    <row r="187" spans="1:24" ht="86.45">
      <c r="A187" s="26" t="str">
        <v>Trenton - Trenton West</v>
      </c>
      <c r="B187" s="27" t="str">
        <v>IL</v>
      </c>
      <c r="C187" s="27" t="str">
        <f>Sites[[#This Row],[SOL'#]]</f>
        <v>SOL-11061</v>
      </c>
      <c r="D187" s="9">
        <v>279491</v>
      </c>
      <c r="E187" s="14">
        <v>396472.3</v>
      </c>
      <c r="F187" s="14">
        <f t="shared" si="12"/>
        <v>-116981.29999999999</v>
      </c>
      <c r="G187" s="15">
        <f t="shared" si="13"/>
        <v>-0.29505541749070485</v>
      </c>
      <c r="H187" s="16">
        <v>552240</v>
      </c>
      <c r="I187" s="16">
        <f t="shared" si="10"/>
        <v>-272749</v>
      </c>
      <c r="J187" s="15">
        <f t="shared" si="11"/>
        <v>-0.49389576995509199</v>
      </c>
      <c r="K187" s="57" t="s">
        <v>1956</v>
      </c>
      <c r="L187" s="112" t="s">
        <v>1957</v>
      </c>
      <c r="M187" s="115" t="s">
        <v>1958</v>
      </c>
      <c r="N187" s="116"/>
      <c r="O187" s="116"/>
      <c r="P187" s="116"/>
      <c r="Q187" s="116"/>
      <c r="R187" s="116"/>
      <c r="S187" s="116"/>
      <c r="T187" s="116"/>
      <c r="U187" s="116"/>
      <c r="V187" s="116"/>
      <c r="W187" s="116"/>
      <c r="X187" s="116"/>
    </row>
    <row r="188" spans="1:24" ht="72">
      <c r="A188" s="28" t="str">
        <v>Dakota - Dakota Solar 1</v>
      </c>
      <c r="B188" s="25" t="str">
        <v>IL</v>
      </c>
      <c r="C188" s="25" t="str">
        <f>Sites[[#This Row],[SOL'#]]</f>
        <v>SOL-11113</v>
      </c>
      <c r="D188" s="20">
        <v>498126</v>
      </c>
      <c r="E188" s="10">
        <v>522565.8</v>
      </c>
      <c r="F188" s="10">
        <f t="shared" si="12"/>
        <v>-24439.799999999988</v>
      </c>
      <c r="G188" s="11">
        <f t="shared" si="13"/>
        <v>-4.6768847100212049E-2</v>
      </c>
      <c r="H188" s="12">
        <v>396944</v>
      </c>
      <c r="I188" s="12">
        <f t="shared" si="10"/>
        <v>101182</v>
      </c>
      <c r="J188" s="13">
        <f t="shared" si="11"/>
        <v>0.25490245475432305</v>
      </c>
      <c r="K188" s="59" t="s">
        <v>1959</v>
      </c>
      <c r="L188" s="111" t="s">
        <v>1960</v>
      </c>
      <c r="M188" s="115" t="s">
        <v>1961</v>
      </c>
      <c r="N188" s="116"/>
      <c r="O188" s="116"/>
      <c r="P188" s="116"/>
      <c r="Q188" s="116"/>
      <c r="R188" s="116"/>
      <c r="S188" s="116"/>
      <c r="T188" s="116"/>
      <c r="U188" s="116"/>
      <c r="V188" s="116"/>
      <c r="W188" s="116"/>
      <c r="X188" s="116"/>
    </row>
    <row r="189" spans="1:24" ht="15.6">
      <c r="A189" s="26" t="str">
        <v>X018</v>
      </c>
      <c r="B189" s="27" t="str">
        <v>NY</v>
      </c>
      <c r="C189" s="27" t="str">
        <f>Sites[[#This Row],[SOL'#]]</f>
        <v>SOL-10418</v>
      </c>
      <c r="D189" s="9">
        <v>21239.7391015625</v>
      </c>
      <c r="E189" s="14">
        <v>14102.8</v>
      </c>
      <c r="F189" s="14">
        <f t="shared" si="12"/>
        <v>7136.9391015625006</v>
      </c>
      <c r="G189" s="15">
        <f t="shared" si="13"/>
        <v>0.50606539847140286</v>
      </c>
      <c r="H189" s="16">
        <v>23493</v>
      </c>
      <c r="I189" s="16">
        <f t="shared" si="10"/>
        <v>-2253.2608984375001</v>
      </c>
      <c r="J189" s="15">
        <f t="shared" si="11"/>
        <v>-9.5912012022198109E-2</v>
      </c>
      <c r="K189" s="57" t="s">
        <v>1962</v>
      </c>
      <c r="L189" s="112" t="s">
        <v>1963</v>
      </c>
      <c r="M189" s="116"/>
      <c r="N189" s="116"/>
      <c r="O189" s="116"/>
      <c r="P189" s="116"/>
      <c r="Q189" s="116"/>
      <c r="R189" s="116"/>
      <c r="S189" s="116"/>
      <c r="T189" s="116"/>
      <c r="U189" s="116"/>
      <c r="V189" s="116"/>
      <c r="W189" s="116"/>
      <c r="X189" s="116"/>
    </row>
    <row r="190" spans="1:24" ht="28.9">
      <c r="A190" s="28" t="str">
        <v>Janiak Solar</v>
      </c>
      <c r="B190" s="25" t="str">
        <v>NY</v>
      </c>
      <c r="C190" s="25" t="str">
        <f>Sites[[#This Row],[SOL'#]]</f>
        <v>SOL-10898</v>
      </c>
      <c r="D190" s="20">
        <v>398017</v>
      </c>
      <c r="E190" s="10">
        <v>428103.8</v>
      </c>
      <c r="F190" s="10">
        <f t="shared" si="12"/>
        <v>-30086.799999999988</v>
      </c>
      <c r="G190" s="11">
        <f t="shared" si="13"/>
        <v>-7.0279217330002655E-2</v>
      </c>
      <c r="H190" s="12">
        <v>457863</v>
      </c>
      <c r="I190" s="12">
        <f t="shared" si="10"/>
        <v>-59846</v>
      </c>
      <c r="J190" s="13">
        <f t="shared" si="11"/>
        <v>-0.13070722028204942</v>
      </c>
      <c r="K190" s="59" t="s">
        <v>1964</v>
      </c>
      <c r="L190" s="111" t="s">
        <v>1965</v>
      </c>
      <c r="M190" s="116"/>
      <c r="N190" s="116"/>
      <c r="O190" s="116"/>
      <c r="P190" s="116"/>
      <c r="Q190" s="116"/>
      <c r="R190" s="116"/>
      <c r="S190" s="116"/>
      <c r="T190" s="116"/>
      <c r="U190" s="116"/>
      <c r="V190" s="116"/>
      <c r="W190" s="116"/>
      <c r="X190" s="116"/>
    </row>
    <row r="191" spans="1:24" ht="43.15">
      <c r="A191" s="26" t="str">
        <v>County Route 11B</v>
      </c>
      <c r="B191" s="27" t="str">
        <v>NY</v>
      </c>
      <c r="C191" s="27" t="str">
        <f>Sites[[#This Row],[SOL'#]]</f>
        <v>SOL-10983</v>
      </c>
      <c r="D191" s="9">
        <v>1436404</v>
      </c>
      <c r="E191" s="14">
        <v>1431678</v>
      </c>
      <c r="F191" s="14">
        <f t="shared" si="12"/>
        <v>4726</v>
      </c>
      <c r="G191" s="15">
        <f t="shared" si="13"/>
        <v>3.3010215984320495E-3</v>
      </c>
      <c r="H191" s="162" t="s">
        <v>1088</v>
      </c>
      <c r="I191" s="16" t="str">
        <f t="shared" si="10"/>
        <v/>
      </c>
      <c r="J191" s="15" t="str">
        <f t="shared" si="11"/>
        <v/>
      </c>
      <c r="K191" s="57" t="s">
        <v>1966</v>
      </c>
      <c r="L191" s="111" t="s">
        <v>1967</v>
      </c>
      <c r="M191" s="116"/>
      <c r="N191" s="116"/>
      <c r="O191" s="116"/>
      <c r="P191" s="116"/>
      <c r="Q191" s="116"/>
      <c r="R191" s="116"/>
      <c r="S191" s="116"/>
      <c r="T191" s="116"/>
      <c r="U191" s="116"/>
      <c r="V191" s="116"/>
      <c r="W191" s="116"/>
      <c r="X191" s="116"/>
    </row>
    <row r="192" spans="1:24" ht="86.45">
      <c r="A192" s="28" t="str">
        <v>Barone</v>
      </c>
      <c r="B192" s="25" t="str">
        <v>NY</v>
      </c>
      <c r="C192" s="25" t="str">
        <f>Sites[[#This Row],[SOL'#]]</f>
        <v>SOL-11034</v>
      </c>
      <c r="D192" s="20">
        <v>670991</v>
      </c>
      <c r="E192" s="10">
        <v>667986</v>
      </c>
      <c r="F192" s="10">
        <f t="shared" si="12"/>
        <v>3005</v>
      </c>
      <c r="G192" s="11">
        <f t="shared" si="13"/>
        <v>4.4985972759908144E-3</v>
      </c>
      <c r="H192" s="12">
        <v>757195</v>
      </c>
      <c r="I192" s="12">
        <f t="shared" si="10"/>
        <v>-86204</v>
      </c>
      <c r="J192" s="13">
        <f t="shared" si="11"/>
        <v>-0.11384649925052331</v>
      </c>
      <c r="K192" s="59" t="s">
        <v>1968</v>
      </c>
      <c r="L192" s="111" t="s">
        <v>1969</v>
      </c>
      <c r="M192" s="115" t="s">
        <v>1970</v>
      </c>
      <c r="N192" s="115" t="s">
        <v>1971</v>
      </c>
      <c r="O192" s="116"/>
      <c r="P192" s="116"/>
      <c r="Q192" s="116"/>
      <c r="R192" s="116"/>
      <c r="S192" s="116"/>
      <c r="T192" s="116"/>
      <c r="U192" s="116"/>
      <c r="V192" s="116"/>
      <c r="W192" s="116"/>
      <c r="X192" s="116"/>
    </row>
    <row r="193" spans="1:24" ht="15.6">
      <c r="A193" s="26" t="str">
        <v>Cedarville</v>
      </c>
      <c r="B193" s="27" t="str">
        <v>IL</v>
      </c>
      <c r="C193" s="27" t="str">
        <f>Sites[[#This Row],[SOL'#]]</f>
        <v>SOL-11069</v>
      </c>
      <c r="D193" s="9">
        <v>412476</v>
      </c>
      <c r="E193" s="14">
        <v>392183</v>
      </c>
      <c r="F193" s="14">
        <f t="shared" si="12"/>
        <v>20293</v>
      </c>
      <c r="G193" s="15">
        <f t="shared" si="13"/>
        <v>5.1743701282309533E-2</v>
      </c>
      <c r="H193" s="16">
        <v>559363.6</v>
      </c>
      <c r="I193" s="16">
        <f t="shared" si="10"/>
        <v>-146887.59999999998</v>
      </c>
      <c r="J193" s="15">
        <f t="shared" si="11"/>
        <v>-0.26259770925387349</v>
      </c>
      <c r="K193" s="57" t="s">
        <v>1671</v>
      </c>
      <c r="L193" s="112" t="s">
        <v>1672</v>
      </c>
      <c r="M193" s="116"/>
      <c r="N193" s="116"/>
      <c r="O193" s="116"/>
      <c r="P193" s="116"/>
      <c r="Q193" s="116"/>
      <c r="R193" s="116"/>
      <c r="S193" s="116"/>
      <c r="T193" s="116"/>
      <c r="U193" s="116"/>
      <c r="V193" s="116"/>
      <c r="W193" s="116"/>
      <c r="X193" s="116"/>
    </row>
    <row r="194" spans="1:24" ht="28.9">
      <c r="A194" s="28" t="str">
        <v xml:space="preserve"> O'Brien Hill #1</v>
      </c>
      <c r="B194" s="25" t="str">
        <v>NY</v>
      </c>
      <c r="C194" s="25" t="str">
        <f>Sites[[#This Row],[SOL'#]]</f>
        <v>SOL-11098</v>
      </c>
      <c r="D194" s="20">
        <v>0</v>
      </c>
      <c r="E194" s="10" t="s">
        <v>777</v>
      </c>
      <c r="F194" s="10" t="str">
        <f t="shared" si="12"/>
        <v/>
      </c>
      <c r="G194" s="11" t="str">
        <f t="shared" si="13"/>
        <v/>
      </c>
      <c r="H194" s="161" t="s">
        <v>1088</v>
      </c>
      <c r="I194" s="12" t="str">
        <f t="shared" si="10"/>
        <v/>
      </c>
      <c r="J194" s="13" t="str">
        <f t="shared" si="11"/>
        <v/>
      </c>
      <c r="K194" s="59" t="s">
        <v>1673</v>
      </c>
      <c r="L194" s="111" t="s">
        <v>1674</v>
      </c>
      <c r="M194" s="115" t="s">
        <v>1059</v>
      </c>
      <c r="N194" s="116"/>
      <c r="O194" s="116"/>
      <c r="P194" s="116"/>
      <c r="Q194" s="116"/>
      <c r="R194" s="116"/>
      <c r="S194" s="116"/>
      <c r="T194" s="116"/>
      <c r="U194" s="116"/>
      <c r="V194" s="116"/>
      <c r="W194" s="116"/>
      <c r="X194" s="116"/>
    </row>
    <row r="195" spans="1:24" ht="57.6">
      <c r="A195" s="26" t="str">
        <v xml:space="preserve"> O'Brien Hill #2</v>
      </c>
      <c r="B195" s="27" t="str">
        <v>NY</v>
      </c>
      <c r="C195" s="27" t="str">
        <f>Sites[[#This Row],[SOL'#]]</f>
        <v>SOL-11099</v>
      </c>
      <c r="D195" s="9">
        <v>1037428</v>
      </c>
      <c r="E195" s="14">
        <v>1037322</v>
      </c>
      <c r="F195" s="14">
        <f t="shared" si="12"/>
        <v>106</v>
      </c>
      <c r="G195" s="15">
        <f t="shared" si="13"/>
        <v>1.0218620640456869E-4</v>
      </c>
      <c r="H195" s="162" t="s">
        <v>1088</v>
      </c>
      <c r="I195" s="16" t="str">
        <f t="shared" si="10"/>
        <v/>
      </c>
      <c r="J195" s="15" t="str">
        <f t="shared" si="11"/>
        <v/>
      </c>
      <c r="K195" s="57" t="s">
        <v>1972</v>
      </c>
      <c r="L195" s="112" t="s">
        <v>1973</v>
      </c>
      <c r="M195" s="115" t="s">
        <v>1974</v>
      </c>
      <c r="N195" s="116"/>
      <c r="O195" s="116"/>
      <c r="P195" s="116"/>
      <c r="Q195" s="116"/>
      <c r="R195" s="116"/>
      <c r="S195" s="116"/>
      <c r="T195" s="116"/>
      <c r="U195" s="116"/>
      <c r="V195" s="116"/>
      <c r="W195" s="116"/>
      <c r="X195" s="116"/>
    </row>
    <row r="196" spans="1:24" ht="43.15">
      <c r="A196" s="28" t="str">
        <v>Trinity - Freeport</v>
      </c>
      <c r="B196" s="25" t="str">
        <v>IL</v>
      </c>
      <c r="C196" s="25" t="str">
        <f>Sites[[#This Row],[SOL'#]]</f>
        <v>SOL-11057</v>
      </c>
      <c r="D196" s="20">
        <v>442554</v>
      </c>
      <c r="E196" s="10">
        <v>500503.4</v>
      </c>
      <c r="F196" s="10">
        <f t="shared" si="12"/>
        <v>-57949.400000000023</v>
      </c>
      <c r="G196" s="11">
        <f t="shared" si="13"/>
        <v>-0.11578223045038259</v>
      </c>
      <c r="H196" s="12">
        <v>569424</v>
      </c>
      <c r="I196" s="12">
        <f t="shared" si="10"/>
        <v>-126870</v>
      </c>
      <c r="J196" s="13">
        <f t="shared" si="11"/>
        <v>-0.22280409677147434</v>
      </c>
      <c r="K196" s="59" t="s">
        <v>1975</v>
      </c>
      <c r="L196" s="111" t="s">
        <v>1976</v>
      </c>
      <c r="M196" s="115" t="s">
        <v>1977</v>
      </c>
      <c r="N196" s="116"/>
      <c r="O196" s="116"/>
      <c r="P196" s="116"/>
      <c r="Q196" s="116"/>
      <c r="R196" s="116"/>
      <c r="S196" s="116"/>
      <c r="T196" s="116"/>
      <c r="U196" s="116"/>
      <c r="V196" s="116"/>
      <c r="W196" s="116"/>
      <c r="X196" s="116"/>
    </row>
    <row r="197" spans="1:24" ht="57.6">
      <c r="A197" s="26" t="str">
        <v>Ransom</v>
      </c>
      <c r="B197" s="27" t="str">
        <v>NY</v>
      </c>
      <c r="C197" s="27" t="str">
        <f>Sites[[#This Row],[SOL'#]]</f>
        <v>SOL-11157</v>
      </c>
      <c r="D197" s="9">
        <v>864708</v>
      </c>
      <c r="E197" s="14">
        <v>861300</v>
      </c>
      <c r="F197" s="14">
        <f t="shared" si="12"/>
        <v>3408</v>
      </c>
      <c r="G197" s="15">
        <f t="shared" si="13"/>
        <v>3.9568094740508536E-3</v>
      </c>
      <c r="H197" s="162" t="s">
        <v>1088</v>
      </c>
      <c r="I197" s="16" t="str">
        <f t="shared" ref="I197:I200" si="14">IF(AND(ISNUMBER(D197),ISNUMBER(H197)), D197-H197, "")</f>
        <v/>
      </c>
      <c r="J197" s="15" t="str">
        <f t="shared" ref="J197:J200" si="15">IFERROR(I197/H197, "")</f>
        <v/>
      </c>
      <c r="K197" s="57" t="s">
        <v>1978</v>
      </c>
      <c r="L197" s="112" t="s">
        <v>1979</v>
      </c>
      <c r="M197" s="115" t="s">
        <v>1980</v>
      </c>
      <c r="N197" s="116"/>
      <c r="O197" s="116"/>
      <c r="P197" s="116"/>
      <c r="Q197" s="116"/>
      <c r="R197" s="116"/>
      <c r="S197" s="116"/>
      <c r="T197" s="116"/>
      <c r="U197" s="116"/>
      <c r="V197" s="116"/>
      <c r="W197" s="116"/>
      <c r="X197" s="116"/>
    </row>
    <row r="198" spans="1:24" ht="15.6">
      <c r="A198" s="28" t="str">
        <v>Horseheads - Wedge</v>
      </c>
      <c r="B198" s="25" t="str">
        <v>NY</v>
      </c>
      <c r="C198" s="25" t="str">
        <f>Sites[[#This Row],[SOL'#]]</f>
        <v>SOL-11160</v>
      </c>
      <c r="D198" s="20">
        <v>730633</v>
      </c>
      <c r="E198" s="10">
        <v>728031</v>
      </c>
      <c r="F198" s="10">
        <f t="shared" si="12"/>
        <v>2602</v>
      </c>
      <c r="G198" s="11">
        <f t="shared" si="13"/>
        <v>3.5740236336090085E-3</v>
      </c>
      <c r="H198" s="161" t="s">
        <v>1088</v>
      </c>
      <c r="I198" s="12" t="str">
        <f t="shared" si="14"/>
        <v/>
      </c>
      <c r="J198" s="13" t="str">
        <f t="shared" si="15"/>
        <v/>
      </c>
      <c r="K198" s="59"/>
      <c r="L198" s="59"/>
      <c r="M198" s="116"/>
      <c r="N198" s="116"/>
      <c r="O198" s="116"/>
      <c r="P198" s="116"/>
      <c r="Q198" s="116"/>
      <c r="R198" s="116"/>
      <c r="S198" s="116"/>
      <c r="T198" s="116"/>
      <c r="U198" s="116"/>
      <c r="V198" s="116"/>
      <c r="W198" s="116"/>
      <c r="X198" s="116"/>
    </row>
    <row r="199" spans="1:24" ht="43.15">
      <c r="A199" s="26" t="str">
        <v>Otisville - Shoddy Hollow</v>
      </c>
      <c r="B199" s="27" t="str">
        <v>NY</v>
      </c>
      <c r="C199" s="27" t="str">
        <f>Sites[[#This Row],[SOL'#]]</f>
        <v>SOL-11185</v>
      </c>
      <c r="D199" s="9">
        <v>1135818</v>
      </c>
      <c r="E199" s="14">
        <v>1131387</v>
      </c>
      <c r="F199" s="14">
        <f t="shared" si="12"/>
        <v>4431</v>
      </c>
      <c r="G199" s="15">
        <f t="shared" si="13"/>
        <v>3.9164317779857823E-3</v>
      </c>
      <c r="H199" s="162" t="s">
        <v>1088</v>
      </c>
      <c r="I199" s="16" t="str">
        <f t="shared" si="14"/>
        <v/>
      </c>
      <c r="J199" s="15" t="str">
        <f t="shared" si="15"/>
        <v/>
      </c>
      <c r="K199" s="57" t="s">
        <v>1981</v>
      </c>
      <c r="L199" s="112" t="s">
        <v>1982</v>
      </c>
      <c r="M199" s="115" t="s">
        <v>1983</v>
      </c>
      <c r="N199" s="116"/>
      <c r="O199" s="116"/>
      <c r="P199" s="116"/>
      <c r="Q199" s="116"/>
      <c r="R199" s="116"/>
      <c r="S199" s="116"/>
      <c r="T199" s="116"/>
      <c r="U199" s="116"/>
      <c r="V199" s="116"/>
      <c r="W199" s="116"/>
      <c r="X199" s="116"/>
    </row>
    <row r="200" spans="1:24" ht="28.9">
      <c r="A200" s="28" t="str">
        <v>Wellsville - Chenunda Creek</v>
      </c>
      <c r="B200" s="25" t="str">
        <v>NY</v>
      </c>
      <c r="C200" s="25" t="str">
        <f>Sites[[#This Row],[SOL'#]]</f>
        <v>SOL-11187</v>
      </c>
      <c r="D200" s="20">
        <v>621490</v>
      </c>
      <c r="E200" s="10">
        <v>619787</v>
      </c>
      <c r="F200" s="10">
        <f t="shared" si="12"/>
        <v>1703</v>
      </c>
      <c r="G200" s="11">
        <f t="shared" si="13"/>
        <v>2.7477181676930948E-3</v>
      </c>
      <c r="H200" s="161" t="s">
        <v>1088</v>
      </c>
      <c r="I200" s="12" t="str">
        <f t="shared" si="14"/>
        <v/>
      </c>
      <c r="J200" s="13" t="str">
        <f t="shared" si="15"/>
        <v/>
      </c>
      <c r="K200" s="59" t="s">
        <v>1984</v>
      </c>
      <c r="L200" s="111" t="s">
        <v>1985</v>
      </c>
      <c r="M200" s="116"/>
      <c r="N200" s="116"/>
      <c r="O200" s="116"/>
      <c r="P200" s="116"/>
      <c r="Q200" s="116"/>
      <c r="R200" s="116"/>
      <c r="S200" s="116"/>
      <c r="T200" s="116"/>
      <c r="U200" s="116"/>
      <c r="V200" s="116"/>
      <c r="W200" s="116"/>
      <c r="X200" s="116"/>
    </row>
  </sheetData>
  <sortState xmlns:xlrd2="http://schemas.microsoft.com/office/spreadsheetml/2017/richdata2" ref="A3:L15">
    <sortCondition ref="A3:A15"/>
  </sortState>
  <mergeCells count="4">
    <mergeCell ref="H1:J1"/>
    <mergeCell ref="A1:D1"/>
    <mergeCell ref="E1:G1"/>
    <mergeCell ref="A2:B2"/>
  </mergeCells>
  <phoneticPr fontId="40"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74 G76:G200">
    <cfRule type="cellIs" dxfId="28" priority="11" stopIfTrue="1" operator="lessThanOrEqual">
      <formula>-0.1</formula>
    </cfRule>
    <cfRule type="expression" dxfId="27" priority="12">
      <formula>AND(ISNUMBER(G4), G4&gt;=0.1)</formula>
    </cfRule>
  </conditionalFormatting>
  <conditionalFormatting sqref="J4:J200">
    <cfRule type="cellIs" dxfId="26" priority="1" stopIfTrue="1" operator="lessThanOrEqual">
      <formula>-0.1</formula>
    </cfRule>
    <cfRule type="expression" dxfId="25" priority="2">
      <formula>AND(ISNUMBER(J4), J4&gt;=0.1)</formula>
    </cfRule>
  </conditionalFormatting>
  <hyperlinks>
    <hyperlink ref="L127" r:id="rId1" display="https://us3.assetplanner.com/service_request?ID=102198" xr:uid="{ABAE8E4D-38D0-4088-89A2-E4129C55741B}"/>
    <hyperlink ref="L126" r:id="rId2" display="https://us3.assetplanner.com/service_request?ID=101102" xr:uid="{2BE2153E-8706-4207-B1C0-4510B992E1AB}"/>
    <hyperlink ref="L5" r:id="rId3" display="https://us3.assetplanner.com/service_request?ID=101016" xr:uid="{5E023EBF-2E12-49CB-8569-D82E712A5BDE}"/>
    <hyperlink ref="L6" r:id="rId4" display="https://us3.assetplanner.com/service_request?ID=103955" xr:uid="{EA45FA57-5987-4AE4-8C2F-B09869890DE7}"/>
    <hyperlink ref="L8" r:id="rId5" display="https://us3.assetplanner.com/service_request?ID=104268" xr:uid="{DC1200C5-3786-4947-9C13-0AC4994985DD}"/>
    <hyperlink ref="L10" r:id="rId6" display="https://us3.assetplanner.com/service_request?ID=105035" xr:uid="{F6104C28-6305-423B-8A90-FF327A121F79}"/>
    <hyperlink ref="M10" r:id="rId7" display="https://us3.assetplanner.com/service_request?ID=104591" xr:uid="{9C45E725-A733-4EFD-91FF-4F8227D7BBA3}"/>
    <hyperlink ref="L11" r:id="rId8" display="https://us3.assetplanner.com/service_request?ID=099666" xr:uid="{12639507-8F8F-4AEB-B2E4-44289102ACA1}"/>
    <hyperlink ref="M11" r:id="rId9" display="https://us3.assetplanner.com/service_request?ID=105159" xr:uid="{7AE6ED74-153A-4C7A-8B5F-070F82E799FC}"/>
    <hyperlink ref="L12" r:id="rId10" display="https://us3.assetplanner.com/service_request?ID=101037" xr:uid="{124E5A24-40C3-4E66-8609-71CCEF3A4453}"/>
    <hyperlink ref="L13" r:id="rId11" display="https://us3.assetplanner.com/service_request?ID=103721" xr:uid="{EB2C9F91-DE19-44B9-8432-EF307DB6AD40}"/>
    <hyperlink ref="M13" r:id="rId12" display="https://us3.assetplanner.com/service_request?ID=104748" xr:uid="{1EF18E34-F745-45AC-9DD1-A4651D5DE13D}"/>
    <hyperlink ref="L14" r:id="rId13" display="https://us3.assetplanner.com/service_request?ID=092556" xr:uid="{13D38094-6B2B-4692-8894-5415BE394CC6}"/>
    <hyperlink ref="L16" r:id="rId14" display="https://us3.assetplanner.com/service_request?ID=093028" xr:uid="{8D155AC6-C364-4B1C-9D61-F4B933008340}"/>
    <hyperlink ref="L17" r:id="rId15" display="https://us3.assetplanner.com/service_request?ID=091894" xr:uid="{61E56CC4-2B2B-40CF-B08C-F88E546DA029}"/>
    <hyperlink ref="L18" r:id="rId16" display="https://us3.assetplanner.com/service_request?ID=103804" xr:uid="{4B1B8C9E-7819-4907-8BC1-05BD75886C2A}"/>
    <hyperlink ref="M18" r:id="rId17" display="https://us3.assetplanner.com/service_request?ID=105439" xr:uid="{6DE1DAEC-52B7-4266-A123-F1A55B1299DD}"/>
    <hyperlink ref="L19" r:id="rId18" display="https://us3.assetplanner.com/service_request?ID=093047" xr:uid="{14FD1726-F73C-4A6F-8129-283007774F97}"/>
    <hyperlink ref="L21" r:id="rId19" display="https://us3.assetplanner.com/service_request?ID=103460" xr:uid="{529667F5-DC70-483C-9C46-9948B08E962A}"/>
    <hyperlink ref="L23" r:id="rId20" display="https://us3.assetplanner.com/service_request?ID=102473" xr:uid="{9F7C49D8-579E-429B-99AE-42C552872A8E}"/>
    <hyperlink ref="M23" r:id="rId21" display="https://us3.assetplanner.com/service_request?ID=103360" xr:uid="{5ACC1E30-8FEE-4C0C-9A0E-1EB0D3D35F5C}"/>
    <hyperlink ref="L24" r:id="rId22" display="https://us3.assetplanner.com/service_request?ID=097569" xr:uid="{2F3BDAC2-7D15-4D39-82CE-93B7D3F0F6B1}"/>
    <hyperlink ref="M24" r:id="rId23" display="https://us3.assetplanner.com/service_request?ID=102535" xr:uid="{7CA7DE82-AB1B-411E-8C94-76CB26A08357}"/>
    <hyperlink ref="L25" r:id="rId24" display="https://us3.assetplanner.com/service_request?ID=093291" xr:uid="{4C20D52C-4DA6-4409-86F6-80FE1A4585B4}"/>
    <hyperlink ref="M25" r:id="rId25" display="https://us3.assetplanner.com/service_request?ID=104754" xr:uid="{D808254B-CA7B-4116-9065-3E2531898F35}"/>
    <hyperlink ref="L29" r:id="rId26" display="https://us3.assetplanner.com/service_request?ID=102970" xr:uid="{40B688E3-83AE-4081-B780-13F421013070}"/>
    <hyperlink ref="M29" r:id="rId27" display="https://us3.assetplanner.com/service_request?ID=093292" xr:uid="{BCDFBACE-33D5-4D97-9162-53EC578B063B}"/>
    <hyperlink ref="N29" r:id="rId28" display="https://us3.assetplanner.com/service_request?ID=093633" xr:uid="{007B897B-87E0-4623-A568-21868843AF12}"/>
    <hyperlink ref="L31" r:id="rId29" display="https://us3.assetplanner.com/service_request?ID=093294" xr:uid="{07B9AF65-5D85-438A-ADCA-BFFCBD62DD15}"/>
    <hyperlink ref="M31" r:id="rId30" display="https://us3.assetplanner.com/service_request?ID=104856" xr:uid="{A609AB04-E980-4139-A65C-41F0DDBFB4D3}"/>
    <hyperlink ref="L33" r:id="rId31" display="https://us3.assetplanner.com/service_request?ID=099824" xr:uid="{07406307-2F13-4EF9-9AC4-CF364312D5B9}"/>
    <hyperlink ref="L34" r:id="rId32" display="https://us3.assetplanner.com/service_request?ID=104039" xr:uid="{69FA058C-3BC8-4B41-81E6-F81889075D0F}"/>
    <hyperlink ref="L35" r:id="rId33" display="https://us3.assetplanner.com/service_request?ID=103259" xr:uid="{82AAC2D1-E444-430D-89D4-90FADAB87A59}"/>
    <hyperlink ref="L37" r:id="rId34" display="https://us3.assetplanner.com/service_request?ID=101786" xr:uid="{F4A158AB-B4C2-4AAF-85A6-01F3B9DC4464}"/>
    <hyperlink ref="L40" r:id="rId35" display="https://us3.assetplanner.com/service_request?ID=102672" xr:uid="{55A95FC6-8568-4649-A46A-501A58BF8942}"/>
    <hyperlink ref="L44" r:id="rId36" display="https://us3.assetplanner.com/service_request?ID=093236" xr:uid="{B8D1510B-5A55-47BC-8FCC-51D40463986E}"/>
    <hyperlink ref="L45" r:id="rId37" display="https://us3.assetplanner.com/service_request?ID=102532" xr:uid="{5FDFF88A-FEE0-4A8D-8828-1D3C5A9A739D}"/>
    <hyperlink ref="M45" r:id="rId38" display="https://us3.assetplanner.com/service_request?ID=102533" xr:uid="{0EB713E5-3207-4DE0-BAE6-6205AC9D1A9E}"/>
    <hyperlink ref="L51" r:id="rId39" display="https://us3.assetplanner.com/service_request?ID=088282" xr:uid="{E7A9A78A-7722-4CEB-ABF1-67D79883A921}"/>
    <hyperlink ref="L52" r:id="rId40" display="https://us3.assetplanner.com/service_request?ID=104430" xr:uid="{82644896-2873-4D43-B983-D9FE66317E4F}"/>
    <hyperlink ref="L54" r:id="rId41" display="https://us3.assetplanner.com/service_request?ID=103569" xr:uid="{CA6CFF8F-B9D0-452C-B910-9C7488514758}"/>
    <hyperlink ref="L55" r:id="rId42" display="https://us3.assetplanner.com/service_request?ID=088813" xr:uid="{862EFAB1-8135-438D-B2E7-3C9C130AFE68}"/>
    <hyperlink ref="L56" r:id="rId43" display="https://us3.assetplanner.com/service_request?ID=104342" xr:uid="{0BC16462-281C-4A9A-A80A-A510CEA28CFE}"/>
    <hyperlink ref="L57" r:id="rId44" display="https://us3.assetplanner.com/service_request?ID=093324" xr:uid="{88C0C79E-DA31-453B-9993-30537BCDE398}"/>
    <hyperlink ref="L59" r:id="rId45" display="https://us3.assetplanner.com/service_request?ID=103857" xr:uid="{0B9F7900-E261-4EBA-895E-712278D5EF89}"/>
    <hyperlink ref="L60" r:id="rId46" display="https://us3.assetplanner.com/service_request?ID=093326" xr:uid="{918A0FB2-08B0-487F-ADA0-37CC5424D293}"/>
    <hyperlink ref="L61" r:id="rId47" display="https://us3.assetplanner.com/service_request?ID=093327" xr:uid="{98781FE0-0E92-4A28-98F4-47FC690CCB8D}"/>
    <hyperlink ref="L63" r:id="rId48" display="https://us3.assetplanner.com/service_request?ID=096294" xr:uid="{BC4D5985-3CF2-407D-8CCB-08350930D836}"/>
    <hyperlink ref="L64" r:id="rId49" display="https://us3.assetplanner.com/service_request?ID=095662" xr:uid="{A58E74F7-FF93-4A4B-B694-5AFD09B63D71}"/>
    <hyperlink ref="L65" r:id="rId50" display="https://us3.assetplanner.com/service_request?ID=103568" xr:uid="{EC0DE62B-E231-4C72-AB67-8433762B96CB}"/>
    <hyperlink ref="M65" r:id="rId51" display="https://us3.assetplanner.com/service_request?ID=105209" xr:uid="{FB6C570F-EA67-463A-8DBD-41240380DBFA}"/>
    <hyperlink ref="L69" r:id="rId52" display="https://us3.assetplanner.com/service_request?ID=104744" xr:uid="{7D865D30-D78A-48F8-B5D0-E3CF19054771}"/>
    <hyperlink ref="L73" r:id="rId53" display="https://us3.assetplanner.com/service_request?ID=101910" xr:uid="{5590694F-4201-4789-A3ED-D271E8306E4A}"/>
    <hyperlink ref="M73" r:id="rId54" display="https://us3.assetplanner.com/service_request?ID=101354" xr:uid="{E8C730C3-59DC-4FAC-8DD4-21FFF68C6B2F}"/>
    <hyperlink ref="N73" r:id="rId55" display="https://us3.assetplanner.com/service_request?ID=104543" xr:uid="{B4FB1B8C-42B2-468C-A5B6-B3FFA440DE7C}"/>
    <hyperlink ref="O73" r:id="rId56" display="https://us3.assetplanner.com/service_request?ID=104886" xr:uid="{6E5E2D2B-FE51-4933-88DC-7CDACC428B62}"/>
    <hyperlink ref="L74" r:id="rId57" display="https://us3.assetplanner.com/service_request?ID=104398" xr:uid="{13E1CC56-128A-4385-8BEA-676DA3AB0CDC}"/>
    <hyperlink ref="L75" r:id="rId58" display="https://us3.assetplanner.com/service_request?ID=098641" xr:uid="{D25B8B36-CA3B-4169-8978-5D1BF186B96E}"/>
    <hyperlink ref="M75" r:id="rId59" display="https://us3.assetplanner.com/service_request?ID=103150" xr:uid="{D94B074B-0977-4855-B4E4-2B05E5808199}"/>
    <hyperlink ref="N75" r:id="rId60" display="https://us3.assetplanner.com/service_request?ID=104128" xr:uid="{CF82BF3A-B10C-4F80-BDC2-72A55DCB4BEB}"/>
    <hyperlink ref="L76" r:id="rId61" display="https://us3.assetplanner.com/service_request?ID=102506" xr:uid="{5E6E3A94-3BC2-4A56-A900-537D08EAF6D6}"/>
    <hyperlink ref="M76" r:id="rId62" display="https://us3.assetplanner.com/service_request?ID=103185" xr:uid="{3106A1B2-7C8F-449C-BAA5-37C3174AECC1}"/>
    <hyperlink ref="N76" r:id="rId63" display="https://us3.assetplanner.com/service_request?ID=102919" xr:uid="{50858F26-9552-436E-8A11-4277C508C5AA}"/>
    <hyperlink ref="O76" r:id="rId64" display="https://us3.assetplanner.com/service_request?ID=103185" xr:uid="{259735FE-451C-4A48-9F9F-15360E9A05C5}"/>
    <hyperlink ref="P76" r:id="rId65" display="https://us3.assetplanner.com/service_request?ID=105115" xr:uid="{C105EC98-6B7F-4C64-840A-86E1ABFB0CFD}"/>
    <hyperlink ref="L77" r:id="rId66" display="https://us3.assetplanner.com/service_request?ID=104724" xr:uid="{6A10D5D8-DBF4-429B-A561-4E2879772419}"/>
    <hyperlink ref="M77" r:id="rId67" display="https://us3.assetplanner.com/service_request?ID=105002" xr:uid="{80626F50-8477-42B4-9AA2-4288320F6AD4}"/>
    <hyperlink ref="L78" r:id="rId68" display="https://us3.assetplanner.com/service_request?ID=104001" xr:uid="{3CDEDF42-4573-41AC-A2D3-F3DCE05E4A06}"/>
    <hyperlink ref="L80" r:id="rId69" display="https://us3.assetplanner.com/service_request?ID=099403" xr:uid="{D7ECAF37-7E5B-47F0-BDB5-C473200E0FC3}"/>
    <hyperlink ref="L82" r:id="rId70" display="https://us3.assetplanner.com/service_request?ID=102665" xr:uid="{39090D0B-A8B8-4438-8AD5-98C3F585215B}"/>
    <hyperlink ref="L83" r:id="rId71" display="https://us3.assetplanner.com/service_request?ID=104609" xr:uid="{7F26E107-83FF-463F-B021-6B13DF0AFCE8}"/>
    <hyperlink ref="M83" r:id="rId72" display="https://us3.assetplanner.com/service_request?ID=093024" xr:uid="{59DC1032-C598-4AC4-B61C-48D86394CA9A}"/>
    <hyperlink ref="L85" r:id="rId73" display="https://us3.assetplanner.com/service_request?ID=098866" xr:uid="{9C38E638-0970-4619-9796-099EE215D901}"/>
    <hyperlink ref="L86" r:id="rId74" display="https://us3.assetplanner.com/service_request?ID=098998" xr:uid="{5014D975-F97F-4818-80B2-D5C581C1DC09}"/>
    <hyperlink ref="M86" r:id="rId75" display="https://us3.assetplanner.com/service_request?ID=104684" xr:uid="{4DE8E047-6241-4970-90A7-6C551414E23F}"/>
    <hyperlink ref="L87" r:id="rId76" display="https://us3.assetplanner.com/service_request?ID=103651" xr:uid="{3068A27A-4899-48F9-982B-66687DB18C43}"/>
    <hyperlink ref="M87" r:id="rId77" display="https://us3.assetplanner.com/service_request?ID=104374" xr:uid="{803A92A4-F394-46F8-9986-B849BE9190A4}"/>
    <hyperlink ref="L88" r:id="rId78" display="https://us3.assetplanner.com/service_request?ID=092964" xr:uid="{4B776964-C0FA-4530-B3AD-D15F662D1C90}"/>
    <hyperlink ref="M88" r:id="rId79" display="https://us3.assetplanner.com/service_request?ID=095253" xr:uid="{42FE32F9-B915-4822-BC3F-0B94971FD818}"/>
    <hyperlink ref="N88" r:id="rId80" display="https://us3.assetplanner.com/service_request?ID=098877" xr:uid="{649AB5F7-521A-4807-A693-A3DC5CC48534}"/>
    <hyperlink ref="L90" r:id="rId81" display="https://us3.assetplanner.com/service_request?ID=105211" xr:uid="{A4D33372-C9DF-4D1E-BB14-03FDFAB4A657}"/>
    <hyperlink ref="L91" r:id="rId82" display="https://us3.assetplanner.com/service_request?ID=103260" xr:uid="{75CBBC63-78CD-4904-9E2F-A99D9EA52BB7}"/>
    <hyperlink ref="M91" r:id="rId83" display="https://us3.assetplanner.com/service_request?ID=103257" xr:uid="{41A0D9D8-80ED-4C69-907A-4759A2B0FC96}"/>
    <hyperlink ref="N91" r:id="rId84" display="https://us3.assetplanner.com/service_request?ID=102335" xr:uid="{FA2D307A-2DE1-4BB4-A961-2EBD4F424B09}"/>
    <hyperlink ref="O91" r:id="rId85" display="https://us3.assetplanner.com/service_request?ID=102682" xr:uid="{F8D88EF0-2BC4-452E-91C0-19F388FCF64E}"/>
    <hyperlink ref="P91" r:id="rId86" display="https://us3.assetplanner.com/service_request?ID=104557" xr:uid="{2D58B1B0-6E82-40DA-BD75-996D6F9AFD3E}"/>
    <hyperlink ref="Q91" r:id="rId87" display="https://us3.assetplanner.com/service_request?ID=102682" xr:uid="{E135DA56-2401-4725-B648-35188FC4ED90}"/>
    <hyperlink ref="R91" r:id="rId88" display="https://us3.assetplanner.com/service_request?ID=103181" xr:uid="{B53BE5FF-3CF4-4231-99D7-78B791D74BA8}"/>
    <hyperlink ref="S91" r:id="rId89" display="https://us3.assetplanner.com/service_request?ID=104208" xr:uid="{C907AD54-A54D-4415-A123-3278451DF0CD}"/>
    <hyperlink ref="T91" r:id="rId90" display="https://us3.assetplanner.com/service_request?ID=103257" xr:uid="{FD462A23-9EA8-4E12-819A-7A41C1E464EB}"/>
    <hyperlink ref="U91" r:id="rId91" display="https://us3.assetplanner.com/service_request?ID=103260" xr:uid="{01AD0446-F546-456A-AE2E-4134F1F97BBB}"/>
    <hyperlink ref="V91" r:id="rId92" display="https://us3.assetplanner.com/service_request?ID=104208" xr:uid="{43152D69-E82E-4617-83D5-B40C6E57233B}"/>
    <hyperlink ref="W91" r:id="rId93" display="https://us3.assetplanner.com/service_request?ID=104370" xr:uid="{8590EC46-C200-4F55-84C2-05954D210614}"/>
    <hyperlink ref="X91" r:id="rId94" display="https://us3.assetplanner.com/service_request?ID=104371" xr:uid="{80D807D7-4D0F-4A81-A53F-667ED63EE354}"/>
    <hyperlink ref="Y91" r:id="rId95" display="https://us3.assetplanner.com/service_request?ID=104594" xr:uid="{F9FBF446-264C-47DB-8430-6E527AA61F23}"/>
    <hyperlink ref="Z91" r:id="rId96" display="https://us3.assetplanner.com/service_request?ID=104741" xr:uid="{6C2CFEC3-54F2-4601-AEFE-AAEDE862DC3E}"/>
    <hyperlink ref="AA91" r:id="rId97" display="https://us3.assetplanner.com/service_request?ID=104887" xr:uid="{8257F9E3-087C-41A9-927E-B89F51ECCFB3}"/>
    <hyperlink ref="AB91" r:id="rId98" display="https://us3.assetplanner.com/service_request?ID=104998" xr:uid="{67F4A6B7-85A9-4280-A135-F6FC9D406678}"/>
    <hyperlink ref="AC91" r:id="rId99" display="https://us3.assetplanner.com/service_request?ID=105204" xr:uid="{C0C56CFD-B2AC-43D7-AAD5-A18830745458}"/>
    <hyperlink ref="L93" r:id="rId100" display="https://us3.assetplanner.com/service_request?ID=103671" xr:uid="{A5B087CB-1B83-403E-88FF-A48A80FDB222}"/>
    <hyperlink ref="M93" r:id="rId101" display="https://us3.assetplanner.com/service_request?ID=103452" xr:uid="{2B17357F-8F00-45DF-BBE5-738C097E2D73}"/>
    <hyperlink ref="L94" r:id="rId102" display="https://us3.assetplanner.com/service_request?ID=101820" xr:uid="{C9DF7EEE-BFDF-4D44-BB0F-1EF65753AC74}"/>
    <hyperlink ref="M94" r:id="rId103" display="https://us3.assetplanner.com/service_request?ID=099347" xr:uid="{D351A609-4F5C-47F8-847B-989B2ACE8076}"/>
    <hyperlink ref="N94" r:id="rId104" display="https://us3.assetplanner.com/service_request?ID=103655" xr:uid="{1B0796BA-0FAB-44B3-B71A-AF7814FF29E4}"/>
    <hyperlink ref="L95" r:id="rId105" display="https://us3.assetplanner.com/service_request?ID=103990" xr:uid="{B486E4E3-42CD-4A00-936A-C63C8E241DEC}"/>
    <hyperlink ref="L96" r:id="rId106" display="https://us3.assetplanner.com/service_request?ID=104624" xr:uid="{08AFB51B-F6B2-48BA-B0FD-99F69D296422}"/>
    <hyperlink ref="L97" r:id="rId107" display="https://us3.assetplanner.com/service_request?ID=105048" xr:uid="{6721B1E6-D4AD-48F7-B25B-EFEFBED53C43}"/>
    <hyperlink ref="M97" r:id="rId108" display="https://us3.assetplanner.com/service_request?ID=105120" xr:uid="{0DC5F67C-F267-4322-8B2D-EFCEBC0C4BF4}"/>
    <hyperlink ref="L98" r:id="rId109" display="https://us3.assetplanner.com/service_request?ID=105049" xr:uid="{C83437A5-0215-4497-AFBF-B82D0CEA9189}"/>
    <hyperlink ref="L99" r:id="rId110" display="https://us3.assetplanner.com/service_request?ID=105225" xr:uid="{241A4319-0360-4F93-9F22-C20B5D25D742}"/>
    <hyperlink ref="L100" r:id="rId111" display="https://us3.assetplanner.com/service_request?ID=105226" xr:uid="{794A5B5E-5E44-468D-B5CE-E5D367FBDF3D}"/>
    <hyperlink ref="L101" r:id="rId112" display="https://us3.assetplanner.com/service_request?ID=104664" xr:uid="{5FC11BB2-8F7E-4C2A-924E-312B2877BF99}"/>
    <hyperlink ref="L102" r:id="rId113" display="https://us3.assetplanner.com/service_request?ID=095109" xr:uid="{74D9E105-1C32-403F-9E91-739E641F86A4}"/>
    <hyperlink ref="L103" r:id="rId114" display="https://us3.assetplanner.com/service_request?ID=105216" xr:uid="{76BAB38D-85B7-4D32-8384-4953FEC4612B}"/>
    <hyperlink ref="L104" r:id="rId115" display="https://us3.assetplanner.com/service_request?ID=105218" xr:uid="{E62E8FC2-84B2-448C-B91A-0B788C831142}"/>
    <hyperlink ref="L108" r:id="rId116" display="https://us3.assetplanner.com/service_request?ID=104383" xr:uid="{07B811DD-6CA6-4195-B94E-E8708D38EF1B}"/>
    <hyperlink ref="L109" r:id="rId117" display="https://us3.assetplanner.com/service_request?ID=101282" xr:uid="{48CBA7FE-987D-47F3-A729-C52629D36481}"/>
    <hyperlink ref="M109" r:id="rId118" display="https://us3.assetplanner.com/service_request?ID=105110" xr:uid="{2E595B74-B3C1-462F-8CCB-A9C144B7A6FC}"/>
    <hyperlink ref="N109" r:id="rId119" display="https://us3.assetplanner.com/service_request?ID=105180" xr:uid="{D2E20C5A-132D-41E0-92F4-423926EAA1BE}"/>
    <hyperlink ref="L110" r:id="rId120" display="https://us3.assetplanner.com/service_request?ID=104142" xr:uid="{0DBED4CE-52B2-42C2-B757-5336C5FA1786}"/>
    <hyperlink ref="M110" r:id="rId121" display="https://us3.assetplanner.com/service_request?ID=104657" xr:uid="{B82057B9-CBDE-4BBA-A82C-A692738EAE45}"/>
    <hyperlink ref="L111" r:id="rId122" display="https://us3.assetplanner.com/service_request?ID=104455" xr:uid="{2D438CC4-6E63-4550-8996-9047B2C423ED}"/>
    <hyperlink ref="L112" r:id="rId123" display="https://us3.assetplanner.com/service_request?ID=095073" xr:uid="{0D1490A2-7420-4416-B8DA-567534E8C5EF}"/>
    <hyperlink ref="L114" r:id="rId124" display="https://us3.assetplanner.com/service_request?ID=104194" xr:uid="{3062AB93-5456-4D8C-92A2-F711CA3C83CF}"/>
    <hyperlink ref="L119" r:id="rId125" display="https://us3.assetplanner.com/service_request?ID=091181" xr:uid="{C47E754F-56A8-491A-A221-548D664FFB1D}"/>
    <hyperlink ref="L120" r:id="rId126" display="https://us3.assetplanner.com/service_request?ID=103078" xr:uid="{5A146108-B71A-4D6D-AA73-C06BBD3AC95A}"/>
    <hyperlink ref="L121" r:id="rId127" display="https://us3.assetplanner.com/service_request?ID=100622" xr:uid="{E233245D-6979-49A1-99E8-2FF5736028B3}"/>
    <hyperlink ref="M121" r:id="rId128" display="https://us3.assetplanner.com/service_request?ID=100771" xr:uid="{B52343AA-6B77-45ED-B390-C54014267518}"/>
    <hyperlink ref="L123" r:id="rId129" display="https://us3.assetplanner.com/service_request?ID=103354" xr:uid="{C99C9437-62A1-4633-9287-D34FE27C5ADD}"/>
    <hyperlink ref="M123" r:id="rId130" display="https://us3.assetplanner.com/service_request?ID=104105" xr:uid="{AB0DD245-F732-406A-AD3E-E3A018E6C44B}"/>
    <hyperlink ref="N123" r:id="rId131" display="https://us3.assetplanner.com/service_request?ID=104590" xr:uid="{21623008-0A0E-4289-9466-F481FA82729C}"/>
    <hyperlink ref="L124" r:id="rId132" display="https://us3.assetplanner.com/service_request?ID=103711" xr:uid="{DECFF1CE-7F62-4FDE-B0D1-C0B0F7EFC003}"/>
    <hyperlink ref="M124" r:id="rId133" display="https://us3.assetplanner.com/service_request?ID=105203" xr:uid="{2188C817-FCEE-4D95-AD67-4B2E33A62E05}"/>
    <hyperlink ref="L125" r:id="rId134" display="https://us3.assetplanner.com/service_request?ID=099268" xr:uid="{85D2975B-A5C5-44B5-9BB6-1D6A1EF4ACFD}"/>
    <hyperlink ref="M125" r:id="rId135" display="https://us3.assetplanner.com/service_request?ID=093354" xr:uid="{CE7D93D7-B05A-4DF0-B480-4BA5AE31C6F0}"/>
    <hyperlink ref="M126" r:id="rId136" display="https://us3.assetplanner.com/service_request?ID=101744" xr:uid="{CAD98C01-0CA9-4DF2-9035-84D79EDDA08D}"/>
    <hyperlink ref="N126" r:id="rId137" display="https://us3.assetplanner.com/service_request?ID=100464" xr:uid="{59A28C1D-4D86-4A60-8865-49E663AF4EA5}"/>
    <hyperlink ref="O126" r:id="rId138" display="https://us3.assetplanner.com/service_request?ID=098883" xr:uid="{BE95C15F-64D5-45A4-8CC8-755BCF1E64E7}"/>
    <hyperlink ref="P126" r:id="rId139" display="https://us3.assetplanner.com/service_request?ID=092332" xr:uid="{C1B10EE3-5C1D-4588-BE19-BE2BB07DC7FB}"/>
    <hyperlink ref="Q126" r:id="rId140" display="https://us3.assetplanner.com/service_request?ID=095649" xr:uid="{90B5BF31-19C1-47F3-9067-761D8771835F}"/>
    <hyperlink ref="R126" r:id="rId141" display="https://us3.assetplanner.com/service_request?ID=101102" xr:uid="{F2BE9B82-3D3A-4617-B5CA-55208051D063}"/>
    <hyperlink ref="M127" r:id="rId142" display="https://us3.assetplanner.com/service_request?ID=101942" xr:uid="{22D80654-4D84-4772-AA2E-D01BE8901B43}"/>
    <hyperlink ref="N127" r:id="rId143" display="https://us3.assetplanner.com/service_request?ID=088869" xr:uid="{97C83C12-F7B0-45B6-9E04-36A8A80D7652}"/>
    <hyperlink ref="O127" r:id="rId144" display="https://us3.assetplanner.com/service_request?ID=092209" xr:uid="{333D6550-424B-4C58-A9C2-C721DF17913B}"/>
    <hyperlink ref="P127" r:id="rId145" display="https://us3.assetplanner.com/service_request?ID=101998" xr:uid="{DB3946DF-9D6A-460A-92F1-B9BD35D02DFD}"/>
    <hyperlink ref="Q127" r:id="rId146" display="https://us3.assetplanner.com/service_request?ID=092255" xr:uid="{C5E4159A-366A-445C-A244-396C4031FC7A}"/>
    <hyperlink ref="R127" r:id="rId147" display="https://us3.assetplanner.com/service_request?ID=092751" xr:uid="{0A477666-996A-4B72-9EE4-0B2EC7B3720F}"/>
    <hyperlink ref="S127" r:id="rId148" display="https://us3.assetplanner.com/service_request?ID=092095" xr:uid="{19121F1C-C4FF-4F07-B921-D20BDAB695A5}"/>
    <hyperlink ref="T127" r:id="rId149" display="https://us3.assetplanner.com/service_request?ID=101997" xr:uid="{DD55B825-8E5B-469C-B5DA-EBE8FCB12F9B}"/>
    <hyperlink ref="U127" r:id="rId150" display="https://us3.assetplanner.com/service_request?ID=103021" xr:uid="{EF046483-3B3F-4C0B-AD12-342795EDBA99}"/>
    <hyperlink ref="V127" r:id="rId151" display="https://us3.assetplanner.com/service_request?ID=104199" xr:uid="{E6167096-62BE-457C-ABC5-938E93D777CA}"/>
    <hyperlink ref="W127" r:id="rId152" display="https://us3.assetplanner.com/service_request?ID=104453" xr:uid="{A6F735E9-C1C7-4B97-8076-031023C48C14}"/>
    <hyperlink ref="L128" r:id="rId153" display="https://us3.assetplanner.com/service_request?ID=095305" xr:uid="{5802C978-2BC3-45ED-A0A1-A21456BFB0DB}"/>
    <hyperlink ref="L129" r:id="rId154" display="https://us3.assetplanner.com/service_request?ID=101010" xr:uid="{AECD906D-2408-4E18-A629-D139D4A25B78}"/>
    <hyperlink ref="L130" r:id="rId155" display="https://us3.assetplanner.com/service_request?ID=100985" xr:uid="{60849ABD-990B-4E98-8C46-049AA60E7327}"/>
    <hyperlink ref="M130" r:id="rId156" display="https://us3.assetplanner.com/service_request?ID=101223" xr:uid="{112E9ED8-9EFA-408D-91AB-225F7FB577C7}"/>
    <hyperlink ref="L134" r:id="rId157" display="https://us3.assetplanner.com/service_request?ID=104785" xr:uid="{E0BF2783-E693-4896-9635-107EE2D8DEA8}"/>
    <hyperlink ref="L135" r:id="rId158" display="https://us3.assetplanner.com/service_request?ID=102704" xr:uid="{0A90E644-0407-4DA3-A3C3-3361FED18FB4}"/>
    <hyperlink ref="M135" r:id="rId159" display="https://us3.assetplanner.com/service_request?ID=104999" xr:uid="{4C6C6C7F-3B55-488C-A677-B5C59705DEDA}"/>
    <hyperlink ref="L139" r:id="rId160" display="https://us3.assetplanner.com/service_request?ID=101152" xr:uid="{5CE22184-E7E3-4141-BAB1-167879C59465}"/>
    <hyperlink ref="L140" r:id="rId161" display="https://us3.assetplanner.com/service_request?ID=103760" xr:uid="{E54C5EE3-F7BF-4FC0-9C9D-7B654C77A974}"/>
    <hyperlink ref="L141" r:id="rId162" display="https://us3.assetplanner.com/service_request?ID=103538" xr:uid="{187AFDA5-2D39-4F71-9844-595394C4BCD6}"/>
    <hyperlink ref="M141" r:id="rId163" display="https://us3.assetplanner.com/service_request?ID=103538" xr:uid="{03FA0671-E4E6-40DE-9993-1D6F1F902726}"/>
    <hyperlink ref="N141" r:id="rId164" display="https://us3.assetplanner.com/service_request?ID=104184" xr:uid="{4E8ADA73-C446-49FE-A28B-C46F76371FA2}"/>
    <hyperlink ref="L142" r:id="rId165" display="https://us3.assetplanner.com/service_request?ID=104018" xr:uid="{081BD493-E141-4D00-B9E3-EB100A27DA30}"/>
    <hyperlink ref="M142" r:id="rId166" display="https://us3.assetplanner.com/service_request?ID=104092" xr:uid="{EF20EE84-D874-40A1-993B-05DE6FBD23EC}"/>
    <hyperlink ref="N142" r:id="rId167" display="https://us3.assetplanner.com/service_request?ID=104283" xr:uid="{BC962707-F659-4AAF-93F2-9BD1446F086E}"/>
    <hyperlink ref="O142" r:id="rId168" display="https://us3.assetplanner.com/service_request?ID=104691" xr:uid="{D3BAC3FD-F150-445D-8F00-F1552BEE86DB}"/>
    <hyperlink ref="P142" r:id="rId169" display="https://us3.assetplanner.com/service_request?ID=104691" xr:uid="{D87121BF-52AC-411F-8E1E-B10AD7D8F3C1}"/>
    <hyperlink ref="L143" r:id="rId170" display="https://us3.assetplanner.com/service_request?ID=102328" xr:uid="{9879D266-B663-4DF9-A9B7-343D5370AF85}"/>
    <hyperlink ref="L145" r:id="rId171" display="https://us3.assetplanner.com/service_request?ID=104727" xr:uid="{8A00FEE9-A162-4D82-BD64-5859F5EBDC22}"/>
    <hyperlink ref="M145" r:id="rId172" display="https://us3.assetplanner.com/service_request?ID=104138" xr:uid="{173B4348-04AC-4A95-A2E7-2749502562D2}"/>
    <hyperlink ref="N145" r:id="rId173" display="https://us3.assetplanner.com/service_request?ID=104422" xr:uid="{1343EBF2-4D90-4654-8D75-87F62838A19C}"/>
    <hyperlink ref="O145" r:id="rId174" display="https://us3.assetplanner.com/service_request?ID=104601" xr:uid="{A99B5CB9-411A-486E-AF52-4E80287A9951}"/>
    <hyperlink ref="P145" r:id="rId175" display="https://us3.assetplanner.com/service_request?ID=104708" xr:uid="{089C5747-9C23-48D6-A245-63900BBA4FB1}"/>
    <hyperlink ref="Q145" r:id="rId176" display="https://us3.assetplanner.com/service_request?ID=105105" xr:uid="{CD1BD98D-54D8-4195-AEEC-291DC848A260}"/>
    <hyperlink ref="R145" r:id="rId177" display="https://us3.assetplanner.com/service_request?ID=105276" xr:uid="{F4E0793A-3248-4DDC-9D32-14A09ADAAE85}"/>
    <hyperlink ref="L147" r:id="rId178" display="https://us3.assetplanner.com/service_request?ID=105107" xr:uid="{FB7A172E-E823-4670-AAA0-5A1295325DD8}"/>
    <hyperlink ref="L148" r:id="rId179" display="https://us3.assetplanner.com/service_request?ID=104075" xr:uid="{D4D649DA-C199-49DF-B92A-7B5E26978432}"/>
    <hyperlink ref="L149" r:id="rId180" display="https://us3.assetplanner.com/service_request?ID=103943" xr:uid="{925FE474-7C03-4821-AC96-F7F6978F86EE}"/>
    <hyperlink ref="M149" r:id="rId181" display="https://us3.assetplanner.com/service_request?ID=105161" xr:uid="{00B31F85-6D1B-401C-81BA-CE4C78F2FA46}"/>
    <hyperlink ref="L150" r:id="rId182" display="https://us3.assetplanner.com/service_request?ID=101947" xr:uid="{434A8651-2626-4AC0-9E76-062649F3492B}"/>
    <hyperlink ref="M150" r:id="rId183" display="https://us3.assetplanner.com/service_request?ID=102015" xr:uid="{24836716-8FDD-42D4-A8C0-94E48B5874EC}"/>
    <hyperlink ref="N150" r:id="rId184" display="https://us3.assetplanner.com/service_request?ID=105108" xr:uid="{C79D9883-FFD6-45B3-B37D-BCF6781D4756}"/>
    <hyperlink ref="L151" r:id="rId185" display="https://us3.assetplanner.com/service_request?ID=103685" xr:uid="{81BA4E7E-4FC5-450C-BDA9-47D3B80B04E0}"/>
    <hyperlink ref="L152" r:id="rId186" display="https://us3.assetplanner.com/service_request?ID=104120" xr:uid="{6DBF278B-B1F3-4D76-8412-CBAB4CBE9969}"/>
    <hyperlink ref="L153" r:id="rId187" display="https://us3.assetplanner.com/service_request?ID=104019" xr:uid="{31D05F46-D14F-415A-A241-F56B9105EC9D}"/>
    <hyperlink ref="M153" r:id="rId188" display="https://us3.assetplanner.com/service_request?ID=104175" xr:uid="{8E4BDFB7-088F-4E2A-A3F4-B9685F407CE2}"/>
    <hyperlink ref="N153" r:id="rId189" display="https://us3.assetplanner.com/service_request?ID=104235" xr:uid="{A028C82D-4674-422C-9B2C-7B9A498AA1DC}"/>
    <hyperlink ref="O153" r:id="rId190" display="https://us3.assetplanner.com/service_request?ID=104341" xr:uid="{B46F82ED-8A3A-4804-A8BC-551528B1E912}"/>
    <hyperlink ref="P153" r:id="rId191" display="https://us3.assetplanner.com/service_request?ID=104445" xr:uid="{00047DAE-5D2C-4551-8A2B-EFEF1DC1DEF1}"/>
    <hyperlink ref="Q153" r:id="rId192" display="https://us3.assetplanner.com/service_request?ID=104920" xr:uid="{3443FFB8-202C-43C6-857B-5F293BB3EF12}"/>
    <hyperlink ref="L154" r:id="rId193" display="https://us3.assetplanner.com/service_request?ID=104335" xr:uid="{145AFEAF-549E-4811-8EA7-5A43724CCF96}"/>
    <hyperlink ref="M154" r:id="rId194" display="https://us3.assetplanner.com/service_request?ID=104540" xr:uid="{1F6B18C8-26CA-4953-AD14-C6617C081D0C}"/>
    <hyperlink ref="L155" r:id="rId195" display="https://us3.assetplanner.com/service_request?ID=098860" xr:uid="{7627202F-3493-4BFF-A12B-F032CDD3D467}"/>
    <hyperlink ref="M155" r:id="rId196" display="https://us3.assetplanner.com/service_request?ID=104541" xr:uid="{D127A392-C60B-4100-8260-28CF6CCC4998}"/>
    <hyperlink ref="L156" r:id="rId197" display="https://us3.assetplanner.com/service_request?ID=103824" xr:uid="{6BCB2A1F-79F9-4282-B3AB-291E6AB822DD}"/>
    <hyperlink ref="L157" r:id="rId198" display="https://us3.assetplanner.com/service_request?ID=103367" xr:uid="{5A215E90-8F22-4AE1-BEC9-13001CF64207}"/>
    <hyperlink ref="M157" r:id="rId199" display="https://us3.assetplanner.com/service_request?ID=104633" xr:uid="{80207851-BC71-49E2-B42E-0FA532C57F15}"/>
    <hyperlink ref="L158" r:id="rId200" display="https://us3.assetplanner.com/service_request?ID=103852" xr:uid="{6FD1463F-902E-46A8-B003-D89C6652F2EA}"/>
    <hyperlink ref="M158" r:id="rId201" display="https://us3.assetplanner.com/service_request?ID=104141" xr:uid="{D7503098-2F0A-4B63-AFAA-F73D699F17A8}"/>
    <hyperlink ref="N158" r:id="rId202" display="https://us3.assetplanner.com/service_request?ID=104367" xr:uid="{D81773DC-844C-4200-84CD-72E0177DC15D}"/>
    <hyperlink ref="O158" r:id="rId203" display="https://us3.assetplanner.com/service_request?ID=104600" xr:uid="{11D8E18F-9A10-485C-AF68-5BEB36464E75}"/>
    <hyperlink ref="P158" r:id="rId204" display="https://us3.assetplanner.com/service_request?ID=104850" xr:uid="{44C6FD7F-B212-45EB-81F4-A0B7E54A9D0F}"/>
    <hyperlink ref="L165" r:id="rId205" display="https://us3.assetplanner.com/service_request?ID=103457" xr:uid="{C9801767-9D7A-4372-93BE-D453B008AA66}"/>
    <hyperlink ref="L167" r:id="rId206" display="https://us3.assetplanner.com/service_request?ID=103482" xr:uid="{B39D30DD-0F20-44BA-B6FC-DF6F44930313}"/>
    <hyperlink ref="L169" r:id="rId207" display="https://us3.assetplanner.com/service_request?ID=105122" xr:uid="{7319C552-03A7-449B-A9A0-964A639B659C}"/>
    <hyperlink ref="L174" r:id="rId208" display="https://us3.assetplanner.com/service_request?ID=103141" xr:uid="{042F61B5-4317-45B4-9C48-7C37152C555C}"/>
    <hyperlink ref="L175" r:id="rId209" display="https://us3.assetplanner.com/service_request?ID=103096" xr:uid="{9AF9AD66-D2D4-4576-860B-66558425BE2D}"/>
    <hyperlink ref="M175" r:id="rId210" display="https://us3.assetplanner.com/service_request?ID=103710" xr:uid="{0F1EAA86-197B-4096-BD5E-05517C3C6A2F}"/>
    <hyperlink ref="N175" r:id="rId211" display="https://us3.assetplanner.com/service_request?ID=103871" xr:uid="{5E778C6F-ECC8-415E-862D-51EA5DADBA5D}"/>
    <hyperlink ref="O175" r:id="rId212" display="https://us3.assetplanner.com/service_request?ID=104959" xr:uid="{D5AD6DED-E58C-4B75-9A2D-C23CEA9EA556}"/>
    <hyperlink ref="L180" r:id="rId213" display="https://us3.assetplanner.com/service_request?ID=103361" xr:uid="{081A4186-375F-4B7E-AB7B-39EA34199EC5}"/>
    <hyperlink ref="L182" r:id="rId214" display="https://us3.assetplanner.com/service_request?ID=103641" xr:uid="{BDB29019-7D87-44B4-AEBC-9A9636A52E22}"/>
    <hyperlink ref="M182" r:id="rId215" display="https://us3.assetplanner.com/service_request?ID=103805" xr:uid="{AAA31CF6-5801-40F0-98EE-DECEF211D960}"/>
    <hyperlink ref="L183" r:id="rId216" display="https://us3.assetplanner.com/service_request?ID=103246" xr:uid="{728167B7-AA73-403E-976B-313089A09508}"/>
    <hyperlink ref="L186" r:id="rId217" display="https://us3.assetplanner.com/service_request?ID=100220" xr:uid="{D2C7F473-4E08-4B00-847A-B406672CBE09}"/>
    <hyperlink ref="M186" r:id="rId218" display="https://us3.assetplanner.com/service_request?ID=104636" xr:uid="{20D6440E-C419-4799-B4BC-078FAC3BC68A}"/>
    <hyperlink ref="L187" r:id="rId219" display="https://us3.assetplanner.com/service_request?ID=104413" xr:uid="{32810C6C-64F7-4452-A903-3933DDC19B91}"/>
    <hyperlink ref="M187" r:id="rId220" display="https://us3.assetplanner.com/service_request?ID=104637" xr:uid="{863C91A1-202C-464D-80BD-B101915B7281}"/>
    <hyperlink ref="L188" r:id="rId221" display="https://us3.assetplanner.com/service_request?ID=104168" xr:uid="{159FED9C-38A0-4A9E-871F-5F8EF3A50EB2}"/>
    <hyperlink ref="M188" r:id="rId222" display="https://us3.assetplanner.com/service_request?ID=104538" xr:uid="{8ED3BF26-03B9-4633-90DE-D00012214914}"/>
    <hyperlink ref="L189" r:id="rId223" display="https://us3.assetplanner.com/service_request?ID=104292" xr:uid="{4D52F9E5-0EAD-4A49-843B-9D6464DCECD4}"/>
    <hyperlink ref="L190" r:id="rId224" display="https://us3.assetplanner.com/service_request?ID=104007" xr:uid="{ACA0AEC8-EC31-479D-8F37-88548DD240E7}"/>
    <hyperlink ref="L192" r:id="rId225" display="https://us3.assetplanner.com/service_request?ID=103880" xr:uid="{75B8D6C4-6787-4A5F-A3BA-C2E3481C7C20}"/>
    <hyperlink ref="M192" r:id="rId226" display="https://us3.assetplanner.com/service_request?ID=104002" xr:uid="{B6AC9CE8-E47B-4F97-8417-3C91E3D0B1DF}"/>
    <hyperlink ref="N192" r:id="rId227" display="https://us3.assetplanner.com/service_request?ID=105114" xr:uid="{B8B244DD-5D96-4D35-8E6D-789FD7DA9F32}"/>
    <hyperlink ref="L193" r:id="rId228" display="https://us3.assetplanner.com/service_request?ID=101228" xr:uid="{21E4BFC1-0E56-41E6-A52A-9142960CED4C}"/>
    <hyperlink ref="L194" r:id="rId229" display="https://us3.assetplanner.com/service_request?ID=098278" xr:uid="{2C3CE5AF-F4D1-4AA1-AA57-19C48E8D557F}"/>
    <hyperlink ref="M194" r:id="rId230" display="https://us3.assetplanner.com/service_request?ID=098670" xr:uid="{ACA557FB-2A06-47E4-92E9-830DC1F2DD72}"/>
    <hyperlink ref="L195" r:id="rId231" display="https://us3.assetplanner.com/service_request?ID=102684" xr:uid="{0998818E-9B0E-4FA5-A7AC-B80F21C5EE80}"/>
    <hyperlink ref="M195" r:id="rId232" display="https://us3.assetplanner.com/service_request?ID=104020" xr:uid="{EED541FF-713F-460F-B2BE-A464A32FEB0B}"/>
    <hyperlink ref="L196" r:id="rId233" display="https://us3.assetplanner.com/service_request?ID=099545" xr:uid="{5991B5D8-0338-4A0B-838C-1BFFF74EE63C}"/>
    <hyperlink ref="M196" r:id="rId234" display="https://us3.assetplanner.com/service_request?ID=105330" xr:uid="{06E4316A-9BE2-4F5F-B33B-2332E4DF78DC}"/>
    <hyperlink ref="L197" r:id="rId235" display="https://us3.assetplanner.com/service_request?ID=103988" xr:uid="{3FB87F95-EB1A-4495-B937-5CC03B26FCC5}"/>
    <hyperlink ref="M197" r:id="rId236" display="https://us3.assetplanner.com/service_request?ID=104286" xr:uid="{81C60A4C-6562-4A5C-AA43-F997BC27773E}"/>
    <hyperlink ref="L199" r:id="rId237" display="https://us3.assetplanner.com/service_request?ID=098693" xr:uid="{F71DB138-F63A-4EC8-8167-0957C224FE2C}"/>
    <hyperlink ref="M199" r:id="rId238" display="https://us3.assetplanner.com/service_request?ID=104015" xr:uid="{8B1C52A0-0BC0-4866-A512-E92EC3F0C247}"/>
    <hyperlink ref="L200" r:id="rId239" display="https://us3.assetplanner.com/service_request?ID=104558" xr:uid="{2D2D33DB-2FAF-4F20-A665-3756FE518680}"/>
  </hyperlinks>
  <pageMargins left="0.4" right="0.7" top="0.25" bottom="0.25" header="0.3" footer="0.3"/>
  <pageSetup fitToHeight="99" orientation="landscape" r:id="rId24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200"/>
  <sheetViews>
    <sheetView zoomScale="70" zoomScaleNormal="70" workbookViewId="0">
      <pane xSplit="2" ySplit="3" topLeftCell="C161" activePane="bottomRight" state="frozen"/>
      <selection pane="bottomRight" activeCell="M146" sqref="M14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5" t="str" cm="1">
        <f t="array" ref="A1">portfolio</f>
        <v>Generate Capital</v>
      </c>
      <c r="B1" s="165"/>
      <c r="C1" s="165"/>
      <c r="D1" s="165"/>
      <c r="E1" s="166" t="s">
        <v>1986</v>
      </c>
      <c r="F1" s="166"/>
      <c r="G1" s="166"/>
      <c r="H1" s="164" t="s">
        <v>1987</v>
      </c>
      <c r="I1" s="164"/>
      <c r="J1" s="164"/>
      <c r="K1" s="4"/>
      <c r="L1" s="4"/>
    </row>
    <row r="2" spans="1:12" ht="19.5" customHeight="1">
      <c r="A2" s="167" t="s">
        <v>2</v>
      </c>
      <c r="B2" s="167"/>
      <c r="C2" s="65"/>
      <c r="D2" s="5">
        <f>SUM(D4:D200)</f>
        <v>0</v>
      </c>
      <c r="E2" s="5">
        <f>SUM(E4:E100)</f>
        <v>0</v>
      </c>
      <c r="F2" s="5">
        <f>D2-E2</f>
        <v>0</v>
      </c>
      <c r="G2" s="6">
        <f>IFERROR(F2/E2, 0)</f>
        <v>0</v>
      </c>
      <c r="H2" s="5">
        <f>SUM(H4:H200)</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86"/>
      <c r="E4" s="87"/>
      <c r="F4" s="10" t="str">
        <f>IF(AND(ISNUMBER(D4),ISNUMBER(E4)), D4-E4, "")</f>
        <v/>
      </c>
      <c r="G4" s="11" t="str">
        <f>IFERROR(F4/E4, "")</f>
        <v/>
      </c>
      <c r="H4" s="75"/>
      <c r="I4" s="12" t="str">
        <f>IF(AND(ISNUMBER(D4),ISNUMBER(H4)), D4-H4, "")</f>
        <v/>
      </c>
      <c r="J4" s="13" t="str">
        <f>IFERROR(I4/H4, "")</f>
        <v/>
      </c>
      <c r="K4" s="59"/>
      <c r="L4" s="59"/>
    </row>
    <row r="5" spans="1:12" ht="15.6">
      <c r="A5" s="26" t="str">
        <v>Fulton</v>
      </c>
      <c r="B5" s="27" t="str">
        <v>AZ</v>
      </c>
      <c r="C5" s="25" t="str">
        <f>Sites[[#This Row],[SOL'#]]</f>
        <v>SOL-10749</v>
      </c>
      <c r="D5" s="80"/>
      <c r="E5" s="88"/>
      <c r="F5" s="14" t="str">
        <f t="shared" ref="F5:F17" si="0">IF(AND(ISNUMBER(D5),ISNUMBER(E5)), D5-E5, "")</f>
        <v/>
      </c>
      <c r="G5" s="15" t="str">
        <f>IFERROR(F5/E5, "")</f>
        <v/>
      </c>
      <c r="H5" s="77"/>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86"/>
      <c r="E6" s="87"/>
      <c r="F6" s="10" t="str">
        <f t="shared" si="0"/>
        <v/>
      </c>
      <c r="G6" s="11" t="str">
        <f t="shared" ref="G6:G17" si="3">IFERROR(F6/E6, "")</f>
        <v/>
      </c>
      <c r="H6" s="75"/>
      <c r="I6" s="12" t="str">
        <f t="shared" si="1"/>
        <v/>
      </c>
      <c r="J6" s="13" t="str">
        <f t="shared" si="2"/>
        <v/>
      </c>
      <c r="K6" s="59"/>
      <c r="L6" s="59"/>
    </row>
    <row r="7" spans="1:12" ht="15.6">
      <c r="A7" s="26" t="str">
        <v>Noble</v>
      </c>
      <c r="B7" s="27" t="str">
        <v>AZ</v>
      </c>
      <c r="C7" s="25" t="str">
        <f>Sites[[#This Row],[SOL'#]]</f>
        <v>SOL-10750</v>
      </c>
      <c r="D7" s="80"/>
      <c r="E7" s="88"/>
      <c r="F7" s="14" t="str">
        <f t="shared" si="0"/>
        <v/>
      </c>
      <c r="G7" s="15" t="str">
        <f t="shared" si="3"/>
        <v/>
      </c>
      <c r="H7" s="77"/>
      <c r="I7" s="16" t="str">
        <f t="shared" si="1"/>
        <v/>
      </c>
      <c r="J7" s="15" t="str">
        <f t="shared" si="2"/>
        <v/>
      </c>
      <c r="K7" s="57"/>
      <c r="L7" s="57"/>
    </row>
    <row r="8" spans="1:12" ht="15.6">
      <c r="A8" s="24" t="str">
        <v>Parking 3</v>
      </c>
      <c r="B8" s="25" t="str">
        <v>AZ</v>
      </c>
      <c r="C8" s="25" t="str">
        <f>Sites[[#This Row],[SOL'#]]</f>
        <v>SOL-10751</v>
      </c>
      <c r="D8" s="86"/>
      <c r="E8" s="87"/>
      <c r="F8" s="10" t="str">
        <f t="shared" si="0"/>
        <v/>
      </c>
      <c r="G8" s="11" t="str">
        <f t="shared" si="3"/>
        <v/>
      </c>
      <c r="H8" s="75"/>
      <c r="I8" s="12" t="str">
        <f t="shared" si="1"/>
        <v/>
      </c>
      <c r="J8" s="13" t="str">
        <f t="shared" si="2"/>
        <v/>
      </c>
      <c r="K8" s="59"/>
      <c r="L8" s="59"/>
    </row>
    <row r="9" spans="1:12" ht="15.6">
      <c r="A9" s="26" t="str">
        <v>PE East</v>
      </c>
      <c r="B9" s="27" t="str">
        <v>AZ</v>
      </c>
      <c r="C9" s="25" t="str">
        <f>Sites[[#This Row],[SOL'#]]</f>
        <v>SOL-10752</v>
      </c>
      <c r="D9" s="80"/>
      <c r="E9" s="88"/>
      <c r="F9" s="14" t="str">
        <f t="shared" si="0"/>
        <v/>
      </c>
      <c r="G9" s="15" t="str">
        <f t="shared" si="3"/>
        <v/>
      </c>
      <c r="H9" s="77"/>
      <c r="I9" s="16" t="str">
        <f t="shared" si="1"/>
        <v/>
      </c>
      <c r="J9" s="15" t="str">
        <f t="shared" si="2"/>
        <v/>
      </c>
      <c r="K9" s="57"/>
      <c r="L9" s="57"/>
    </row>
    <row r="10" spans="1:12" ht="15.6">
      <c r="A10" s="24" t="str">
        <v>Schwada</v>
      </c>
      <c r="B10" s="25" t="str">
        <v>AZ</v>
      </c>
      <c r="C10" s="25" t="str">
        <f>Sites[[#This Row],[SOL'#]]</f>
        <v>SOL-10753</v>
      </c>
      <c r="D10" s="86"/>
      <c r="E10" s="87"/>
      <c r="F10" s="10" t="str">
        <f t="shared" si="0"/>
        <v/>
      </c>
      <c r="G10" s="11" t="str">
        <f t="shared" si="3"/>
        <v/>
      </c>
      <c r="H10" s="75"/>
      <c r="I10" s="12" t="str">
        <f t="shared" si="1"/>
        <v/>
      </c>
      <c r="J10" s="13" t="str">
        <f t="shared" si="2"/>
        <v/>
      </c>
      <c r="K10" s="59"/>
      <c r="L10" s="59"/>
    </row>
    <row r="11" spans="1:12" ht="15.6">
      <c r="A11" s="26" t="str">
        <v>Starshine</v>
      </c>
      <c r="B11" s="27" t="str">
        <v>AZ</v>
      </c>
      <c r="C11" s="25" t="str">
        <f>Sites[[#This Row],[SOL'#]]</f>
        <v>SOL-10757</v>
      </c>
      <c r="D11" s="80"/>
      <c r="E11" s="88"/>
      <c r="F11" s="14" t="str">
        <f t="shared" si="0"/>
        <v/>
      </c>
      <c r="G11" s="15" t="str">
        <f t="shared" si="3"/>
        <v/>
      </c>
      <c r="H11" s="77"/>
      <c r="I11" s="16" t="str">
        <f t="shared" si="1"/>
        <v/>
      </c>
      <c r="J11" s="15" t="str">
        <f t="shared" si="2"/>
        <v/>
      </c>
      <c r="K11" s="57"/>
      <c r="L11" s="57"/>
    </row>
    <row r="12" spans="1:12" ht="15.6">
      <c r="A12" s="24" t="str">
        <v>Yuma Airport</v>
      </c>
      <c r="B12" s="25" t="str">
        <v>AZ</v>
      </c>
      <c r="C12" s="25" t="str">
        <f>Sites[[#This Row],[SOL'#]]</f>
        <v>SOL-10754</v>
      </c>
      <c r="D12" s="86"/>
      <c r="E12" s="87"/>
      <c r="F12" s="10" t="str">
        <f t="shared" si="0"/>
        <v/>
      </c>
      <c r="G12" s="11" t="str">
        <f t="shared" si="3"/>
        <v/>
      </c>
      <c r="H12" s="75"/>
      <c r="I12" s="12" t="str">
        <f t="shared" si="1"/>
        <v/>
      </c>
      <c r="J12" s="13" t="str">
        <f t="shared" si="2"/>
        <v/>
      </c>
      <c r="K12" s="59"/>
      <c r="L12" s="59"/>
    </row>
    <row r="13" spans="1:12" ht="15.6">
      <c r="A13" s="26" t="str">
        <v>Kinsman</v>
      </c>
      <c r="B13" s="27" t="str">
        <v>OH</v>
      </c>
      <c r="C13" s="25" t="str">
        <f>Sites[[#This Row],[SOL'#]]</f>
        <v>SOL-10762</v>
      </c>
      <c r="D13" s="80"/>
      <c r="E13" s="88"/>
      <c r="F13" s="14" t="str">
        <f t="shared" si="0"/>
        <v/>
      </c>
      <c r="G13" s="15" t="str">
        <f t="shared" si="3"/>
        <v/>
      </c>
      <c r="H13" s="77"/>
      <c r="I13" s="16" t="str">
        <f t="shared" si="1"/>
        <v/>
      </c>
      <c r="J13" s="15" t="str">
        <f t="shared" si="2"/>
        <v/>
      </c>
      <c r="K13" s="57"/>
      <c r="L13" s="57"/>
    </row>
    <row r="14" spans="1:12" ht="15.6">
      <c r="A14" s="24" t="str">
        <v>Wooster</v>
      </c>
      <c r="B14" s="25" t="str">
        <v>OH</v>
      </c>
      <c r="C14" s="25" t="str">
        <f>Sites[[#This Row],[SOL'#]]</f>
        <v>SOL-10763</v>
      </c>
      <c r="D14" s="86"/>
      <c r="E14" s="87"/>
      <c r="F14" s="10" t="str">
        <f t="shared" si="0"/>
        <v/>
      </c>
      <c r="G14" s="11" t="str">
        <f t="shared" si="3"/>
        <v/>
      </c>
      <c r="H14" s="75"/>
      <c r="I14" s="12" t="str">
        <f t="shared" si="1"/>
        <v/>
      </c>
      <c r="J14" s="13" t="str">
        <f t="shared" si="2"/>
        <v/>
      </c>
      <c r="K14" s="59"/>
      <c r="L14" s="59"/>
    </row>
    <row r="15" spans="1:12" ht="15.6">
      <c r="A15" s="26" t="str">
        <v>Globe Gila CC</v>
      </c>
      <c r="B15" s="27" t="str">
        <v>AZ</v>
      </c>
      <c r="C15" s="25" t="str">
        <f>Sites[[#This Row],[SOL'#]]</f>
        <v>SOL-10755</v>
      </c>
      <c r="D15" s="80"/>
      <c r="E15" s="88"/>
      <c r="F15" s="14" t="str">
        <f t="shared" si="0"/>
        <v/>
      </c>
      <c r="G15" s="15" t="str">
        <f t="shared" si="3"/>
        <v/>
      </c>
      <c r="H15" s="77"/>
      <c r="I15" s="16" t="str">
        <f t="shared" si="1"/>
        <v/>
      </c>
      <c r="J15" s="15" t="str">
        <f t="shared" si="2"/>
        <v/>
      </c>
      <c r="K15" s="57"/>
      <c r="L15" s="57"/>
    </row>
    <row r="16" spans="1:12" ht="15.6">
      <c r="A16" s="24" t="str">
        <v>Payson Gila CC</v>
      </c>
      <c r="B16" s="25" t="str">
        <v>AZ</v>
      </c>
      <c r="C16" s="25" t="str">
        <f>Sites[[#This Row],[SOL'#]]</f>
        <v>SOL-10756</v>
      </c>
      <c r="D16" s="86"/>
      <c r="E16" s="87"/>
      <c r="F16" s="10" t="str">
        <f t="shared" si="0"/>
        <v/>
      </c>
      <c r="G16" s="11" t="str">
        <f t="shared" si="3"/>
        <v/>
      </c>
      <c r="H16" s="75"/>
      <c r="I16" s="12" t="str">
        <f t="shared" si="1"/>
        <v/>
      </c>
      <c r="J16" s="13" t="str">
        <f t="shared" si="2"/>
        <v/>
      </c>
      <c r="K16" s="59"/>
      <c r="L16" s="59"/>
    </row>
    <row r="17" spans="1:12" ht="15.6">
      <c r="A17" s="26" t="str">
        <v>SCNM</v>
      </c>
      <c r="B17" s="27" t="str">
        <v>AZ</v>
      </c>
      <c r="C17" s="25" t="str">
        <f>Sites[[#This Row],[SOL'#]]</f>
        <v>SOL-10760</v>
      </c>
      <c r="D17" s="80"/>
      <c r="E17" s="88"/>
      <c r="F17" s="14" t="str">
        <f t="shared" si="0"/>
        <v/>
      </c>
      <c r="G17" s="15" t="str">
        <f t="shared" si="3"/>
        <v/>
      </c>
      <c r="H17" s="77"/>
      <c r="I17" s="16" t="str">
        <f t="shared" si="1"/>
        <v/>
      </c>
      <c r="J17" s="15" t="str">
        <f t="shared" si="2"/>
        <v/>
      </c>
      <c r="K17" s="57"/>
      <c r="L17" s="57"/>
    </row>
    <row r="18" spans="1:12" ht="70.349999999999994" customHeight="1">
      <c r="A18" s="24" t="str">
        <v>Sequoia Charter School</v>
      </c>
      <c r="B18" s="25" t="str">
        <v>AZ</v>
      </c>
      <c r="C18" s="25" t="str">
        <f>Sites[[#This Row],[SOL'#]]</f>
        <v>SOL-10759</v>
      </c>
      <c r="D18" s="86"/>
      <c r="E18" s="87"/>
      <c r="F18" s="10" t="str">
        <f t="shared" ref="F18:F81" si="4">IF(AND(ISNUMBER(D18),ISNUMBER(E18)), D18-E18, "")</f>
        <v/>
      </c>
      <c r="G18" s="10" t="str">
        <f>IFERROR(F18/E18, "")</f>
        <v/>
      </c>
      <c r="H18" s="75"/>
      <c r="I18" s="12" t="str">
        <f t="shared" ref="I18:I81" si="5">IF(AND(ISNUMBER(D18),ISNUMBER(H18)), D18-H18, "")</f>
        <v/>
      </c>
      <c r="J18" s="13" t="str">
        <f t="shared" ref="J18:J81" si="6">IFERROR(I18/H18, "")</f>
        <v/>
      </c>
      <c r="K18" s="59"/>
      <c r="L18" s="59"/>
    </row>
    <row r="19" spans="1:12" ht="15.6">
      <c r="A19" s="26" t="str">
        <v>RCAB</v>
      </c>
      <c r="B19" s="27" t="str">
        <v>MA</v>
      </c>
      <c r="C19" s="25" t="str">
        <f>Sites[[#This Row],[SOL'#]]</f>
        <v>SOL-10838</v>
      </c>
      <c r="D19" s="80"/>
      <c r="E19" s="88"/>
      <c r="F19" s="14" t="str">
        <f t="shared" si="4"/>
        <v/>
      </c>
      <c r="G19" s="15" t="str">
        <f t="shared" ref="G19:G81" si="7">IFERROR(F19/E19, "")</f>
        <v/>
      </c>
      <c r="H19" s="77"/>
      <c r="I19" s="16" t="str">
        <f t="shared" si="5"/>
        <v/>
      </c>
      <c r="J19" s="15" t="str">
        <f t="shared" si="6"/>
        <v/>
      </c>
      <c r="K19" s="57"/>
      <c r="L19" s="57"/>
    </row>
    <row r="20" spans="1:12" ht="15.6">
      <c r="A20" s="24" t="str">
        <v>Spectro Coatings</v>
      </c>
      <c r="B20" s="25" t="str">
        <v>MA</v>
      </c>
      <c r="C20" s="25" t="str">
        <f>Sites[[#This Row],[SOL'#]]</f>
        <v>SOL-10074</v>
      </c>
      <c r="D20" s="86"/>
      <c r="E20" s="87"/>
      <c r="F20" s="10" t="str">
        <f t="shared" si="4"/>
        <v/>
      </c>
      <c r="G20" s="11" t="str">
        <f t="shared" si="7"/>
        <v/>
      </c>
      <c r="H20" s="75"/>
      <c r="I20" s="12" t="str">
        <f t="shared" si="5"/>
        <v/>
      </c>
      <c r="J20" s="13" t="str">
        <f t="shared" si="6"/>
        <v/>
      </c>
      <c r="K20" s="59"/>
      <c r="L20" s="59"/>
    </row>
    <row r="21" spans="1:12" ht="15.6">
      <c r="A21" s="26" t="str">
        <v>K026</v>
      </c>
      <c r="B21" s="27" t="str">
        <v>NY</v>
      </c>
      <c r="C21" s="25" t="str">
        <f>Sites[[#This Row],[SOL'#]]</f>
        <v>SOL-10356</v>
      </c>
      <c r="D21" s="80"/>
      <c r="E21" s="88"/>
      <c r="F21" s="14" t="str">
        <f t="shared" si="4"/>
        <v/>
      </c>
      <c r="G21" s="15" t="str">
        <f t="shared" si="7"/>
        <v/>
      </c>
      <c r="H21" s="77"/>
      <c r="I21" s="16" t="str">
        <f t="shared" si="5"/>
        <v/>
      </c>
      <c r="J21" s="15" t="str">
        <f t="shared" si="6"/>
        <v/>
      </c>
      <c r="K21" s="57"/>
      <c r="L21" s="57"/>
    </row>
    <row r="22" spans="1:12" ht="15.6">
      <c r="A22" s="24" t="str">
        <v>K041</v>
      </c>
      <c r="B22" s="25" t="str">
        <v>NY</v>
      </c>
      <c r="C22" s="25" t="str">
        <f>Sites[[#This Row],[SOL'#]]</f>
        <v>SOL-10357</v>
      </c>
      <c r="D22" s="86"/>
      <c r="E22" s="87"/>
      <c r="F22" s="10" t="str">
        <f t="shared" si="4"/>
        <v/>
      </c>
      <c r="G22" s="11" t="str">
        <f t="shared" si="7"/>
        <v/>
      </c>
      <c r="H22" s="75"/>
      <c r="I22" s="12" t="str">
        <f t="shared" si="5"/>
        <v/>
      </c>
      <c r="J22" s="13" t="str">
        <f t="shared" si="6"/>
        <v/>
      </c>
      <c r="K22" s="59"/>
      <c r="L22" s="59"/>
    </row>
    <row r="23" spans="1:12" ht="15.6">
      <c r="A23" s="26" t="str">
        <v>K043</v>
      </c>
      <c r="B23" s="27" t="str">
        <v>NY</v>
      </c>
      <c r="C23" s="25" t="str">
        <f>Sites[[#This Row],[SOL'#]]</f>
        <v>SOL-10358</v>
      </c>
      <c r="D23" s="80"/>
      <c r="E23" s="88"/>
      <c r="F23" s="14" t="str">
        <f t="shared" si="4"/>
        <v/>
      </c>
      <c r="G23" s="15" t="str">
        <f t="shared" si="7"/>
        <v/>
      </c>
      <c r="H23" s="77"/>
      <c r="I23" s="16" t="str">
        <f t="shared" si="5"/>
        <v/>
      </c>
      <c r="J23" s="15" t="str">
        <f t="shared" si="6"/>
        <v/>
      </c>
      <c r="K23" s="57"/>
      <c r="L23" s="57"/>
    </row>
    <row r="24" spans="1:12" ht="15.6">
      <c r="A24" s="24" t="str">
        <v>K058</v>
      </c>
      <c r="B24" s="25" t="str">
        <v>NY</v>
      </c>
      <c r="C24" s="25" t="str">
        <f>Sites[[#This Row],[SOL'#]]</f>
        <v>SOL-10360</v>
      </c>
      <c r="D24" s="86"/>
      <c r="E24" s="87"/>
      <c r="F24" s="10" t="str">
        <f t="shared" si="4"/>
        <v/>
      </c>
      <c r="G24" s="11" t="str">
        <f t="shared" si="7"/>
        <v/>
      </c>
      <c r="H24" s="75"/>
      <c r="I24" s="12" t="str">
        <f t="shared" si="5"/>
        <v/>
      </c>
      <c r="J24" s="13" t="str">
        <f t="shared" si="6"/>
        <v/>
      </c>
      <c r="K24" s="59"/>
      <c r="L24" s="59"/>
    </row>
    <row r="25" spans="1:12" ht="15.6">
      <c r="A25" s="26" t="str">
        <v>K115</v>
      </c>
      <c r="B25" s="27" t="str">
        <v>NY</v>
      </c>
      <c r="C25" s="25" t="str">
        <f>Sites[[#This Row],[SOL'#]]</f>
        <v>SOL-10361</v>
      </c>
      <c r="D25" s="80"/>
      <c r="E25" s="88"/>
      <c r="F25" s="14" t="str">
        <f t="shared" si="4"/>
        <v/>
      </c>
      <c r="G25" s="15" t="str">
        <f t="shared" si="7"/>
        <v/>
      </c>
      <c r="H25" s="77"/>
      <c r="I25" s="16" t="str">
        <f t="shared" si="5"/>
        <v/>
      </c>
      <c r="J25" s="15" t="str">
        <f t="shared" si="6"/>
        <v/>
      </c>
      <c r="K25" s="57"/>
      <c r="L25" s="57"/>
    </row>
    <row r="26" spans="1:12" ht="15.6">
      <c r="A26" s="24" t="str">
        <v>K152</v>
      </c>
      <c r="B26" s="25" t="str">
        <v>NY</v>
      </c>
      <c r="C26" s="25" t="str">
        <f>Sites[[#This Row],[SOL'#]]</f>
        <v>SOL-10362</v>
      </c>
      <c r="D26" s="86"/>
      <c r="E26" s="87"/>
      <c r="F26" s="10" t="str">
        <f t="shared" si="4"/>
        <v/>
      </c>
      <c r="G26" s="11" t="str">
        <f t="shared" si="7"/>
        <v/>
      </c>
      <c r="H26" s="75"/>
      <c r="I26" s="12" t="str">
        <f t="shared" si="5"/>
        <v/>
      </c>
      <c r="J26" s="13" t="str">
        <f t="shared" si="6"/>
        <v/>
      </c>
      <c r="K26" s="59"/>
      <c r="L26" s="59"/>
    </row>
    <row r="27" spans="1:12" ht="15.6">
      <c r="A27" s="26" t="str">
        <v>K166</v>
      </c>
      <c r="B27" s="27" t="str">
        <v>NY</v>
      </c>
      <c r="C27" s="25" t="str">
        <f>Sites[[#This Row],[SOL'#]]</f>
        <v>SOL-10363</v>
      </c>
      <c r="D27" s="80"/>
      <c r="E27" s="88"/>
      <c r="F27" s="14" t="str">
        <f t="shared" si="4"/>
        <v/>
      </c>
      <c r="G27" s="15" t="str">
        <f t="shared" si="7"/>
        <v/>
      </c>
      <c r="H27" s="77"/>
      <c r="I27" s="16" t="str">
        <f t="shared" si="5"/>
        <v/>
      </c>
      <c r="J27" s="15" t="str">
        <f t="shared" si="6"/>
        <v/>
      </c>
      <c r="K27" s="57"/>
      <c r="L27" s="57"/>
    </row>
    <row r="28" spans="1:12" ht="15.6">
      <c r="A28" s="24" t="str">
        <v>K206</v>
      </c>
      <c r="B28" s="25" t="str">
        <v>NY</v>
      </c>
      <c r="C28" s="25" t="str">
        <f>Sites[[#This Row],[SOL'#]]</f>
        <v>SOL-10927</v>
      </c>
      <c r="D28" s="86"/>
      <c r="E28" s="87"/>
      <c r="F28" s="10" t="str">
        <f t="shared" si="4"/>
        <v/>
      </c>
      <c r="G28" s="11" t="str">
        <f t="shared" si="7"/>
        <v/>
      </c>
      <c r="H28" s="75"/>
      <c r="I28" s="12" t="str">
        <f t="shared" si="5"/>
        <v/>
      </c>
      <c r="J28" s="13" t="str">
        <f t="shared" si="6"/>
        <v/>
      </c>
      <c r="K28" s="59"/>
      <c r="L28" s="59"/>
    </row>
    <row r="29" spans="1:12" ht="15.6">
      <c r="A29" s="26" t="str">
        <v>K251</v>
      </c>
      <c r="B29" s="27" t="str">
        <v>NY</v>
      </c>
      <c r="C29" s="25" t="str">
        <f>Sites[[#This Row],[SOL'#]]</f>
        <v>SOL-10365</v>
      </c>
      <c r="D29" s="80"/>
      <c r="E29" s="88"/>
      <c r="F29" s="14" t="str">
        <f t="shared" si="4"/>
        <v/>
      </c>
      <c r="G29" s="15" t="str">
        <f t="shared" si="7"/>
        <v/>
      </c>
      <c r="H29" s="77"/>
      <c r="I29" s="16" t="str">
        <f t="shared" si="5"/>
        <v/>
      </c>
      <c r="J29" s="15" t="str">
        <f t="shared" si="6"/>
        <v/>
      </c>
      <c r="K29" s="57"/>
      <c r="L29" s="57"/>
    </row>
    <row r="30" spans="1:12" ht="15.6">
      <c r="A30" s="24" t="str">
        <v>K269</v>
      </c>
      <c r="B30" s="25" t="str">
        <v>NY</v>
      </c>
      <c r="C30" s="25" t="str">
        <f>Sites[[#This Row],[SOL'#]]</f>
        <v>SOL-10366</v>
      </c>
      <c r="D30" s="86"/>
      <c r="E30" s="87"/>
      <c r="F30" s="10" t="str">
        <f t="shared" si="4"/>
        <v/>
      </c>
      <c r="G30" s="11" t="str">
        <f t="shared" si="7"/>
        <v/>
      </c>
      <c r="H30" s="75"/>
      <c r="I30" s="12" t="str">
        <f t="shared" si="5"/>
        <v/>
      </c>
      <c r="J30" s="13" t="str">
        <f t="shared" si="6"/>
        <v/>
      </c>
      <c r="K30" s="59"/>
      <c r="L30" s="59"/>
    </row>
    <row r="31" spans="1:12" ht="15.6">
      <c r="A31" s="26" t="str">
        <v>K273</v>
      </c>
      <c r="B31" s="27" t="str">
        <v>NY</v>
      </c>
      <c r="C31" s="25" t="str">
        <f>Sites[[#This Row],[SOL'#]]</f>
        <v>SOL-10367</v>
      </c>
      <c r="D31" s="80"/>
      <c r="E31" s="88"/>
      <c r="F31" s="14" t="str">
        <f t="shared" si="4"/>
        <v/>
      </c>
      <c r="G31" s="15" t="str">
        <f t="shared" si="7"/>
        <v/>
      </c>
      <c r="H31" s="77"/>
      <c r="I31" s="16" t="str">
        <f t="shared" si="5"/>
        <v/>
      </c>
      <c r="J31" s="15" t="str">
        <f t="shared" si="6"/>
        <v/>
      </c>
      <c r="K31" s="57"/>
      <c r="L31" s="57"/>
    </row>
    <row r="32" spans="1:12" ht="15.6">
      <c r="A32" s="24" t="str">
        <v>K287</v>
      </c>
      <c r="B32" s="25" t="str">
        <v>NY</v>
      </c>
      <c r="C32" s="25" t="str">
        <f>Sites[[#This Row],[SOL'#]]</f>
        <v>SOL-10919</v>
      </c>
      <c r="D32" s="86"/>
      <c r="E32" s="87"/>
      <c r="F32" s="10" t="str">
        <f t="shared" si="4"/>
        <v/>
      </c>
      <c r="G32" s="11" t="str">
        <f t="shared" si="7"/>
        <v/>
      </c>
      <c r="H32" s="75"/>
      <c r="I32" s="12" t="str">
        <f t="shared" si="5"/>
        <v/>
      </c>
      <c r="J32" s="13" t="str">
        <f t="shared" si="6"/>
        <v/>
      </c>
      <c r="K32" s="59"/>
      <c r="L32" s="59"/>
    </row>
    <row r="33" spans="1:12" ht="15.6">
      <c r="A33" s="26" t="str">
        <v>K298</v>
      </c>
      <c r="B33" s="27" t="str">
        <v>NY</v>
      </c>
      <c r="C33" s="25" t="str">
        <f>Sites[[#This Row],[SOL'#]]</f>
        <v>SOL-10368</v>
      </c>
      <c r="D33" s="80"/>
      <c r="E33" s="88"/>
      <c r="F33" s="14" t="str">
        <f t="shared" si="4"/>
        <v/>
      </c>
      <c r="G33" s="15" t="str">
        <f t="shared" si="7"/>
        <v/>
      </c>
      <c r="H33" s="77"/>
      <c r="I33" s="16" t="str">
        <f t="shared" si="5"/>
        <v/>
      </c>
      <c r="J33" s="15" t="str">
        <f t="shared" si="6"/>
        <v/>
      </c>
      <c r="K33" s="57"/>
      <c r="L33" s="57"/>
    </row>
    <row r="34" spans="1:12" ht="15.6">
      <c r="A34" s="24" t="str">
        <v>K335</v>
      </c>
      <c r="B34" s="25" t="str">
        <v>NY</v>
      </c>
      <c r="C34" s="25" t="str">
        <f>Sites[[#This Row],[SOL'#]]</f>
        <v>SOL-10370</v>
      </c>
      <c r="D34" s="86"/>
      <c r="E34" s="87"/>
      <c r="F34" s="10" t="str">
        <f t="shared" si="4"/>
        <v/>
      </c>
      <c r="G34" s="11" t="str">
        <f t="shared" si="7"/>
        <v/>
      </c>
      <c r="H34" s="75"/>
      <c r="I34" s="12" t="str">
        <f t="shared" si="5"/>
        <v/>
      </c>
      <c r="J34" s="13" t="str">
        <f t="shared" si="6"/>
        <v/>
      </c>
      <c r="K34" s="59"/>
      <c r="L34" s="59"/>
    </row>
    <row r="35" spans="1:12" ht="15.6">
      <c r="A35" s="26" t="str">
        <v>K345</v>
      </c>
      <c r="B35" s="27" t="str">
        <v>NY</v>
      </c>
      <c r="C35" s="25" t="str">
        <f>Sites[[#This Row],[SOL'#]]</f>
        <v>SOL-10920</v>
      </c>
      <c r="D35" s="80"/>
      <c r="E35" s="88"/>
      <c r="F35" s="14" t="str">
        <f t="shared" si="4"/>
        <v/>
      </c>
      <c r="G35" s="15" t="str">
        <f t="shared" si="7"/>
        <v/>
      </c>
      <c r="H35" s="77"/>
      <c r="I35" s="16" t="str">
        <f t="shared" si="5"/>
        <v/>
      </c>
      <c r="J35" s="15" t="str">
        <f t="shared" si="6"/>
        <v/>
      </c>
      <c r="K35" s="57"/>
      <c r="L35" s="57"/>
    </row>
    <row r="36" spans="1:12" ht="15.6">
      <c r="A36" s="24" t="str">
        <v>K445</v>
      </c>
      <c r="B36" s="25" t="str">
        <v>NY</v>
      </c>
      <c r="C36" s="25" t="str">
        <f>Sites[[#This Row],[SOL'#]]</f>
        <v>SOL-10373</v>
      </c>
      <c r="D36" s="86"/>
      <c r="E36" s="87"/>
      <c r="F36" s="10" t="str">
        <f t="shared" si="4"/>
        <v/>
      </c>
      <c r="G36" s="11" t="str">
        <f t="shared" si="7"/>
        <v/>
      </c>
      <c r="H36" s="75"/>
      <c r="I36" s="12" t="str">
        <f t="shared" si="5"/>
        <v/>
      </c>
      <c r="J36" s="13" t="str">
        <f t="shared" si="6"/>
        <v/>
      </c>
      <c r="K36" s="59"/>
      <c r="L36" s="59"/>
    </row>
    <row r="37" spans="1:12" ht="153.75" customHeight="1">
      <c r="A37" s="26" t="str">
        <v>K495</v>
      </c>
      <c r="B37" s="27" t="str">
        <v>NY</v>
      </c>
      <c r="C37" s="25" t="str">
        <f>Sites[[#This Row],[SOL'#]]</f>
        <v>SOL-10374</v>
      </c>
      <c r="D37" s="80"/>
      <c r="E37" s="88"/>
      <c r="F37" s="14" t="str">
        <f t="shared" si="4"/>
        <v/>
      </c>
      <c r="G37" s="15" t="str">
        <f t="shared" si="7"/>
        <v/>
      </c>
      <c r="H37" s="77"/>
      <c r="I37" s="16" t="str">
        <f t="shared" si="5"/>
        <v/>
      </c>
      <c r="J37" s="15" t="str">
        <f t="shared" si="6"/>
        <v/>
      </c>
      <c r="K37" s="57"/>
      <c r="L37" s="57"/>
    </row>
    <row r="38" spans="1:12" ht="15.6">
      <c r="A38" s="24" t="str">
        <v>M020</v>
      </c>
      <c r="B38" s="25" t="str">
        <v>NY</v>
      </c>
      <c r="C38" s="25" t="str">
        <f>Sites[[#This Row],[SOL'#]]</f>
        <v>SOL-10380</v>
      </c>
      <c r="D38" s="86"/>
      <c r="E38" s="87"/>
      <c r="F38" s="10" t="str">
        <f t="shared" si="4"/>
        <v/>
      </c>
      <c r="G38" s="11" t="str">
        <f t="shared" si="7"/>
        <v/>
      </c>
      <c r="H38" s="75"/>
      <c r="I38" s="12" t="str">
        <f t="shared" si="5"/>
        <v/>
      </c>
      <c r="J38" s="13" t="str">
        <f t="shared" si="6"/>
        <v/>
      </c>
      <c r="K38" s="59"/>
      <c r="L38" s="59"/>
    </row>
    <row r="39" spans="1:12" ht="15.6">
      <c r="A39" s="26" t="str">
        <v>M092</v>
      </c>
      <c r="B39" s="27" t="str">
        <v>NY</v>
      </c>
      <c r="C39" s="25" t="str">
        <f>Sites[[#This Row],[SOL'#]]</f>
        <v>SOL-10383</v>
      </c>
      <c r="D39" s="80"/>
      <c r="E39" s="88"/>
      <c r="F39" s="14" t="str">
        <f t="shared" si="4"/>
        <v/>
      </c>
      <c r="G39" s="15" t="str">
        <f t="shared" si="7"/>
        <v/>
      </c>
      <c r="H39" s="77"/>
      <c r="I39" s="16" t="str">
        <f t="shared" si="5"/>
        <v/>
      </c>
      <c r="J39" s="15" t="str">
        <f t="shared" si="6"/>
        <v/>
      </c>
      <c r="K39" s="57"/>
      <c r="L39" s="57"/>
    </row>
    <row r="40" spans="1:12" ht="15.6">
      <c r="A40" s="24" t="str">
        <v>M143</v>
      </c>
      <c r="B40" s="25" t="str">
        <v>NY</v>
      </c>
      <c r="C40" s="25" t="str">
        <f>Sites[[#This Row],[SOL'#]]</f>
        <v>SOL-10384</v>
      </c>
      <c r="D40" s="86"/>
      <c r="E40" s="87"/>
      <c r="F40" s="10" t="str">
        <f t="shared" si="4"/>
        <v/>
      </c>
      <c r="G40" s="11" t="str">
        <f t="shared" si="7"/>
        <v/>
      </c>
      <c r="H40" s="75"/>
      <c r="I40" s="12" t="str">
        <f t="shared" si="5"/>
        <v/>
      </c>
      <c r="J40" s="13" t="str">
        <f t="shared" si="6"/>
        <v/>
      </c>
      <c r="K40" s="59"/>
      <c r="L40" s="59"/>
    </row>
    <row r="41" spans="1:12" ht="15.6">
      <c r="A41" s="26" t="str">
        <v>M144</v>
      </c>
      <c r="B41" s="27" t="str">
        <v>NY</v>
      </c>
      <c r="C41" s="25" t="str">
        <f>Sites[[#This Row],[SOL'#]]</f>
        <v>SOL-10385</v>
      </c>
      <c r="D41" s="80"/>
      <c r="E41" s="88"/>
      <c r="F41" s="14" t="str">
        <f t="shared" si="4"/>
        <v/>
      </c>
      <c r="G41" s="15" t="str">
        <f t="shared" si="7"/>
        <v/>
      </c>
      <c r="H41" s="77"/>
      <c r="I41" s="16" t="str">
        <f t="shared" si="5"/>
        <v/>
      </c>
      <c r="J41" s="15" t="str">
        <f t="shared" si="6"/>
        <v/>
      </c>
      <c r="K41" s="57"/>
      <c r="L41" s="57"/>
    </row>
    <row r="42" spans="1:12" ht="15.6">
      <c r="A42" s="24" t="str">
        <v>M167</v>
      </c>
      <c r="B42" s="25" t="str">
        <v>NY</v>
      </c>
      <c r="C42" s="25" t="str">
        <f>Sites[[#This Row],[SOL'#]]</f>
        <v>SOL-10386</v>
      </c>
      <c r="D42" s="86"/>
      <c r="E42" s="87"/>
      <c r="F42" s="10" t="str">
        <f t="shared" si="4"/>
        <v/>
      </c>
      <c r="G42" s="11" t="str">
        <f t="shared" si="7"/>
        <v/>
      </c>
      <c r="H42" s="75"/>
      <c r="I42" s="12" t="str">
        <f t="shared" si="5"/>
        <v/>
      </c>
      <c r="J42" s="13" t="str">
        <f t="shared" si="6"/>
        <v/>
      </c>
      <c r="K42" s="59"/>
      <c r="L42" s="59"/>
    </row>
    <row r="43" spans="1:12" ht="15.6">
      <c r="A43" s="26" t="str">
        <v>M188</v>
      </c>
      <c r="B43" s="27" t="str">
        <v>NY</v>
      </c>
      <c r="C43" s="25" t="str">
        <f>Sites[[#This Row],[SOL'#]]</f>
        <v>SOL-10387</v>
      </c>
      <c r="D43" s="80"/>
      <c r="E43" s="88"/>
      <c r="F43" s="14" t="str">
        <f t="shared" si="4"/>
        <v/>
      </c>
      <c r="G43" s="15" t="str">
        <f t="shared" si="7"/>
        <v/>
      </c>
      <c r="H43" s="77"/>
      <c r="I43" s="16" t="str">
        <f t="shared" si="5"/>
        <v/>
      </c>
      <c r="J43" s="15" t="str">
        <f t="shared" si="6"/>
        <v/>
      </c>
      <c r="K43" s="57"/>
      <c r="L43" s="57"/>
    </row>
    <row r="44" spans="1:12" ht="15.6">
      <c r="A44" s="24" t="str">
        <v>EMHC</v>
      </c>
      <c r="B44" s="25" t="str">
        <v>NY</v>
      </c>
      <c r="C44" s="25" t="str">
        <f>Sites[[#This Row],[SOL'#]]</f>
        <v>SOL-10351</v>
      </c>
      <c r="D44" s="86"/>
      <c r="E44" s="87"/>
      <c r="F44" s="10" t="str">
        <f t="shared" si="4"/>
        <v/>
      </c>
      <c r="G44" s="11" t="str">
        <f t="shared" si="7"/>
        <v/>
      </c>
      <c r="H44" s="75"/>
      <c r="I44" s="12" t="str">
        <f t="shared" si="5"/>
        <v/>
      </c>
      <c r="J44" s="13" t="str">
        <f t="shared" si="6"/>
        <v/>
      </c>
      <c r="K44" s="59"/>
      <c r="L44" s="59"/>
    </row>
    <row r="45" spans="1:12" ht="15.6">
      <c r="A45" s="26" t="str">
        <v>Q008</v>
      </c>
      <c r="B45" s="27" t="str">
        <v>NY</v>
      </c>
      <c r="C45" s="25" t="str">
        <f>Sites[[#This Row],[SOL'#]]</f>
        <v>SOL-10397</v>
      </c>
      <c r="D45" s="80"/>
      <c r="E45" s="88"/>
      <c r="F45" s="14" t="str">
        <f t="shared" si="4"/>
        <v/>
      </c>
      <c r="G45" s="15" t="str">
        <f t="shared" si="7"/>
        <v/>
      </c>
      <c r="H45" s="77"/>
      <c r="I45" s="16" t="str">
        <f t="shared" si="5"/>
        <v/>
      </c>
      <c r="J45" s="15" t="str">
        <f t="shared" si="6"/>
        <v/>
      </c>
      <c r="K45" s="57"/>
      <c r="L45" s="57"/>
    </row>
    <row r="46" spans="1:12" ht="15.6">
      <c r="A46" s="24" t="str">
        <v>Q018</v>
      </c>
      <c r="B46" s="25" t="str">
        <v>NY</v>
      </c>
      <c r="C46" s="25" t="str">
        <f>Sites[[#This Row],[SOL'#]]</f>
        <v>SOL-10398</v>
      </c>
      <c r="D46" s="86"/>
      <c r="E46" s="87"/>
      <c r="F46" s="10" t="str">
        <f t="shared" si="4"/>
        <v/>
      </c>
      <c r="G46" s="11" t="str">
        <f t="shared" si="7"/>
        <v/>
      </c>
      <c r="H46" s="75"/>
      <c r="I46" s="12" t="str">
        <f t="shared" si="5"/>
        <v/>
      </c>
      <c r="J46" s="13" t="str">
        <f t="shared" si="6"/>
        <v/>
      </c>
      <c r="K46" s="59"/>
      <c r="L46" s="59"/>
    </row>
    <row r="47" spans="1:12" ht="15.6">
      <c r="A47" s="26" t="str">
        <v>Q021</v>
      </c>
      <c r="B47" s="27" t="str">
        <v>NY</v>
      </c>
      <c r="C47" s="25" t="str">
        <f>Sites[[#This Row],[SOL'#]]</f>
        <v>SOL-10399</v>
      </c>
      <c r="D47" s="80"/>
      <c r="E47" s="88"/>
      <c r="F47" s="14" t="str">
        <f t="shared" si="4"/>
        <v/>
      </c>
      <c r="G47" s="15" t="str">
        <f t="shared" si="7"/>
        <v/>
      </c>
      <c r="H47" s="77"/>
      <c r="I47" s="16" t="str">
        <f t="shared" si="5"/>
        <v/>
      </c>
      <c r="J47" s="15" t="str">
        <f t="shared" si="6"/>
        <v/>
      </c>
      <c r="K47" s="57"/>
      <c r="L47" s="57"/>
    </row>
    <row r="48" spans="1:12" ht="15.6">
      <c r="A48" s="24" t="str">
        <v>Q025</v>
      </c>
      <c r="B48" s="25" t="str">
        <v>NY</v>
      </c>
      <c r="C48" s="25" t="str">
        <f>Sites[[#This Row],[SOL'#]]</f>
        <v>SOL-10400</v>
      </c>
      <c r="D48" s="86"/>
      <c r="E48" s="87"/>
      <c r="F48" s="10" t="str">
        <f t="shared" si="4"/>
        <v/>
      </c>
      <c r="G48" s="11" t="str">
        <f t="shared" si="7"/>
        <v/>
      </c>
      <c r="H48" s="75"/>
      <c r="I48" s="12" t="str">
        <f t="shared" si="5"/>
        <v/>
      </c>
      <c r="J48" s="13" t="str">
        <f t="shared" si="6"/>
        <v/>
      </c>
      <c r="K48" s="59"/>
      <c r="L48" s="59"/>
    </row>
    <row r="49" spans="1:12" ht="15.6">
      <c r="A49" s="26" t="str">
        <v>Q074</v>
      </c>
      <c r="B49" s="27" t="str">
        <v>NY</v>
      </c>
      <c r="C49" s="25" t="str">
        <f>Sites[[#This Row],[SOL'#]]</f>
        <v>SOL-10402</v>
      </c>
      <c r="D49" s="80"/>
      <c r="E49" s="88"/>
      <c r="F49" s="14" t="str">
        <f t="shared" si="4"/>
        <v/>
      </c>
      <c r="G49" s="15" t="str">
        <f t="shared" si="7"/>
        <v/>
      </c>
      <c r="H49" s="77"/>
      <c r="I49" s="16" t="str">
        <f t="shared" si="5"/>
        <v/>
      </c>
      <c r="J49" s="15" t="str">
        <f t="shared" si="6"/>
        <v/>
      </c>
      <c r="K49" s="57"/>
      <c r="L49" s="57"/>
    </row>
    <row r="50" spans="1:12" ht="15.6">
      <c r="A50" s="24" t="str">
        <v>Q115</v>
      </c>
      <c r="B50" s="25" t="str">
        <v>NY</v>
      </c>
      <c r="C50" s="25" t="str">
        <f>Sites[[#This Row],[SOL'#]]</f>
        <v>SOL-10872</v>
      </c>
      <c r="D50" s="86"/>
      <c r="E50" s="87"/>
      <c r="F50" s="10" t="str">
        <f t="shared" si="4"/>
        <v/>
      </c>
      <c r="G50" s="11" t="str">
        <f t="shared" si="7"/>
        <v/>
      </c>
      <c r="H50" s="75"/>
      <c r="I50" s="12" t="str">
        <f t="shared" si="5"/>
        <v/>
      </c>
      <c r="J50" s="13" t="str">
        <f t="shared" si="6"/>
        <v/>
      </c>
      <c r="K50" s="59"/>
      <c r="L50" s="59"/>
    </row>
    <row r="51" spans="1:12" ht="15.6">
      <c r="A51" s="26" t="str">
        <v>Q139</v>
      </c>
      <c r="B51" s="27" t="str">
        <v>NY</v>
      </c>
      <c r="C51" s="25" t="str">
        <f>Sites[[#This Row],[SOL'#]]</f>
        <v>SOL-10403</v>
      </c>
      <c r="D51" s="80"/>
      <c r="E51" s="88"/>
      <c r="F51" s="14" t="str">
        <f t="shared" si="4"/>
        <v/>
      </c>
      <c r="G51" s="15" t="str">
        <f t="shared" si="7"/>
        <v/>
      </c>
      <c r="H51" s="77"/>
      <c r="I51" s="16" t="str">
        <f t="shared" si="5"/>
        <v/>
      </c>
      <c r="J51" s="15" t="str">
        <f t="shared" si="6"/>
        <v/>
      </c>
      <c r="K51" s="57"/>
      <c r="L51" s="57"/>
    </row>
    <row r="52" spans="1:12" ht="15.6">
      <c r="A52" s="24" t="str">
        <v>Q157</v>
      </c>
      <c r="B52" s="25" t="str">
        <v>NY</v>
      </c>
      <c r="C52" s="25" t="str">
        <f>Sites[[#This Row],[SOL'#]]</f>
        <v>SOL-10404</v>
      </c>
      <c r="D52" s="86"/>
      <c r="E52" s="87"/>
      <c r="F52" s="10" t="str">
        <f t="shared" si="4"/>
        <v/>
      </c>
      <c r="G52" s="11" t="str">
        <f t="shared" si="7"/>
        <v/>
      </c>
      <c r="H52" s="75"/>
      <c r="I52" s="12" t="str">
        <f t="shared" si="5"/>
        <v/>
      </c>
      <c r="J52" s="13" t="str">
        <f t="shared" si="6"/>
        <v/>
      </c>
      <c r="K52" s="59"/>
      <c r="L52" s="59"/>
    </row>
    <row r="53" spans="1:12" ht="15.6">
      <c r="A53" s="26" t="str">
        <v>Q192</v>
      </c>
      <c r="B53" s="27" t="str">
        <v>NY</v>
      </c>
      <c r="C53" s="25" t="str">
        <f>Sites[[#This Row],[SOL'#]]</f>
        <v>SOL-10406</v>
      </c>
      <c r="D53" s="80"/>
      <c r="E53" s="88"/>
      <c r="F53" s="14" t="str">
        <f t="shared" si="4"/>
        <v/>
      </c>
      <c r="G53" s="15" t="str">
        <f t="shared" si="7"/>
        <v/>
      </c>
      <c r="H53" s="77"/>
      <c r="I53" s="16" t="str">
        <f t="shared" si="5"/>
        <v/>
      </c>
      <c r="J53" s="15" t="str">
        <f t="shared" si="6"/>
        <v/>
      </c>
      <c r="K53" s="57"/>
      <c r="L53" s="57"/>
    </row>
    <row r="54" spans="1:12" ht="15.6">
      <c r="A54" s="24" t="str">
        <v>Q210</v>
      </c>
      <c r="B54" s="25" t="str">
        <v>NY</v>
      </c>
      <c r="C54" s="25" t="str">
        <f>Sites[[#This Row],[SOL'#]]</f>
        <v>SOL-10407</v>
      </c>
      <c r="D54" s="86"/>
      <c r="E54" s="87"/>
      <c r="F54" s="10" t="str">
        <f t="shared" si="4"/>
        <v/>
      </c>
      <c r="G54" s="11" t="str">
        <f t="shared" si="7"/>
        <v/>
      </c>
      <c r="H54" s="75"/>
      <c r="I54" s="12" t="str">
        <f t="shared" si="5"/>
        <v/>
      </c>
      <c r="J54" s="13" t="str">
        <f t="shared" si="6"/>
        <v/>
      </c>
      <c r="K54" s="59"/>
      <c r="L54" s="59"/>
    </row>
    <row r="55" spans="1:12" ht="86.25" customHeight="1">
      <c r="A55" s="26" t="str">
        <v>Q229</v>
      </c>
      <c r="B55" s="27" t="str">
        <v>NY</v>
      </c>
      <c r="C55" s="25" t="str">
        <f>Sites[[#This Row],[SOL'#]]</f>
        <v>SOL-10408</v>
      </c>
      <c r="D55" s="80"/>
      <c r="E55" s="88"/>
      <c r="F55" s="14" t="str">
        <f t="shared" si="4"/>
        <v/>
      </c>
      <c r="G55" s="15" t="str">
        <f t="shared" si="7"/>
        <v/>
      </c>
      <c r="H55" s="77"/>
      <c r="I55" s="16" t="str">
        <f t="shared" si="5"/>
        <v/>
      </c>
      <c r="J55" s="15" t="str">
        <f t="shared" si="6"/>
        <v/>
      </c>
      <c r="K55" s="57"/>
      <c r="L55" s="57"/>
    </row>
    <row r="56" spans="1:12" ht="15.6">
      <c r="A56" s="24" t="str">
        <v>Q231</v>
      </c>
      <c r="B56" s="25" t="str">
        <v>NY</v>
      </c>
      <c r="C56" s="25" t="str">
        <f>Sites[[#This Row],[SOL'#]]</f>
        <v>SOL-10870</v>
      </c>
      <c r="D56" s="86"/>
      <c r="E56" s="87"/>
      <c r="F56" s="10" t="str">
        <f t="shared" si="4"/>
        <v/>
      </c>
      <c r="G56" s="11" t="str">
        <f t="shared" si="7"/>
        <v/>
      </c>
      <c r="H56" s="75"/>
      <c r="I56" s="12" t="str">
        <f t="shared" si="5"/>
        <v/>
      </c>
      <c r="J56" s="13" t="str">
        <f t="shared" si="6"/>
        <v/>
      </c>
      <c r="K56" s="59"/>
      <c r="L56" s="59"/>
    </row>
    <row r="57" spans="1:12" ht="15.6">
      <c r="A57" s="26" t="str">
        <v>Q405</v>
      </c>
      <c r="B57" s="27" t="str">
        <v>NY</v>
      </c>
      <c r="C57" s="25" t="str">
        <f>Sites[[#This Row],[SOL'#]]</f>
        <v>SOL-10409</v>
      </c>
      <c r="D57" s="80"/>
      <c r="E57" s="88"/>
      <c r="F57" s="14" t="str">
        <f t="shared" si="4"/>
        <v/>
      </c>
      <c r="G57" s="15" t="str">
        <f t="shared" si="7"/>
        <v/>
      </c>
      <c r="H57" s="77"/>
      <c r="I57" s="16" t="str">
        <f t="shared" si="5"/>
        <v/>
      </c>
      <c r="J57" s="15" t="str">
        <f t="shared" si="6"/>
        <v/>
      </c>
      <c r="K57" s="57"/>
      <c r="L57" s="57"/>
    </row>
    <row r="58" spans="1:12" ht="15.6">
      <c r="A58" s="24" t="str">
        <v>Q435</v>
      </c>
      <c r="B58" s="25" t="str">
        <v>NY</v>
      </c>
      <c r="C58" s="25" t="str">
        <f>Sites[[#This Row],[SOL'#]]</f>
        <v>SOL-10923</v>
      </c>
      <c r="D58" s="86"/>
      <c r="E58" s="87"/>
      <c r="F58" s="10" t="str">
        <f t="shared" si="4"/>
        <v/>
      </c>
      <c r="G58" s="11" t="str">
        <f t="shared" si="7"/>
        <v/>
      </c>
      <c r="H58" s="75"/>
      <c r="I58" s="12" t="str">
        <f t="shared" si="5"/>
        <v/>
      </c>
      <c r="J58" s="13" t="str">
        <f t="shared" si="6"/>
        <v/>
      </c>
      <c r="K58" s="59"/>
      <c r="L58" s="59"/>
    </row>
    <row r="59" spans="1:12" ht="15.6">
      <c r="A59" s="26" t="str">
        <v>Q485</v>
      </c>
      <c r="B59" s="27" t="str">
        <v>NY</v>
      </c>
      <c r="C59" s="25" t="str">
        <f>Sites[[#This Row],[SOL'#]]</f>
        <v>SOL-10869</v>
      </c>
      <c r="D59" s="80"/>
      <c r="E59" s="88"/>
      <c r="F59" s="14" t="str">
        <f t="shared" si="4"/>
        <v/>
      </c>
      <c r="G59" s="15" t="str">
        <f t="shared" si="7"/>
        <v/>
      </c>
      <c r="H59" s="77"/>
      <c r="I59" s="16" t="str">
        <f t="shared" si="5"/>
        <v/>
      </c>
      <c r="J59" s="15" t="str">
        <f t="shared" si="6"/>
        <v/>
      </c>
      <c r="K59" s="57"/>
      <c r="L59" s="57"/>
    </row>
    <row r="60" spans="1:12" ht="15.6">
      <c r="A60" s="24" t="str">
        <v>Q490</v>
      </c>
      <c r="B60" s="25" t="str">
        <v>NY</v>
      </c>
      <c r="C60" s="25" t="str">
        <f>Sites[[#This Row],[SOL'#]]</f>
        <v>SOL-10411</v>
      </c>
      <c r="D60" s="86"/>
      <c r="E60" s="87"/>
      <c r="F60" s="10" t="str">
        <f t="shared" si="4"/>
        <v/>
      </c>
      <c r="G60" s="11" t="str">
        <f t="shared" si="7"/>
        <v/>
      </c>
      <c r="H60" s="75"/>
      <c r="I60" s="12" t="str">
        <f t="shared" si="5"/>
        <v/>
      </c>
      <c r="J60" s="13" t="str">
        <f t="shared" si="6"/>
        <v/>
      </c>
      <c r="K60" s="59"/>
      <c r="L60" s="59"/>
    </row>
    <row r="61" spans="1:12" ht="15.6">
      <c r="A61" s="26" t="str">
        <v>Q620</v>
      </c>
      <c r="B61" s="27" t="str">
        <v>NY</v>
      </c>
      <c r="C61" s="25" t="str">
        <f>Sites[[#This Row],[SOL'#]]</f>
        <v>SOL-10867</v>
      </c>
      <c r="D61" s="80"/>
      <c r="E61" s="88"/>
      <c r="F61" s="14" t="str">
        <f t="shared" si="4"/>
        <v/>
      </c>
      <c r="G61" s="15" t="str">
        <f t="shared" si="7"/>
        <v/>
      </c>
      <c r="H61" s="77"/>
      <c r="I61" s="16" t="str">
        <f t="shared" si="5"/>
        <v/>
      </c>
      <c r="J61" s="15" t="str">
        <f t="shared" si="6"/>
        <v/>
      </c>
      <c r="K61" s="57"/>
      <c r="L61" s="57"/>
    </row>
    <row r="62" spans="1:12" ht="15.6">
      <c r="A62" s="24" t="str">
        <v>QMOA</v>
      </c>
      <c r="B62" s="25" t="str">
        <v>NY</v>
      </c>
      <c r="C62" s="25" t="str">
        <f>Sites[[#This Row],[SOL'#]]</f>
        <v>SOL-10415</v>
      </c>
      <c r="D62" s="86"/>
      <c r="E62" s="87"/>
      <c r="F62" s="10" t="str">
        <f t="shared" si="4"/>
        <v/>
      </c>
      <c r="G62" s="11" t="str">
        <f t="shared" si="7"/>
        <v/>
      </c>
      <c r="H62" s="75"/>
      <c r="I62" s="12" t="str">
        <f t="shared" si="5"/>
        <v/>
      </c>
      <c r="J62" s="13" t="str">
        <f t="shared" si="6"/>
        <v/>
      </c>
      <c r="K62" s="59"/>
      <c r="L62" s="59"/>
    </row>
    <row r="63" spans="1:12" ht="15.6">
      <c r="A63" s="26" t="str">
        <v>X024</v>
      </c>
      <c r="B63" s="27" t="str">
        <v>NY</v>
      </c>
      <c r="C63" s="25" t="str">
        <f>Sites[[#This Row],[SOL'#]]</f>
        <v>SOL-10419</v>
      </c>
      <c r="D63" s="80"/>
      <c r="E63" s="88"/>
      <c r="F63" s="14" t="str">
        <f t="shared" si="4"/>
        <v/>
      </c>
      <c r="G63" s="15" t="str">
        <f t="shared" si="7"/>
        <v/>
      </c>
      <c r="H63" s="77"/>
      <c r="I63" s="16" t="str">
        <f t="shared" si="5"/>
        <v/>
      </c>
      <c r="J63" s="15" t="str">
        <f t="shared" si="6"/>
        <v/>
      </c>
      <c r="K63" s="57"/>
      <c r="L63" s="57"/>
    </row>
    <row r="64" spans="1:12" ht="15.6">
      <c r="A64" s="24" t="str">
        <v>X026</v>
      </c>
      <c r="B64" s="25" t="str">
        <v>NY</v>
      </c>
      <c r="C64" s="25" t="str">
        <f>Sites[[#This Row],[SOL'#]]</f>
        <v>SOL-10420</v>
      </c>
      <c r="D64" s="86"/>
      <c r="E64" s="87"/>
      <c r="F64" s="10" t="str">
        <f t="shared" si="4"/>
        <v/>
      </c>
      <c r="G64" s="11" t="str">
        <f t="shared" si="7"/>
        <v/>
      </c>
      <c r="H64" s="75"/>
      <c r="I64" s="12" t="str">
        <f t="shared" si="5"/>
        <v/>
      </c>
      <c r="J64" s="13" t="str">
        <f t="shared" si="6"/>
        <v/>
      </c>
      <c r="K64" s="59"/>
      <c r="L64" s="59"/>
    </row>
    <row r="65" spans="1:12" ht="15.6">
      <c r="A65" s="26" t="str">
        <v>X090</v>
      </c>
      <c r="B65" s="27" t="str">
        <v>NY</v>
      </c>
      <c r="C65" s="25" t="str">
        <f>Sites[[#This Row],[SOL'#]]</f>
        <v>SOL-10925</v>
      </c>
      <c r="D65" s="80"/>
      <c r="E65" s="88"/>
      <c r="F65" s="14" t="str">
        <f t="shared" si="4"/>
        <v/>
      </c>
      <c r="G65" s="15" t="str">
        <f t="shared" si="7"/>
        <v/>
      </c>
      <c r="H65" s="77"/>
      <c r="I65" s="16" t="str">
        <f t="shared" si="5"/>
        <v/>
      </c>
      <c r="J65" s="15" t="str">
        <f t="shared" si="6"/>
        <v/>
      </c>
      <c r="K65" s="57"/>
      <c r="L65" s="57"/>
    </row>
    <row r="66" spans="1:12" ht="15.6">
      <c r="A66" s="24" t="str">
        <v>X117</v>
      </c>
      <c r="B66" s="25" t="str">
        <v>NY</v>
      </c>
      <c r="C66" s="25" t="str">
        <f>Sites[[#This Row],[SOL'#]]</f>
        <v>SOL-10422</v>
      </c>
      <c r="D66" s="86"/>
      <c r="E66" s="87"/>
      <c r="F66" s="10" t="str">
        <f t="shared" si="4"/>
        <v/>
      </c>
      <c r="G66" s="11" t="str">
        <f t="shared" si="7"/>
        <v/>
      </c>
      <c r="H66" s="75"/>
      <c r="I66" s="12" t="str">
        <f t="shared" si="5"/>
        <v/>
      </c>
      <c r="J66" s="13" t="str">
        <f t="shared" si="6"/>
        <v/>
      </c>
      <c r="K66" s="59"/>
      <c r="L66" s="59"/>
    </row>
    <row r="67" spans="1:12" ht="15.6">
      <c r="A67" s="26" t="str">
        <v>X125</v>
      </c>
      <c r="B67" s="27" t="str">
        <v>NY</v>
      </c>
      <c r="C67" s="25" t="str">
        <f>Sites[[#This Row],[SOL'#]]</f>
        <v>SOL-10423</v>
      </c>
      <c r="D67" s="80"/>
      <c r="E67" s="88"/>
      <c r="F67" s="14" t="str">
        <f t="shared" si="4"/>
        <v/>
      </c>
      <c r="G67" s="15" t="str">
        <f t="shared" si="7"/>
        <v/>
      </c>
      <c r="H67" s="77"/>
      <c r="I67" s="16" t="str">
        <f t="shared" si="5"/>
        <v/>
      </c>
      <c r="J67" s="15" t="str">
        <f t="shared" si="6"/>
        <v/>
      </c>
      <c r="K67" s="57"/>
      <c r="L67" s="57"/>
    </row>
    <row r="68" spans="1:12" ht="15.6">
      <c r="A68" s="24" t="str">
        <v>X134</v>
      </c>
      <c r="B68" s="25" t="str">
        <v>NY</v>
      </c>
      <c r="C68" s="25" t="str">
        <f>Sites[[#This Row],[SOL'#]]</f>
        <v>SOL-10424</v>
      </c>
      <c r="D68" s="86"/>
      <c r="E68" s="87"/>
      <c r="F68" s="10" t="str">
        <f t="shared" si="4"/>
        <v/>
      </c>
      <c r="G68" s="11" t="str">
        <f t="shared" si="7"/>
        <v/>
      </c>
      <c r="H68" s="75"/>
      <c r="I68" s="12" t="str">
        <f t="shared" si="5"/>
        <v/>
      </c>
      <c r="J68" s="13" t="str">
        <f t="shared" si="6"/>
        <v/>
      </c>
      <c r="K68" s="59"/>
      <c r="L68" s="59"/>
    </row>
    <row r="69" spans="1:12" ht="15.6">
      <c r="A69" s="26" t="str">
        <v>X135</v>
      </c>
      <c r="B69" s="27" t="str">
        <v>NY</v>
      </c>
      <c r="C69" s="25" t="str">
        <f>Sites[[#This Row],[SOL'#]]</f>
        <v>SOL-10425</v>
      </c>
      <c r="D69" s="80"/>
      <c r="E69" s="88"/>
      <c r="F69" s="14" t="str">
        <f t="shared" si="4"/>
        <v/>
      </c>
      <c r="G69" s="15" t="str">
        <f t="shared" si="7"/>
        <v/>
      </c>
      <c r="H69" s="77"/>
      <c r="I69" s="16" t="str">
        <f t="shared" si="5"/>
        <v/>
      </c>
      <c r="J69" s="15" t="str">
        <f t="shared" si="6"/>
        <v/>
      </c>
      <c r="K69" s="57"/>
      <c r="L69" s="57"/>
    </row>
    <row r="70" spans="1:12" ht="15.6">
      <c r="A70" s="24" t="str">
        <v>X139 JHS 222</v>
      </c>
      <c r="B70" s="25" t="str">
        <v>NY</v>
      </c>
      <c r="C70" s="25" t="str">
        <f>Sites[[#This Row],[SOL'#]]</f>
        <v>SOL-10426</v>
      </c>
      <c r="D70" s="86"/>
      <c r="E70" s="87"/>
      <c r="F70" s="10" t="str">
        <f t="shared" si="4"/>
        <v/>
      </c>
      <c r="G70" s="11" t="str">
        <f t="shared" si="7"/>
        <v/>
      </c>
      <c r="H70" s="75"/>
      <c r="I70" s="12" t="str">
        <f t="shared" si="5"/>
        <v/>
      </c>
      <c r="J70" s="13" t="str">
        <f t="shared" si="6"/>
        <v/>
      </c>
      <c r="K70" s="59"/>
      <c r="L70" s="59"/>
    </row>
    <row r="71" spans="1:12" ht="15.6">
      <c r="A71" s="26" t="str">
        <v>X140</v>
      </c>
      <c r="B71" s="27" t="str">
        <v>NY</v>
      </c>
      <c r="C71" s="25" t="str">
        <f>Sites[[#This Row],[SOL'#]]</f>
        <v>SOL-10926</v>
      </c>
      <c r="D71" s="80"/>
      <c r="E71" s="88"/>
      <c r="F71" s="14" t="str">
        <f t="shared" si="4"/>
        <v/>
      </c>
      <c r="G71" s="15" t="str">
        <f t="shared" si="7"/>
        <v/>
      </c>
      <c r="H71" s="77"/>
      <c r="I71" s="16" t="str">
        <f t="shared" si="5"/>
        <v/>
      </c>
      <c r="J71" s="15" t="str">
        <f t="shared" si="6"/>
        <v/>
      </c>
      <c r="K71" s="57"/>
      <c r="L71" s="57"/>
    </row>
    <row r="72" spans="1:12" ht="15.6">
      <c r="A72" s="24" t="str">
        <v>X166</v>
      </c>
      <c r="B72" s="25" t="str">
        <v>NY</v>
      </c>
      <c r="C72" s="25" t="str">
        <f>Sites[[#This Row],[SOL'#]]</f>
        <v>SOL-10427</v>
      </c>
      <c r="D72" s="86"/>
      <c r="E72" s="87"/>
      <c r="F72" s="10" t="str">
        <f t="shared" si="4"/>
        <v/>
      </c>
      <c r="G72" s="11" t="str">
        <f t="shared" si="7"/>
        <v/>
      </c>
      <c r="H72" s="75"/>
      <c r="I72" s="12" t="str">
        <f t="shared" si="5"/>
        <v/>
      </c>
      <c r="J72" s="13" t="str">
        <f t="shared" si="6"/>
        <v/>
      </c>
      <c r="K72" s="59"/>
      <c r="L72" s="59"/>
    </row>
    <row r="73" spans="1:12" ht="15.6">
      <c r="A73" s="26" t="str">
        <v>Murphy</v>
      </c>
      <c r="B73" s="27" t="str">
        <v>MN</v>
      </c>
      <c r="C73" s="25" t="str">
        <f>Sites[[#This Row],[SOL'#]]</f>
        <v>SOL-10094</v>
      </c>
      <c r="D73" s="80"/>
      <c r="E73" s="88"/>
      <c r="F73" s="14" t="str">
        <f t="shared" si="4"/>
        <v/>
      </c>
      <c r="G73" s="15" t="str">
        <f t="shared" si="7"/>
        <v/>
      </c>
      <c r="H73" s="77"/>
      <c r="I73" s="16" t="str">
        <f t="shared" si="5"/>
        <v/>
      </c>
      <c r="J73" s="15" t="str">
        <f t="shared" si="6"/>
        <v/>
      </c>
      <c r="K73" s="57"/>
      <c r="L73" s="57"/>
    </row>
    <row r="74" spans="1:12" ht="15.6">
      <c r="A74" s="24" t="str">
        <v>Terning</v>
      </c>
      <c r="B74" s="25" t="str">
        <v>MN</v>
      </c>
      <c r="C74" s="25" t="str">
        <f>Sites[[#This Row],[SOL'#]]</f>
        <v>SOL-10093</v>
      </c>
      <c r="D74" s="86"/>
      <c r="E74" s="87"/>
      <c r="F74" s="10" t="str">
        <f t="shared" si="4"/>
        <v/>
      </c>
      <c r="G74" s="11" t="str">
        <f t="shared" si="7"/>
        <v/>
      </c>
      <c r="H74" s="75"/>
      <c r="I74" s="12" t="str">
        <f t="shared" si="5"/>
        <v/>
      </c>
      <c r="J74" s="13" t="str">
        <f t="shared" si="6"/>
        <v/>
      </c>
      <c r="K74" s="59"/>
      <c r="L74" s="59"/>
    </row>
    <row r="75" spans="1:12" ht="24.75" customHeight="1">
      <c r="A75" s="26" t="str">
        <v>Boas Road 04</v>
      </c>
      <c r="B75" s="27" t="str">
        <v>NY</v>
      </c>
      <c r="C75" s="25" t="str">
        <f>Sites[[#This Row],[SOL'#]]</f>
        <v>SOL-10908</v>
      </c>
      <c r="D75" s="80"/>
      <c r="E75" s="88"/>
      <c r="F75" s="14" t="str">
        <f t="shared" si="4"/>
        <v/>
      </c>
      <c r="G75" s="15" t="str">
        <f t="shared" si="7"/>
        <v/>
      </c>
      <c r="H75" s="77"/>
      <c r="I75" s="16" t="str">
        <f t="shared" si="5"/>
        <v/>
      </c>
      <c r="J75" s="15" t="str">
        <f t="shared" si="6"/>
        <v/>
      </c>
      <c r="K75" s="57"/>
      <c r="L75" s="57"/>
    </row>
    <row r="76" spans="1:12" ht="15.6">
      <c r="A76" s="24" t="str">
        <v>Kelly Bridge Farm</v>
      </c>
      <c r="B76" s="25" t="str">
        <v>NY</v>
      </c>
      <c r="C76" s="25" t="str">
        <f>Sites[[#This Row],[SOL'#]]</f>
        <v>SOL-10911</v>
      </c>
      <c r="D76" s="86"/>
      <c r="E76" s="87"/>
      <c r="F76" s="10" t="str">
        <f t="shared" si="4"/>
        <v/>
      </c>
      <c r="G76" s="11" t="str">
        <f t="shared" si="7"/>
        <v/>
      </c>
      <c r="H76" s="75"/>
      <c r="I76" s="12" t="str">
        <f t="shared" si="5"/>
        <v/>
      </c>
      <c r="J76" s="13" t="str">
        <f t="shared" si="6"/>
        <v/>
      </c>
      <c r="K76" s="59"/>
      <c r="L76" s="59"/>
    </row>
    <row r="77" spans="1:12" ht="15.6">
      <c r="A77" s="26" t="str">
        <v>Pool Brook Road</v>
      </c>
      <c r="B77" s="27" t="str">
        <v>NY</v>
      </c>
      <c r="C77" s="25" t="str">
        <f>Sites[[#This Row],[SOL'#]]</f>
        <v>SOL-10909</v>
      </c>
      <c r="D77" s="80"/>
      <c r="E77" s="88"/>
      <c r="F77" s="14" t="str">
        <f t="shared" si="4"/>
        <v/>
      </c>
      <c r="G77" s="15" t="str">
        <f t="shared" si="7"/>
        <v/>
      </c>
      <c r="H77" s="77"/>
      <c r="I77" s="16" t="str">
        <f t="shared" si="5"/>
        <v/>
      </c>
      <c r="J77" s="15" t="str">
        <f t="shared" si="6"/>
        <v/>
      </c>
      <c r="K77" s="57"/>
      <c r="L77" s="57"/>
    </row>
    <row r="78" spans="1:12" ht="15.6">
      <c r="A78" s="24" t="str">
        <v>Sackett Lake</v>
      </c>
      <c r="B78" s="25" t="str">
        <v>NY</v>
      </c>
      <c r="C78" s="25" t="str">
        <f>Sites[[#This Row],[SOL'#]]</f>
        <v>SOL-10910</v>
      </c>
      <c r="D78" s="86"/>
      <c r="E78" s="87"/>
      <c r="F78" s="10" t="str">
        <f t="shared" si="4"/>
        <v/>
      </c>
      <c r="G78" s="11" t="str">
        <f t="shared" si="7"/>
        <v/>
      </c>
      <c r="H78" s="75"/>
      <c r="I78" s="12" t="str">
        <f t="shared" si="5"/>
        <v/>
      </c>
      <c r="J78" s="13" t="str">
        <f t="shared" si="6"/>
        <v/>
      </c>
      <c r="K78" s="59"/>
      <c r="L78" s="59"/>
    </row>
    <row r="79" spans="1:12" ht="79.5" customHeight="1">
      <c r="A79" s="26" t="str">
        <v>Burritt Road</v>
      </c>
      <c r="B79" s="27" t="str">
        <v>NY</v>
      </c>
      <c r="C79" s="25" t="str">
        <f>Sites[[#This Row],[SOL'#]]</f>
        <v>SOL-10913</v>
      </c>
      <c r="D79" s="80"/>
      <c r="E79" s="88"/>
      <c r="F79" s="14" t="str">
        <f t="shared" si="4"/>
        <v/>
      </c>
      <c r="G79" s="15" t="str">
        <f t="shared" si="7"/>
        <v/>
      </c>
      <c r="H79" s="77"/>
      <c r="I79" s="16" t="str">
        <f t="shared" si="5"/>
        <v/>
      </c>
      <c r="J79" s="15" t="str">
        <f t="shared" si="6"/>
        <v/>
      </c>
      <c r="K79" s="57"/>
      <c r="L79" s="57"/>
    </row>
    <row r="80" spans="1:12" ht="15.6">
      <c r="A80" s="24" t="str">
        <v>Villa Roma 1</v>
      </c>
      <c r="B80" s="25" t="str">
        <v>NY</v>
      </c>
      <c r="C80" s="25" t="str">
        <f>Sites[[#This Row],[SOL'#]]</f>
        <v>SOL-10914</v>
      </c>
      <c r="D80" s="86"/>
      <c r="E80" s="87"/>
      <c r="F80" s="10" t="str">
        <f t="shared" si="4"/>
        <v/>
      </c>
      <c r="G80" s="11" t="str">
        <f t="shared" si="7"/>
        <v/>
      </c>
      <c r="H80" s="75"/>
      <c r="I80" s="12" t="str">
        <f t="shared" si="5"/>
        <v/>
      </c>
      <c r="J80" s="13" t="str">
        <f t="shared" si="6"/>
        <v/>
      </c>
      <c r="K80" s="59"/>
      <c r="L80" s="59"/>
    </row>
    <row r="81" spans="1:12" ht="15.6">
      <c r="A81" s="26" t="str">
        <v>Villa Roma 2</v>
      </c>
      <c r="B81" s="27" t="str">
        <v>NY</v>
      </c>
      <c r="C81" s="25" t="str">
        <f>Sites[[#This Row],[SOL'#]]</f>
        <v>SOL-10915</v>
      </c>
      <c r="D81" s="80"/>
      <c r="E81" s="88"/>
      <c r="F81" s="14" t="str">
        <f t="shared" si="4"/>
        <v/>
      </c>
      <c r="G81" s="15" t="str">
        <f t="shared" si="7"/>
        <v/>
      </c>
      <c r="H81" s="77"/>
      <c r="I81" s="16" t="str">
        <f t="shared" si="5"/>
        <v/>
      </c>
      <c r="J81" s="15" t="str">
        <f t="shared" si="6"/>
        <v/>
      </c>
      <c r="K81" s="57"/>
      <c r="L81" s="57"/>
    </row>
    <row r="82" spans="1:12" ht="15.6">
      <c r="A82" s="24" t="str">
        <v>Washington 1</v>
      </c>
      <c r="B82" s="25" t="str">
        <v>NY</v>
      </c>
      <c r="C82" s="25" t="str">
        <f>Sites[[#This Row],[SOL'#]]</f>
        <v>SOL-10912</v>
      </c>
      <c r="D82" s="86"/>
      <c r="E82" s="87"/>
      <c r="F82" s="10" t="str">
        <f t="shared" ref="F82:F145" si="8">IF(AND(ISNUMBER(D82),ISNUMBER(E82)), D82-E82, "")</f>
        <v/>
      </c>
      <c r="G82" s="11" t="str">
        <f t="shared" ref="G82:G145" si="9">IFERROR(F82/E82, "")</f>
        <v/>
      </c>
      <c r="H82" s="75"/>
      <c r="I82" s="12" t="str">
        <f t="shared" ref="I82:I145" si="10">IF(AND(ISNUMBER(D82),ISNUMBER(H82)), D82-H82, "")</f>
        <v/>
      </c>
      <c r="J82" s="13" t="str">
        <f t="shared" ref="J82:J145" si="11">IFERROR(I82/H82, "")</f>
        <v/>
      </c>
      <c r="K82" s="59"/>
      <c r="L82" s="59"/>
    </row>
    <row r="83" spans="1:12" ht="59.45" customHeight="1">
      <c r="A83" s="26" t="str">
        <v>Washington 3</v>
      </c>
      <c r="B83" s="27" t="str">
        <v>NY</v>
      </c>
      <c r="C83" s="25" t="str">
        <f>Sites[[#This Row],[SOL'#]]</f>
        <v>SOL-10828</v>
      </c>
      <c r="D83" s="80"/>
      <c r="E83" s="88"/>
      <c r="F83" s="14" t="str">
        <f t="shared" si="8"/>
        <v/>
      </c>
      <c r="G83" s="15" t="str">
        <f t="shared" si="9"/>
        <v/>
      </c>
      <c r="H83" s="77"/>
      <c r="I83" s="16" t="str">
        <f t="shared" si="10"/>
        <v/>
      </c>
      <c r="J83" s="15" t="str">
        <f t="shared" si="11"/>
        <v/>
      </c>
      <c r="K83" s="57"/>
      <c r="L83" s="57"/>
    </row>
    <row r="84" spans="1:12" ht="15.6">
      <c r="A84" s="24" t="str">
        <v>Washington 4</v>
      </c>
      <c r="B84" s="25" t="str">
        <v>NY</v>
      </c>
      <c r="C84" s="25" t="str">
        <f>Sites[[#This Row],[SOL'#]]</f>
        <v>SOL-10829</v>
      </c>
      <c r="D84" s="86"/>
      <c r="E84" s="87"/>
      <c r="F84" s="10" t="str">
        <f t="shared" si="8"/>
        <v/>
      </c>
      <c r="G84" s="11" t="str">
        <f t="shared" si="9"/>
        <v/>
      </c>
      <c r="H84" s="75"/>
      <c r="I84" s="12" t="str">
        <f t="shared" si="10"/>
        <v/>
      </c>
      <c r="J84" s="13" t="str">
        <f t="shared" si="11"/>
        <v/>
      </c>
      <c r="K84" s="59"/>
      <c r="L84" s="59"/>
    </row>
    <row r="85" spans="1:12" ht="15.6">
      <c r="A85" s="26" t="str">
        <v>Big Tree</v>
      </c>
      <c r="B85" s="27" t="str">
        <v>NY</v>
      </c>
      <c r="C85" s="25" t="str">
        <f>Sites[[#This Row],[SOL'#]]</f>
        <v>SOL-10966</v>
      </c>
      <c r="D85" s="80"/>
      <c r="E85" s="88"/>
      <c r="F85" s="14" t="str">
        <f t="shared" si="8"/>
        <v/>
      </c>
      <c r="G85" s="15" t="str">
        <f t="shared" si="9"/>
        <v/>
      </c>
      <c r="H85" s="77"/>
      <c r="I85" s="16" t="str">
        <f t="shared" si="10"/>
        <v/>
      </c>
      <c r="J85" s="15" t="str">
        <f t="shared" si="11"/>
        <v/>
      </c>
      <c r="K85" s="57"/>
      <c r="L85" s="57"/>
    </row>
    <row r="86" spans="1:12" ht="15.6">
      <c r="A86" s="24" t="str">
        <v>Canoga</v>
      </c>
      <c r="B86" s="25" t="str">
        <v>NY</v>
      </c>
      <c r="C86" s="25" t="str">
        <f>Sites[[#This Row],[SOL'#]]</f>
        <v>SOL-10965</v>
      </c>
      <c r="D86" s="86"/>
      <c r="E86" s="87"/>
      <c r="F86" s="10" t="str">
        <f t="shared" si="8"/>
        <v/>
      </c>
      <c r="G86" s="11" t="str">
        <f t="shared" si="9"/>
        <v/>
      </c>
      <c r="H86" s="75"/>
      <c r="I86" s="12" t="str">
        <f t="shared" si="10"/>
        <v/>
      </c>
      <c r="J86" s="13" t="str">
        <f t="shared" si="11"/>
        <v/>
      </c>
      <c r="K86" s="59"/>
      <c r="L86" s="59"/>
    </row>
    <row r="87" spans="1:12" ht="15.6">
      <c r="A87" s="26" t="str">
        <v>County Route 84</v>
      </c>
      <c r="B87" s="27" t="str">
        <v>NY</v>
      </c>
      <c r="C87" s="25" t="str">
        <f>Sites[[#This Row],[SOL'#]]</f>
        <v>SOL-10967</v>
      </c>
      <c r="D87" s="80"/>
      <c r="E87" s="88"/>
      <c r="F87" s="14" t="str">
        <f t="shared" si="8"/>
        <v/>
      </c>
      <c r="G87" s="15" t="str">
        <f t="shared" si="9"/>
        <v/>
      </c>
      <c r="H87" s="77"/>
      <c r="I87" s="16" t="str">
        <f t="shared" si="10"/>
        <v/>
      </c>
      <c r="J87" s="15" t="str">
        <f t="shared" si="11"/>
        <v/>
      </c>
      <c r="K87" s="57"/>
      <c r="L87" s="57"/>
    </row>
    <row r="88" spans="1:12" ht="15.6">
      <c r="A88" s="24" t="str">
        <v>Donati</v>
      </c>
      <c r="B88" s="25" t="str">
        <v>NY</v>
      </c>
      <c r="C88" s="25" t="str">
        <f>Sites[[#This Row],[SOL'#]]</f>
        <v>SOL-10968</v>
      </c>
      <c r="D88" s="86"/>
      <c r="E88" s="87"/>
      <c r="F88" s="10" t="str">
        <f t="shared" si="8"/>
        <v/>
      </c>
      <c r="G88" s="11" t="str">
        <f t="shared" si="9"/>
        <v/>
      </c>
      <c r="H88" s="75"/>
      <c r="I88" s="12" t="str">
        <f t="shared" si="10"/>
        <v/>
      </c>
      <c r="J88" s="13" t="str">
        <f t="shared" si="11"/>
        <v/>
      </c>
      <c r="K88" s="59"/>
      <c r="L88" s="59"/>
    </row>
    <row r="89" spans="1:12" ht="15.6">
      <c r="A89" s="26" t="str">
        <v>Henrietta</v>
      </c>
      <c r="B89" s="27" t="str">
        <v>NY</v>
      </c>
      <c r="C89" s="25" t="str">
        <f>Sites[[#This Row],[SOL'#]]</f>
        <v>SOL-10972</v>
      </c>
      <c r="D89" s="80"/>
      <c r="E89" s="88"/>
      <c r="F89" s="14" t="str">
        <f t="shared" si="8"/>
        <v/>
      </c>
      <c r="G89" s="15" t="str">
        <f t="shared" si="9"/>
        <v/>
      </c>
      <c r="H89" s="77"/>
      <c r="I89" s="16" t="str">
        <f t="shared" si="10"/>
        <v/>
      </c>
      <c r="J89" s="15" t="str">
        <f t="shared" si="11"/>
        <v/>
      </c>
      <c r="K89" s="57"/>
      <c r="L89" s="57"/>
    </row>
    <row r="90" spans="1:12" ht="15.6">
      <c r="A90" s="24" t="str">
        <v>NY 70</v>
      </c>
      <c r="B90" s="25" t="str">
        <v>NY</v>
      </c>
      <c r="C90" s="25" t="str">
        <f>Sites[[#This Row],[SOL'#]]</f>
        <v>SOL-10970</v>
      </c>
      <c r="D90" s="86"/>
      <c r="E90" s="87"/>
      <c r="F90" s="10" t="str">
        <f t="shared" si="8"/>
        <v/>
      </c>
      <c r="G90" s="11" t="str">
        <f t="shared" si="9"/>
        <v/>
      </c>
      <c r="H90" s="75"/>
      <c r="I90" s="12" t="str">
        <f t="shared" si="10"/>
        <v/>
      </c>
      <c r="J90" s="13" t="str">
        <f t="shared" si="11"/>
        <v/>
      </c>
      <c r="K90" s="59"/>
      <c r="L90" s="59"/>
    </row>
    <row r="91" spans="1:12" ht="15.6">
      <c r="A91" s="26" t="str">
        <v>Reid</v>
      </c>
      <c r="B91" s="27" t="str">
        <v>NY</v>
      </c>
      <c r="C91" s="25" t="str">
        <f>Sites[[#This Row],[SOL'#]]</f>
        <v>SOL-10991</v>
      </c>
      <c r="D91" s="80"/>
      <c r="E91" s="88"/>
      <c r="F91" s="14" t="str">
        <f t="shared" si="8"/>
        <v/>
      </c>
      <c r="G91" s="15" t="str">
        <f t="shared" si="9"/>
        <v/>
      </c>
      <c r="H91" s="77"/>
      <c r="I91" s="16" t="str">
        <f t="shared" si="10"/>
        <v/>
      </c>
      <c r="J91" s="15" t="str">
        <f t="shared" si="11"/>
        <v/>
      </c>
      <c r="K91" s="57"/>
      <c r="L91" s="57"/>
    </row>
    <row r="92" spans="1:12" ht="15.6">
      <c r="A92" s="24" t="str">
        <v>Sangolqui</v>
      </c>
      <c r="B92" s="25" t="str">
        <v>NY</v>
      </c>
      <c r="C92" s="25" t="str">
        <f>Sites[[#This Row],[SOL'#]]</f>
        <v>SOL-10975</v>
      </c>
      <c r="D92" s="86"/>
      <c r="E92" s="87"/>
      <c r="F92" s="10" t="str">
        <f t="shared" si="8"/>
        <v/>
      </c>
      <c r="G92" s="11" t="str">
        <f t="shared" si="9"/>
        <v/>
      </c>
      <c r="H92" s="75"/>
      <c r="I92" s="12" t="str">
        <f t="shared" si="10"/>
        <v/>
      </c>
      <c r="J92" s="13" t="str">
        <f t="shared" si="11"/>
        <v/>
      </c>
      <c r="K92" s="59"/>
      <c r="L92" s="59"/>
    </row>
    <row r="93" spans="1:12" ht="15.6">
      <c r="A93" s="26" t="str">
        <v>State Highway 17B</v>
      </c>
      <c r="B93" s="27" t="str">
        <v>NY</v>
      </c>
      <c r="C93" s="25" t="str">
        <f>Sites[[#This Row],[SOL'#]]</f>
        <v>SOL-10988</v>
      </c>
      <c r="D93" s="80"/>
      <c r="E93" s="88"/>
      <c r="F93" s="14" t="str">
        <f t="shared" si="8"/>
        <v/>
      </c>
      <c r="G93" s="15" t="str">
        <f t="shared" si="9"/>
        <v/>
      </c>
      <c r="H93" s="77"/>
      <c r="I93" s="16" t="str">
        <f t="shared" si="10"/>
        <v/>
      </c>
      <c r="J93" s="15" t="str">
        <f t="shared" si="11"/>
        <v/>
      </c>
      <c r="K93" s="57"/>
      <c r="L93" s="57"/>
    </row>
    <row r="94" spans="1:12" ht="15.6">
      <c r="A94" s="24" t="str">
        <v>State Route 14A</v>
      </c>
      <c r="B94" s="25" t="str">
        <v>NY</v>
      </c>
      <c r="C94" s="25" t="str">
        <f>Sites[[#This Row],[SOL'#]]</f>
        <v>SOL-10997</v>
      </c>
      <c r="D94" s="86"/>
      <c r="E94" s="87"/>
      <c r="F94" s="10" t="str">
        <f t="shared" si="8"/>
        <v/>
      </c>
      <c r="G94" s="11" t="str">
        <f t="shared" si="9"/>
        <v/>
      </c>
      <c r="H94" s="75"/>
      <c r="I94" s="12" t="str">
        <f t="shared" si="10"/>
        <v/>
      </c>
      <c r="J94" s="13" t="str">
        <f t="shared" si="11"/>
        <v/>
      </c>
      <c r="K94" s="59"/>
      <c r="L94" s="59"/>
    </row>
    <row r="95" spans="1:12" ht="15.6">
      <c r="A95" s="26" t="str">
        <v>West Creek</v>
      </c>
      <c r="B95" s="27" t="str">
        <v>NY</v>
      </c>
      <c r="C95" s="25" t="str">
        <f>Sites[[#This Row],[SOL'#]]</f>
        <v>SOL-10995</v>
      </c>
      <c r="D95" s="80"/>
      <c r="E95" s="88"/>
      <c r="F95" s="14" t="str">
        <f t="shared" si="8"/>
        <v/>
      </c>
      <c r="G95" s="15" t="str">
        <f t="shared" si="9"/>
        <v/>
      </c>
      <c r="H95" s="77"/>
      <c r="I95" s="16" t="str">
        <f t="shared" si="10"/>
        <v/>
      </c>
      <c r="J95" s="15" t="str">
        <f t="shared" si="11"/>
        <v/>
      </c>
      <c r="K95" s="57"/>
      <c r="L95" s="57"/>
    </row>
    <row r="96" spans="1:12" ht="15.6">
      <c r="A96" s="24" t="str">
        <v>Wildflower</v>
      </c>
      <c r="B96" s="25" t="str">
        <v>NY</v>
      </c>
      <c r="C96" s="25" t="str">
        <f>Sites[[#This Row],[SOL'#]]</f>
        <v>SOL-10982</v>
      </c>
      <c r="D96" s="86"/>
      <c r="E96" s="87"/>
      <c r="F96" s="10" t="str">
        <f t="shared" si="8"/>
        <v/>
      </c>
      <c r="G96" s="11" t="str">
        <f t="shared" si="9"/>
        <v/>
      </c>
      <c r="H96" s="75"/>
      <c r="I96" s="12" t="str">
        <f t="shared" si="10"/>
        <v/>
      </c>
      <c r="J96" s="13" t="str">
        <f t="shared" si="11"/>
        <v/>
      </c>
      <c r="K96" s="59"/>
      <c r="L96" s="59"/>
    </row>
    <row r="97" spans="1:12" ht="15.6">
      <c r="A97" s="26" t="str">
        <v>Glen Mary 1</v>
      </c>
      <c r="B97" s="27" t="str">
        <v>NY</v>
      </c>
      <c r="C97" s="25" t="str">
        <f>Sites[[#This Row],[SOL'#]]</f>
        <v>SOL-10993</v>
      </c>
      <c r="D97" s="80"/>
      <c r="E97" s="88"/>
      <c r="F97" s="14" t="str">
        <f t="shared" si="8"/>
        <v/>
      </c>
      <c r="G97" s="15" t="str">
        <f t="shared" si="9"/>
        <v/>
      </c>
      <c r="H97" s="77"/>
      <c r="I97" s="16" t="str">
        <f t="shared" si="10"/>
        <v/>
      </c>
      <c r="J97" s="15" t="str">
        <f t="shared" si="11"/>
        <v/>
      </c>
      <c r="K97" s="57"/>
      <c r="L97" s="57"/>
    </row>
    <row r="98" spans="1:12" ht="15.6">
      <c r="A98" s="24" t="str">
        <v>Glen Mary 2</v>
      </c>
      <c r="B98" s="25" t="str">
        <v>NY</v>
      </c>
      <c r="C98" s="25" t="str">
        <f>Sites[[#This Row],[SOL'#]]</f>
        <v>SOL-10994</v>
      </c>
      <c r="D98" s="86"/>
      <c r="E98" s="87"/>
      <c r="F98" s="10" t="str">
        <f t="shared" si="8"/>
        <v/>
      </c>
      <c r="G98" s="11" t="str">
        <f t="shared" si="9"/>
        <v/>
      </c>
      <c r="H98" s="75"/>
      <c r="I98" s="12" t="str">
        <f t="shared" si="10"/>
        <v/>
      </c>
      <c r="J98" s="13" t="str">
        <f t="shared" si="11"/>
        <v/>
      </c>
      <c r="K98" s="59"/>
      <c r="L98" s="59"/>
    </row>
    <row r="99" spans="1:12" ht="15.6">
      <c r="A99" s="26" t="str">
        <v>Telegraph 1</v>
      </c>
      <c r="B99" s="27" t="str">
        <v>NY</v>
      </c>
      <c r="C99" s="25" t="str">
        <f>Sites[[#This Row],[SOL'#]]</f>
        <v>SOL-11003</v>
      </c>
      <c r="D99" s="80"/>
      <c r="E99" s="88"/>
      <c r="F99" s="14" t="str">
        <f t="shared" si="8"/>
        <v/>
      </c>
      <c r="G99" s="15" t="str">
        <f t="shared" si="9"/>
        <v/>
      </c>
      <c r="H99" s="77"/>
      <c r="I99" s="16" t="str">
        <f t="shared" si="10"/>
        <v/>
      </c>
      <c r="J99" s="15" t="str">
        <f t="shared" si="11"/>
        <v/>
      </c>
      <c r="K99" s="57"/>
      <c r="L99" s="57"/>
    </row>
    <row r="100" spans="1:12" ht="15.6">
      <c r="A100" s="24" t="str">
        <v>Telegraph 2</v>
      </c>
      <c r="B100" s="25" t="str">
        <v>NY</v>
      </c>
      <c r="C100" s="25" t="str">
        <f>Sites[[#This Row],[SOL'#]]</f>
        <v>SOL-11004</v>
      </c>
      <c r="D100" s="86"/>
      <c r="E100" s="87"/>
      <c r="F100" s="10" t="str">
        <f t="shared" si="8"/>
        <v/>
      </c>
      <c r="G100" s="11" t="str">
        <f t="shared" si="9"/>
        <v/>
      </c>
      <c r="H100" s="75"/>
      <c r="I100" s="12" t="str">
        <f t="shared" si="10"/>
        <v/>
      </c>
      <c r="J100" s="13" t="str">
        <f t="shared" si="11"/>
        <v/>
      </c>
      <c r="K100" s="59"/>
      <c r="L100" s="59"/>
    </row>
    <row r="101" spans="1:12" ht="15.6">
      <c r="A101" s="26" t="str">
        <v>Cafferty Hill</v>
      </c>
      <c r="B101" s="27" t="str">
        <v>NY</v>
      </c>
      <c r="C101" s="25" t="str">
        <f>Sites[[#This Row],[SOL'#]]</f>
        <v>SOL-10996</v>
      </c>
      <c r="D101" s="80"/>
      <c r="E101" s="88"/>
      <c r="F101" s="14" t="str">
        <f t="shared" si="8"/>
        <v/>
      </c>
      <c r="G101" s="15" t="str">
        <f t="shared" si="9"/>
        <v/>
      </c>
      <c r="H101" s="77"/>
      <c r="I101" s="16" t="str">
        <f t="shared" si="10"/>
        <v/>
      </c>
      <c r="J101" s="15" t="str">
        <f t="shared" si="11"/>
        <v/>
      </c>
      <c r="K101" s="57"/>
      <c r="L101" s="57"/>
    </row>
    <row r="102" spans="1:12" ht="15.6">
      <c r="A102" s="24" t="str">
        <v>Dunkleman</v>
      </c>
      <c r="B102" s="25" t="str">
        <v>NY</v>
      </c>
      <c r="C102" s="25" t="str">
        <f>Sites[[#This Row],[SOL'#]]</f>
        <v>SOL-11008</v>
      </c>
      <c r="D102" s="86"/>
      <c r="E102" s="87"/>
      <c r="F102" s="10" t="str">
        <f t="shared" si="8"/>
        <v/>
      </c>
      <c r="G102" s="11" t="str">
        <f t="shared" si="9"/>
        <v/>
      </c>
      <c r="H102" s="75"/>
      <c r="I102" s="12" t="str">
        <f t="shared" si="10"/>
        <v/>
      </c>
      <c r="J102" s="13" t="str">
        <f t="shared" si="11"/>
        <v/>
      </c>
      <c r="K102" s="59"/>
      <c r="L102" s="59"/>
    </row>
    <row r="103" spans="1:12" ht="15.6">
      <c r="A103" s="26" t="str">
        <v>Route 19 1</v>
      </c>
      <c r="B103" s="27" t="str">
        <v>NY</v>
      </c>
      <c r="C103" s="25" t="str">
        <f>Sites[[#This Row],[SOL'#]]</f>
        <v>SOL-11001</v>
      </c>
      <c r="D103" s="80"/>
      <c r="E103" s="88"/>
      <c r="F103" s="14" t="str">
        <f t="shared" si="8"/>
        <v/>
      </c>
      <c r="G103" s="15" t="str">
        <f t="shared" si="9"/>
        <v/>
      </c>
      <c r="H103" s="77"/>
      <c r="I103" s="16" t="str">
        <f t="shared" si="10"/>
        <v/>
      </c>
      <c r="J103" s="15" t="str">
        <f t="shared" si="11"/>
        <v/>
      </c>
      <c r="K103" s="57"/>
      <c r="L103" s="57"/>
    </row>
    <row r="104" spans="1:12" ht="15.6">
      <c r="A104" s="24" t="str">
        <v>Route 19 2</v>
      </c>
      <c r="B104" s="25" t="str">
        <v>NY</v>
      </c>
      <c r="C104" s="25" t="str">
        <f>Sites[[#This Row],[SOL'#]]</f>
        <v>SOL-11002</v>
      </c>
      <c r="D104" s="86"/>
      <c r="E104" s="87"/>
      <c r="F104" s="10" t="str">
        <f t="shared" si="8"/>
        <v/>
      </c>
      <c r="G104" s="11" t="str">
        <f t="shared" si="9"/>
        <v/>
      </c>
      <c r="H104" s="75"/>
      <c r="I104" s="12" t="str">
        <f t="shared" si="10"/>
        <v/>
      </c>
      <c r="J104" s="13" t="str">
        <f t="shared" si="11"/>
        <v/>
      </c>
      <c r="K104" s="59"/>
      <c r="L104" s="59"/>
    </row>
    <row r="105" spans="1:12" ht="15.6">
      <c r="A105" s="26" t="str">
        <v>Yellow Mills 1</v>
      </c>
      <c r="B105" s="27" t="str">
        <v>NY</v>
      </c>
      <c r="C105" s="25" t="str">
        <f>Sites[[#This Row],[SOL'#]]</f>
        <v>SOL-11006</v>
      </c>
      <c r="D105" s="80"/>
      <c r="E105" s="88"/>
      <c r="F105" s="14" t="str">
        <f t="shared" si="8"/>
        <v/>
      </c>
      <c r="G105" s="15" t="str">
        <f t="shared" si="9"/>
        <v/>
      </c>
      <c r="H105" s="77"/>
      <c r="I105" s="16" t="str">
        <f t="shared" si="10"/>
        <v/>
      </c>
      <c r="J105" s="15" t="str">
        <f t="shared" si="11"/>
        <v/>
      </c>
      <c r="K105" s="57"/>
      <c r="L105" s="57"/>
    </row>
    <row r="106" spans="1:12" ht="15.6">
      <c r="A106" s="24" t="str">
        <v>Yellow Mills 2</v>
      </c>
      <c r="B106" s="25" t="str">
        <v>NY</v>
      </c>
      <c r="C106" s="25" t="str">
        <f>Sites[[#This Row],[SOL'#]]</f>
        <v>SOL-11005</v>
      </c>
      <c r="D106" s="86"/>
      <c r="E106" s="87"/>
      <c r="F106" s="10" t="str">
        <f t="shared" si="8"/>
        <v/>
      </c>
      <c r="G106" s="11" t="str">
        <f t="shared" si="9"/>
        <v/>
      </c>
      <c r="H106" s="75"/>
      <c r="I106" s="12" t="str">
        <f t="shared" si="10"/>
        <v/>
      </c>
      <c r="J106" s="13" t="str">
        <f t="shared" si="11"/>
        <v/>
      </c>
      <c r="K106" s="59"/>
      <c r="L106" s="59"/>
    </row>
    <row r="107" spans="1:12" ht="15.6">
      <c r="A107" s="26" t="str">
        <v>Yellow Mills 3</v>
      </c>
      <c r="B107" s="27" t="str">
        <v>NY</v>
      </c>
      <c r="C107" s="25" t="str">
        <f>Sites[[#This Row],[SOL'#]]</f>
        <v>SOL-11007</v>
      </c>
      <c r="D107" s="80"/>
      <c r="E107" s="88"/>
      <c r="F107" s="14" t="str">
        <f t="shared" si="8"/>
        <v/>
      </c>
      <c r="G107" s="15" t="str">
        <f t="shared" si="9"/>
        <v/>
      </c>
      <c r="H107" s="77"/>
      <c r="I107" s="16" t="str">
        <f t="shared" si="10"/>
        <v/>
      </c>
      <c r="J107" s="15" t="str">
        <f t="shared" si="11"/>
        <v/>
      </c>
      <c r="K107" s="57"/>
      <c r="L107" s="57"/>
    </row>
    <row r="108" spans="1:12" ht="15.6">
      <c r="A108" s="24" t="str">
        <v>Catskill</v>
      </c>
      <c r="B108" s="25" t="str">
        <v>NY</v>
      </c>
      <c r="C108" s="25" t="str">
        <f>Sites[[#This Row],[SOL'#]]</f>
        <v>SOL-11021</v>
      </c>
      <c r="D108" s="86"/>
      <c r="E108" s="87"/>
      <c r="F108" s="10" t="str">
        <f t="shared" si="8"/>
        <v/>
      </c>
      <c r="G108" s="11" t="str">
        <f t="shared" si="9"/>
        <v/>
      </c>
      <c r="H108" s="75"/>
      <c r="I108" s="12" t="str">
        <f t="shared" si="10"/>
        <v/>
      </c>
      <c r="J108" s="13" t="str">
        <f t="shared" si="11"/>
        <v/>
      </c>
      <c r="K108" s="59"/>
      <c r="L108" s="59"/>
    </row>
    <row r="109" spans="1:12" ht="15.6">
      <c r="A109" s="26" t="str">
        <v>Eddy Ridge</v>
      </c>
      <c r="B109" s="27" t="str">
        <v>NY</v>
      </c>
      <c r="C109" s="25" t="str">
        <f>Sites[[#This Row],[SOL'#]]</f>
        <v>SOL-11054</v>
      </c>
      <c r="D109" s="80"/>
      <c r="E109" s="88"/>
      <c r="F109" s="14" t="str">
        <f t="shared" si="8"/>
        <v/>
      </c>
      <c r="G109" s="15" t="str">
        <f t="shared" si="9"/>
        <v/>
      </c>
      <c r="H109" s="77"/>
      <c r="I109" s="16" t="str">
        <f t="shared" si="10"/>
        <v/>
      </c>
      <c r="J109" s="15" t="str">
        <f t="shared" si="11"/>
        <v/>
      </c>
      <c r="K109" s="57"/>
      <c r="L109" s="57"/>
    </row>
    <row r="110" spans="1:12" ht="15.6">
      <c r="A110" s="26" t="str">
        <v>Ridgeway #1</v>
      </c>
      <c r="B110" s="25" t="str">
        <v>NY</v>
      </c>
      <c r="C110" s="25" t="str">
        <f>Sites[[#This Row],[SOL'#]]</f>
        <v>SOL-11018</v>
      </c>
      <c r="D110" s="86"/>
      <c r="E110" s="87"/>
      <c r="F110" s="10" t="str">
        <f t="shared" si="8"/>
        <v/>
      </c>
      <c r="G110" s="11" t="str">
        <f t="shared" si="9"/>
        <v/>
      </c>
      <c r="H110" s="75"/>
      <c r="I110" s="12" t="str">
        <f t="shared" si="10"/>
        <v/>
      </c>
      <c r="J110" s="13" t="str">
        <f t="shared" si="11"/>
        <v/>
      </c>
      <c r="K110" s="59"/>
      <c r="L110" s="59"/>
    </row>
    <row r="111" spans="1:12" ht="64.5" customHeight="1">
      <c r="A111" s="26" t="str">
        <v>Rivard 1</v>
      </c>
      <c r="B111" s="27" t="str">
        <v>NY</v>
      </c>
      <c r="C111" s="25" t="str">
        <f>Sites[[#This Row],[SOL'#]]</f>
        <v>SOL-11011</v>
      </c>
      <c r="D111" s="80"/>
      <c r="E111" s="88"/>
      <c r="F111" s="14" t="str">
        <f t="shared" si="8"/>
        <v/>
      </c>
      <c r="G111" s="15" t="str">
        <f t="shared" si="9"/>
        <v/>
      </c>
      <c r="H111" s="77"/>
      <c r="I111" s="16" t="str">
        <f t="shared" si="10"/>
        <v/>
      </c>
      <c r="J111" s="15" t="str">
        <f t="shared" si="11"/>
        <v/>
      </c>
      <c r="K111" s="57"/>
      <c r="L111" s="57"/>
    </row>
    <row r="112" spans="1:12" ht="15.6">
      <c r="A112" s="24" t="str">
        <v>Rivard 2</v>
      </c>
      <c r="B112" s="25" t="str">
        <v>NY</v>
      </c>
      <c r="C112" s="25" t="str">
        <f>Sites[[#This Row],[SOL'#]]</f>
        <v>SOL-11012</v>
      </c>
      <c r="D112" s="86"/>
      <c r="E112" s="87"/>
      <c r="F112" s="10" t="str">
        <f t="shared" si="8"/>
        <v/>
      </c>
      <c r="G112" s="11" t="str">
        <f t="shared" si="9"/>
        <v/>
      </c>
      <c r="H112" s="75"/>
      <c r="I112" s="12" t="str">
        <f t="shared" si="10"/>
        <v/>
      </c>
      <c r="J112" s="13" t="str">
        <f t="shared" si="11"/>
        <v/>
      </c>
      <c r="K112" s="59"/>
      <c r="L112" s="59"/>
    </row>
    <row r="113" spans="1:12" ht="15.6">
      <c r="A113" s="26" t="str">
        <v>Essex</v>
      </c>
      <c r="B113" s="27" t="str">
        <v>DC</v>
      </c>
      <c r="C113" s="25" t="str">
        <f>Sites[[#This Row],[SOL'#]]</f>
        <v>SOL-10036</v>
      </c>
      <c r="D113" s="80"/>
      <c r="E113" s="88"/>
      <c r="F113" s="14" t="str">
        <f t="shared" si="8"/>
        <v/>
      </c>
      <c r="G113" s="15" t="str">
        <f t="shared" si="9"/>
        <v/>
      </c>
      <c r="H113" s="77"/>
      <c r="I113" s="16" t="str">
        <f t="shared" si="10"/>
        <v/>
      </c>
      <c r="J113" s="15" t="str">
        <f t="shared" si="11"/>
        <v/>
      </c>
      <c r="K113" s="57"/>
      <c r="L113" s="57"/>
    </row>
    <row r="114" spans="1:12" ht="15.6">
      <c r="A114" s="24" t="str">
        <v>Temple Sinai</v>
      </c>
      <c r="B114" s="25" t="str">
        <v>DC</v>
      </c>
      <c r="C114" s="25" t="str">
        <f>Sites[[#This Row],[SOL'#]]</f>
        <v>SOL-10028</v>
      </c>
      <c r="D114" s="86"/>
      <c r="E114" s="87"/>
      <c r="F114" s="10" t="str">
        <f t="shared" si="8"/>
        <v/>
      </c>
      <c r="G114" s="11" t="str">
        <f t="shared" si="9"/>
        <v/>
      </c>
      <c r="H114" s="75"/>
      <c r="I114" s="12" t="str">
        <f t="shared" si="10"/>
        <v/>
      </c>
      <c r="J114" s="13" t="str">
        <f t="shared" si="11"/>
        <v/>
      </c>
      <c r="K114" s="59"/>
      <c r="L114" s="59"/>
    </row>
    <row r="115" spans="1:12" ht="15.6">
      <c r="A115" s="26" t="str">
        <v>Weinberg Commons #1</v>
      </c>
      <c r="B115" s="27" t="str">
        <v>DC</v>
      </c>
      <c r="C115" s="25" t="str">
        <f>Sites[[#This Row],[SOL'#]]</f>
        <v>SOL-10039</v>
      </c>
      <c r="D115" s="80"/>
      <c r="E115" s="88"/>
      <c r="F115" s="14" t="str">
        <f t="shared" si="8"/>
        <v/>
      </c>
      <c r="G115" s="15" t="str">
        <f t="shared" si="9"/>
        <v/>
      </c>
      <c r="H115" s="77"/>
      <c r="I115" s="16" t="str">
        <f t="shared" si="10"/>
        <v/>
      </c>
      <c r="J115" s="15" t="str">
        <f t="shared" si="11"/>
        <v/>
      </c>
      <c r="K115" s="57"/>
      <c r="L115" s="57"/>
    </row>
    <row r="116" spans="1:12" ht="15.6">
      <c r="A116" s="24" t="str">
        <v>Weinberg Commons #2</v>
      </c>
      <c r="B116" s="25" t="str">
        <v>DC</v>
      </c>
      <c r="C116" s="25" t="str">
        <f>Sites[[#This Row],[SOL'#]]</f>
        <v>SOL-10045</v>
      </c>
      <c r="D116" s="86"/>
      <c r="E116" s="87"/>
      <c r="F116" s="10" t="str">
        <f t="shared" si="8"/>
        <v/>
      </c>
      <c r="G116" s="11" t="str">
        <f t="shared" si="9"/>
        <v/>
      </c>
      <c r="H116" s="75"/>
      <c r="I116" s="12" t="str">
        <f t="shared" si="10"/>
        <v/>
      </c>
      <c r="J116" s="13" t="str">
        <f t="shared" si="11"/>
        <v/>
      </c>
      <c r="K116" s="59"/>
      <c r="L116" s="59"/>
    </row>
    <row r="117" spans="1:12" ht="15.6">
      <c r="A117" s="26" t="str">
        <v>Weinberg Commons #3</v>
      </c>
      <c r="B117" s="27" t="str">
        <v>DC</v>
      </c>
      <c r="C117" s="25" t="str">
        <f>Sites[[#This Row],[SOL'#]]</f>
        <v>SOL-10042</v>
      </c>
      <c r="D117" s="80"/>
      <c r="E117" s="88"/>
      <c r="F117" s="14" t="str">
        <f t="shared" si="8"/>
        <v/>
      </c>
      <c r="G117" s="15" t="str">
        <f t="shared" si="9"/>
        <v/>
      </c>
      <c r="H117" s="77"/>
      <c r="I117" s="16" t="str">
        <f t="shared" si="10"/>
        <v/>
      </c>
      <c r="J117" s="15" t="str">
        <f t="shared" si="11"/>
        <v/>
      </c>
      <c r="K117" s="57"/>
      <c r="L117" s="57"/>
    </row>
    <row r="118" spans="1:12" ht="15.6">
      <c r="A118" s="24" t="str">
        <v>Clayton Hall</v>
      </c>
      <c r="B118" s="25" t="str">
        <v>DE</v>
      </c>
      <c r="C118" s="25" t="str">
        <f>Sites[[#This Row],[SOL'#]]</f>
        <v>SOL-10820</v>
      </c>
      <c r="D118" s="86"/>
      <c r="E118" s="87"/>
      <c r="F118" s="10" t="str">
        <f t="shared" si="8"/>
        <v/>
      </c>
      <c r="G118" s="11" t="str">
        <f t="shared" si="9"/>
        <v/>
      </c>
      <c r="H118" s="75"/>
      <c r="I118" s="12" t="str">
        <f t="shared" si="10"/>
        <v/>
      </c>
      <c r="J118" s="13" t="str">
        <f t="shared" si="11"/>
        <v/>
      </c>
      <c r="K118" s="59"/>
      <c r="L118" s="59"/>
    </row>
    <row r="119" spans="1:12" ht="15.6">
      <c r="A119" s="26" t="str">
        <v>Field House</v>
      </c>
      <c r="B119" s="27" t="str">
        <v>DE</v>
      </c>
      <c r="C119" s="25" t="str">
        <f>Sites[[#This Row],[SOL'#]]</f>
        <v>SOL-10821</v>
      </c>
      <c r="D119" s="80"/>
      <c r="E119" s="88"/>
      <c r="F119" s="14" t="str">
        <f t="shared" si="8"/>
        <v/>
      </c>
      <c r="G119" s="15" t="str">
        <f t="shared" si="9"/>
        <v/>
      </c>
      <c r="H119" s="77"/>
      <c r="I119" s="16" t="str">
        <f t="shared" si="10"/>
        <v/>
      </c>
      <c r="J119" s="15" t="str">
        <f t="shared" si="11"/>
        <v/>
      </c>
      <c r="K119" s="57"/>
      <c r="L119" s="57"/>
    </row>
    <row r="120" spans="1:12" ht="15.6">
      <c r="A120" s="24" t="str">
        <v>Wyoming Road</v>
      </c>
      <c r="B120" s="25" t="str">
        <v>DE</v>
      </c>
      <c r="C120" s="25" t="str">
        <f>Sites[[#This Row],[SOL'#]]</f>
        <v>SOL-10819</v>
      </c>
      <c r="D120" s="86"/>
      <c r="E120" s="87"/>
      <c r="F120" s="10" t="str">
        <f t="shared" si="8"/>
        <v/>
      </c>
      <c r="G120" s="11" t="str">
        <f t="shared" si="9"/>
        <v/>
      </c>
      <c r="H120" s="75"/>
      <c r="I120" s="12" t="str">
        <f t="shared" si="10"/>
        <v/>
      </c>
      <c r="J120" s="13" t="str">
        <f t="shared" si="11"/>
        <v/>
      </c>
      <c r="K120" s="59"/>
      <c r="L120" s="59"/>
    </row>
    <row r="121" spans="1:12" ht="15.6">
      <c r="A121" s="26" t="str">
        <v>94-246 Leoku St. - PV Bldg E, F, G</v>
      </c>
      <c r="B121" s="27" t="str">
        <v>HI</v>
      </c>
      <c r="C121" s="25" t="str">
        <f>Sites[[#This Row],[SOL'#]]</f>
        <v>SOL-10071</v>
      </c>
      <c r="D121" s="80"/>
      <c r="E121" s="88"/>
      <c r="F121" s="14" t="str">
        <f t="shared" si="8"/>
        <v/>
      </c>
      <c r="G121" s="15" t="str">
        <f t="shared" si="9"/>
        <v/>
      </c>
      <c r="H121" s="77"/>
      <c r="I121" s="16" t="str">
        <f t="shared" si="10"/>
        <v/>
      </c>
      <c r="J121" s="15" t="str">
        <f t="shared" si="11"/>
        <v/>
      </c>
      <c r="K121" s="57"/>
      <c r="L121" s="57"/>
    </row>
    <row r="122" spans="1:12" ht="15.6">
      <c r="A122" s="24" t="str">
        <v>94-099 Waipahu St - PV</v>
      </c>
      <c r="B122" s="25" t="str">
        <v>HI</v>
      </c>
      <c r="C122" s="25" t="str">
        <f>Sites[[#This Row],[SOL'#]]</f>
        <v>SOL-10068</v>
      </c>
      <c r="D122" s="86"/>
      <c r="E122" s="87"/>
      <c r="F122" s="10" t="str">
        <f t="shared" si="8"/>
        <v/>
      </c>
      <c r="G122" s="11" t="str">
        <f t="shared" si="9"/>
        <v/>
      </c>
      <c r="H122" s="75"/>
      <c r="I122" s="12" t="str">
        <f t="shared" si="10"/>
        <v/>
      </c>
      <c r="J122" s="13" t="str">
        <f t="shared" si="11"/>
        <v/>
      </c>
      <c r="K122" s="59"/>
      <c r="L122" s="59"/>
    </row>
    <row r="123" spans="1:12" ht="15.6">
      <c r="A123" s="26" t="str">
        <v>TES Bird in Hand</v>
      </c>
      <c r="B123" s="27" t="str">
        <v>MD</v>
      </c>
      <c r="C123" s="25" t="str">
        <f>Sites[[#This Row],[SOL'#]]</f>
        <v>SOL-10092</v>
      </c>
      <c r="D123" s="80"/>
      <c r="E123" s="88"/>
      <c r="F123" s="14" t="str">
        <f t="shared" si="8"/>
        <v/>
      </c>
      <c r="G123" s="15" t="str">
        <f t="shared" si="9"/>
        <v/>
      </c>
      <c r="H123" s="77"/>
      <c r="I123" s="16" t="str">
        <f t="shared" si="10"/>
        <v/>
      </c>
      <c r="J123" s="15" t="str">
        <f t="shared" si="11"/>
        <v/>
      </c>
      <c r="K123" s="57"/>
      <c r="L123" s="57"/>
    </row>
    <row r="124" spans="1:12" ht="15.6">
      <c r="A124" s="24" t="str">
        <v>TES Shortal Solar LLC</v>
      </c>
      <c r="B124" s="25" t="str">
        <v>MD</v>
      </c>
      <c r="C124" s="25" t="str">
        <f>Sites[[#This Row],[SOL'#]]</f>
        <v>SOL-10091</v>
      </c>
      <c r="D124" s="86"/>
      <c r="E124" s="87"/>
      <c r="F124" s="10" t="str">
        <f t="shared" si="8"/>
        <v/>
      </c>
      <c r="G124" s="11" t="str">
        <f t="shared" si="9"/>
        <v/>
      </c>
      <c r="H124" s="75"/>
      <c r="I124" s="12" t="str">
        <f t="shared" si="10"/>
        <v/>
      </c>
      <c r="J124" s="13" t="str">
        <f t="shared" si="11"/>
        <v/>
      </c>
      <c r="K124" s="59"/>
      <c r="L124" s="59"/>
    </row>
    <row r="125" spans="1:12" ht="15.6">
      <c r="A125" s="26" t="str">
        <v>Coca Cola Aguadilla</v>
      </c>
      <c r="B125" s="27" t="str">
        <v>PR</v>
      </c>
      <c r="C125" s="25" t="str">
        <f>Sites[[#This Row],[SOL'#]]</f>
        <v>SOL-10072</v>
      </c>
      <c r="D125" s="80"/>
      <c r="E125" s="88"/>
      <c r="F125" s="14" t="str">
        <f>IF(AND(ISNUMBER(D125),ISNUMBER(E125)), D125-E125, "")</f>
        <v/>
      </c>
      <c r="G125" s="15" t="str">
        <f t="shared" si="9"/>
        <v/>
      </c>
      <c r="H125" s="77"/>
      <c r="I125" s="16" t="str">
        <f>IF(AND(ISNUMBER(D125),ISNUMBER(H125)), D125-H125, "")</f>
        <v/>
      </c>
      <c r="J125" s="15" t="str">
        <f t="shared" si="11"/>
        <v/>
      </c>
      <c r="K125" s="57"/>
      <c r="L125" s="57"/>
    </row>
    <row r="126" spans="1:12" ht="129" customHeight="1">
      <c r="A126" s="24" t="str">
        <v>Coca Cola Bayamon</v>
      </c>
      <c r="B126" s="25" t="str">
        <v>PR</v>
      </c>
      <c r="C126" s="25" t="str">
        <f>Sites[[#This Row],[SOL'#]]</f>
        <v>SOL-10073</v>
      </c>
      <c r="D126" s="86"/>
      <c r="E126" s="87"/>
      <c r="F126" s="10" t="str">
        <f t="shared" si="8"/>
        <v/>
      </c>
      <c r="G126" s="11" t="str">
        <f t="shared" si="9"/>
        <v/>
      </c>
      <c r="H126" s="75"/>
      <c r="I126" s="12" t="str">
        <f t="shared" si="10"/>
        <v/>
      </c>
      <c r="J126" s="13" t="str">
        <f t="shared" si="11"/>
        <v/>
      </c>
      <c r="K126" s="59"/>
      <c r="L126" s="59"/>
    </row>
    <row r="127" spans="1:12" ht="15.6">
      <c r="A127" s="26" t="str">
        <v>St Francis School</v>
      </c>
      <c r="B127" s="27" t="str">
        <v>PR</v>
      </c>
      <c r="C127" s="25" t="str">
        <f>Sites[[#This Row],[SOL'#]]</f>
        <v>SOL-10034</v>
      </c>
      <c r="D127" s="80"/>
      <c r="E127" s="88"/>
      <c r="F127" s="14" t="str">
        <f t="shared" si="8"/>
        <v/>
      </c>
      <c r="G127" s="15" t="str">
        <f t="shared" si="9"/>
        <v/>
      </c>
      <c r="H127" s="77"/>
      <c r="I127" s="16" t="str">
        <f t="shared" si="10"/>
        <v/>
      </c>
      <c r="J127" s="15" t="str">
        <f t="shared" si="11"/>
        <v/>
      </c>
      <c r="K127" s="57"/>
      <c r="L127" s="57"/>
    </row>
    <row r="128" spans="1:12" ht="15.6">
      <c r="A128" s="24" t="str">
        <v>645 Summer Street - (Seaport Solar)</v>
      </c>
      <c r="B128" s="25" t="str">
        <v>MA</v>
      </c>
      <c r="C128" s="25" t="str">
        <f>Sites[[#This Row],[SOL'#]]</f>
        <v>SOL-10772</v>
      </c>
      <c r="D128" s="86"/>
      <c r="E128" s="87"/>
      <c r="F128" s="10" t="str">
        <f t="shared" si="8"/>
        <v/>
      </c>
      <c r="G128" s="11" t="str">
        <f t="shared" si="9"/>
        <v/>
      </c>
      <c r="H128" s="75"/>
      <c r="I128" s="12" t="str">
        <f t="shared" si="10"/>
        <v/>
      </c>
      <c r="J128" s="13" t="str">
        <f t="shared" si="11"/>
        <v/>
      </c>
      <c r="K128" s="59"/>
      <c r="L128" s="59"/>
    </row>
    <row r="129" spans="1:12" ht="15.6">
      <c r="A129" s="26" t="str">
        <v>480 Sprague St</v>
      </c>
      <c r="B129" s="27" t="str">
        <v>MA</v>
      </c>
      <c r="C129" s="25" t="str">
        <f>Sites[[#This Row],[SOL'#]]</f>
        <v>SOL-10773</v>
      </c>
      <c r="D129" s="80"/>
      <c r="E129" s="88"/>
      <c r="F129" s="14" t="str">
        <f t="shared" si="8"/>
        <v/>
      </c>
      <c r="G129" s="15" t="str">
        <f t="shared" si="9"/>
        <v/>
      </c>
      <c r="H129" s="77"/>
      <c r="I129" s="16" t="str">
        <f t="shared" si="10"/>
        <v/>
      </c>
      <c r="J129" s="15" t="str">
        <f t="shared" si="11"/>
        <v/>
      </c>
      <c r="K129" s="57"/>
      <c r="L129" s="57"/>
    </row>
    <row r="130" spans="1:12" ht="15.6">
      <c r="A130" s="24" t="str">
        <v>647 Summer Street - (Summer Street Solar)</v>
      </c>
      <c r="B130" s="25" t="str">
        <v>MA</v>
      </c>
      <c r="C130" s="25" t="str">
        <f>Sites[[#This Row],[SOL'#]]</f>
        <v>SOL-10764</v>
      </c>
      <c r="D130" s="86"/>
      <c r="E130" s="87"/>
      <c r="F130" s="10" t="str">
        <f t="shared" si="8"/>
        <v/>
      </c>
      <c r="G130" s="11" t="str">
        <f t="shared" si="9"/>
        <v/>
      </c>
      <c r="H130" s="75"/>
      <c r="I130" s="12" t="str">
        <f t="shared" si="10"/>
        <v/>
      </c>
      <c r="J130" s="13" t="str">
        <f t="shared" si="11"/>
        <v/>
      </c>
      <c r="K130" s="59"/>
      <c r="L130" s="59"/>
    </row>
    <row r="131" spans="1:12" ht="15.6">
      <c r="A131" s="26" t="str">
        <v>Rochester Technical School (Wakefield Street)</v>
      </c>
      <c r="B131" s="27" t="str">
        <v>NH</v>
      </c>
      <c r="C131" s="25" t="str">
        <f>Sites[[#This Row],[SOL'#]]</f>
        <v>SOL-10768</v>
      </c>
      <c r="D131" s="80"/>
      <c r="E131" s="88"/>
      <c r="F131" s="14" t="str">
        <f t="shared" si="8"/>
        <v/>
      </c>
      <c r="G131" s="15" t="str">
        <f t="shared" si="9"/>
        <v/>
      </c>
      <c r="H131" s="77"/>
      <c r="I131" s="16" t="str">
        <f t="shared" si="10"/>
        <v/>
      </c>
      <c r="J131" s="15" t="str">
        <f t="shared" si="11"/>
        <v/>
      </c>
      <c r="K131" s="57"/>
      <c r="L131" s="57"/>
    </row>
    <row r="132" spans="1:12" ht="15.6">
      <c r="A132" s="24" t="str">
        <v>McClelland ES</v>
      </c>
      <c r="B132" s="25" t="str">
        <v>NH</v>
      </c>
      <c r="C132" s="25" t="str">
        <f>Sites[[#This Row],[SOL'#]]</f>
        <v>SOL-10766</v>
      </c>
      <c r="D132" s="86"/>
      <c r="E132" s="87"/>
      <c r="F132" s="10" t="str">
        <f t="shared" si="8"/>
        <v/>
      </c>
      <c r="G132" s="11" t="str">
        <f t="shared" si="9"/>
        <v/>
      </c>
      <c r="H132" s="75"/>
      <c r="I132" s="12" t="str">
        <f t="shared" si="10"/>
        <v/>
      </c>
      <c r="J132" s="13" t="str">
        <f t="shared" si="11"/>
        <v/>
      </c>
      <c r="K132" s="59"/>
      <c r="L132" s="59"/>
    </row>
    <row r="133" spans="1:12" ht="15.6">
      <c r="A133" s="26" t="str">
        <v>Portland St</v>
      </c>
      <c r="B133" s="27" t="str">
        <v>NH</v>
      </c>
      <c r="C133" s="25" t="str">
        <f>Sites[[#This Row],[SOL'#]]</f>
        <v>SOL-10771</v>
      </c>
      <c r="D133" s="80"/>
      <c r="E133" s="88"/>
      <c r="F133" s="14" t="str">
        <f t="shared" si="8"/>
        <v/>
      </c>
      <c r="G133" s="15" t="str">
        <f t="shared" si="9"/>
        <v/>
      </c>
      <c r="H133" s="77"/>
      <c r="I133" s="16" t="str">
        <f t="shared" si="10"/>
        <v/>
      </c>
      <c r="J133" s="15" t="str">
        <f t="shared" si="11"/>
        <v/>
      </c>
      <c r="K133" s="57"/>
      <c r="L133" s="57"/>
    </row>
    <row r="134" spans="1:12" ht="15.6">
      <c r="A134" s="24" t="str">
        <v>Freshet Road -PHS</v>
      </c>
      <c r="B134" s="25" t="str">
        <v>NH</v>
      </c>
      <c r="C134" s="25" t="str">
        <f>Sites[[#This Row],[SOL'#]]</f>
        <v>SOL-10769</v>
      </c>
      <c r="D134" s="86"/>
      <c r="E134" s="87"/>
      <c r="F134" s="10" t="str">
        <f t="shared" si="8"/>
        <v/>
      </c>
      <c r="G134" s="11" t="str">
        <f t="shared" si="9"/>
        <v/>
      </c>
      <c r="H134" s="75"/>
      <c r="I134" s="12" t="str">
        <f t="shared" si="10"/>
        <v/>
      </c>
      <c r="J134" s="13" t="str">
        <f t="shared" si="11"/>
        <v/>
      </c>
      <c r="K134" s="59"/>
      <c r="L134" s="59"/>
    </row>
    <row r="135" spans="1:12" ht="15.6">
      <c r="A135" s="26" t="str">
        <v>Freshet Road - PWTP</v>
      </c>
      <c r="B135" s="27" t="str">
        <v>NH</v>
      </c>
      <c r="C135" s="25" t="str">
        <f>Sites[[#This Row],[SOL'#]]</f>
        <v>SOL-10770</v>
      </c>
      <c r="D135" s="80"/>
      <c r="E135" s="88"/>
      <c r="F135" s="14" t="str">
        <f t="shared" si="8"/>
        <v/>
      </c>
      <c r="G135" s="15" t="str">
        <f t="shared" si="9"/>
        <v/>
      </c>
      <c r="H135" s="77"/>
      <c r="I135" s="16" t="str">
        <f t="shared" si="10"/>
        <v/>
      </c>
      <c r="J135" s="15" t="str">
        <f t="shared" si="11"/>
        <v/>
      </c>
      <c r="K135" s="57"/>
      <c r="L135" s="57"/>
    </row>
    <row r="136" spans="1:12" ht="15.6">
      <c r="A136" s="24" t="str">
        <v>Rochester Middle School (Brock Street)</v>
      </c>
      <c r="B136" s="25" t="str">
        <v>NH</v>
      </c>
      <c r="C136" s="25" t="str">
        <f>Sites[[#This Row],[SOL'#]]</f>
        <v>SOL-10765</v>
      </c>
      <c r="D136" s="86"/>
      <c r="E136" s="87"/>
      <c r="F136" s="10" t="str">
        <f t="shared" si="8"/>
        <v/>
      </c>
      <c r="G136" s="11" t="str">
        <f t="shared" si="9"/>
        <v/>
      </c>
      <c r="H136" s="75"/>
      <c r="I136" s="12" t="str">
        <f t="shared" si="10"/>
        <v/>
      </c>
      <c r="J136" s="13" t="str">
        <f t="shared" si="11"/>
        <v/>
      </c>
      <c r="K136" s="59"/>
      <c r="L136" s="59"/>
    </row>
    <row r="137" spans="1:12" ht="15.6">
      <c r="A137" s="26" t="str">
        <v>Spaulding High School (Wakefield Street)</v>
      </c>
      <c r="B137" s="27" t="str">
        <v>NH</v>
      </c>
      <c r="C137" s="25" t="str">
        <f>Sites[[#This Row],[SOL'#]]</f>
        <v>SOL-10767</v>
      </c>
      <c r="D137" s="80"/>
      <c r="E137" s="88"/>
      <c r="F137" s="14" t="str">
        <f t="shared" si="8"/>
        <v/>
      </c>
      <c r="G137" s="15" t="str">
        <f t="shared" si="9"/>
        <v/>
      </c>
      <c r="H137" s="77"/>
      <c r="I137" s="16" t="str">
        <f t="shared" si="10"/>
        <v/>
      </c>
      <c r="J137" s="15" t="str">
        <f t="shared" si="11"/>
        <v/>
      </c>
      <c r="K137" s="57"/>
      <c r="L137" s="57"/>
    </row>
    <row r="138" spans="1:12" ht="15.6">
      <c r="A138" s="24" t="str">
        <v>Ridgeway #2</v>
      </c>
      <c r="B138" s="25" t="str">
        <v>NY</v>
      </c>
      <c r="C138" s="25" t="str">
        <f>Sites[[#This Row],[SOL'#]]</f>
        <v>SOL-11027</v>
      </c>
      <c r="D138" s="86"/>
      <c r="E138" s="87"/>
      <c r="F138" s="10" t="str">
        <f t="shared" si="8"/>
        <v/>
      </c>
      <c r="G138" s="11" t="str">
        <f t="shared" si="9"/>
        <v/>
      </c>
      <c r="H138" s="75"/>
      <c r="I138" s="12" t="str">
        <f t="shared" si="10"/>
        <v/>
      </c>
      <c r="J138" s="13" t="str">
        <f t="shared" si="11"/>
        <v/>
      </c>
      <c r="K138" s="59"/>
      <c r="L138" s="59"/>
    </row>
    <row r="139" spans="1:12" ht="15.6">
      <c r="A139" s="26" t="str">
        <v>Spencer</v>
      </c>
      <c r="B139" s="27" t="str">
        <v>NY</v>
      </c>
      <c r="C139" s="25" t="str">
        <f>Sites[[#This Row],[SOL'#]]</f>
        <v>SOL-11017</v>
      </c>
      <c r="D139" s="80"/>
      <c r="E139" s="88"/>
      <c r="F139" s="14" t="str">
        <f t="shared" si="8"/>
        <v/>
      </c>
      <c r="G139" s="15" t="str">
        <f t="shared" si="9"/>
        <v/>
      </c>
      <c r="H139" s="77"/>
      <c r="I139" s="16" t="str">
        <f t="shared" si="10"/>
        <v/>
      </c>
      <c r="J139" s="15" t="str">
        <f t="shared" si="11"/>
        <v/>
      </c>
      <c r="K139" s="57"/>
      <c r="L139" s="57"/>
    </row>
    <row r="140" spans="1:12" ht="15.6">
      <c r="A140" s="28" t="str">
        <v>Reisender</v>
      </c>
      <c r="B140" s="25" t="str">
        <v>NY</v>
      </c>
      <c r="C140" s="25" t="str">
        <f>Sites[[#This Row],[SOL'#]]</f>
        <v>SOL-10886</v>
      </c>
      <c r="D140" s="86"/>
      <c r="E140" s="87"/>
      <c r="F140" s="10" t="str">
        <f t="shared" si="8"/>
        <v/>
      </c>
      <c r="G140" s="11" t="str">
        <f t="shared" si="9"/>
        <v/>
      </c>
      <c r="H140" s="75"/>
      <c r="I140" s="12" t="str">
        <f t="shared" si="10"/>
        <v/>
      </c>
      <c r="J140" s="13" t="str">
        <f t="shared" si="11"/>
        <v/>
      </c>
      <c r="K140" s="59"/>
      <c r="L140" s="59"/>
    </row>
    <row r="141" spans="1:12" ht="15.6">
      <c r="A141" s="26" t="str">
        <v>Finney</v>
      </c>
      <c r="B141" s="27" t="str">
        <v>NY</v>
      </c>
      <c r="C141" s="25" t="str">
        <f>Sites[[#This Row],[SOL'#]]</f>
        <v>SOL-10999</v>
      </c>
      <c r="D141" s="80"/>
      <c r="E141" s="88"/>
      <c r="F141" s="14" t="str">
        <f t="shared" si="8"/>
        <v/>
      </c>
      <c r="G141" s="15" t="str">
        <f t="shared" si="9"/>
        <v/>
      </c>
      <c r="H141" s="77"/>
      <c r="I141" s="16" t="str">
        <f t="shared" si="10"/>
        <v/>
      </c>
      <c r="J141" s="15" t="str">
        <f t="shared" si="11"/>
        <v/>
      </c>
      <c r="K141" s="57"/>
      <c r="L141" s="57"/>
    </row>
    <row r="142" spans="1:12" ht="15.6">
      <c r="A142" s="28" t="str">
        <v>Davis Solar</v>
      </c>
      <c r="B142" s="25" t="str">
        <v>NY</v>
      </c>
      <c r="C142" s="25" t="str">
        <f>Sites[[#This Row],[SOL'#]]</f>
        <v>SOL-10958</v>
      </c>
      <c r="D142" s="86"/>
      <c r="E142" s="87"/>
      <c r="F142" s="10" t="str">
        <f t="shared" si="8"/>
        <v/>
      </c>
      <c r="G142" s="11" t="str">
        <f t="shared" si="9"/>
        <v/>
      </c>
      <c r="H142" s="75"/>
      <c r="I142" s="12" t="str">
        <f t="shared" si="10"/>
        <v/>
      </c>
      <c r="J142" s="13" t="str">
        <f t="shared" si="11"/>
        <v/>
      </c>
      <c r="K142" s="59"/>
      <c r="L142" s="59"/>
    </row>
    <row r="143" spans="1:12" ht="15.6">
      <c r="A143" s="26" t="str">
        <v>Genesee</v>
      </c>
      <c r="B143" s="27" t="str">
        <v>NY</v>
      </c>
      <c r="C143" s="25" t="str">
        <f>Sites[[#This Row],[SOL'#]]</f>
        <v>SOL-10951</v>
      </c>
      <c r="D143" s="80"/>
      <c r="E143" s="88"/>
      <c r="F143" s="14" t="str">
        <f t="shared" si="8"/>
        <v/>
      </c>
      <c r="G143" s="15" t="str">
        <f t="shared" si="9"/>
        <v/>
      </c>
      <c r="H143" s="77"/>
      <c r="I143" s="16" t="str">
        <f t="shared" si="10"/>
        <v/>
      </c>
      <c r="J143" s="15" t="str">
        <f t="shared" si="11"/>
        <v/>
      </c>
      <c r="K143" s="57"/>
      <c r="L143" s="57"/>
    </row>
    <row r="144" spans="1:12" ht="15.6">
      <c r="A144" s="24" t="str">
        <v>Landau I</v>
      </c>
      <c r="B144" s="25" t="str">
        <v>NY</v>
      </c>
      <c r="C144" s="25" t="str">
        <f>Sites[[#This Row],[SOL'#]]</f>
        <v>SOL-10891</v>
      </c>
      <c r="D144" s="86"/>
      <c r="E144" s="87"/>
      <c r="F144" s="10" t="str">
        <f t="shared" si="8"/>
        <v/>
      </c>
      <c r="G144" s="11" t="str">
        <f t="shared" si="9"/>
        <v/>
      </c>
      <c r="H144" s="75"/>
      <c r="I144" s="12" t="str">
        <f t="shared" si="10"/>
        <v/>
      </c>
      <c r="J144" s="13" t="str">
        <f t="shared" si="11"/>
        <v/>
      </c>
      <c r="K144" s="59"/>
      <c r="L144" s="59"/>
    </row>
    <row r="145" spans="1:12" ht="15.6">
      <c r="A145" s="26" t="str">
        <v>Landau II</v>
      </c>
      <c r="B145" s="27" t="str">
        <v>NY</v>
      </c>
      <c r="C145" s="25" t="str">
        <f>Sites[[#This Row],[SOL'#]]</f>
        <v>SOL-10895</v>
      </c>
      <c r="D145" s="80"/>
      <c r="E145" s="88"/>
      <c r="F145" s="14" t="str">
        <f t="shared" si="8"/>
        <v/>
      </c>
      <c r="G145" s="15" t="str">
        <f t="shared" si="9"/>
        <v/>
      </c>
      <c r="H145" s="77"/>
      <c r="I145" s="16" t="str">
        <f t="shared" si="10"/>
        <v/>
      </c>
      <c r="J145" s="15" t="str">
        <f t="shared" si="11"/>
        <v/>
      </c>
      <c r="K145" s="57"/>
      <c r="L145" s="57"/>
    </row>
    <row r="146" spans="1:12" ht="15.6">
      <c r="A146" s="24" t="str">
        <v>New Beginnings</v>
      </c>
      <c r="B146" s="25" t="str">
        <v>NY</v>
      </c>
      <c r="C146" s="25" t="str">
        <f>Sites[[#This Row],[SOL'#]]</f>
        <v>SOL-10890</v>
      </c>
      <c r="D146" s="86"/>
      <c r="E146" s="87"/>
      <c r="F146" s="10" t="str">
        <f t="shared" ref="F146:F161" si="12">IF(AND(ISNUMBER(D146),ISNUMBER(E146)), D146-E146, "")</f>
        <v/>
      </c>
      <c r="G146" s="11" t="str">
        <f t="shared" ref="G146:G161" si="13">IFERROR(F146/E146, "")</f>
        <v/>
      </c>
      <c r="H146" s="75"/>
      <c r="I146" s="12" t="str">
        <f t="shared" ref="I146:I161" si="14">IF(AND(ISNUMBER(D146),ISNUMBER(H146)), D146-H146, "")</f>
        <v/>
      </c>
      <c r="J146" s="13" t="str">
        <f t="shared" ref="J146:J161" si="15">IFERROR(I146/H146, "")</f>
        <v/>
      </c>
      <c r="K146" s="59"/>
      <c r="L146" s="59"/>
    </row>
    <row r="147" spans="1:12" ht="15.6">
      <c r="A147" s="26" t="str">
        <v>Bullitt Farm Solar, LLC</v>
      </c>
      <c r="B147" s="27" t="str">
        <v>NY</v>
      </c>
      <c r="C147" s="25" t="str">
        <f>Sites[[#This Row],[SOL'#]]</f>
        <v>SOL-10998</v>
      </c>
      <c r="D147" s="90"/>
      <c r="E147" s="88"/>
      <c r="F147" s="14" t="str">
        <f t="shared" si="12"/>
        <v/>
      </c>
      <c r="G147" s="15" t="str">
        <f t="shared" si="13"/>
        <v/>
      </c>
      <c r="H147" s="77"/>
      <c r="I147" s="16" t="str">
        <f t="shared" si="14"/>
        <v/>
      </c>
      <c r="J147" s="15" t="str">
        <f t="shared" si="15"/>
        <v/>
      </c>
      <c r="K147" s="57"/>
      <c r="L147" s="57"/>
    </row>
    <row r="148" spans="1:12" ht="15.6">
      <c r="A148" s="24" t="str">
        <v>Brodhead Solar, LLC</v>
      </c>
      <c r="B148" s="25" t="str">
        <v>NY</v>
      </c>
      <c r="C148" s="25" t="str">
        <f>Sites[[#This Row],[SOL'#]]</f>
        <v>SOL-10899</v>
      </c>
      <c r="D148" s="86"/>
      <c r="E148" s="87"/>
      <c r="F148" s="10" t="str">
        <f t="shared" si="12"/>
        <v/>
      </c>
      <c r="G148" s="11" t="str">
        <f t="shared" si="13"/>
        <v/>
      </c>
      <c r="H148" s="75"/>
      <c r="I148" s="12" t="str">
        <f t="shared" si="14"/>
        <v/>
      </c>
      <c r="J148" s="13" t="str">
        <f t="shared" si="15"/>
        <v/>
      </c>
      <c r="K148" s="59"/>
      <c r="L148" s="59"/>
    </row>
    <row r="149" spans="1:12" ht="15.6">
      <c r="A149" s="26" t="str">
        <v>Svenski</v>
      </c>
      <c r="B149" s="27" t="str">
        <v>NY</v>
      </c>
      <c r="C149" s="25" t="str">
        <f>Sites[[#This Row],[SOL'#]]</f>
        <v>SOL-10894</v>
      </c>
      <c r="D149" s="80"/>
      <c r="E149" s="88"/>
      <c r="F149" s="14" t="str">
        <f t="shared" si="12"/>
        <v/>
      </c>
      <c r="G149" s="15" t="str">
        <f t="shared" si="13"/>
        <v/>
      </c>
      <c r="H149" s="77"/>
      <c r="I149" s="16" t="str">
        <f t="shared" si="14"/>
        <v/>
      </c>
      <c r="J149" s="15" t="str">
        <f t="shared" si="15"/>
        <v/>
      </c>
      <c r="K149" s="57"/>
      <c r="L149" s="57"/>
    </row>
    <row r="150" spans="1:12" ht="15.6">
      <c r="A150" s="24" t="str">
        <v>Bantam</v>
      </c>
      <c r="B150" s="25" t="str">
        <v>NY</v>
      </c>
      <c r="C150" s="25" t="str">
        <f>Sites[[#This Row],[SOL'#]]</f>
        <v>SOL-10986</v>
      </c>
      <c r="D150" s="86"/>
      <c r="E150" s="87"/>
      <c r="F150" s="10" t="str">
        <f t="shared" si="12"/>
        <v/>
      </c>
      <c r="G150" s="11" t="str">
        <f t="shared" si="13"/>
        <v/>
      </c>
      <c r="H150" s="75"/>
      <c r="I150" s="12" t="str">
        <f t="shared" si="14"/>
        <v/>
      </c>
      <c r="J150" s="13" t="str">
        <f t="shared" si="15"/>
        <v/>
      </c>
      <c r="K150" s="59"/>
      <c r="L150" s="59"/>
    </row>
    <row r="151" spans="1:12" ht="63" customHeight="1">
      <c r="A151" s="26" t="str">
        <v>Bogart</v>
      </c>
      <c r="B151" s="27" t="str">
        <v>NY</v>
      </c>
      <c r="C151" s="25" t="str">
        <f>Sites[[#This Row],[SOL'#]]</f>
        <v>SOL-10887</v>
      </c>
      <c r="D151" s="80"/>
      <c r="E151" s="88"/>
      <c r="F151" s="14" t="str">
        <f t="shared" si="12"/>
        <v/>
      </c>
      <c r="G151" s="15" t="str">
        <f t="shared" si="13"/>
        <v/>
      </c>
      <c r="H151" s="77"/>
      <c r="I151" s="16" t="str">
        <f t="shared" si="14"/>
        <v/>
      </c>
      <c r="J151" s="15" t="str">
        <f t="shared" si="15"/>
        <v/>
      </c>
      <c r="K151" s="57"/>
      <c r="L151" s="57"/>
    </row>
    <row r="152" spans="1:12" ht="15.6">
      <c r="A152" s="24" t="str">
        <v>Dubois</v>
      </c>
      <c r="B152" s="25" t="str">
        <v>NY</v>
      </c>
      <c r="C152" s="25" t="str">
        <f>Sites[[#This Row],[SOL'#]]</f>
        <v>SOL-10892</v>
      </c>
      <c r="D152" s="86"/>
      <c r="E152" s="87"/>
      <c r="F152" s="10" t="str">
        <f t="shared" si="12"/>
        <v/>
      </c>
      <c r="G152" s="11" t="str">
        <f t="shared" si="13"/>
        <v/>
      </c>
      <c r="H152" s="75"/>
      <c r="I152" s="12" t="str">
        <f t="shared" si="14"/>
        <v/>
      </c>
      <c r="J152" s="13" t="str">
        <f t="shared" si="15"/>
        <v/>
      </c>
      <c r="K152" s="59"/>
      <c r="L152" s="59"/>
    </row>
    <row r="153" spans="1:12" ht="15.6">
      <c r="A153" s="26" t="str">
        <v>Salt Point</v>
      </c>
      <c r="B153" s="27" t="str">
        <v>NY</v>
      </c>
      <c r="C153" s="25" t="str">
        <f>Sites[[#This Row],[SOL'#]]</f>
        <v>SOL-10888</v>
      </c>
      <c r="D153" s="80"/>
      <c r="E153" s="88"/>
      <c r="F153" s="14" t="str">
        <f t="shared" si="12"/>
        <v/>
      </c>
      <c r="G153" s="15" t="str">
        <f t="shared" si="13"/>
        <v/>
      </c>
      <c r="H153" s="77"/>
      <c r="I153" s="16" t="str">
        <f t="shared" si="14"/>
        <v/>
      </c>
      <c r="J153" s="15" t="str">
        <f t="shared" si="15"/>
        <v/>
      </c>
      <c r="K153" s="57"/>
      <c r="L153" s="57"/>
    </row>
    <row r="154" spans="1:12" ht="15.6">
      <c r="A154" s="24" t="str">
        <v>Wheatland 2A</v>
      </c>
      <c r="B154" s="25" t="str">
        <v>NY</v>
      </c>
      <c r="C154" s="25" t="str">
        <f>Sites[[#This Row],[SOL'#]]</f>
        <v>SOL-10971</v>
      </c>
      <c r="D154" s="86"/>
      <c r="E154" s="87"/>
      <c r="F154" s="10" t="str">
        <f t="shared" si="12"/>
        <v/>
      </c>
      <c r="G154" s="11" t="str">
        <f t="shared" si="13"/>
        <v/>
      </c>
      <c r="H154" s="75"/>
      <c r="I154" s="12" t="str">
        <f t="shared" si="14"/>
        <v/>
      </c>
      <c r="J154" s="13" t="str">
        <f t="shared" si="15"/>
        <v/>
      </c>
      <c r="K154" s="59"/>
      <c r="L154" s="59"/>
    </row>
    <row r="155" spans="1:12" ht="15.6">
      <c r="A155" s="26" t="str">
        <v>Wheatland 2B</v>
      </c>
      <c r="B155" s="27" t="str">
        <v>NY</v>
      </c>
      <c r="C155" s="25" t="str">
        <f>Sites[[#This Row],[SOL'#]]</f>
        <v>SOL-10961</v>
      </c>
      <c r="D155" s="80"/>
      <c r="E155" s="88"/>
      <c r="F155" s="14" t="str">
        <f t="shared" si="12"/>
        <v/>
      </c>
      <c r="G155" s="15" t="str">
        <f t="shared" si="13"/>
        <v/>
      </c>
      <c r="H155" s="77"/>
      <c r="I155" s="16" t="str">
        <f t="shared" si="14"/>
        <v/>
      </c>
      <c r="J155" s="15" t="str">
        <f t="shared" si="15"/>
        <v/>
      </c>
      <c r="K155" s="57"/>
      <c r="L155" s="57"/>
    </row>
    <row r="156" spans="1:12" ht="15.6">
      <c r="A156" s="24" t="str">
        <v>Brickchurch</v>
      </c>
      <c r="B156" s="25" t="str">
        <v>NY</v>
      </c>
      <c r="C156" s="25" t="str">
        <f>Sites[[#This Row],[SOL'#]]</f>
        <v>SOL-10889</v>
      </c>
      <c r="D156" s="86"/>
      <c r="E156" s="87"/>
      <c r="F156" s="10" t="str">
        <f t="shared" si="12"/>
        <v/>
      </c>
      <c r="G156" s="11" t="str">
        <f t="shared" si="13"/>
        <v/>
      </c>
      <c r="H156" s="75"/>
      <c r="I156" s="12" t="str">
        <f t="shared" si="14"/>
        <v/>
      </c>
      <c r="J156" s="13" t="str">
        <f t="shared" si="15"/>
        <v/>
      </c>
      <c r="K156" s="59"/>
      <c r="L156" s="59"/>
    </row>
    <row r="157" spans="1:12" ht="15.6">
      <c r="A157" s="26" t="str">
        <v>McCarthy Solar</v>
      </c>
      <c r="B157" s="27" t="str">
        <v>NY</v>
      </c>
      <c r="C157" s="25" t="str">
        <f>Sites[[#This Row],[SOL'#]]</f>
        <v>SOL-10992</v>
      </c>
      <c r="D157" s="80"/>
      <c r="E157" s="88"/>
      <c r="F157" s="14" t="str">
        <f t="shared" si="12"/>
        <v/>
      </c>
      <c r="G157" s="15" t="str">
        <f t="shared" si="13"/>
        <v/>
      </c>
      <c r="H157" s="77"/>
      <c r="I157" s="16" t="str">
        <f t="shared" si="14"/>
        <v/>
      </c>
      <c r="J157" s="15" t="str">
        <f t="shared" si="15"/>
        <v/>
      </c>
      <c r="K157" s="57"/>
      <c r="L157" s="57"/>
    </row>
    <row r="158" spans="1:12" ht="15.6">
      <c r="A158" s="24" t="str">
        <v>Costanza</v>
      </c>
      <c r="B158" s="25" t="str">
        <v>NY</v>
      </c>
      <c r="C158" s="25" t="str">
        <f>Sites[[#This Row],[SOL'#]]</f>
        <v>SOL-10907</v>
      </c>
      <c r="D158" s="86"/>
      <c r="E158" s="87"/>
      <c r="F158" s="10" t="str">
        <f t="shared" si="12"/>
        <v/>
      </c>
      <c r="G158" s="11" t="str">
        <f t="shared" si="13"/>
        <v/>
      </c>
      <c r="H158" s="75"/>
      <c r="I158" s="12" t="str">
        <f t="shared" si="14"/>
        <v/>
      </c>
      <c r="J158" s="13" t="str">
        <f t="shared" si="15"/>
        <v/>
      </c>
      <c r="K158" s="59"/>
      <c r="L158" s="59"/>
    </row>
    <row r="159" spans="1:12" ht="15.6">
      <c r="A159" s="26" t="str">
        <v>Lockenhurst Pond</v>
      </c>
      <c r="B159" s="27" t="str">
        <v>NY</v>
      </c>
      <c r="C159" s="25" t="str">
        <f>Sites[[#This Row],[SOL'#]]</f>
        <v>SOL-11000</v>
      </c>
      <c r="D159" s="80"/>
      <c r="E159" s="88"/>
      <c r="F159" s="14" t="str">
        <f t="shared" si="12"/>
        <v/>
      </c>
      <c r="G159" s="15" t="str">
        <f t="shared" si="13"/>
        <v/>
      </c>
      <c r="H159" s="77"/>
      <c r="I159" s="16" t="str">
        <f t="shared" si="14"/>
        <v/>
      </c>
      <c r="J159" s="15" t="str">
        <f t="shared" si="15"/>
        <v/>
      </c>
      <c r="K159" s="57"/>
      <c r="L159" s="57"/>
    </row>
    <row r="160" spans="1:12" ht="15.6">
      <c r="A160" s="24" t="str">
        <v>Drinkwater</v>
      </c>
      <c r="B160" s="25" t="str">
        <v>NY</v>
      </c>
      <c r="C160" s="25" t="str">
        <f>Sites[[#This Row],[SOL'#]]</f>
        <v>SOL-10896</v>
      </c>
      <c r="D160" s="86"/>
      <c r="E160" s="87"/>
      <c r="F160" s="10" t="str">
        <f t="shared" si="12"/>
        <v/>
      </c>
      <c r="G160" s="11" t="str">
        <f t="shared" si="13"/>
        <v/>
      </c>
      <c r="H160" s="75"/>
      <c r="I160" s="12" t="str">
        <f t="shared" si="14"/>
        <v/>
      </c>
      <c r="J160" s="13" t="str">
        <f t="shared" si="15"/>
        <v/>
      </c>
      <c r="K160" s="59"/>
      <c r="L160" s="59"/>
    </row>
    <row r="161" spans="1:12" ht="15.6">
      <c r="A161" s="26" t="str">
        <v>Altamont</v>
      </c>
      <c r="B161" s="27" t="str">
        <v>NY</v>
      </c>
      <c r="C161" s="25" t="str">
        <f>Sites[[#This Row],[SOL'#]]</f>
        <v>SOL-11085</v>
      </c>
      <c r="D161" s="80"/>
      <c r="E161" s="88"/>
      <c r="F161" s="14" t="str">
        <f t="shared" si="12"/>
        <v/>
      </c>
      <c r="G161" s="15" t="str">
        <f t="shared" si="13"/>
        <v/>
      </c>
      <c r="H161" s="77"/>
      <c r="I161" s="16" t="str">
        <f t="shared" si="14"/>
        <v/>
      </c>
      <c r="J161" s="15" t="str">
        <f t="shared" si="15"/>
        <v/>
      </c>
      <c r="K161" s="57"/>
      <c r="L161" s="57"/>
    </row>
    <row r="162" spans="1:12" ht="15.6">
      <c r="A162" s="24" t="str">
        <v>Krumkill North</v>
      </c>
      <c r="B162" s="25" t="str">
        <v>NY</v>
      </c>
      <c r="C162" s="25" t="str">
        <f>Sites[[#This Row],[SOL'#]]</f>
        <v>SOL-11086</v>
      </c>
      <c r="D162" s="86"/>
      <c r="E162" s="87"/>
      <c r="F162" s="10" t="str">
        <f t="shared" ref="F162:F185" si="16">IF(AND(ISNUMBER(D162),ISNUMBER(E162)), D162-E162, "")</f>
        <v/>
      </c>
      <c r="G162" s="11" t="str">
        <f t="shared" ref="G162:G185" si="17">IFERROR(F162/E162, "")</f>
        <v/>
      </c>
      <c r="H162" s="75"/>
      <c r="I162" s="12" t="str">
        <f t="shared" ref="I162:I185" si="18">IF(AND(ISNUMBER(D162),ISNUMBER(H162)), D162-H162, "")</f>
        <v/>
      </c>
      <c r="J162" s="13" t="str">
        <f t="shared" ref="J162:J185" si="19">IFERROR(I162/H162, "")</f>
        <v/>
      </c>
      <c r="K162" s="59"/>
      <c r="L162" s="59"/>
    </row>
    <row r="163" spans="1:12" ht="15.6">
      <c r="A163" s="26" t="str">
        <v>Krumkill South</v>
      </c>
      <c r="B163" s="27" t="str">
        <v>NY</v>
      </c>
      <c r="C163" s="25" t="str">
        <f>Sites[[#This Row],[SOL'#]]</f>
        <v>SOL-11087</v>
      </c>
      <c r="D163" s="80"/>
      <c r="E163" s="88"/>
      <c r="F163" s="14" t="str">
        <f t="shared" si="16"/>
        <v/>
      </c>
      <c r="G163" s="15" t="str">
        <f t="shared" si="17"/>
        <v/>
      </c>
      <c r="H163" s="77"/>
      <c r="I163" s="16" t="str">
        <f t="shared" si="18"/>
        <v/>
      </c>
      <c r="J163" s="15" t="str">
        <f t="shared" si="19"/>
        <v/>
      </c>
      <c r="K163" s="57"/>
      <c r="L163" s="57"/>
    </row>
    <row r="164" spans="1:12" ht="15.6">
      <c r="A164" s="24" t="str">
        <v>X092</v>
      </c>
      <c r="B164" s="25" t="str">
        <v>NY</v>
      </c>
      <c r="C164" s="25" t="str">
        <f>Sites[[#This Row],[SOL'#]]</f>
        <v>SOL-11189</v>
      </c>
      <c r="D164" s="86"/>
      <c r="E164" s="87"/>
      <c r="F164" s="10" t="str">
        <f t="shared" si="16"/>
        <v/>
      </c>
      <c r="G164" s="11" t="str">
        <f t="shared" si="17"/>
        <v/>
      </c>
      <c r="H164" s="75"/>
      <c r="I164" s="12" t="str">
        <f t="shared" si="18"/>
        <v/>
      </c>
      <c r="J164" s="13" t="str">
        <f t="shared" si="19"/>
        <v/>
      </c>
      <c r="K164" s="59"/>
      <c r="L164" s="59"/>
    </row>
    <row r="165" spans="1:12" ht="15.6">
      <c r="A165" s="26" t="str">
        <v>X093</v>
      </c>
      <c r="B165" s="27" t="str">
        <v>NY</v>
      </c>
      <c r="C165" s="25" t="str">
        <f>Sites[[#This Row],[SOL'#]]</f>
        <v>SOL-10932</v>
      </c>
      <c r="D165" s="80"/>
      <c r="E165" s="88"/>
      <c r="F165" s="14" t="str">
        <f t="shared" si="16"/>
        <v/>
      </c>
      <c r="G165" s="15" t="str">
        <f t="shared" si="17"/>
        <v/>
      </c>
      <c r="H165" s="77"/>
      <c r="I165" s="16" t="str">
        <f t="shared" si="18"/>
        <v/>
      </c>
      <c r="J165" s="15" t="str">
        <f t="shared" si="19"/>
        <v/>
      </c>
      <c r="K165" s="57"/>
      <c r="L165" s="57"/>
    </row>
    <row r="166" spans="1:12" ht="15.6">
      <c r="A166" s="24" t="str">
        <v>X095</v>
      </c>
      <c r="B166" s="25" t="str">
        <v>NY</v>
      </c>
      <c r="C166" s="25" t="str">
        <f>Sites[[#This Row],[SOL'#]]</f>
        <v>SOL-10929</v>
      </c>
      <c r="D166" s="86"/>
      <c r="E166" s="87"/>
      <c r="F166" s="10" t="str">
        <f t="shared" si="16"/>
        <v/>
      </c>
      <c r="G166" s="11" t="str">
        <f t="shared" si="17"/>
        <v/>
      </c>
      <c r="H166" s="75"/>
      <c r="I166" s="12" t="str">
        <f t="shared" si="18"/>
        <v/>
      </c>
      <c r="J166" s="13" t="str">
        <f t="shared" si="19"/>
        <v/>
      </c>
      <c r="K166" s="59"/>
      <c r="L166" s="59"/>
    </row>
    <row r="167" spans="1:12" ht="15.6">
      <c r="A167" s="26" t="str">
        <v>X181</v>
      </c>
      <c r="B167" s="27" t="str">
        <v>NY</v>
      </c>
      <c r="C167" s="25" t="str">
        <f>Sites[[#This Row],[SOL'#]]</f>
        <v>SOL-10428</v>
      </c>
      <c r="D167" s="80"/>
      <c r="E167" s="88"/>
      <c r="F167" s="14" t="str">
        <f t="shared" si="16"/>
        <v/>
      </c>
      <c r="G167" s="15" t="str">
        <f t="shared" si="17"/>
        <v/>
      </c>
      <c r="H167" s="77"/>
      <c r="I167" s="16" t="str">
        <f t="shared" si="18"/>
        <v/>
      </c>
      <c r="J167" s="15" t="str">
        <f t="shared" si="19"/>
        <v/>
      </c>
      <c r="K167" s="57"/>
      <c r="L167" s="57"/>
    </row>
    <row r="168" spans="1:12" ht="15.6">
      <c r="A168" s="24" t="str">
        <v>X415</v>
      </c>
      <c r="B168" s="25" t="str">
        <v>NY</v>
      </c>
      <c r="C168" s="25" t="str">
        <f>Sites[[#This Row],[SOL'#]]</f>
        <v>SOL-10429</v>
      </c>
      <c r="D168" s="86"/>
      <c r="E168" s="87"/>
      <c r="F168" s="10" t="str">
        <f t="shared" si="16"/>
        <v/>
      </c>
      <c r="G168" s="11" t="str">
        <f t="shared" si="17"/>
        <v/>
      </c>
      <c r="H168" s="75"/>
      <c r="I168" s="12" t="str">
        <f t="shared" si="18"/>
        <v/>
      </c>
      <c r="J168" s="13" t="str">
        <f t="shared" si="19"/>
        <v/>
      </c>
      <c r="K168" s="59"/>
      <c r="L168" s="59"/>
    </row>
    <row r="169" spans="1:12" ht="15.6">
      <c r="A169" s="26" t="str">
        <v>K198</v>
      </c>
      <c r="B169" s="27" t="str">
        <v>NY</v>
      </c>
      <c r="C169" s="25" t="str">
        <f>Sites[[#This Row],[SOL'#]]</f>
        <v>SOL-10930</v>
      </c>
      <c r="D169" s="80"/>
      <c r="E169" s="88"/>
      <c r="F169" s="14" t="str">
        <f t="shared" si="16"/>
        <v/>
      </c>
      <c r="G169" s="15" t="str">
        <f t="shared" si="17"/>
        <v/>
      </c>
      <c r="H169" s="77"/>
      <c r="I169" s="16" t="str">
        <f t="shared" si="18"/>
        <v/>
      </c>
      <c r="J169" s="15" t="str">
        <f t="shared" si="19"/>
        <v/>
      </c>
      <c r="K169" s="57"/>
      <c r="L169" s="57"/>
    </row>
    <row r="170" spans="1:12" ht="15.6">
      <c r="A170" s="24" t="str">
        <v>K203</v>
      </c>
      <c r="B170" s="25" t="str">
        <v>NY</v>
      </c>
      <c r="C170" s="25" t="str">
        <f>Sites[[#This Row],[SOL'#]]</f>
        <v>SOL-11190</v>
      </c>
      <c r="D170" s="86"/>
      <c r="E170" s="87"/>
      <c r="F170" s="10" t="str">
        <f t="shared" si="16"/>
        <v/>
      </c>
      <c r="G170" s="11" t="str">
        <f t="shared" si="17"/>
        <v/>
      </c>
      <c r="H170" s="75"/>
      <c r="I170" s="12" t="str">
        <f t="shared" si="18"/>
        <v/>
      </c>
      <c r="J170" s="13" t="str">
        <f t="shared" si="19"/>
        <v/>
      </c>
      <c r="K170" s="59"/>
      <c r="L170" s="59"/>
    </row>
    <row r="171" spans="1:12" ht="15.6">
      <c r="A171" s="26" t="str">
        <v>K213</v>
      </c>
      <c r="B171" s="27" t="str">
        <v>NY</v>
      </c>
      <c r="C171" s="25" t="str">
        <f>Sites[[#This Row],[SOL'#]]</f>
        <v>SOL-11191</v>
      </c>
      <c r="D171" s="80"/>
      <c r="E171" s="88"/>
      <c r="F171" s="14" t="str">
        <f t="shared" si="16"/>
        <v/>
      </c>
      <c r="G171" s="15" t="str">
        <f t="shared" si="17"/>
        <v/>
      </c>
      <c r="H171" s="77"/>
      <c r="I171" s="16" t="str">
        <f t="shared" si="18"/>
        <v/>
      </c>
      <c r="J171" s="15" t="str">
        <f t="shared" si="19"/>
        <v/>
      </c>
      <c r="K171" s="57"/>
      <c r="L171" s="57"/>
    </row>
    <row r="172" spans="1:12" ht="15.6">
      <c r="A172" s="24" t="str">
        <v>K217</v>
      </c>
      <c r="B172" s="25" t="str">
        <v>NY</v>
      </c>
      <c r="C172" s="25" t="str">
        <f>Sites[[#This Row],[SOL'#]]</f>
        <v>SOL-10933</v>
      </c>
      <c r="D172" s="86"/>
      <c r="E172" s="87"/>
      <c r="F172" s="10" t="str">
        <f t="shared" si="16"/>
        <v/>
      </c>
      <c r="G172" s="11" t="str">
        <f t="shared" si="17"/>
        <v/>
      </c>
      <c r="H172" s="75"/>
      <c r="I172" s="12" t="str">
        <f t="shared" si="18"/>
        <v/>
      </c>
      <c r="J172" s="13" t="str">
        <f t="shared" si="19"/>
        <v/>
      </c>
      <c r="K172" s="59"/>
      <c r="L172" s="59"/>
    </row>
    <row r="173" spans="1:12" ht="15.6">
      <c r="A173" s="26" t="str">
        <v>K307</v>
      </c>
      <c r="B173" s="27" t="str">
        <v>NY</v>
      </c>
      <c r="C173" s="25" t="str">
        <f>Sites[[#This Row],[SOL'#]]</f>
        <v>SOL-10876</v>
      </c>
      <c r="D173" s="80"/>
      <c r="E173" s="88"/>
      <c r="F173" s="14" t="str">
        <f t="shared" si="16"/>
        <v/>
      </c>
      <c r="G173" s="15" t="str">
        <f t="shared" si="17"/>
        <v/>
      </c>
      <c r="H173" s="77"/>
      <c r="I173" s="16" t="str">
        <f t="shared" si="18"/>
        <v/>
      </c>
      <c r="J173" s="15" t="str">
        <f t="shared" si="19"/>
        <v/>
      </c>
      <c r="K173" s="57"/>
      <c r="L173" s="57"/>
    </row>
    <row r="174" spans="1:12" ht="15.6">
      <c r="A174" s="24" t="str">
        <v>K610</v>
      </c>
      <c r="B174" s="25" t="str">
        <v>NY</v>
      </c>
      <c r="C174" s="25" t="str">
        <f>Sites[[#This Row],[SOL'#]]</f>
        <v>SOL-11158</v>
      </c>
      <c r="D174" s="86"/>
      <c r="E174" s="87"/>
      <c r="F174" s="10" t="str">
        <f t="shared" si="16"/>
        <v/>
      </c>
      <c r="G174" s="11" t="str">
        <f t="shared" si="17"/>
        <v/>
      </c>
      <c r="H174" s="75"/>
      <c r="I174" s="12" t="str">
        <f t="shared" si="18"/>
        <v/>
      </c>
      <c r="J174" s="13" t="str">
        <f t="shared" si="19"/>
        <v/>
      </c>
      <c r="K174" s="59"/>
      <c r="L174" s="59"/>
    </row>
    <row r="175" spans="1:12" ht="15.6">
      <c r="A175" s="26" t="str">
        <v>M025</v>
      </c>
      <c r="B175" s="27" t="str">
        <v>NY</v>
      </c>
      <c r="C175" s="25" t="str">
        <f>Sites[[#This Row],[SOL'#]]</f>
        <v>SOL-10392</v>
      </c>
      <c r="D175" s="80"/>
      <c r="E175" s="88"/>
      <c r="F175" s="14" t="str">
        <f t="shared" si="16"/>
        <v/>
      </c>
      <c r="G175" s="15" t="str">
        <f t="shared" si="17"/>
        <v/>
      </c>
      <c r="H175" s="77"/>
      <c r="I175" s="16" t="str">
        <f t="shared" si="18"/>
        <v/>
      </c>
      <c r="J175" s="15" t="str">
        <f t="shared" si="19"/>
        <v/>
      </c>
      <c r="K175" s="57"/>
      <c r="L175" s="57"/>
    </row>
    <row r="176" spans="1:12" ht="15.6">
      <c r="A176" s="24" t="str">
        <v>M028</v>
      </c>
      <c r="B176" s="25" t="str">
        <v>NY</v>
      </c>
      <c r="C176" s="25" t="str">
        <f>Sites[[#This Row],[SOL'#]]</f>
        <v>SOL-10381</v>
      </c>
      <c r="D176" s="86"/>
      <c r="E176" s="87"/>
      <c r="F176" s="10" t="str">
        <f t="shared" si="16"/>
        <v/>
      </c>
      <c r="G176" s="11" t="str">
        <f t="shared" si="17"/>
        <v/>
      </c>
      <c r="H176" s="75"/>
      <c r="I176" s="12" t="str">
        <f t="shared" si="18"/>
        <v/>
      </c>
      <c r="J176" s="13" t="str">
        <f t="shared" si="19"/>
        <v/>
      </c>
      <c r="K176" s="59"/>
      <c r="L176" s="59"/>
    </row>
    <row r="177" spans="1:12" ht="15.6">
      <c r="A177" s="26" t="str">
        <v>Q030</v>
      </c>
      <c r="B177" s="27" t="str">
        <v>NY</v>
      </c>
      <c r="C177" s="25" t="str">
        <f>Sites[[#This Row],[SOL'#]]</f>
        <v>SOL-10878</v>
      </c>
      <c r="D177" s="80"/>
      <c r="E177" s="88"/>
      <c r="F177" s="14" t="str">
        <f t="shared" si="16"/>
        <v/>
      </c>
      <c r="G177" s="15" t="str">
        <f t="shared" si="17"/>
        <v/>
      </c>
      <c r="H177" s="77"/>
      <c r="I177" s="16" t="str">
        <f t="shared" si="18"/>
        <v/>
      </c>
      <c r="J177" s="15" t="str">
        <f t="shared" si="19"/>
        <v/>
      </c>
      <c r="K177" s="57"/>
      <c r="L177" s="57"/>
    </row>
    <row r="178" spans="1:12" ht="15.6">
      <c r="A178" s="24" t="str">
        <v>Q130</v>
      </c>
      <c r="B178" s="25" t="str">
        <v>NY</v>
      </c>
      <c r="C178" s="25" t="str">
        <f>Sites[[#This Row],[SOL'#]]</f>
        <v>SOL-10877</v>
      </c>
      <c r="D178" s="86"/>
      <c r="E178" s="87"/>
      <c r="F178" s="10" t="str">
        <f t="shared" si="16"/>
        <v/>
      </c>
      <c r="G178" s="11" t="str">
        <f t="shared" si="17"/>
        <v/>
      </c>
      <c r="H178" s="75"/>
      <c r="I178" s="12" t="str">
        <f t="shared" si="18"/>
        <v/>
      </c>
      <c r="J178" s="13" t="str">
        <f t="shared" si="19"/>
        <v/>
      </c>
      <c r="K178" s="59"/>
      <c r="L178" s="59"/>
    </row>
    <row r="179" spans="1:12" ht="15.6">
      <c r="A179" s="26" t="str">
        <v>Q196</v>
      </c>
      <c r="B179" s="27" t="str">
        <v>NY</v>
      </c>
      <c r="C179" s="25" t="str">
        <f>Sites[[#This Row],[SOL'#]]</f>
        <v>SOL-10879</v>
      </c>
      <c r="D179" s="80"/>
      <c r="E179" s="88"/>
      <c r="F179" s="14" t="str">
        <f t="shared" si="16"/>
        <v/>
      </c>
      <c r="G179" s="15" t="str">
        <f t="shared" si="17"/>
        <v/>
      </c>
      <c r="H179" s="77"/>
      <c r="I179" s="16" t="str">
        <f t="shared" si="18"/>
        <v/>
      </c>
      <c r="J179" s="15" t="str">
        <f t="shared" si="19"/>
        <v/>
      </c>
      <c r="K179" s="57"/>
      <c r="L179" s="57"/>
    </row>
    <row r="180" spans="1:12" ht="15.6">
      <c r="A180" s="24" t="str">
        <v>Q220</v>
      </c>
      <c r="B180" s="25" t="str">
        <v>NY</v>
      </c>
      <c r="C180" s="25" t="str">
        <f>Sites[[#This Row],[SOL'#]]</f>
        <v>SOL-10873</v>
      </c>
      <c r="D180" s="86"/>
      <c r="E180" s="87"/>
      <c r="F180" s="10" t="str">
        <f t="shared" si="16"/>
        <v/>
      </c>
      <c r="G180" s="11" t="str">
        <f t="shared" si="17"/>
        <v/>
      </c>
      <c r="H180" s="75"/>
      <c r="I180" s="12" t="str">
        <f t="shared" si="18"/>
        <v/>
      </c>
      <c r="J180" s="13" t="str">
        <f t="shared" si="19"/>
        <v/>
      </c>
      <c r="K180" s="59"/>
      <c r="L180" s="59"/>
    </row>
    <row r="181" spans="1:12" ht="15.6">
      <c r="A181" s="26" t="str">
        <v>Q205</v>
      </c>
      <c r="B181" s="27" t="str">
        <v>NY</v>
      </c>
      <c r="C181" s="25" t="str">
        <f>Sites[[#This Row],[SOL'#]]</f>
        <v>SOL-10922</v>
      </c>
      <c r="D181" s="80"/>
      <c r="E181" s="88"/>
      <c r="F181" s="14" t="str">
        <f t="shared" si="16"/>
        <v/>
      </c>
      <c r="G181" s="15" t="str">
        <f t="shared" si="17"/>
        <v/>
      </c>
      <c r="H181" s="77"/>
      <c r="I181" s="16" t="str">
        <f t="shared" si="18"/>
        <v/>
      </c>
      <c r="J181" s="15" t="str">
        <f t="shared" si="19"/>
        <v/>
      </c>
      <c r="K181" s="57"/>
      <c r="L181" s="57"/>
    </row>
    <row r="182" spans="1:12" ht="15.6">
      <c r="A182" s="24" t="str">
        <v>Q400</v>
      </c>
      <c r="B182" s="25" t="str">
        <v>NY</v>
      </c>
      <c r="C182" s="25" t="str">
        <f>Sites[[#This Row],[SOL'#]]</f>
        <v>SOL-10871</v>
      </c>
      <c r="D182" s="86"/>
      <c r="E182" s="87"/>
      <c r="F182" s="10" t="str">
        <f t="shared" si="16"/>
        <v/>
      </c>
      <c r="G182" s="11" t="str">
        <f t="shared" si="17"/>
        <v/>
      </c>
      <c r="H182" s="75"/>
      <c r="I182" s="12" t="str">
        <f t="shared" si="18"/>
        <v/>
      </c>
      <c r="J182" s="13" t="str">
        <f t="shared" si="19"/>
        <v/>
      </c>
      <c r="K182" s="59"/>
      <c r="L182" s="59"/>
    </row>
    <row r="183" spans="1:12" ht="15.6">
      <c r="A183" s="26" t="str">
        <v>R003</v>
      </c>
      <c r="B183" s="27" t="str">
        <v>NY</v>
      </c>
      <c r="C183" s="25" t="str">
        <f>Sites[[#This Row],[SOL'#]]</f>
        <v>SOL-10416</v>
      </c>
      <c r="D183" s="80"/>
      <c r="E183" s="88"/>
      <c r="F183" s="14" t="str">
        <f t="shared" si="16"/>
        <v/>
      </c>
      <c r="G183" s="15" t="str">
        <f t="shared" si="17"/>
        <v/>
      </c>
      <c r="H183" s="77"/>
      <c r="I183" s="16" t="str">
        <f t="shared" si="18"/>
        <v/>
      </c>
      <c r="J183" s="15" t="str">
        <f t="shared" si="19"/>
        <v/>
      </c>
      <c r="K183" s="57"/>
      <c r="L183" s="57"/>
    </row>
    <row r="184" spans="1:12" ht="15.6">
      <c r="A184" s="24" t="str">
        <v>R007</v>
      </c>
      <c r="B184" s="25" t="str">
        <v>NY</v>
      </c>
      <c r="C184" s="25" t="str">
        <f>Sites[[#This Row],[SOL'#]]</f>
        <v>SOL-10417</v>
      </c>
      <c r="D184" s="86"/>
      <c r="E184" s="87"/>
      <c r="F184" s="10" t="str">
        <f t="shared" si="16"/>
        <v/>
      </c>
      <c r="G184" s="11" t="str">
        <f t="shared" si="17"/>
        <v/>
      </c>
      <c r="H184" s="75"/>
      <c r="I184" s="12" t="str">
        <f t="shared" si="18"/>
        <v/>
      </c>
      <c r="J184" s="13" t="str">
        <f t="shared" si="19"/>
        <v/>
      </c>
      <c r="K184" s="59"/>
      <c r="L184" s="59"/>
    </row>
    <row r="185" spans="1:12" ht="15.6">
      <c r="A185" s="26" t="str">
        <v>BK16</v>
      </c>
      <c r="B185" s="27" t="str">
        <v>NY</v>
      </c>
      <c r="C185" s="25" t="str">
        <f>Sites[[#This Row],[SOL'#]]</f>
        <v>SOL-11093</v>
      </c>
      <c r="D185" s="80"/>
      <c r="E185" s="88"/>
      <c r="F185" s="14" t="str">
        <f t="shared" si="16"/>
        <v/>
      </c>
      <c r="G185" s="15" t="str">
        <f t="shared" si="17"/>
        <v/>
      </c>
      <c r="H185" s="77"/>
      <c r="I185" s="16" t="str">
        <f t="shared" si="18"/>
        <v/>
      </c>
      <c r="J185" s="15" t="str">
        <f t="shared" si="19"/>
        <v/>
      </c>
      <c r="K185" s="57"/>
      <c r="L185" s="5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24" priority="15" stopIfTrue="1" operator="lessThanOrEqual">
      <formula>-0.1</formula>
    </cfRule>
    <cfRule type="expression" dxfId="23" priority="16">
      <formula>AND(ISNUMBER(G2), G2&gt;=0.1)</formula>
    </cfRule>
  </conditionalFormatting>
  <conditionalFormatting sqref="G4:G17 G19:G185">
    <cfRule type="cellIs" dxfId="22" priority="3" stopIfTrue="1" operator="lessThanOrEqual">
      <formula>-0.1</formula>
    </cfRule>
    <cfRule type="expression" dxfId="21" priority="4">
      <formula>AND(ISNUMBER(G4), G4&gt;=0.1)</formula>
    </cfRule>
  </conditionalFormatting>
  <conditionalFormatting sqref="J4:J185">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200"/>
  <sheetViews>
    <sheetView zoomScale="70" zoomScaleNormal="70" workbookViewId="0">
      <pane xSplit="2" ySplit="3" topLeftCell="C56" activePane="bottomRight" state="frozen"/>
      <selection pane="bottomRight" activeCell="N116" sqref="N11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65" t="str" cm="1">
        <f t="array" ref="A1">portfolio</f>
        <v>Generate Capital</v>
      </c>
      <c r="B1" s="165"/>
      <c r="C1" s="165"/>
      <c r="D1" s="165"/>
      <c r="E1" s="166" t="s">
        <v>1988</v>
      </c>
      <c r="F1" s="166"/>
      <c r="G1" s="166"/>
      <c r="H1" s="164" t="s">
        <v>1989</v>
      </c>
      <c r="I1" s="164"/>
      <c r="J1" s="164"/>
      <c r="K1" s="4"/>
      <c r="L1" s="4"/>
    </row>
    <row r="2" spans="1:12" ht="19.5" customHeight="1">
      <c r="A2" s="167" t="s">
        <v>2</v>
      </c>
      <c r="B2" s="167"/>
      <c r="C2" s="65"/>
      <c r="D2" s="5">
        <f>SUM(D4:D200)</f>
        <v>0</v>
      </c>
      <c r="E2" s="5">
        <f>SUM(E4:E100)</f>
        <v>0</v>
      </c>
      <c r="F2" s="5">
        <f>D2-E2</f>
        <v>0</v>
      </c>
      <c r="G2" s="6">
        <f>IFERROR(F2/E2, 0)</f>
        <v>0</v>
      </c>
      <c r="H2" s="5">
        <f>SUM(H4:H200)</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ref="G18:G49" si="4">IFERROR(F18/E18, "")</f>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4"/>
        <v/>
      </c>
      <c r="H19" s="16"/>
      <c r="I19" s="16" t="str">
        <f t="shared" si="1"/>
        <v/>
      </c>
      <c r="J19" s="15" t="str">
        <f t="shared" si="2"/>
        <v/>
      </c>
      <c r="K19" s="38"/>
      <c r="L19" s="39"/>
    </row>
    <row r="20" spans="1:12" ht="15.6">
      <c r="A20" s="24" t="str">
        <v>Spectro Coatings</v>
      </c>
      <c r="B20" s="25" t="str">
        <v>MA</v>
      </c>
      <c r="C20" s="25" t="str">
        <f>Sites[[#This Row],[SOL'#]]</f>
        <v>SOL-10074</v>
      </c>
      <c r="D20" s="20"/>
      <c r="E20" s="10"/>
      <c r="F20" s="10" t="str">
        <f t="shared" si="0"/>
        <v/>
      </c>
      <c r="G20" s="11" t="str">
        <f t="shared" si="4"/>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4"/>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4"/>
        <v/>
      </c>
      <c r="H22" s="12"/>
      <c r="I22" s="12" t="str">
        <f t="shared" si="1"/>
        <v/>
      </c>
      <c r="J22" s="13" t="str">
        <f t="shared" si="2"/>
        <v/>
      </c>
      <c r="K22" s="37"/>
      <c r="L22" s="37"/>
    </row>
    <row r="23" spans="1:12" ht="15.6">
      <c r="A23" s="26" t="str">
        <v>K043</v>
      </c>
      <c r="B23" s="27" t="str">
        <v>NY</v>
      </c>
      <c r="C23" s="27" t="str">
        <f>Sites[[#This Row],[SOL'#]]</f>
        <v>SOL-10358</v>
      </c>
      <c r="D23" s="9"/>
      <c r="E23" s="14"/>
      <c r="F23" s="14" t="str">
        <f t="shared" si="0"/>
        <v/>
      </c>
      <c r="G23" s="15" t="str">
        <f t="shared" si="4"/>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4"/>
        <v/>
      </c>
      <c r="H24" s="12"/>
      <c r="I24" s="12" t="str">
        <f t="shared" si="1"/>
        <v/>
      </c>
      <c r="J24" s="13" t="str">
        <f t="shared" si="2"/>
        <v/>
      </c>
      <c r="K24" s="37"/>
      <c r="L24" s="37"/>
    </row>
    <row r="25" spans="1:12" ht="35.25" customHeight="1">
      <c r="A25" s="26" t="str">
        <v>K115</v>
      </c>
      <c r="B25" s="27" t="str">
        <v>NY</v>
      </c>
      <c r="C25" s="27" t="str">
        <f>Sites[[#This Row],[SOL'#]]</f>
        <v>SOL-10361</v>
      </c>
      <c r="D25" s="9"/>
      <c r="E25" s="14"/>
      <c r="F25" s="14" t="str">
        <f t="shared" si="0"/>
        <v/>
      </c>
      <c r="G25" s="15" t="str">
        <f t="shared" si="4"/>
        <v/>
      </c>
      <c r="H25" s="16"/>
      <c r="I25" s="16" t="str">
        <f t="shared" si="1"/>
        <v/>
      </c>
      <c r="J25" s="15" t="str">
        <f t="shared" si="2"/>
        <v/>
      </c>
      <c r="K25" s="38"/>
      <c r="L25" s="57"/>
    </row>
    <row r="26" spans="1:12" ht="15.6">
      <c r="A26" s="24" t="str">
        <v>K152</v>
      </c>
      <c r="B26" s="25" t="str">
        <v>NY</v>
      </c>
      <c r="C26" s="25" t="str">
        <f>Sites[[#This Row],[SOL'#]]</f>
        <v>SOL-10362</v>
      </c>
      <c r="D26" s="20"/>
      <c r="E26" s="10"/>
      <c r="F26" s="10" t="str">
        <f t="shared" si="0"/>
        <v/>
      </c>
      <c r="G26" s="11" t="str">
        <f t="shared" si="4"/>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4"/>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4"/>
        <v/>
      </c>
      <c r="H28" s="12"/>
      <c r="I28" s="12" t="str">
        <f t="shared" si="1"/>
        <v/>
      </c>
      <c r="J28" s="13" t="str">
        <f t="shared" si="2"/>
        <v/>
      </c>
      <c r="K28" s="37"/>
      <c r="L28" s="37"/>
    </row>
    <row r="29" spans="1:12" ht="15.6">
      <c r="A29" s="26" t="str">
        <v>K251</v>
      </c>
      <c r="B29" s="27" t="str">
        <v>NY</v>
      </c>
      <c r="C29" s="27" t="str">
        <f>Sites[[#This Row],[SOL'#]]</f>
        <v>SOL-10365</v>
      </c>
      <c r="D29" s="9"/>
      <c r="E29" s="14"/>
      <c r="F29" s="14" t="str">
        <f t="shared" si="0"/>
        <v/>
      </c>
      <c r="G29" s="15" t="str">
        <f t="shared" si="4"/>
        <v/>
      </c>
      <c r="H29" s="16"/>
      <c r="I29" s="16" t="str">
        <f t="shared" si="1"/>
        <v/>
      </c>
      <c r="J29" s="15" t="str">
        <f t="shared" si="2"/>
        <v/>
      </c>
      <c r="K29" s="38"/>
      <c r="L29" s="38"/>
    </row>
    <row r="30" spans="1:12" ht="15.6">
      <c r="A30" s="24" t="str">
        <v>K269</v>
      </c>
      <c r="B30" s="25" t="str">
        <v>NY</v>
      </c>
      <c r="C30" s="25" t="str">
        <f>Sites[[#This Row],[SOL'#]]</f>
        <v>SOL-10366</v>
      </c>
      <c r="D30" s="20"/>
      <c r="E30" s="10"/>
      <c r="F30" s="10" t="str">
        <f t="shared" si="0"/>
        <v/>
      </c>
      <c r="G30" s="11" t="str">
        <f t="shared" si="4"/>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4"/>
        <v/>
      </c>
      <c r="H31" s="16"/>
      <c r="I31" s="16" t="str">
        <f t="shared" si="1"/>
        <v/>
      </c>
      <c r="J31" s="15" t="str">
        <f t="shared" si="2"/>
        <v/>
      </c>
      <c r="K31" s="38"/>
      <c r="L31" s="39"/>
    </row>
    <row r="32" spans="1:12" ht="15.6">
      <c r="A32" s="24" t="str">
        <v>K287</v>
      </c>
      <c r="B32" s="25" t="str">
        <v>NY</v>
      </c>
      <c r="C32" s="25" t="str">
        <f>Sites[[#This Row],[SOL'#]]</f>
        <v>SOL-10919</v>
      </c>
      <c r="D32" s="20"/>
      <c r="E32" s="10"/>
      <c r="F32" s="10" t="str">
        <f t="shared" si="0"/>
        <v/>
      </c>
      <c r="G32" s="11" t="str">
        <f t="shared" si="4"/>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4"/>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4"/>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4"/>
        <v/>
      </c>
      <c r="H35" s="16"/>
      <c r="I35" s="16" t="str">
        <f t="shared" si="1"/>
        <v/>
      </c>
      <c r="J35" s="15" t="str">
        <f t="shared" si="2"/>
        <v/>
      </c>
      <c r="K35" s="38"/>
      <c r="L35" s="39"/>
    </row>
    <row r="36" spans="1:12" ht="15.6">
      <c r="A36" s="24" t="str">
        <v>K445</v>
      </c>
      <c r="B36" s="25" t="str">
        <v>NY</v>
      </c>
      <c r="C36" s="25" t="str">
        <f>Sites[[#This Row],[SOL'#]]</f>
        <v>SOL-10373</v>
      </c>
      <c r="D36" s="60"/>
      <c r="E36" s="10"/>
      <c r="F36" s="10" t="str">
        <f t="shared" si="0"/>
        <v/>
      </c>
      <c r="G36" s="61" t="str">
        <f t="shared" si="4"/>
        <v/>
      </c>
      <c r="H36" s="75"/>
      <c r="I36" s="75" t="str">
        <f t="shared" si="1"/>
        <v/>
      </c>
      <c r="J36" s="72" t="str">
        <f t="shared" si="2"/>
        <v/>
      </c>
      <c r="K36" s="63"/>
      <c r="L36" s="63"/>
    </row>
    <row r="37" spans="1:12" ht="178.5" customHeight="1">
      <c r="A37" s="26" t="str">
        <v>K495</v>
      </c>
      <c r="B37" s="27" t="str">
        <v>NY</v>
      </c>
      <c r="C37" s="27" t="str">
        <f>Sites[[#This Row],[SOL'#]]</f>
        <v>SOL-10374</v>
      </c>
      <c r="D37" s="9"/>
      <c r="E37" s="14"/>
      <c r="F37" s="14" t="str">
        <f t="shared" si="0"/>
        <v/>
      </c>
      <c r="G37" s="15" t="str">
        <f t="shared" si="4"/>
        <v/>
      </c>
      <c r="H37" s="16"/>
      <c r="I37" s="16" t="str">
        <f t="shared" si="1"/>
        <v/>
      </c>
      <c r="J37" s="15" t="str">
        <f t="shared" si="2"/>
        <v/>
      </c>
      <c r="K37" s="38"/>
      <c r="L37" s="56"/>
    </row>
    <row r="38" spans="1:12" ht="15.6">
      <c r="A38" s="24" t="str">
        <v>M020</v>
      </c>
      <c r="B38" s="25" t="str">
        <v>NY</v>
      </c>
      <c r="C38" s="25" t="str">
        <f>Sites[[#This Row],[SOL'#]]</f>
        <v>SOL-10380</v>
      </c>
      <c r="D38" s="60"/>
      <c r="E38" s="10"/>
      <c r="F38" s="10" t="str">
        <f t="shared" si="0"/>
        <v/>
      </c>
      <c r="G38" s="61" t="str">
        <f t="shared" si="4"/>
        <v/>
      </c>
      <c r="H38" s="75"/>
      <c r="I38" s="75" t="str">
        <f t="shared" si="1"/>
        <v/>
      </c>
      <c r="J38" s="72" t="str">
        <f t="shared" si="2"/>
        <v/>
      </c>
      <c r="K38" s="63"/>
      <c r="L38" s="63"/>
    </row>
    <row r="39" spans="1:12" ht="15.6">
      <c r="A39" s="26" t="str">
        <v>M092</v>
      </c>
      <c r="B39" s="27" t="str">
        <v>NY</v>
      </c>
      <c r="C39" s="27" t="str">
        <f>Sites[[#This Row],[SOL'#]]</f>
        <v>SOL-10383</v>
      </c>
      <c r="D39" s="9"/>
      <c r="E39" s="14"/>
      <c r="F39" s="14" t="str">
        <f t="shared" si="0"/>
        <v/>
      </c>
      <c r="G39" s="15" t="str">
        <f t="shared" si="4"/>
        <v/>
      </c>
      <c r="H39" s="16"/>
      <c r="I39" s="16" t="str">
        <f t="shared" si="1"/>
        <v/>
      </c>
      <c r="J39" s="15" t="str">
        <f t="shared" si="2"/>
        <v/>
      </c>
      <c r="K39" s="38"/>
      <c r="L39" s="39"/>
    </row>
    <row r="40" spans="1:12" ht="15.6">
      <c r="A40" s="24" t="str">
        <v>M143</v>
      </c>
      <c r="B40" s="25" t="str">
        <v>NY</v>
      </c>
      <c r="C40" s="25" t="str">
        <f>Sites[[#This Row],[SOL'#]]</f>
        <v>SOL-10384</v>
      </c>
      <c r="D40" s="60"/>
      <c r="E40" s="10"/>
      <c r="F40" s="10" t="str">
        <f t="shared" si="0"/>
        <v/>
      </c>
      <c r="G40" s="61" t="str">
        <f t="shared" si="4"/>
        <v/>
      </c>
      <c r="H40" s="75"/>
      <c r="I40" s="75" t="str">
        <f t="shared" si="1"/>
        <v/>
      </c>
      <c r="J40" s="72" t="str">
        <f t="shared" si="2"/>
        <v/>
      </c>
      <c r="K40" s="63"/>
      <c r="L40" s="63"/>
    </row>
    <row r="41" spans="1:12" ht="15.6">
      <c r="A41" s="26" t="str">
        <v>M144</v>
      </c>
      <c r="B41" s="27" t="str">
        <v>NY</v>
      </c>
      <c r="C41" s="27" t="str">
        <f>Sites[[#This Row],[SOL'#]]</f>
        <v>SOL-10385</v>
      </c>
      <c r="D41" s="9"/>
      <c r="E41" s="14"/>
      <c r="F41" s="14" t="str">
        <f t="shared" si="0"/>
        <v/>
      </c>
      <c r="G41" s="15" t="str">
        <f t="shared" si="4"/>
        <v/>
      </c>
      <c r="H41" s="16"/>
      <c r="I41" s="16" t="str">
        <f t="shared" si="1"/>
        <v/>
      </c>
      <c r="J41" s="15" t="str">
        <f t="shared" si="2"/>
        <v/>
      </c>
      <c r="K41" s="38"/>
      <c r="L41" s="38"/>
    </row>
    <row r="42" spans="1:12" ht="15.6">
      <c r="A42" s="24" t="str">
        <v>M167</v>
      </c>
      <c r="B42" s="25" t="str">
        <v>NY</v>
      </c>
      <c r="C42" s="25" t="str">
        <f>Sites[[#This Row],[SOL'#]]</f>
        <v>SOL-10386</v>
      </c>
      <c r="D42" s="60"/>
      <c r="E42" s="10"/>
      <c r="F42" s="10" t="str">
        <f t="shared" si="0"/>
        <v/>
      </c>
      <c r="G42" s="61" t="str">
        <f t="shared" si="4"/>
        <v/>
      </c>
      <c r="H42" s="75"/>
      <c r="I42" s="75" t="str">
        <f t="shared" si="1"/>
        <v/>
      </c>
      <c r="J42" s="72" t="str">
        <f t="shared" si="2"/>
        <v/>
      </c>
      <c r="K42" s="63"/>
      <c r="L42" s="63"/>
    </row>
    <row r="43" spans="1:12" ht="15.6">
      <c r="A43" s="26" t="str">
        <v>M188</v>
      </c>
      <c r="B43" s="27" t="str">
        <v>NY</v>
      </c>
      <c r="C43" s="27" t="str">
        <f>Sites[[#This Row],[SOL'#]]</f>
        <v>SOL-10387</v>
      </c>
      <c r="D43" s="9"/>
      <c r="E43" s="14"/>
      <c r="F43" s="14" t="str">
        <f t="shared" si="0"/>
        <v/>
      </c>
      <c r="G43" s="15" t="str">
        <f t="shared" si="4"/>
        <v/>
      </c>
      <c r="H43" s="16"/>
      <c r="I43" s="16" t="str">
        <f t="shared" si="1"/>
        <v/>
      </c>
      <c r="J43" s="15" t="str">
        <f t="shared" si="2"/>
        <v/>
      </c>
      <c r="K43" s="38"/>
      <c r="L43" s="39"/>
    </row>
    <row r="44" spans="1:12" ht="15.6">
      <c r="A44" s="24" t="str">
        <v>EMHC</v>
      </c>
      <c r="B44" s="25" t="str">
        <v>NY</v>
      </c>
      <c r="C44" s="25" t="str">
        <f>Sites[[#This Row],[SOL'#]]</f>
        <v>SOL-10351</v>
      </c>
      <c r="D44" s="60"/>
      <c r="E44" s="10"/>
      <c r="F44" s="10" t="str">
        <f t="shared" si="0"/>
        <v/>
      </c>
      <c r="G44" s="61" t="str">
        <f t="shared" si="4"/>
        <v/>
      </c>
      <c r="H44" s="75"/>
      <c r="I44" s="75" t="str">
        <f t="shared" si="1"/>
        <v/>
      </c>
      <c r="J44" s="72" t="str">
        <f t="shared" si="2"/>
        <v/>
      </c>
      <c r="K44" s="63"/>
      <c r="L44" s="63"/>
    </row>
    <row r="45" spans="1:12" ht="15.6">
      <c r="A45" s="26" t="str">
        <v>Q008</v>
      </c>
      <c r="B45" s="27" t="str">
        <v>NY</v>
      </c>
      <c r="C45" s="27" t="str">
        <f>Sites[[#This Row],[SOL'#]]</f>
        <v>SOL-10397</v>
      </c>
      <c r="D45" s="9"/>
      <c r="E45" s="14"/>
      <c r="F45" s="14" t="str">
        <f t="shared" si="0"/>
        <v/>
      </c>
      <c r="G45" s="15" t="str">
        <f t="shared" si="4"/>
        <v/>
      </c>
      <c r="H45" s="16"/>
      <c r="I45" s="16" t="str">
        <f t="shared" si="1"/>
        <v/>
      </c>
      <c r="J45" s="15" t="str">
        <f t="shared" si="2"/>
        <v/>
      </c>
      <c r="K45" s="38"/>
      <c r="L45" s="39"/>
    </row>
    <row r="46" spans="1:12" ht="15.6">
      <c r="A46" s="24" t="str">
        <v>Q018</v>
      </c>
      <c r="B46" s="25" t="str">
        <v>NY</v>
      </c>
      <c r="C46" s="25" t="str">
        <f>Sites[[#This Row],[SOL'#]]</f>
        <v>SOL-10398</v>
      </c>
      <c r="D46" s="60"/>
      <c r="E46" s="10"/>
      <c r="F46" s="10" t="str">
        <f t="shared" si="0"/>
        <v/>
      </c>
      <c r="G46" s="61" t="str">
        <f t="shared" si="4"/>
        <v/>
      </c>
      <c r="H46" s="75"/>
      <c r="I46" s="75" t="str">
        <f t="shared" si="1"/>
        <v/>
      </c>
      <c r="J46" s="72" t="str">
        <f t="shared" si="2"/>
        <v/>
      </c>
      <c r="K46" s="63"/>
      <c r="L46" s="63"/>
    </row>
    <row r="47" spans="1:12" ht="15.6">
      <c r="A47" s="26" t="str">
        <v>Q021</v>
      </c>
      <c r="B47" s="27" t="str">
        <v>NY</v>
      </c>
      <c r="C47" s="27" t="str">
        <f>Sites[[#This Row],[SOL'#]]</f>
        <v>SOL-10399</v>
      </c>
      <c r="D47" s="9"/>
      <c r="E47" s="14"/>
      <c r="F47" s="14" t="str">
        <f t="shared" si="0"/>
        <v/>
      </c>
      <c r="G47" s="15" t="str">
        <f t="shared" si="4"/>
        <v/>
      </c>
      <c r="H47" s="16"/>
      <c r="I47" s="16" t="str">
        <f t="shared" si="1"/>
        <v/>
      </c>
      <c r="J47" s="15" t="str">
        <f t="shared" si="2"/>
        <v/>
      </c>
      <c r="K47" s="38"/>
      <c r="L47" s="39"/>
    </row>
    <row r="48" spans="1:12" ht="15.6">
      <c r="A48" s="24" t="str">
        <v>Q025</v>
      </c>
      <c r="B48" s="25" t="str">
        <v>NY</v>
      </c>
      <c r="C48" s="25" t="str">
        <f>Sites[[#This Row],[SOL'#]]</f>
        <v>SOL-10400</v>
      </c>
      <c r="D48" s="60"/>
      <c r="E48" s="10"/>
      <c r="F48" s="10" t="str">
        <f t="shared" si="0"/>
        <v/>
      </c>
      <c r="G48" s="61" t="str">
        <f t="shared" si="4"/>
        <v/>
      </c>
      <c r="H48" s="75"/>
      <c r="I48" s="75" t="str">
        <f t="shared" si="1"/>
        <v/>
      </c>
      <c r="J48" s="72" t="str">
        <f t="shared" si="2"/>
        <v/>
      </c>
      <c r="K48" s="63"/>
      <c r="L48" s="63"/>
    </row>
    <row r="49" spans="1:12" ht="15.6">
      <c r="A49" s="26" t="str">
        <v>Q074</v>
      </c>
      <c r="B49" s="27" t="str">
        <v>NY</v>
      </c>
      <c r="C49" s="27" t="str">
        <f>Sites[[#This Row],[SOL'#]]</f>
        <v>SOL-10402</v>
      </c>
      <c r="D49" s="9"/>
      <c r="E49" s="14"/>
      <c r="F49" s="14" t="str">
        <f t="shared" si="0"/>
        <v/>
      </c>
      <c r="G49" s="15" t="str">
        <f t="shared" si="4"/>
        <v/>
      </c>
      <c r="H49" s="16"/>
      <c r="I49" s="16" t="str">
        <f t="shared" si="1"/>
        <v/>
      </c>
      <c r="J49" s="15" t="str">
        <f t="shared" si="2"/>
        <v/>
      </c>
      <c r="K49" s="38"/>
      <c r="L49" s="39"/>
    </row>
    <row r="50" spans="1:12" ht="15.6">
      <c r="A50" s="24" t="str">
        <v>Q115</v>
      </c>
      <c r="B50" s="25" t="str">
        <v>NY</v>
      </c>
      <c r="C50" s="25" t="str">
        <f>Sites[[#This Row],[SOL'#]]</f>
        <v>SOL-10872</v>
      </c>
      <c r="D50" s="60"/>
      <c r="E50" s="10"/>
      <c r="F50" s="10" t="str">
        <f t="shared" si="0"/>
        <v/>
      </c>
      <c r="G50" s="61" t="str">
        <f t="shared" ref="G50:G81" si="5">IFERROR(F50/E50, "")</f>
        <v/>
      </c>
      <c r="H50" s="75"/>
      <c r="I50" s="75" t="str">
        <f t="shared" si="1"/>
        <v/>
      </c>
      <c r="J50" s="72" t="str">
        <f t="shared" si="2"/>
        <v/>
      </c>
      <c r="K50" s="63"/>
      <c r="L50" s="63"/>
    </row>
    <row r="51" spans="1:12" ht="15.6">
      <c r="A51" s="26" t="str">
        <v>Q139</v>
      </c>
      <c r="B51" s="27" t="str">
        <v>NY</v>
      </c>
      <c r="C51" s="27" t="str">
        <f>Sites[[#This Row],[SOL'#]]</f>
        <v>SOL-10403</v>
      </c>
      <c r="D51" s="9"/>
      <c r="E51" s="14"/>
      <c r="F51" s="14" t="str">
        <f t="shared" si="0"/>
        <v/>
      </c>
      <c r="G51" s="15" t="str">
        <f t="shared" si="5"/>
        <v/>
      </c>
      <c r="H51" s="16"/>
      <c r="I51" s="16" t="str">
        <f t="shared" si="1"/>
        <v/>
      </c>
      <c r="J51" s="15" t="str">
        <f t="shared" si="2"/>
        <v/>
      </c>
      <c r="K51" s="38"/>
      <c r="L51" s="39"/>
    </row>
    <row r="52" spans="1:12" ht="15.6">
      <c r="A52" s="24" t="str">
        <v>Q157</v>
      </c>
      <c r="B52" s="25" t="str">
        <v>NY</v>
      </c>
      <c r="C52" s="25" t="str">
        <f>Sites[[#This Row],[SOL'#]]</f>
        <v>SOL-10404</v>
      </c>
      <c r="D52" s="60"/>
      <c r="E52" s="10"/>
      <c r="F52" s="10" t="str">
        <f t="shared" si="0"/>
        <v/>
      </c>
      <c r="G52" s="61" t="str">
        <f t="shared" si="5"/>
        <v/>
      </c>
      <c r="H52" s="75"/>
      <c r="I52" s="75" t="str">
        <f t="shared" si="1"/>
        <v/>
      </c>
      <c r="J52" s="72" t="str">
        <f t="shared" si="2"/>
        <v/>
      </c>
      <c r="K52" s="63"/>
      <c r="L52" s="63"/>
    </row>
    <row r="53" spans="1:12" ht="15.6">
      <c r="A53" s="26" t="str">
        <v>Q192</v>
      </c>
      <c r="B53" s="27" t="str">
        <v>NY</v>
      </c>
      <c r="C53" s="27" t="str">
        <f>Sites[[#This Row],[SOL'#]]</f>
        <v>SOL-10406</v>
      </c>
      <c r="D53" s="9"/>
      <c r="E53" s="14"/>
      <c r="F53" s="14" t="str">
        <f t="shared" si="0"/>
        <v/>
      </c>
      <c r="G53" s="15" t="str">
        <f t="shared" si="5"/>
        <v/>
      </c>
      <c r="H53" s="16"/>
      <c r="I53" s="16" t="str">
        <f t="shared" si="1"/>
        <v/>
      </c>
      <c r="J53" s="15" t="str">
        <f t="shared" si="2"/>
        <v/>
      </c>
      <c r="K53" s="38"/>
      <c r="L53" s="38"/>
    </row>
    <row r="54" spans="1:12" ht="15.6">
      <c r="A54" s="24" t="str">
        <v>Q210</v>
      </c>
      <c r="B54" s="25" t="str">
        <v>NY</v>
      </c>
      <c r="C54" s="25" t="str">
        <f>Sites[[#This Row],[SOL'#]]</f>
        <v>SOL-10407</v>
      </c>
      <c r="D54" s="60"/>
      <c r="E54" s="10"/>
      <c r="F54" s="10" t="str">
        <f t="shared" si="0"/>
        <v/>
      </c>
      <c r="G54" s="61" t="str">
        <f t="shared" si="5"/>
        <v/>
      </c>
      <c r="H54" s="75"/>
      <c r="I54" s="75" t="str">
        <f t="shared" si="1"/>
        <v/>
      </c>
      <c r="J54" s="72" t="str">
        <f t="shared" si="2"/>
        <v/>
      </c>
      <c r="K54" s="63"/>
      <c r="L54" s="63"/>
    </row>
    <row r="55" spans="1:12" ht="15.6">
      <c r="A55" s="26" t="str">
        <v>Q229</v>
      </c>
      <c r="B55" s="27" t="str">
        <v>NY</v>
      </c>
      <c r="C55" s="27" t="str">
        <f>Sites[[#This Row],[SOL'#]]</f>
        <v>SOL-10408</v>
      </c>
      <c r="D55" s="9"/>
      <c r="E55" s="14"/>
      <c r="F55" s="14" t="str">
        <f t="shared" si="0"/>
        <v/>
      </c>
      <c r="G55" s="15" t="str">
        <f t="shared" si="5"/>
        <v/>
      </c>
      <c r="H55" s="16"/>
      <c r="I55" s="16" t="str">
        <f t="shared" si="1"/>
        <v/>
      </c>
      <c r="J55" s="15" t="str">
        <f t="shared" si="2"/>
        <v/>
      </c>
      <c r="K55" s="38"/>
      <c r="L55" s="94"/>
    </row>
    <row r="56" spans="1:12" ht="15.6">
      <c r="A56" s="24" t="str">
        <v>Q231</v>
      </c>
      <c r="B56" s="25" t="str">
        <v>NY</v>
      </c>
      <c r="C56" s="25" t="str">
        <f>Sites[[#This Row],[SOL'#]]</f>
        <v>SOL-10870</v>
      </c>
      <c r="D56" s="60"/>
      <c r="E56" s="10"/>
      <c r="F56" s="10" t="str">
        <f t="shared" si="0"/>
        <v/>
      </c>
      <c r="G56" s="61" t="str">
        <f t="shared" si="5"/>
        <v/>
      </c>
      <c r="H56" s="75"/>
      <c r="I56" s="75" t="str">
        <f t="shared" si="1"/>
        <v/>
      </c>
      <c r="J56" s="72" t="str">
        <f t="shared" si="2"/>
        <v/>
      </c>
      <c r="K56" s="63"/>
      <c r="L56" s="63"/>
    </row>
    <row r="57" spans="1:12" ht="15.6">
      <c r="A57" s="26" t="str">
        <v>Q405</v>
      </c>
      <c r="B57" s="27" t="str">
        <v>NY</v>
      </c>
      <c r="C57" s="27" t="str">
        <f>Sites[[#This Row],[SOL'#]]</f>
        <v>SOL-10409</v>
      </c>
      <c r="D57" s="9"/>
      <c r="E57" s="14"/>
      <c r="F57" s="14" t="str">
        <f t="shared" si="0"/>
        <v/>
      </c>
      <c r="G57" s="15" t="str">
        <f t="shared" si="5"/>
        <v/>
      </c>
      <c r="H57" s="16"/>
      <c r="I57" s="16" t="str">
        <f t="shared" si="1"/>
        <v/>
      </c>
      <c r="J57" s="15" t="str">
        <f t="shared" si="2"/>
        <v/>
      </c>
      <c r="K57" s="38"/>
      <c r="L57" s="39"/>
    </row>
    <row r="58" spans="1:12" ht="15.6">
      <c r="A58" s="24" t="str">
        <v>Q435</v>
      </c>
      <c r="B58" s="25" t="str">
        <v>NY</v>
      </c>
      <c r="C58" s="25" t="str">
        <f>Sites[[#This Row],[SOL'#]]</f>
        <v>SOL-10923</v>
      </c>
      <c r="D58" s="60"/>
      <c r="E58" s="10"/>
      <c r="F58" s="10" t="str">
        <f t="shared" si="0"/>
        <v/>
      </c>
      <c r="G58" s="61" t="str">
        <f t="shared" si="5"/>
        <v/>
      </c>
      <c r="H58" s="75"/>
      <c r="I58" s="75" t="str">
        <f t="shared" si="1"/>
        <v/>
      </c>
      <c r="J58" s="72" t="str">
        <f t="shared" si="2"/>
        <v/>
      </c>
      <c r="K58" s="63"/>
      <c r="L58" s="63"/>
    </row>
    <row r="59" spans="1:12" ht="15.6">
      <c r="A59" s="26" t="str">
        <v>Q485</v>
      </c>
      <c r="B59" s="27" t="str">
        <v>NY</v>
      </c>
      <c r="C59" s="27" t="str">
        <f>Sites[[#This Row],[SOL'#]]</f>
        <v>SOL-10869</v>
      </c>
      <c r="D59" s="9"/>
      <c r="E59" s="14"/>
      <c r="F59" s="14" t="str">
        <f t="shared" si="0"/>
        <v/>
      </c>
      <c r="G59" s="15" t="str">
        <f t="shared" si="5"/>
        <v/>
      </c>
      <c r="H59" s="16"/>
      <c r="I59" s="16" t="str">
        <f t="shared" si="1"/>
        <v/>
      </c>
      <c r="J59" s="15" t="str">
        <f t="shared" si="2"/>
        <v/>
      </c>
      <c r="K59" s="38"/>
      <c r="L59" s="39"/>
    </row>
    <row r="60" spans="1:12" ht="15.6">
      <c r="A60" s="24" t="str">
        <v>Q490</v>
      </c>
      <c r="B60" s="25" t="str">
        <v>NY</v>
      </c>
      <c r="C60" s="25" t="str">
        <f>Sites[[#This Row],[SOL'#]]</f>
        <v>SOL-10411</v>
      </c>
      <c r="D60" s="60"/>
      <c r="E60" s="10"/>
      <c r="F60" s="10" t="str">
        <f>IF(AND(ISNUMBER(D60),ISNUMBER(E60)), D60-E60, "")</f>
        <v/>
      </c>
      <c r="G60" s="61" t="str">
        <f t="shared" si="5"/>
        <v/>
      </c>
      <c r="H60" s="75"/>
      <c r="I60" s="75" t="str">
        <f t="shared" si="1"/>
        <v/>
      </c>
      <c r="J60" s="72" t="str">
        <f t="shared" si="2"/>
        <v/>
      </c>
      <c r="K60" s="63"/>
      <c r="L60" s="63"/>
    </row>
    <row r="61" spans="1:12" ht="15.6">
      <c r="A61" s="26" t="str">
        <v>Q620</v>
      </c>
      <c r="B61" s="27" t="str">
        <v>NY</v>
      </c>
      <c r="C61" s="27" t="str">
        <f>Sites[[#This Row],[SOL'#]]</f>
        <v>SOL-10867</v>
      </c>
      <c r="D61" s="9"/>
      <c r="E61" s="14"/>
      <c r="F61" s="14" t="str">
        <f t="shared" si="0"/>
        <v/>
      </c>
      <c r="G61" s="15" t="str">
        <f t="shared" si="5"/>
        <v/>
      </c>
      <c r="H61" s="16"/>
      <c r="I61" s="16" t="str">
        <f t="shared" si="1"/>
        <v/>
      </c>
      <c r="J61" s="15" t="str">
        <f t="shared" si="2"/>
        <v/>
      </c>
      <c r="K61" s="38"/>
      <c r="L61" s="39"/>
    </row>
    <row r="62" spans="1:12" ht="15.6">
      <c r="A62" s="24" t="str">
        <v>QMOA</v>
      </c>
      <c r="B62" s="25" t="str">
        <v>NY</v>
      </c>
      <c r="C62" s="25" t="str">
        <f>Sites[[#This Row],[SOL'#]]</f>
        <v>SOL-10415</v>
      </c>
      <c r="D62" s="60"/>
      <c r="E62" s="10"/>
      <c r="F62" s="10" t="str">
        <f t="shared" si="0"/>
        <v/>
      </c>
      <c r="G62" s="61" t="str">
        <f t="shared" si="5"/>
        <v/>
      </c>
      <c r="H62" s="75"/>
      <c r="I62" s="75" t="str">
        <f t="shared" si="1"/>
        <v/>
      </c>
      <c r="J62" s="72" t="str">
        <f t="shared" si="2"/>
        <v/>
      </c>
      <c r="K62" s="63"/>
      <c r="L62" s="63"/>
    </row>
    <row r="63" spans="1:12" ht="15.6">
      <c r="A63" s="26" t="str">
        <v>X024</v>
      </c>
      <c r="B63" s="27" t="str">
        <v>NY</v>
      </c>
      <c r="C63" s="27" t="str">
        <f>Sites[[#This Row],[SOL'#]]</f>
        <v>SOL-10419</v>
      </c>
      <c r="D63" s="74"/>
      <c r="E63" s="14"/>
      <c r="F63" s="14" t="str">
        <f t="shared" si="0"/>
        <v/>
      </c>
      <c r="G63" s="76" t="str">
        <f t="shared" si="5"/>
        <v/>
      </c>
      <c r="H63" s="77"/>
      <c r="I63" s="77" t="str">
        <f t="shared" si="1"/>
        <v/>
      </c>
      <c r="J63" s="76" t="str">
        <f t="shared" si="2"/>
        <v/>
      </c>
      <c r="K63" s="38"/>
      <c r="L63" s="39"/>
    </row>
    <row r="64" spans="1:12" ht="15.6">
      <c r="A64" s="24" t="str">
        <v>X026</v>
      </c>
      <c r="B64" s="25" t="str">
        <v>NY</v>
      </c>
      <c r="C64" s="25" t="str">
        <f>Sites[[#This Row],[SOL'#]]</f>
        <v>SOL-10420</v>
      </c>
      <c r="D64" s="60"/>
      <c r="E64" s="10"/>
      <c r="F64" s="10" t="str">
        <f t="shared" si="0"/>
        <v/>
      </c>
      <c r="G64" s="61" t="str">
        <f t="shared" si="5"/>
        <v/>
      </c>
      <c r="H64" s="75"/>
      <c r="I64" s="75" t="str">
        <f t="shared" si="1"/>
        <v/>
      </c>
      <c r="J64" s="72" t="str">
        <f t="shared" si="2"/>
        <v/>
      </c>
      <c r="K64" s="63"/>
      <c r="L64" s="63"/>
    </row>
    <row r="65" spans="1:12" ht="15.6">
      <c r="A65" s="26" t="str">
        <v>X090</v>
      </c>
      <c r="B65" s="27" t="str">
        <v>NY</v>
      </c>
      <c r="C65" s="27" t="str">
        <f>Sites[[#This Row],[SOL'#]]</f>
        <v>SOL-10925</v>
      </c>
      <c r="D65" s="9"/>
      <c r="E65" s="14"/>
      <c r="F65" s="14" t="str">
        <f t="shared" si="0"/>
        <v/>
      </c>
      <c r="G65" s="15" t="str">
        <f t="shared" si="5"/>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61" t="str">
        <f t="shared" si="5"/>
        <v/>
      </c>
      <c r="H66" s="12"/>
      <c r="I66" s="75" t="str">
        <f t="shared" si="1"/>
        <v/>
      </c>
      <c r="J66" s="72" t="str">
        <f t="shared" si="2"/>
        <v/>
      </c>
      <c r="K66" s="37"/>
      <c r="L66" s="37"/>
    </row>
    <row r="67" spans="1:12" ht="15.6">
      <c r="A67" s="26" t="str">
        <v>X125</v>
      </c>
      <c r="B67" s="27" t="str">
        <v>NY</v>
      </c>
      <c r="C67" s="27" t="str">
        <f>Sites[[#This Row],[SOL'#]]</f>
        <v>SOL-10423</v>
      </c>
      <c r="D67" s="9"/>
      <c r="E67" s="14"/>
      <c r="F67" s="14" t="str">
        <f t="shared" si="0"/>
        <v/>
      </c>
      <c r="G67" s="15" t="str">
        <f t="shared" si="5"/>
        <v/>
      </c>
      <c r="H67" s="16"/>
      <c r="I67" s="16" t="str">
        <f t="shared" si="1"/>
        <v/>
      </c>
      <c r="J67" s="15" t="str">
        <f t="shared" si="2"/>
        <v/>
      </c>
      <c r="K67" s="38"/>
      <c r="L67" s="39"/>
    </row>
    <row r="68" spans="1:12" ht="15.6">
      <c r="A68" s="24" t="str">
        <v>X134</v>
      </c>
      <c r="B68" s="25" t="str">
        <v>NY</v>
      </c>
      <c r="C68" s="25" t="str">
        <f>Sites[[#This Row],[SOL'#]]</f>
        <v>SOL-10424</v>
      </c>
      <c r="D68" s="20"/>
      <c r="E68" s="10"/>
      <c r="F68" s="10" t="str">
        <f t="shared" si="0"/>
        <v/>
      </c>
      <c r="G68" s="61" t="str">
        <f t="shared" si="5"/>
        <v/>
      </c>
      <c r="H68" s="12"/>
      <c r="I68" s="75" t="str">
        <f t="shared" si="1"/>
        <v/>
      </c>
      <c r="J68" s="72" t="str">
        <f t="shared" si="2"/>
        <v/>
      </c>
      <c r="K68" s="37"/>
      <c r="L68" s="37"/>
    </row>
    <row r="69" spans="1:12" ht="15.6">
      <c r="A69" s="26" t="str">
        <v>X135</v>
      </c>
      <c r="B69" s="27" t="str">
        <v>NY</v>
      </c>
      <c r="C69" s="27" t="str">
        <f>Sites[[#This Row],[SOL'#]]</f>
        <v>SOL-10425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X139 JHS 222</v>
      </c>
      <c r="B70" s="25" t="str">
        <v>NY</v>
      </c>
      <c r="C70" s="25" t="str">
        <f>Sites[[#This Row],[SOL'#]]</f>
        <v>SOL-10426</v>
      </c>
      <c r="D70" s="20"/>
      <c r="E70" s="10"/>
      <c r="F70" s="10" t="str">
        <f t="shared" si="6"/>
        <v/>
      </c>
      <c r="G70" s="61" t="str">
        <f t="shared" si="5"/>
        <v/>
      </c>
      <c r="H70" s="12"/>
      <c r="I70" s="75" t="str">
        <f t="shared" si="7"/>
        <v/>
      </c>
      <c r="J70" s="72" t="str">
        <f t="shared" si="8"/>
        <v/>
      </c>
      <c r="K70" s="37"/>
      <c r="L70" s="37"/>
    </row>
    <row r="71" spans="1:12" ht="15.6">
      <c r="A71" s="26" t="str">
        <v>X140</v>
      </c>
      <c r="B71" s="27" t="str">
        <v>NY</v>
      </c>
      <c r="C71" s="27" t="str">
        <f>Sites[[#This Row],[SOL'#]]</f>
        <v>SOL-10926</v>
      </c>
      <c r="D71" s="9"/>
      <c r="E71" s="14"/>
      <c r="F71" s="14" t="str">
        <f t="shared" si="6"/>
        <v/>
      </c>
      <c r="G71" s="15" t="str">
        <f t="shared" si="5"/>
        <v/>
      </c>
      <c r="H71" s="16"/>
      <c r="I71" s="16" t="str">
        <f t="shared" si="7"/>
        <v/>
      </c>
      <c r="J71" s="15" t="str">
        <f t="shared" si="8"/>
        <v/>
      </c>
      <c r="K71" s="38"/>
      <c r="L71" s="39"/>
    </row>
    <row r="72" spans="1:12" ht="15.6">
      <c r="A72" s="24" t="str">
        <v>X166</v>
      </c>
      <c r="B72" s="25" t="str">
        <v>NY</v>
      </c>
      <c r="C72" s="25" t="str">
        <f>Sites[[#This Row],[SOL'#]]</f>
        <v>SOL-10427</v>
      </c>
      <c r="D72" s="20"/>
      <c r="E72" s="10"/>
      <c r="F72" s="10" t="str">
        <f t="shared" si="6"/>
        <v/>
      </c>
      <c r="G72" s="61" t="str">
        <f t="shared" si="5"/>
        <v/>
      </c>
      <c r="H72" s="12"/>
      <c r="I72" s="75" t="str">
        <f t="shared" si="7"/>
        <v/>
      </c>
      <c r="J72" s="72" t="str">
        <f t="shared" si="8"/>
        <v/>
      </c>
      <c r="K72" s="37"/>
      <c r="L72" s="37"/>
    </row>
    <row r="73" spans="1:12" ht="15.6">
      <c r="A73" s="26" t="str">
        <v>Murphy</v>
      </c>
      <c r="B73" s="27" t="str">
        <v>MN</v>
      </c>
      <c r="C73" s="27" t="str">
        <f>Sites[[#This Row],[SOL'#]]</f>
        <v>SOL-10094</v>
      </c>
      <c r="D73" s="9"/>
      <c r="E73" s="14"/>
      <c r="F73" s="14" t="str">
        <f t="shared" si="6"/>
        <v/>
      </c>
      <c r="G73" s="15" t="str">
        <f t="shared" si="5"/>
        <v/>
      </c>
      <c r="H73" s="16"/>
      <c r="I73" s="16" t="str">
        <f t="shared" si="7"/>
        <v/>
      </c>
      <c r="J73" s="15" t="str">
        <f t="shared" si="8"/>
        <v/>
      </c>
      <c r="K73" s="38"/>
      <c r="L73" s="38"/>
    </row>
    <row r="74" spans="1:12" ht="15.6">
      <c r="A74" s="24" t="str">
        <v>Terning</v>
      </c>
      <c r="B74" s="25" t="str">
        <v>MN</v>
      </c>
      <c r="C74" s="25" t="str">
        <f>Sites[[#This Row],[SOL'#]]</f>
        <v>SOL-10093</v>
      </c>
      <c r="D74" s="20"/>
      <c r="E74" s="10"/>
      <c r="F74" s="10" t="str">
        <f t="shared" si="6"/>
        <v/>
      </c>
      <c r="G74" s="61" t="str">
        <f t="shared" si="5"/>
        <v/>
      </c>
      <c r="H74" s="12"/>
      <c r="I74" s="75" t="str">
        <f t="shared" si="7"/>
        <v/>
      </c>
      <c r="J74" s="72" t="str">
        <f t="shared" si="8"/>
        <v/>
      </c>
      <c r="K74" s="37"/>
      <c r="L74" s="37"/>
    </row>
    <row r="75" spans="1:12" ht="15.6">
      <c r="A75" s="26" t="str">
        <v>Boas Road 04</v>
      </c>
      <c r="B75" s="27" t="str">
        <v>NY</v>
      </c>
      <c r="C75" s="27" t="str">
        <f>Sites[[#This Row],[SOL'#]]</f>
        <v>SOL-10908</v>
      </c>
      <c r="D75" s="9"/>
      <c r="E75" s="14"/>
      <c r="F75" s="14" t="str">
        <f t="shared" si="6"/>
        <v/>
      </c>
      <c r="G75" s="15" t="str">
        <f t="shared" si="5"/>
        <v/>
      </c>
      <c r="H75" s="16"/>
      <c r="I75" s="16" t="str">
        <f t="shared" si="7"/>
        <v/>
      </c>
      <c r="J75" s="15" t="str">
        <f t="shared" si="8"/>
        <v/>
      </c>
      <c r="K75" s="38"/>
      <c r="L75" s="39"/>
    </row>
    <row r="76" spans="1:12" ht="15.6">
      <c r="A76" s="24" t="str">
        <v>Kelly Bridge Farm</v>
      </c>
      <c r="B76" s="25" t="str">
        <v>NY</v>
      </c>
      <c r="C76" s="25" t="str">
        <f>Sites[[#This Row],[SOL'#]]</f>
        <v>SOL-10911</v>
      </c>
      <c r="D76" s="20"/>
      <c r="E76" s="10"/>
      <c r="F76" s="10" t="str">
        <f t="shared" si="6"/>
        <v/>
      </c>
      <c r="G76" s="61" t="str">
        <f t="shared" si="5"/>
        <v/>
      </c>
      <c r="H76" s="12"/>
      <c r="I76" s="75" t="str">
        <f t="shared" si="7"/>
        <v/>
      </c>
      <c r="J76" s="72" t="str">
        <f t="shared" si="8"/>
        <v/>
      </c>
      <c r="K76" s="37"/>
      <c r="L76" s="37"/>
    </row>
    <row r="77" spans="1:12" ht="15.6">
      <c r="A77" s="26" t="str">
        <v>Pool Brook Road</v>
      </c>
      <c r="B77" s="27" t="str">
        <v>NY</v>
      </c>
      <c r="C77" s="27" t="str">
        <f>Sites[[#This Row],[SOL'#]]</f>
        <v>SOL-10909</v>
      </c>
      <c r="D77" s="9"/>
      <c r="E77" s="14"/>
      <c r="F77" s="14" t="str">
        <f t="shared" si="6"/>
        <v/>
      </c>
      <c r="G77" s="15" t="str">
        <f t="shared" si="5"/>
        <v/>
      </c>
      <c r="H77" s="16"/>
      <c r="I77" s="16" t="str">
        <f t="shared" si="7"/>
        <v/>
      </c>
      <c r="J77" s="15" t="str">
        <f t="shared" si="8"/>
        <v/>
      </c>
      <c r="K77" s="38"/>
      <c r="L77" s="38"/>
    </row>
    <row r="78" spans="1:12" ht="15.6">
      <c r="A78" s="24" t="str">
        <v>Sackett Lake</v>
      </c>
      <c r="B78" s="25" t="str">
        <v>NY</v>
      </c>
      <c r="C78" s="25" t="str">
        <f>Sites[[#This Row],[SOL'#]]</f>
        <v>SOL-10910</v>
      </c>
      <c r="D78" s="20"/>
      <c r="E78" s="10"/>
      <c r="F78" s="10" t="str">
        <f t="shared" si="6"/>
        <v/>
      </c>
      <c r="G78" s="61" t="str">
        <f t="shared" si="5"/>
        <v/>
      </c>
      <c r="H78" s="12"/>
      <c r="I78" s="75" t="str">
        <f t="shared" si="7"/>
        <v/>
      </c>
      <c r="J78" s="72" t="str">
        <f t="shared" si="8"/>
        <v/>
      </c>
      <c r="K78" s="37"/>
      <c r="L78" s="37"/>
    </row>
    <row r="79" spans="1:12" ht="15.6">
      <c r="A79" s="26" t="str">
        <v>Burritt Road</v>
      </c>
      <c r="B79" s="27" t="str">
        <v>NY</v>
      </c>
      <c r="C79" s="27" t="str">
        <f>Sites[[#This Row],[SOL'#]]</f>
        <v>SOL-10913</v>
      </c>
      <c r="D79" s="9"/>
      <c r="E79" s="14"/>
      <c r="F79" s="14" t="str">
        <f t="shared" si="6"/>
        <v/>
      </c>
      <c r="G79" s="15" t="str">
        <f t="shared" si="5"/>
        <v/>
      </c>
      <c r="H79" s="16"/>
      <c r="I79" s="16" t="str">
        <f t="shared" si="7"/>
        <v/>
      </c>
      <c r="J79" s="15" t="str">
        <f t="shared" si="8"/>
        <v/>
      </c>
      <c r="K79" s="38"/>
      <c r="L79" s="39"/>
    </row>
    <row r="80" spans="1:12" ht="44.25" customHeight="1">
      <c r="A80" s="24" t="str">
        <v>Villa Roma 1</v>
      </c>
      <c r="B80" s="25" t="str">
        <v>NY</v>
      </c>
      <c r="C80" s="25" t="str">
        <f>Sites[[#This Row],[SOL'#]]</f>
        <v>SOL-10914</v>
      </c>
      <c r="D80" s="20"/>
      <c r="E80" s="10"/>
      <c r="F80" s="10" t="str">
        <f t="shared" si="6"/>
        <v/>
      </c>
      <c r="G80" s="61" t="str">
        <f t="shared" si="5"/>
        <v/>
      </c>
      <c r="H80" s="12"/>
      <c r="I80" s="75" t="str">
        <f t="shared" si="7"/>
        <v/>
      </c>
      <c r="J80" s="72" t="str">
        <f t="shared" si="8"/>
        <v/>
      </c>
      <c r="K80" s="37"/>
      <c r="L80" s="37"/>
    </row>
    <row r="81" spans="1:12" ht="47.25" customHeight="1">
      <c r="A81" s="26" t="str">
        <v>Villa Roma 2</v>
      </c>
      <c r="B81" s="27" t="str">
        <v>NY</v>
      </c>
      <c r="C81" s="27" t="str">
        <f>Sites[[#This Row],[SOL'#]]</f>
        <v>SOL-10915</v>
      </c>
      <c r="D81" s="9"/>
      <c r="E81" s="14"/>
      <c r="F81" s="14" t="str">
        <f t="shared" si="6"/>
        <v/>
      </c>
      <c r="G81" s="15" t="str">
        <f t="shared" si="5"/>
        <v/>
      </c>
      <c r="H81" s="16"/>
      <c r="I81" s="16" t="str">
        <f t="shared" si="7"/>
        <v/>
      </c>
      <c r="J81" s="15" t="str">
        <f t="shared" si="8"/>
        <v/>
      </c>
      <c r="K81" s="38"/>
      <c r="L81" s="95"/>
    </row>
    <row r="82" spans="1:12" ht="15.6">
      <c r="A82" s="24" t="str">
        <v>Washington 1</v>
      </c>
      <c r="B82" s="25" t="str">
        <v>NY</v>
      </c>
      <c r="C82" s="25" t="str">
        <f>Sites[[#This Row],[SOL'#]]</f>
        <v>SOL-10912</v>
      </c>
      <c r="D82" s="60"/>
      <c r="E82" s="10"/>
      <c r="F82" s="10" t="str">
        <f t="shared" si="6"/>
        <v/>
      </c>
      <c r="G82" s="61" t="str">
        <f t="shared" ref="G82:G113" si="9">IFERROR(F82/E82, "")</f>
        <v/>
      </c>
      <c r="H82" s="75"/>
      <c r="I82" s="75" t="str">
        <f t="shared" si="7"/>
        <v/>
      </c>
      <c r="J82" s="72" t="str">
        <f t="shared" si="8"/>
        <v/>
      </c>
      <c r="K82" s="63"/>
      <c r="L82" s="63"/>
    </row>
    <row r="83" spans="1:12" ht="60.75" customHeight="1">
      <c r="A83" s="26" t="str">
        <v>Washington 3</v>
      </c>
      <c r="B83" s="27" t="str">
        <v>NY</v>
      </c>
      <c r="C83" s="27" t="str">
        <f>Sites[[#This Row],[SOL'#]]</f>
        <v>SOL-10828</v>
      </c>
      <c r="D83" s="9"/>
      <c r="E83" s="14"/>
      <c r="F83" s="14" t="str">
        <f t="shared" si="6"/>
        <v/>
      </c>
      <c r="G83" s="15" t="str">
        <f t="shared" si="9"/>
        <v/>
      </c>
      <c r="H83" s="16"/>
      <c r="I83" s="16" t="str">
        <f t="shared" si="7"/>
        <v/>
      </c>
      <c r="J83" s="15" t="str">
        <f t="shared" si="8"/>
        <v/>
      </c>
      <c r="K83" s="56"/>
      <c r="L83" s="95"/>
    </row>
    <row r="84" spans="1:12" ht="15.6">
      <c r="A84" s="24" t="str">
        <v>Washington 4</v>
      </c>
      <c r="B84" s="25" t="str">
        <v>NY</v>
      </c>
      <c r="C84" s="25" t="str">
        <f>Sites[[#This Row],[SOL'#]]</f>
        <v>SOL-10829</v>
      </c>
      <c r="D84" s="60"/>
      <c r="E84" s="10"/>
      <c r="F84" s="10" t="str">
        <f t="shared" si="6"/>
        <v/>
      </c>
      <c r="G84" s="61" t="str">
        <f t="shared" si="9"/>
        <v/>
      </c>
      <c r="H84" s="75"/>
      <c r="I84" s="75" t="str">
        <f t="shared" si="7"/>
        <v/>
      </c>
      <c r="J84" s="72" t="str">
        <f t="shared" si="8"/>
        <v/>
      </c>
      <c r="K84" s="63"/>
      <c r="L84" s="63"/>
    </row>
    <row r="85" spans="1:12" ht="15.6">
      <c r="A85" s="26" t="str">
        <v>Big Tree</v>
      </c>
      <c r="B85" s="27" t="str">
        <v>NY</v>
      </c>
      <c r="C85" s="27" t="str">
        <f>Sites[[#This Row],[SOL'#]]</f>
        <v>SOL-10966</v>
      </c>
      <c r="D85" s="9"/>
      <c r="E85" s="14"/>
      <c r="F85" s="14" t="str">
        <f t="shared" si="6"/>
        <v/>
      </c>
      <c r="G85" s="15" t="str">
        <f t="shared" si="9"/>
        <v/>
      </c>
      <c r="H85" s="16"/>
      <c r="I85" s="16" t="str">
        <f t="shared" si="7"/>
        <v/>
      </c>
      <c r="J85" s="15" t="str">
        <f t="shared" si="8"/>
        <v/>
      </c>
      <c r="K85" s="38"/>
      <c r="L85" s="39"/>
    </row>
    <row r="86" spans="1:12" ht="15.6">
      <c r="A86" s="24" t="str">
        <v>Canoga</v>
      </c>
      <c r="B86" s="25" t="str">
        <v>NY</v>
      </c>
      <c r="C86" s="25" t="str">
        <f>Sites[[#This Row],[SOL'#]]</f>
        <v>SOL-10965</v>
      </c>
      <c r="D86" s="60"/>
      <c r="E86" s="10"/>
      <c r="F86" s="10" t="str">
        <f t="shared" si="6"/>
        <v/>
      </c>
      <c r="G86" s="61" t="str">
        <f t="shared" si="9"/>
        <v/>
      </c>
      <c r="H86" s="75"/>
      <c r="I86" s="75" t="str">
        <f t="shared" si="7"/>
        <v/>
      </c>
      <c r="J86" s="72" t="str">
        <f t="shared" si="8"/>
        <v/>
      </c>
      <c r="K86" s="63"/>
      <c r="L86" s="63"/>
    </row>
    <row r="87" spans="1:12" ht="39" customHeight="1">
      <c r="A87" s="26" t="str">
        <v>County Route 84</v>
      </c>
      <c r="B87" s="27" t="str">
        <v>NY</v>
      </c>
      <c r="C87" s="27" t="str">
        <f>Sites[[#This Row],[SOL'#]]</f>
        <v>SOL-10967</v>
      </c>
      <c r="D87" s="9"/>
      <c r="E87" s="14"/>
      <c r="F87" s="14" t="str">
        <f t="shared" si="6"/>
        <v/>
      </c>
      <c r="G87" s="15" t="str">
        <f t="shared" si="9"/>
        <v/>
      </c>
      <c r="H87" s="16"/>
      <c r="I87" s="16" t="str">
        <f t="shared" si="7"/>
        <v/>
      </c>
      <c r="J87" s="15" t="str">
        <f t="shared" si="8"/>
        <v/>
      </c>
      <c r="K87" s="38"/>
      <c r="L87" s="94"/>
    </row>
    <row r="88" spans="1:12" ht="15.6">
      <c r="A88" s="24" t="str">
        <v>Donati</v>
      </c>
      <c r="B88" s="25" t="str">
        <v>NY</v>
      </c>
      <c r="C88" s="25" t="str">
        <f>Sites[[#This Row],[SOL'#]]</f>
        <v>SOL-10968</v>
      </c>
      <c r="D88" s="20"/>
      <c r="E88" s="10"/>
      <c r="F88" s="10" t="str">
        <f t="shared" si="6"/>
        <v/>
      </c>
      <c r="G88" s="61" t="str">
        <f t="shared" si="9"/>
        <v/>
      </c>
      <c r="H88" s="12"/>
      <c r="I88" s="75" t="str">
        <f t="shared" si="7"/>
        <v/>
      </c>
      <c r="J88" s="72" t="str">
        <f t="shared" si="8"/>
        <v/>
      </c>
      <c r="K88" s="37"/>
      <c r="L88" s="37"/>
    </row>
    <row r="89" spans="1:12" ht="15.6">
      <c r="A89" s="26" t="str">
        <v>Henrietta</v>
      </c>
      <c r="B89" s="27" t="str">
        <v>NY</v>
      </c>
      <c r="C89" s="27" t="str">
        <f>Sites[[#This Row],[SOL'#]]</f>
        <v>SOL-10972</v>
      </c>
      <c r="D89" s="9"/>
      <c r="E89" s="14"/>
      <c r="F89" s="14" t="str">
        <f t="shared" si="6"/>
        <v/>
      </c>
      <c r="G89" s="15" t="str">
        <f t="shared" si="9"/>
        <v/>
      </c>
      <c r="H89" s="16"/>
      <c r="I89" s="16" t="str">
        <f t="shared" si="7"/>
        <v/>
      </c>
      <c r="J89" s="15" t="str">
        <f t="shared" si="8"/>
        <v/>
      </c>
      <c r="K89" s="38"/>
      <c r="L89" s="38"/>
    </row>
    <row r="90" spans="1:12" ht="15.6">
      <c r="A90" s="24" t="str">
        <v>NY 70</v>
      </c>
      <c r="B90" s="25" t="str">
        <v>NY</v>
      </c>
      <c r="C90" s="25" t="str">
        <f>Sites[[#This Row],[SOL'#]]</f>
        <v>SOL-10970</v>
      </c>
      <c r="D90" s="60"/>
      <c r="E90" s="10"/>
      <c r="F90" s="10" t="str">
        <f t="shared" si="6"/>
        <v/>
      </c>
      <c r="G90" s="61" t="str">
        <f t="shared" si="9"/>
        <v/>
      </c>
      <c r="H90" s="75"/>
      <c r="I90" s="75" t="str">
        <f t="shared" si="7"/>
        <v/>
      </c>
      <c r="J90" s="72" t="str">
        <f t="shared" si="8"/>
        <v/>
      </c>
      <c r="K90" s="63"/>
      <c r="L90" s="63"/>
    </row>
    <row r="91" spans="1:12" ht="15.6">
      <c r="A91" s="26" t="str">
        <v>Reid</v>
      </c>
      <c r="B91" s="27" t="str">
        <v>NY</v>
      </c>
      <c r="C91" s="27" t="str">
        <f>Sites[[#This Row],[SOL'#]]</f>
        <v>SOL-10991</v>
      </c>
      <c r="D91" s="9"/>
      <c r="E91" s="14"/>
      <c r="F91" s="14" t="str">
        <f t="shared" si="6"/>
        <v/>
      </c>
      <c r="G91" s="15" t="str">
        <f t="shared" si="9"/>
        <v/>
      </c>
      <c r="H91" s="16"/>
      <c r="I91" s="16" t="str">
        <f t="shared" si="7"/>
        <v/>
      </c>
      <c r="J91" s="15" t="str">
        <f t="shared" si="8"/>
        <v/>
      </c>
      <c r="K91" s="38"/>
      <c r="L91" s="38"/>
    </row>
    <row r="92" spans="1:12" ht="15.6">
      <c r="A92" s="24" t="str">
        <v>Sangolqui</v>
      </c>
      <c r="B92" s="25" t="str">
        <v>NY</v>
      </c>
      <c r="C92" s="25" t="str">
        <f>Sites[[#This Row],[SOL'#]]</f>
        <v>SOL-10975</v>
      </c>
      <c r="D92" s="20"/>
      <c r="E92" s="10"/>
      <c r="F92" s="10" t="str">
        <f t="shared" si="6"/>
        <v/>
      </c>
      <c r="G92" s="61" t="str">
        <f t="shared" si="9"/>
        <v/>
      </c>
      <c r="H92" s="12"/>
      <c r="I92" s="75" t="str">
        <f t="shared" si="7"/>
        <v/>
      </c>
      <c r="J92" s="72" t="str">
        <f t="shared" si="8"/>
        <v/>
      </c>
      <c r="K92" s="37"/>
      <c r="L92" s="37"/>
    </row>
    <row r="93" spans="1:12" ht="45" customHeight="1">
      <c r="A93" s="26" t="str">
        <v>State Highway 17B</v>
      </c>
      <c r="B93" s="27" t="str">
        <v>NY</v>
      </c>
      <c r="C93" s="27" t="str">
        <f>Sites[[#This Row],[SOL'#]]</f>
        <v>SOL-10988</v>
      </c>
      <c r="D93" s="9"/>
      <c r="E93" s="14"/>
      <c r="F93" s="14" t="str">
        <f t="shared" si="6"/>
        <v/>
      </c>
      <c r="G93" s="15" t="str">
        <f t="shared" si="9"/>
        <v/>
      </c>
      <c r="H93" s="16"/>
      <c r="I93" s="16" t="str">
        <f t="shared" si="7"/>
        <v/>
      </c>
      <c r="J93" s="15" t="str">
        <f t="shared" si="8"/>
        <v/>
      </c>
      <c r="K93" s="56"/>
      <c r="L93" s="95"/>
    </row>
    <row r="94" spans="1:12" ht="15.6">
      <c r="A94" s="24" t="str">
        <v>State Route 14A</v>
      </c>
      <c r="B94" s="25" t="str">
        <v>NY</v>
      </c>
      <c r="C94" s="25" t="str">
        <f>Sites[[#This Row],[SOL'#]]</f>
        <v>SOL-10997</v>
      </c>
      <c r="D94" s="20"/>
      <c r="E94" s="10"/>
      <c r="F94" s="10" t="str">
        <f t="shared" si="6"/>
        <v/>
      </c>
      <c r="G94" s="61" t="str">
        <f t="shared" si="9"/>
        <v/>
      </c>
      <c r="H94" s="12"/>
      <c r="I94" s="75" t="str">
        <f t="shared" si="7"/>
        <v/>
      </c>
      <c r="J94" s="72" t="str">
        <f t="shared" si="8"/>
        <v/>
      </c>
      <c r="K94" s="37"/>
      <c r="L94" s="37"/>
    </row>
    <row r="95" spans="1:12" ht="15.6">
      <c r="A95" s="26" t="str">
        <v>West Creek</v>
      </c>
      <c r="B95" s="27" t="str">
        <v>NY</v>
      </c>
      <c r="C95" s="27" t="str">
        <f>Sites[[#This Row],[SOL'#]]</f>
        <v>SOL-10995</v>
      </c>
      <c r="D95" s="9"/>
      <c r="E95" s="14"/>
      <c r="F95" s="14" t="str">
        <f t="shared" si="6"/>
        <v/>
      </c>
      <c r="G95" s="15" t="str">
        <f t="shared" si="9"/>
        <v/>
      </c>
      <c r="H95" s="16"/>
      <c r="I95" s="16" t="str">
        <f t="shared" si="7"/>
        <v/>
      </c>
      <c r="J95" s="15" t="str">
        <f t="shared" si="8"/>
        <v/>
      </c>
      <c r="K95" s="38"/>
      <c r="L95" s="39"/>
    </row>
    <row r="96" spans="1:12" ht="15.6">
      <c r="A96" s="24" t="str">
        <v>Wildflower</v>
      </c>
      <c r="B96" s="25" t="str">
        <v>NY</v>
      </c>
      <c r="C96" s="25" t="str">
        <f>Sites[[#This Row],[SOL'#]]</f>
        <v>SOL-10982</v>
      </c>
      <c r="D96" s="20"/>
      <c r="E96" s="10"/>
      <c r="F96" s="10" t="str">
        <f t="shared" si="6"/>
        <v/>
      </c>
      <c r="G96" s="61" t="str">
        <f t="shared" si="9"/>
        <v/>
      </c>
      <c r="H96" s="12"/>
      <c r="I96" s="75" t="str">
        <f t="shared" si="7"/>
        <v/>
      </c>
      <c r="J96" s="72" t="str">
        <f t="shared" si="8"/>
        <v/>
      </c>
      <c r="K96" s="37"/>
      <c r="L96" s="37"/>
    </row>
    <row r="97" spans="1:12" ht="15.6">
      <c r="A97" s="26" t="str">
        <v>Glen Mary 1</v>
      </c>
      <c r="B97" s="27" t="str">
        <v>NY</v>
      </c>
      <c r="C97" s="27" t="str">
        <f>Sites[[#This Row],[SOL'#]]</f>
        <v>SOL-10993</v>
      </c>
      <c r="D97" s="9"/>
      <c r="E97" s="14"/>
      <c r="F97" s="14" t="str">
        <f t="shared" si="6"/>
        <v/>
      </c>
      <c r="G97" s="15" t="str">
        <f t="shared" si="9"/>
        <v/>
      </c>
      <c r="H97" s="16"/>
      <c r="I97" s="16" t="str">
        <f t="shared" si="7"/>
        <v/>
      </c>
      <c r="J97" s="15" t="str">
        <f t="shared" si="8"/>
        <v/>
      </c>
      <c r="K97" s="38"/>
      <c r="L97" s="95"/>
    </row>
    <row r="98" spans="1:12" ht="15.6">
      <c r="A98" s="24" t="str">
        <v>Glen Mary 2</v>
      </c>
      <c r="B98" s="25" t="str">
        <v>NY</v>
      </c>
      <c r="C98" s="25" t="str">
        <f>Sites[[#This Row],[SOL'#]]</f>
        <v>SOL-10994</v>
      </c>
      <c r="D98" s="20"/>
      <c r="E98" s="10"/>
      <c r="F98" s="10" t="str">
        <f t="shared" si="6"/>
        <v/>
      </c>
      <c r="G98" s="61" t="str">
        <f t="shared" si="9"/>
        <v/>
      </c>
      <c r="H98" s="12"/>
      <c r="I98" s="75" t="str">
        <f t="shared" si="7"/>
        <v/>
      </c>
      <c r="J98" s="72" t="str">
        <f t="shared" si="8"/>
        <v/>
      </c>
      <c r="K98" s="37"/>
      <c r="L98" s="37"/>
    </row>
    <row r="99" spans="1:12" ht="15.6">
      <c r="A99" s="26" t="str">
        <v>Telegraph 1</v>
      </c>
      <c r="B99" s="27" t="str">
        <v>NY</v>
      </c>
      <c r="C99" s="27" t="str">
        <f>Sites[[#This Row],[SOL'#]]</f>
        <v>SOL-11003</v>
      </c>
      <c r="D99" s="9"/>
      <c r="E99" s="14"/>
      <c r="F99" s="14" t="str">
        <f t="shared" si="6"/>
        <v/>
      </c>
      <c r="G99" s="15" t="str">
        <f t="shared" si="9"/>
        <v/>
      </c>
      <c r="H99" s="16"/>
      <c r="I99" s="16" t="str">
        <f t="shared" si="7"/>
        <v/>
      </c>
      <c r="J99" s="15" t="str">
        <f t="shared" si="8"/>
        <v/>
      </c>
      <c r="K99" s="38"/>
      <c r="L99" s="39"/>
    </row>
    <row r="100" spans="1:12" ht="15.6">
      <c r="A100" s="24" t="str">
        <v>Telegraph 2</v>
      </c>
      <c r="B100" s="25" t="str">
        <v>NY</v>
      </c>
      <c r="C100" s="25" t="str">
        <f>Sites[[#This Row],[SOL'#]]</f>
        <v>SOL-11004</v>
      </c>
      <c r="D100" s="20"/>
      <c r="E100" s="10"/>
      <c r="F100" s="10" t="str">
        <f t="shared" si="6"/>
        <v/>
      </c>
      <c r="G100" s="61" t="str">
        <f t="shared" si="9"/>
        <v/>
      </c>
      <c r="H100" s="12"/>
      <c r="I100" s="75" t="str">
        <f t="shared" si="7"/>
        <v/>
      </c>
      <c r="J100" s="72" t="str">
        <f t="shared" si="8"/>
        <v/>
      </c>
      <c r="K100" s="37"/>
      <c r="L100" s="37"/>
    </row>
    <row r="101" spans="1:12" ht="15.6">
      <c r="A101" s="26" t="str">
        <v>Cafferty Hill</v>
      </c>
      <c r="B101" s="27" t="str">
        <v>NY</v>
      </c>
      <c r="C101" s="27" t="str">
        <f>Sites[[#This Row],[SOL'#]]</f>
        <v>SOL-10996</v>
      </c>
      <c r="D101" s="9"/>
      <c r="E101" s="14"/>
      <c r="F101" s="14" t="str">
        <f t="shared" si="6"/>
        <v/>
      </c>
      <c r="G101" s="15" t="str">
        <f t="shared" si="9"/>
        <v/>
      </c>
      <c r="H101" s="16"/>
      <c r="I101" s="16" t="str">
        <f t="shared" si="7"/>
        <v/>
      </c>
      <c r="J101" s="15" t="str">
        <f t="shared" si="8"/>
        <v/>
      </c>
      <c r="K101" s="38"/>
      <c r="L101" s="38"/>
    </row>
    <row r="102" spans="1:12" ht="15.6">
      <c r="A102" s="24" t="str">
        <v>Dunkleman</v>
      </c>
      <c r="B102" s="25" t="str">
        <v>NY</v>
      </c>
      <c r="C102" s="25" t="str">
        <f>Sites[[#This Row],[SOL'#]]</f>
        <v>SOL-11008</v>
      </c>
      <c r="D102" s="20"/>
      <c r="E102" s="10"/>
      <c r="F102" s="10" t="str">
        <f t="shared" si="6"/>
        <v/>
      </c>
      <c r="G102" s="61" t="str">
        <f t="shared" si="9"/>
        <v/>
      </c>
      <c r="H102" s="12"/>
      <c r="I102" s="75" t="str">
        <f t="shared" si="7"/>
        <v/>
      </c>
      <c r="J102" s="72" t="str">
        <f t="shared" si="8"/>
        <v/>
      </c>
      <c r="K102" s="37"/>
      <c r="L102" s="37"/>
    </row>
    <row r="103" spans="1:12" ht="15.6">
      <c r="A103" s="26" t="str">
        <v>Route 19 1</v>
      </c>
      <c r="B103" s="27" t="str">
        <v>NY</v>
      </c>
      <c r="C103" s="27" t="str">
        <f>Sites[[#This Row],[SOL'#]]</f>
        <v>SOL-11001</v>
      </c>
      <c r="D103" s="9"/>
      <c r="E103" s="14"/>
      <c r="F103" s="14" t="str">
        <f t="shared" si="6"/>
        <v/>
      </c>
      <c r="G103" s="15" t="str">
        <f t="shared" si="9"/>
        <v/>
      </c>
      <c r="H103" s="16"/>
      <c r="I103" s="16" t="str">
        <f t="shared" si="7"/>
        <v/>
      </c>
      <c r="J103" s="15" t="str">
        <f t="shared" si="8"/>
        <v/>
      </c>
      <c r="K103" s="38"/>
      <c r="L103" s="39"/>
    </row>
    <row r="104" spans="1:12" ht="40.5" customHeight="1">
      <c r="A104" s="24" t="str">
        <v>Route 19 2</v>
      </c>
      <c r="B104" s="25" t="str">
        <v>NY</v>
      </c>
      <c r="C104" s="25" t="str">
        <f>Sites[[#This Row],[SOL'#]]</f>
        <v>SOL-11002</v>
      </c>
      <c r="D104" s="20"/>
      <c r="E104" s="10"/>
      <c r="F104" s="10" t="str">
        <f t="shared" si="6"/>
        <v/>
      </c>
      <c r="G104" s="61" t="str">
        <f t="shared" si="9"/>
        <v/>
      </c>
      <c r="H104" s="12"/>
      <c r="I104" s="75" t="str">
        <f t="shared" si="7"/>
        <v/>
      </c>
      <c r="J104" s="72" t="str">
        <f t="shared" si="8"/>
        <v/>
      </c>
      <c r="K104" s="37"/>
      <c r="L104" s="37"/>
    </row>
    <row r="105" spans="1:12" ht="15.6">
      <c r="A105" s="26" t="str">
        <v>Yellow Mills 1</v>
      </c>
      <c r="B105" s="27" t="str">
        <v>NY</v>
      </c>
      <c r="C105" s="27" t="str">
        <f>Sites[[#This Row],[SOL'#]]</f>
        <v>SOL-11006</v>
      </c>
      <c r="D105" s="9"/>
      <c r="E105" s="14"/>
      <c r="F105" s="14" t="str">
        <f t="shared" si="6"/>
        <v/>
      </c>
      <c r="G105" s="15" t="str">
        <f t="shared" si="9"/>
        <v/>
      </c>
      <c r="H105" s="16"/>
      <c r="I105" s="16" t="str">
        <f t="shared" si="7"/>
        <v/>
      </c>
      <c r="J105" s="15" t="str">
        <f t="shared" si="8"/>
        <v/>
      </c>
      <c r="K105" s="38"/>
      <c r="L105" s="39"/>
    </row>
    <row r="106" spans="1:12" ht="15.6">
      <c r="A106" s="24" t="str">
        <v>Yellow Mills 2</v>
      </c>
      <c r="B106" s="25" t="str">
        <v>NY</v>
      </c>
      <c r="C106" s="25" t="str">
        <f>Sites[[#This Row],[SOL'#]]</f>
        <v>SOL-11005</v>
      </c>
      <c r="D106" s="20"/>
      <c r="E106" s="10"/>
      <c r="F106" s="10" t="str">
        <f t="shared" si="6"/>
        <v/>
      </c>
      <c r="G106" s="61" t="str">
        <f t="shared" si="9"/>
        <v/>
      </c>
      <c r="H106" s="12"/>
      <c r="I106" s="75" t="str">
        <f t="shared" si="7"/>
        <v/>
      </c>
      <c r="J106" s="72" t="str">
        <f t="shared" si="8"/>
        <v/>
      </c>
      <c r="K106" s="37"/>
      <c r="L106" s="37"/>
    </row>
    <row r="107" spans="1:12" ht="15.6">
      <c r="A107" s="26" t="str">
        <v>Yellow Mills 3</v>
      </c>
      <c r="B107" s="27" t="str">
        <v>NY</v>
      </c>
      <c r="C107" s="27" t="str">
        <f>Sites[[#This Row],[SOL'#]]</f>
        <v>SOL-11007</v>
      </c>
      <c r="D107" s="9"/>
      <c r="E107" s="14"/>
      <c r="F107" s="14" t="str">
        <f t="shared" si="6"/>
        <v/>
      </c>
      <c r="G107" s="15" t="str">
        <f t="shared" si="9"/>
        <v/>
      </c>
      <c r="H107" s="16"/>
      <c r="I107" s="16" t="str">
        <f t="shared" si="7"/>
        <v/>
      </c>
      <c r="J107" s="15" t="str">
        <f t="shared" si="8"/>
        <v/>
      </c>
      <c r="K107" s="38"/>
      <c r="L107" s="94"/>
    </row>
    <row r="108" spans="1:12" ht="15.6">
      <c r="A108" s="24" t="str">
        <v>Catskill</v>
      </c>
      <c r="B108" s="25" t="str">
        <v>NY</v>
      </c>
      <c r="C108" s="25" t="str">
        <f>Sites[[#This Row],[SOL'#]]</f>
        <v>SOL-11021</v>
      </c>
      <c r="D108" s="20"/>
      <c r="E108" s="10"/>
      <c r="F108" s="10" t="str">
        <f t="shared" si="6"/>
        <v/>
      </c>
      <c r="G108" s="61" t="str">
        <f t="shared" si="9"/>
        <v/>
      </c>
      <c r="H108" s="12"/>
      <c r="I108" s="75" t="str">
        <f t="shared" si="7"/>
        <v/>
      </c>
      <c r="J108" s="72" t="str">
        <f t="shared" si="8"/>
        <v/>
      </c>
      <c r="K108" s="37"/>
      <c r="L108" s="37"/>
    </row>
    <row r="109" spans="1:12" ht="15.6">
      <c r="A109" s="26" t="str">
        <v>Eddy Ridge</v>
      </c>
      <c r="B109" s="27" t="str">
        <v>NY</v>
      </c>
      <c r="C109" s="27" t="str">
        <f>Sites[[#This Row],[SOL'#]]</f>
        <v>SOL-11054</v>
      </c>
      <c r="D109" s="9"/>
      <c r="E109" s="14"/>
      <c r="F109" s="14" t="str">
        <f t="shared" si="6"/>
        <v/>
      </c>
      <c r="G109" s="15" t="str">
        <f t="shared" si="9"/>
        <v/>
      </c>
      <c r="H109" s="16"/>
      <c r="I109" s="16" t="str">
        <f t="shared" si="7"/>
        <v/>
      </c>
      <c r="J109" s="15" t="str">
        <f t="shared" si="8"/>
        <v/>
      </c>
      <c r="K109" s="38"/>
      <c r="L109" s="94"/>
    </row>
    <row r="110" spans="1:12" ht="15.6">
      <c r="A110" s="24" t="str">
        <v>Ridgeway #1</v>
      </c>
      <c r="B110" s="25" t="str">
        <v>NY</v>
      </c>
      <c r="C110" s="25" t="str">
        <f>Sites[[#This Row],[SOL'#]]</f>
        <v>SOL-11018</v>
      </c>
      <c r="D110" s="20"/>
      <c r="E110" s="10"/>
      <c r="F110" s="10" t="str">
        <f t="shared" si="6"/>
        <v/>
      </c>
      <c r="G110" s="61" t="str">
        <f t="shared" si="9"/>
        <v/>
      </c>
      <c r="H110" s="12"/>
      <c r="I110" s="75" t="str">
        <f t="shared" si="7"/>
        <v/>
      </c>
      <c r="J110" s="72" t="str">
        <f t="shared" si="8"/>
        <v/>
      </c>
      <c r="K110" s="37"/>
      <c r="L110" s="37"/>
    </row>
    <row r="111" spans="1:12" ht="15.6">
      <c r="A111" s="26" t="str">
        <v>Rivard 1</v>
      </c>
      <c r="B111" s="27" t="str">
        <v>NY</v>
      </c>
      <c r="C111" s="27" t="str">
        <f>Sites[[#This Row],[SOL'#]]</f>
        <v>SOL-11011</v>
      </c>
      <c r="D111" s="9"/>
      <c r="E111" s="14"/>
      <c r="F111" s="14" t="str">
        <f t="shared" si="6"/>
        <v/>
      </c>
      <c r="G111" s="15" t="str">
        <f t="shared" si="9"/>
        <v/>
      </c>
      <c r="H111" s="16"/>
      <c r="I111" s="16" t="str">
        <f t="shared" si="7"/>
        <v/>
      </c>
      <c r="J111" s="15" t="str">
        <f t="shared" si="8"/>
        <v/>
      </c>
      <c r="K111" s="38"/>
      <c r="L111" s="94"/>
    </row>
    <row r="112" spans="1:12" ht="15.6">
      <c r="A112" s="24" t="str">
        <v>Rivard 2</v>
      </c>
      <c r="B112" s="25" t="str">
        <v>NY</v>
      </c>
      <c r="C112" s="25" t="str">
        <f>Sites[[#This Row],[SOL'#]]</f>
        <v>SOL-11012</v>
      </c>
      <c r="D112" s="20"/>
      <c r="E112" s="10"/>
      <c r="F112" s="10" t="str">
        <f t="shared" si="6"/>
        <v/>
      </c>
      <c r="G112" s="61" t="str">
        <f t="shared" si="9"/>
        <v/>
      </c>
      <c r="H112" s="12"/>
      <c r="I112" s="75" t="str">
        <f t="shared" si="7"/>
        <v/>
      </c>
      <c r="J112" s="72" t="str">
        <f t="shared" si="8"/>
        <v/>
      </c>
      <c r="K112" s="37"/>
      <c r="L112" s="37"/>
    </row>
    <row r="113" spans="1:12" ht="15.6">
      <c r="A113" s="26" t="str">
        <v>Essex</v>
      </c>
      <c r="B113" s="27" t="str">
        <v>DC</v>
      </c>
      <c r="C113" s="27" t="str">
        <f>Sites[[#This Row],[SOL'#]]</f>
        <v>SOL-10036</v>
      </c>
      <c r="D113" s="9"/>
      <c r="E113" s="14"/>
      <c r="F113" s="14" t="str">
        <f t="shared" si="6"/>
        <v/>
      </c>
      <c r="G113" s="15" t="str">
        <f t="shared" si="9"/>
        <v/>
      </c>
      <c r="H113" s="16"/>
      <c r="I113" s="16" t="str">
        <f t="shared" si="7"/>
        <v/>
      </c>
      <c r="J113" s="15" t="str">
        <f t="shared" si="8"/>
        <v/>
      </c>
      <c r="K113" s="38"/>
      <c r="L113" s="38"/>
    </row>
    <row r="114" spans="1:12" ht="15.6">
      <c r="A114" s="24" t="str">
        <v>Temple Sinai</v>
      </c>
      <c r="B114" s="25" t="str">
        <v>DC</v>
      </c>
      <c r="C114" s="25" t="str">
        <f>Sites[[#This Row],[SOL'#]]</f>
        <v>SOL-10028</v>
      </c>
      <c r="D114" s="20"/>
      <c r="E114" s="10"/>
      <c r="F114" s="10" t="str">
        <f t="shared" si="6"/>
        <v/>
      </c>
      <c r="G114" s="61" t="str">
        <f t="shared" ref="G114:G145" si="10">IFERROR(F114/E114, "")</f>
        <v/>
      </c>
      <c r="H114" s="12"/>
      <c r="I114" s="75" t="str">
        <f t="shared" si="7"/>
        <v/>
      </c>
      <c r="J114" s="72" t="str">
        <f t="shared" si="8"/>
        <v/>
      </c>
      <c r="K114" s="37"/>
      <c r="L114" s="37"/>
    </row>
    <row r="115" spans="1:12" ht="15.6">
      <c r="A115" s="26" t="str">
        <v>Weinberg Commons #1</v>
      </c>
      <c r="B115" s="27" t="str">
        <v>DC</v>
      </c>
      <c r="C115" s="27" t="str">
        <f>Sites[[#This Row],[SOL'#]]</f>
        <v>SOL-10039</v>
      </c>
      <c r="D115" s="9"/>
      <c r="E115" s="14"/>
      <c r="F115" s="14" t="str">
        <f t="shared" si="6"/>
        <v/>
      </c>
      <c r="G115" s="15" t="str">
        <f t="shared" si="10"/>
        <v/>
      </c>
      <c r="H115" s="16"/>
      <c r="I115" s="16" t="str">
        <f t="shared" si="7"/>
        <v/>
      </c>
      <c r="J115" s="15" t="str">
        <f t="shared" si="8"/>
        <v/>
      </c>
      <c r="K115" s="38"/>
      <c r="L115" s="39"/>
    </row>
    <row r="116" spans="1:12" ht="15.6">
      <c r="A116" s="24" t="str">
        <v>Weinberg Commons #2</v>
      </c>
      <c r="B116" s="25" t="str">
        <v>DC</v>
      </c>
      <c r="C116" s="25" t="str">
        <f>Sites[[#This Row],[SOL'#]]</f>
        <v>SOL-10045</v>
      </c>
      <c r="D116" s="20"/>
      <c r="E116" s="10"/>
      <c r="F116" s="10" t="str">
        <f t="shared" si="6"/>
        <v/>
      </c>
      <c r="G116" s="61" t="str">
        <f t="shared" si="10"/>
        <v/>
      </c>
      <c r="H116" s="12"/>
      <c r="I116" s="75" t="str">
        <f t="shared" si="7"/>
        <v/>
      </c>
      <c r="J116" s="72" t="str">
        <f t="shared" si="8"/>
        <v/>
      </c>
      <c r="K116" s="37"/>
      <c r="L116" s="37"/>
    </row>
    <row r="117" spans="1:12" ht="15.6">
      <c r="A117" s="26" t="str">
        <v>Weinberg Commons #3</v>
      </c>
      <c r="B117" s="27" t="str">
        <v>DC</v>
      </c>
      <c r="C117" s="25" t="str">
        <f>Sites[[#This Row],[SOL'#]]</f>
        <v>SOL-10042</v>
      </c>
      <c r="D117" s="9"/>
      <c r="E117" s="14"/>
      <c r="F117" s="14" t="str">
        <f t="shared" si="6"/>
        <v/>
      </c>
      <c r="G117" s="15" t="str">
        <f t="shared" si="10"/>
        <v/>
      </c>
      <c r="H117" s="16"/>
      <c r="I117" s="16" t="str">
        <f t="shared" si="7"/>
        <v/>
      </c>
      <c r="J117" s="15" t="str">
        <f t="shared" si="8"/>
        <v/>
      </c>
      <c r="K117" s="38"/>
      <c r="L117" s="39"/>
    </row>
    <row r="118" spans="1:12" ht="15.6">
      <c r="A118" s="24" t="str">
        <v>Clayton Hall</v>
      </c>
      <c r="B118" s="25" t="str">
        <v>DE</v>
      </c>
      <c r="C118" s="25" t="str">
        <f>Sites[[#This Row],[SOL'#]]</f>
        <v>SOL-10820</v>
      </c>
      <c r="D118" s="20"/>
      <c r="E118" s="10"/>
      <c r="F118" s="10" t="str">
        <f t="shared" si="6"/>
        <v/>
      </c>
      <c r="G118" s="61" t="str">
        <f t="shared" si="10"/>
        <v/>
      </c>
      <c r="H118" s="12"/>
      <c r="I118" s="75" t="str">
        <f t="shared" si="7"/>
        <v/>
      </c>
      <c r="J118" s="72" t="str">
        <f t="shared" si="8"/>
        <v/>
      </c>
      <c r="K118" s="37"/>
      <c r="L118" s="37"/>
    </row>
    <row r="119" spans="1:12" ht="15.6">
      <c r="A119" s="26" t="str">
        <v>Field House</v>
      </c>
      <c r="B119" s="27" t="str">
        <v>DE</v>
      </c>
      <c r="C119" s="25" t="str">
        <f>Sites[[#This Row],[SOL'#]]</f>
        <v>SOL-10821</v>
      </c>
      <c r="D119" s="9"/>
      <c r="E119" s="14"/>
      <c r="F119" s="14" t="str">
        <f t="shared" si="6"/>
        <v/>
      </c>
      <c r="G119" s="15" t="str">
        <f t="shared" si="10"/>
        <v/>
      </c>
      <c r="H119" s="16"/>
      <c r="I119" s="16" t="str">
        <f t="shared" si="7"/>
        <v/>
      </c>
      <c r="J119" s="15" t="str">
        <f t="shared" si="8"/>
        <v/>
      </c>
      <c r="K119" s="38"/>
      <c r="L119" s="95"/>
    </row>
    <row r="120" spans="1:12" ht="15.6">
      <c r="A120" s="24" t="str">
        <v>Wyoming Road</v>
      </c>
      <c r="B120" s="25" t="str">
        <v>DE</v>
      </c>
      <c r="C120" s="25" t="str">
        <f>Sites[[#This Row],[SOL'#]]</f>
        <v>SOL-10819</v>
      </c>
      <c r="D120" s="20"/>
      <c r="E120" s="10"/>
      <c r="F120" s="10" t="str">
        <f t="shared" si="6"/>
        <v/>
      </c>
      <c r="G120" s="61" t="str">
        <f t="shared" si="10"/>
        <v/>
      </c>
      <c r="H120" s="12"/>
      <c r="I120" s="75" t="str">
        <f t="shared" si="7"/>
        <v/>
      </c>
      <c r="J120" s="72" t="str">
        <f t="shared" si="8"/>
        <v/>
      </c>
      <c r="K120" s="37"/>
      <c r="L120" s="37"/>
    </row>
    <row r="121" spans="1:12" ht="15.6">
      <c r="A121" s="26" t="str">
        <v>94-246 Leoku St. - PV Bldg E, F, G</v>
      </c>
      <c r="B121" s="27" t="str">
        <v>HI</v>
      </c>
      <c r="C121" s="25" t="str">
        <f>Sites[[#This Row],[SOL'#]]</f>
        <v>SOL-10071</v>
      </c>
      <c r="D121" s="9"/>
      <c r="E121" s="14"/>
      <c r="F121" s="14" t="str">
        <f t="shared" si="6"/>
        <v/>
      </c>
      <c r="G121" s="15" t="str">
        <f t="shared" si="10"/>
        <v/>
      </c>
      <c r="H121" s="16"/>
      <c r="I121" s="16" t="str">
        <f t="shared" si="7"/>
        <v/>
      </c>
      <c r="J121" s="15" t="str">
        <f t="shared" si="8"/>
        <v/>
      </c>
      <c r="K121" s="38"/>
      <c r="L121" s="39"/>
    </row>
    <row r="122" spans="1:12" ht="15.6">
      <c r="A122" s="24" t="str">
        <v>94-099 Waipahu St - PV</v>
      </c>
      <c r="B122" s="25" t="str">
        <v>HI</v>
      </c>
      <c r="C122" s="25" t="str">
        <f>Sites[[#This Row],[SOL'#]]</f>
        <v>SOL-10068</v>
      </c>
      <c r="D122" s="20"/>
      <c r="E122" s="10"/>
      <c r="F122" s="10" t="str">
        <f t="shared" si="6"/>
        <v/>
      </c>
      <c r="G122" s="61" t="str">
        <f t="shared" si="10"/>
        <v/>
      </c>
      <c r="H122" s="12"/>
      <c r="I122" s="75" t="str">
        <f t="shared" si="7"/>
        <v/>
      </c>
      <c r="J122" s="72" t="str">
        <f t="shared" si="8"/>
        <v/>
      </c>
      <c r="K122" s="37"/>
      <c r="L122" s="37"/>
    </row>
    <row r="123" spans="1:12" ht="15.6">
      <c r="A123" s="26" t="str">
        <v>TES Bird in Hand</v>
      </c>
      <c r="B123" s="27" t="str">
        <v>MD</v>
      </c>
      <c r="C123" s="25" t="str">
        <f>Sites[[#This Row],[SOL'#]]</f>
        <v>SOL-10092</v>
      </c>
      <c r="D123" s="9"/>
      <c r="E123" s="14"/>
      <c r="F123" s="14" t="str">
        <f t="shared" si="6"/>
        <v/>
      </c>
      <c r="G123" s="15" t="str">
        <f t="shared" si="10"/>
        <v/>
      </c>
      <c r="H123" s="16"/>
      <c r="I123" s="16" t="str">
        <f t="shared" si="7"/>
        <v/>
      </c>
      <c r="J123" s="15" t="str">
        <f t="shared" si="8"/>
        <v/>
      </c>
      <c r="K123" s="38"/>
      <c r="L123" s="39"/>
    </row>
    <row r="124" spans="1:12" ht="15.6">
      <c r="A124" s="24" t="str">
        <v>TES Shortal Solar LLC</v>
      </c>
      <c r="B124" s="25" t="str">
        <v>MD</v>
      </c>
      <c r="C124" s="25" t="str">
        <f>Sites[[#This Row],[SOL'#]]</f>
        <v>SOL-10091</v>
      </c>
      <c r="D124" s="60"/>
      <c r="E124" s="10"/>
      <c r="F124" s="10" t="str">
        <f t="shared" si="6"/>
        <v/>
      </c>
      <c r="G124" s="61" t="str">
        <f t="shared" si="10"/>
        <v/>
      </c>
      <c r="H124" s="75"/>
      <c r="I124" s="75" t="str">
        <f t="shared" si="7"/>
        <v/>
      </c>
      <c r="J124" s="72" t="str">
        <f t="shared" si="8"/>
        <v/>
      </c>
      <c r="K124" s="63"/>
      <c r="L124" s="63"/>
    </row>
    <row r="125" spans="1:12" ht="15.6">
      <c r="A125" s="26" t="str">
        <v>Coca Cola Aguadilla</v>
      </c>
      <c r="B125" s="27" t="str">
        <v>PR</v>
      </c>
      <c r="C125" s="25" t="str">
        <f>Sites[[#This Row],[SOL'#]]</f>
        <v>SOL-10072</v>
      </c>
      <c r="D125" s="9"/>
      <c r="E125" s="14"/>
      <c r="F125" s="14" t="str">
        <f t="shared" si="6"/>
        <v/>
      </c>
      <c r="G125" s="15" t="str">
        <f t="shared" si="10"/>
        <v/>
      </c>
      <c r="H125" s="16"/>
      <c r="I125" s="16" t="str">
        <f t="shared" si="7"/>
        <v/>
      </c>
      <c r="J125" s="15" t="str">
        <f t="shared" si="8"/>
        <v/>
      </c>
      <c r="K125" s="38"/>
      <c r="L125" s="38"/>
    </row>
    <row r="126" spans="1:12" ht="15.6">
      <c r="A126" s="24" t="str">
        <v>Coca Cola Bayamon</v>
      </c>
      <c r="B126" s="25" t="str">
        <v>PR</v>
      </c>
      <c r="C126" s="25" t="str">
        <f>Sites[[#This Row],[SOL'#]]</f>
        <v>SOL-10073</v>
      </c>
      <c r="D126" s="20"/>
      <c r="E126" s="10"/>
      <c r="F126" s="10" t="str">
        <f t="shared" si="6"/>
        <v/>
      </c>
      <c r="G126" s="61" t="str">
        <f t="shared" si="10"/>
        <v/>
      </c>
      <c r="H126" s="12"/>
      <c r="I126" s="75" t="str">
        <f t="shared" si="7"/>
        <v/>
      </c>
      <c r="J126" s="72" t="str">
        <f t="shared" si="8"/>
        <v/>
      </c>
      <c r="K126" s="37"/>
      <c r="L126" s="37"/>
    </row>
    <row r="127" spans="1:12" ht="75" customHeight="1">
      <c r="A127" s="26" t="str">
        <v>St Francis School</v>
      </c>
      <c r="B127" s="27" t="str">
        <v>PR</v>
      </c>
      <c r="C127" s="25" t="str">
        <f>Sites[[#This Row],[SOL'#]]</f>
        <v>SOL-10034</v>
      </c>
      <c r="D127" s="9"/>
      <c r="E127" s="14"/>
      <c r="F127" s="14" t="str">
        <f t="shared" si="6"/>
        <v/>
      </c>
      <c r="G127" s="15" t="str">
        <f t="shared" si="10"/>
        <v/>
      </c>
      <c r="H127" s="16"/>
      <c r="I127" s="16" t="str">
        <f t="shared" si="7"/>
        <v/>
      </c>
      <c r="J127" s="15" t="str">
        <f t="shared" si="8"/>
        <v/>
      </c>
      <c r="K127" s="56"/>
      <c r="L127" s="95"/>
    </row>
    <row r="128" spans="1:12" ht="15.6">
      <c r="A128" s="24" t="str">
        <v>645 Summer Street - (Seaport Solar)</v>
      </c>
      <c r="B128" s="25" t="str">
        <v>MA</v>
      </c>
      <c r="C128" s="25" t="str">
        <f>Sites[[#This Row],[SOL'#]]</f>
        <v>SOL-10772</v>
      </c>
      <c r="D128" s="20"/>
      <c r="E128" s="10"/>
      <c r="F128" s="10" t="str">
        <f t="shared" si="6"/>
        <v/>
      </c>
      <c r="G128" s="61" t="str">
        <f t="shared" si="10"/>
        <v/>
      </c>
      <c r="H128" s="12"/>
      <c r="I128" s="75" t="str">
        <f t="shared" si="7"/>
        <v/>
      </c>
      <c r="J128" s="72" t="str">
        <f t="shared" si="8"/>
        <v/>
      </c>
      <c r="K128" s="37"/>
      <c r="L128" s="37"/>
    </row>
    <row r="129" spans="1:12" ht="15.6">
      <c r="A129" s="26" t="str">
        <v>480 Sprague St</v>
      </c>
      <c r="B129" s="27" t="str">
        <v>MA</v>
      </c>
      <c r="C129" s="25" t="str">
        <f>Sites[[#This Row],[SOL'#]]</f>
        <v>SOL-10773</v>
      </c>
      <c r="D129" s="9"/>
      <c r="E129" s="14"/>
      <c r="F129" s="14" t="str">
        <f t="shared" si="6"/>
        <v/>
      </c>
      <c r="G129" s="15" t="str">
        <f t="shared" si="10"/>
        <v/>
      </c>
      <c r="H129" s="16"/>
      <c r="I129" s="16" t="str">
        <f t="shared" si="7"/>
        <v/>
      </c>
      <c r="J129" s="15" t="str">
        <f t="shared" si="8"/>
        <v/>
      </c>
      <c r="K129" s="38"/>
      <c r="L129" s="39"/>
    </row>
    <row r="130" spans="1:12" ht="15.6">
      <c r="A130" s="24" t="str">
        <v>647 Summer Street - (Summer Street Solar)</v>
      </c>
      <c r="B130" s="25" t="str">
        <v>MA</v>
      </c>
      <c r="C130" s="25" t="str">
        <f>Sites[[#This Row],[SOL'#]]</f>
        <v>SOL-10764</v>
      </c>
      <c r="D130" s="20"/>
      <c r="E130" s="10"/>
      <c r="F130" s="10" t="str">
        <f t="shared" si="6"/>
        <v/>
      </c>
      <c r="G130" s="61" t="str">
        <f t="shared" si="10"/>
        <v/>
      </c>
      <c r="H130" s="12"/>
      <c r="I130" s="75" t="str">
        <f t="shared" si="7"/>
        <v/>
      </c>
      <c r="J130" s="72" t="str">
        <f t="shared" si="8"/>
        <v/>
      </c>
      <c r="K130" s="37"/>
      <c r="L130" s="37"/>
    </row>
    <row r="131" spans="1:12" ht="15.6">
      <c r="A131" s="26" t="str">
        <v>Rochester Technical School (Wakefield Street)</v>
      </c>
      <c r="B131" s="27" t="str">
        <v>NH</v>
      </c>
      <c r="C131" s="25" t="str">
        <f>Sites[[#This Row],[SOL'#]]</f>
        <v>SOL-10768</v>
      </c>
      <c r="D131" s="9"/>
      <c r="E131" s="14"/>
      <c r="F131" s="14" t="str">
        <f t="shared" si="6"/>
        <v/>
      </c>
      <c r="G131" s="15" t="str">
        <f t="shared" si="10"/>
        <v/>
      </c>
      <c r="H131" s="16"/>
      <c r="I131" s="16" t="str">
        <f t="shared" si="7"/>
        <v/>
      </c>
      <c r="J131" s="15" t="str">
        <f t="shared" si="8"/>
        <v/>
      </c>
      <c r="K131" s="38"/>
      <c r="L131" s="39"/>
    </row>
    <row r="132" spans="1:12" ht="15.6">
      <c r="A132" s="24" t="str">
        <v>McClelland ES</v>
      </c>
      <c r="B132" s="25" t="str">
        <v>NH</v>
      </c>
      <c r="C132" s="25" t="str">
        <f>Sites[[#This Row],[SOL'#]]</f>
        <v>SOL-10766</v>
      </c>
      <c r="D132" s="20"/>
      <c r="E132" s="10"/>
      <c r="F132" s="10" t="str">
        <f t="shared" si="6"/>
        <v/>
      </c>
      <c r="G132" s="61" t="str">
        <f t="shared" si="10"/>
        <v/>
      </c>
      <c r="H132" s="12"/>
      <c r="I132" s="75" t="str">
        <f t="shared" si="7"/>
        <v/>
      </c>
      <c r="J132" s="72" t="str">
        <f t="shared" si="8"/>
        <v/>
      </c>
      <c r="K132" s="37"/>
      <c r="L132" s="37"/>
    </row>
    <row r="133" spans="1:12" ht="15.6">
      <c r="A133" s="26" t="str">
        <v>Portland St</v>
      </c>
      <c r="B133" s="27" t="str">
        <v>NH</v>
      </c>
      <c r="C133" s="25" t="str">
        <f>Sites[[#This Row],[SOL'#]]</f>
        <v>SOL-10771</v>
      </c>
      <c r="D133" s="9"/>
      <c r="E133" s="14"/>
      <c r="F133" s="14" t="str">
        <f t="shared" ref="F133:F161" si="11">IF(AND(ISNUMBER(D133),ISNUMBER(E133)), D133-E133, "")</f>
        <v/>
      </c>
      <c r="G133" s="15" t="str">
        <f t="shared" si="10"/>
        <v/>
      </c>
      <c r="H133" s="16"/>
      <c r="I133" s="16"/>
      <c r="J133" s="15" t="str">
        <f t="shared" ref="J133:J161" si="12">IFERROR(I133/H133, "")</f>
        <v/>
      </c>
      <c r="K133" s="38"/>
      <c r="L133" s="39"/>
    </row>
    <row r="134" spans="1:12" ht="15.6">
      <c r="A134" s="24" t="str">
        <v>Freshet Road -PHS</v>
      </c>
      <c r="B134" s="25" t="str">
        <v>NH</v>
      </c>
      <c r="C134" s="25" t="str">
        <f>Sites[[#This Row],[SOL'#]]</f>
        <v>SOL-10769</v>
      </c>
      <c r="D134" s="20"/>
      <c r="E134" s="10"/>
      <c r="F134" s="10" t="str">
        <f t="shared" si="11"/>
        <v/>
      </c>
      <c r="G134" s="61" t="str">
        <f t="shared" si="10"/>
        <v/>
      </c>
      <c r="H134" s="12"/>
      <c r="I134" s="75" t="str">
        <f t="shared" ref="I134:I161" si="13">IF(AND(ISNUMBER(D134),ISNUMBER(H134)), D134-H134, "")</f>
        <v/>
      </c>
      <c r="J134" s="72" t="str">
        <f t="shared" si="12"/>
        <v/>
      </c>
      <c r="K134" s="37"/>
      <c r="L134" s="37"/>
    </row>
    <row r="135" spans="1:12" ht="15.6">
      <c r="A135" s="26" t="str">
        <v>Freshet Road - PWTP</v>
      </c>
      <c r="B135" s="27" t="str">
        <v>NH</v>
      </c>
      <c r="C135" s="25" t="str">
        <f>Sites[[#This Row],[SOL'#]]</f>
        <v>SOL-10770</v>
      </c>
      <c r="D135" s="9"/>
      <c r="E135" s="14"/>
      <c r="F135" s="14" t="str">
        <f t="shared" si="11"/>
        <v/>
      </c>
      <c r="G135" s="15" t="str">
        <f t="shared" si="10"/>
        <v/>
      </c>
      <c r="H135" s="16"/>
      <c r="I135" s="16" t="str">
        <f t="shared" si="13"/>
        <v/>
      </c>
      <c r="J135" s="15" t="str">
        <f t="shared" si="12"/>
        <v/>
      </c>
      <c r="K135" s="38"/>
      <c r="L135" s="39"/>
    </row>
    <row r="136" spans="1:12" ht="15.6">
      <c r="A136" s="24" t="str">
        <v>Rochester Middle School (Brock Street)</v>
      </c>
      <c r="B136" s="25" t="str">
        <v>NH</v>
      </c>
      <c r="C136" s="25" t="str">
        <f>Sites[[#This Row],[SOL'#]]</f>
        <v>SOL-10765</v>
      </c>
      <c r="D136" s="20"/>
      <c r="E136" s="10"/>
      <c r="F136" s="10" t="str">
        <f>IF(AND(ISNUMBER(D136),ISNUMBER(E136)), D136-E136, "")</f>
        <v/>
      </c>
      <c r="G136" s="61" t="str">
        <f t="shared" si="10"/>
        <v/>
      </c>
      <c r="H136" s="12"/>
      <c r="I136" s="75" t="str">
        <f>IF(AND(ISNUMBER(D136),ISNUMBER(H136)), D136-H136, "")</f>
        <v/>
      </c>
      <c r="J136" s="72" t="str">
        <f t="shared" si="12"/>
        <v/>
      </c>
      <c r="K136" s="37"/>
      <c r="L136" s="37"/>
    </row>
    <row r="137" spans="1:12" ht="15.6">
      <c r="A137" s="26" t="str">
        <v>Spaulding High School (Wakefield Street)</v>
      </c>
      <c r="B137" s="27" t="str">
        <v>NH</v>
      </c>
      <c r="C137" s="25" t="str">
        <f>Sites[[#This Row],[SOL'#]]</f>
        <v>SOL-10767</v>
      </c>
      <c r="D137" s="9"/>
      <c r="E137" s="14"/>
      <c r="F137" s="14" t="str">
        <f t="shared" si="11"/>
        <v/>
      </c>
      <c r="G137" s="15" t="str">
        <f t="shared" si="10"/>
        <v/>
      </c>
      <c r="H137" s="16"/>
      <c r="I137" s="16" t="str">
        <f t="shared" si="13"/>
        <v/>
      </c>
      <c r="J137" s="15" t="str">
        <f t="shared" si="12"/>
        <v/>
      </c>
      <c r="K137" s="38"/>
      <c r="L137" s="39"/>
    </row>
    <row r="138" spans="1:12" ht="15.6">
      <c r="A138" s="24" t="str">
        <v>Ridgeway #2</v>
      </c>
      <c r="B138" s="25" t="str">
        <v>NY</v>
      </c>
      <c r="C138" s="25" t="str">
        <f>Sites[[#This Row],[SOL'#]]</f>
        <v>SOL-11027</v>
      </c>
      <c r="D138" s="20"/>
      <c r="E138" s="10"/>
      <c r="F138" s="10" t="str">
        <f t="shared" si="11"/>
        <v/>
      </c>
      <c r="G138" s="61" t="str">
        <f t="shared" si="10"/>
        <v/>
      </c>
      <c r="H138" s="12"/>
      <c r="I138" s="75" t="str">
        <f t="shared" si="13"/>
        <v/>
      </c>
      <c r="J138" s="72" t="str">
        <f t="shared" si="12"/>
        <v/>
      </c>
      <c r="K138" s="37"/>
      <c r="L138" s="37"/>
    </row>
    <row r="139" spans="1:12" ht="15.6">
      <c r="A139" s="26" t="str">
        <v>Spencer</v>
      </c>
      <c r="B139" s="27" t="str">
        <v>NY</v>
      </c>
      <c r="C139" s="25" t="str">
        <f>Sites[[#This Row],[SOL'#]]</f>
        <v>SOL-11017</v>
      </c>
      <c r="D139" s="9"/>
      <c r="E139" s="14"/>
      <c r="F139" s="14" t="str">
        <f t="shared" si="11"/>
        <v/>
      </c>
      <c r="G139" s="15" t="str">
        <f t="shared" si="10"/>
        <v/>
      </c>
      <c r="H139" s="16"/>
      <c r="I139" s="16" t="str">
        <f t="shared" si="13"/>
        <v/>
      </c>
      <c r="J139" s="15" t="str">
        <f t="shared" si="12"/>
        <v/>
      </c>
      <c r="K139" s="89"/>
      <c r="L139" s="96"/>
    </row>
    <row r="140" spans="1:12" ht="15.6">
      <c r="A140" s="24" t="str">
        <v>Reisender</v>
      </c>
      <c r="B140" s="25" t="str">
        <v>NY</v>
      </c>
      <c r="C140" s="25" t="str">
        <f>Sites[[#This Row],[SOL'#]]</f>
        <v>SOL-10886</v>
      </c>
      <c r="D140" s="60"/>
      <c r="E140" s="10"/>
      <c r="F140" s="10" t="str">
        <f t="shared" si="11"/>
        <v/>
      </c>
      <c r="G140" s="61" t="str">
        <f t="shared" si="10"/>
        <v/>
      </c>
      <c r="H140" s="75"/>
      <c r="I140" s="75" t="str">
        <f t="shared" si="13"/>
        <v/>
      </c>
      <c r="J140" s="72" t="str">
        <f t="shared" si="12"/>
        <v/>
      </c>
      <c r="K140" s="63"/>
      <c r="L140" s="37"/>
    </row>
    <row r="141" spans="1:12" ht="15.6">
      <c r="A141" s="26" t="str">
        <v>Finney</v>
      </c>
      <c r="B141" s="27" t="str">
        <v>NY</v>
      </c>
      <c r="C141" s="25" t="str">
        <f>Sites[[#This Row],[SOL'#]]</f>
        <v>SOL-10999</v>
      </c>
      <c r="D141" s="74"/>
      <c r="E141" s="14"/>
      <c r="F141" s="14" t="str">
        <f t="shared" si="11"/>
        <v/>
      </c>
      <c r="G141" s="76" t="str">
        <f t="shared" si="10"/>
        <v/>
      </c>
      <c r="H141" s="77"/>
      <c r="I141" s="16" t="str">
        <f t="shared" si="13"/>
        <v/>
      </c>
      <c r="J141" s="15" t="str">
        <f t="shared" si="12"/>
        <v/>
      </c>
      <c r="K141" s="38"/>
      <c r="L141" s="17"/>
    </row>
    <row r="142" spans="1:12" ht="15.6">
      <c r="A142" s="24" t="str">
        <v>Davis Solar</v>
      </c>
      <c r="B142" s="25" t="str">
        <v>NY</v>
      </c>
      <c r="C142" s="25" t="str">
        <f>Sites[[#This Row],[SOL'#]]</f>
        <v>SOL-10958</v>
      </c>
      <c r="D142" s="60"/>
      <c r="E142" s="10"/>
      <c r="F142" s="10" t="str">
        <f t="shared" si="11"/>
        <v/>
      </c>
      <c r="G142" s="61" t="str">
        <f t="shared" si="10"/>
        <v/>
      </c>
      <c r="H142" s="75"/>
      <c r="I142" s="75" t="str">
        <f t="shared" si="13"/>
        <v/>
      </c>
      <c r="J142" s="72" t="str">
        <f t="shared" si="12"/>
        <v/>
      </c>
      <c r="K142" s="63"/>
      <c r="L142" s="37"/>
    </row>
    <row r="143" spans="1:12" ht="15.6">
      <c r="A143" s="26" t="str">
        <v>Genesee</v>
      </c>
      <c r="B143" s="27" t="str">
        <v>NY</v>
      </c>
      <c r="C143" s="25" t="str">
        <f>Sites[[#This Row],[SOL'#]]</f>
        <v>SOL-10951</v>
      </c>
      <c r="D143" s="74"/>
      <c r="E143" s="14"/>
      <c r="F143" s="14" t="str">
        <f t="shared" si="11"/>
        <v/>
      </c>
      <c r="G143" s="76" t="str">
        <f t="shared" si="10"/>
        <v/>
      </c>
      <c r="H143" s="77"/>
      <c r="I143" s="16" t="str">
        <f t="shared" si="13"/>
        <v/>
      </c>
      <c r="J143" s="15" t="str">
        <f t="shared" si="12"/>
        <v/>
      </c>
      <c r="K143" s="38"/>
      <c r="L143" s="17"/>
    </row>
    <row r="144" spans="1:12" ht="15.6">
      <c r="A144" s="24" t="str">
        <v>Landau I</v>
      </c>
      <c r="B144" s="25" t="str">
        <v>NY</v>
      </c>
      <c r="C144" s="25" t="str">
        <f>Sites[[#This Row],[SOL'#]]</f>
        <v>SOL-10891</v>
      </c>
      <c r="D144" s="60"/>
      <c r="E144" s="10"/>
      <c r="F144" s="10" t="str">
        <f t="shared" si="11"/>
        <v/>
      </c>
      <c r="G144" s="61" t="str">
        <f t="shared" si="10"/>
        <v/>
      </c>
      <c r="H144" s="75"/>
      <c r="I144" s="75" t="str">
        <f t="shared" si="13"/>
        <v/>
      </c>
      <c r="J144" s="72" t="str">
        <f t="shared" si="12"/>
        <v/>
      </c>
      <c r="K144" s="63"/>
      <c r="L144" s="37"/>
    </row>
    <row r="145" spans="1:12" ht="15.6">
      <c r="A145" s="26" t="str">
        <v>Landau II</v>
      </c>
      <c r="B145" s="27" t="str">
        <v>NY</v>
      </c>
      <c r="C145" s="25" t="str">
        <f>Sites[[#This Row],[SOL'#]]</f>
        <v>SOL-10895</v>
      </c>
      <c r="D145" s="74"/>
      <c r="E145" s="14"/>
      <c r="F145" s="14" t="str">
        <f t="shared" si="11"/>
        <v/>
      </c>
      <c r="G145" s="76" t="str">
        <f t="shared" si="10"/>
        <v/>
      </c>
      <c r="H145" s="77"/>
      <c r="I145" s="16" t="str">
        <f t="shared" si="13"/>
        <v/>
      </c>
      <c r="J145" s="15" t="str">
        <f t="shared" si="12"/>
        <v/>
      </c>
      <c r="K145" s="56"/>
      <c r="L145" s="93"/>
    </row>
    <row r="146" spans="1:12" ht="15.6">
      <c r="A146" s="24" t="str">
        <v>New Beginnings</v>
      </c>
      <c r="B146" s="25" t="str">
        <v>NY</v>
      </c>
      <c r="C146" s="25" t="str">
        <f>Sites[[#This Row],[SOL'#]]</f>
        <v>SOL-10890</v>
      </c>
      <c r="D146" s="60"/>
      <c r="E146" s="10"/>
      <c r="F146" s="10" t="str">
        <f t="shared" si="11"/>
        <v/>
      </c>
      <c r="G146" s="61" t="str">
        <f t="shared" ref="G146:G161" si="14">IFERROR(F146/E146, "")</f>
        <v/>
      </c>
      <c r="H146" s="75"/>
      <c r="I146" s="75" t="str">
        <f t="shared" si="13"/>
        <v/>
      </c>
      <c r="J146" s="72" t="str">
        <f t="shared" si="12"/>
        <v/>
      </c>
      <c r="K146" s="63"/>
      <c r="L146" s="37"/>
    </row>
    <row r="147" spans="1:12" ht="15.6">
      <c r="A147" s="26" t="str">
        <v>Bullitt Farm Solar, LLC</v>
      </c>
      <c r="B147" s="27" t="str">
        <v>NY</v>
      </c>
      <c r="C147" s="25" t="str">
        <f>Sites[[#This Row],[SOL'#]]</f>
        <v>SOL-10998</v>
      </c>
      <c r="D147" s="74"/>
      <c r="E147" s="14"/>
      <c r="F147" s="14" t="str">
        <f t="shared" si="11"/>
        <v/>
      </c>
      <c r="G147" s="76" t="str">
        <f t="shared" si="14"/>
        <v/>
      </c>
      <c r="H147" s="77"/>
      <c r="I147" s="16" t="str">
        <f t="shared" si="13"/>
        <v/>
      </c>
      <c r="J147" s="15" t="str">
        <f t="shared" si="12"/>
        <v/>
      </c>
      <c r="K147" s="38"/>
      <c r="L147" s="17"/>
    </row>
    <row r="148" spans="1:12" ht="15.6">
      <c r="A148" s="24" t="str">
        <v>Brodhead Solar, LLC</v>
      </c>
      <c r="B148" s="25" t="str">
        <v>NY</v>
      </c>
      <c r="C148" s="25" t="str">
        <f>Sites[[#This Row],[SOL'#]]</f>
        <v>SOL-10899</v>
      </c>
      <c r="D148" s="60"/>
      <c r="E148" s="10"/>
      <c r="F148" s="10" t="str">
        <f t="shared" si="11"/>
        <v/>
      </c>
      <c r="G148" s="61" t="str">
        <f t="shared" si="14"/>
        <v/>
      </c>
      <c r="H148" s="75"/>
      <c r="I148" s="75" t="str">
        <f t="shared" si="13"/>
        <v/>
      </c>
      <c r="J148" s="72" t="str">
        <f t="shared" si="12"/>
        <v/>
      </c>
      <c r="K148" s="63"/>
      <c r="L148" s="37"/>
    </row>
    <row r="149" spans="1:12" ht="15.6">
      <c r="A149" s="26" t="str">
        <v>Svenski</v>
      </c>
      <c r="B149" s="27" t="str">
        <v>NY</v>
      </c>
      <c r="C149" s="25" t="str">
        <f>Sites[[#This Row],[SOL'#]]</f>
        <v>SOL-10894</v>
      </c>
      <c r="D149" s="74"/>
      <c r="E149" s="14"/>
      <c r="F149" s="14" t="str">
        <f t="shared" si="11"/>
        <v/>
      </c>
      <c r="G149" s="76" t="str">
        <f t="shared" si="14"/>
        <v/>
      </c>
      <c r="H149" s="77"/>
      <c r="I149" s="16" t="str">
        <f t="shared" si="13"/>
        <v/>
      </c>
      <c r="J149" s="15" t="str">
        <f t="shared" si="12"/>
        <v/>
      </c>
      <c r="K149" s="38"/>
      <c r="L149" s="92"/>
    </row>
    <row r="150" spans="1:12" ht="15.6">
      <c r="A150" s="24" t="str">
        <v>Bantam</v>
      </c>
      <c r="B150" s="25" t="str">
        <v>NY</v>
      </c>
      <c r="C150" s="25" t="str">
        <f>Sites[[#This Row],[SOL'#]]</f>
        <v>SOL-10986</v>
      </c>
      <c r="D150" s="60"/>
      <c r="E150" s="10"/>
      <c r="F150" s="10" t="str">
        <f t="shared" si="11"/>
        <v/>
      </c>
      <c r="G150" s="61" t="str">
        <f t="shared" si="14"/>
        <v/>
      </c>
      <c r="H150" s="75"/>
      <c r="I150" s="75" t="str">
        <f t="shared" si="13"/>
        <v/>
      </c>
      <c r="J150" s="72" t="str">
        <f t="shared" si="12"/>
        <v/>
      </c>
      <c r="K150" s="63"/>
      <c r="L150" s="37"/>
    </row>
    <row r="151" spans="1:12" ht="15.6">
      <c r="A151" s="26" t="str">
        <v>Bogart</v>
      </c>
      <c r="B151" s="27" t="str">
        <v>NY</v>
      </c>
      <c r="C151" s="25" t="str">
        <f>Sites[[#This Row],[SOL'#]]</f>
        <v>SOL-10887</v>
      </c>
      <c r="D151" s="74"/>
      <c r="E151" s="14"/>
      <c r="F151" s="14" t="str">
        <f t="shared" si="11"/>
        <v/>
      </c>
      <c r="G151" s="76" t="str">
        <f t="shared" si="14"/>
        <v/>
      </c>
      <c r="H151" s="77"/>
      <c r="I151" s="16" t="str">
        <f t="shared" si="13"/>
        <v/>
      </c>
      <c r="J151" s="15" t="str">
        <f t="shared" si="12"/>
        <v/>
      </c>
      <c r="K151" s="38"/>
      <c r="L151" s="17"/>
    </row>
    <row r="152" spans="1:12" ht="15.6">
      <c r="A152" s="24" t="str">
        <v>Dubois</v>
      </c>
      <c r="B152" s="25" t="str">
        <v>NY</v>
      </c>
      <c r="C152" s="25" t="str">
        <f>Sites[[#This Row],[SOL'#]]</f>
        <v>SOL-10892</v>
      </c>
      <c r="D152" s="60"/>
      <c r="E152" s="10"/>
      <c r="F152" s="10" t="str">
        <f t="shared" si="11"/>
        <v/>
      </c>
      <c r="G152" s="61" t="str">
        <f t="shared" si="14"/>
        <v/>
      </c>
      <c r="H152" s="75"/>
      <c r="I152" s="75" t="str">
        <f t="shared" si="13"/>
        <v/>
      </c>
      <c r="J152" s="72" t="str">
        <f t="shared" si="12"/>
        <v/>
      </c>
      <c r="K152" s="63"/>
      <c r="L152" s="63"/>
    </row>
    <row r="153" spans="1:12" ht="15.6">
      <c r="A153" s="26" t="str">
        <v>Salt Point</v>
      </c>
      <c r="B153" s="27" t="str">
        <v>NY</v>
      </c>
      <c r="C153" s="25" t="str">
        <f>Sites[[#This Row],[SOL'#]]</f>
        <v>SOL-10888</v>
      </c>
      <c r="D153" s="74"/>
      <c r="E153" s="14"/>
      <c r="F153" s="14" t="str">
        <f t="shared" si="11"/>
        <v/>
      </c>
      <c r="G153" s="76" t="str">
        <f t="shared" si="14"/>
        <v/>
      </c>
      <c r="H153" s="77"/>
      <c r="I153" s="16" t="str">
        <f t="shared" si="13"/>
        <v/>
      </c>
      <c r="J153" s="15" t="str">
        <f t="shared" si="12"/>
        <v/>
      </c>
      <c r="K153" s="155"/>
      <c r="L153" s="91"/>
    </row>
    <row r="154" spans="1:12" ht="15.6">
      <c r="A154" s="24" t="str">
        <v>Wheatland 2A</v>
      </c>
      <c r="B154" s="25" t="str">
        <v>NY</v>
      </c>
      <c r="C154" s="25" t="str">
        <f>Sites[[#This Row],[SOL'#]]</f>
        <v>SOL-10971</v>
      </c>
      <c r="D154" s="60"/>
      <c r="E154" s="10"/>
      <c r="F154" s="10" t="str">
        <f t="shared" si="11"/>
        <v/>
      </c>
      <c r="G154" s="61" t="str">
        <f t="shared" si="14"/>
        <v/>
      </c>
      <c r="H154" s="75"/>
      <c r="I154" s="75" t="str">
        <f t="shared" si="13"/>
        <v/>
      </c>
      <c r="J154" s="72" t="str">
        <f t="shared" si="12"/>
        <v/>
      </c>
      <c r="K154" s="63"/>
      <c r="L154" s="59"/>
    </row>
    <row r="155" spans="1:12" ht="15.6">
      <c r="A155" s="26" t="str">
        <v>Wheatland 2B</v>
      </c>
      <c r="B155" s="27" t="str">
        <v>NY</v>
      </c>
      <c r="C155" s="25" t="str">
        <f>Sites[[#This Row],[SOL'#]]</f>
        <v>SOL-10961</v>
      </c>
      <c r="D155" s="74"/>
      <c r="E155" s="14"/>
      <c r="F155" s="14" t="str">
        <f t="shared" si="11"/>
        <v/>
      </c>
      <c r="G155" s="76" t="str">
        <f t="shared" si="14"/>
        <v/>
      </c>
      <c r="H155" s="77"/>
      <c r="I155" s="16" t="str">
        <f t="shared" si="13"/>
        <v/>
      </c>
      <c r="J155" s="15" t="str">
        <f t="shared" si="12"/>
        <v/>
      </c>
      <c r="K155" s="38"/>
      <c r="L155" s="17"/>
    </row>
    <row r="156" spans="1:12" ht="15.6">
      <c r="A156" s="24" t="str">
        <v>Brickchurch</v>
      </c>
      <c r="B156" s="25" t="str">
        <v>NY</v>
      </c>
      <c r="C156" s="25" t="str">
        <f>Sites[[#This Row],[SOL'#]]</f>
        <v>SOL-10889</v>
      </c>
      <c r="D156" s="60"/>
      <c r="E156" s="10"/>
      <c r="F156" s="10" t="str">
        <f t="shared" si="11"/>
        <v/>
      </c>
      <c r="G156" s="61" t="str">
        <f t="shared" si="14"/>
        <v/>
      </c>
      <c r="H156" s="75"/>
      <c r="I156" s="75" t="str">
        <f t="shared" si="13"/>
        <v/>
      </c>
      <c r="J156" s="72" t="str">
        <f t="shared" si="12"/>
        <v/>
      </c>
      <c r="K156" s="63"/>
      <c r="L156" s="37"/>
    </row>
    <row r="157" spans="1:12" ht="15.6">
      <c r="A157" s="26" t="str">
        <v>McCarthy Solar</v>
      </c>
      <c r="B157" s="27" t="str">
        <v>NY</v>
      </c>
      <c r="C157" s="25" t="str">
        <f>Sites[[#This Row],[SOL'#]]</f>
        <v>SOL-10992</v>
      </c>
      <c r="D157" s="74"/>
      <c r="E157" s="14"/>
      <c r="F157" s="14" t="str">
        <f t="shared" si="11"/>
        <v/>
      </c>
      <c r="G157" s="76" t="str">
        <f t="shared" si="14"/>
        <v/>
      </c>
      <c r="H157" s="77"/>
      <c r="I157" s="16" t="str">
        <f t="shared" si="13"/>
        <v/>
      </c>
      <c r="J157" s="15" t="str">
        <f t="shared" si="12"/>
        <v/>
      </c>
      <c r="L157" s="17"/>
    </row>
    <row r="158" spans="1:12" ht="15.6">
      <c r="A158" s="24" t="str">
        <v>Costanza</v>
      </c>
      <c r="B158" s="25" t="str">
        <v>NY</v>
      </c>
      <c r="C158" s="25" t="str">
        <f>Sites[[#This Row],[SOL'#]]</f>
        <v>SOL-10907</v>
      </c>
      <c r="D158" s="60"/>
      <c r="E158" s="10"/>
      <c r="F158" s="10" t="str">
        <f t="shared" si="11"/>
        <v/>
      </c>
      <c r="G158" s="61" t="str">
        <f t="shared" si="14"/>
        <v/>
      </c>
      <c r="H158" s="75"/>
      <c r="I158" s="75" t="str">
        <f t="shared" si="13"/>
        <v/>
      </c>
      <c r="J158" s="72" t="str">
        <f t="shared" si="12"/>
        <v/>
      </c>
      <c r="K158" s="63"/>
      <c r="L158" s="37"/>
    </row>
    <row r="159" spans="1:12" ht="15.6">
      <c r="A159" s="26" t="str">
        <v>Lockenhurst Pond</v>
      </c>
      <c r="B159" s="27" t="str">
        <v>NY</v>
      </c>
      <c r="C159" s="25" t="str">
        <f>Sites[[#This Row],[SOL'#]]</f>
        <v>SOL-11000</v>
      </c>
      <c r="D159" s="74"/>
      <c r="E159" s="14"/>
      <c r="F159" s="14" t="str">
        <f t="shared" si="11"/>
        <v/>
      </c>
      <c r="G159" s="76" t="str">
        <f t="shared" si="14"/>
        <v/>
      </c>
      <c r="H159" s="77"/>
      <c r="I159" s="16" t="str">
        <f t="shared" si="13"/>
        <v/>
      </c>
      <c r="J159" s="15" t="str">
        <f t="shared" si="12"/>
        <v/>
      </c>
      <c r="K159" s="38"/>
      <c r="L159" s="17"/>
    </row>
    <row r="160" spans="1:12" ht="15.6">
      <c r="A160" s="24" t="str">
        <v>Drinkwater</v>
      </c>
      <c r="B160" s="25" t="str">
        <v>NY</v>
      </c>
      <c r="C160" s="25" t="str">
        <f>Sites[[#This Row],[SOL'#]]</f>
        <v>SOL-10896</v>
      </c>
      <c r="D160" s="60"/>
      <c r="E160" s="10"/>
      <c r="F160" s="10" t="str">
        <f t="shared" si="11"/>
        <v/>
      </c>
      <c r="G160" s="61" t="str">
        <f t="shared" si="14"/>
        <v/>
      </c>
      <c r="H160" s="75"/>
      <c r="I160" s="75" t="str">
        <f t="shared" si="13"/>
        <v/>
      </c>
      <c r="J160" s="72" t="str">
        <f t="shared" si="12"/>
        <v/>
      </c>
      <c r="K160" s="63"/>
      <c r="L160" s="37"/>
    </row>
    <row r="161" spans="1:12" ht="15.6">
      <c r="A161" s="26" t="str">
        <v>Altamont</v>
      </c>
      <c r="B161" s="27" t="str">
        <v>NY</v>
      </c>
      <c r="C161" s="25" t="str">
        <f>Sites[[#This Row],[SOL'#]]</f>
        <v>SOL-11085</v>
      </c>
      <c r="D161" s="74"/>
      <c r="E161" s="14"/>
      <c r="F161" s="14" t="str">
        <f t="shared" si="11"/>
        <v/>
      </c>
      <c r="G161" s="76" t="str">
        <f t="shared" si="14"/>
        <v/>
      </c>
      <c r="H161" s="77"/>
      <c r="I161" s="16" t="str">
        <f t="shared" si="13"/>
        <v/>
      </c>
      <c r="J161" s="15" t="str">
        <f t="shared" si="12"/>
        <v/>
      </c>
      <c r="K161" s="38"/>
      <c r="L161" s="83"/>
    </row>
    <row r="162" spans="1:12" ht="15.6">
      <c r="A162" s="24" t="str">
        <v>Krumkill North</v>
      </c>
      <c r="B162" s="25" t="str">
        <v>NY</v>
      </c>
      <c r="C162" s="25" t="str">
        <f>Sites[[#This Row],[SOL'#]]</f>
        <v>SOL-11086</v>
      </c>
      <c r="D162" s="60"/>
      <c r="E162" s="10"/>
      <c r="F162" s="10" t="str">
        <f t="shared" ref="F162:F185" si="15">IF(AND(ISNUMBER(D162),ISNUMBER(E162)), D162-E162, "")</f>
        <v/>
      </c>
      <c r="G162" s="61" t="str">
        <f t="shared" ref="G162:G185" si="16">IFERROR(F162/E162, "")</f>
        <v/>
      </c>
      <c r="H162" s="75"/>
      <c r="I162" s="75" t="str">
        <f t="shared" ref="I162:I185" si="17">IF(AND(ISNUMBER(D162),ISNUMBER(H162)), D162-H162, "")</f>
        <v/>
      </c>
      <c r="J162" s="72" t="str">
        <f t="shared" ref="J162:J185" si="18">IFERROR(I162/H162, "")</f>
        <v/>
      </c>
      <c r="K162" s="63"/>
      <c r="L162" s="37"/>
    </row>
    <row r="163" spans="1:12" ht="15.6">
      <c r="A163" s="26" t="str">
        <v>Krumkill South</v>
      </c>
      <c r="B163" s="27" t="str">
        <v>NY</v>
      </c>
      <c r="C163" s="25" t="str">
        <f>Sites[[#This Row],[SOL'#]]</f>
        <v>SOL-11087</v>
      </c>
      <c r="D163" s="74"/>
      <c r="E163" s="14"/>
      <c r="F163" s="14" t="str">
        <f t="shared" si="15"/>
        <v/>
      </c>
      <c r="G163" s="76" t="str">
        <f t="shared" si="16"/>
        <v/>
      </c>
      <c r="H163" s="77"/>
      <c r="I163" s="16" t="str">
        <f t="shared" si="17"/>
        <v/>
      </c>
      <c r="J163" s="15" t="str">
        <f t="shared" si="18"/>
        <v/>
      </c>
      <c r="K163" s="38"/>
      <c r="L163" s="83"/>
    </row>
    <row r="164" spans="1:12" ht="15.6">
      <c r="A164" s="24" t="str">
        <v>X092</v>
      </c>
      <c r="B164" s="25" t="str">
        <v>NY</v>
      </c>
      <c r="C164" s="25" t="str">
        <f>Sites[[#This Row],[SOL'#]]</f>
        <v>SOL-11189</v>
      </c>
      <c r="D164" s="60"/>
      <c r="E164" s="10"/>
      <c r="F164" s="10" t="str">
        <f t="shared" si="15"/>
        <v/>
      </c>
      <c r="G164" s="61" t="str">
        <f t="shared" si="16"/>
        <v/>
      </c>
      <c r="H164" s="75"/>
      <c r="I164" s="75" t="str">
        <f t="shared" si="17"/>
        <v/>
      </c>
      <c r="J164" s="72" t="str">
        <f t="shared" si="18"/>
        <v/>
      </c>
      <c r="K164" s="63"/>
      <c r="L164" s="37"/>
    </row>
    <row r="165" spans="1:12" ht="15.6">
      <c r="A165" s="26" t="str">
        <v>X093</v>
      </c>
      <c r="B165" s="27" t="str">
        <v>NY</v>
      </c>
      <c r="C165" s="25" t="str">
        <f>Sites[[#This Row],[SOL'#]]</f>
        <v>SOL-10932</v>
      </c>
      <c r="D165" s="74"/>
      <c r="E165" s="14"/>
      <c r="F165" s="14" t="str">
        <f t="shared" si="15"/>
        <v/>
      </c>
      <c r="G165" s="76" t="str">
        <f t="shared" si="16"/>
        <v/>
      </c>
      <c r="H165" s="77"/>
      <c r="I165" s="16" t="str">
        <f t="shared" si="17"/>
        <v/>
      </c>
      <c r="J165" s="15" t="str">
        <f t="shared" si="18"/>
        <v/>
      </c>
      <c r="K165" s="38"/>
      <c r="L165" s="83"/>
    </row>
    <row r="166" spans="1:12" ht="15.6">
      <c r="A166" s="24" t="str">
        <v>X095</v>
      </c>
      <c r="B166" s="25" t="str">
        <v>NY</v>
      </c>
      <c r="C166" s="25" t="str">
        <f>Sites[[#This Row],[SOL'#]]</f>
        <v>SOL-10929</v>
      </c>
      <c r="D166" s="60"/>
      <c r="E166" s="10"/>
      <c r="F166" s="10" t="str">
        <f t="shared" si="15"/>
        <v/>
      </c>
      <c r="G166" s="61" t="str">
        <f t="shared" si="16"/>
        <v/>
      </c>
      <c r="H166" s="75"/>
      <c r="I166" s="75" t="str">
        <f t="shared" si="17"/>
        <v/>
      </c>
      <c r="J166" s="72" t="str">
        <f t="shared" si="18"/>
        <v/>
      </c>
      <c r="K166" s="63"/>
      <c r="L166" s="37"/>
    </row>
    <row r="167" spans="1:12" ht="15.6">
      <c r="A167" s="26" t="str">
        <v>X181</v>
      </c>
      <c r="B167" s="27" t="str">
        <v>NY</v>
      </c>
      <c r="C167" s="25" t="str">
        <f>Sites[[#This Row],[SOL'#]]</f>
        <v>SOL-10428</v>
      </c>
      <c r="D167" s="74"/>
      <c r="E167" s="14"/>
      <c r="F167" s="14" t="str">
        <f t="shared" si="15"/>
        <v/>
      </c>
      <c r="G167" s="76" t="str">
        <f t="shared" si="16"/>
        <v/>
      </c>
      <c r="H167" s="77"/>
      <c r="I167" s="16" t="str">
        <f t="shared" si="17"/>
        <v/>
      </c>
      <c r="J167" s="15" t="str">
        <f t="shared" si="18"/>
        <v/>
      </c>
      <c r="K167" s="38"/>
      <c r="L167" s="83"/>
    </row>
    <row r="168" spans="1:12" ht="15.6">
      <c r="A168" s="24" t="str">
        <v>X415</v>
      </c>
      <c r="B168" s="25" t="str">
        <v>NY</v>
      </c>
      <c r="C168" s="25" t="str">
        <f>Sites[[#This Row],[SOL'#]]</f>
        <v>SOL-10429</v>
      </c>
      <c r="D168" s="60"/>
      <c r="E168" s="10"/>
      <c r="F168" s="10" t="str">
        <f t="shared" si="15"/>
        <v/>
      </c>
      <c r="G168" s="61" t="str">
        <f t="shared" si="16"/>
        <v/>
      </c>
      <c r="H168" s="75"/>
      <c r="I168" s="75" t="str">
        <f t="shared" si="17"/>
        <v/>
      </c>
      <c r="J168" s="72" t="str">
        <f t="shared" si="18"/>
        <v/>
      </c>
      <c r="K168" s="63"/>
      <c r="L168" s="37"/>
    </row>
    <row r="169" spans="1:12" ht="15.6">
      <c r="A169" s="26" t="str">
        <v>K198</v>
      </c>
      <c r="B169" s="27" t="str">
        <v>NY</v>
      </c>
      <c r="C169" s="25" t="str">
        <f>Sites[[#This Row],[SOL'#]]</f>
        <v>SOL-10930</v>
      </c>
      <c r="D169" s="74"/>
      <c r="E169" s="14"/>
      <c r="F169" s="14" t="str">
        <f t="shared" si="15"/>
        <v/>
      </c>
      <c r="G169" s="76" t="str">
        <f t="shared" si="16"/>
        <v/>
      </c>
      <c r="H169" s="77"/>
      <c r="I169" s="16" t="str">
        <f t="shared" si="17"/>
        <v/>
      </c>
      <c r="J169" s="15" t="str">
        <f t="shared" si="18"/>
        <v/>
      </c>
      <c r="K169" s="38"/>
      <c r="L169" s="83"/>
    </row>
    <row r="170" spans="1:12" ht="15.6">
      <c r="A170" s="24" t="str">
        <v>K203</v>
      </c>
      <c r="B170" s="25" t="str">
        <v>NY</v>
      </c>
      <c r="C170" s="25" t="str">
        <f>Sites[[#This Row],[SOL'#]]</f>
        <v>SOL-11190</v>
      </c>
      <c r="D170" s="60"/>
      <c r="E170" s="10"/>
      <c r="F170" s="10" t="str">
        <f t="shared" si="15"/>
        <v/>
      </c>
      <c r="G170" s="61" t="str">
        <f t="shared" si="16"/>
        <v/>
      </c>
      <c r="H170" s="75"/>
      <c r="I170" s="75" t="str">
        <f t="shared" si="17"/>
        <v/>
      </c>
      <c r="J170" s="72" t="str">
        <f t="shared" si="18"/>
        <v/>
      </c>
      <c r="K170" s="63"/>
      <c r="L170" s="37"/>
    </row>
    <row r="171" spans="1:12" ht="15.6">
      <c r="A171" s="26" t="str">
        <v>K213</v>
      </c>
      <c r="B171" s="27" t="str">
        <v>NY</v>
      </c>
      <c r="C171" s="25" t="str">
        <f>Sites[[#This Row],[SOL'#]]</f>
        <v>SOL-11191</v>
      </c>
      <c r="D171" s="74"/>
      <c r="E171" s="14"/>
      <c r="F171" s="14" t="str">
        <f t="shared" si="15"/>
        <v/>
      </c>
      <c r="G171" s="76" t="str">
        <f t="shared" si="16"/>
        <v/>
      </c>
      <c r="H171" s="77"/>
      <c r="I171" s="16" t="str">
        <f t="shared" si="17"/>
        <v/>
      </c>
      <c r="J171" s="15" t="str">
        <f t="shared" si="18"/>
        <v/>
      </c>
      <c r="K171" s="38"/>
      <c r="L171" s="83"/>
    </row>
    <row r="172" spans="1:12" ht="15.6">
      <c r="A172" s="24" t="str">
        <v>K217</v>
      </c>
      <c r="B172" s="25" t="str">
        <v>NY</v>
      </c>
      <c r="C172" s="25" t="str">
        <f>Sites[[#This Row],[SOL'#]]</f>
        <v>SOL-10933</v>
      </c>
      <c r="D172" s="60"/>
      <c r="E172" s="10"/>
      <c r="F172" s="10" t="str">
        <f t="shared" si="15"/>
        <v/>
      </c>
      <c r="G172" s="61" t="str">
        <f t="shared" si="16"/>
        <v/>
      </c>
      <c r="H172" s="75"/>
      <c r="I172" s="75" t="str">
        <f t="shared" si="17"/>
        <v/>
      </c>
      <c r="J172" s="72" t="str">
        <f t="shared" si="18"/>
        <v/>
      </c>
      <c r="K172" s="63"/>
      <c r="L172" s="37"/>
    </row>
    <row r="173" spans="1:12" ht="15.6">
      <c r="A173" s="26" t="str">
        <v>K307</v>
      </c>
      <c r="B173" s="27" t="str">
        <v>NY</v>
      </c>
      <c r="C173" s="25" t="str">
        <f>Sites[[#This Row],[SOL'#]]</f>
        <v>SOL-10876</v>
      </c>
      <c r="D173" s="74"/>
      <c r="E173" s="14"/>
      <c r="F173" s="14" t="str">
        <f t="shared" si="15"/>
        <v/>
      </c>
      <c r="G173" s="76" t="str">
        <f t="shared" si="16"/>
        <v/>
      </c>
      <c r="H173" s="77"/>
      <c r="I173" s="16" t="str">
        <f t="shared" si="17"/>
        <v/>
      </c>
      <c r="J173" s="15" t="str">
        <f t="shared" si="18"/>
        <v/>
      </c>
      <c r="K173" s="38"/>
      <c r="L173" s="83"/>
    </row>
    <row r="174" spans="1:12" ht="15.6">
      <c r="A174" s="24" t="str">
        <v>K610</v>
      </c>
      <c r="B174" s="25" t="str">
        <v>NY</v>
      </c>
      <c r="C174" s="25" t="str">
        <f>Sites[[#This Row],[SOL'#]]</f>
        <v>SOL-11158</v>
      </c>
      <c r="D174" s="60"/>
      <c r="E174" s="10"/>
      <c r="F174" s="10" t="str">
        <f t="shared" si="15"/>
        <v/>
      </c>
      <c r="G174" s="61" t="str">
        <f t="shared" si="16"/>
        <v/>
      </c>
      <c r="H174" s="75"/>
      <c r="I174" s="75" t="str">
        <f t="shared" si="17"/>
        <v/>
      </c>
      <c r="J174" s="72" t="str">
        <f t="shared" si="18"/>
        <v/>
      </c>
      <c r="K174" s="63"/>
      <c r="L174" s="37"/>
    </row>
    <row r="175" spans="1:12" ht="15.6">
      <c r="A175" s="26" t="str">
        <v>M025</v>
      </c>
      <c r="B175" s="27" t="str">
        <v>NY</v>
      </c>
      <c r="C175" s="25" t="str">
        <f>Sites[[#This Row],[SOL'#]]</f>
        <v>SOL-10392</v>
      </c>
      <c r="D175" s="74"/>
      <c r="E175" s="14"/>
      <c r="F175" s="14" t="str">
        <f t="shared" si="15"/>
        <v/>
      </c>
      <c r="G175" s="76" t="str">
        <f t="shared" si="16"/>
        <v/>
      </c>
      <c r="H175" s="77"/>
      <c r="I175" s="16" t="str">
        <f t="shared" si="17"/>
        <v/>
      </c>
      <c r="J175" s="15" t="str">
        <f t="shared" si="18"/>
        <v/>
      </c>
      <c r="K175" s="38"/>
      <c r="L175" s="83"/>
    </row>
    <row r="176" spans="1:12" ht="15.6">
      <c r="A176" s="24" t="str">
        <v>M028</v>
      </c>
      <c r="B176" s="25" t="str">
        <v>NY</v>
      </c>
      <c r="C176" s="25" t="str">
        <f>Sites[[#This Row],[SOL'#]]</f>
        <v>SOL-10381</v>
      </c>
      <c r="D176" s="60"/>
      <c r="E176" s="10"/>
      <c r="F176" s="10" t="str">
        <f t="shared" si="15"/>
        <v/>
      </c>
      <c r="G176" s="61" t="str">
        <f t="shared" si="16"/>
        <v/>
      </c>
      <c r="H176" s="75"/>
      <c r="I176" s="75" t="str">
        <f t="shared" si="17"/>
        <v/>
      </c>
      <c r="J176" s="72" t="str">
        <f t="shared" si="18"/>
        <v/>
      </c>
      <c r="K176" s="63"/>
      <c r="L176" s="37"/>
    </row>
    <row r="177" spans="1:12" ht="15.6">
      <c r="A177" s="26" t="str">
        <v>Q030</v>
      </c>
      <c r="B177" s="27" t="str">
        <v>NY</v>
      </c>
      <c r="C177" s="25" t="str">
        <f>Sites[[#This Row],[SOL'#]]</f>
        <v>SOL-10878</v>
      </c>
      <c r="D177" s="74"/>
      <c r="E177" s="14"/>
      <c r="F177" s="14" t="str">
        <f t="shared" si="15"/>
        <v/>
      </c>
      <c r="G177" s="76" t="str">
        <f t="shared" si="16"/>
        <v/>
      </c>
      <c r="H177" s="77"/>
      <c r="I177" s="16" t="str">
        <f t="shared" si="17"/>
        <v/>
      </c>
      <c r="J177" s="15" t="str">
        <f t="shared" si="18"/>
        <v/>
      </c>
      <c r="K177" s="38"/>
      <c r="L177" s="83"/>
    </row>
    <row r="178" spans="1:12" ht="15.6">
      <c r="A178" s="24" t="str">
        <v>Q130</v>
      </c>
      <c r="B178" s="25" t="str">
        <v>NY</v>
      </c>
      <c r="C178" s="25" t="str">
        <f>Sites[[#This Row],[SOL'#]]</f>
        <v>SOL-10877</v>
      </c>
      <c r="D178" s="60"/>
      <c r="E178" s="10"/>
      <c r="F178" s="10" t="str">
        <f t="shared" si="15"/>
        <v/>
      </c>
      <c r="G178" s="61" t="str">
        <f t="shared" si="16"/>
        <v/>
      </c>
      <c r="H178" s="75"/>
      <c r="I178" s="75" t="str">
        <f t="shared" si="17"/>
        <v/>
      </c>
      <c r="J178" s="72" t="str">
        <f t="shared" si="18"/>
        <v/>
      </c>
      <c r="K178" s="63"/>
      <c r="L178" s="37"/>
    </row>
    <row r="179" spans="1:12" ht="15.6">
      <c r="A179" s="26" t="str">
        <v>Q196</v>
      </c>
      <c r="B179" s="27" t="str">
        <v>NY</v>
      </c>
      <c r="C179" s="25" t="str">
        <f>Sites[[#This Row],[SOL'#]]</f>
        <v>SOL-10879</v>
      </c>
      <c r="D179" s="74"/>
      <c r="E179" s="14"/>
      <c r="F179" s="14" t="str">
        <f t="shared" si="15"/>
        <v/>
      </c>
      <c r="G179" s="76" t="str">
        <f t="shared" si="16"/>
        <v/>
      </c>
      <c r="H179" s="77"/>
      <c r="I179" s="16" t="str">
        <f t="shared" si="17"/>
        <v/>
      </c>
      <c r="J179" s="15" t="str">
        <f t="shared" si="18"/>
        <v/>
      </c>
      <c r="K179" s="38"/>
      <c r="L179" s="83"/>
    </row>
    <row r="180" spans="1:12" ht="15.6">
      <c r="A180" s="24" t="str">
        <v>Q220</v>
      </c>
      <c r="B180" s="25" t="str">
        <v>NY</v>
      </c>
      <c r="C180" s="25" t="str">
        <f>Sites[[#This Row],[SOL'#]]</f>
        <v>SOL-10873</v>
      </c>
      <c r="D180" s="60"/>
      <c r="E180" s="10"/>
      <c r="F180" s="10" t="str">
        <f t="shared" si="15"/>
        <v/>
      </c>
      <c r="G180" s="61" t="str">
        <f t="shared" si="16"/>
        <v/>
      </c>
      <c r="H180" s="75"/>
      <c r="I180" s="75" t="str">
        <f t="shared" si="17"/>
        <v/>
      </c>
      <c r="J180" s="72" t="str">
        <f t="shared" si="18"/>
        <v/>
      </c>
      <c r="K180" s="63"/>
      <c r="L180" s="37"/>
    </row>
    <row r="181" spans="1:12" ht="15.6">
      <c r="A181" s="26" t="str">
        <v>Q205</v>
      </c>
      <c r="B181" s="27" t="str">
        <v>NY</v>
      </c>
      <c r="C181" s="25" t="str">
        <f>Sites[[#This Row],[SOL'#]]</f>
        <v>SOL-10922</v>
      </c>
      <c r="D181" s="74"/>
      <c r="E181" s="14"/>
      <c r="F181" s="14" t="str">
        <f t="shared" si="15"/>
        <v/>
      </c>
      <c r="G181" s="76" t="str">
        <f t="shared" si="16"/>
        <v/>
      </c>
      <c r="H181" s="77"/>
      <c r="I181" s="16" t="str">
        <f t="shared" si="17"/>
        <v/>
      </c>
      <c r="J181" s="15" t="str">
        <f t="shared" si="18"/>
        <v/>
      </c>
      <c r="K181" s="38"/>
      <c r="L181" s="83"/>
    </row>
    <row r="182" spans="1:12" ht="15.6">
      <c r="A182" s="24" t="str">
        <v>Q400</v>
      </c>
      <c r="B182" s="25" t="str">
        <v>NY</v>
      </c>
      <c r="C182" s="25" t="str">
        <f>Sites[[#This Row],[SOL'#]]</f>
        <v>SOL-10871</v>
      </c>
      <c r="D182" s="60"/>
      <c r="E182" s="10"/>
      <c r="F182" s="10" t="str">
        <f t="shared" si="15"/>
        <v/>
      </c>
      <c r="G182" s="61" t="str">
        <f t="shared" si="16"/>
        <v/>
      </c>
      <c r="H182" s="75"/>
      <c r="I182" s="75" t="str">
        <f t="shared" si="17"/>
        <v/>
      </c>
      <c r="J182" s="72" t="str">
        <f t="shared" si="18"/>
        <v/>
      </c>
      <c r="K182" s="63"/>
      <c r="L182" s="37"/>
    </row>
    <row r="183" spans="1:12" ht="15.6">
      <c r="A183" s="26" t="str">
        <v>R003</v>
      </c>
      <c r="B183" s="27" t="str">
        <v>NY</v>
      </c>
      <c r="C183" s="25" t="str">
        <f>Sites[[#This Row],[SOL'#]]</f>
        <v>SOL-10416</v>
      </c>
      <c r="D183" s="74"/>
      <c r="E183" s="14"/>
      <c r="F183" s="14" t="str">
        <f t="shared" si="15"/>
        <v/>
      </c>
      <c r="G183" s="76" t="str">
        <f t="shared" si="16"/>
        <v/>
      </c>
      <c r="H183" s="77"/>
      <c r="I183" s="16" t="str">
        <f t="shared" si="17"/>
        <v/>
      </c>
      <c r="J183" s="15" t="str">
        <f t="shared" si="18"/>
        <v/>
      </c>
      <c r="K183" s="38"/>
      <c r="L183" s="83"/>
    </row>
    <row r="184" spans="1:12" ht="15.6">
      <c r="A184" s="24" t="str">
        <v>R007</v>
      </c>
      <c r="B184" s="25" t="str">
        <v>NY</v>
      </c>
      <c r="C184" s="25" t="str">
        <f>Sites[[#This Row],[SOL'#]]</f>
        <v>SOL-10417</v>
      </c>
      <c r="D184" s="60"/>
      <c r="E184" s="10"/>
      <c r="F184" s="10" t="str">
        <f t="shared" si="15"/>
        <v/>
      </c>
      <c r="G184" s="61" t="str">
        <f t="shared" si="16"/>
        <v/>
      </c>
      <c r="H184" s="75"/>
      <c r="I184" s="75" t="str">
        <f t="shared" si="17"/>
        <v/>
      </c>
      <c r="J184" s="72" t="str">
        <f t="shared" si="18"/>
        <v/>
      </c>
      <c r="K184" s="63"/>
      <c r="L184" s="37"/>
    </row>
    <row r="185" spans="1:12" ht="15.6">
      <c r="A185" s="26" t="str">
        <v>BK16</v>
      </c>
      <c r="B185" s="27" t="str">
        <v>NY</v>
      </c>
      <c r="C185" s="25" t="str">
        <f>Sites[[#This Row],[SOL'#]]</f>
        <v>SOL-11093</v>
      </c>
      <c r="D185" s="74"/>
      <c r="E185" s="14"/>
      <c r="F185" s="14" t="str">
        <f t="shared" si="15"/>
        <v/>
      </c>
      <c r="G185" s="76" t="str">
        <f t="shared" si="16"/>
        <v/>
      </c>
      <c r="H185" s="77"/>
      <c r="I185" s="16" t="str">
        <f t="shared" si="17"/>
        <v/>
      </c>
      <c r="J185" s="15" t="str">
        <f t="shared" si="18"/>
        <v/>
      </c>
      <c r="K185" s="38"/>
      <c r="L185" s="83"/>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85 J4:J185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200"/>
  <sheetViews>
    <sheetView zoomScale="60" zoomScaleNormal="60" workbookViewId="0">
      <pane xSplit="2" ySplit="3" topLeftCell="C4" activePane="bottomRight" state="frozen"/>
      <selection pane="bottomRight" activeCell="J191" sqref="J191"/>
      <selection pane="bottomLeft" activeCell="K164" sqref="K164"/>
      <selection pane="topRight" activeCell="K164" sqref="K164"/>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65" t="str" cm="1">
        <f t="array" ref="A1">portfolio</f>
        <v>Generate Capital</v>
      </c>
      <c r="B1" s="165"/>
      <c r="C1" s="165"/>
      <c r="D1" s="165"/>
      <c r="E1" s="166" t="s">
        <v>1990</v>
      </c>
      <c r="F1" s="166"/>
      <c r="G1" s="166"/>
      <c r="H1" s="164" t="s">
        <v>1991</v>
      </c>
      <c r="I1" s="164"/>
      <c r="J1" s="164"/>
      <c r="K1" s="4"/>
      <c r="L1" s="4"/>
    </row>
    <row r="2" spans="1:12" ht="19.5" customHeight="1">
      <c r="A2" s="167" t="s">
        <v>2</v>
      </c>
      <c r="B2" s="167"/>
      <c r="C2" s="65"/>
      <c r="D2" s="5">
        <f>SUM(D4:D200)</f>
        <v>0</v>
      </c>
      <c r="E2" s="5">
        <f>SUM(E4:E100)</f>
        <v>0</v>
      </c>
      <c r="F2" s="5">
        <f>D2-E2</f>
        <v>0</v>
      </c>
      <c r="G2" s="6">
        <f>IFERROR(F2/E2, 0)</f>
        <v>0</v>
      </c>
      <c r="H2" s="5">
        <f>SUM(H4:H200)</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3"/>
    </row>
    <row r="5" spans="1:12" ht="15.6">
      <c r="A5" s="26" t="str">
        <v>Fulton</v>
      </c>
      <c r="B5" s="27" t="str">
        <v>AZ</v>
      </c>
      <c r="C5" s="25"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57"/>
      <c r="L5" s="155"/>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3"/>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57"/>
      <c r="L7" s="155"/>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3"/>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57"/>
      <c r="L9" s="9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3"/>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57"/>
      <c r="L11" s="9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3"/>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57"/>
      <c r="L13" s="155"/>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3"/>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57"/>
      <c r="L15" s="155"/>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3"/>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57"/>
      <c r="L17" s="155"/>
    </row>
    <row r="18" spans="1:12" ht="24" customHeight="1">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9"/>
      <c r="L18" s="53"/>
    </row>
    <row r="19" spans="1:12" ht="15.6">
      <c r="A19" s="26" t="str">
        <v>RCAB</v>
      </c>
      <c r="B19" s="27" t="str">
        <v>MA</v>
      </c>
      <c r="C19" s="25" t="str">
        <f>Sites[[#This Row],[SOL'#]]</f>
        <v>SOL-10838</v>
      </c>
      <c r="D19" s="9"/>
      <c r="E19" s="14"/>
      <c r="F19" s="14" t="str">
        <f t="shared" si="4"/>
        <v/>
      </c>
      <c r="G19" s="15" t="str">
        <f t="shared" si="5"/>
        <v/>
      </c>
      <c r="H19" s="16"/>
      <c r="I19" s="16" t="str">
        <f t="shared" si="6"/>
        <v/>
      </c>
      <c r="J19" s="15" t="str">
        <f t="shared" si="7"/>
        <v/>
      </c>
      <c r="K19" s="57"/>
      <c r="L19" s="97"/>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59"/>
      <c r="L20" s="53"/>
    </row>
    <row r="21" spans="1:12" ht="15.6">
      <c r="A21" s="26" t="str">
        <v>K026</v>
      </c>
      <c r="B21" s="27" t="str">
        <v>NY</v>
      </c>
      <c r="C21" s="25" t="str">
        <f>Sites[[#This Row],[SOL'#]]</f>
        <v>SOL-10356</v>
      </c>
      <c r="D21" s="9"/>
      <c r="E21" s="14"/>
      <c r="F21" s="14" t="str">
        <f t="shared" si="4"/>
        <v/>
      </c>
      <c r="G21" s="15" t="str">
        <f t="shared" si="5"/>
        <v/>
      </c>
      <c r="H21" s="16"/>
      <c r="I21" s="16" t="str">
        <f t="shared" si="6"/>
        <v/>
      </c>
      <c r="J21" s="15" t="str">
        <f t="shared" si="7"/>
        <v/>
      </c>
      <c r="K21" s="57"/>
      <c r="L21" s="97"/>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59"/>
      <c r="L22" s="53"/>
    </row>
    <row r="23" spans="1:12" ht="15.6">
      <c r="A23" s="26" t="str">
        <v>K043</v>
      </c>
      <c r="B23" s="27" t="str">
        <v>NY</v>
      </c>
      <c r="C23" s="25" t="str">
        <f>Sites[[#This Row],[SOL'#]]</f>
        <v>SOL-10358</v>
      </c>
      <c r="D23" s="9"/>
      <c r="E23" s="14"/>
      <c r="F23" s="14" t="str">
        <f t="shared" si="4"/>
        <v/>
      </c>
      <c r="G23" s="15" t="str">
        <f t="shared" si="5"/>
        <v/>
      </c>
      <c r="H23" s="16"/>
      <c r="I23" s="16" t="str">
        <f t="shared" si="6"/>
        <v/>
      </c>
      <c r="J23" s="15" t="str">
        <f t="shared" si="7"/>
        <v/>
      </c>
      <c r="K23" s="57"/>
      <c r="L23" s="97"/>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59"/>
      <c r="L24" s="53"/>
    </row>
    <row r="25" spans="1:12" ht="15.6">
      <c r="A25" s="26" t="str">
        <v>K115</v>
      </c>
      <c r="B25" s="27" t="str">
        <v>NY</v>
      </c>
      <c r="C25" s="25" t="str">
        <f>Sites[[#This Row],[SOL'#]]</f>
        <v>SOL-10361</v>
      </c>
      <c r="D25" s="9"/>
      <c r="E25" s="14"/>
      <c r="F25" s="14" t="str">
        <f t="shared" si="4"/>
        <v/>
      </c>
      <c r="G25" s="15" t="str">
        <f t="shared" si="5"/>
        <v/>
      </c>
      <c r="H25" s="16"/>
      <c r="I25" s="16" t="str">
        <f t="shared" si="6"/>
        <v/>
      </c>
      <c r="J25" s="15" t="str">
        <f t="shared" si="7"/>
        <v/>
      </c>
      <c r="K25" s="57"/>
      <c r="L25" s="97"/>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59"/>
      <c r="L26" s="53"/>
    </row>
    <row r="27" spans="1:12" ht="15.6">
      <c r="A27" s="26" t="str">
        <v>K166</v>
      </c>
      <c r="B27" s="27" t="str">
        <v>NY</v>
      </c>
      <c r="C27" s="25" t="str">
        <f>Sites[[#This Row],[SOL'#]]</f>
        <v>SOL-10363</v>
      </c>
      <c r="D27" s="9"/>
      <c r="E27" s="14"/>
      <c r="F27" s="14" t="str">
        <f t="shared" si="4"/>
        <v/>
      </c>
      <c r="G27" s="15" t="str">
        <f t="shared" si="5"/>
        <v/>
      </c>
      <c r="H27" s="16"/>
      <c r="I27" s="16" t="str">
        <f t="shared" si="6"/>
        <v/>
      </c>
      <c r="J27" s="15" t="str">
        <f t="shared" si="7"/>
        <v/>
      </c>
      <c r="K27" s="57"/>
      <c r="L27" s="97"/>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59"/>
      <c r="L28" s="53"/>
    </row>
    <row r="29" spans="1:12" ht="15.6">
      <c r="A29" s="26" t="str">
        <v>K251</v>
      </c>
      <c r="B29" s="27" t="str">
        <v>NY</v>
      </c>
      <c r="C29" s="25" t="str">
        <f>Sites[[#This Row],[SOL'#]]</f>
        <v>SOL-10365</v>
      </c>
      <c r="D29" s="9"/>
      <c r="E29" s="14"/>
      <c r="F29" s="14" t="str">
        <f t="shared" si="4"/>
        <v/>
      </c>
      <c r="G29" s="15" t="str">
        <f t="shared" si="5"/>
        <v/>
      </c>
      <c r="H29" s="16"/>
      <c r="I29" s="16" t="str">
        <f t="shared" si="6"/>
        <v/>
      </c>
      <c r="J29" s="15" t="str">
        <f t="shared" si="7"/>
        <v/>
      </c>
      <c r="K29" s="57"/>
      <c r="L29" s="155"/>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59"/>
      <c r="L30" s="53"/>
    </row>
    <row r="31" spans="1:12" ht="15.6">
      <c r="A31" s="26" t="str">
        <v>K273</v>
      </c>
      <c r="B31" s="27" t="str">
        <v>NY</v>
      </c>
      <c r="C31" s="25" t="str">
        <f>Sites[[#This Row],[SOL'#]]</f>
        <v>SOL-10367</v>
      </c>
      <c r="D31" s="9"/>
      <c r="E31" s="14"/>
      <c r="F31" s="14" t="str">
        <f t="shared" si="4"/>
        <v/>
      </c>
      <c r="G31" s="15" t="str">
        <f t="shared" si="5"/>
        <v/>
      </c>
      <c r="H31" s="16"/>
      <c r="I31" s="16" t="str">
        <f t="shared" si="6"/>
        <v/>
      </c>
      <c r="J31" s="15" t="str">
        <f t="shared" si="7"/>
        <v/>
      </c>
      <c r="K31" s="57"/>
      <c r="L31" s="155"/>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59"/>
      <c r="L32" s="53"/>
    </row>
    <row r="33" spans="1:12" ht="15.6">
      <c r="A33" s="26" t="str">
        <v>K298</v>
      </c>
      <c r="B33" s="27" t="str">
        <v>NY</v>
      </c>
      <c r="C33" s="25" t="str">
        <f>Sites[[#This Row],[SOL'#]]</f>
        <v>SOL-10368</v>
      </c>
      <c r="D33" s="9"/>
      <c r="E33" s="14"/>
      <c r="F33" s="14" t="str">
        <f t="shared" si="4"/>
        <v/>
      </c>
      <c r="G33" s="15" t="str">
        <f t="shared" si="5"/>
        <v/>
      </c>
      <c r="H33" s="16"/>
      <c r="I33" s="16" t="str">
        <f t="shared" si="6"/>
        <v/>
      </c>
      <c r="J33" s="15" t="str">
        <f t="shared" si="7"/>
        <v/>
      </c>
      <c r="K33" s="57"/>
      <c r="L33" s="97"/>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59"/>
      <c r="L34" s="53"/>
    </row>
    <row r="35" spans="1:12" ht="15.6">
      <c r="A35" s="26" t="str">
        <v>K345</v>
      </c>
      <c r="B35" s="27" t="str">
        <v>NY</v>
      </c>
      <c r="C35" s="25" t="str">
        <f>Sites[[#This Row],[SOL'#]]</f>
        <v>SOL-10920</v>
      </c>
      <c r="D35" s="9"/>
      <c r="E35" s="14"/>
      <c r="F35" s="14" t="str">
        <f t="shared" si="4"/>
        <v/>
      </c>
      <c r="G35" s="15" t="str">
        <f t="shared" si="5"/>
        <v/>
      </c>
      <c r="H35" s="16"/>
      <c r="I35" s="16" t="str">
        <f t="shared" si="6"/>
        <v/>
      </c>
      <c r="J35" s="15" t="str">
        <f t="shared" si="7"/>
        <v/>
      </c>
      <c r="K35" s="57"/>
      <c r="L35" s="97"/>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59"/>
      <c r="L36" s="53"/>
    </row>
    <row r="37" spans="1:12" ht="15.6">
      <c r="A37" s="26" t="str">
        <v>K495</v>
      </c>
      <c r="B37" s="27" t="str">
        <v>NY</v>
      </c>
      <c r="C37" s="25" t="str">
        <f>Sites[[#This Row],[SOL'#]]</f>
        <v>SOL-10374</v>
      </c>
      <c r="D37" s="9"/>
      <c r="E37" s="14"/>
      <c r="F37" s="14" t="str">
        <f t="shared" si="4"/>
        <v/>
      </c>
      <c r="G37" s="15" t="str">
        <f t="shared" si="5"/>
        <v/>
      </c>
      <c r="H37" s="16"/>
      <c r="I37" s="16" t="str">
        <f t="shared" si="6"/>
        <v/>
      </c>
      <c r="J37" s="15" t="str">
        <f t="shared" si="7"/>
        <v/>
      </c>
      <c r="K37" s="57"/>
      <c r="L37" s="155"/>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59"/>
      <c r="L38" s="53"/>
    </row>
    <row r="39" spans="1:12" ht="15.6">
      <c r="A39" s="26" t="str">
        <v>M092</v>
      </c>
      <c r="B39" s="27" t="str">
        <v>NY</v>
      </c>
      <c r="C39" s="25" t="str">
        <f>Sites[[#This Row],[SOL'#]]</f>
        <v>SOL-10383</v>
      </c>
      <c r="D39" s="9"/>
      <c r="E39" s="14"/>
      <c r="F39" s="14" t="str">
        <f t="shared" si="4"/>
        <v/>
      </c>
      <c r="G39" s="15" t="str">
        <f t="shared" si="5"/>
        <v/>
      </c>
      <c r="H39" s="16"/>
      <c r="I39" s="16" t="str">
        <f t="shared" si="6"/>
        <v/>
      </c>
      <c r="J39" s="15" t="str">
        <f t="shared" si="7"/>
        <v/>
      </c>
      <c r="K39" s="57"/>
      <c r="L39" s="97"/>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59"/>
      <c r="L40" s="53"/>
    </row>
    <row r="41" spans="1:12" ht="15.6">
      <c r="A41" s="26" t="str">
        <v>M144</v>
      </c>
      <c r="B41" s="27" t="str">
        <v>NY</v>
      </c>
      <c r="C41" s="25" t="str">
        <f>Sites[[#This Row],[SOL'#]]</f>
        <v>SOL-10385</v>
      </c>
      <c r="D41" s="9"/>
      <c r="E41" s="14"/>
      <c r="F41" s="14" t="str">
        <f t="shared" si="4"/>
        <v/>
      </c>
      <c r="G41" s="15" t="str">
        <f t="shared" si="5"/>
        <v/>
      </c>
      <c r="H41" s="16"/>
      <c r="I41" s="16" t="str">
        <f t="shared" si="6"/>
        <v/>
      </c>
      <c r="J41" s="15" t="str">
        <f t="shared" si="7"/>
        <v/>
      </c>
      <c r="K41" s="57"/>
      <c r="L41" s="155"/>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59"/>
      <c r="L42" s="53"/>
    </row>
    <row r="43" spans="1:12" ht="15.6">
      <c r="A43" s="26" t="str">
        <v>M188</v>
      </c>
      <c r="B43" s="27" t="str">
        <v>NY</v>
      </c>
      <c r="C43" s="25" t="str">
        <f>Sites[[#This Row],[SOL'#]]</f>
        <v>SOL-10387</v>
      </c>
      <c r="D43" s="9"/>
      <c r="E43" s="14"/>
      <c r="F43" s="14" t="str">
        <f t="shared" si="4"/>
        <v/>
      </c>
      <c r="G43" s="15" t="str">
        <f t="shared" si="5"/>
        <v/>
      </c>
      <c r="H43" s="16"/>
      <c r="I43" s="16" t="str">
        <f t="shared" si="6"/>
        <v/>
      </c>
      <c r="J43" s="15" t="str">
        <f t="shared" si="7"/>
        <v/>
      </c>
      <c r="K43" s="57"/>
      <c r="L43" s="97"/>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59"/>
      <c r="L44" s="53"/>
    </row>
    <row r="45" spans="1:12" ht="15.6">
      <c r="A45" s="26" t="str">
        <v>Q008</v>
      </c>
      <c r="B45" s="27" t="str">
        <v>NY</v>
      </c>
      <c r="C45" s="25" t="str">
        <f>Sites[[#This Row],[SOL'#]]</f>
        <v>SOL-10397</v>
      </c>
      <c r="D45" s="9"/>
      <c r="E45" s="14"/>
      <c r="F45" s="14" t="str">
        <f t="shared" si="4"/>
        <v/>
      </c>
      <c r="G45" s="15" t="str">
        <f t="shared" si="5"/>
        <v/>
      </c>
      <c r="H45" s="16"/>
      <c r="I45" s="16" t="str">
        <f t="shared" si="6"/>
        <v/>
      </c>
      <c r="J45" s="15" t="str">
        <f t="shared" si="7"/>
        <v/>
      </c>
      <c r="K45" s="57"/>
      <c r="L45" s="97"/>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59"/>
      <c r="L46" s="53"/>
    </row>
    <row r="47" spans="1:12" ht="15.6">
      <c r="A47" s="26" t="str">
        <v>Q021</v>
      </c>
      <c r="B47" s="27" t="str">
        <v>NY</v>
      </c>
      <c r="C47" s="25" t="str">
        <f>Sites[[#This Row],[SOL'#]]</f>
        <v>SOL-10399</v>
      </c>
      <c r="D47" s="9"/>
      <c r="E47" s="14"/>
      <c r="F47" s="14" t="str">
        <f t="shared" si="4"/>
        <v/>
      </c>
      <c r="G47" s="15" t="str">
        <f t="shared" si="5"/>
        <v/>
      </c>
      <c r="H47" s="16"/>
      <c r="I47" s="16" t="str">
        <f t="shared" si="6"/>
        <v/>
      </c>
      <c r="J47" s="15" t="str">
        <f t="shared" si="7"/>
        <v/>
      </c>
      <c r="K47" s="57"/>
      <c r="L47" s="155"/>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59"/>
      <c r="L48" s="53"/>
    </row>
    <row r="49" spans="1:12" ht="15.6">
      <c r="A49" s="26" t="str">
        <v>Q074</v>
      </c>
      <c r="B49" s="27" t="str">
        <v>NY</v>
      </c>
      <c r="C49" s="25" t="str">
        <f>Sites[[#This Row],[SOL'#]]</f>
        <v>SOL-10402</v>
      </c>
      <c r="D49" s="9"/>
      <c r="E49" s="14"/>
      <c r="F49" s="14" t="str">
        <f t="shared" si="4"/>
        <v/>
      </c>
      <c r="G49" s="15" t="str">
        <f t="shared" si="5"/>
        <v/>
      </c>
      <c r="H49" s="16"/>
      <c r="I49" s="16" t="str">
        <f t="shared" si="6"/>
        <v/>
      </c>
      <c r="J49" s="15" t="str">
        <f t="shared" si="7"/>
        <v/>
      </c>
      <c r="K49" s="57"/>
      <c r="L49" s="97"/>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59"/>
      <c r="L50" s="53"/>
    </row>
    <row r="51" spans="1:12" ht="15.6">
      <c r="A51" s="26" t="str">
        <v>Q139</v>
      </c>
      <c r="B51" s="27" t="str">
        <v>NY</v>
      </c>
      <c r="C51" s="25" t="str">
        <f>Sites[[#This Row],[SOL'#]]</f>
        <v>SOL-10403</v>
      </c>
      <c r="D51" s="9"/>
      <c r="E51" s="14"/>
      <c r="F51" s="14" t="str">
        <f t="shared" si="4"/>
        <v/>
      </c>
      <c r="G51" s="15" t="str">
        <f t="shared" si="5"/>
        <v/>
      </c>
      <c r="H51" s="16"/>
      <c r="I51" s="16" t="str">
        <f t="shared" si="6"/>
        <v/>
      </c>
      <c r="J51" s="15" t="str">
        <f t="shared" si="7"/>
        <v/>
      </c>
      <c r="K51" s="57"/>
      <c r="L51" s="155"/>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81"/>
      <c r="L52" s="120"/>
    </row>
    <row r="53" spans="1:12" ht="15.6">
      <c r="A53" s="26" t="str">
        <v>Q192</v>
      </c>
      <c r="B53" s="27" t="str">
        <v>NY</v>
      </c>
      <c r="C53" s="25" t="str">
        <f>Sites[[#This Row],[SOL'#]]</f>
        <v>SOL-10406</v>
      </c>
      <c r="D53" s="9"/>
      <c r="E53" s="14"/>
      <c r="F53" s="14" t="str">
        <f t="shared" si="4"/>
        <v/>
      </c>
      <c r="G53" s="15" t="str">
        <f t="shared" si="5"/>
        <v/>
      </c>
      <c r="H53" s="16"/>
      <c r="I53" s="16" t="str">
        <f t="shared" si="6"/>
        <v/>
      </c>
      <c r="J53" s="15" t="str">
        <f t="shared" si="7"/>
        <v/>
      </c>
      <c r="K53" s="57"/>
      <c r="L53" s="155"/>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59"/>
      <c r="L54" s="53"/>
    </row>
    <row r="55" spans="1:12" ht="15.6">
      <c r="A55" s="26" t="str">
        <v>Q229</v>
      </c>
      <c r="B55" s="27" t="str">
        <v>NY</v>
      </c>
      <c r="C55" s="25" t="str">
        <f>Sites[[#This Row],[SOL'#]]</f>
        <v>SOL-10408</v>
      </c>
      <c r="D55" s="9"/>
      <c r="E55" s="14"/>
      <c r="F55" s="14" t="str">
        <f t="shared" si="4"/>
        <v/>
      </c>
      <c r="G55" s="15" t="str">
        <f t="shared" si="5"/>
        <v/>
      </c>
      <c r="H55" s="16"/>
      <c r="I55" s="16" t="str">
        <f t="shared" si="6"/>
        <v/>
      </c>
      <c r="J55" s="15" t="str">
        <f t="shared" si="7"/>
        <v/>
      </c>
      <c r="K55" s="57"/>
      <c r="L55" s="97"/>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59"/>
      <c r="L56" s="53"/>
    </row>
    <row r="57" spans="1:12" ht="15.6">
      <c r="A57" s="26" t="str">
        <v>Q405</v>
      </c>
      <c r="B57" s="27" t="str">
        <v>NY</v>
      </c>
      <c r="C57" s="25" t="str">
        <f>Sites[[#This Row],[SOL'#]]</f>
        <v>SOL-10409</v>
      </c>
      <c r="D57" s="9"/>
      <c r="E57" s="14"/>
      <c r="F57" s="14" t="str">
        <f t="shared" si="4"/>
        <v/>
      </c>
      <c r="G57" s="15" t="str">
        <f t="shared" si="5"/>
        <v/>
      </c>
      <c r="H57" s="16"/>
      <c r="I57" s="16" t="str">
        <f t="shared" si="6"/>
        <v/>
      </c>
      <c r="J57" s="15" t="str">
        <f t="shared" si="7"/>
        <v/>
      </c>
      <c r="K57" s="57"/>
      <c r="L57" s="97"/>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3"/>
    </row>
    <row r="59" spans="1:12" ht="15.6">
      <c r="A59" s="26" t="str">
        <v>Q485</v>
      </c>
      <c r="B59" s="27" t="str">
        <v>NY</v>
      </c>
      <c r="C59" s="25" t="str">
        <f>Sites[[#This Row],[SOL'#]]</f>
        <v>SOL-10869</v>
      </c>
      <c r="D59" s="9"/>
      <c r="E59" s="14"/>
      <c r="F59" s="14" t="str">
        <f t="shared" si="4"/>
        <v/>
      </c>
      <c r="G59" s="15" t="str">
        <f t="shared" si="5"/>
        <v/>
      </c>
      <c r="H59" s="16"/>
      <c r="I59" s="16" t="str">
        <f t="shared" si="6"/>
        <v/>
      </c>
      <c r="J59" s="15" t="str">
        <f t="shared" si="7"/>
        <v/>
      </c>
      <c r="K59" s="57"/>
      <c r="L59" s="97"/>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59"/>
      <c r="L60" s="53"/>
    </row>
    <row r="61" spans="1:12" ht="15.6">
      <c r="A61" s="26" t="str">
        <v>Q620</v>
      </c>
      <c r="B61" s="27" t="str">
        <v>NY</v>
      </c>
      <c r="C61" s="25" t="str">
        <f>Sites[[#This Row],[SOL'#]]</f>
        <v>SOL-10867</v>
      </c>
      <c r="D61" s="9"/>
      <c r="E61" s="14"/>
      <c r="F61" s="14" t="str">
        <f t="shared" si="4"/>
        <v/>
      </c>
      <c r="G61" s="15" t="str">
        <f t="shared" si="5"/>
        <v/>
      </c>
      <c r="H61" s="16"/>
      <c r="I61" s="16" t="str">
        <f t="shared" si="6"/>
        <v/>
      </c>
      <c r="J61" s="15" t="str">
        <f t="shared" si="7"/>
        <v/>
      </c>
      <c r="K61" s="57"/>
      <c r="L61" s="97"/>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59"/>
      <c r="L62" s="53"/>
    </row>
    <row r="63" spans="1:12" ht="15.6">
      <c r="A63" s="26" t="str">
        <v>X024</v>
      </c>
      <c r="B63" s="27" t="str">
        <v>NY</v>
      </c>
      <c r="C63" s="25" t="str">
        <f>Sites[[#This Row],[SOL'#]]</f>
        <v>SOL-10419</v>
      </c>
      <c r="D63" s="9"/>
      <c r="E63" s="14"/>
      <c r="F63" s="14" t="str">
        <f t="shared" si="4"/>
        <v/>
      </c>
      <c r="G63" s="15" t="str">
        <f t="shared" si="5"/>
        <v/>
      </c>
      <c r="H63" s="16"/>
      <c r="I63" s="16" t="str">
        <f t="shared" si="6"/>
        <v/>
      </c>
      <c r="J63" s="15" t="str">
        <f t="shared" si="7"/>
        <v/>
      </c>
      <c r="K63" s="57"/>
      <c r="L63" s="99"/>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3"/>
    </row>
    <row r="65" spans="1:12" ht="15.6">
      <c r="A65" s="26" t="str">
        <v>X090</v>
      </c>
      <c r="B65" s="27" t="str">
        <v>NY</v>
      </c>
      <c r="C65" s="25" t="str">
        <f>Sites[[#This Row],[SOL'#]]</f>
        <v>SOL-10925</v>
      </c>
      <c r="D65" s="9"/>
      <c r="E65" s="14"/>
      <c r="F65" s="14" t="str">
        <f t="shared" si="4"/>
        <v/>
      </c>
      <c r="G65" s="15" t="str">
        <f t="shared" si="5"/>
        <v/>
      </c>
      <c r="H65" s="16"/>
      <c r="I65" s="16" t="str">
        <f t="shared" si="6"/>
        <v/>
      </c>
      <c r="J65" s="15" t="str">
        <f t="shared" si="7"/>
        <v/>
      </c>
      <c r="K65" s="57"/>
      <c r="L65" s="155"/>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59"/>
      <c r="L66" s="53"/>
    </row>
    <row r="67" spans="1:12" ht="15.6">
      <c r="A67" s="26" t="str">
        <v>X125</v>
      </c>
      <c r="B67" s="27" t="str">
        <v>NY</v>
      </c>
      <c r="C67" s="25" t="str">
        <f>Sites[[#This Row],[SOL'#]]</f>
        <v>SOL-10423</v>
      </c>
      <c r="D67" s="9"/>
      <c r="E67" s="14"/>
      <c r="F67" s="14" t="str">
        <f t="shared" si="4"/>
        <v/>
      </c>
      <c r="G67" s="15" t="str">
        <f t="shared" si="5"/>
        <v/>
      </c>
      <c r="H67" s="16"/>
      <c r="I67" s="16" t="str">
        <f t="shared" si="6"/>
        <v/>
      </c>
      <c r="J67" s="15" t="str">
        <f t="shared" si="7"/>
        <v/>
      </c>
      <c r="K67" s="57"/>
      <c r="L67" s="97"/>
    </row>
    <row r="68" spans="1:12" ht="15.6">
      <c r="A68" s="24" t="str">
        <v>X134</v>
      </c>
      <c r="B68" s="25" t="str">
        <v>NY</v>
      </c>
      <c r="C68" s="25" t="str">
        <f>Sites[[#This Row],[SOL'#]]</f>
        <v>SOL-10424</v>
      </c>
      <c r="D68" s="20"/>
      <c r="E68" s="10"/>
      <c r="F68" s="10" t="str">
        <f t="shared" si="4"/>
        <v/>
      </c>
      <c r="G68" s="11" t="str">
        <f t="shared" si="5"/>
        <v/>
      </c>
      <c r="H68" s="12"/>
      <c r="I68" s="12" t="str">
        <f t="shared" si="6"/>
        <v/>
      </c>
      <c r="J68" s="13" t="str">
        <f t="shared" si="7"/>
        <v/>
      </c>
      <c r="K68" s="59"/>
      <c r="L68" s="53"/>
    </row>
    <row r="69" spans="1:12" ht="15.6">
      <c r="A69" s="26" t="str">
        <v>X135</v>
      </c>
      <c r="B69" s="27" t="str">
        <v>NY</v>
      </c>
      <c r="C69" s="25" t="str">
        <f>Sites[[#This Row],[SOL'#]]</f>
        <v>SOL-10425</v>
      </c>
      <c r="D69" s="9"/>
      <c r="E69" s="14"/>
      <c r="F69" s="14" t="str">
        <f t="shared" si="4"/>
        <v/>
      </c>
      <c r="G69" s="15" t="str">
        <f t="shared" si="5"/>
        <v/>
      </c>
      <c r="H69" s="16"/>
      <c r="I69" s="16" t="str">
        <f t="shared" si="6"/>
        <v/>
      </c>
      <c r="J69" s="15" t="str">
        <f t="shared" si="7"/>
        <v/>
      </c>
      <c r="K69" s="57"/>
      <c r="L69" s="155"/>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59"/>
      <c r="L70" s="53"/>
    </row>
    <row r="71" spans="1:12" ht="15.6">
      <c r="A71" s="26" t="str">
        <v>X140</v>
      </c>
      <c r="B71" s="27" t="str">
        <v>NY</v>
      </c>
      <c r="C71" s="25" t="str">
        <f>Sites[[#This Row],[SOL'#]]</f>
        <v>SOL-10926</v>
      </c>
      <c r="D71" s="9"/>
      <c r="E71" s="14"/>
      <c r="F71" s="14" t="str">
        <f t="shared" si="4"/>
        <v/>
      </c>
      <c r="G71" s="15" t="str">
        <f t="shared" si="5"/>
        <v/>
      </c>
      <c r="H71" s="16"/>
      <c r="I71" s="16" t="str">
        <f t="shared" si="6"/>
        <v/>
      </c>
      <c r="J71" s="15" t="str">
        <f t="shared" si="7"/>
        <v/>
      </c>
      <c r="K71" s="57"/>
      <c r="L71" s="97"/>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59"/>
      <c r="L72" s="53"/>
    </row>
    <row r="73" spans="1:12" ht="15.6">
      <c r="A73" s="26" t="str">
        <v>Murphy</v>
      </c>
      <c r="B73" s="27" t="str">
        <v>MN</v>
      </c>
      <c r="C73" s="25" t="str">
        <f>Sites[[#This Row],[SOL'#]]</f>
        <v>SOL-10094</v>
      </c>
      <c r="D73" s="9"/>
      <c r="E73" s="14"/>
      <c r="F73" s="14" t="str">
        <f t="shared" si="4"/>
        <v/>
      </c>
      <c r="G73" s="15" t="str">
        <f t="shared" si="5"/>
        <v/>
      </c>
      <c r="H73" s="16"/>
      <c r="I73" s="16" t="str">
        <f t="shared" si="6"/>
        <v/>
      </c>
      <c r="J73" s="15" t="str">
        <f t="shared" si="7"/>
        <v/>
      </c>
      <c r="K73" s="57"/>
      <c r="L73" s="97"/>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59"/>
      <c r="L74" s="53"/>
    </row>
    <row r="75" spans="1:12" ht="15.6">
      <c r="A75" s="26" t="str">
        <v>Boas Road 04</v>
      </c>
      <c r="B75" s="27" t="str">
        <v>NY</v>
      </c>
      <c r="C75" s="25" t="str">
        <f>Sites[[#This Row],[SOL'#]]</f>
        <v>SOL-10908</v>
      </c>
      <c r="D75" s="9"/>
      <c r="E75" s="14"/>
      <c r="F75" s="14" t="str">
        <f t="shared" si="4"/>
        <v/>
      </c>
      <c r="G75" s="15" t="str">
        <f t="shared" si="5"/>
        <v/>
      </c>
      <c r="H75" s="16"/>
      <c r="I75" s="16" t="str">
        <f t="shared" si="6"/>
        <v/>
      </c>
      <c r="J75" s="15" t="str">
        <f t="shared" si="7"/>
        <v/>
      </c>
      <c r="K75" s="57"/>
      <c r="L75" s="97"/>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59"/>
      <c r="L76" s="53"/>
    </row>
    <row r="77" spans="1:12" ht="42" customHeight="1">
      <c r="A77" s="26" t="str">
        <v>Pool Brook Road</v>
      </c>
      <c r="B77" s="27" t="str">
        <v>NY</v>
      </c>
      <c r="C77" s="25" t="str">
        <f>Sites[[#This Row],[SOL'#]]</f>
        <v>SOL-10909</v>
      </c>
      <c r="D77" s="9"/>
      <c r="E77" s="14"/>
      <c r="F77" s="14" t="str">
        <f t="shared" si="4"/>
        <v/>
      </c>
      <c r="G77" s="15" t="str">
        <f t="shared" si="5"/>
        <v/>
      </c>
      <c r="H77" s="16"/>
      <c r="I77" s="16" t="str">
        <f t="shared" si="6"/>
        <v/>
      </c>
      <c r="J77" s="15" t="str">
        <f t="shared" si="7"/>
        <v/>
      </c>
      <c r="K77" s="57"/>
      <c r="L77" s="155"/>
    </row>
    <row r="78" spans="1:12" ht="15.6">
      <c r="A78" s="24" t="str">
        <v>Sackett Lake</v>
      </c>
      <c r="B78" s="25" t="str">
        <v>NY</v>
      </c>
      <c r="C78" s="25" t="str">
        <f>Sites[[#This Row],[SOL'#]]</f>
        <v>SOL-10910</v>
      </c>
      <c r="D78" s="20"/>
      <c r="E78" s="10"/>
      <c r="F78" s="10" t="str">
        <f t="shared" si="4"/>
        <v/>
      </c>
      <c r="G78" s="11" t="str">
        <f t="shared" si="5"/>
        <v/>
      </c>
      <c r="H78" s="12"/>
      <c r="I78" s="12" t="str">
        <f t="shared" si="6"/>
        <v/>
      </c>
      <c r="J78" s="13" t="str">
        <f t="shared" si="7"/>
        <v/>
      </c>
      <c r="K78" s="59"/>
      <c r="L78" s="53"/>
    </row>
    <row r="79" spans="1:12" ht="15.6">
      <c r="A79" s="26" t="str">
        <v>Burritt Road</v>
      </c>
      <c r="B79" s="27" t="str">
        <v>NY</v>
      </c>
      <c r="C79" s="25" t="str">
        <f>Sites[[#This Row],[SOL'#]]</f>
        <v>SOL-10913</v>
      </c>
      <c r="D79" s="9"/>
      <c r="E79" s="14"/>
      <c r="F79" s="14" t="str">
        <f t="shared" si="4"/>
        <v/>
      </c>
      <c r="G79" s="15" t="str">
        <f t="shared" si="5"/>
        <v/>
      </c>
      <c r="H79" s="16"/>
      <c r="I79" s="16" t="str">
        <f t="shared" si="6"/>
        <v/>
      </c>
      <c r="J79" s="15" t="str">
        <f t="shared" si="7"/>
        <v/>
      </c>
      <c r="K79" s="57"/>
      <c r="L79" s="97"/>
    </row>
    <row r="80" spans="1:12" ht="15.6">
      <c r="A80" s="24" t="str">
        <v>Villa Roma 1</v>
      </c>
      <c r="B80" s="25" t="str">
        <v>NY</v>
      </c>
      <c r="C80" s="25" t="str">
        <f>Sites[[#This Row],[SOL'#]]</f>
        <v>SOL-10914</v>
      </c>
      <c r="D80" s="20"/>
      <c r="E80" s="10"/>
      <c r="F80" s="10" t="str">
        <f t="shared" si="4"/>
        <v/>
      </c>
      <c r="G80" s="11" t="str">
        <f t="shared" si="5"/>
        <v/>
      </c>
      <c r="H80" s="12"/>
      <c r="I80" s="12" t="str">
        <f t="shared" si="6"/>
        <v/>
      </c>
      <c r="J80" s="13" t="str">
        <f t="shared" si="7"/>
        <v/>
      </c>
      <c r="K80" s="59"/>
      <c r="L80" s="53"/>
    </row>
    <row r="81" spans="1:12" ht="94.5" customHeight="1">
      <c r="A81" s="26" t="str">
        <v>Villa Roma 2</v>
      </c>
      <c r="B81" s="27" t="str">
        <v>NY</v>
      </c>
      <c r="C81" s="25" t="str">
        <f>Sites[[#This Row],[SOL'#]]</f>
        <v>SOL-10915</v>
      </c>
      <c r="D81" s="9"/>
      <c r="E81" s="14"/>
      <c r="F81" s="14" t="str">
        <f t="shared" si="4"/>
        <v/>
      </c>
      <c r="G81" s="15" t="str">
        <f t="shared" si="5"/>
        <v/>
      </c>
      <c r="H81" s="16"/>
      <c r="I81" s="16" t="str">
        <f t="shared" si="6"/>
        <v/>
      </c>
      <c r="J81" s="15" t="str">
        <f t="shared" si="7"/>
        <v/>
      </c>
      <c r="K81" s="57"/>
      <c r="L81" s="99"/>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9"/>
      <c r="L82" s="53"/>
    </row>
    <row r="83" spans="1:12" ht="121.5" customHeight="1">
      <c r="A83" s="26" t="str">
        <v>Washington 3</v>
      </c>
      <c r="B83" s="27" t="str">
        <v>NY</v>
      </c>
      <c r="C83" s="25" t="str">
        <f>Sites[[#This Row],[SOL'#]]</f>
        <v>SOL-10828</v>
      </c>
      <c r="D83" s="9"/>
      <c r="E83" s="14"/>
      <c r="F83" s="14" t="str">
        <f t="shared" si="8"/>
        <v/>
      </c>
      <c r="G83" s="15" t="str">
        <f t="shared" si="9"/>
        <v/>
      </c>
      <c r="H83" s="16"/>
      <c r="I83" s="16" t="str">
        <f t="shared" si="10"/>
        <v/>
      </c>
      <c r="J83" s="15" t="str">
        <f t="shared" si="11"/>
        <v/>
      </c>
      <c r="K83" s="57"/>
      <c r="L83" s="155"/>
    </row>
    <row r="84" spans="1:12" ht="15.6">
      <c r="A84" s="24" t="str">
        <v>Washington 4</v>
      </c>
      <c r="B84" s="25" t="str">
        <v>NY</v>
      </c>
      <c r="C84" s="25" t="str">
        <f>Sites[[#This Row],[SOL'#]]</f>
        <v>SOL-10829</v>
      </c>
      <c r="D84" s="20"/>
      <c r="E84" s="10"/>
      <c r="F84" s="10" t="str">
        <f t="shared" si="8"/>
        <v/>
      </c>
      <c r="G84" s="11" t="str">
        <f t="shared" si="9"/>
        <v/>
      </c>
      <c r="H84" s="12"/>
      <c r="I84" s="12" t="str">
        <f t="shared" si="10"/>
        <v/>
      </c>
      <c r="J84" s="13" t="str">
        <f t="shared" si="11"/>
        <v/>
      </c>
      <c r="K84" s="59"/>
      <c r="L84" s="53"/>
    </row>
    <row r="85" spans="1:12" ht="15.6">
      <c r="A85" s="26" t="str">
        <v>Big Tree</v>
      </c>
      <c r="B85" s="27" t="str">
        <v>NY</v>
      </c>
      <c r="C85" s="25" t="str">
        <f>Sites[[#This Row],[SOL'#]]</f>
        <v>SOL-10966</v>
      </c>
      <c r="D85" s="9"/>
      <c r="E85" s="14"/>
      <c r="F85" s="14" t="str">
        <f t="shared" si="8"/>
        <v/>
      </c>
      <c r="G85" s="15" t="str">
        <f t="shared" si="9"/>
        <v/>
      </c>
      <c r="H85" s="16"/>
      <c r="I85" s="16" t="str">
        <f t="shared" si="10"/>
        <v/>
      </c>
      <c r="J85" s="15" t="str">
        <f t="shared" si="11"/>
        <v/>
      </c>
      <c r="K85" s="57"/>
      <c r="L85" s="97"/>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59"/>
      <c r="L86" s="53"/>
    </row>
    <row r="87" spans="1:12" ht="15.6">
      <c r="A87" s="26" t="str">
        <v>County Route 84</v>
      </c>
      <c r="B87" s="27" t="str">
        <v>NY</v>
      </c>
      <c r="C87" s="25" t="str">
        <f>Sites[[#This Row],[SOL'#]]</f>
        <v>SOL-10967</v>
      </c>
      <c r="D87" s="9"/>
      <c r="E87" s="14"/>
      <c r="F87" s="14" t="str">
        <f t="shared" si="8"/>
        <v/>
      </c>
      <c r="G87" s="15" t="str">
        <f t="shared" si="9"/>
        <v/>
      </c>
      <c r="H87" s="16"/>
      <c r="I87" s="16" t="str">
        <f t="shared" si="10"/>
        <v/>
      </c>
      <c r="J87" s="15" t="str">
        <f t="shared" si="11"/>
        <v/>
      </c>
      <c r="K87" s="57"/>
      <c r="L87" s="99"/>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59"/>
      <c r="L88" s="53"/>
    </row>
    <row r="89" spans="1:12" ht="15.6">
      <c r="A89" s="26" t="str">
        <v>Henrietta</v>
      </c>
      <c r="B89" s="27" t="str">
        <v>NY</v>
      </c>
      <c r="C89" s="25" t="str">
        <f>Sites[[#This Row],[SOL'#]]</f>
        <v>SOL-10972</v>
      </c>
      <c r="D89" s="9"/>
      <c r="E89" s="14"/>
      <c r="F89" s="14" t="str">
        <f t="shared" si="8"/>
        <v/>
      </c>
      <c r="G89" s="15" t="str">
        <f t="shared" si="9"/>
        <v/>
      </c>
      <c r="H89" s="16"/>
      <c r="I89" s="16" t="str">
        <f t="shared" si="10"/>
        <v/>
      </c>
      <c r="J89" s="15" t="str">
        <f t="shared" si="11"/>
        <v/>
      </c>
      <c r="K89" s="57"/>
      <c r="L89" s="155"/>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59"/>
      <c r="L90" s="53"/>
    </row>
    <row r="91" spans="1:12" ht="15.6">
      <c r="A91" s="26" t="str">
        <v>Reid</v>
      </c>
      <c r="B91" s="27" t="str">
        <v>NY</v>
      </c>
      <c r="C91" s="25" t="str">
        <f>Sites[[#This Row],[SOL'#]]</f>
        <v>SOL-10991</v>
      </c>
      <c r="D91" s="9"/>
      <c r="E91" s="14"/>
      <c r="F91" s="14" t="str">
        <f t="shared" si="8"/>
        <v/>
      </c>
      <c r="G91" s="15" t="str">
        <f t="shared" si="9"/>
        <v/>
      </c>
      <c r="H91" s="16"/>
      <c r="I91" s="16" t="str">
        <f t="shared" si="10"/>
        <v/>
      </c>
      <c r="J91" s="15" t="str">
        <f t="shared" si="11"/>
        <v/>
      </c>
      <c r="K91" s="57"/>
      <c r="L91" s="99"/>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59"/>
      <c r="L92" s="53"/>
    </row>
    <row r="93" spans="1:12" ht="93" customHeight="1">
      <c r="A93" s="26" t="str">
        <v>State Highway 17B</v>
      </c>
      <c r="B93" s="27" t="str">
        <v>NY</v>
      </c>
      <c r="C93" s="25" t="str">
        <f>Sites[[#This Row],[SOL'#]]</f>
        <v>SOL-10988</v>
      </c>
      <c r="D93" s="9"/>
      <c r="E93" s="14"/>
      <c r="F93" s="14" t="str">
        <f t="shared" si="8"/>
        <v/>
      </c>
      <c r="G93" s="15" t="str">
        <f t="shared" si="9"/>
        <v/>
      </c>
      <c r="H93" s="16"/>
      <c r="I93" s="16" t="str">
        <f t="shared" si="10"/>
        <v/>
      </c>
      <c r="J93" s="15" t="str">
        <f t="shared" si="11"/>
        <v/>
      </c>
      <c r="K93" s="57"/>
      <c r="L93" s="155"/>
    </row>
    <row r="94" spans="1:12" ht="15.6">
      <c r="A94" s="24" t="str">
        <v>State Route 14A</v>
      </c>
      <c r="B94" s="25" t="str">
        <v>NY</v>
      </c>
      <c r="C94" s="25" t="str">
        <f>Sites[[#This Row],[SOL'#]]</f>
        <v>SOL-10997</v>
      </c>
      <c r="D94" s="20"/>
      <c r="E94" s="10"/>
      <c r="F94" s="10" t="str">
        <f t="shared" si="8"/>
        <v/>
      </c>
      <c r="G94" s="11" t="str">
        <f t="shared" si="9"/>
        <v/>
      </c>
      <c r="H94" s="12"/>
      <c r="I94" s="12" t="str">
        <f t="shared" si="10"/>
        <v/>
      </c>
      <c r="J94" s="13" t="str">
        <f t="shared" si="11"/>
        <v/>
      </c>
      <c r="K94" s="81"/>
      <c r="L94" s="53"/>
    </row>
    <row r="95" spans="1:12" ht="15.6">
      <c r="A95" s="26" t="str">
        <v>West Creek</v>
      </c>
      <c r="B95" s="27" t="str">
        <v>NY</v>
      </c>
      <c r="C95" s="25" t="str">
        <f>Sites[[#This Row],[SOL'#]]</f>
        <v>SOL-10995</v>
      </c>
      <c r="D95" s="9"/>
      <c r="E95" s="14"/>
      <c r="F95" s="14" t="str">
        <f t="shared" si="8"/>
        <v/>
      </c>
      <c r="G95" s="15" t="str">
        <f t="shared" si="9"/>
        <v/>
      </c>
      <c r="H95" s="16"/>
      <c r="I95" s="16" t="str">
        <f t="shared" si="10"/>
        <v/>
      </c>
      <c r="J95" s="15" t="str">
        <f t="shared" si="11"/>
        <v/>
      </c>
      <c r="K95" s="57"/>
      <c r="L95" s="99"/>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59"/>
      <c r="L96" s="53"/>
    </row>
    <row r="97" spans="1:12" ht="15.6">
      <c r="A97" s="26" t="str">
        <v>Glen Mary 1</v>
      </c>
      <c r="B97" s="27" t="str">
        <v>NY</v>
      </c>
      <c r="C97" s="25" t="str">
        <f>Sites[[#This Row],[SOL'#]]</f>
        <v>SOL-10993</v>
      </c>
      <c r="D97" s="9"/>
      <c r="E97" s="14"/>
      <c r="F97" s="14" t="str">
        <f t="shared" si="8"/>
        <v/>
      </c>
      <c r="G97" s="15" t="str">
        <f t="shared" si="9"/>
        <v/>
      </c>
      <c r="H97" s="16"/>
      <c r="I97" s="16" t="str">
        <f t="shared" si="10"/>
        <v/>
      </c>
      <c r="J97" s="15" t="str">
        <f t="shared" si="11"/>
        <v/>
      </c>
      <c r="K97" s="57"/>
      <c r="L97" s="99"/>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59"/>
      <c r="L98" s="53"/>
    </row>
    <row r="99" spans="1:12" ht="15.6">
      <c r="A99" s="26" t="str">
        <v>Telegraph 1</v>
      </c>
      <c r="B99" s="27" t="str">
        <v>NY</v>
      </c>
      <c r="C99" s="25" t="str">
        <f>Sites[[#This Row],[SOL'#]]</f>
        <v>SOL-11003</v>
      </c>
      <c r="D99" s="9"/>
      <c r="E99" s="14"/>
      <c r="F99" s="14" t="str">
        <f t="shared" si="8"/>
        <v/>
      </c>
      <c r="G99" s="15" t="str">
        <f t="shared" si="9"/>
        <v/>
      </c>
      <c r="H99" s="16"/>
      <c r="I99" s="16" t="str">
        <f t="shared" si="10"/>
        <v/>
      </c>
      <c r="J99" s="15" t="str">
        <f t="shared" si="11"/>
        <v/>
      </c>
      <c r="K99" s="57"/>
      <c r="L99" s="97"/>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59"/>
      <c r="L100" s="53"/>
    </row>
    <row r="101" spans="1:12" ht="15.6">
      <c r="A101" s="26" t="str">
        <v>Cafferty Hill</v>
      </c>
      <c r="B101" s="27" t="str">
        <v>NY</v>
      </c>
      <c r="C101" s="25" t="str">
        <f>Sites[[#This Row],[SOL'#]]</f>
        <v>SOL-10996</v>
      </c>
      <c r="D101" s="9"/>
      <c r="E101" s="14"/>
      <c r="F101" s="14" t="str">
        <f t="shared" si="8"/>
        <v/>
      </c>
      <c r="G101" s="15" t="str">
        <f t="shared" si="9"/>
        <v/>
      </c>
      <c r="H101" s="16"/>
      <c r="I101" s="16" t="str">
        <f t="shared" si="10"/>
        <v/>
      </c>
      <c r="J101" s="15" t="str">
        <f t="shared" si="11"/>
        <v/>
      </c>
      <c r="K101" s="57"/>
      <c r="L101" s="155"/>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59"/>
      <c r="L102" s="53"/>
    </row>
    <row r="103" spans="1:12" ht="15.6">
      <c r="A103" s="26" t="str">
        <v>Route 19 1</v>
      </c>
      <c r="B103" s="27" t="str">
        <v>NY</v>
      </c>
      <c r="C103" s="25" t="str">
        <f>Sites[[#This Row],[SOL'#]]</f>
        <v>SOL-11001</v>
      </c>
      <c r="D103" s="9"/>
      <c r="E103" s="14"/>
      <c r="F103" s="14" t="str">
        <f t="shared" si="8"/>
        <v/>
      </c>
      <c r="G103" s="15" t="str">
        <f t="shared" si="9"/>
        <v/>
      </c>
      <c r="H103" s="16"/>
      <c r="I103" s="16" t="str">
        <f t="shared" si="10"/>
        <v/>
      </c>
      <c r="J103" s="15" t="str">
        <f t="shared" si="11"/>
        <v/>
      </c>
      <c r="K103" s="57"/>
      <c r="L103" s="97"/>
    </row>
    <row r="104" spans="1:12" ht="105" customHeight="1">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59"/>
      <c r="L104" s="53"/>
    </row>
    <row r="105" spans="1:12" ht="15.6">
      <c r="A105" s="26" t="str">
        <v>Yellow Mills 1</v>
      </c>
      <c r="B105" s="27" t="str">
        <v>NY</v>
      </c>
      <c r="C105" s="25" t="str">
        <f>Sites[[#This Row],[SOL'#]]</f>
        <v>SOL-11006</v>
      </c>
      <c r="D105" s="9"/>
      <c r="E105" s="14"/>
      <c r="F105" s="14" t="str">
        <f t="shared" si="8"/>
        <v/>
      </c>
      <c r="G105" s="15" t="str">
        <f t="shared" si="9"/>
        <v/>
      </c>
      <c r="H105" s="16"/>
      <c r="I105" s="16" t="str">
        <f t="shared" si="10"/>
        <v/>
      </c>
      <c r="J105" s="15" t="str">
        <f t="shared" si="11"/>
        <v/>
      </c>
      <c r="K105" s="57"/>
      <c r="L105" s="155"/>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59"/>
      <c r="L106" s="53"/>
    </row>
    <row r="107" spans="1:12" ht="15.6">
      <c r="A107" s="26" t="str">
        <v>Yellow Mills 3</v>
      </c>
      <c r="B107" s="27" t="str">
        <v>NY</v>
      </c>
      <c r="C107" s="25" t="str">
        <f>Sites[[#This Row],[SOL'#]]</f>
        <v>SOL-11007</v>
      </c>
      <c r="D107" s="9"/>
      <c r="E107" s="14"/>
      <c r="F107" s="14" t="str">
        <f t="shared" si="8"/>
        <v/>
      </c>
      <c r="G107" s="15" t="str">
        <f t="shared" si="9"/>
        <v/>
      </c>
      <c r="H107" s="16"/>
      <c r="I107" s="16" t="str">
        <f t="shared" si="10"/>
        <v/>
      </c>
      <c r="J107" s="15" t="str">
        <f t="shared" si="11"/>
        <v/>
      </c>
      <c r="K107" s="57"/>
      <c r="L107" s="97"/>
    </row>
    <row r="108" spans="1:12" ht="108.75" customHeight="1">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59"/>
      <c r="L108" s="53"/>
    </row>
    <row r="109" spans="1:12" ht="15.6">
      <c r="A109" s="26" t="str">
        <v>Eddy Ridge</v>
      </c>
      <c r="B109" s="27" t="str">
        <v>NY</v>
      </c>
      <c r="C109" s="25" t="str">
        <f>Sites[[#This Row],[SOL'#]]</f>
        <v>SOL-11054</v>
      </c>
      <c r="D109" s="9"/>
      <c r="E109" s="14"/>
      <c r="F109" s="14" t="str">
        <f t="shared" si="8"/>
        <v/>
      </c>
      <c r="G109" s="15" t="str">
        <f t="shared" si="9"/>
        <v/>
      </c>
      <c r="H109" s="16"/>
      <c r="I109" s="16" t="str">
        <f t="shared" si="10"/>
        <v/>
      </c>
      <c r="J109" s="15" t="str">
        <f t="shared" si="11"/>
        <v/>
      </c>
      <c r="K109" s="57"/>
      <c r="L109" s="99"/>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59"/>
      <c r="L110" s="53"/>
    </row>
    <row r="111" spans="1:12" ht="63.75" customHeight="1">
      <c r="A111" s="26" t="str">
        <v>Rivard 1</v>
      </c>
      <c r="B111" s="27" t="str">
        <v>NY</v>
      </c>
      <c r="C111" s="25" t="str">
        <f>Sites[[#This Row],[SOL'#]]</f>
        <v>SOL-11011</v>
      </c>
      <c r="D111" s="9"/>
      <c r="E111" s="14"/>
      <c r="F111" s="14" t="str">
        <f t="shared" si="8"/>
        <v/>
      </c>
      <c r="G111" s="15" t="str">
        <f t="shared" si="9"/>
        <v/>
      </c>
      <c r="H111" s="16"/>
      <c r="I111" s="16" t="str">
        <f t="shared" si="10"/>
        <v/>
      </c>
      <c r="J111" s="15" t="str">
        <f t="shared" si="11"/>
        <v/>
      </c>
      <c r="K111" s="57"/>
      <c r="L111" s="155"/>
    </row>
    <row r="112" spans="1:12" ht="84.75" customHeight="1">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59"/>
      <c r="L112" s="53"/>
    </row>
    <row r="113" spans="1:12" ht="15.6">
      <c r="A113" s="26" t="str">
        <v>Essex</v>
      </c>
      <c r="B113" s="27" t="str">
        <v>DC</v>
      </c>
      <c r="C113" s="25" t="str">
        <f>Sites[[#This Row],[SOL'#]]</f>
        <v>SOL-10036</v>
      </c>
      <c r="D113" s="9"/>
      <c r="E113" s="14"/>
      <c r="F113" s="14" t="str">
        <f t="shared" si="8"/>
        <v/>
      </c>
      <c r="G113" s="15" t="str">
        <f t="shared" si="9"/>
        <v/>
      </c>
      <c r="H113" s="16"/>
      <c r="I113" s="16" t="str">
        <f t="shared" si="10"/>
        <v/>
      </c>
      <c r="J113" s="15" t="str">
        <f t="shared" si="11"/>
        <v/>
      </c>
      <c r="K113" s="57"/>
      <c r="L113" s="155"/>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59"/>
      <c r="L114" s="53"/>
    </row>
    <row r="115" spans="1:12" ht="15.6">
      <c r="A115" s="26" t="str">
        <v>Weinberg Commons #1</v>
      </c>
      <c r="B115" s="27" t="str">
        <v>DC</v>
      </c>
      <c r="C115" s="25" t="str">
        <f>Sites[[#This Row],[SOL'#]]</f>
        <v>SOL-10039</v>
      </c>
      <c r="D115" s="9"/>
      <c r="E115" s="14"/>
      <c r="F115" s="14" t="str">
        <f t="shared" si="8"/>
        <v/>
      </c>
      <c r="G115" s="15" t="str">
        <f t="shared" si="9"/>
        <v/>
      </c>
      <c r="H115" s="16"/>
      <c r="I115" s="16" t="str">
        <f t="shared" si="10"/>
        <v/>
      </c>
      <c r="J115" s="15" t="str">
        <f t="shared" si="11"/>
        <v/>
      </c>
      <c r="K115" s="57"/>
      <c r="L115" s="97"/>
    </row>
    <row r="116" spans="1:12" ht="15.6">
      <c r="A116" s="24" t="str">
        <v>Weinberg Commons #2</v>
      </c>
      <c r="B116" s="25" t="str">
        <v>DC</v>
      </c>
      <c r="C116" s="25" t="str">
        <f>Sites[[#This Row],[SOL'#]]</f>
        <v>SOL-10045</v>
      </c>
      <c r="D116" s="20"/>
      <c r="E116" s="10"/>
      <c r="F116" s="10" t="str">
        <f t="shared" si="8"/>
        <v/>
      </c>
      <c r="G116" s="11" t="str">
        <f t="shared" si="9"/>
        <v/>
      </c>
      <c r="H116" s="12"/>
      <c r="I116" s="12" t="str">
        <f t="shared" si="10"/>
        <v/>
      </c>
      <c r="J116" s="13" t="str">
        <f t="shared" si="11"/>
        <v/>
      </c>
      <c r="K116" s="59"/>
      <c r="L116" s="53"/>
    </row>
    <row r="117" spans="1:12" ht="15.6">
      <c r="A117" s="26" t="str">
        <v>Weinberg Commons #3</v>
      </c>
      <c r="B117" s="27" t="str">
        <v>DC</v>
      </c>
      <c r="C117" s="25" t="str">
        <f>Sites[[#This Row],[SOL'#]]</f>
        <v>SOL-10042</v>
      </c>
      <c r="D117" s="9"/>
      <c r="E117" s="14"/>
      <c r="F117" s="14" t="str">
        <f t="shared" si="8"/>
        <v/>
      </c>
      <c r="G117" s="15" t="str">
        <f t="shared" si="9"/>
        <v/>
      </c>
      <c r="H117" s="16"/>
      <c r="I117" s="16" t="str">
        <f t="shared" si="10"/>
        <v/>
      </c>
      <c r="J117" s="15" t="str">
        <f t="shared" si="11"/>
        <v/>
      </c>
      <c r="K117" s="57"/>
      <c r="L117" s="97"/>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59"/>
      <c r="L118" s="53"/>
    </row>
    <row r="119" spans="1:12" ht="15.6">
      <c r="A119" s="26" t="str">
        <v>Field House</v>
      </c>
      <c r="B119" s="27" t="str">
        <v>DE</v>
      </c>
      <c r="C119" s="25" t="str">
        <f>Sites[[#This Row],[SOL'#]]</f>
        <v>SOL-10821</v>
      </c>
      <c r="D119" s="9"/>
      <c r="E119" s="14"/>
      <c r="F119" s="14" t="str">
        <f t="shared" si="8"/>
        <v/>
      </c>
      <c r="G119" s="15" t="str">
        <f t="shared" si="9"/>
        <v/>
      </c>
      <c r="H119" s="16"/>
      <c r="I119" s="16" t="str">
        <f t="shared" si="10"/>
        <v/>
      </c>
      <c r="J119" s="15" t="str">
        <f t="shared" si="11"/>
        <v/>
      </c>
      <c r="K119" s="57"/>
      <c r="L119" s="155"/>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59"/>
      <c r="L120" s="53"/>
    </row>
    <row r="121" spans="1:12" ht="15.6">
      <c r="A121" s="26" t="str">
        <v>94-246 Leoku St. - PV Bldg E, F, G</v>
      </c>
      <c r="B121" s="27" t="str">
        <v>HI</v>
      </c>
      <c r="C121" s="25" t="str">
        <f>Sites[[#This Row],[SOL'#]]</f>
        <v>SOL-10071</v>
      </c>
      <c r="D121" s="9"/>
      <c r="E121" s="14"/>
      <c r="F121" s="14" t="str">
        <f t="shared" si="8"/>
        <v/>
      </c>
      <c r="G121" s="15" t="str">
        <f t="shared" si="9"/>
        <v/>
      </c>
      <c r="H121" s="16"/>
      <c r="I121" s="16" t="str">
        <f t="shared" si="10"/>
        <v/>
      </c>
      <c r="J121" s="15" t="str">
        <f t="shared" si="11"/>
        <v/>
      </c>
      <c r="K121" s="57"/>
      <c r="L121" s="155"/>
    </row>
    <row r="122" spans="1:12" ht="15.6">
      <c r="A122" s="24" t="str">
        <v>94-099 Waipahu St - PV</v>
      </c>
      <c r="B122" s="25" t="str">
        <v>HI</v>
      </c>
      <c r="C122" s="25" t="str">
        <f>Sites[[#This Row],[SOL'#]]</f>
        <v>SOL-10068</v>
      </c>
      <c r="D122" s="20"/>
      <c r="E122" s="10"/>
      <c r="F122" s="10" t="str">
        <f t="shared" si="8"/>
        <v/>
      </c>
      <c r="G122" s="11" t="str">
        <f t="shared" si="9"/>
        <v/>
      </c>
      <c r="H122" s="12"/>
      <c r="I122" s="12" t="str">
        <f t="shared" si="10"/>
        <v/>
      </c>
      <c r="J122" s="13" t="str">
        <f t="shared" si="11"/>
        <v/>
      </c>
      <c r="K122" s="59"/>
      <c r="L122" s="53"/>
    </row>
    <row r="123" spans="1:12" ht="15.6">
      <c r="A123" s="26" t="str">
        <v>TES Bird in Hand</v>
      </c>
      <c r="B123" s="27" t="str">
        <v>MD</v>
      </c>
      <c r="C123" s="25" t="str">
        <f>Sites[[#This Row],[SOL'#]]</f>
        <v>SOL-10092</v>
      </c>
      <c r="D123" s="9"/>
      <c r="E123" s="14"/>
      <c r="F123" s="14" t="str">
        <f t="shared" si="8"/>
        <v/>
      </c>
      <c r="G123" s="15" t="str">
        <f t="shared" si="9"/>
        <v/>
      </c>
      <c r="H123" s="16"/>
      <c r="I123" s="16" t="str">
        <f t="shared" si="10"/>
        <v/>
      </c>
      <c r="J123" s="15" t="str">
        <f t="shared" si="11"/>
        <v/>
      </c>
      <c r="K123" s="57"/>
      <c r="L123" s="97"/>
    </row>
    <row r="124" spans="1:12" ht="15.6">
      <c r="A124" s="24" t="str">
        <v>TES Shortal Solar LLC</v>
      </c>
      <c r="B124" s="25" t="str">
        <v>MD</v>
      </c>
      <c r="C124" s="25" t="str">
        <f>Sites[[#This Row],[SOL'#]]</f>
        <v>SOL-10091</v>
      </c>
      <c r="D124" s="20"/>
      <c r="E124" s="10"/>
      <c r="F124" s="10" t="str">
        <f t="shared" si="8"/>
        <v/>
      </c>
      <c r="G124" s="11" t="str">
        <f t="shared" si="9"/>
        <v/>
      </c>
      <c r="H124" s="12"/>
      <c r="I124" s="12" t="str">
        <f t="shared" si="10"/>
        <v/>
      </c>
      <c r="J124" s="13" t="str">
        <f t="shared" si="11"/>
        <v/>
      </c>
      <c r="K124" s="59"/>
      <c r="L124" s="53"/>
    </row>
    <row r="125" spans="1:12" ht="15.6">
      <c r="A125" s="26" t="str">
        <v>Coca Cola Aguadilla</v>
      </c>
      <c r="B125" s="27" t="str">
        <v>PR</v>
      </c>
      <c r="C125" s="25" t="str">
        <f>Sites[[#This Row],[SOL'#]]</f>
        <v>SOL-10072</v>
      </c>
      <c r="D125" s="9"/>
      <c r="E125" s="14"/>
      <c r="F125" s="14" t="str">
        <f t="shared" si="8"/>
        <v/>
      </c>
      <c r="G125" s="15" t="str">
        <f t="shared" si="9"/>
        <v/>
      </c>
      <c r="H125" s="16"/>
      <c r="I125" s="16" t="str">
        <f t="shared" si="10"/>
        <v/>
      </c>
      <c r="J125" s="15" t="str">
        <f t="shared" si="11"/>
        <v/>
      </c>
      <c r="K125" s="57"/>
      <c r="L125" s="155"/>
    </row>
    <row r="126" spans="1:12" ht="61.5" customHeight="1">
      <c r="A126" s="24" t="str">
        <v>Coca Cola 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3"/>
    </row>
    <row r="127" spans="1:12" ht="249.75" customHeight="1">
      <c r="A127" s="26" t="str">
        <v>St Francis School</v>
      </c>
      <c r="B127" s="27" t="str">
        <v>PR</v>
      </c>
      <c r="C127" s="25" t="str">
        <f>Sites[[#This Row],[SOL'#]]</f>
        <v>SOL-10034</v>
      </c>
      <c r="D127" s="9"/>
      <c r="E127" s="14"/>
      <c r="F127" s="14" t="str">
        <f t="shared" si="8"/>
        <v/>
      </c>
      <c r="G127" s="15" t="str">
        <f t="shared" si="9"/>
        <v/>
      </c>
      <c r="H127" s="16"/>
      <c r="I127" s="16" t="str">
        <f t="shared" si="10"/>
        <v/>
      </c>
      <c r="J127" s="15" t="str">
        <f t="shared" si="11"/>
        <v/>
      </c>
      <c r="K127" s="57"/>
      <c r="L127" s="155"/>
    </row>
    <row r="128" spans="1:12" ht="15.6">
      <c r="A128" s="24" t="str">
        <v>645 Summer Street - (Seaport Solar)</v>
      </c>
      <c r="B128" s="25" t="str">
        <v>MA</v>
      </c>
      <c r="C128" s="25" t="str">
        <f>Sites[[#This Row],[SOL'#]]</f>
        <v>SOL-10772</v>
      </c>
      <c r="D128" s="20"/>
      <c r="E128" s="10"/>
      <c r="F128" s="10" t="str">
        <f t="shared" si="8"/>
        <v/>
      </c>
      <c r="G128" s="11" t="str">
        <f t="shared" si="9"/>
        <v/>
      </c>
      <c r="H128" s="12"/>
      <c r="I128" s="12" t="str">
        <f t="shared" si="10"/>
        <v/>
      </c>
      <c r="J128" s="13" t="str">
        <f t="shared" si="11"/>
        <v/>
      </c>
      <c r="K128" s="59"/>
      <c r="L128" s="53"/>
    </row>
    <row r="129" spans="1:12" ht="15.6">
      <c r="A129" s="26" t="str">
        <v>480 Sprague St</v>
      </c>
      <c r="B129" s="27" t="str">
        <v>MA</v>
      </c>
      <c r="C129" s="25" t="str">
        <f>Sites[[#This Row],[SOL'#]]</f>
        <v>SOL-10773</v>
      </c>
      <c r="D129" s="9"/>
      <c r="E129" s="14"/>
      <c r="F129" s="14" t="str">
        <f t="shared" si="8"/>
        <v/>
      </c>
      <c r="G129" s="15" t="str">
        <f t="shared" si="9"/>
        <v/>
      </c>
      <c r="H129" s="16"/>
      <c r="I129" s="16" t="str">
        <f t="shared" si="10"/>
        <v/>
      </c>
      <c r="J129" s="15" t="str">
        <f t="shared" si="11"/>
        <v/>
      </c>
      <c r="K129" s="57"/>
      <c r="L129" s="97"/>
    </row>
    <row r="130" spans="1:12" ht="15.6">
      <c r="A130" s="24" t="str">
        <v>647 Summer Street - (Summer Street Solar)</v>
      </c>
      <c r="B130" s="25" t="str">
        <v>MA</v>
      </c>
      <c r="C130" s="25" t="str">
        <f>Sites[[#This Row],[SOL'#]]</f>
        <v>SOL-10764</v>
      </c>
      <c r="D130" s="20"/>
      <c r="E130" s="10"/>
      <c r="F130" s="10" t="str">
        <f t="shared" si="8"/>
        <v/>
      </c>
      <c r="G130" s="11" t="str">
        <f t="shared" si="9"/>
        <v/>
      </c>
      <c r="H130" s="12"/>
      <c r="I130" s="12" t="str">
        <f t="shared" si="10"/>
        <v/>
      </c>
      <c r="J130" s="13" t="str">
        <f t="shared" si="11"/>
        <v/>
      </c>
      <c r="K130" s="59"/>
      <c r="L130" s="53"/>
    </row>
    <row r="131" spans="1:12" ht="15.6">
      <c r="A131" s="26" t="str">
        <v>Rochester Technical School (Wakefield Street)</v>
      </c>
      <c r="B131" s="27" t="str">
        <v>NH</v>
      </c>
      <c r="C131" s="25" t="str">
        <f>Sites[[#This Row],[SOL'#]]</f>
        <v>SOL-10768</v>
      </c>
      <c r="D131" s="9"/>
      <c r="E131" s="14"/>
      <c r="F131" s="14" t="str">
        <f t="shared" si="8"/>
        <v/>
      </c>
      <c r="G131" s="15" t="str">
        <f t="shared" si="9"/>
        <v/>
      </c>
      <c r="H131" s="16"/>
      <c r="I131" s="16" t="str">
        <f t="shared" si="10"/>
        <v/>
      </c>
      <c r="J131" s="15" t="str">
        <f t="shared" si="11"/>
        <v/>
      </c>
      <c r="K131" s="57"/>
      <c r="L131" s="99"/>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59"/>
      <c r="L132" s="53"/>
    </row>
    <row r="133" spans="1:12" ht="15.6">
      <c r="A133" s="26" t="str">
        <v>Portland St</v>
      </c>
      <c r="B133" s="27" t="str">
        <v>NH</v>
      </c>
      <c r="C133" s="25" t="str">
        <f>Sites[[#This Row],[SOL'#]]</f>
        <v>SOL-10771</v>
      </c>
      <c r="D133" s="9"/>
      <c r="E133" s="14"/>
      <c r="F133" s="14" t="str">
        <f t="shared" si="8"/>
        <v/>
      </c>
      <c r="G133" s="15" t="str">
        <f t="shared" si="9"/>
        <v/>
      </c>
      <c r="H133" s="16"/>
      <c r="I133" s="16" t="str">
        <f t="shared" si="10"/>
        <v/>
      </c>
      <c r="J133" s="15" t="str">
        <f t="shared" si="11"/>
        <v/>
      </c>
      <c r="K133" s="57"/>
      <c r="L133" s="97"/>
    </row>
    <row r="134" spans="1:12" ht="15.6">
      <c r="A134" s="24" t="str">
        <v>Freshet Road -PHS</v>
      </c>
      <c r="B134" s="25" t="str">
        <v>NH</v>
      </c>
      <c r="C134" s="25" t="str">
        <f>Sites[[#This Row],[SOL'#]]</f>
        <v>SOL-10769</v>
      </c>
      <c r="D134" s="20"/>
      <c r="E134" s="10"/>
      <c r="F134" s="10" t="str">
        <f t="shared" si="8"/>
        <v/>
      </c>
      <c r="G134" s="11" t="str">
        <f t="shared" si="9"/>
        <v/>
      </c>
      <c r="H134" s="12"/>
      <c r="I134" s="12" t="str">
        <f t="shared" si="10"/>
        <v/>
      </c>
      <c r="J134" s="13" t="str">
        <f t="shared" si="11"/>
        <v/>
      </c>
      <c r="K134" s="59"/>
      <c r="L134" s="53"/>
    </row>
    <row r="135" spans="1:12" ht="15.6">
      <c r="A135" s="26" t="str">
        <v>Freshet Road - PWTP</v>
      </c>
      <c r="B135" s="27" t="str">
        <v>NH</v>
      </c>
      <c r="C135" s="25" t="str">
        <f>Sites[[#This Row],[SOL'#]]</f>
        <v>SOL-10770</v>
      </c>
      <c r="D135" s="9"/>
      <c r="E135" s="14"/>
      <c r="F135" s="14" t="str">
        <f t="shared" si="8"/>
        <v/>
      </c>
      <c r="G135" s="15" t="str">
        <f t="shared" si="9"/>
        <v/>
      </c>
      <c r="H135" s="16"/>
      <c r="I135" s="16" t="str">
        <f t="shared" si="10"/>
        <v/>
      </c>
      <c r="J135" s="15" t="str">
        <f t="shared" si="11"/>
        <v/>
      </c>
      <c r="K135" s="57"/>
      <c r="L135" s="97"/>
    </row>
    <row r="136" spans="1:12" ht="15.6">
      <c r="A136" s="24" t="str">
        <v>Rochester Middle School (Brock Street)</v>
      </c>
      <c r="B136" s="25" t="str">
        <v>NH</v>
      </c>
      <c r="C136" s="25" t="str">
        <f>Sites[[#This Row],[SOL'#]]</f>
        <v>SOL-10765</v>
      </c>
      <c r="D136" s="20"/>
      <c r="E136" s="10"/>
      <c r="F136" s="10" t="str">
        <f t="shared" si="8"/>
        <v/>
      </c>
      <c r="G136" s="11" t="str">
        <f t="shared" si="9"/>
        <v/>
      </c>
      <c r="H136" s="12"/>
      <c r="I136" s="12" t="str">
        <f t="shared" si="10"/>
        <v/>
      </c>
      <c r="J136" s="13" t="str">
        <f t="shared" si="11"/>
        <v/>
      </c>
      <c r="K136" s="59"/>
      <c r="L136" s="53"/>
    </row>
    <row r="137" spans="1:12" ht="15.6">
      <c r="A137" s="26" t="str">
        <v>Spaulding High School (Wakefield Street)</v>
      </c>
      <c r="B137" s="27" t="str">
        <v>NH</v>
      </c>
      <c r="C137" s="25" t="str">
        <f>Sites[[#This Row],[SOL'#]]</f>
        <v>SOL-10767</v>
      </c>
      <c r="D137" s="9"/>
      <c r="E137" s="14"/>
      <c r="F137" s="14" t="str">
        <f t="shared" si="8"/>
        <v/>
      </c>
      <c r="G137" s="15" t="str">
        <f t="shared" si="9"/>
        <v/>
      </c>
      <c r="H137" s="16"/>
      <c r="I137" s="16" t="str">
        <f t="shared" si="10"/>
        <v/>
      </c>
      <c r="J137" s="15" t="str">
        <f t="shared" si="11"/>
        <v/>
      </c>
      <c r="K137" s="57"/>
      <c r="L137" s="97"/>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59"/>
      <c r="L138" s="120"/>
    </row>
    <row r="139" spans="1:12" ht="15.6">
      <c r="A139" s="26" t="str">
        <v>Spencer</v>
      </c>
      <c r="B139" s="27" t="str">
        <v>NY</v>
      </c>
      <c r="C139" s="25" t="str">
        <f>Sites[[#This Row],[SOL'#]]</f>
        <v>SOL-11017</v>
      </c>
      <c r="D139" s="9"/>
      <c r="E139" s="14"/>
      <c r="F139" s="14" t="str">
        <f t="shared" si="8"/>
        <v/>
      </c>
      <c r="G139" s="15" t="str">
        <f t="shared" si="9"/>
        <v/>
      </c>
      <c r="H139" s="16"/>
      <c r="I139" s="16" t="str">
        <f t="shared" si="10"/>
        <v/>
      </c>
      <c r="J139" s="15" t="str">
        <f t="shared" si="11"/>
        <v/>
      </c>
      <c r="K139" s="57"/>
      <c r="L139" s="97"/>
    </row>
    <row r="140" spans="1:12" ht="15.6">
      <c r="A140" s="28" t="str">
        <v>Reisender</v>
      </c>
      <c r="B140" s="25" t="str">
        <v>NY</v>
      </c>
      <c r="C140" s="25" t="str">
        <f>Sites[[#This Row],[SOL'#]]</f>
        <v>SOL-10886</v>
      </c>
      <c r="D140" s="60"/>
      <c r="E140" s="10"/>
      <c r="F140" s="10" t="str">
        <f t="shared" si="8"/>
        <v/>
      </c>
      <c r="G140" s="61" t="str">
        <f t="shared" si="9"/>
        <v/>
      </c>
      <c r="H140" s="75"/>
      <c r="I140" s="75" t="str">
        <f t="shared" si="10"/>
        <v/>
      </c>
      <c r="J140" s="72" t="str">
        <f t="shared" si="11"/>
        <v/>
      </c>
      <c r="K140" s="81"/>
      <c r="L140" s="53"/>
    </row>
    <row r="141" spans="1:12" ht="15.6">
      <c r="A141" s="26" t="str">
        <v>Finney</v>
      </c>
      <c r="B141" s="27" t="str">
        <v>NY</v>
      </c>
      <c r="C141" s="25" t="str">
        <f>Sites[[#This Row],[SOL'#]]</f>
        <v>SOL-10999</v>
      </c>
      <c r="D141" s="74"/>
      <c r="E141" s="14"/>
      <c r="F141" s="14" t="str">
        <f t="shared" si="8"/>
        <v/>
      </c>
      <c r="G141" s="76" t="str">
        <f t="shared" si="9"/>
        <v/>
      </c>
      <c r="H141" s="77"/>
      <c r="I141" s="77" t="str">
        <f t="shared" si="10"/>
        <v/>
      </c>
      <c r="J141" s="76" t="str">
        <f t="shared" si="11"/>
        <v/>
      </c>
      <c r="K141" s="57"/>
      <c r="L141" s="100"/>
    </row>
    <row r="142" spans="1:12" ht="51.75" customHeight="1">
      <c r="A142" s="24" t="str">
        <v>Davis Solar</v>
      </c>
      <c r="B142" s="25" t="str">
        <v>NY</v>
      </c>
      <c r="C142" s="25" t="str">
        <f>Sites[[#This Row],[SOL'#]]</f>
        <v>SOL-10958</v>
      </c>
      <c r="D142" s="60"/>
      <c r="E142" s="10"/>
      <c r="F142" s="10" t="str">
        <f t="shared" si="8"/>
        <v/>
      </c>
      <c r="G142" s="61" t="str">
        <f t="shared" si="9"/>
        <v/>
      </c>
      <c r="H142" s="75"/>
      <c r="I142" s="75" t="str">
        <f t="shared" si="10"/>
        <v/>
      </c>
      <c r="J142" s="72" t="str">
        <f t="shared" si="11"/>
        <v/>
      </c>
      <c r="K142" s="81"/>
      <c r="L142" s="53"/>
    </row>
    <row r="143" spans="1:12" ht="15.6">
      <c r="A143" s="26" t="str">
        <v>Genesee</v>
      </c>
      <c r="B143" s="27" t="str">
        <v>NY</v>
      </c>
      <c r="C143" s="25" t="str">
        <f>Sites[[#This Row],[SOL'#]]</f>
        <v>SOL-10951</v>
      </c>
      <c r="D143" s="74"/>
      <c r="E143" s="14"/>
      <c r="F143" s="14" t="str">
        <f t="shared" si="8"/>
        <v/>
      </c>
      <c r="G143" s="76" t="str">
        <f t="shared" si="9"/>
        <v/>
      </c>
      <c r="H143" s="77"/>
      <c r="I143" s="77" t="str">
        <f t="shared" si="10"/>
        <v/>
      </c>
      <c r="J143" s="76" t="str">
        <f t="shared" si="11"/>
        <v/>
      </c>
      <c r="K143" s="57"/>
      <c r="L143" s="101"/>
    </row>
    <row r="144" spans="1:12" ht="15.6">
      <c r="A144" s="24" t="str">
        <v>Landau I</v>
      </c>
      <c r="B144" s="25" t="str">
        <v>NY</v>
      </c>
      <c r="C144" s="25" t="str">
        <f>Sites[[#This Row],[SOL'#]]</f>
        <v>SOL-10891</v>
      </c>
      <c r="D144" s="60"/>
      <c r="E144" s="10"/>
      <c r="F144" s="10" t="str">
        <f t="shared" si="8"/>
        <v/>
      </c>
      <c r="G144" s="61" t="str">
        <f t="shared" si="9"/>
        <v/>
      </c>
      <c r="H144" s="75"/>
      <c r="I144" s="75" t="str">
        <f t="shared" si="10"/>
        <v/>
      </c>
      <c r="J144" s="72" t="str">
        <f t="shared" si="11"/>
        <v/>
      </c>
      <c r="K144" s="81"/>
      <c r="L144" s="53"/>
    </row>
    <row r="145" spans="1:12" ht="84.75" customHeight="1">
      <c r="A145" s="26" t="str">
        <v>Landau II</v>
      </c>
      <c r="B145" s="27" t="str">
        <v>NY</v>
      </c>
      <c r="C145" s="25" t="str">
        <f>Sites[[#This Row],[SOL'#]]</f>
        <v>SOL-10895</v>
      </c>
      <c r="D145" s="74"/>
      <c r="E145" s="14"/>
      <c r="F145" s="14" t="str">
        <f t="shared" si="8"/>
        <v/>
      </c>
      <c r="G145" s="76" t="str">
        <f t="shared" si="9"/>
        <v/>
      </c>
      <c r="H145" s="77"/>
      <c r="I145" s="77" t="str">
        <f t="shared" si="10"/>
        <v/>
      </c>
      <c r="J145" s="76" t="str">
        <f t="shared" si="11"/>
        <v/>
      </c>
      <c r="K145" s="57"/>
      <c r="L145" s="101"/>
    </row>
    <row r="146" spans="1:12" ht="15.6">
      <c r="A146" s="24" t="str">
        <v>New Beginnings</v>
      </c>
      <c r="B146" s="25" t="str">
        <v>NY</v>
      </c>
      <c r="C146" s="25" t="str">
        <f>Sites[[#This Row],[SOL'#]]</f>
        <v>SOL-10890</v>
      </c>
      <c r="D146" s="60"/>
      <c r="E146" s="10"/>
      <c r="F146" s="10" t="str">
        <f t="shared" ref="F146:F161" si="12">IF(AND(ISNUMBER(D146),ISNUMBER(E146)), D146-E146, "")</f>
        <v/>
      </c>
      <c r="G146" s="61" t="str">
        <f t="shared" ref="G146:G161" si="13">IFERROR(F146/E146, "")</f>
        <v/>
      </c>
      <c r="H146" s="75"/>
      <c r="I146" s="75" t="str">
        <f t="shared" ref="I146:I161" si="14">IF(AND(ISNUMBER(D146),ISNUMBER(H146)), D146-H146, "")</f>
        <v/>
      </c>
      <c r="J146" s="72" t="str">
        <f t="shared" ref="J146:J161" si="15">IFERROR(I146/H146, "")</f>
        <v/>
      </c>
      <c r="K146" s="81"/>
      <c r="L146" s="53"/>
    </row>
    <row r="147" spans="1:12" ht="15.6">
      <c r="A147" s="26" t="str">
        <v>Bullitt Farm Solar, LLC</v>
      </c>
      <c r="B147" s="27" t="str">
        <v>NY</v>
      </c>
      <c r="C147" s="25" t="str">
        <f>Sites[[#This Row],[SOL'#]]</f>
        <v>SOL-10998</v>
      </c>
      <c r="D147" s="74"/>
      <c r="E147" s="14"/>
      <c r="F147" s="14" t="str">
        <f t="shared" si="12"/>
        <v/>
      </c>
      <c r="G147" s="76" t="str">
        <f t="shared" si="13"/>
        <v/>
      </c>
      <c r="H147" s="77"/>
      <c r="I147" s="77" t="str">
        <f t="shared" si="14"/>
        <v/>
      </c>
      <c r="J147" s="76" t="str">
        <f t="shared" si="15"/>
        <v/>
      </c>
      <c r="K147" s="57"/>
      <c r="L147" s="100"/>
    </row>
    <row r="148" spans="1:12" ht="15.6">
      <c r="A148" s="24" t="str">
        <v>Brodhead Solar, LLC</v>
      </c>
      <c r="B148" s="25" t="str">
        <v>NY</v>
      </c>
      <c r="C148" s="25" t="str">
        <f>Sites[[#This Row],[SOL'#]]</f>
        <v>SOL-10899</v>
      </c>
      <c r="D148" s="60"/>
      <c r="E148" s="10"/>
      <c r="F148" s="10" t="str">
        <f t="shared" si="12"/>
        <v/>
      </c>
      <c r="G148" s="61" t="str">
        <f t="shared" si="13"/>
        <v/>
      </c>
      <c r="H148" s="75"/>
      <c r="I148" s="75" t="str">
        <f t="shared" si="14"/>
        <v/>
      </c>
      <c r="J148" s="72" t="str">
        <f t="shared" si="15"/>
        <v/>
      </c>
      <c r="K148" s="81"/>
      <c r="L148" s="53"/>
    </row>
    <row r="149" spans="1:12" ht="15.6">
      <c r="A149" s="26" t="str">
        <v>Svenski</v>
      </c>
      <c r="B149" s="27" t="str">
        <v>NY</v>
      </c>
      <c r="C149" s="25" t="str">
        <f>Sites[[#This Row],[SOL'#]]</f>
        <v>SOL-10894</v>
      </c>
      <c r="D149" s="74"/>
      <c r="E149" s="14"/>
      <c r="F149" s="14" t="str">
        <f t="shared" si="12"/>
        <v/>
      </c>
      <c r="G149" s="76" t="str">
        <f t="shared" si="13"/>
        <v/>
      </c>
      <c r="H149" s="77"/>
      <c r="I149" s="77" t="str">
        <f t="shared" si="14"/>
        <v/>
      </c>
      <c r="J149" s="76" t="str">
        <f t="shared" si="15"/>
        <v/>
      </c>
      <c r="K149" s="57"/>
      <c r="L149" s="101"/>
    </row>
    <row r="150" spans="1:12" ht="15.6">
      <c r="A150" s="24" t="str">
        <v>Bantam</v>
      </c>
      <c r="B150" s="25" t="str">
        <v>NY</v>
      </c>
      <c r="C150" s="25" t="str">
        <f>Sites[[#This Row],[SOL'#]]</f>
        <v>SOL-10986</v>
      </c>
      <c r="D150" s="60"/>
      <c r="E150" s="10"/>
      <c r="F150" s="10" t="str">
        <f t="shared" si="12"/>
        <v/>
      </c>
      <c r="G150" s="61" t="str">
        <f t="shared" si="13"/>
        <v/>
      </c>
      <c r="H150" s="75"/>
      <c r="I150" s="75" t="str">
        <f t="shared" si="14"/>
        <v/>
      </c>
      <c r="J150" s="72" t="str">
        <f t="shared" si="15"/>
        <v/>
      </c>
      <c r="K150" s="81"/>
      <c r="L150" s="53"/>
    </row>
    <row r="151" spans="1:12" ht="15.6">
      <c r="A151" s="26" t="str">
        <v>Bogart</v>
      </c>
      <c r="B151" s="27" t="str">
        <v>NY</v>
      </c>
      <c r="C151" s="25" t="str">
        <f>Sites[[#This Row],[SOL'#]]</f>
        <v>SOL-10887</v>
      </c>
      <c r="D151" s="74"/>
      <c r="E151" s="14"/>
      <c r="F151" s="14" t="str">
        <f t="shared" si="12"/>
        <v/>
      </c>
      <c r="G151" s="76" t="str">
        <f t="shared" si="13"/>
        <v/>
      </c>
      <c r="H151" s="77"/>
      <c r="I151" s="77" t="str">
        <f t="shared" si="14"/>
        <v/>
      </c>
      <c r="J151" s="76" t="str">
        <f t="shared" si="15"/>
        <v/>
      </c>
      <c r="K151" s="57"/>
      <c r="L151" s="102"/>
    </row>
    <row r="152" spans="1:12" ht="15.6">
      <c r="A152" s="24" t="str">
        <v>Dubois</v>
      </c>
      <c r="B152" s="25" t="str">
        <v>NY</v>
      </c>
      <c r="C152" s="25" t="str">
        <f>Sites[[#This Row],[SOL'#]]</f>
        <v>SOL-10892</v>
      </c>
      <c r="D152" s="60"/>
      <c r="E152" s="10"/>
      <c r="F152" s="10" t="str">
        <f t="shared" si="12"/>
        <v/>
      </c>
      <c r="G152" s="61" t="str">
        <f t="shared" si="13"/>
        <v/>
      </c>
      <c r="H152" s="75"/>
      <c r="I152" s="75" t="str">
        <f t="shared" si="14"/>
        <v/>
      </c>
      <c r="J152" s="72" t="str">
        <f t="shared" si="15"/>
        <v/>
      </c>
      <c r="K152" s="81"/>
      <c r="L152" s="53"/>
    </row>
    <row r="153" spans="1:12" ht="15.6">
      <c r="A153" s="26" t="str">
        <v>Salt Point</v>
      </c>
      <c r="B153" s="27" t="str">
        <v>NY</v>
      </c>
      <c r="C153" s="25" t="str">
        <f>Sites[[#This Row],[SOL'#]]</f>
        <v>SOL-10888</v>
      </c>
      <c r="D153" s="74"/>
      <c r="E153" s="14"/>
      <c r="F153" s="14" t="str">
        <f t="shared" si="12"/>
        <v/>
      </c>
      <c r="G153" s="76" t="str">
        <f t="shared" si="13"/>
        <v/>
      </c>
      <c r="H153" s="77"/>
      <c r="I153" s="77" t="str">
        <f t="shared" si="14"/>
        <v/>
      </c>
      <c r="J153" s="76" t="str">
        <f t="shared" si="15"/>
        <v/>
      </c>
      <c r="K153" s="155"/>
      <c r="L153" s="100"/>
    </row>
    <row r="154" spans="1:12" ht="15.6">
      <c r="A154" s="24" t="str">
        <v>Wheatland 2A</v>
      </c>
      <c r="B154" s="25" t="str">
        <v>NY</v>
      </c>
      <c r="C154" s="25" t="str">
        <f>Sites[[#This Row],[SOL'#]]</f>
        <v>SOL-10971</v>
      </c>
      <c r="D154" s="60"/>
      <c r="E154" s="10"/>
      <c r="F154" s="10" t="str">
        <f t="shared" si="12"/>
        <v/>
      </c>
      <c r="G154" s="61" t="str">
        <f t="shared" si="13"/>
        <v/>
      </c>
      <c r="H154" s="75"/>
      <c r="I154" s="75" t="str">
        <f t="shared" si="14"/>
        <v/>
      </c>
      <c r="J154" s="72" t="str">
        <f t="shared" si="15"/>
        <v/>
      </c>
      <c r="K154" s="81"/>
      <c r="L154" s="53"/>
    </row>
    <row r="155" spans="1:12" ht="15.6">
      <c r="A155" s="26" t="str">
        <v>Wheatland 2B</v>
      </c>
      <c r="B155" s="27" t="str">
        <v>NY</v>
      </c>
      <c r="C155" s="25" t="str">
        <f>Sites[[#This Row],[SOL'#]]</f>
        <v>SOL-10961</v>
      </c>
      <c r="D155" s="74"/>
      <c r="E155" s="14"/>
      <c r="F155" s="14" t="str">
        <f t="shared" si="12"/>
        <v/>
      </c>
      <c r="G155" s="76" t="str">
        <f t="shared" si="13"/>
        <v/>
      </c>
      <c r="H155" s="77"/>
      <c r="I155" s="77" t="str">
        <f t="shared" si="14"/>
        <v/>
      </c>
      <c r="J155" s="76" t="str">
        <f t="shared" si="15"/>
        <v/>
      </c>
      <c r="K155" s="57"/>
      <c r="L155" s="100"/>
    </row>
    <row r="156" spans="1:12" ht="15.6">
      <c r="A156" s="24" t="str">
        <v>Brickchurch</v>
      </c>
      <c r="B156" s="25" t="str">
        <v>NY</v>
      </c>
      <c r="C156" s="25" t="str">
        <f>Sites[[#This Row],[SOL'#]]</f>
        <v>SOL-10889</v>
      </c>
      <c r="D156" s="60"/>
      <c r="E156" s="10"/>
      <c r="F156" s="10" t="str">
        <f t="shared" si="12"/>
        <v/>
      </c>
      <c r="G156" s="61" t="str">
        <f t="shared" si="13"/>
        <v/>
      </c>
      <c r="H156" s="75"/>
      <c r="I156" s="75" t="str">
        <f t="shared" si="14"/>
        <v/>
      </c>
      <c r="J156" s="72" t="str">
        <f t="shared" si="15"/>
        <v/>
      </c>
      <c r="K156" s="81"/>
      <c r="L156" s="53"/>
    </row>
    <row r="157" spans="1:12" ht="15.6">
      <c r="A157" s="26" t="str">
        <v>McCarthy Solar</v>
      </c>
      <c r="B157" s="27" t="str">
        <v>NY</v>
      </c>
      <c r="C157" s="25" t="str">
        <f>Sites[[#This Row],[SOL'#]]</f>
        <v>SOL-10992</v>
      </c>
      <c r="D157" s="74"/>
      <c r="E157" s="14"/>
      <c r="F157" s="14" t="str">
        <f t="shared" si="12"/>
        <v/>
      </c>
      <c r="G157" s="76" t="str">
        <f t="shared" si="13"/>
        <v/>
      </c>
      <c r="H157" s="77"/>
      <c r="I157" s="77" t="str">
        <f t="shared" si="14"/>
        <v/>
      </c>
      <c r="J157" s="76" t="str">
        <f t="shared" si="15"/>
        <v/>
      </c>
      <c r="K157" s="57"/>
      <c r="L157" s="100"/>
    </row>
    <row r="158" spans="1:12" ht="15.6">
      <c r="A158" s="24" t="str">
        <v>Costanza</v>
      </c>
      <c r="B158" s="25" t="str">
        <v>NY</v>
      </c>
      <c r="C158" s="25" t="str">
        <f>Sites[[#This Row],[SOL'#]]</f>
        <v>SOL-10907</v>
      </c>
      <c r="D158" s="60"/>
      <c r="E158" s="10"/>
      <c r="F158" s="10" t="str">
        <f t="shared" si="12"/>
        <v/>
      </c>
      <c r="G158" s="61" t="str">
        <f t="shared" si="13"/>
        <v/>
      </c>
      <c r="H158" s="75"/>
      <c r="I158" s="75" t="str">
        <f t="shared" si="14"/>
        <v/>
      </c>
      <c r="J158" s="72" t="str">
        <f t="shared" si="15"/>
        <v/>
      </c>
      <c r="K158" s="81"/>
      <c r="L158" s="53"/>
    </row>
    <row r="159" spans="1:12" ht="15.6">
      <c r="A159" s="26" t="str">
        <v>Lockenhurst Pond</v>
      </c>
      <c r="B159" s="27" t="str">
        <v>NY</v>
      </c>
      <c r="C159" s="25" t="str">
        <f>Sites[[#This Row],[SOL'#]]</f>
        <v>SOL-11000</v>
      </c>
      <c r="D159" s="74"/>
      <c r="E159" s="14"/>
      <c r="F159" s="14" t="str">
        <f t="shared" si="12"/>
        <v/>
      </c>
      <c r="G159" s="76" t="str">
        <f t="shared" si="13"/>
        <v/>
      </c>
      <c r="H159" s="77"/>
      <c r="I159" s="77" t="str">
        <f t="shared" si="14"/>
        <v/>
      </c>
      <c r="J159" s="76" t="str">
        <f t="shared" si="15"/>
        <v/>
      </c>
      <c r="K159" s="57"/>
      <c r="L159" s="100"/>
    </row>
    <row r="160" spans="1:12" ht="15.6">
      <c r="A160" s="24" t="str">
        <v>Drinkwater</v>
      </c>
      <c r="B160" s="25" t="str">
        <v>NY</v>
      </c>
      <c r="C160" s="25" t="str">
        <f>Sites[[#This Row],[SOL'#]]</f>
        <v>SOL-10896</v>
      </c>
      <c r="D160" s="60"/>
      <c r="E160" s="10"/>
      <c r="F160" s="10" t="str">
        <f t="shared" si="12"/>
        <v/>
      </c>
      <c r="G160" s="61" t="str">
        <f t="shared" si="13"/>
        <v/>
      </c>
      <c r="H160" s="75"/>
      <c r="I160" s="75" t="str">
        <f t="shared" si="14"/>
        <v/>
      </c>
      <c r="J160" s="72" t="str">
        <f t="shared" si="15"/>
        <v/>
      </c>
      <c r="K160" s="81"/>
      <c r="L160" s="53"/>
    </row>
    <row r="161" spans="1:12" ht="54" customHeight="1">
      <c r="A161" s="26" t="str">
        <v>Altamont</v>
      </c>
      <c r="B161" s="27" t="str">
        <v>NY</v>
      </c>
      <c r="C161" s="25" t="str">
        <f>Sites[[#This Row],[SOL'#]]</f>
        <v>SOL-11085</v>
      </c>
      <c r="D161" s="74"/>
      <c r="E161" s="14"/>
      <c r="F161" s="14" t="str">
        <f t="shared" si="12"/>
        <v/>
      </c>
      <c r="G161" s="76" t="str">
        <f t="shared" si="13"/>
        <v/>
      </c>
      <c r="H161" s="77"/>
      <c r="I161" s="77" t="str">
        <f t="shared" si="14"/>
        <v/>
      </c>
      <c r="J161" s="76" t="str">
        <f t="shared" si="15"/>
        <v/>
      </c>
      <c r="K161" s="57"/>
      <c r="L161" s="100"/>
    </row>
    <row r="162" spans="1:12" ht="15.6">
      <c r="A162" s="24" t="str">
        <v>Krumkill North</v>
      </c>
      <c r="B162" s="25" t="str">
        <v>NY</v>
      </c>
      <c r="C162" s="25" t="str">
        <f>Sites[[#This Row],[SOL'#]]</f>
        <v>SOL-11086</v>
      </c>
      <c r="D162" s="60"/>
      <c r="E162" s="10"/>
      <c r="F162" s="10" t="str">
        <f t="shared" ref="F162:F163" si="16">IF(AND(ISNUMBER(D162),ISNUMBER(E162)), D162-E162, "")</f>
        <v/>
      </c>
      <c r="G162" s="61" t="str">
        <f t="shared" ref="G162:G163" si="17">IFERROR(F162/E162, "")</f>
        <v/>
      </c>
      <c r="H162" s="75"/>
      <c r="I162" s="75" t="str">
        <f t="shared" ref="I162:I163" si="18">IF(AND(ISNUMBER(D162),ISNUMBER(H162)), D162-H162, "")</f>
        <v/>
      </c>
      <c r="J162" s="72" t="str">
        <f t="shared" ref="J162:J163" si="19">IFERROR(I162/H162, "")</f>
        <v/>
      </c>
      <c r="K162" s="81"/>
      <c r="L162" s="53"/>
    </row>
    <row r="163" spans="1:12" ht="15.6">
      <c r="A163" s="26" t="str">
        <v>Krumkill South</v>
      </c>
      <c r="B163" s="27" t="str">
        <v>NY</v>
      </c>
      <c r="C163" s="25" t="str">
        <f>Sites[[#This Row],[SOL'#]]</f>
        <v>SOL-11087</v>
      </c>
      <c r="D163" s="74"/>
      <c r="E163" s="14"/>
      <c r="F163" s="14" t="str">
        <f t="shared" si="16"/>
        <v/>
      </c>
      <c r="G163" s="76" t="str">
        <f t="shared" si="17"/>
        <v/>
      </c>
      <c r="H163" s="77"/>
      <c r="I163" s="77" t="str">
        <f t="shared" si="18"/>
        <v/>
      </c>
      <c r="J163" s="76" t="str">
        <f t="shared" si="19"/>
        <v/>
      </c>
      <c r="K163" s="57"/>
      <c r="L163" s="100"/>
    </row>
    <row r="164" spans="1:12" ht="15.6">
      <c r="A164" s="24" t="str">
        <v>X092</v>
      </c>
      <c r="B164" s="25" t="str">
        <v>NY</v>
      </c>
      <c r="C164" s="25" t="str">
        <f>Sites[[#This Row],[SOL'#]]</f>
        <v>SOL-11189</v>
      </c>
      <c r="D164" s="60"/>
      <c r="E164" s="10"/>
      <c r="F164" s="10" t="str">
        <f t="shared" ref="F164:F185" si="20">IF(AND(ISNUMBER(D164),ISNUMBER(E164)), D164-E164, "")</f>
        <v/>
      </c>
      <c r="G164" s="61" t="str">
        <f t="shared" ref="G164:G185" si="21">IFERROR(F164/E164, "")</f>
        <v/>
      </c>
      <c r="H164" s="75"/>
      <c r="I164" s="75" t="str">
        <f t="shared" ref="I164:I185" si="22">IF(AND(ISNUMBER(D164),ISNUMBER(H164)), D164-H164, "")</f>
        <v/>
      </c>
      <c r="J164" s="72" t="str">
        <f t="shared" ref="J164:J185" si="23">IFERROR(I164/H164, "")</f>
        <v/>
      </c>
      <c r="K164" s="81"/>
      <c r="L164" s="53"/>
    </row>
    <row r="165" spans="1:12" ht="15.6">
      <c r="A165" s="26" t="str">
        <v>X093</v>
      </c>
      <c r="B165" s="27" t="str">
        <v>NY</v>
      </c>
      <c r="C165" s="25" t="str">
        <f>Sites[[#This Row],[SOL'#]]</f>
        <v>SOL-10932</v>
      </c>
      <c r="D165" s="74"/>
      <c r="E165" s="14"/>
      <c r="F165" s="14" t="str">
        <f t="shared" si="20"/>
        <v/>
      </c>
      <c r="G165" s="76" t="str">
        <f t="shared" si="21"/>
        <v/>
      </c>
      <c r="H165" s="77"/>
      <c r="I165" s="77" t="str">
        <f t="shared" si="22"/>
        <v/>
      </c>
      <c r="J165" s="76" t="str">
        <f t="shared" si="23"/>
        <v/>
      </c>
      <c r="K165" s="57"/>
      <c r="L165" s="100"/>
    </row>
    <row r="166" spans="1:12" ht="15.6">
      <c r="A166" s="24" t="str">
        <v>X095</v>
      </c>
      <c r="B166" s="25" t="str">
        <v>NY</v>
      </c>
      <c r="C166" s="25" t="str">
        <f>Sites[[#This Row],[SOL'#]]</f>
        <v>SOL-10929</v>
      </c>
      <c r="D166" s="60"/>
      <c r="E166" s="10"/>
      <c r="F166" s="10" t="str">
        <f t="shared" si="20"/>
        <v/>
      </c>
      <c r="G166" s="61" t="str">
        <f t="shared" si="21"/>
        <v/>
      </c>
      <c r="H166" s="75"/>
      <c r="I166" s="75" t="str">
        <f t="shared" si="22"/>
        <v/>
      </c>
      <c r="J166" s="72" t="str">
        <f t="shared" si="23"/>
        <v/>
      </c>
      <c r="K166" s="81"/>
      <c r="L166" s="53"/>
    </row>
    <row r="167" spans="1:12" ht="15.6">
      <c r="A167" s="26" t="str">
        <v>X181</v>
      </c>
      <c r="B167" s="27" t="str">
        <v>NY</v>
      </c>
      <c r="C167" s="25" t="str">
        <f>Sites[[#This Row],[SOL'#]]</f>
        <v>SOL-10428</v>
      </c>
      <c r="D167" s="74"/>
      <c r="E167" s="14"/>
      <c r="F167" s="14" t="str">
        <f t="shared" si="20"/>
        <v/>
      </c>
      <c r="G167" s="76" t="str">
        <f t="shared" si="21"/>
        <v/>
      </c>
      <c r="H167" s="77"/>
      <c r="I167" s="77" t="str">
        <f t="shared" si="22"/>
        <v/>
      </c>
      <c r="J167" s="76" t="str">
        <f t="shared" si="23"/>
        <v/>
      </c>
      <c r="K167" s="57"/>
      <c r="L167" s="100"/>
    </row>
    <row r="168" spans="1:12" ht="15.6">
      <c r="A168" s="24" t="str">
        <v>X415</v>
      </c>
      <c r="B168" s="25" t="str">
        <v>NY</v>
      </c>
      <c r="C168" s="25" t="str">
        <f>Sites[[#This Row],[SOL'#]]</f>
        <v>SOL-10429</v>
      </c>
      <c r="D168" s="60"/>
      <c r="E168" s="10"/>
      <c r="F168" s="10" t="str">
        <f t="shared" si="20"/>
        <v/>
      </c>
      <c r="G168" s="61" t="str">
        <f t="shared" si="21"/>
        <v/>
      </c>
      <c r="H168" s="75"/>
      <c r="I168" s="75" t="str">
        <f t="shared" si="22"/>
        <v/>
      </c>
      <c r="J168" s="72" t="str">
        <f t="shared" si="23"/>
        <v/>
      </c>
      <c r="K168" s="81"/>
      <c r="L168" s="53"/>
    </row>
    <row r="169" spans="1:12" ht="15.6">
      <c r="A169" s="26" t="str">
        <v>K198</v>
      </c>
      <c r="B169" s="27" t="str">
        <v>NY</v>
      </c>
      <c r="C169" s="25" t="str">
        <f>Sites[[#This Row],[SOL'#]]</f>
        <v>SOL-10930</v>
      </c>
      <c r="D169" s="74"/>
      <c r="E169" s="14"/>
      <c r="F169" s="14" t="str">
        <f t="shared" si="20"/>
        <v/>
      </c>
      <c r="G169" s="76" t="str">
        <f t="shared" si="21"/>
        <v/>
      </c>
      <c r="H169" s="77"/>
      <c r="I169" s="77" t="str">
        <f t="shared" si="22"/>
        <v/>
      </c>
      <c r="J169" s="76" t="str">
        <f t="shared" si="23"/>
        <v/>
      </c>
      <c r="K169" s="57"/>
      <c r="L169" s="100"/>
    </row>
    <row r="170" spans="1:12" ht="15.6">
      <c r="A170" s="24" t="str">
        <v>K203</v>
      </c>
      <c r="B170" s="25" t="str">
        <v>NY</v>
      </c>
      <c r="C170" s="25" t="str">
        <f>Sites[[#This Row],[SOL'#]]</f>
        <v>SOL-11190</v>
      </c>
      <c r="D170" s="60"/>
      <c r="E170" s="10"/>
      <c r="F170" s="10" t="str">
        <f t="shared" si="20"/>
        <v/>
      </c>
      <c r="G170" s="61" t="str">
        <f t="shared" si="21"/>
        <v/>
      </c>
      <c r="H170" s="75"/>
      <c r="I170" s="75" t="str">
        <f t="shared" si="22"/>
        <v/>
      </c>
      <c r="J170" s="72" t="str">
        <f t="shared" si="23"/>
        <v/>
      </c>
      <c r="K170" s="81"/>
      <c r="L170" s="53"/>
    </row>
    <row r="171" spans="1:12" ht="15.6">
      <c r="A171" s="26" t="str">
        <v>K213</v>
      </c>
      <c r="B171" s="27" t="str">
        <v>NY</v>
      </c>
      <c r="C171" s="25" t="str">
        <f>Sites[[#This Row],[SOL'#]]</f>
        <v>SOL-11191</v>
      </c>
      <c r="D171" s="74"/>
      <c r="E171" s="14"/>
      <c r="F171" s="14" t="str">
        <f t="shared" si="20"/>
        <v/>
      </c>
      <c r="G171" s="76" t="str">
        <f t="shared" si="21"/>
        <v/>
      </c>
      <c r="H171" s="77"/>
      <c r="I171" s="77" t="str">
        <f t="shared" si="22"/>
        <v/>
      </c>
      <c r="J171" s="76" t="str">
        <f t="shared" si="23"/>
        <v/>
      </c>
      <c r="K171" s="57"/>
      <c r="L171" s="100"/>
    </row>
    <row r="172" spans="1:12" ht="15.6">
      <c r="A172" s="24" t="str">
        <v>K217</v>
      </c>
      <c r="B172" s="25" t="str">
        <v>NY</v>
      </c>
      <c r="C172" s="25" t="str">
        <f>Sites[[#This Row],[SOL'#]]</f>
        <v>SOL-10933</v>
      </c>
      <c r="D172" s="60"/>
      <c r="E172" s="10"/>
      <c r="F172" s="10" t="str">
        <f t="shared" si="20"/>
        <v/>
      </c>
      <c r="G172" s="61" t="str">
        <f t="shared" si="21"/>
        <v/>
      </c>
      <c r="H172" s="75"/>
      <c r="I172" s="75" t="str">
        <f t="shared" si="22"/>
        <v/>
      </c>
      <c r="J172" s="72" t="str">
        <f t="shared" si="23"/>
        <v/>
      </c>
      <c r="K172" s="81"/>
      <c r="L172" s="53"/>
    </row>
    <row r="173" spans="1:12" ht="15.6">
      <c r="A173" s="26" t="str">
        <v>K307</v>
      </c>
      <c r="B173" s="27" t="str">
        <v>NY</v>
      </c>
      <c r="C173" s="25" t="str">
        <f>Sites[[#This Row],[SOL'#]]</f>
        <v>SOL-10876</v>
      </c>
      <c r="D173" s="74"/>
      <c r="E173" s="14"/>
      <c r="F173" s="14" t="str">
        <f t="shared" si="20"/>
        <v/>
      </c>
      <c r="G173" s="76" t="str">
        <f t="shared" si="21"/>
        <v/>
      </c>
      <c r="H173" s="77"/>
      <c r="I173" s="77" t="str">
        <f t="shared" si="22"/>
        <v/>
      </c>
      <c r="J173" s="76" t="str">
        <f t="shared" si="23"/>
        <v/>
      </c>
      <c r="K173" s="57"/>
      <c r="L173" s="100"/>
    </row>
    <row r="174" spans="1:12" ht="15.6">
      <c r="A174" s="24" t="str">
        <v>K610</v>
      </c>
      <c r="B174" s="25" t="str">
        <v>NY</v>
      </c>
      <c r="C174" s="25" t="str">
        <f>Sites[[#This Row],[SOL'#]]</f>
        <v>SOL-11158</v>
      </c>
      <c r="D174" s="60"/>
      <c r="E174" s="10"/>
      <c r="F174" s="10" t="str">
        <f t="shared" si="20"/>
        <v/>
      </c>
      <c r="G174" s="61" t="str">
        <f t="shared" si="21"/>
        <v/>
      </c>
      <c r="H174" s="75"/>
      <c r="I174" s="75" t="str">
        <f t="shared" si="22"/>
        <v/>
      </c>
      <c r="J174" s="72" t="str">
        <f t="shared" si="23"/>
        <v/>
      </c>
      <c r="K174" s="81"/>
      <c r="L174" s="53"/>
    </row>
    <row r="175" spans="1:12" ht="15.6">
      <c r="A175" s="26" t="str">
        <v>M025</v>
      </c>
      <c r="B175" s="27" t="str">
        <v>NY</v>
      </c>
      <c r="C175" s="25" t="str">
        <f>Sites[[#This Row],[SOL'#]]</f>
        <v>SOL-10392</v>
      </c>
      <c r="D175" s="74"/>
      <c r="E175" s="14"/>
      <c r="F175" s="14" t="str">
        <f t="shared" si="20"/>
        <v/>
      </c>
      <c r="G175" s="76" t="str">
        <f t="shared" si="21"/>
        <v/>
      </c>
      <c r="H175" s="77"/>
      <c r="I175" s="77" t="str">
        <f t="shared" si="22"/>
        <v/>
      </c>
      <c r="J175" s="76" t="str">
        <f t="shared" si="23"/>
        <v/>
      </c>
      <c r="K175" s="57"/>
      <c r="L175" s="100"/>
    </row>
    <row r="176" spans="1:12" ht="15.6">
      <c r="A176" s="24" t="str">
        <v>M028</v>
      </c>
      <c r="B176" s="25" t="str">
        <v>NY</v>
      </c>
      <c r="C176" s="25" t="str">
        <f>Sites[[#This Row],[SOL'#]]</f>
        <v>SOL-10381</v>
      </c>
      <c r="D176" s="60"/>
      <c r="E176" s="10"/>
      <c r="F176" s="10" t="str">
        <f t="shared" si="20"/>
        <v/>
      </c>
      <c r="G176" s="61" t="str">
        <f t="shared" si="21"/>
        <v/>
      </c>
      <c r="H176" s="75"/>
      <c r="I176" s="75" t="str">
        <f t="shared" si="22"/>
        <v/>
      </c>
      <c r="J176" s="72" t="str">
        <f t="shared" si="23"/>
        <v/>
      </c>
      <c r="K176" s="81"/>
      <c r="L176" s="53"/>
    </row>
    <row r="177" spans="1:12" ht="15.6">
      <c r="A177" s="26" t="str">
        <v>Q030</v>
      </c>
      <c r="B177" s="27" t="str">
        <v>NY</v>
      </c>
      <c r="C177" s="25" t="str">
        <f>Sites[[#This Row],[SOL'#]]</f>
        <v>SOL-10878</v>
      </c>
      <c r="D177" s="74"/>
      <c r="E177" s="14"/>
      <c r="F177" s="14" t="str">
        <f t="shared" si="20"/>
        <v/>
      </c>
      <c r="G177" s="76" t="str">
        <f t="shared" si="21"/>
        <v/>
      </c>
      <c r="H177" s="77"/>
      <c r="I177" s="77" t="str">
        <f t="shared" si="22"/>
        <v/>
      </c>
      <c r="J177" s="76" t="str">
        <f t="shared" si="23"/>
        <v/>
      </c>
      <c r="K177" s="57"/>
      <c r="L177" s="100"/>
    </row>
    <row r="178" spans="1:12" ht="15.6">
      <c r="A178" s="24" t="str">
        <v>Q130</v>
      </c>
      <c r="B178" s="25" t="str">
        <v>NY</v>
      </c>
      <c r="C178" s="25" t="str">
        <f>Sites[[#This Row],[SOL'#]]</f>
        <v>SOL-10877</v>
      </c>
      <c r="D178" s="60"/>
      <c r="E178" s="10"/>
      <c r="F178" s="10" t="str">
        <f t="shared" si="20"/>
        <v/>
      </c>
      <c r="G178" s="61" t="str">
        <f t="shared" si="21"/>
        <v/>
      </c>
      <c r="H178" s="75"/>
      <c r="I178" s="75" t="str">
        <f t="shared" si="22"/>
        <v/>
      </c>
      <c r="J178" s="72" t="str">
        <f t="shared" si="23"/>
        <v/>
      </c>
      <c r="K178" s="81"/>
      <c r="L178" s="53"/>
    </row>
    <row r="179" spans="1:12" ht="15.6">
      <c r="A179" s="26" t="str">
        <v>Q196</v>
      </c>
      <c r="B179" s="27" t="str">
        <v>NY</v>
      </c>
      <c r="C179" s="25" t="str">
        <f>Sites[[#This Row],[SOL'#]]</f>
        <v>SOL-10879</v>
      </c>
      <c r="D179" s="74"/>
      <c r="E179" s="14"/>
      <c r="F179" s="14" t="str">
        <f t="shared" si="20"/>
        <v/>
      </c>
      <c r="G179" s="76" t="str">
        <f t="shared" si="21"/>
        <v/>
      </c>
      <c r="H179" s="77"/>
      <c r="I179" s="77" t="str">
        <f t="shared" si="22"/>
        <v/>
      </c>
      <c r="J179" s="76" t="str">
        <f t="shared" si="23"/>
        <v/>
      </c>
      <c r="K179" s="57"/>
      <c r="L179" s="100"/>
    </row>
    <row r="180" spans="1:12" ht="15.6">
      <c r="A180" s="24" t="str">
        <v>Q220</v>
      </c>
      <c r="B180" s="25" t="str">
        <v>NY</v>
      </c>
      <c r="C180" s="25" t="str">
        <f>Sites[[#This Row],[SOL'#]]</f>
        <v>SOL-10873</v>
      </c>
      <c r="D180" s="60"/>
      <c r="E180" s="10"/>
      <c r="F180" s="10" t="str">
        <f t="shared" si="20"/>
        <v/>
      </c>
      <c r="G180" s="61" t="str">
        <f t="shared" si="21"/>
        <v/>
      </c>
      <c r="H180" s="75"/>
      <c r="I180" s="75" t="str">
        <f t="shared" si="22"/>
        <v/>
      </c>
      <c r="J180" s="72" t="str">
        <f t="shared" si="23"/>
        <v/>
      </c>
      <c r="K180" s="81"/>
      <c r="L180" s="53"/>
    </row>
    <row r="181" spans="1:12" ht="15.6">
      <c r="A181" s="26" t="str">
        <v>Q205</v>
      </c>
      <c r="B181" s="27" t="str">
        <v>NY</v>
      </c>
      <c r="C181" s="25" t="str">
        <f>Sites[[#This Row],[SOL'#]]</f>
        <v>SOL-10922</v>
      </c>
      <c r="D181" s="74"/>
      <c r="E181" s="14"/>
      <c r="F181" s="14" t="str">
        <f t="shared" si="20"/>
        <v/>
      </c>
      <c r="G181" s="76" t="str">
        <f t="shared" si="21"/>
        <v/>
      </c>
      <c r="H181" s="77"/>
      <c r="I181" s="77" t="str">
        <f t="shared" si="22"/>
        <v/>
      </c>
      <c r="J181" s="76" t="str">
        <f t="shared" si="23"/>
        <v/>
      </c>
      <c r="K181" s="57"/>
      <c r="L181" s="100"/>
    </row>
    <row r="182" spans="1:12" ht="15.6">
      <c r="A182" s="24" t="str">
        <v>Q400</v>
      </c>
      <c r="B182" s="25" t="str">
        <v>NY</v>
      </c>
      <c r="C182" s="25" t="str">
        <f>Sites[[#This Row],[SOL'#]]</f>
        <v>SOL-10871</v>
      </c>
      <c r="D182" s="60"/>
      <c r="E182" s="10"/>
      <c r="F182" s="10" t="str">
        <f t="shared" si="20"/>
        <v/>
      </c>
      <c r="G182" s="61" t="str">
        <f t="shared" si="21"/>
        <v/>
      </c>
      <c r="H182" s="75"/>
      <c r="I182" s="75" t="str">
        <f t="shared" si="22"/>
        <v/>
      </c>
      <c r="J182" s="72" t="str">
        <f t="shared" si="23"/>
        <v/>
      </c>
      <c r="K182" s="81"/>
      <c r="L182" s="53"/>
    </row>
    <row r="183" spans="1:12" ht="15.6">
      <c r="A183" s="26" t="str">
        <v>R003</v>
      </c>
      <c r="B183" s="27" t="str">
        <v>NY</v>
      </c>
      <c r="C183" s="25" t="str">
        <f>Sites[[#This Row],[SOL'#]]</f>
        <v>SOL-10416</v>
      </c>
      <c r="D183" s="74"/>
      <c r="E183" s="14"/>
      <c r="F183" s="14" t="str">
        <f t="shared" si="20"/>
        <v/>
      </c>
      <c r="G183" s="76" t="str">
        <f t="shared" si="21"/>
        <v/>
      </c>
      <c r="H183" s="77"/>
      <c r="I183" s="77" t="str">
        <f t="shared" si="22"/>
        <v/>
      </c>
      <c r="J183" s="76" t="str">
        <f t="shared" si="23"/>
        <v/>
      </c>
      <c r="K183" s="57"/>
      <c r="L183" s="100"/>
    </row>
    <row r="184" spans="1:12" ht="15.6">
      <c r="A184" s="24" t="str">
        <v>R007</v>
      </c>
      <c r="B184" s="25" t="str">
        <v>NY</v>
      </c>
      <c r="C184" s="25" t="str">
        <f>Sites[[#This Row],[SOL'#]]</f>
        <v>SOL-10417</v>
      </c>
      <c r="D184" s="60"/>
      <c r="E184" s="10"/>
      <c r="F184" s="10" t="str">
        <f t="shared" si="20"/>
        <v/>
      </c>
      <c r="G184" s="61" t="str">
        <f t="shared" si="21"/>
        <v/>
      </c>
      <c r="H184" s="75"/>
      <c r="I184" s="75" t="str">
        <f t="shared" si="22"/>
        <v/>
      </c>
      <c r="J184" s="72" t="str">
        <f t="shared" si="23"/>
        <v/>
      </c>
      <c r="K184" s="81"/>
      <c r="L184" s="53"/>
    </row>
    <row r="185" spans="1:12" ht="15.6">
      <c r="A185" s="26" t="str">
        <v>BK16</v>
      </c>
      <c r="B185" s="27" t="str">
        <v>NY</v>
      </c>
      <c r="C185" s="25" t="str">
        <f>Sites[[#This Row],[SOL'#]]</f>
        <v>SOL-11093</v>
      </c>
      <c r="D185" s="74"/>
      <c r="E185" s="14"/>
      <c r="F185" s="14" t="str">
        <f t="shared" si="20"/>
        <v/>
      </c>
      <c r="G185" s="76" t="str">
        <f t="shared" si="21"/>
        <v/>
      </c>
      <c r="H185" s="77"/>
      <c r="I185" s="77" t="str">
        <f t="shared" si="22"/>
        <v/>
      </c>
      <c r="J185" s="76" t="str">
        <f t="shared" si="23"/>
        <v/>
      </c>
      <c r="K185" s="57"/>
      <c r="L185" s="100"/>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85 J4:J185">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200"/>
  <sheetViews>
    <sheetView zoomScale="70" zoomScaleNormal="70" workbookViewId="0">
      <pane xSplit="2" ySplit="3" topLeftCell="C4" activePane="bottomRight" state="frozen"/>
      <selection pane="bottomRight" activeCell="I191" sqref="I19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65" t="str" cm="1">
        <f t="array" ref="A1">portfolio</f>
        <v>Generate Capital</v>
      </c>
      <c r="B1" s="165"/>
      <c r="C1" s="165"/>
      <c r="D1" s="165"/>
      <c r="E1" s="166" t="s">
        <v>1992</v>
      </c>
      <c r="F1" s="166"/>
      <c r="G1" s="166"/>
      <c r="H1" s="164" t="s">
        <v>1993</v>
      </c>
      <c r="I1" s="164"/>
      <c r="J1" s="164"/>
      <c r="K1" s="4"/>
      <c r="L1" s="4"/>
    </row>
    <row r="2" spans="1:12" ht="19.5" customHeight="1">
      <c r="A2" s="167" t="s">
        <v>2</v>
      </c>
      <c r="B2" s="167"/>
      <c r="C2" s="65"/>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5"/>
      <c r="L4" s="55"/>
    </row>
    <row r="5" spans="1:12" ht="15.6">
      <c r="A5" s="26" t="str">
        <v>Fulton</v>
      </c>
      <c r="B5" s="27" t="str">
        <v>AZ</v>
      </c>
      <c r="C5" s="25"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57"/>
      <c r="L5" s="157"/>
    </row>
    <row r="6" spans="1:12" ht="15.6">
      <c r="A6" s="24" t="str">
        <v>JFK Elementary</v>
      </c>
      <c r="B6" s="25" t="str">
        <v>AZ</v>
      </c>
      <c r="C6" s="25" t="str">
        <f>Sites[[#This Row],[SOL'#]]</f>
        <v>SOL-10758</v>
      </c>
      <c r="D6" s="20"/>
      <c r="E6" s="10"/>
      <c r="F6" s="10" t="str">
        <f t="shared" si="0"/>
        <v/>
      </c>
      <c r="G6" s="11" t="str">
        <f t="shared" ref="G6:G16" si="3">IFERROR(F6/E6, "")</f>
        <v/>
      </c>
      <c r="H6" s="12"/>
      <c r="I6" s="12" t="str">
        <f t="shared" si="1"/>
        <v/>
      </c>
      <c r="J6" s="13" t="str">
        <f t="shared" si="2"/>
        <v/>
      </c>
      <c r="K6" s="55"/>
      <c r="L6" s="55"/>
    </row>
    <row r="7" spans="1:12" ht="24.75" customHeight="1">
      <c r="A7" s="26" t="str">
        <v>Noble</v>
      </c>
      <c r="B7" s="27" t="str">
        <v>AZ</v>
      </c>
      <c r="C7" s="25" t="str">
        <f>Sites[[#This Row],[SOL'#]]</f>
        <v>SOL-10750</v>
      </c>
      <c r="D7" s="9"/>
      <c r="E7" s="14"/>
      <c r="F7" s="14" t="str">
        <f t="shared" si="0"/>
        <v/>
      </c>
      <c r="G7" s="15" t="str">
        <f t="shared" si="3"/>
        <v/>
      </c>
      <c r="H7" s="16"/>
      <c r="I7" s="16" t="str">
        <f t="shared" si="1"/>
        <v/>
      </c>
      <c r="J7" s="15" t="str">
        <f t="shared" si="2"/>
        <v/>
      </c>
      <c r="K7" s="157"/>
      <c r="L7" s="104"/>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5"/>
      <c r="L8" s="55"/>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157"/>
      <c r="L9" s="105"/>
    </row>
    <row r="10" spans="1:12" ht="64.5" customHeight="1">
      <c r="A10" s="24" t="str">
        <v>Schwada</v>
      </c>
      <c r="B10" s="25" t="str">
        <v>AZ</v>
      </c>
      <c r="C10" s="25" t="str">
        <f>Sites[[#This Row],[SOL'#]]</f>
        <v>SOL-10753</v>
      </c>
      <c r="D10" s="20"/>
      <c r="E10" s="10"/>
      <c r="F10" s="10" t="str">
        <f t="shared" si="0"/>
        <v/>
      </c>
      <c r="G10" s="11" t="str">
        <f t="shared" si="3"/>
        <v/>
      </c>
      <c r="H10" s="12"/>
      <c r="I10" s="12" t="str">
        <f t="shared" si="1"/>
        <v/>
      </c>
      <c r="J10" s="13" t="str">
        <f t="shared" si="2"/>
        <v/>
      </c>
      <c r="K10" s="55"/>
      <c r="L10" s="55"/>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157"/>
      <c r="L11" s="104"/>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5"/>
      <c r="L12" s="55"/>
    </row>
    <row r="13" spans="1:12" ht="39" customHeight="1">
      <c r="A13" s="26" t="str">
        <v>Kinsman</v>
      </c>
      <c r="B13" s="27" t="str">
        <v>OH</v>
      </c>
      <c r="C13" s="25" t="str">
        <f>Sites[[#This Row],[SOL'#]]</f>
        <v>SOL-10762</v>
      </c>
      <c r="D13" s="9"/>
      <c r="E13" s="14"/>
      <c r="F13" s="14" t="str">
        <f t="shared" si="0"/>
        <v/>
      </c>
      <c r="G13" s="15" t="str">
        <f t="shared" si="3"/>
        <v/>
      </c>
      <c r="H13" s="16"/>
      <c r="I13" s="16" t="str">
        <f t="shared" si="1"/>
        <v/>
      </c>
      <c r="J13" s="15" t="str">
        <f t="shared" si="2"/>
        <v/>
      </c>
      <c r="K13" s="157"/>
      <c r="L13" s="104"/>
    </row>
    <row r="14" spans="1:12" ht="19.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55"/>
      <c r="L14" s="121"/>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157"/>
      <c r="L15" s="104"/>
    </row>
    <row r="16" spans="1:12" ht="42" customHeight="1">
      <c r="A16" s="24" t="str">
        <v>Payson Gila CC</v>
      </c>
      <c r="B16" s="25" t="str">
        <v>AZ</v>
      </c>
      <c r="C16" s="25" t="str">
        <f>Sites[[#This Row],[SOL'#]]</f>
        <v>SOL-10756</v>
      </c>
      <c r="D16" s="20"/>
      <c r="E16" s="10"/>
      <c r="F16" s="10" t="str">
        <f>IF(AND(ISNUMBER(D16),ISNUMBER(E16)), D16-E16, "")</f>
        <v/>
      </c>
      <c r="G16" s="11" t="str">
        <f t="shared" si="3"/>
        <v/>
      </c>
      <c r="H16" s="12"/>
      <c r="I16" s="12" t="str">
        <f t="shared" si="1"/>
        <v/>
      </c>
      <c r="J16" s="13" t="str">
        <f>IFERROR(I16/H16, "")</f>
        <v/>
      </c>
      <c r="K16" s="55"/>
      <c r="L16" s="55"/>
    </row>
    <row r="17" spans="1:12" ht="15.6">
      <c r="A17" s="26" t="str">
        <v>SCNM</v>
      </c>
      <c r="B17" s="27" t="str">
        <v>AZ</v>
      </c>
      <c r="C17" s="25" t="str">
        <f>Sites[[#This Row],[SOL'#]]</f>
        <v>SOL-10760</v>
      </c>
      <c r="D17" s="9"/>
      <c r="E17" s="14"/>
      <c r="F17" s="14" t="str">
        <f t="shared" si="0"/>
        <v/>
      </c>
      <c r="G17" s="15" t="str">
        <f t="shared" ref="G17:G48" si="4">IFERROR(F17/E17, "")</f>
        <v/>
      </c>
      <c r="H17" s="16"/>
      <c r="I17" s="16" t="str">
        <f t="shared" si="1"/>
        <v/>
      </c>
      <c r="J17" s="15" t="str">
        <f t="shared" si="2"/>
        <v/>
      </c>
      <c r="K17" s="157"/>
      <c r="L17" s="104"/>
    </row>
    <row r="18" spans="1:12" ht="18" customHeight="1">
      <c r="A18" s="24" t="str">
        <v>Sequoia Charter School</v>
      </c>
      <c r="B18" s="25" t="str">
        <v>AZ</v>
      </c>
      <c r="C18" s="25" t="str">
        <f>Sites[[#This Row],[SOL'#]]</f>
        <v>SOL-10759</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55"/>
      <c r="L18" s="55"/>
    </row>
    <row r="19" spans="1:12" ht="15.6">
      <c r="A19" s="26" t="str">
        <v>RCAB</v>
      </c>
      <c r="B19" s="27" t="str">
        <v>MA</v>
      </c>
      <c r="C19" s="25" t="str">
        <f>Sites[[#This Row],[SOL'#]]</f>
        <v>SOL-10838</v>
      </c>
      <c r="D19" s="9"/>
      <c r="E19" s="14"/>
      <c r="F19" s="14" t="str">
        <f t="shared" si="5"/>
        <v/>
      </c>
      <c r="G19" s="15" t="str">
        <f t="shared" si="4"/>
        <v/>
      </c>
      <c r="H19" s="16"/>
      <c r="I19" s="16" t="str">
        <f t="shared" si="6"/>
        <v/>
      </c>
      <c r="J19" s="15" t="str">
        <f t="shared" si="7"/>
        <v/>
      </c>
      <c r="K19" s="157"/>
      <c r="L19" s="104"/>
    </row>
    <row r="20" spans="1:12" ht="24.75" customHeight="1">
      <c r="A20" s="24" t="str">
        <v>Spectro Coatings</v>
      </c>
      <c r="B20" s="25" t="str">
        <v>MA</v>
      </c>
      <c r="C20" s="25" t="str">
        <f>Sites[[#This Row],[SOL'#]]</f>
        <v>SOL-10074</v>
      </c>
      <c r="D20" s="20"/>
      <c r="E20" s="10"/>
      <c r="F20" s="10" t="str">
        <f t="shared" si="5"/>
        <v/>
      </c>
      <c r="G20" s="11" t="str">
        <f t="shared" si="4"/>
        <v/>
      </c>
      <c r="H20" s="12"/>
      <c r="I20" s="12" t="str">
        <f t="shared" si="6"/>
        <v/>
      </c>
      <c r="J20" s="13" t="str">
        <f t="shared" si="7"/>
        <v/>
      </c>
      <c r="K20" s="55"/>
      <c r="L20" s="55"/>
    </row>
    <row r="21" spans="1:12" ht="15.6">
      <c r="A21" s="26" t="str">
        <v>K026</v>
      </c>
      <c r="B21" s="27" t="str">
        <v>NY</v>
      </c>
      <c r="C21" s="25" t="str">
        <f>Sites[[#This Row],[SOL'#]]</f>
        <v>SOL-10356</v>
      </c>
      <c r="D21" s="9"/>
      <c r="E21" s="14"/>
      <c r="F21" s="14" t="str">
        <f t="shared" si="5"/>
        <v/>
      </c>
      <c r="G21" s="15" t="str">
        <f t="shared" si="4"/>
        <v/>
      </c>
      <c r="H21" s="16"/>
      <c r="I21" s="16" t="str">
        <f t="shared" si="6"/>
        <v/>
      </c>
      <c r="J21" s="15" t="str">
        <f t="shared" si="7"/>
        <v/>
      </c>
      <c r="K21" s="157"/>
      <c r="L21" s="105"/>
    </row>
    <row r="22" spans="1:12" ht="15.6">
      <c r="A22" s="24" t="str">
        <v>K041</v>
      </c>
      <c r="B22" s="25" t="str">
        <v>NY</v>
      </c>
      <c r="C22" s="25" t="str">
        <f>Sites[[#This Row],[SOL'#]]</f>
        <v>SOL-10357</v>
      </c>
      <c r="D22" s="20"/>
      <c r="E22" s="10"/>
      <c r="F22" s="10" t="str">
        <f t="shared" si="5"/>
        <v/>
      </c>
      <c r="G22" s="11" t="str">
        <f t="shared" si="4"/>
        <v/>
      </c>
      <c r="H22" s="12"/>
      <c r="I22" s="12" t="str">
        <f t="shared" si="6"/>
        <v/>
      </c>
      <c r="J22" s="13" t="str">
        <f t="shared" si="7"/>
        <v/>
      </c>
      <c r="K22" s="55"/>
      <c r="L22" s="55"/>
    </row>
    <row r="23" spans="1:12" ht="27" customHeight="1">
      <c r="A23" s="26" t="str">
        <v>K043</v>
      </c>
      <c r="B23" s="27" t="str">
        <v>NY</v>
      </c>
      <c r="C23" s="25" t="str">
        <f>Sites[[#This Row],[SOL'#]]</f>
        <v>SOL-10358</v>
      </c>
      <c r="D23" s="9"/>
      <c r="E23" s="14"/>
      <c r="F23" s="14" t="str">
        <f t="shared" si="5"/>
        <v/>
      </c>
      <c r="G23" s="15" t="str">
        <f t="shared" si="4"/>
        <v/>
      </c>
      <c r="H23" s="16"/>
      <c r="I23" s="16" t="str">
        <f t="shared" si="6"/>
        <v/>
      </c>
      <c r="J23" s="15" t="str">
        <f t="shared" si="7"/>
        <v/>
      </c>
      <c r="K23" s="157"/>
      <c r="L23" s="105"/>
    </row>
    <row r="24" spans="1:12" ht="15.6">
      <c r="A24" s="24" t="str">
        <v>K058</v>
      </c>
      <c r="B24" s="25" t="str">
        <v>NY</v>
      </c>
      <c r="C24" s="25" t="str">
        <f>Sites[[#This Row],[SOL'#]]</f>
        <v>SOL-10360</v>
      </c>
      <c r="D24" s="20"/>
      <c r="E24" s="10"/>
      <c r="F24" s="10" t="str">
        <f t="shared" si="5"/>
        <v/>
      </c>
      <c r="G24" s="11" t="str">
        <f t="shared" si="4"/>
        <v/>
      </c>
      <c r="H24" s="12"/>
      <c r="I24" s="12" t="str">
        <f t="shared" si="6"/>
        <v/>
      </c>
      <c r="J24" s="13" t="str">
        <f t="shared" si="7"/>
        <v/>
      </c>
      <c r="K24" s="55"/>
      <c r="L24" s="55"/>
    </row>
    <row r="25" spans="1:12" ht="15.6">
      <c r="A25" s="26" t="str">
        <v>K115</v>
      </c>
      <c r="B25" s="27" t="str">
        <v>NY</v>
      </c>
      <c r="C25" s="25" t="str">
        <f>Sites[[#This Row],[SOL'#]]</f>
        <v>SOL-10361</v>
      </c>
      <c r="D25" s="9"/>
      <c r="E25" s="14"/>
      <c r="F25" s="14" t="str">
        <f t="shared" si="5"/>
        <v/>
      </c>
      <c r="G25" s="15" t="str">
        <f t="shared" si="4"/>
        <v/>
      </c>
      <c r="H25" s="16"/>
      <c r="I25" s="16" t="str">
        <f t="shared" si="6"/>
        <v/>
      </c>
      <c r="J25" s="15" t="str">
        <f t="shared" si="7"/>
        <v/>
      </c>
      <c r="K25" s="157"/>
      <c r="L25" s="106"/>
    </row>
    <row r="26" spans="1:12" ht="15.6">
      <c r="A26" s="24" t="str">
        <v>K152</v>
      </c>
      <c r="B26" s="25" t="str">
        <v>NY</v>
      </c>
      <c r="C26" s="25" t="str">
        <f>Sites[[#This Row],[SOL'#]]</f>
        <v>SOL-10362</v>
      </c>
      <c r="D26" s="20"/>
      <c r="E26" s="10"/>
      <c r="F26" s="10" t="str">
        <f t="shared" si="5"/>
        <v/>
      </c>
      <c r="G26" s="11" t="str">
        <f t="shared" si="4"/>
        <v/>
      </c>
      <c r="H26" s="12"/>
      <c r="I26" s="12" t="str">
        <f t="shared" si="6"/>
        <v/>
      </c>
      <c r="J26" s="13" t="str">
        <f t="shared" si="7"/>
        <v/>
      </c>
      <c r="K26" s="55"/>
      <c r="L26" s="55"/>
    </row>
    <row r="27" spans="1:12" ht="15.6">
      <c r="A27" s="26" t="str">
        <v>K166</v>
      </c>
      <c r="B27" s="27" t="str">
        <v>NY</v>
      </c>
      <c r="C27" s="25" t="str">
        <f>Sites[[#This Row],[SOL'#]]</f>
        <v>SOL-10363</v>
      </c>
      <c r="D27" s="9"/>
      <c r="E27" s="14"/>
      <c r="F27" s="14" t="str">
        <f t="shared" si="5"/>
        <v/>
      </c>
      <c r="G27" s="15" t="str">
        <f t="shared" si="4"/>
        <v/>
      </c>
      <c r="H27" s="16"/>
      <c r="I27" s="16" t="str">
        <f t="shared" si="6"/>
        <v/>
      </c>
      <c r="J27" s="15" t="str">
        <f t="shared" si="7"/>
        <v/>
      </c>
      <c r="K27" s="157"/>
      <c r="L27" s="105"/>
    </row>
    <row r="28" spans="1:12" ht="15.6">
      <c r="A28" s="24" t="str">
        <v>K206</v>
      </c>
      <c r="B28" s="25" t="str">
        <v>NY</v>
      </c>
      <c r="C28" s="25" t="str">
        <f>Sites[[#This Row],[SOL'#]]</f>
        <v>SOL-10927</v>
      </c>
      <c r="D28" s="20"/>
      <c r="E28" s="10"/>
      <c r="F28" s="10" t="str">
        <f t="shared" si="5"/>
        <v/>
      </c>
      <c r="G28" s="11" t="str">
        <f t="shared" si="4"/>
        <v/>
      </c>
      <c r="H28" s="12"/>
      <c r="I28" s="12" t="str">
        <f t="shared" si="6"/>
        <v/>
      </c>
      <c r="J28" s="13" t="str">
        <f t="shared" si="7"/>
        <v/>
      </c>
      <c r="K28" s="55"/>
      <c r="L28" s="55"/>
    </row>
    <row r="29" spans="1:12" ht="15.6">
      <c r="A29" s="26" t="str">
        <v>K251</v>
      </c>
      <c r="B29" s="27" t="str">
        <v>NY</v>
      </c>
      <c r="C29" s="25" t="str">
        <f>Sites[[#This Row],[SOL'#]]</f>
        <v>SOL-10365</v>
      </c>
      <c r="D29" s="9"/>
      <c r="E29" s="14"/>
      <c r="F29" s="14" t="str">
        <f t="shared" si="5"/>
        <v/>
      </c>
      <c r="G29" s="15" t="str">
        <f t="shared" si="4"/>
        <v/>
      </c>
      <c r="H29" s="16"/>
      <c r="I29" s="16" t="str">
        <f t="shared" si="6"/>
        <v/>
      </c>
      <c r="J29" s="15" t="str">
        <f t="shared" si="7"/>
        <v/>
      </c>
      <c r="K29" s="157"/>
      <c r="L29" s="157"/>
    </row>
    <row r="30" spans="1:12" ht="15.6">
      <c r="A30" s="24" t="str">
        <v>K269</v>
      </c>
      <c r="B30" s="25" t="str">
        <v>NY</v>
      </c>
      <c r="C30" s="25" t="str">
        <f>Sites[[#This Row],[SOL'#]]</f>
        <v>SOL-10366</v>
      </c>
      <c r="D30" s="20"/>
      <c r="E30" s="10"/>
      <c r="F30" s="10" t="str">
        <f t="shared" si="5"/>
        <v/>
      </c>
      <c r="G30" s="11" t="str">
        <f t="shared" si="4"/>
        <v/>
      </c>
      <c r="H30" s="12"/>
      <c r="I30" s="12" t="str">
        <f t="shared" si="6"/>
        <v/>
      </c>
      <c r="J30" s="13" t="str">
        <f t="shared" si="7"/>
        <v/>
      </c>
      <c r="K30" s="55"/>
      <c r="L30" s="55"/>
    </row>
    <row r="31" spans="1:12" ht="15.6">
      <c r="A31" s="26" t="str">
        <v>K273</v>
      </c>
      <c r="B31" s="27" t="str">
        <v>NY</v>
      </c>
      <c r="C31" s="25" t="str">
        <f>Sites[[#This Row],[SOL'#]]</f>
        <v>SOL-10367</v>
      </c>
      <c r="D31" s="9"/>
      <c r="E31" s="14"/>
      <c r="F31" s="14" t="str">
        <f t="shared" si="5"/>
        <v/>
      </c>
      <c r="G31" s="15" t="str">
        <f t="shared" si="4"/>
        <v/>
      </c>
      <c r="H31" s="16"/>
      <c r="I31" s="16" t="str">
        <f t="shared" si="6"/>
        <v/>
      </c>
      <c r="J31" s="15" t="str">
        <f t="shared" si="7"/>
        <v/>
      </c>
      <c r="K31" s="157"/>
      <c r="L31" s="157"/>
    </row>
    <row r="32" spans="1:12" ht="15.6">
      <c r="A32" s="24" t="str">
        <v>K287</v>
      </c>
      <c r="B32" s="25" t="str">
        <v>NY</v>
      </c>
      <c r="C32" s="25" t="str">
        <f>Sites[[#This Row],[SOL'#]]</f>
        <v>SOL-10919</v>
      </c>
      <c r="D32" s="20"/>
      <c r="E32" s="10"/>
      <c r="F32" s="10" t="str">
        <f t="shared" si="5"/>
        <v/>
      </c>
      <c r="G32" s="11" t="str">
        <f t="shared" si="4"/>
        <v/>
      </c>
      <c r="H32" s="12"/>
      <c r="I32" s="12" t="str">
        <f t="shared" si="6"/>
        <v/>
      </c>
      <c r="J32" s="13" t="str">
        <f t="shared" si="7"/>
        <v/>
      </c>
      <c r="K32" s="55"/>
      <c r="L32" s="55"/>
    </row>
    <row r="33" spans="1:12" ht="15.6">
      <c r="A33" s="26" t="str">
        <v>K298</v>
      </c>
      <c r="B33" s="27" t="str">
        <v>NY</v>
      </c>
      <c r="C33" s="25" t="str">
        <f>Sites[[#This Row],[SOL'#]]</f>
        <v>SOL-10368</v>
      </c>
      <c r="D33" s="9"/>
      <c r="E33" s="14"/>
      <c r="F33" s="14" t="str">
        <f t="shared" si="5"/>
        <v/>
      </c>
      <c r="G33" s="15" t="str">
        <f t="shared" si="4"/>
        <v/>
      </c>
      <c r="H33" s="16"/>
      <c r="I33" s="16" t="str">
        <f t="shared" si="6"/>
        <v/>
      </c>
      <c r="J33" s="15" t="str">
        <f t="shared" si="7"/>
        <v/>
      </c>
      <c r="K33" s="157"/>
      <c r="L33" s="157"/>
    </row>
    <row r="34" spans="1:12" ht="15.6">
      <c r="A34" s="24" t="str">
        <v>K335</v>
      </c>
      <c r="B34" s="25" t="str">
        <v>NY</v>
      </c>
      <c r="C34" s="25" t="str">
        <f>Sites[[#This Row],[SOL'#]]</f>
        <v>SOL-10370</v>
      </c>
      <c r="D34" s="20"/>
      <c r="E34" s="10"/>
      <c r="F34" s="10" t="str">
        <f t="shared" si="5"/>
        <v/>
      </c>
      <c r="G34" s="11" t="str">
        <f t="shared" si="4"/>
        <v/>
      </c>
      <c r="H34" s="12"/>
      <c r="I34" s="12" t="str">
        <f t="shared" si="6"/>
        <v/>
      </c>
      <c r="J34" s="13" t="str">
        <f t="shared" si="7"/>
        <v/>
      </c>
      <c r="K34" s="55"/>
      <c r="L34" s="55"/>
    </row>
    <row r="35" spans="1:12" ht="15.6">
      <c r="A35" s="26" t="str">
        <v>K345</v>
      </c>
      <c r="B35" s="27" t="str">
        <v>NY</v>
      </c>
      <c r="C35" s="25" t="str">
        <f>Sites[[#This Row],[SOL'#]]</f>
        <v>SOL-10920</v>
      </c>
      <c r="D35" s="9"/>
      <c r="E35" s="14"/>
      <c r="F35" s="14" t="str">
        <f t="shared" si="5"/>
        <v/>
      </c>
      <c r="G35" s="15" t="str">
        <f t="shared" si="4"/>
        <v/>
      </c>
      <c r="H35" s="16"/>
      <c r="I35" s="16" t="str">
        <f t="shared" si="6"/>
        <v/>
      </c>
      <c r="J35" s="15" t="str">
        <f t="shared" si="7"/>
        <v/>
      </c>
      <c r="K35" s="157"/>
      <c r="L35" s="105"/>
    </row>
    <row r="36" spans="1:12" ht="15.6">
      <c r="A36" s="24" t="str">
        <v>K445</v>
      </c>
      <c r="B36" s="25" t="str">
        <v>NY</v>
      </c>
      <c r="C36" s="25" t="str">
        <f>Sites[[#This Row],[SOL'#]]</f>
        <v>SOL-10373</v>
      </c>
      <c r="D36" s="20"/>
      <c r="E36" s="10"/>
      <c r="F36" s="10" t="str">
        <f t="shared" si="5"/>
        <v/>
      </c>
      <c r="G36" s="11" t="str">
        <f t="shared" si="4"/>
        <v/>
      </c>
      <c r="H36" s="12"/>
      <c r="I36" s="12" t="str">
        <f t="shared" si="6"/>
        <v/>
      </c>
      <c r="J36" s="13" t="str">
        <f t="shared" si="7"/>
        <v/>
      </c>
      <c r="K36" s="55"/>
      <c r="L36" s="55"/>
    </row>
    <row r="37" spans="1:12" ht="15.6">
      <c r="A37" s="26" t="str">
        <v>K495</v>
      </c>
      <c r="B37" s="27" t="str">
        <v>NY</v>
      </c>
      <c r="C37" s="25" t="str">
        <f>Sites[[#This Row],[SOL'#]]</f>
        <v>SOL-10374</v>
      </c>
      <c r="D37" s="9"/>
      <c r="E37" s="14"/>
      <c r="F37" s="14" t="str">
        <f t="shared" si="5"/>
        <v/>
      </c>
      <c r="G37" s="15" t="str">
        <f t="shared" si="4"/>
        <v/>
      </c>
      <c r="H37" s="16"/>
      <c r="I37" s="16" t="str">
        <f t="shared" si="6"/>
        <v/>
      </c>
      <c r="J37" s="15" t="str">
        <f t="shared" si="7"/>
        <v/>
      </c>
      <c r="K37" s="157"/>
      <c r="L37" s="105"/>
    </row>
    <row r="38" spans="1:12" ht="15.6">
      <c r="A38" s="24" t="str">
        <v>M020</v>
      </c>
      <c r="B38" s="25" t="str">
        <v>NY</v>
      </c>
      <c r="C38" s="25" t="str">
        <f>Sites[[#This Row],[SOL'#]]</f>
        <v>SOL-10380</v>
      </c>
      <c r="D38" s="20"/>
      <c r="E38" s="10"/>
      <c r="F38" s="10" t="str">
        <f t="shared" si="5"/>
        <v/>
      </c>
      <c r="G38" s="11" t="str">
        <f t="shared" si="4"/>
        <v/>
      </c>
      <c r="H38" s="12"/>
      <c r="I38" s="12" t="str">
        <f t="shared" si="6"/>
        <v/>
      </c>
      <c r="J38" s="13" t="str">
        <f t="shared" si="7"/>
        <v/>
      </c>
      <c r="K38" s="55"/>
      <c r="L38" s="55"/>
    </row>
    <row r="39" spans="1:12" ht="15.6">
      <c r="A39" s="26" t="str">
        <v>M092</v>
      </c>
      <c r="B39" s="27" t="str">
        <v>NY</v>
      </c>
      <c r="C39" s="25" t="str">
        <f>Sites[[#This Row],[SOL'#]]</f>
        <v>SOL-10383</v>
      </c>
      <c r="D39" s="9"/>
      <c r="E39" s="14"/>
      <c r="F39" s="14" t="str">
        <f t="shared" si="5"/>
        <v/>
      </c>
      <c r="G39" s="15" t="str">
        <f t="shared" si="4"/>
        <v/>
      </c>
      <c r="H39" s="16"/>
      <c r="I39" s="16" t="str">
        <f t="shared" si="6"/>
        <v/>
      </c>
      <c r="J39" s="15" t="str">
        <f t="shared" si="7"/>
        <v/>
      </c>
      <c r="K39" s="157"/>
      <c r="L39" s="105"/>
    </row>
    <row r="40" spans="1:12" ht="15.6">
      <c r="A40" s="24" t="str">
        <v>M143</v>
      </c>
      <c r="B40" s="25" t="str">
        <v>NY</v>
      </c>
      <c r="C40" s="25" t="str">
        <f>Sites[[#This Row],[SOL'#]]</f>
        <v>SOL-10384</v>
      </c>
      <c r="D40" s="20"/>
      <c r="E40" s="10"/>
      <c r="F40" s="10" t="str">
        <f t="shared" si="5"/>
        <v/>
      </c>
      <c r="G40" s="11" t="str">
        <f t="shared" si="4"/>
        <v/>
      </c>
      <c r="H40" s="12"/>
      <c r="I40" s="12" t="str">
        <f t="shared" si="6"/>
        <v/>
      </c>
      <c r="J40" s="13" t="str">
        <f t="shared" si="7"/>
        <v/>
      </c>
      <c r="K40" s="55"/>
      <c r="L40" s="55"/>
    </row>
    <row r="41" spans="1:12" ht="15.6">
      <c r="A41" s="26" t="str">
        <v>M144</v>
      </c>
      <c r="B41" s="27" t="str">
        <v>NY</v>
      </c>
      <c r="C41" s="25" t="str">
        <f>Sites[[#This Row],[SOL'#]]</f>
        <v>SOL-10385</v>
      </c>
      <c r="D41" s="9"/>
      <c r="E41" s="14"/>
      <c r="F41" s="14" t="str">
        <f t="shared" si="5"/>
        <v/>
      </c>
      <c r="G41" s="15" t="str">
        <f t="shared" si="4"/>
        <v/>
      </c>
      <c r="H41" s="16"/>
      <c r="I41" s="16" t="str">
        <f t="shared" si="6"/>
        <v/>
      </c>
      <c r="J41" s="15" t="str">
        <f t="shared" si="7"/>
        <v/>
      </c>
      <c r="K41" s="157"/>
      <c r="L41" s="157"/>
    </row>
    <row r="42" spans="1:12" ht="15.6">
      <c r="A42" s="24" t="str">
        <v>M167</v>
      </c>
      <c r="B42" s="25" t="str">
        <v>NY</v>
      </c>
      <c r="C42" s="25" t="str">
        <f>Sites[[#This Row],[SOL'#]]</f>
        <v>SOL-10386</v>
      </c>
      <c r="D42" s="20"/>
      <c r="E42" s="10"/>
      <c r="F42" s="10" t="str">
        <f t="shared" si="5"/>
        <v/>
      </c>
      <c r="G42" s="11" t="str">
        <f t="shared" si="4"/>
        <v/>
      </c>
      <c r="H42" s="12"/>
      <c r="I42" s="12" t="str">
        <f t="shared" si="6"/>
        <v/>
      </c>
      <c r="J42" s="13" t="str">
        <f t="shared" si="7"/>
        <v/>
      </c>
      <c r="K42" s="55"/>
      <c r="L42" s="55"/>
    </row>
    <row r="43" spans="1:12" ht="15.6">
      <c r="A43" s="26" t="str">
        <v>M188</v>
      </c>
      <c r="B43" s="27" t="str">
        <v>NY</v>
      </c>
      <c r="C43" s="25" t="str">
        <f>Sites[[#This Row],[SOL'#]]</f>
        <v>SOL-10387</v>
      </c>
      <c r="D43" s="9"/>
      <c r="E43" s="14"/>
      <c r="F43" s="14" t="str">
        <f t="shared" si="5"/>
        <v/>
      </c>
      <c r="G43" s="15" t="str">
        <f t="shared" si="4"/>
        <v/>
      </c>
      <c r="H43" s="16"/>
      <c r="I43" s="16" t="str">
        <f t="shared" si="6"/>
        <v/>
      </c>
      <c r="J43" s="15" t="str">
        <f t="shared" si="7"/>
        <v/>
      </c>
      <c r="K43" s="157"/>
      <c r="L43" s="106"/>
    </row>
    <row r="44" spans="1:12" ht="15.6">
      <c r="A44" s="24" t="str">
        <v>EMHC</v>
      </c>
      <c r="B44" s="25" t="str">
        <v>NY</v>
      </c>
      <c r="C44" s="25" t="str">
        <f>Sites[[#This Row],[SOL'#]]</f>
        <v>SOL-10351</v>
      </c>
      <c r="D44" s="20"/>
      <c r="E44" s="10"/>
      <c r="F44" s="10" t="str">
        <f t="shared" si="5"/>
        <v/>
      </c>
      <c r="G44" s="11" t="str">
        <f t="shared" si="4"/>
        <v/>
      </c>
      <c r="H44" s="12"/>
      <c r="I44" s="12" t="str">
        <f t="shared" si="6"/>
        <v/>
      </c>
      <c r="J44" s="13" t="str">
        <f t="shared" si="7"/>
        <v/>
      </c>
      <c r="K44" s="55"/>
      <c r="L44" s="55"/>
    </row>
    <row r="45" spans="1:12" ht="15.6">
      <c r="A45" s="26" t="str">
        <v>Q008</v>
      </c>
      <c r="B45" s="27" t="str">
        <v>NY</v>
      </c>
      <c r="C45" s="25" t="str">
        <f>Sites[[#This Row],[SOL'#]]</f>
        <v>SOL-10397</v>
      </c>
      <c r="D45" s="9"/>
      <c r="E45" s="14"/>
      <c r="F45" s="14" t="str">
        <f t="shared" si="5"/>
        <v/>
      </c>
      <c r="G45" s="15" t="str">
        <f t="shared" si="4"/>
        <v/>
      </c>
      <c r="H45" s="16"/>
      <c r="I45" s="16" t="str">
        <f t="shared" si="6"/>
        <v/>
      </c>
      <c r="J45" s="15" t="str">
        <f t="shared" si="7"/>
        <v/>
      </c>
      <c r="K45" s="157"/>
      <c r="L45" s="105"/>
    </row>
    <row r="46" spans="1:12" ht="15.6">
      <c r="A46" s="24" t="str">
        <v>Q018</v>
      </c>
      <c r="B46" s="25" t="str">
        <v>NY</v>
      </c>
      <c r="C46" s="25" t="str">
        <f>Sites[[#This Row],[SOL'#]]</f>
        <v>SOL-10398</v>
      </c>
      <c r="D46" s="20"/>
      <c r="E46" s="10"/>
      <c r="F46" s="10" t="str">
        <f t="shared" si="5"/>
        <v/>
      </c>
      <c r="G46" s="11" t="str">
        <f t="shared" si="4"/>
        <v/>
      </c>
      <c r="H46" s="12"/>
      <c r="I46" s="12" t="str">
        <f t="shared" si="6"/>
        <v/>
      </c>
      <c r="J46" s="13" t="str">
        <f t="shared" si="7"/>
        <v/>
      </c>
      <c r="K46" s="55"/>
      <c r="L46" s="55"/>
    </row>
    <row r="47" spans="1:12" ht="15.6">
      <c r="A47" s="26" t="str">
        <v>Q021</v>
      </c>
      <c r="B47" s="27" t="str">
        <v>NY</v>
      </c>
      <c r="C47" s="25" t="str">
        <f>Sites[[#This Row],[SOL'#]]</f>
        <v>SOL-10399</v>
      </c>
      <c r="D47" s="9"/>
      <c r="E47" s="14"/>
      <c r="F47" s="14" t="str">
        <f t="shared" si="5"/>
        <v/>
      </c>
      <c r="G47" s="15" t="str">
        <f t="shared" si="4"/>
        <v/>
      </c>
      <c r="H47" s="16"/>
      <c r="I47" s="16" t="str">
        <f t="shared" si="6"/>
        <v/>
      </c>
      <c r="J47" s="15" t="str">
        <f t="shared" si="7"/>
        <v/>
      </c>
      <c r="K47" s="157"/>
      <c r="L47" s="104"/>
    </row>
    <row r="48" spans="1:12" ht="63.75" customHeight="1">
      <c r="A48" s="24" t="str">
        <v>Q025</v>
      </c>
      <c r="B48" s="25" t="str">
        <v>NY</v>
      </c>
      <c r="C48" s="25" t="str">
        <f>Sites[[#This Row],[SOL'#]]</f>
        <v>SOL-10400</v>
      </c>
      <c r="D48" s="20"/>
      <c r="E48" s="10"/>
      <c r="F48" s="10" t="str">
        <f t="shared" si="5"/>
        <v/>
      </c>
      <c r="G48" s="11" t="str">
        <f t="shared" si="4"/>
        <v/>
      </c>
      <c r="H48" s="12"/>
      <c r="I48" s="12" t="str">
        <f t="shared" si="6"/>
        <v/>
      </c>
      <c r="J48" s="13" t="str">
        <f t="shared" si="7"/>
        <v/>
      </c>
      <c r="K48" s="55"/>
      <c r="L48" s="55"/>
    </row>
    <row r="49" spans="1:12" ht="15.6">
      <c r="A49" s="26" t="str">
        <v>Q074</v>
      </c>
      <c r="B49" s="27" t="str">
        <v>NY</v>
      </c>
      <c r="C49" s="25" t="str">
        <f>Sites[[#This Row],[SOL'#]]</f>
        <v>SOL-10402</v>
      </c>
      <c r="D49" s="9"/>
      <c r="E49" s="14"/>
      <c r="F49" s="14" t="str">
        <f t="shared" si="5"/>
        <v/>
      </c>
      <c r="G49" s="15" t="str">
        <f t="shared" ref="G49:G80" si="8">IFERROR(F49/E49, "")</f>
        <v/>
      </c>
      <c r="H49" s="16"/>
      <c r="I49" s="16" t="str">
        <f t="shared" si="6"/>
        <v/>
      </c>
      <c r="J49" s="15" t="str">
        <f t="shared" si="7"/>
        <v/>
      </c>
      <c r="K49" s="157"/>
      <c r="L49" s="104"/>
    </row>
    <row r="50" spans="1:12" ht="15.6">
      <c r="A50" s="24" t="str">
        <v>Q115</v>
      </c>
      <c r="B50" s="25" t="str">
        <v>NY</v>
      </c>
      <c r="C50" s="25" t="str">
        <f>Sites[[#This Row],[SOL'#]]</f>
        <v>SOL-10872</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55"/>
      <c r="L50" s="55"/>
    </row>
    <row r="51" spans="1:12" ht="39.75" customHeight="1">
      <c r="A51" s="26" t="str">
        <v>Q139</v>
      </c>
      <c r="B51" s="27" t="str">
        <v>NY</v>
      </c>
      <c r="C51" s="25" t="str">
        <f>Sites[[#This Row],[SOL'#]]</f>
        <v>SOL-10403</v>
      </c>
      <c r="D51" s="9"/>
      <c r="E51" s="14"/>
      <c r="F51" s="14" t="str">
        <f t="shared" si="9"/>
        <v/>
      </c>
      <c r="G51" s="15" t="str">
        <f t="shared" si="8"/>
        <v/>
      </c>
      <c r="H51" s="16"/>
      <c r="I51" s="16" t="str">
        <f t="shared" si="10"/>
        <v/>
      </c>
      <c r="J51" s="15" t="str">
        <f t="shared" si="11"/>
        <v/>
      </c>
      <c r="K51" s="157"/>
      <c r="L51" s="104"/>
    </row>
    <row r="52" spans="1:12" ht="15.6">
      <c r="A52" s="24" t="str">
        <v>Q157</v>
      </c>
      <c r="B52" s="25" t="str">
        <v>NY</v>
      </c>
      <c r="C52" s="25" t="str">
        <f>Sites[[#This Row],[SOL'#]]</f>
        <v>SOL-10404</v>
      </c>
      <c r="D52" s="20"/>
      <c r="E52" s="10"/>
      <c r="F52" s="10" t="str">
        <f t="shared" si="9"/>
        <v/>
      </c>
      <c r="G52" s="11" t="str">
        <f t="shared" si="8"/>
        <v/>
      </c>
      <c r="H52" s="12"/>
      <c r="I52" s="12" t="str">
        <f t="shared" si="10"/>
        <v/>
      </c>
      <c r="J52" s="13" t="str">
        <f t="shared" si="11"/>
        <v/>
      </c>
      <c r="K52" s="55"/>
      <c r="L52" s="55"/>
    </row>
    <row r="53" spans="1:12" ht="15.6">
      <c r="A53" s="26" t="str">
        <v>Q192</v>
      </c>
      <c r="B53" s="27" t="str">
        <v>NY</v>
      </c>
      <c r="C53" s="25" t="str">
        <f>Sites[[#This Row],[SOL'#]]</f>
        <v>SOL-10406</v>
      </c>
      <c r="D53" s="9"/>
      <c r="E53" s="14"/>
      <c r="F53" s="14" t="str">
        <f t="shared" si="9"/>
        <v/>
      </c>
      <c r="G53" s="15" t="str">
        <f t="shared" si="8"/>
        <v/>
      </c>
      <c r="H53" s="16"/>
      <c r="I53" s="16" t="str">
        <f t="shared" si="10"/>
        <v/>
      </c>
      <c r="J53" s="15" t="str">
        <f t="shared" si="11"/>
        <v/>
      </c>
      <c r="K53" s="157"/>
      <c r="L53" s="157"/>
    </row>
    <row r="54" spans="1:12" ht="15.6">
      <c r="A54" s="24" t="str">
        <v>Q210</v>
      </c>
      <c r="B54" s="25" t="str">
        <v>NY</v>
      </c>
      <c r="C54" s="25" t="str">
        <f>Sites[[#This Row],[SOL'#]]</f>
        <v>SOL-10407</v>
      </c>
      <c r="D54" s="20"/>
      <c r="E54" s="10"/>
      <c r="F54" s="10" t="str">
        <f t="shared" si="9"/>
        <v/>
      </c>
      <c r="G54" s="11" t="str">
        <f t="shared" si="8"/>
        <v/>
      </c>
      <c r="H54" s="12"/>
      <c r="I54" s="12" t="str">
        <f t="shared" si="10"/>
        <v/>
      </c>
      <c r="J54" s="13" t="str">
        <f t="shared" si="11"/>
        <v/>
      </c>
      <c r="K54" s="55"/>
      <c r="L54" s="55"/>
    </row>
    <row r="55" spans="1:12" ht="15.6">
      <c r="A55" s="26" t="str">
        <v>Q229</v>
      </c>
      <c r="B55" s="27" t="str">
        <v>NY</v>
      </c>
      <c r="C55" s="25" t="str">
        <f>Sites[[#This Row],[SOL'#]]</f>
        <v>SOL-10408</v>
      </c>
      <c r="D55" s="9"/>
      <c r="E55" s="14"/>
      <c r="F55" s="14" t="str">
        <f t="shared" si="9"/>
        <v/>
      </c>
      <c r="G55" s="15" t="str">
        <f t="shared" si="8"/>
        <v/>
      </c>
      <c r="H55" s="16"/>
      <c r="I55" s="16" t="str">
        <f t="shared" si="10"/>
        <v/>
      </c>
      <c r="J55" s="15" t="str">
        <f t="shared" si="11"/>
        <v/>
      </c>
      <c r="K55" s="157"/>
      <c r="L55" s="104"/>
    </row>
    <row r="56" spans="1:12" ht="15.6">
      <c r="A56" s="24" t="str">
        <v>Q231</v>
      </c>
      <c r="B56" s="25" t="str">
        <v>NY</v>
      </c>
      <c r="C56" s="25" t="str">
        <f>Sites[[#This Row],[SOL'#]]</f>
        <v>SOL-10870</v>
      </c>
      <c r="D56" s="20"/>
      <c r="E56" s="10"/>
      <c r="F56" s="10" t="str">
        <f t="shared" si="9"/>
        <v/>
      </c>
      <c r="G56" s="11" t="str">
        <f t="shared" si="8"/>
        <v/>
      </c>
      <c r="H56" s="12"/>
      <c r="I56" s="12" t="str">
        <f t="shared" si="10"/>
        <v/>
      </c>
      <c r="J56" s="13" t="str">
        <f t="shared" si="11"/>
        <v/>
      </c>
      <c r="K56" s="55"/>
      <c r="L56" s="55"/>
    </row>
    <row r="57" spans="1:12" ht="15.6">
      <c r="A57" s="26" t="str">
        <v>Q405</v>
      </c>
      <c r="B57" s="27" t="str">
        <v>NY</v>
      </c>
      <c r="C57" s="25" t="str">
        <f>Sites[[#This Row],[SOL'#]]</f>
        <v>SOL-10409</v>
      </c>
      <c r="D57" s="9"/>
      <c r="E57" s="14"/>
      <c r="F57" s="14" t="str">
        <f t="shared" si="9"/>
        <v/>
      </c>
      <c r="G57" s="15" t="str">
        <f t="shared" si="8"/>
        <v/>
      </c>
      <c r="H57" s="16"/>
      <c r="I57" s="16" t="str">
        <f t="shared" si="10"/>
        <v/>
      </c>
      <c r="J57" s="15" t="str">
        <f t="shared" si="11"/>
        <v/>
      </c>
      <c r="K57" s="107"/>
      <c r="L57" s="104"/>
    </row>
    <row r="58" spans="1:12" ht="15.6">
      <c r="A58" s="24" t="str">
        <v>Q435</v>
      </c>
      <c r="B58" s="25" t="str">
        <v>NY</v>
      </c>
      <c r="C58" s="25" t="str">
        <f>Sites[[#This Row],[SOL'#]]</f>
        <v>SOL-10923</v>
      </c>
      <c r="D58" s="20"/>
      <c r="E58" s="10"/>
      <c r="F58" s="10" t="str">
        <f t="shared" si="9"/>
        <v/>
      </c>
      <c r="G58" s="11" t="str">
        <f t="shared" si="8"/>
        <v/>
      </c>
      <c r="H58" s="12"/>
      <c r="I58" s="12" t="str">
        <f t="shared" si="10"/>
        <v/>
      </c>
      <c r="J58" s="13" t="str">
        <f t="shared" si="11"/>
        <v/>
      </c>
      <c r="K58" s="122"/>
      <c r="L58" s="55"/>
    </row>
    <row r="59" spans="1:12" ht="15.6">
      <c r="A59" s="26" t="str">
        <v>Q485</v>
      </c>
      <c r="B59" s="27" t="str">
        <v>NY</v>
      </c>
      <c r="C59" s="25" t="str">
        <f>Sites[[#This Row],[SOL'#]]</f>
        <v>SOL-10869</v>
      </c>
      <c r="D59" s="9"/>
      <c r="E59" s="14"/>
      <c r="F59" s="14" t="str">
        <f t="shared" si="9"/>
        <v/>
      </c>
      <c r="G59" s="15" t="str">
        <f t="shared" si="8"/>
        <v/>
      </c>
      <c r="H59" s="16"/>
      <c r="I59" s="16" t="str">
        <f t="shared" si="10"/>
        <v/>
      </c>
      <c r="J59" s="15" t="str">
        <f t="shared" si="11"/>
        <v/>
      </c>
      <c r="K59" s="157"/>
      <c r="L59" s="106"/>
    </row>
    <row r="60" spans="1:12" ht="15.6">
      <c r="A60" s="24" t="str">
        <v>Q490</v>
      </c>
      <c r="B60" s="25" t="str">
        <v>NY</v>
      </c>
      <c r="C60" s="25" t="str">
        <f>Sites[[#This Row],[SOL'#]]</f>
        <v>SOL-10411</v>
      </c>
      <c r="D60" s="20"/>
      <c r="E60" s="10"/>
      <c r="F60" s="10" t="str">
        <f t="shared" si="9"/>
        <v/>
      </c>
      <c r="G60" s="11" t="str">
        <f t="shared" si="8"/>
        <v/>
      </c>
      <c r="H60" s="12"/>
      <c r="I60" s="12" t="str">
        <f t="shared" si="10"/>
        <v/>
      </c>
      <c r="J60" s="13" t="str">
        <f t="shared" si="11"/>
        <v/>
      </c>
      <c r="K60" s="55"/>
      <c r="L60" s="55"/>
    </row>
    <row r="61" spans="1:12" ht="15.6">
      <c r="A61" s="26" t="str">
        <v>Q620</v>
      </c>
      <c r="B61" s="27" t="str">
        <v>NY</v>
      </c>
      <c r="C61" s="25" t="str">
        <f>Sites[[#This Row],[SOL'#]]</f>
        <v>SOL-10867</v>
      </c>
      <c r="D61" s="9"/>
      <c r="E61" s="14"/>
      <c r="F61" s="14" t="str">
        <f t="shared" si="9"/>
        <v/>
      </c>
      <c r="G61" s="15" t="str">
        <f t="shared" si="8"/>
        <v/>
      </c>
      <c r="H61" s="16"/>
      <c r="I61" s="16" t="str">
        <f t="shared" si="10"/>
        <v/>
      </c>
      <c r="J61" s="15" t="str">
        <f t="shared" si="11"/>
        <v/>
      </c>
      <c r="K61" s="157"/>
      <c r="L61" s="105"/>
    </row>
    <row r="62" spans="1:12" ht="15.6">
      <c r="A62" s="24" t="str">
        <v>QMOA</v>
      </c>
      <c r="B62" s="25" t="str">
        <v>NY</v>
      </c>
      <c r="C62" s="25" t="str">
        <f>Sites[[#This Row],[SOL'#]]</f>
        <v>SOL-10415</v>
      </c>
      <c r="D62" s="20"/>
      <c r="E62" s="10"/>
      <c r="F62" s="10" t="str">
        <f t="shared" si="9"/>
        <v/>
      </c>
      <c r="G62" s="11" t="str">
        <f t="shared" si="8"/>
        <v/>
      </c>
      <c r="H62" s="12"/>
      <c r="I62" s="12" t="str">
        <f t="shared" si="10"/>
        <v/>
      </c>
      <c r="J62" s="13" t="str">
        <f t="shared" si="11"/>
        <v/>
      </c>
      <c r="K62" s="55"/>
      <c r="L62" s="55"/>
    </row>
    <row r="63" spans="1:12" ht="15.6">
      <c r="A63" s="26" t="str">
        <v>X024</v>
      </c>
      <c r="B63" s="27" t="str">
        <v>NY</v>
      </c>
      <c r="C63" s="25" t="str">
        <f>Sites[[#This Row],[SOL'#]]</f>
        <v>SOL-10419</v>
      </c>
      <c r="D63" s="9"/>
      <c r="E63" s="14"/>
      <c r="F63" s="14" t="str">
        <f t="shared" si="9"/>
        <v/>
      </c>
      <c r="G63" s="15" t="str">
        <f t="shared" si="8"/>
        <v/>
      </c>
      <c r="H63" s="16"/>
      <c r="I63" s="16" t="str">
        <f t="shared" si="10"/>
        <v/>
      </c>
      <c r="J63" s="15" t="str">
        <f t="shared" si="11"/>
        <v/>
      </c>
      <c r="K63" s="157"/>
      <c r="L63" s="104"/>
    </row>
    <row r="64" spans="1:12" ht="15.6">
      <c r="A64" s="24" t="str">
        <v>X026</v>
      </c>
      <c r="B64" s="25" t="str">
        <v>NY</v>
      </c>
      <c r="C64" s="25" t="str">
        <f>Sites[[#This Row],[SOL'#]]</f>
        <v>SOL-10420</v>
      </c>
      <c r="D64" s="20"/>
      <c r="E64" s="10"/>
      <c r="F64" s="10" t="str">
        <f t="shared" si="9"/>
        <v/>
      </c>
      <c r="G64" s="11" t="str">
        <f t="shared" si="8"/>
        <v/>
      </c>
      <c r="H64" s="12"/>
      <c r="I64" s="12" t="str">
        <f t="shared" si="10"/>
        <v/>
      </c>
      <c r="J64" s="13" t="str">
        <f t="shared" si="11"/>
        <v/>
      </c>
      <c r="K64" s="55"/>
      <c r="L64" s="55"/>
    </row>
    <row r="65" spans="1:12" ht="15.6">
      <c r="A65" s="26" t="str">
        <v>X090</v>
      </c>
      <c r="B65" s="27" t="str">
        <v>NY</v>
      </c>
      <c r="C65" s="25" t="str">
        <f>Sites[[#This Row],[SOL'#]]</f>
        <v>SOL-10925</v>
      </c>
      <c r="D65" s="9"/>
      <c r="E65" s="14"/>
      <c r="F65" s="14" t="str">
        <f t="shared" si="9"/>
        <v/>
      </c>
      <c r="G65" s="15" t="str">
        <f t="shared" si="8"/>
        <v/>
      </c>
      <c r="H65" s="16"/>
      <c r="I65" s="16" t="str">
        <f t="shared" si="10"/>
        <v/>
      </c>
      <c r="J65" s="15" t="str">
        <f t="shared" si="11"/>
        <v/>
      </c>
      <c r="K65" s="157"/>
      <c r="L65" s="157"/>
    </row>
    <row r="66" spans="1:12" ht="15.6">
      <c r="A66" s="24" t="str">
        <v>X117</v>
      </c>
      <c r="B66" s="25" t="str">
        <v>NY</v>
      </c>
      <c r="C66" s="25" t="str">
        <f>Sites[[#This Row],[SOL'#]]</f>
        <v>SOL-10422</v>
      </c>
      <c r="D66" s="20"/>
      <c r="E66" s="10"/>
      <c r="F66" s="10" t="str">
        <f t="shared" si="9"/>
        <v/>
      </c>
      <c r="G66" s="11" t="str">
        <f t="shared" si="8"/>
        <v/>
      </c>
      <c r="H66" s="12"/>
      <c r="I66" s="12" t="str">
        <f t="shared" si="10"/>
        <v/>
      </c>
      <c r="J66" s="13" t="str">
        <f t="shared" si="11"/>
        <v/>
      </c>
      <c r="K66" s="55"/>
      <c r="L66" s="55"/>
    </row>
    <row r="67" spans="1:12" ht="42" customHeight="1">
      <c r="A67" s="26" t="str">
        <v>X125</v>
      </c>
      <c r="B67" s="27" t="str">
        <v>NY</v>
      </c>
      <c r="C67" s="25" t="str">
        <f>Sites[[#This Row],[SOL'#]]</f>
        <v>SOL-10423</v>
      </c>
      <c r="D67" s="9"/>
      <c r="E67" s="14"/>
      <c r="F67" s="14" t="str">
        <f t="shared" si="9"/>
        <v/>
      </c>
      <c r="G67" s="15" t="str">
        <f t="shared" si="8"/>
        <v/>
      </c>
      <c r="H67" s="16"/>
      <c r="I67" s="16" t="str">
        <f t="shared" si="10"/>
        <v/>
      </c>
      <c r="J67" s="15" t="str">
        <f t="shared" si="11"/>
        <v/>
      </c>
      <c r="K67" s="157"/>
      <c r="L67" s="157"/>
    </row>
    <row r="68" spans="1:12" ht="15.6">
      <c r="A68" s="24" t="str">
        <v>X134</v>
      </c>
      <c r="B68" s="25" t="str">
        <v>NY</v>
      </c>
      <c r="C68" s="25" t="str">
        <f>Sites[[#This Row],[SOL'#]]</f>
        <v>SOL-10424</v>
      </c>
      <c r="D68" s="20"/>
      <c r="E68" s="10"/>
      <c r="F68" s="10" t="str">
        <f t="shared" si="9"/>
        <v/>
      </c>
      <c r="G68" s="11" t="str">
        <f t="shared" si="8"/>
        <v/>
      </c>
      <c r="H68" s="12"/>
      <c r="I68" s="12" t="str">
        <f t="shared" si="10"/>
        <v/>
      </c>
      <c r="J68" s="13" t="str">
        <f t="shared" si="11"/>
        <v/>
      </c>
      <c r="K68" s="55"/>
      <c r="L68" s="55"/>
    </row>
    <row r="69" spans="1:12" ht="15.6">
      <c r="A69" s="26" t="str">
        <v>X135</v>
      </c>
      <c r="B69" s="27" t="str">
        <v>NY</v>
      </c>
      <c r="C69" s="25" t="str">
        <f>Sites[[#This Row],[SOL'#]]</f>
        <v>SOL-10425</v>
      </c>
      <c r="D69" s="9"/>
      <c r="E69" s="14"/>
      <c r="F69" s="14" t="str">
        <f t="shared" si="9"/>
        <v/>
      </c>
      <c r="G69" s="15" t="str">
        <f t="shared" si="8"/>
        <v/>
      </c>
      <c r="H69" s="16"/>
      <c r="I69" s="16" t="str">
        <f t="shared" si="10"/>
        <v/>
      </c>
      <c r="J69" s="15" t="str">
        <f t="shared" si="11"/>
        <v/>
      </c>
      <c r="K69" s="157"/>
      <c r="L69" s="105"/>
    </row>
    <row r="70" spans="1:12" ht="42" customHeight="1">
      <c r="A70" s="24" t="str">
        <v>X139 JHS 222</v>
      </c>
      <c r="B70" s="25" t="str">
        <v>NY</v>
      </c>
      <c r="C70" s="25" t="str">
        <f>Sites[[#This Row],[SOL'#]]</f>
        <v>SOL-10426</v>
      </c>
      <c r="D70" s="20"/>
      <c r="E70" s="10"/>
      <c r="F70" s="10" t="str">
        <f t="shared" si="9"/>
        <v/>
      </c>
      <c r="G70" s="11" t="str">
        <f t="shared" si="8"/>
        <v/>
      </c>
      <c r="H70" s="12"/>
      <c r="I70" s="12" t="str">
        <f t="shared" si="10"/>
        <v/>
      </c>
      <c r="J70" s="13" t="str">
        <f t="shared" si="11"/>
        <v/>
      </c>
      <c r="K70" s="55"/>
      <c r="L70" s="122"/>
    </row>
    <row r="71" spans="1:12" ht="15.6">
      <c r="A71" s="26" t="str">
        <v>X140</v>
      </c>
      <c r="B71" s="27" t="str">
        <v>NY</v>
      </c>
      <c r="C71" s="25" t="str">
        <f>Sites[[#This Row],[SOL'#]]</f>
        <v>SOL-10926</v>
      </c>
      <c r="D71" s="9"/>
      <c r="E71" s="14"/>
      <c r="F71" s="14" t="str">
        <f t="shared" si="9"/>
        <v/>
      </c>
      <c r="G71" s="15" t="str">
        <f t="shared" si="8"/>
        <v/>
      </c>
      <c r="H71" s="16"/>
      <c r="I71" s="16" t="str">
        <f t="shared" si="10"/>
        <v/>
      </c>
      <c r="J71" s="15" t="str">
        <f t="shared" si="11"/>
        <v/>
      </c>
      <c r="K71" s="157"/>
      <c r="L71" s="105"/>
    </row>
    <row r="72" spans="1:12" ht="15.6">
      <c r="A72" s="24" t="str">
        <v>X166</v>
      </c>
      <c r="B72" s="25" t="str">
        <v>NY</v>
      </c>
      <c r="C72" s="25" t="str">
        <f>Sites[[#This Row],[SOL'#]]</f>
        <v>SOL-10427</v>
      </c>
      <c r="D72" s="20"/>
      <c r="E72" s="10"/>
      <c r="F72" s="10" t="str">
        <f t="shared" si="9"/>
        <v/>
      </c>
      <c r="G72" s="11" t="str">
        <f t="shared" si="8"/>
        <v/>
      </c>
      <c r="H72" s="12"/>
      <c r="I72" s="12" t="str">
        <f t="shared" si="10"/>
        <v/>
      </c>
      <c r="J72" s="13" t="str">
        <f t="shared" si="11"/>
        <v/>
      </c>
      <c r="K72" s="55"/>
      <c r="L72" s="55"/>
    </row>
    <row r="73" spans="1:12" ht="15.6">
      <c r="A73" s="26" t="str">
        <v>Murphy</v>
      </c>
      <c r="B73" s="27" t="str">
        <v>MN</v>
      </c>
      <c r="C73" s="25" t="str">
        <f>Sites[[#This Row],[SOL'#]]</f>
        <v>SOL-10094</v>
      </c>
      <c r="D73" s="9"/>
      <c r="E73" s="14"/>
      <c r="F73" s="14" t="str">
        <f t="shared" si="9"/>
        <v/>
      </c>
      <c r="G73" s="15" t="str">
        <f t="shared" si="8"/>
        <v/>
      </c>
      <c r="H73" s="16"/>
      <c r="I73" s="16" t="str">
        <f t="shared" si="10"/>
        <v/>
      </c>
      <c r="J73" s="15" t="str">
        <f t="shared" si="11"/>
        <v/>
      </c>
      <c r="K73" s="157"/>
      <c r="L73" s="104"/>
    </row>
    <row r="74" spans="1:12" ht="15.6">
      <c r="A74" s="24" t="str">
        <v>Terning</v>
      </c>
      <c r="B74" s="25" t="str">
        <v>MN</v>
      </c>
      <c r="C74" s="25" t="str">
        <f>Sites[[#This Row],[SOL'#]]</f>
        <v>SOL-10093</v>
      </c>
      <c r="D74" s="20"/>
      <c r="E74" s="10"/>
      <c r="F74" s="10" t="str">
        <f t="shared" si="9"/>
        <v/>
      </c>
      <c r="G74" s="11" t="str">
        <f t="shared" si="8"/>
        <v/>
      </c>
      <c r="H74" s="12"/>
      <c r="I74" s="12" t="str">
        <f t="shared" si="10"/>
        <v/>
      </c>
      <c r="J74" s="13" t="str">
        <f t="shared" si="11"/>
        <v/>
      </c>
      <c r="K74" s="55"/>
      <c r="L74" s="55"/>
    </row>
    <row r="75" spans="1:12" ht="66.75" customHeight="1">
      <c r="A75" s="26" t="str">
        <v>Boas Road 04</v>
      </c>
      <c r="B75" s="27" t="str">
        <v>NY</v>
      </c>
      <c r="C75" s="25" t="str">
        <f>Sites[[#This Row],[SOL'#]]</f>
        <v>SOL-10908</v>
      </c>
      <c r="D75" s="9"/>
      <c r="E75" s="14"/>
      <c r="F75" s="14" t="str">
        <f t="shared" si="9"/>
        <v/>
      </c>
      <c r="G75" s="15" t="str">
        <f t="shared" si="8"/>
        <v/>
      </c>
      <c r="H75" s="16"/>
      <c r="I75" s="16" t="str">
        <f t="shared" si="10"/>
        <v/>
      </c>
      <c r="J75" s="15" t="str">
        <f t="shared" si="11"/>
        <v/>
      </c>
      <c r="K75" s="157"/>
      <c r="L75" s="104"/>
    </row>
    <row r="76" spans="1:12" ht="30.75" customHeight="1">
      <c r="A76" s="24" t="str">
        <v>Kelly Bridge Farm</v>
      </c>
      <c r="B76" s="25" t="str">
        <v>NY</v>
      </c>
      <c r="C76" s="25" t="str">
        <f>Sites[[#This Row],[SOL'#]]</f>
        <v>SOL-10911</v>
      </c>
      <c r="D76" s="20"/>
      <c r="E76" s="10"/>
      <c r="F76" s="10" t="str">
        <f t="shared" si="9"/>
        <v/>
      </c>
      <c r="G76" s="11" t="str">
        <f t="shared" si="8"/>
        <v/>
      </c>
      <c r="H76" s="12"/>
      <c r="I76" s="12" t="str">
        <f t="shared" si="10"/>
        <v/>
      </c>
      <c r="J76" s="13" t="str">
        <f t="shared" si="11"/>
        <v/>
      </c>
      <c r="K76" s="55"/>
      <c r="L76" s="55"/>
    </row>
    <row r="77" spans="1:12" ht="15.6">
      <c r="A77" s="26" t="str">
        <v>Pool Brook Road</v>
      </c>
      <c r="B77" s="27" t="str">
        <v>NY</v>
      </c>
      <c r="C77" s="25" t="str">
        <f>Sites[[#This Row],[SOL'#]]</f>
        <v>SOL-10909</v>
      </c>
      <c r="D77" s="9"/>
      <c r="E77" s="14"/>
      <c r="F77" s="14" t="str">
        <f t="shared" si="9"/>
        <v/>
      </c>
      <c r="G77" s="15" t="str">
        <f t="shared" si="8"/>
        <v/>
      </c>
      <c r="H77" s="16"/>
      <c r="I77" s="16" t="str">
        <f t="shared" si="10"/>
        <v/>
      </c>
      <c r="J77" s="15" t="str">
        <f t="shared" si="11"/>
        <v/>
      </c>
      <c r="K77" s="157"/>
      <c r="L77" s="157"/>
    </row>
    <row r="78" spans="1:12" ht="15.6">
      <c r="A78" s="24" t="str">
        <v>Sackett Lake</v>
      </c>
      <c r="B78" s="25" t="str">
        <v>NY</v>
      </c>
      <c r="C78" s="25" t="str">
        <f>Sites[[#This Row],[SOL'#]]</f>
        <v>SOL-10910</v>
      </c>
      <c r="D78" s="20"/>
      <c r="E78" s="10"/>
      <c r="F78" s="10" t="str">
        <f t="shared" si="9"/>
        <v/>
      </c>
      <c r="G78" s="11" t="str">
        <f t="shared" si="8"/>
        <v/>
      </c>
      <c r="H78" s="12"/>
      <c r="I78" s="12" t="str">
        <f t="shared" si="10"/>
        <v/>
      </c>
      <c r="J78" s="13" t="str">
        <f t="shared" si="11"/>
        <v/>
      </c>
      <c r="K78" s="55"/>
      <c r="L78" s="55"/>
    </row>
    <row r="79" spans="1:12" ht="15.6">
      <c r="A79" s="26" t="str">
        <v>Burritt Road</v>
      </c>
      <c r="B79" s="27" t="str">
        <v>NY</v>
      </c>
      <c r="C79" s="25" t="str">
        <f>Sites[[#This Row],[SOL'#]]</f>
        <v>SOL-10913</v>
      </c>
      <c r="D79" s="9"/>
      <c r="E79" s="14"/>
      <c r="F79" s="14" t="str">
        <f t="shared" si="9"/>
        <v/>
      </c>
      <c r="G79" s="15" t="str">
        <f t="shared" si="8"/>
        <v/>
      </c>
      <c r="H79" s="16"/>
      <c r="I79" s="16" t="str">
        <f t="shared" si="10"/>
        <v/>
      </c>
      <c r="J79" s="15" t="str">
        <f t="shared" si="11"/>
        <v/>
      </c>
      <c r="K79" s="157"/>
      <c r="L79" s="105"/>
    </row>
    <row r="80" spans="1:12" ht="80.25" customHeight="1">
      <c r="A80" s="24" t="str">
        <v>Villa Roma 1</v>
      </c>
      <c r="B80" s="25" t="str">
        <v>NY</v>
      </c>
      <c r="C80" s="25" t="str">
        <f>Sites[[#This Row],[SOL'#]]</f>
        <v>SOL-10914</v>
      </c>
      <c r="D80" s="20"/>
      <c r="E80" s="10"/>
      <c r="F80" s="10" t="str">
        <f t="shared" si="9"/>
        <v/>
      </c>
      <c r="G80" s="11" t="str">
        <f t="shared" si="8"/>
        <v/>
      </c>
      <c r="H80" s="12"/>
      <c r="I80" s="12" t="str">
        <f t="shared" si="10"/>
        <v/>
      </c>
      <c r="J80" s="13" t="str">
        <f t="shared" si="11"/>
        <v/>
      </c>
      <c r="K80" s="55"/>
      <c r="L80" s="55"/>
    </row>
    <row r="81" spans="1:12" ht="71.25" customHeight="1">
      <c r="A81" s="26" t="str">
        <v>Villa Roma 2</v>
      </c>
      <c r="B81" s="27" t="str">
        <v>NY</v>
      </c>
      <c r="C81" s="25" t="str">
        <f>Sites[[#This Row],[SOL'#]]</f>
        <v>SOL-10915</v>
      </c>
      <c r="D81" s="9"/>
      <c r="E81" s="14"/>
      <c r="F81" s="14" t="str">
        <f t="shared" si="9"/>
        <v/>
      </c>
      <c r="G81" s="15" t="str">
        <f t="shared" ref="G81:G83" si="12">IFERROR(F81/E81, "")</f>
        <v/>
      </c>
      <c r="H81" s="16"/>
      <c r="I81" s="16" t="str">
        <f t="shared" si="10"/>
        <v/>
      </c>
      <c r="J81" s="15" t="str">
        <f t="shared" si="11"/>
        <v/>
      </c>
      <c r="K81" s="157"/>
      <c r="L81" s="104"/>
    </row>
    <row r="82" spans="1:12" ht="15.6">
      <c r="A82" s="24" t="str">
        <v>Washington 1</v>
      </c>
      <c r="B82" s="25" t="str">
        <v>NY</v>
      </c>
      <c r="C82" s="25" t="str">
        <f>Sites[[#This Row],[SOL'#]]</f>
        <v>SOL-10912</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55"/>
      <c r="L82" s="55"/>
    </row>
    <row r="83" spans="1:12" ht="59.25" customHeight="1">
      <c r="A83" s="26" t="str">
        <v>Washington 3</v>
      </c>
      <c r="B83" s="27" t="str">
        <v>NY</v>
      </c>
      <c r="C83" s="25" t="str">
        <f>Sites[[#This Row],[SOL'#]]</f>
        <v>SOL-10828</v>
      </c>
      <c r="D83" s="9"/>
      <c r="E83" s="14"/>
      <c r="F83" s="14" t="str">
        <f t="shared" si="13"/>
        <v/>
      </c>
      <c r="G83" s="15" t="str">
        <f t="shared" si="12"/>
        <v/>
      </c>
      <c r="H83" s="16"/>
      <c r="I83" s="16" t="str">
        <f t="shared" si="14"/>
        <v/>
      </c>
      <c r="J83" s="15" t="str">
        <f t="shared" si="15"/>
        <v/>
      </c>
      <c r="K83" s="157"/>
      <c r="L83" s="104"/>
    </row>
    <row r="84" spans="1:12" ht="71.25" customHeight="1">
      <c r="A84" s="24" t="str">
        <v>Washington 4</v>
      </c>
      <c r="B84" s="25" t="str">
        <v>NY</v>
      </c>
      <c r="C84" s="25" t="str">
        <f>Sites[[#This Row],[SOL'#]]</f>
        <v>SOL-10829</v>
      </c>
      <c r="D84" s="20"/>
      <c r="E84" s="10"/>
      <c r="F84" s="10" t="str">
        <f t="shared" si="13"/>
        <v/>
      </c>
      <c r="G84" s="11" t="str">
        <f t="shared" ref="G84:G90" si="16">IFERROR(F84/E84, "")</f>
        <v/>
      </c>
      <c r="H84" s="12"/>
      <c r="I84" s="12" t="str">
        <f t="shared" si="14"/>
        <v/>
      </c>
      <c r="J84" s="13" t="str">
        <f t="shared" si="15"/>
        <v/>
      </c>
      <c r="K84" s="55"/>
      <c r="L84" s="55"/>
    </row>
    <row r="85" spans="1:12" ht="15.6">
      <c r="A85" s="26" t="str">
        <v>Big Tree</v>
      </c>
      <c r="B85" s="27" t="str">
        <v>NY</v>
      </c>
      <c r="C85" s="25" t="str">
        <f>Sites[[#This Row],[SOL'#]]</f>
        <v>SOL-10966</v>
      </c>
      <c r="D85" s="9"/>
      <c r="E85" s="14"/>
      <c r="F85" s="14" t="str">
        <f t="shared" si="13"/>
        <v/>
      </c>
      <c r="G85" s="15" t="str">
        <f t="shared" si="16"/>
        <v/>
      </c>
      <c r="H85" s="16"/>
      <c r="I85" s="16" t="str">
        <f t="shared" si="14"/>
        <v/>
      </c>
      <c r="J85" s="15" t="str">
        <f t="shared" si="15"/>
        <v/>
      </c>
      <c r="K85" s="157"/>
      <c r="L85" s="105"/>
    </row>
    <row r="86" spans="1:12" ht="80.25" customHeight="1">
      <c r="A86" s="24" t="str">
        <v>Canoga</v>
      </c>
      <c r="B86" s="25" t="str">
        <v>NY</v>
      </c>
      <c r="C86" s="25" t="str">
        <f>Sites[[#This Row],[SOL'#]]</f>
        <v>SOL-10965</v>
      </c>
      <c r="D86" s="20"/>
      <c r="E86" s="10"/>
      <c r="F86" s="10" t="str">
        <f t="shared" si="13"/>
        <v/>
      </c>
      <c r="G86" s="11" t="str">
        <f t="shared" si="16"/>
        <v/>
      </c>
      <c r="H86" s="12"/>
      <c r="I86" s="12" t="str">
        <f t="shared" si="14"/>
        <v/>
      </c>
      <c r="J86" s="13" t="str">
        <f t="shared" si="15"/>
        <v/>
      </c>
      <c r="K86" s="55"/>
      <c r="L86" s="55"/>
    </row>
    <row r="87" spans="1:12" ht="15.6">
      <c r="A87" s="26" t="str">
        <v>County Route 84</v>
      </c>
      <c r="B87" s="27" t="str">
        <v>NY</v>
      </c>
      <c r="C87" s="25" t="str">
        <f>Sites[[#This Row],[SOL'#]]</f>
        <v>SOL-10967</v>
      </c>
      <c r="D87" s="9"/>
      <c r="E87" s="14"/>
      <c r="F87" s="14" t="str">
        <f t="shared" si="13"/>
        <v/>
      </c>
      <c r="G87" s="15" t="str">
        <f t="shared" si="16"/>
        <v/>
      </c>
      <c r="H87" s="16"/>
      <c r="I87" s="16" t="str">
        <f t="shared" si="14"/>
        <v/>
      </c>
      <c r="J87" s="15" t="str">
        <f t="shared" si="15"/>
        <v/>
      </c>
      <c r="K87" s="157"/>
      <c r="L87" s="105"/>
    </row>
    <row r="88" spans="1:12" ht="15.6">
      <c r="A88" s="24" t="str">
        <v>Donati</v>
      </c>
      <c r="B88" s="25" t="str">
        <v>NY</v>
      </c>
      <c r="C88" s="25" t="str">
        <f>Sites[[#This Row],[SOL'#]]</f>
        <v>SOL-10968</v>
      </c>
      <c r="D88" s="20"/>
      <c r="E88" s="10"/>
      <c r="F88" s="10" t="str">
        <f t="shared" si="13"/>
        <v/>
      </c>
      <c r="G88" s="11" t="str">
        <f t="shared" si="16"/>
        <v/>
      </c>
      <c r="H88" s="12"/>
      <c r="I88" s="12" t="str">
        <f t="shared" si="14"/>
        <v/>
      </c>
      <c r="J88" s="13" t="str">
        <f t="shared" si="15"/>
        <v/>
      </c>
      <c r="K88" s="55"/>
      <c r="L88" s="55"/>
    </row>
    <row r="89" spans="1:12" ht="15.6">
      <c r="A89" s="26" t="str">
        <v>Henrietta</v>
      </c>
      <c r="B89" s="27" t="str">
        <v>NY</v>
      </c>
      <c r="C89" s="25" t="str">
        <f>Sites[[#This Row],[SOL'#]]</f>
        <v>SOL-10972</v>
      </c>
      <c r="D89" s="9"/>
      <c r="E89" s="14"/>
      <c r="F89" s="14" t="str">
        <f t="shared" si="13"/>
        <v/>
      </c>
      <c r="G89" s="15" t="str">
        <f t="shared" si="16"/>
        <v/>
      </c>
      <c r="H89" s="16"/>
      <c r="I89" s="16" t="str">
        <f t="shared" si="14"/>
        <v/>
      </c>
      <c r="J89" s="15" t="str">
        <f t="shared" si="15"/>
        <v/>
      </c>
      <c r="K89" s="157"/>
      <c r="L89" s="157"/>
    </row>
    <row r="90" spans="1:12" ht="15.6">
      <c r="A90" s="24" t="str">
        <v>NY 70</v>
      </c>
      <c r="B90" s="25" t="str">
        <v>NY</v>
      </c>
      <c r="C90" s="25" t="str">
        <f>Sites[[#This Row],[SOL'#]]</f>
        <v>SOL-10970</v>
      </c>
      <c r="D90" s="20"/>
      <c r="E90" s="10"/>
      <c r="F90" s="10" t="str">
        <f t="shared" si="13"/>
        <v/>
      </c>
      <c r="G90" s="11" t="str">
        <f t="shared" si="16"/>
        <v/>
      </c>
      <c r="H90" s="12"/>
      <c r="I90" s="12" t="str">
        <f t="shared" si="14"/>
        <v/>
      </c>
      <c r="J90" s="13" t="str">
        <f t="shared" si="15"/>
        <v/>
      </c>
      <c r="K90" s="55"/>
      <c r="L90" s="55"/>
    </row>
    <row r="91" spans="1:12" ht="15.6">
      <c r="A91" s="26" t="str">
        <v>Reid</v>
      </c>
      <c r="B91" s="27" t="str">
        <v>NY</v>
      </c>
      <c r="C91" s="25" t="str">
        <f>Sites[[#This Row],[SOL'#]]</f>
        <v>SOL-10991</v>
      </c>
      <c r="D91" s="9"/>
      <c r="E91" s="14"/>
      <c r="F91" s="14" t="str">
        <f t="shared" si="13"/>
        <v/>
      </c>
      <c r="G91" s="15" t="str">
        <f t="shared" ref="G91:G122" si="17">IFERROR(F91/E91, "")</f>
        <v/>
      </c>
      <c r="H91" s="16"/>
      <c r="I91" s="16" t="str">
        <f t="shared" si="14"/>
        <v/>
      </c>
      <c r="J91" s="15" t="str">
        <f t="shared" si="15"/>
        <v/>
      </c>
      <c r="K91" s="157"/>
      <c r="L91" s="105"/>
    </row>
    <row r="92" spans="1:12" ht="15.6">
      <c r="A92" s="24" t="str">
        <v>Sangolqui</v>
      </c>
      <c r="B92" s="25" t="str">
        <v>NY</v>
      </c>
      <c r="C92" s="25" t="str">
        <f>Sites[[#This Row],[SOL'#]]</f>
        <v>SOL-10975</v>
      </c>
      <c r="D92" s="20"/>
      <c r="E92" s="10"/>
      <c r="F92" s="10" t="str">
        <f t="shared" si="13"/>
        <v/>
      </c>
      <c r="G92" s="11" t="str">
        <f t="shared" si="17"/>
        <v/>
      </c>
      <c r="H92" s="12"/>
      <c r="I92" s="12" t="str">
        <f t="shared" si="14"/>
        <v/>
      </c>
      <c r="J92" s="13" t="str">
        <f t="shared" si="15"/>
        <v/>
      </c>
      <c r="K92" s="55"/>
      <c r="L92" s="55"/>
    </row>
    <row r="93" spans="1:12" ht="15.6">
      <c r="A93" s="26" t="str">
        <v>State Highway 17B</v>
      </c>
      <c r="B93" s="27" t="str">
        <v>NY</v>
      </c>
      <c r="C93" s="25" t="str">
        <f>Sites[[#This Row],[SOL'#]]</f>
        <v>SOL-10988</v>
      </c>
      <c r="D93" s="9"/>
      <c r="E93" s="14"/>
      <c r="F93" s="14" t="str">
        <f t="shared" si="13"/>
        <v/>
      </c>
      <c r="G93" s="15" t="str">
        <f t="shared" si="17"/>
        <v/>
      </c>
      <c r="H93" s="16"/>
      <c r="I93" s="16" t="str">
        <f t="shared" si="14"/>
        <v/>
      </c>
      <c r="J93" s="15" t="str">
        <f t="shared" si="15"/>
        <v/>
      </c>
      <c r="K93" s="157"/>
      <c r="L93" s="157"/>
    </row>
    <row r="94" spans="1:12" ht="39.75" customHeight="1">
      <c r="A94" s="24" t="str">
        <v>State Route 14A</v>
      </c>
      <c r="B94" s="25" t="str">
        <v>NY</v>
      </c>
      <c r="C94" s="25" t="str">
        <f>Sites[[#This Row],[SOL'#]]</f>
        <v>SOL-10997</v>
      </c>
      <c r="D94" s="20"/>
      <c r="E94" s="10"/>
      <c r="F94" s="10" t="str">
        <f t="shared" si="13"/>
        <v/>
      </c>
      <c r="G94" s="11" t="str">
        <f t="shared" si="17"/>
        <v/>
      </c>
      <c r="H94" s="12"/>
      <c r="I94" s="12" t="str">
        <f t="shared" si="14"/>
        <v/>
      </c>
      <c r="J94" s="13" t="str">
        <f t="shared" si="15"/>
        <v/>
      </c>
      <c r="K94" s="55"/>
      <c r="L94" s="55"/>
    </row>
    <row r="95" spans="1:12" ht="15.6">
      <c r="A95" s="26" t="str">
        <v>West Creek</v>
      </c>
      <c r="B95" s="27" t="str">
        <v>NY</v>
      </c>
      <c r="C95" s="25" t="str">
        <f>Sites[[#This Row],[SOL'#]]</f>
        <v>SOL-10995</v>
      </c>
      <c r="D95" s="9"/>
      <c r="E95" s="14"/>
      <c r="F95" s="14" t="str">
        <f t="shared" si="13"/>
        <v/>
      </c>
      <c r="G95" s="15" t="str">
        <f t="shared" si="17"/>
        <v/>
      </c>
      <c r="H95" s="16"/>
      <c r="I95" s="16" t="str">
        <f t="shared" si="14"/>
        <v/>
      </c>
      <c r="J95" s="15" t="str">
        <f t="shared" si="15"/>
        <v/>
      </c>
      <c r="K95" s="157"/>
      <c r="L95" s="105"/>
    </row>
    <row r="96" spans="1:12" ht="15.6">
      <c r="A96" s="24" t="str">
        <v>Wildflower</v>
      </c>
      <c r="B96" s="25" t="str">
        <v>NY</v>
      </c>
      <c r="C96" s="25" t="str">
        <f>Sites[[#This Row],[SOL'#]]</f>
        <v>SOL-10982</v>
      </c>
      <c r="D96" s="20"/>
      <c r="E96" s="10"/>
      <c r="F96" s="10" t="str">
        <f t="shared" si="13"/>
        <v/>
      </c>
      <c r="G96" s="11" t="str">
        <f t="shared" si="17"/>
        <v/>
      </c>
      <c r="H96" s="12"/>
      <c r="I96" s="12" t="str">
        <f t="shared" si="14"/>
        <v/>
      </c>
      <c r="J96" s="13" t="str">
        <f t="shared" si="15"/>
        <v/>
      </c>
      <c r="K96" s="55"/>
      <c r="L96" s="55"/>
    </row>
    <row r="97" spans="1:12" ht="15.6">
      <c r="A97" s="26" t="str">
        <v>Glen Mary 1</v>
      </c>
      <c r="B97" s="27" t="str">
        <v>NY</v>
      </c>
      <c r="C97" s="25" t="str">
        <f>Sites[[#This Row],[SOL'#]]</f>
        <v>SOL-10993</v>
      </c>
      <c r="D97" s="9"/>
      <c r="E97" s="14"/>
      <c r="F97" s="14" t="str">
        <f t="shared" si="13"/>
        <v/>
      </c>
      <c r="G97" s="15" t="str">
        <f t="shared" si="17"/>
        <v/>
      </c>
      <c r="H97" s="16"/>
      <c r="I97" s="16" t="str">
        <f t="shared" si="14"/>
        <v/>
      </c>
      <c r="J97" s="15" t="str">
        <f t="shared" si="15"/>
        <v/>
      </c>
      <c r="K97" s="157"/>
      <c r="L97" s="105"/>
    </row>
    <row r="98" spans="1:12" ht="15.6">
      <c r="A98" s="24" t="str">
        <v>Glen Mary 2</v>
      </c>
      <c r="B98" s="25" t="str">
        <v>NY</v>
      </c>
      <c r="C98" s="25" t="str">
        <f>Sites[[#This Row],[SOL'#]]</f>
        <v>SOL-10994</v>
      </c>
      <c r="D98" s="20"/>
      <c r="E98" s="10"/>
      <c r="F98" s="10" t="str">
        <f t="shared" si="13"/>
        <v/>
      </c>
      <c r="G98" s="11" t="str">
        <f t="shared" si="17"/>
        <v/>
      </c>
      <c r="H98" s="12"/>
      <c r="I98" s="12" t="str">
        <f t="shared" si="14"/>
        <v/>
      </c>
      <c r="J98" s="13" t="str">
        <f t="shared" si="15"/>
        <v/>
      </c>
      <c r="K98" s="55"/>
      <c r="L98" s="55"/>
    </row>
    <row r="99" spans="1:12" ht="15.6">
      <c r="A99" s="26" t="str">
        <v>Telegraph 1</v>
      </c>
      <c r="B99" s="27" t="str">
        <v>NY</v>
      </c>
      <c r="C99" s="25" t="str">
        <f>Sites[[#This Row],[SOL'#]]</f>
        <v>SOL-11003</v>
      </c>
      <c r="D99" s="9"/>
      <c r="E99" s="14"/>
      <c r="F99" s="14" t="str">
        <f t="shared" si="13"/>
        <v/>
      </c>
      <c r="G99" s="15" t="str">
        <f t="shared" si="17"/>
        <v/>
      </c>
      <c r="H99" s="16"/>
      <c r="I99" s="16" t="str">
        <f t="shared" si="14"/>
        <v/>
      </c>
      <c r="J99" s="15" t="str">
        <f t="shared" si="15"/>
        <v/>
      </c>
      <c r="K99" s="157"/>
      <c r="L99" s="105"/>
    </row>
    <row r="100" spans="1:12" ht="15.6">
      <c r="A100" s="24" t="str">
        <v>Telegraph 2</v>
      </c>
      <c r="B100" s="25" t="str">
        <v>NY</v>
      </c>
      <c r="C100" s="25" t="str">
        <f>Sites[[#This Row],[SOL'#]]</f>
        <v>SOL-11004</v>
      </c>
      <c r="D100" s="20"/>
      <c r="E100" s="10"/>
      <c r="F100" s="10" t="str">
        <f t="shared" si="13"/>
        <v/>
      </c>
      <c r="G100" s="11" t="str">
        <f t="shared" si="17"/>
        <v/>
      </c>
      <c r="H100" s="12"/>
      <c r="I100" s="12" t="str">
        <f t="shared" si="14"/>
        <v/>
      </c>
      <c r="J100" s="13" t="str">
        <f t="shared" si="15"/>
        <v/>
      </c>
      <c r="K100" s="55"/>
      <c r="L100" s="55"/>
    </row>
    <row r="101" spans="1:12" ht="15.6">
      <c r="A101" s="26" t="str">
        <v>Cafferty Hill</v>
      </c>
      <c r="B101" s="27" t="str">
        <v>NY</v>
      </c>
      <c r="C101" s="25" t="str">
        <f>Sites[[#This Row],[SOL'#]]</f>
        <v>SOL-10996</v>
      </c>
      <c r="D101" s="9"/>
      <c r="E101" s="14"/>
      <c r="F101" s="14" t="str">
        <f t="shared" si="13"/>
        <v/>
      </c>
      <c r="G101" s="15" t="str">
        <f t="shared" si="17"/>
        <v/>
      </c>
      <c r="H101" s="16"/>
      <c r="I101" s="16" t="str">
        <f t="shared" si="14"/>
        <v/>
      </c>
      <c r="J101" s="15" t="str">
        <f t="shared" si="15"/>
        <v/>
      </c>
      <c r="K101" s="157"/>
      <c r="L101" s="157"/>
    </row>
    <row r="102" spans="1:12" ht="15.6">
      <c r="A102" s="24" t="str">
        <v>Dunkleman</v>
      </c>
      <c r="B102" s="25" t="str">
        <v>NY</v>
      </c>
      <c r="C102" s="25" t="str">
        <f>Sites[[#This Row],[SOL'#]]</f>
        <v>SOL-11008</v>
      </c>
      <c r="D102" s="20"/>
      <c r="E102" s="10"/>
      <c r="F102" s="10" t="str">
        <f t="shared" si="13"/>
        <v/>
      </c>
      <c r="G102" s="11" t="str">
        <f t="shared" si="17"/>
        <v/>
      </c>
      <c r="H102" s="12"/>
      <c r="I102" s="12" t="str">
        <f t="shared" si="14"/>
        <v/>
      </c>
      <c r="J102" s="13" t="str">
        <f t="shared" si="15"/>
        <v/>
      </c>
      <c r="K102" s="55"/>
      <c r="L102" s="55"/>
    </row>
    <row r="103" spans="1:12" ht="15.6">
      <c r="A103" s="26" t="str">
        <v>Route 19 1</v>
      </c>
      <c r="B103" s="27" t="str">
        <v>NY</v>
      </c>
      <c r="C103" s="25" t="str">
        <f>Sites[[#This Row],[SOL'#]]</f>
        <v>SOL-11001</v>
      </c>
      <c r="D103" s="9"/>
      <c r="E103" s="14"/>
      <c r="F103" s="14" t="str">
        <f t="shared" si="13"/>
        <v/>
      </c>
      <c r="G103" s="15" t="str">
        <f t="shared" si="17"/>
        <v/>
      </c>
      <c r="H103" s="16"/>
      <c r="I103" s="16" t="str">
        <f t="shared" si="14"/>
        <v/>
      </c>
      <c r="J103" s="15" t="str">
        <f t="shared" si="15"/>
        <v/>
      </c>
      <c r="K103" s="157"/>
      <c r="L103" s="105"/>
    </row>
    <row r="104" spans="1:12" ht="104.25" customHeight="1">
      <c r="A104" s="24" t="str">
        <v>Route 19 2</v>
      </c>
      <c r="B104" s="25" t="str">
        <v>NY</v>
      </c>
      <c r="C104" s="25" t="str">
        <f>Sites[[#This Row],[SOL'#]]</f>
        <v>SOL-11002</v>
      </c>
      <c r="D104" s="20"/>
      <c r="E104" s="10"/>
      <c r="F104" s="10" t="str">
        <f t="shared" si="13"/>
        <v/>
      </c>
      <c r="G104" s="11" t="str">
        <f t="shared" si="17"/>
        <v/>
      </c>
      <c r="H104" s="12"/>
      <c r="I104" s="12" t="str">
        <f t="shared" si="14"/>
        <v/>
      </c>
      <c r="J104" s="13" t="str">
        <f t="shared" si="15"/>
        <v/>
      </c>
      <c r="K104" s="55"/>
      <c r="L104" s="55"/>
    </row>
    <row r="105" spans="1:12" ht="15.6">
      <c r="A105" s="26" t="str">
        <v>Yellow Mills 1</v>
      </c>
      <c r="B105" s="27" t="str">
        <v>NY</v>
      </c>
      <c r="C105" s="25" t="str">
        <f>Sites[[#This Row],[SOL'#]]</f>
        <v>SOL-11006</v>
      </c>
      <c r="D105" s="9"/>
      <c r="E105" s="14"/>
      <c r="F105" s="14" t="str">
        <f t="shared" si="13"/>
        <v/>
      </c>
      <c r="G105" s="15" t="str">
        <f t="shared" si="17"/>
        <v/>
      </c>
      <c r="H105" s="16"/>
      <c r="I105" s="16" t="str">
        <f t="shared" si="14"/>
        <v/>
      </c>
      <c r="J105" s="15" t="str">
        <f t="shared" si="15"/>
        <v/>
      </c>
      <c r="K105" s="157"/>
      <c r="L105" s="105"/>
    </row>
    <row r="106" spans="1:12" ht="15.6">
      <c r="A106" s="24" t="str">
        <v>Yellow Mills 2</v>
      </c>
      <c r="B106" s="25" t="str">
        <v>NY</v>
      </c>
      <c r="C106" s="25" t="str">
        <f>Sites[[#This Row],[SOL'#]]</f>
        <v>SOL-11005</v>
      </c>
      <c r="D106" s="20"/>
      <c r="E106" s="10"/>
      <c r="F106" s="10" t="str">
        <f t="shared" si="13"/>
        <v/>
      </c>
      <c r="G106" s="11" t="str">
        <f t="shared" si="17"/>
        <v/>
      </c>
      <c r="H106" s="12"/>
      <c r="I106" s="12" t="str">
        <f t="shared" si="14"/>
        <v/>
      </c>
      <c r="J106" s="13" t="str">
        <f t="shared" si="15"/>
        <v/>
      </c>
      <c r="K106" s="55"/>
      <c r="L106" s="55"/>
    </row>
    <row r="107" spans="1:12" ht="15.6">
      <c r="A107" s="26" t="str">
        <v>Yellow Mills 3</v>
      </c>
      <c r="B107" s="27" t="str">
        <v>NY</v>
      </c>
      <c r="C107" s="25" t="str">
        <f>Sites[[#This Row],[SOL'#]]</f>
        <v>SOL-11007</v>
      </c>
      <c r="D107" s="9"/>
      <c r="E107" s="14"/>
      <c r="F107" s="14" t="str">
        <f t="shared" si="13"/>
        <v/>
      </c>
      <c r="G107" s="15" t="str">
        <f t="shared" si="17"/>
        <v/>
      </c>
      <c r="H107" s="16"/>
      <c r="I107" s="16" t="str">
        <f t="shared" si="14"/>
        <v/>
      </c>
      <c r="J107" s="15" t="str">
        <f t="shared" si="15"/>
        <v/>
      </c>
      <c r="K107" s="157"/>
      <c r="L107" s="105"/>
    </row>
    <row r="108" spans="1:12" ht="15.6">
      <c r="A108" s="24" t="str">
        <v>Catskill</v>
      </c>
      <c r="B108" s="25" t="str">
        <v>NY</v>
      </c>
      <c r="C108" s="25" t="str">
        <f>Sites[[#This Row],[SOL'#]]</f>
        <v>SOL-11021</v>
      </c>
      <c r="D108" s="20"/>
      <c r="E108" s="10"/>
      <c r="F108" s="10" t="str">
        <f t="shared" si="13"/>
        <v/>
      </c>
      <c r="G108" s="11" t="str">
        <f t="shared" si="17"/>
        <v/>
      </c>
      <c r="H108" s="12"/>
      <c r="I108" s="12" t="str">
        <f t="shared" si="14"/>
        <v/>
      </c>
      <c r="J108" s="13" t="str">
        <f t="shared" si="15"/>
        <v/>
      </c>
      <c r="K108" s="55"/>
      <c r="L108" s="55"/>
    </row>
    <row r="109" spans="1:12" ht="15.6">
      <c r="A109" s="26" t="str">
        <v>Eddy Ridge</v>
      </c>
      <c r="B109" s="27" t="str">
        <v>NY</v>
      </c>
      <c r="C109" s="25" t="str">
        <f>Sites[[#This Row],[SOL'#]]</f>
        <v>SOL-11054</v>
      </c>
      <c r="D109" s="9"/>
      <c r="E109" s="14"/>
      <c r="F109" s="14" t="str">
        <f t="shared" si="13"/>
        <v/>
      </c>
      <c r="G109" s="15" t="str">
        <f t="shared" si="17"/>
        <v/>
      </c>
      <c r="H109" s="16"/>
      <c r="I109" s="16" t="str">
        <f t="shared" si="14"/>
        <v/>
      </c>
      <c r="J109" s="15" t="str">
        <f t="shared" si="15"/>
        <v/>
      </c>
      <c r="K109" s="157"/>
      <c r="L109" s="105"/>
    </row>
    <row r="110" spans="1:12" ht="15.6">
      <c r="A110" s="24" t="str">
        <v>Ridgeway #1</v>
      </c>
      <c r="B110" s="25" t="str">
        <v>NY</v>
      </c>
      <c r="C110" s="25" t="str">
        <f>Sites[[#This Row],[SOL'#]]</f>
        <v>SOL-11018</v>
      </c>
      <c r="D110" s="20"/>
      <c r="E110" s="10"/>
      <c r="F110" s="10" t="str">
        <f t="shared" si="13"/>
        <v/>
      </c>
      <c r="G110" s="11" t="str">
        <f t="shared" si="17"/>
        <v/>
      </c>
      <c r="H110" s="12"/>
      <c r="I110" s="12" t="str">
        <f t="shared" si="14"/>
        <v/>
      </c>
      <c r="J110" s="13" t="str">
        <f t="shared" si="15"/>
        <v/>
      </c>
      <c r="K110" s="55"/>
      <c r="L110" s="55"/>
    </row>
    <row r="111" spans="1:12" ht="15.6">
      <c r="A111" s="26" t="str">
        <v>Rivard 1</v>
      </c>
      <c r="B111" s="27" t="str">
        <v>NY</v>
      </c>
      <c r="C111" s="25" t="str">
        <f>Sites[[#This Row],[SOL'#]]</f>
        <v>SOL-11011</v>
      </c>
      <c r="D111" s="9"/>
      <c r="E111" s="14"/>
      <c r="F111" s="14" t="str">
        <f t="shared" si="13"/>
        <v/>
      </c>
      <c r="G111" s="15" t="str">
        <f t="shared" si="17"/>
        <v/>
      </c>
      <c r="H111" s="16"/>
      <c r="I111" s="16" t="str">
        <f t="shared" si="14"/>
        <v/>
      </c>
      <c r="J111" s="15" t="str">
        <f t="shared" si="15"/>
        <v/>
      </c>
      <c r="K111" s="157"/>
      <c r="L111" s="106"/>
    </row>
    <row r="112" spans="1:12" ht="15.6">
      <c r="A112" s="24" t="str">
        <v>Rivard 2</v>
      </c>
      <c r="B112" s="25" t="str">
        <v>NY</v>
      </c>
      <c r="C112" s="25" t="str">
        <f>Sites[[#This Row],[SOL'#]]</f>
        <v>SOL-11012</v>
      </c>
      <c r="D112" s="20"/>
      <c r="E112" s="10"/>
      <c r="F112" s="10" t="str">
        <f t="shared" si="13"/>
        <v/>
      </c>
      <c r="G112" s="11" t="str">
        <f t="shared" si="17"/>
        <v/>
      </c>
      <c r="H112" s="12"/>
      <c r="I112" s="12" t="str">
        <f t="shared" si="14"/>
        <v/>
      </c>
      <c r="J112" s="13" t="str">
        <f t="shared" si="15"/>
        <v/>
      </c>
      <c r="K112" s="55"/>
      <c r="L112" s="55"/>
    </row>
    <row r="113" spans="1:12" ht="15.6">
      <c r="A113" s="26" t="str">
        <v>Essex</v>
      </c>
      <c r="B113" s="27" t="str">
        <v>DC</v>
      </c>
      <c r="C113" s="25" t="str">
        <f>Sites[[#This Row],[SOL'#]]</f>
        <v>SOL-10036</v>
      </c>
      <c r="D113" s="9"/>
      <c r="E113" s="14"/>
      <c r="F113" s="14" t="str">
        <f t="shared" si="13"/>
        <v/>
      </c>
      <c r="G113" s="15" t="str">
        <f t="shared" si="17"/>
        <v/>
      </c>
      <c r="H113" s="16"/>
      <c r="I113" s="16" t="str">
        <f t="shared" si="14"/>
        <v/>
      </c>
      <c r="J113" s="15" t="str">
        <f t="shared" si="15"/>
        <v/>
      </c>
      <c r="K113" s="157"/>
      <c r="L113" s="157"/>
    </row>
    <row r="114" spans="1:12" ht="15.6">
      <c r="A114" s="24" t="str">
        <v>Temple Sinai</v>
      </c>
      <c r="B114" s="25" t="str">
        <v>DC</v>
      </c>
      <c r="C114" s="25" t="str">
        <f>Sites[[#This Row],[SOL'#]]</f>
        <v>SOL-10028</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55"/>
      <c r="L114" s="55"/>
    </row>
    <row r="115" spans="1:12" ht="15.6">
      <c r="A115" s="26" t="str">
        <v>Weinberg Commons #1</v>
      </c>
      <c r="B115" s="27" t="str">
        <v>DC</v>
      </c>
      <c r="C115" s="25" t="str">
        <f>Sites[[#This Row],[SOL'#]]</f>
        <v>SOL-10039</v>
      </c>
      <c r="D115" s="9"/>
      <c r="E115" s="14"/>
      <c r="F115" s="14" t="str">
        <f t="shared" si="18"/>
        <v/>
      </c>
      <c r="G115" s="15" t="str">
        <f t="shared" si="17"/>
        <v/>
      </c>
      <c r="H115" s="16"/>
      <c r="I115" s="16" t="str">
        <f t="shared" si="19"/>
        <v/>
      </c>
      <c r="J115" s="15" t="str">
        <f t="shared" si="20"/>
        <v/>
      </c>
      <c r="K115" s="157"/>
      <c r="L115" s="105"/>
    </row>
    <row r="116" spans="1:12" ht="15.6">
      <c r="A116" s="24" t="str">
        <v>Weinberg Commons #2</v>
      </c>
      <c r="B116" s="25" t="str">
        <v>DC</v>
      </c>
      <c r="C116" s="25" t="str">
        <f>Sites[[#This Row],[SOL'#]]</f>
        <v>SOL-10045</v>
      </c>
      <c r="D116" s="20"/>
      <c r="E116" s="10"/>
      <c r="F116" s="10" t="str">
        <f t="shared" si="18"/>
        <v/>
      </c>
      <c r="G116" s="11" t="str">
        <f t="shared" si="17"/>
        <v/>
      </c>
      <c r="H116" s="12"/>
      <c r="I116" s="12" t="str">
        <f t="shared" si="19"/>
        <v/>
      </c>
      <c r="J116" s="13" t="str">
        <f t="shared" si="20"/>
        <v/>
      </c>
      <c r="K116" s="55"/>
      <c r="L116" s="55"/>
    </row>
    <row r="117" spans="1:12" ht="15.6">
      <c r="A117" s="26" t="str">
        <v>Weinberg Commons #3</v>
      </c>
      <c r="B117" s="27" t="str">
        <v>DC</v>
      </c>
      <c r="C117" s="25" t="str">
        <f>Sites[[#This Row],[SOL'#]]</f>
        <v>SOL-10042</v>
      </c>
      <c r="D117" s="9"/>
      <c r="E117" s="14"/>
      <c r="F117" s="14" t="str">
        <f t="shared" si="18"/>
        <v/>
      </c>
      <c r="G117" s="15" t="str">
        <f t="shared" si="17"/>
        <v/>
      </c>
      <c r="H117" s="16"/>
      <c r="I117" s="16" t="str">
        <f t="shared" si="19"/>
        <v/>
      </c>
      <c r="J117" s="15" t="str">
        <f t="shared" si="20"/>
        <v/>
      </c>
      <c r="K117" s="157"/>
      <c r="L117" s="105"/>
    </row>
    <row r="118" spans="1:12" ht="15.6">
      <c r="A118" s="24" t="str">
        <v>Clayton Hall</v>
      </c>
      <c r="B118" s="25" t="str">
        <v>DE</v>
      </c>
      <c r="C118" s="25" t="str">
        <f>Sites[[#This Row],[SOL'#]]</f>
        <v>SOL-10820</v>
      </c>
      <c r="D118" s="20"/>
      <c r="E118" s="10"/>
      <c r="F118" s="10" t="str">
        <f t="shared" si="18"/>
        <v/>
      </c>
      <c r="G118" s="11" t="str">
        <f t="shared" si="17"/>
        <v/>
      </c>
      <c r="H118" s="12"/>
      <c r="I118" s="12" t="str">
        <f t="shared" si="19"/>
        <v/>
      </c>
      <c r="J118" s="13" t="str">
        <f t="shared" si="20"/>
        <v/>
      </c>
      <c r="K118" s="55"/>
      <c r="L118" s="55"/>
    </row>
    <row r="119" spans="1:12" ht="15.6">
      <c r="A119" s="26" t="str">
        <v>Field House</v>
      </c>
      <c r="B119" s="27" t="str">
        <v>DE</v>
      </c>
      <c r="C119" s="25" t="str">
        <f>Sites[[#This Row],[SOL'#]]</f>
        <v>SOL-10821</v>
      </c>
      <c r="D119" s="9"/>
      <c r="E119" s="14"/>
      <c r="F119" s="14" t="str">
        <f t="shared" si="18"/>
        <v/>
      </c>
      <c r="G119" s="15" t="str">
        <f t="shared" si="17"/>
        <v/>
      </c>
      <c r="H119" s="103"/>
      <c r="I119" s="16" t="str">
        <f t="shared" si="19"/>
        <v/>
      </c>
      <c r="J119" s="15" t="str">
        <f t="shared" si="20"/>
        <v/>
      </c>
      <c r="K119" s="157"/>
      <c r="L119" s="105"/>
    </row>
    <row r="120" spans="1:12" ht="15.6">
      <c r="A120" s="24" t="str">
        <v>Wyoming Road</v>
      </c>
      <c r="B120" s="25" t="str">
        <v>DE</v>
      </c>
      <c r="C120" s="25" t="str">
        <f>Sites[[#This Row],[SOL'#]]</f>
        <v>SOL-10819</v>
      </c>
      <c r="D120" s="20"/>
      <c r="E120" s="10"/>
      <c r="F120" s="10" t="str">
        <f t="shared" si="18"/>
        <v/>
      </c>
      <c r="G120" s="11" t="str">
        <f t="shared" si="17"/>
        <v/>
      </c>
      <c r="H120" s="12"/>
      <c r="I120" s="12" t="str">
        <f t="shared" si="19"/>
        <v/>
      </c>
      <c r="J120" s="13" t="str">
        <f t="shared" si="20"/>
        <v/>
      </c>
      <c r="K120" s="55"/>
      <c r="L120" s="55"/>
    </row>
    <row r="121" spans="1:12" ht="61.5" customHeight="1">
      <c r="A121" s="26" t="str">
        <v>94-246 Leoku St. - PV Bldg E, F, G</v>
      </c>
      <c r="B121" s="27" t="str">
        <v>HI</v>
      </c>
      <c r="C121" s="25" t="str">
        <f>Sites[[#This Row],[SOL'#]]</f>
        <v>SOL-10071</v>
      </c>
      <c r="D121" s="9"/>
      <c r="E121" s="14"/>
      <c r="F121" s="14" t="str">
        <f t="shared" si="18"/>
        <v/>
      </c>
      <c r="G121" s="15" t="str">
        <f t="shared" si="17"/>
        <v/>
      </c>
      <c r="H121" s="16"/>
      <c r="I121" s="16" t="str">
        <f t="shared" si="19"/>
        <v/>
      </c>
      <c r="J121" s="15" t="str">
        <f t="shared" si="20"/>
        <v/>
      </c>
      <c r="K121" s="157"/>
      <c r="L121" s="105"/>
    </row>
    <row r="122" spans="1:12" ht="15.6">
      <c r="A122" s="24" t="str">
        <v>94-099 Waipahu St - PV</v>
      </c>
      <c r="B122" s="25" t="str">
        <v>HI</v>
      </c>
      <c r="C122" s="25" t="str">
        <f>Sites[[#This Row],[SOL'#]]</f>
        <v>SOL-10068</v>
      </c>
      <c r="D122" s="20"/>
      <c r="E122" s="10"/>
      <c r="F122" s="10" t="str">
        <f t="shared" si="18"/>
        <v/>
      </c>
      <c r="G122" s="11" t="str">
        <f t="shared" si="17"/>
        <v/>
      </c>
      <c r="H122" s="12"/>
      <c r="I122" s="12" t="str">
        <f t="shared" si="19"/>
        <v/>
      </c>
      <c r="J122" s="13" t="str">
        <f t="shared" si="20"/>
        <v/>
      </c>
      <c r="K122" s="55"/>
      <c r="L122" s="55"/>
    </row>
    <row r="123" spans="1:12" ht="15.6">
      <c r="A123" s="26" t="str">
        <v>TES Bird in Hand</v>
      </c>
      <c r="B123" s="27" t="str">
        <v>MD</v>
      </c>
      <c r="C123" s="25" t="str">
        <f>Sites[[#This Row],[SOL'#]]</f>
        <v>SOL-10092</v>
      </c>
      <c r="D123" s="9"/>
      <c r="E123" s="14"/>
      <c r="F123" s="14" t="str">
        <f t="shared" si="18"/>
        <v/>
      </c>
      <c r="G123" s="15" t="str">
        <f t="shared" ref="G123:G154" si="21">IFERROR(F123/E123, "")</f>
        <v/>
      </c>
      <c r="H123" s="16"/>
      <c r="I123" s="16" t="str">
        <f t="shared" si="19"/>
        <v/>
      </c>
      <c r="J123" s="15" t="str">
        <f t="shared" si="20"/>
        <v/>
      </c>
      <c r="K123" s="157"/>
      <c r="L123" s="105"/>
    </row>
    <row r="124" spans="1:12" ht="15.6">
      <c r="A124" s="24" t="str">
        <v>TES Shortal Solar LLC</v>
      </c>
      <c r="B124" s="25" t="str">
        <v>MD</v>
      </c>
      <c r="C124" s="25" t="str">
        <f>Sites[[#This Row],[SOL'#]]</f>
        <v>SOL-10091</v>
      </c>
      <c r="D124" s="20"/>
      <c r="E124" s="10"/>
      <c r="F124" s="10" t="str">
        <f t="shared" si="18"/>
        <v/>
      </c>
      <c r="G124" s="11" t="str">
        <f t="shared" si="21"/>
        <v/>
      </c>
      <c r="H124" s="12"/>
      <c r="I124" s="12" t="str">
        <f t="shared" si="19"/>
        <v/>
      </c>
      <c r="J124" s="13" t="str">
        <f t="shared" si="20"/>
        <v/>
      </c>
      <c r="K124" s="55"/>
      <c r="L124" s="55"/>
    </row>
    <row r="125" spans="1:12" ht="89.25" customHeight="1">
      <c r="A125" s="26" t="str">
        <v>Coca Cola Aguadilla</v>
      </c>
      <c r="B125" s="27" t="str">
        <v>PR</v>
      </c>
      <c r="C125" s="25" t="str">
        <f>Sites[[#This Row],[SOL'#]]</f>
        <v>SOL-10072</v>
      </c>
      <c r="D125" s="9"/>
      <c r="E125" s="14"/>
      <c r="F125" s="14" t="str">
        <f t="shared" si="18"/>
        <v/>
      </c>
      <c r="G125" s="15" t="str">
        <f t="shared" si="21"/>
        <v/>
      </c>
      <c r="H125" s="16"/>
      <c r="I125" s="16" t="str">
        <f t="shared" si="19"/>
        <v/>
      </c>
      <c r="J125" s="15" t="str">
        <f t="shared" si="20"/>
        <v/>
      </c>
      <c r="K125" s="157"/>
      <c r="L125" s="157"/>
    </row>
    <row r="126" spans="1:12" ht="15.6">
      <c r="A126" s="24" t="str">
        <v>Coca Cola Bayamon</v>
      </c>
      <c r="B126" s="25" t="str">
        <v>PR</v>
      </c>
      <c r="C126" s="25" t="str">
        <f>Sites[[#This Row],[SOL'#]]</f>
        <v>SOL-10073</v>
      </c>
      <c r="D126" s="20"/>
      <c r="E126" s="10"/>
      <c r="F126" s="10" t="str">
        <f t="shared" si="18"/>
        <v/>
      </c>
      <c r="G126" s="11" t="str">
        <f t="shared" si="21"/>
        <v/>
      </c>
      <c r="H126" s="12"/>
      <c r="I126" s="12" t="str">
        <f t="shared" si="19"/>
        <v/>
      </c>
      <c r="J126" s="13" t="str">
        <f t="shared" si="20"/>
        <v/>
      </c>
      <c r="K126" s="55"/>
      <c r="L126" s="55"/>
    </row>
    <row r="127" spans="1:12" ht="15.6">
      <c r="A127" s="26" t="str">
        <v>St Francis School</v>
      </c>
      <c r="B127" s="27" t="str">
        <v>PR</v>
      </c>
      <c r="C127" s="25" t="str">
        <f>Sites[[#This Row],[SOL'#]]</f>
        <v>SOL-10034</v>
      </c>
      <c r="D127" s="9"/>
      <c r="E127" s="14"/>
      <c r="F127" s="14" t="str">
        <f t="shared" si="18"/>
        <v/>
      </c>
      <c r="G127" s="15" t="str">
        <f t="shared" si="21"/>
        <v/>
      </c>
      <c r="H127" s="16"/>
      <c r="I127" s="16" t="str">
        <f t="shared" si="19"/>
        <v/>
      </c>
      <c r="J127" s="15" t="str">
        <f t="shared" si="20"/>
        <v/>
      </c>
      <c r="K127" s="157"/>
      <c r="L127" s="105"/>
    </row>
    <row r="128" spans="1:12" ht="15.6">
      <c r="A128" s="24" t="str">
        <v>645 Summer Street - (Seaport Solar)</v>
      </c>
      <c r="B128" s="25" t="str">
        <v>MA</v>
      </c>
      <c r="C128" s="25" t="str">
        <f>Sites[[#This Row],[SOL'#]]</f>
        <v>SOL-10772</v>
      </c>
      <c r="D128" s="20"/>
      <c r="E128" s="10"/>
      <c r="F128" s="10" t="str">
        <f t="shared" si="18"/>
        <v/>
      </c>
      <c r="G128" s="11" t="str">
        <f t="shared" si="21"/>
        <v/>
      </c>
      <c r="H128" s="12"/>
      <c r="I128" s="12" t="str">
        <f t="shared" si="19"/>
        <v/>
      </c>
      <c r="J128" s="13" t="str">
        <f t="shared" si="20"/>
        <v/>
      </c>
      <c r="K128" s="55"/>
      <c r="L128" s="55"/>
    </row>
    <row r="129" spans="1:12" ht="15.6">
      <c r="A129" s="26" t="str">
        <v>480 Sprague St</v>
      </c>
      <c r="B129" s="27" t="str">
        <v>MA</v>
      </c>
      <c r="C129" s="25" t="str">
        <f>Sites[[#This Row],[SOL'#]]</f>
        <v>SOL-10773</v>
      </c>
      <c r="D129" s="9"/>
      <c r="E129" s="14"/>
      <c r="F129" s="14" t="str">
        <f t="shared" si="18"/>
        <v/>
      </c>
      <c r="G129" s="15" t="str">
        <f t="shared" si="21"/>
        <v/>
      </c>
      <c r="H129" s="16"/>
      <c r="I129" s="16" t="str">
        <f t="shared" si="19"/>
        <v/>
      </c>
      <c r="J129" s="15" t="str">
        <f t="shared" si="20"/>
        <v/>
      </c>
      <c r="K129" s="157"/>
      <c r="L129" s="105"/>
    </row>
    <row r="130" spans="1:12" ht="15.6">
      <c r="A130" s="24" t="str">
        <v>647 Summer Street - (Summer Street Solar)</v>
      </c>
      <c r="B130" s="25" t="str">
        <v>MA</v>
      </c>
      <c r="C130" s="25" t="str">
        <f>Sites[[#This Row],[SOL'#]]</f>
        <v>SOL-10764</v>
      </c>
      <c r="D130" s="20"/>
      <c r="E130" s="10"/>
      <c r="F130" s="10" t="str">
        <f t="shared" si="18"/>
        <v/>
      </c>
      <c r="G130" s="11" t="str">
        <f t="shared" si="21"/>
        <v/>
      </c>
      <c r="H130" s="12"/>
      <c r="I130" s="12" t="str">
        <f t="shared" si="19"/>
        <v/>
      </c>
      <c r="J130" s="13" t="str">
        <f t="shared" si="20"/>
        <v/>
      </c>
      <c r="K130" s="55"/>
      <c r="L130" s="55"/>
    </row>
    <row r="131" spans="1:12" ht="15.6">
      <c r="A131" s="26" t="str">
        <v>Rochester Technical School (Wakefield Street)</v>
      </c>
      <c r="B131" s="27" t="str">
        <v>NH</v>
      </c>
      <c r="C131" s="25" t="str">
        <f>Sites[[#This Row],[SOL'#]]</f>
        <v>SOL-10768</v>
      </c>
      <c r="D131" s="9"/>
      <c r="E131" s="14"/>
      <c r="F131" s="14" t="str">
        <f t="shared" si="18"/>
        <v/>
      </c>
      <c r="G131" s="15" t="str">
        <f t="shared" si="21"/>
        <v/>
      </c>
      <c r="H131" s="16"/>
      <c r="I131" s="16" t="str">
        <f t="shared" si="19"/>
        <v/>
      </c>
      <c r="J131" s="15" t="str">
        <f t="shared" si="20"/>
        <v/>
      </c>
      <c r="K131" s="157"/>
      <c r="L131" s="105"/>
    </row>
    <row r="132" spans="1:12" ht="15.6">
      <c r="A132" s="24" t="str">
        <v>McClelland ES</v>
      </c>
      <c r="B132" s="25" t="str">
        <v>NH</v>
      </c>
      <c r="C132" s="25" t="str">
        <f>Sites[[#This Row],[SOL'#]]</f>
        <v>SOL-10766</v>
      </c>
      <c r="D132" s="20"/>
      <c r="E132" s="10"/>
      <c r="F132" s="10" t="str">
        <f t="shared" si="18"/>
        <v/>
      </c>
      <c r="G132" s="11" t="str">
        <f t="shared" si="21"/>
        <v/>
      </c>
      <c r="H132" s="12"/>
      <c r="I132" s="12" t="str">
        <f t="shared" si="19"/>
        <v/>
      </c>
      <c r="J132" s="13" t="str">
        <f t="shared" si="20"/>
        <v/>
      </c>
      <c r="K132" s="55"/>
      <c r="L132" s="55"/>
    </row>
    <row r="133" spans="1:12" ht="15.6">
      <c r="A133" s="26" t="str">
        <v>Portland St</v>
      </c>
      <c r="B133" s="27" t="str">
        <v>NH</v>
      </c>
      <c r="C133" s="25" t="str">
        <f>Sites[[#This Row],[SOL'#]]</f>
        <v>SOL-10771</v>
      </c>
      <c r="D133" s="9"/>
      <c r="E133" s="14"/>
      <c r="F133" s="14" t="str">
        <f t="shared" si="18"/>
        <v/>
      </c>
      <c r="G133" s="15" t="str">
        <f t="shared" si="21"/>
        <v/>
      </c>
      <c r="H133" s="16"/>
      <c r="I133" s="16" t="str">
        <f t="shared" si="19"/>
        <v/>
      </c>
      <c r="J133" s="15" t="str">
        <f t="shared" si="20"/>
        <v/>
      </c>
      <c r="K133" s="157"/>
      <c r="L133" s="105"/>
    </row>
    <row r="134" spans="1:12" ht="15.6">
      <c r="A134" s="24" t="str">
        <v>Freshet Road -PHS</v>
      </c>
      <c r="B134" s="25" t="str">
        <v>NH</v>
      </c>
      <c r="C134" s="25" t="str">
        <f>Sites[[#This Row],[SOL'#]]</f>
        <v>SOL-10769</v>
      </c>
      <c r="D134" s="20"/>
      <c r="E134" s="10"/>
      <c r="F134" s="10" t="str">
        <f t="shared" si="18"/>
        <v/>
      </c>
      <c r="G134" s="11" t="str">
        <f t="shared" si="21"/>
        <v/>
      </c>
      <c r="H134" s="12"/>
      <c r="I134" s="12" t="str">
        <f t="shared" si="19"/>
        <v/>
      </c>
      <c r="J134" s="13" t="str">
        <f t="shared" si="20"/>
        <v/>
      </c>
      <c r="K134" s="55"/>
      <c r="L134" s="55"/>
    </row>
    <row r="135" spans="1:12" ht="15.6">
      <c r="A135" s="26" t="str">
        <v>Freshet Road - PWTP</v>
      </c>
      <c r="B135" s="27" t="str">
        <v>NH</v>
      </c>
      <c r="C135" s="25" t="str">
        <f>Sites[[#This Row],[SOL'#]]</f>
        <v>SOL-10770</v>
      </c>
      <c r="D135" s="9"/>
      <c r="E135" s="14"/>
      <c r="F135" s="14" t="str">
        <f t="shared" si="18"/>
        <v/>
      </c>
      <c r="G135" s="15" t="str">
        <f t="shared" si="21"/>
        <v/>
      </c>
      <c r="H135" s="16"/>
      <c r="I135" s="16" t="str">
        <f t="shared" si="19"/>
        <v/>
      </c>
      <c r="J135" s="15" t="str">
        <f t="shared" si="20"/>
        <v/>
      </c>
      <c r="K135" s="157"/>
      <c r="L135" s="105"/>
    </row>
    <row r="136" spans="1:12" ht="15.6">
      <c r="A136" s="24" t="str">
        <v>Rochester Middle School (Brock Street)</v>
      </c>
      <c r="B136" s="25" t="str">
        <v>NH</v>
      </c>
      <c r="C136" s="25" t="str">
        <f>Sites[[#This Row],[SOL'#]]</f>
        <v>SOL-10765</v>
      </c>
      <c r="D136" s="20"/>
      <c r="E136" s="10"/>
      <c r="F136" s="10" t="str">
        <f t="shared" si="18"/>
        <v/>
      </c>
      <c r="G136" s="11" t="str">
        <f t="shared" si="21"/>
        <v/>
      </c>
      <c r="H136" s="12"/>
      <c r="I136" s="12" t="str">
        <f t="shared" si="19"/>
        <v/>
      </c>
      <c r="J136" s="13" t="str">
        <f t="shared" si="20"/>
        <v/>
      </c>
      <c r="K136" s="55"/>
      <c r="L136" s="55"/>
    </row>
    <row r="137" spans="1:12" ht="15.6">
      <c r="A137" s="26" t="str">
        <v>Spaulding High School (Wakefield Street)</v>
      </c>
      <c r="B137" s="27" t="str">
        <v>NH</v>
      </c>
      <c r="C137" s="25" t="str">
        <f>Sites[[#This Row],[SOL'#]]</f>
        <v>SOL-10767</v>
      </c>
      <c r="D137" s="9"/>
      <c r="E137" s="14"/>
      <c r="F137" s="14" t="str">
        <f t="shared" si="18"/>
        <v/>
      </c>
      <c r="G137" s="15" t="str">
        <f t="shared" si="21"/>
        <v/>
      </c>
      <c r="H137" s="16"/>
      <c r="I137" s="16" t="str">
        <f t="shared" si="19"/>
        <v/>
      </c>
      <c r="J137" s="15" t="str">
        <f t="shared" si="20"/>
        <v/>
      </c>
      <c r="K137" s="157"/>
      <c r="L137" s="105"/>
    </row>
    <row r="138" spans="1:12" ht="15.6">
      <c r="A138" s="24" t="str">
        <v>Ridgeway #2</v>
      </c>
      <c r="B138" s="25" t="str">
        <v>NY</v>
      </c>
      <c r="C138" s="25" t="str">
        <f>Sites[[#This Row],[SOL'#]]</f>
        <v>SOL-11027</v>
      </c>
      <c r="D138" s="20"/>
      <c r="E138" s="10"/>
      <c r="F138" s="10" t="str">
        <f t="shared" si="18"/>
        <v/>
      </c>
      <c r="G138" s="11" t="str">
        <f t="shared" si="21"/>
        <v/>
      </c>
      <c r="H138" s="12"/>
      <c r="I138" s="12" t="str">
        <f t="shared" si="19"/>
        <v/>
      </c>
      <c r="J138" s="13" t="str">
        <f t="shared" si="20"/>
        <v/>
      </c>
      <c r="K138" s="55"/>
      <c r="L138" s="55"/>
    </row>
    <row r="139" spans="1:12" ht="15.6">
      <c r="A139" s="26" t="str">
        <v>Spencer</v>
      </c>
      <c r="B139" s="27" t="str">
        <v>NY</v>
      </c>
      <c r="C139" s="25" t="str">
        <f>Sites[[#This Row],[SOL'#]]</f>
        <v>SOL-11017</v>
      </c>
      <c r="D139" s="9"/>
      <c r="E139" s="14"/>
      <c r="F139" s="14" t="str">
        <f t="shared" si="18"/>
        <v/>
      </c>
      <c r="G139" s="15" t="str">
        <f t="shared" si="21"/>
        <v/>
      </c>
      <c r="H139" s="16"/>
      <c r="I139" s="16" t="str">
        <f t="shared" si="19"/>
        <v/>
      </c>
      <c r="J139" s="15" t="str">
        <f t="shared" si="20"/>
        <v/>
      </c>
      <c r="K139" s="157"/>
      <c r="L139" s="105"/>
    </row>
    <row r="140" spans="1:12" ht="15.6">
      <c r="A140" s="28" t="str">
        <v>Reisender</v>
      </c>
      <c r="B140" s="25" t="str">
        <v>NY</v>
      </c>
      <c r="C140" s="25" t="str">
        <f>Sites[[#This Row],[SOL'#]]</f>
        <v>SOL-10886</v>
      </c>
      <c r="D140" s="60"/>
      <c r="E140" s="10"/>
      <c r="F140" s="10" t="str">
        <f t="shared" si="18"/>
        <v/>
      </c>
      <c r="G140" s="61" t="str">
        <f t="shared" si="21"/>
        <v/>
      </c>
      <c r="H140" s="75"/>
      <c r="I140" s="75" t="str">
        <f t="shared" si="19"/>
        <v/>
      </c>
      <c r="J140" s="72" t="str">
        <f t="shared" si="20"/>
        <v/>
      </c>
      <c r="K140" s="122"/>
      <c r="L140" s="55"/>
    </row>
    <row r="141" spans="1:12" ht="15.6">
      <c r="A141" s="26" t="str">
        <v>Finney</v>
      </c>
      <c r="B141" s="27" t="str">
        <v>NY</v>
      </c>
      <c r="C141" s="25" t="str">
        <f>Sites[[#This Row],[SOL'#]]</f>
        <v>SOL-10999</v>
      </c>
      <c r="D141" s="74"/>
      <c r="E141" s="14"/>
      <c r="F141" s="14" t="str">
        <f t="shared" si="18"/>
        <v/>
      </c>
      <c r="G141" s="76" t="str">
        <f t="shared" si="21"/>
        <v/>
      </c>
      <c r="H141" s="77"/>
      <c r="I141" s="77" t="str">
        <f t="shared" si="19"/>
        <v/>
      </c>
      <c r="J141" s="76" t="str">
        <f t="shared" si="20"/>
        <v/>
      </c>
      <c r="K141" s="157"/>
      <c r="L141" s="107"/>
    </row>
    <row r="142" spans="1:12" ht="15.6">
      <c r="A142" s="24" t="str">
        <v>Davis Solar</v>
      </c>
      <c r="B142" s="25" t="str">
        <v>NY</v>
      </c>
      <c r="C142" s="25" t="str">
        <f>Sites[[#This Row],[SOL'#]]</f>
        <v>SOL-10958</v>
      </c>
      <c r="D142" s="60"/>
      <c r="E142" s="10"/>
      <c r="F142" s="10" t="str">
        <f t="shared" si="18"/>
        <v/>
      </c>
      <c r="G142" s="61" t="str">
        <f t="shared" si="21"/>
        <v/>
      </c>
      <c r="H142" s="75"/>
      <c r="I142" s="75" t="str">
        <f t="shared" si="19"/>
        <v/>
      </c>
      <c r="J142" s="72" t="str">
        <f t="shared" si="20"/>
        <v/>
      </c>
      <c r="K142" s="122"/>
      <c r="L142" s="55"/>
    </row>
    <row r="143" spans="1:12" ht="15.6">
      <c r="A143" s="26" t="str">
        <v>Genesee</v>
      </c>
      <c r="B143" s="27" t="str">
        <v>NY</v>
      </c>
      <c r="C143" s="25" t="str">
        <f>Sites[[#This Row],[SOL'#]]</f>
        <v>SOL-10951</v>
      </c>
      <c r="D143" s="74"/>
      <c r="E143" s="14"/>
      <c r="F143" s="14" t="str">
        <f t="shared" si="18"/>
        <v/>
      </c>
      <c r="G143" s="76" t="str">
        <f t="shared" si="21"/>
        <v/>
      </c>
      <c r="H143" s="77"/>
      <c r="I143" s="77" t="str">
        <f t="shared" si="19"/>
        <v/>
      </c>
      <c r="J143" s="76" t="str">
        <f t="shared" si="20"/>
        <v/>
      </c>
      <c r="K143" s="157"/>
      <c r="L143" s="107"/>
    </row>
    <row r="144" spans="1:12" ht="15.6">
      <c r="A144" s="24" t="str">
        <v>Landau I</v>
      </c>
      <c r="B144" s="25" t="str">
        <v>NY</v>
      </c>
      <c r="C144" s="25" t="str">
        <f>Sites[[#This Row],[SOL'#]]</f>
        <v>SOL-10891</v>
      </c>
      <c r="D144" s="60"/>
      <c r="E144" s="10"/>
      <c r="F144" s="10" t="str">
        <f t="shared" si="18"/>
        <v/>
      </c>
      <c r="G144" s="61" t="str">
        <f t="shared" si="21"/>
        <v/>
      </c>
      <c r="H144" s="75"/>
      <c r="I144" s="75" t="str">
        <f t="shared" si="19"/>
        <v/>
      </c>
      <c r="J144" s="72" t="str">
        <f t="shared" si="20"/>
        <v/>
      </c>
      <c r="K144" s="122"/>
      <c r="L144" s="55"/>
    </row>
    <row r="145" spans="1:12" ht="48" customHeight="1">
      <c r="A145" s="26" t="str">
        <v>Landau II</v>
      </c>
      <c r="B145" s="27" t="str">
        <v>NY</v>
      </c>
      <c r="C145" s="25" t="str">
        <f>Sites[[#This Row],[SOL'#]]</f>
        <v>SOL-10895</v>
      </c>
      <c r="D145" s="74"/>
      <c r="E145" s="14"/>
      <c r="F145" s="14" t="str">
        <f t="shared" si="18"/>
        <v/>
      </c>
      <c r="G145" s="76" t="str">
        <f t="shared" si="21"/>
        <v/>
      </c>
      <c r="H145" s="77"/>
      <c r="I145" s="77" t="str">
        <f t="shared" si="19"/>
        <v/>
      </c>
      <c r="J145" s="76" t="str">
        <f t="shared" si="20"/>
        <v/>
      </c>
      <c r="K145" s="157"/>
      <c r="L145" s="123"/>
    </row>
    <row r="146" spans="1:12" ht="15.6">
      <c r="A146" s="24" t="str">
        <v>New Beginnings</v>
      </c>
      <c r="B146" s="25" t="str">
        <v>NY</v>
      </c>
      <c r="C146" s="25" t="str">
        <f>Sites[[#This Row],[SOL'#]]</f>
        <v>SOL-10890</v>
      </c>
      <c r="D146" s="60"/>
      <c r="E146" s="10"/>
      <c r="F146" s="10" t="str">
        <f t="shared" ref="F146:F154" si="22">IF(AND(ISNUMBER(D146),ISNUMBER(E146)), D146-E146, "")</f>
        <v/>
      </c>
      <c r="G146" s="61" t="str">
        <f t="shared" si="21"/>
        <v/>
      </c>
      <c r="H146" s="75"/>
      <c r="I146" s="75" t="str">
        <f t="shared" ref="I146:I161" si="23">IF(AND(ISNUMBER(D146),ISNUMBER(H146)), D146-H146, "")</f>
        <v/>
      </c>
      <c r="J146" s="72" t="str">
        <f t="shared" ref="J146:J161" si="24">IFERROR(I146/H146, "")</f>
        <v/>
      </c>
      <c r="K146" s="122"/>
      <c r="L146" s="55"/>
    </row>
    <row r="147" spans="1:12" ht="15.6">
      <c r="A147" s="26" t="str">
        <v>Bullitt Farm Solar, LLC</v>
      </c>
      <c r="B147" s="27" t="str">
        <v>NY</v>
      </c>
      <c r="C147" s="25" t="str">
        <f>Sites[[#This Row],[SOL'#]]</f>
        <v>SOL-10998</v>
      </c>
      <c r="D147" s="74"/>
      <c r="E147" s="14"/>
      <c r="F147" s="14" t="str">
        <f t="shared" si="22"/>
        <v/>
      </c>
      <c r="G147" s="76" t="str">
        <f t="shared" si="21"/>
        <v/>
      </c>
      <c r="H147" s="77"/>
      <c r="I147" s="77" t="str">
        <f t="shared" si="23"/>
        <v/>
      </c>
      <c r="J147" s="76" t="str">
        <f t="shared" si="24"/>
        <v/>
      </c>
      <c r="K147" s="157"/>
      <c r="L147" s="107"/>
    </row>
    <row r="148" spans="1:12" ht="15.6">
      <c r="A148" s="24" t="str">
        <v>Brodhead Solar, LLC</v>
      </c>
      <c r="B148" s="25" t="str">
        <v>NY</v>
      </c>
      <c r="C148" s="25" t="str">
        <f>Sites[[#This Row],[SOL'#]]</f>
        <v>SOL-10899</v>
      </c>
      <c r="D148" s="60"/>
      <c r="E148" s="10"/>
      <c r="F148" s="10" t="str">
        <f t="shared" si="22"/>
        <v/>
      </c>
      <c r="G148" s="61" t="str">
        <f t="shared" si="21"/>
        <v/>
      </c>
      <c r="H148" s="75"/>
      <c r="I148" s="75" t="str">
        <f t="shared" si="23"/>
        <v/>
      </c>
      <c r="J148" s="72" t="str">
        <f t="shared" si="24"/>
        <v/>
      </c>
      <c r="K148" s="122"/>
      <c r="L148" s="55"/>
    </row>
    <row r="149" spans="1:12" ht="15.6">
      <c r="A149" s="26" t="str">
        <v>Svenski</v>
      </c>
      <c r="B149" s="27" t="str">
        <v>NY</v>
      </c>
      <c r="C149" s="25" t="str">
        <f>Sites[[#This Row],[SOL'#]]</f>
        <v>SOL-10894</v>
      </c>
      <c r="D149" s="74"/>
      <c r="E149" s="14"/>
      <c r="F149" s="14" t="str">
        <f t="shared" si="22"/>
        <v/>
      </c>
      <c r="G149" s="76" t="str">
        <f t="shared" si="21"/>
        <v/>
      </c>
      <c r="H149" s="77"/>
      <c r="I149" s="77" t="str">
        <f t="shared" si="23"/>
        <v/>
      </c>
      <c r="J149" s="76" t="str">
        <f t="shared" si="24"/>
        <v/>
      </c>
      <c r="K149" s="157"/>
      <c r="L149" s="108"/>
    </row>
    <row r="150" spans="1:12" ht="15.6">
      <c r="A150" s="24" t="str">
        <v>Bantam</v>
      </c>
      <c r="B150" s="25" t="str">
        <v>NY</v>
      </c>
      <c r="C150" s="25" t="str">
        <f>Sites[[#This Row],[SOL'#]]</f>
        <v>SOL-10986</v>
      </c>
      <c r="D150" s="60"/>
      <c r="E150" s="10"/>
      <c r="F150" s="10" t="str">
        <f t="shared" si="22"/>
        <v/>
      </c>
      <c r="G150" s="61" t="str">
        <f t="shared" si="21"/>
        <v/>
      </c>
      <c r="H150" s="75"/>
      <c r="I150" s="75" t="str">
        <f t="shared" si="23"/>
        <v/>
      </c>
      <c r="J150" s="72" t="str">
        <f t="shared" si="24"/>
        <v/>
      </c>
      <c r="K150" s="122"/>
      <c r="L150" s="55"/>
    </row>
    <row r="151" spans="1:12" ht="15.6">
      <c r="A151" s="26" t="str">
        <v>Bogart</v>
      </c>
      <c r="B151" s="27" t="str">
        <v>NY</v>
      </c>
      <c r="C151" s="25" t="str">
        <f>Sites[[#This Row],[SOL'#]]</f>
        <v>SOL-10887</v>
      </c>
      <c r="D151" s="74"/>
      <c r="E151" s="14"/>
      <c r="F151" s="14" t="str">
        <f t="shared" si="22"/>
        <v/>
      </c>
      <c r="G151" s="76" t="str">
        <f t="shared" si="21"/>
        <v/>
      </c>
      <c r="H151" s="77"/>
      <c r="I151" s="77" t="str">
        <f t="shared" si="23"/>
        <v/>
      </c>
      <c r="J151" s="76" t="str">
        <f t="shared" si="24"/>
        <v/>
      </c>
      <c r="K151" s="157"/>
      <c r="L151" s="107"/>
    </row>
    <row r="152" spans="1:12" ht="15.6">
      <c r="A152" s="24" t="str">
        <v>Dubois</v>
      </c>
      <c r="B152" s="25" t="str">
        <v>NY</v>
      </c>
      <c r="C152" s="25" t="str">
        <f>Sites[[#This Row],[SOL'#]]</f>
        <v>SOL-10892</v>
      </c>
      <c r="D152" s="60"/>
      <c r="E152" s="10"/>
      <c r="F152" s="10" t="str">
        <f t="shared" si="22"/>
        <v/>
      </c>
      <c r="G152" s="61" t="str">
        <f t="shared" si="21"/>
        <v/>
      </c>
      <c r="H152" s="75"/>
      <c r="I152" s="75" t="str">
        <f t="shared" si="23"/>
        <v/>
      </c>
      <c r="J152" s="72" t="str">
        <f t="shared" si="24"/>
        <v/>
      </c>
      <c r="K152" s="122"/>
      <c r="L152" s="55"/>
    </row>
    <row r="153" spans="1:12" ht="15.6">
      <c r="A153" s="26" t="str">
        <v>Salt Point</v>
      </c>
      <c r="B153" s="27" t="str">
        <v>NY</v>
      </c>
      <c r="C153" s="25" t="str">
        <f>Sites[[#This Row],[SOL'#]]</f>
        <v>SOL-10888</v>
      </c>
      <c r="D153" s="74"/>
      <c r="E153" s="14"/>
      <c r="F153" s="14" t="str">
        <f t="shared" si="22"/>
        <v/>
      </c>
      <c r="G153" s="76" t="str">
        <f t="shared" si="21"/>
        <v/>
      </c>
      <c r="H153" s="77"/>
      <c r="I153" s="77" t="str">
        <f t="shared" si="23"/>
        <v/>
      </c>
      <c r="J153" s="76" t="str">
        <f t="shared" si="24"/>
        <v/>
      </c>
      <c r="K153" s="157"/>
      <c r="L153" s="123"/>
    </row>
    <row r="154" spans="1:12" ht="15.6">
      <c r="A154" s="24" t="str">
        <v>Wheatland 2A</v>
      </c>
      <c r="B154" s="25" t="str">
        <v>NY</v>
      </c>
      <c r="C154" s="25" t="str">
        <f>Sites[[#This Row],[SOL'#]]</f>
        <v>SOL-10971</v>
      </c>
      <c r="D154" s="60"/>
      <c r="E154" s="10"/>
      <c r="F154" s="10" t="str">
        <f t="shared" si="22"/>
        <v/>
      </c>
      <c r="G154" s="61" t="str">
        <f t="shared" si="21"/>
        <v/>
      </c>
      <c r="H154" s="75"/>
      <c r="I154" s="75" t="str">
        <f t="shared" si="23"/>
        <v/>
      </c>
      <c r="J154" s="72" t="str">
        <f t="shared" si="24"/>
        <v/>
      </c>
      <c r="K154" s="122"/>
      <c r="L154" s="55"/>
    </row>
    <row r="155" spans="1:12" ht="15.6">
      <c r="A155" s="26" t="str">
        <v>Wheatland 2B</v>
      </c>
      <c r="B155" s="27" t="str">
        <v>NY</v>
      </c>
      <c r="C155" s="25" t="str">
        <f>Sites[[#This Row],[SOL'#]]</f>
        <v>SOL-10961</v>
      </c>
      <c r="D155" s="74"/>
      <c r="E155" s="14"/>
      <c r="F155" s="14">
        <v>0</v>
      </c>
      <c r="G155" s="76" t="str">
        <f t="shared" ref="G155:G161" si="25">IFERROR(F155/E155, "")</f>
        <v/>
      </c>
      <c r="H155" s="77"/>
      <c r="I155" s="77" t="str">
        <f t="shared" si="23"/>
        <v/>
      </c>
      <c r="J155" s="76" t="str">
        <f t="shared" si="24"/>
        <v/>
      </c>
      <c r="K155" s="157"/>
      <c r="L155" s="123"/>
    </row>
    <row r="156" spans="1:12" ht="15.6">
      <c r="A156" s="24" t="str">
        <v>Brickchurch</v>
      </c>
      <c r="B156" s="25" t="str">
        <v>NY</v>
      </c>
      <c r="C156" s="25" t="str">
        <f>Sites[[#This Row],[SOL'#]]</f>
        <v>SOL-10889</v>
      </c>
      <c r="D156" s="60"/>
      <c r="E156" s="10"/>
      <c r="F156" s="10" t="str">
        <f t="shared" ref="F156:F161" si="26">IF(AND(ISNUMBER(D156),ISNUMBER(E156)), D156-E156, "")</f>
        <v/>
      </c>
      <c r="G156" s="61" t="str">
        <f t="shared" si="25"/>
        <v/>
      </c>
      <c r="H156" s="75"/>
      <c r="I156" s="75" t="str">
        <f t="shared" si="23"/>
        <v/>
      </c>
      <c r="J156" s="72" t="str">
        <f t="shared" si="24"/>
        <v/>
      </c>
      <c r="K156" s="122"/>
      <c r="L156" s="55"/>
    </row>
    <row r="157" spans="1:12" ht="15.6">
      <c r="A157" s="26" t="str">
        <v>McCarthy Solar</v>
      </c>
      <c r="B157" s="27" t="str">
        <v>NY</v>
      </c>
      <c r="C157" s="25" t="str">
        <f>Sites[[#This Row],[SOL'#]]</f>
        <v>SOL-10992</v>
      </c>
      <c r="D157" s="74"/>
      <c r="E157" s="14"/>
      <c r="F157" s="14" t="str">
        <f t="shared" si="26"/>
        <v/>
      </c>
      <c r="G157" s="76" t="str">
        <f t="shared" si="25"/>
        <v/>
      </c>
      <c r="H157" s="77"/>
      <c r="I157" s="77" t="str">
        <f t="shared" si="23"/>
        <v/>
      </c>
      <c r="J157" s="76" t="str">
        <f t="shared" si="24"/>
        <v/>
      </c>
      <c r="K157" s="157"/>
      <c r="L157" s="107"/>
    </row>
    <row r="158" spans="1:12" ht="15.6">
      <c r="A158" s="24" t="str">
        <v>Costanza</v>
      </c>
      <c r="B158" s="25" t="str">
        <v>NY</v>
      </c>
      <c r="C158" s="25" t="str">
        <f>Sites[[#This Row],[SOL'#]]</f>
        <v>SOL-10907</v>
      </c>
      <c r="D158" s="60"/>
      <c r="E158" s="10"/>
      <c r="F158" s="10" t="str">
        <f t="shared" si="26"/>
        <v/>
      </c>
      <c r="G158" s="61" t="str">
        <f t="shared" si="25"/>
        <v/>
      </c>
      <c r="H158" s="75"/>
      <c r="I158" s="75" t="str">
        <f t="shared" si="23"/>
        <v/>
      </c>
      <c r="J158" s="72" t="str">
        <f t="shared" si="24"/>
        <v/>
      </c>
      <c r="K158" s="122"/>
      <c r="L158" s="122"/>
    </row>
    <row r="159" spans="1:12" ht="15.6">
      <c r="A159" s="26" t="str">
        <v>Lockenhurst Pond</v>
      </c>
      <c r="B159" s="27" t="str">
        <v>NY</v>
      </c>
      <c r="C159" s="25" t="str">
        <f>Sites[[#This Row],[SOL'#]]</f>
        <v>SOL-11000</v>
      </c>
      <c r="D159" s="74"/>
      <c r="E159" s="14"/>
      <c r="F159" s="14" t="str">
        <f t="shared" si="26"/>
        <v/>
      </c>
      <c r="G159" s="76" t="str">
        <f t="shared" si="25"/>
        <v/>
      </c>
      <c r="H159" s="77"/>
      <c r="I159" s="77" t="str">
        <f t="shared" si="23"/>
        <v/>
      </c>
      <c r="J159" s="76" t="str">
        <f t="shared" si="24"/>
        <v/>
      </c>
      <c r="K159" s="157"/>
      <c r="L159" s="107"/>
    </row>
    <row r="160" spans="1:12" ht="15.6">
      <c r="A160" s="24" t="str">
        <v>Drinkwater</v>
      </c>
      <c r="B160" s="25" t="str">
        <v>NY</v>
      </c>
      <c r="C160" s="25" t="str">
        <f>Sites[[#This Row],[SOL'#]]</f>
        <v>SOL-10896</v>
      </c>
      <c r="D160" s="60"/>
      <c r="E160" s="10"/>
      <c r="F160" s="10" t="str">
        <f t="shared" si="26"/>
        <v/>
      </c>
      <c r="G160" s="61" t="str">
        <f t="shared" si="25"/>
        <v/>
      </c>
      <c r="H160" s="75"/>
      <c r="I160" s="75" t="str">
        <f t="shared" si="23"/>
        <v/>
      </c>
      <c r="J160" s="72" t="str">
        <f t="shared" si="24"/>
        <v/>
      </c>
      <c r="K160" s="122"/>
      <c r="L160" s="55"/>
    </row>
    <row r="161" spans="1:12" ht="15.6">
      <c r="A161" s="26" t="str">
        <v>Altamont</v>
      </c>
      <c r="B161" s="27" t="str">
        <v>NY</v>
      </c>
      <c r="C161" s="25" t="str">
        <f>Sites[[#This Row],[SOL'#]]</f>
        <v>SOL-11085</v>
      </c>
      <c r="D161" s="74"/>
      <c r="E161" s="14"/>
      <c r="F161" s="14" t="str">
        <f t="shared" si="26"/>
        <v/>
      </c>
      <c r="G161" s="76" t="str">
        <f t="shared" si="25"/>
        <v/>
      </c>
      <c r="H161" s="77"/>
      <c r="I161" s="77" t="str">
        <f t="shared" si="23"/>
        <v/>
      </c>
      <c r="J161" s="76" t="str">
        <f t="shared" si="24"/>
        <v/>
      </c>
      <c r="K161" s="157"/>
      <c r="L161" s="123"/>
    </row>
    <row r="162" spans="1:12" ht="15.6">
      <c r="A162" s="24" t="str">
        <v>Krumkill North</v>
      </c>
      <c r="B162" s="25" t="str">
        <v>NY</v>
      </c>
      <c r="C162" s="25" t="str">
        <f>Sites[[#This Row],[SOL'#]]</f>
        <v>SOL-11086</v>
      </c>
      <c r="D162" s="60"/>
      <c r="E162" s="10"/>
      <c r="F162" s="10" t="str">
        <f t="shared" ref="F162:F163" si="27">IF(AND(ISNUMBER(D162),ISNUMBER(E162)), D162-E162, "")</f>
        <v/>
      </c>
      <c r="G162" s="61" t="str">
        <f t="shared" ref="G162:G163" si="28">IFERROR(F162/E162, "")</f>
        <v/>
      </c>
      <c r="H162" s="75"/>
      <c r="I162" s="75" t="str">
        <f t="shared" ref="I162:I163" si="29">IF(AND(ISNUMBER(D162),ISNUMBER(H162)), D162-H162, "")</f>
        <v/>
      </c>
      <c r="J162" s="72" t="str">
        <f t="shared" ref="J162:J163" si="30">IFERROR(I162/H162, "")</f>
        <v/>
      </c>
      <c r="K162" s="122"/>
      <c r="L162" s="55"/>
    </row>
    <row r="163" spans="1:12" ht="15.6">
      <c r="A163" s="26" t="str">
        <v>Krumkill South</v>
      </c>
      <c r="B163" s="27" t="str">
        <v>NY</v>
      </c>
      <c r="C163" s="25" t="str">
        <f>Sites[[#This Row],[SOL'#]]</f>
        <v>SOL-11087</v>
      </c>
      <c r="D163" s="74"/>
      <c r="E163" s="14"/>
      <c r="F163" s="14" t="str">
        <f t="shared" si="27"/>
        <v/>
      </c>
      <c r="G163" s="76" t="str">
        <f t="shared" si="28"/>
        <v/>
      </c>
      <c r="H163" s="77"/>
      <c r="I163" s="77" t="str">
        <f t="shared" si="29"/>
        <v/>
      </c>
      <c r="J163" s="76" t="str">
        <f t="shared" si="30"/>
        <v/>
      </c>
      <c r="K163" s="157"/>
      <c r="L163" s="123"/>
    </row>
    <row r="164" spans="1:12" ht="15.6">
      <c r="A164" s="24" t="str">
        <v>X092</v>
      </c>
      <c r="B164" s="25" t="str">
        <v>NY</v>
      </c>
      <c r="C164" s="25" t="str">
        <f>Sites[[#This Row],[SOL'#]]</f>
        <v>SOL-11189</v>
      </c>
      <c r="D164" s="60"/>
      <c r="E164" s="10"/>
      <c r="F164" s="10" t="str">
        <f t="shared" ref="F164:F185" si="31">IF(AND(ISNUMBER(D164),ISNUMBER(E164)), D164-E164, "")</f>
        <v/>
      </c>
      <c r="G164" s="61" t="str">
        <f t="shared" ref="G164:G185" si="32">IFERROR(F164/E164, "")</f>
        <v/>
      </c>
      <c r="H164" s="75"/>
      <c r="I164" s="75" t="str">
        <f t="shared" ref="I164:I185" si="33">IF(AND(ISNUMBER(D164),ISNUMBER(H164)), D164-H164, "")</f>
        <v/>
      </c>
      <c r="J164" s="72" t="str">
        <f t="shared" ref="J164:J185" si="34">IFERROR(I164/H164, "")</f>
        <v/>
      </c>
      <c r="K164" s="122"/>
      <c r="L164" s="55"/>
    </row>
    <row r="165" spans="1:12" ht="15.6">
      <c r="A165" s="26" t="str">
        <v>X093</v>
      </c>
      <c r="B165" s="27" t="str">
        <v>NY</v>
      </c>
      <c r="C165" s="25" t="str">
        <f>Sites[[#This Row],[SOL'#]]</f>
        <v>SOL-10932</v>
      </c>
      <c r="D165" s="74"/>
      <c r="E165" s="14"/>
      <c r="F165" s="14" t="str">
        <f t="shared" si="31"/>
        <v/>
      </c>
      <c r="G165" s="76" t="str">
        <f t="shared" si="32"/>
        <v/>
      </c>
      <c r="H165" s="77"/>
      <c r="I165" s="77" t="str">
        <f t="shared" si="33"/>
        <v/>
      </c>
      <c r="J165" s="76" t="str">
        <f t="shared" si="34"/>
        <v/>
      </c>
      <c r="K165" s="157"/>
      <c r="L165" s="123"/>
    </row>
    <row r="166" spans="1:12" ht="15.6">
      <c r="A166" s="24" t="str">
        <v>X095</v>
      </c>
      <c r="B166" s="25" t="str">
        <v>NY</v>
      </c>
      <c r="C166" s="25" t="str">
        <f>Sites[[#This Row],[SOL'#]]</f>
        <v>SOL-10929</v>
      </c>
      <c r="D166" s="60"/>
      <c r="E166" s="10"/>
      <c r="F166" s="10" t="str">
        <f t="shared" si="31"/>
        <v/>
      </c>
      <c r="G166" s="61" t="str">
        <f t="shared" si="32"/>
        <v/>
      </c>
      <c r="H166" s="75"/>
      <c r="I166" s="75" t="str">
        <f t="shared" si="33"/>
        <v/>
      </c>
      <c r="J166" s="72" t="str">
        <f t="shared" si="34"/>
        <v/>
      </c>
      <c r="K166" s="122"/>
      <c r="L166" s="55"/>
    </row>
    <row r="167" spans="1:12" ht="15.6">
      <c r="A167" s="26" t="str">
        <v>X181</v>
      </c>
      <c r="B167" s="27" t="str">
        <v>NY</v>
      </c>
      <c r="C167" s="25" t="str">
        <f>Sites[[#This Row],[SOL'#]]</f>
        <v>SOL-10428</v>
      </c>
      <c r="D167" s="74"/>
      <c r="E167" s="14"/>
      <c r="F167" s="14" t="str">
        <f t="shared" si="31"/>
        <v/>
      </c>
      <c r="G167" s="76" t="str">
        <f t="shared" si="32"/>
        <v/>
      </c>
      <c r="H167" s="77"/>
      <c r="I167" s="77" t="str">
        <f t="shared" si="33"/>
        <v/>
      </c>
      <c r="J167" s="76" t="str">
        <f t="shared" si="34"/>
        <v/>
      </c>
      <c r="K167" s="157"/>
      <c r="L167" s="123"/>
    </row>
    <row r="168" spans="1:12" ht="15.6">
      <c r="A168" s="24" t="str">
        <v>X415</v>
      </c>
      <c r="B168" s="25" t="str">
        <v>NY</v>
      </c>
      <c r="C168" s="25" t="str">
        <f>Sites[[#This Row],[SOL'#]]</f>
        <v>SOL-10429</v>
      </c>
      <c r="D168" s="60"/>
      <c r="E168" s="10"/>
      <c r="F168" s="10" t="str">
        <f t="shared" si="31"/>
        <v/>
      </c>
      <c r="G168" s="61" t="str">
        <f t="shared" si="32"/>
        <v/>
      </c>
      <c r="H168" s="75"/>
      <c r="I168" s="75" t="str">
        <f t="shared" si="33"/>
        <v/>
      </c>
      <c r="J168" s="72" t="str">
        <f t="shared" si="34"/>
        <v/>
      </c>
      <c r="K168" s="122"/>
      <c r="L168" s="55"/>
    </row>
    <row r="169" spans="1:12" ht="15.6">
      <c r="A169" s="26" t="str">
        <v>K198</v>
      </c>
      <c r="B169" s="27" t="str">
        <v>NY</v>
      </c>
      <c r="C169" s="25" t="str">
        <f>Sites[[#This Row],[SOL'#]]</f>
        <v>SOL-10930</v>
      </c>
      <c r="D169" s="74"/>
      <c r="E169" s="14"/>
      <c r="F169" s="14" t="str">
        <f t="shared" si="31"/>
        <v/>
      </c>
      <c r="G169" s="76" t="str">
        <f t="shared" si="32"/>
        <v/>
      </c>
      <c r="H169" s="77"/>
      <c r="I169" s="77" t="str">
        <f t="shared" si="33"/>
        <v/>
      </c>
      <c r="J169" s="76" t="str">
        <f t="shared" si="34"/>
        <v/>
      </c>
      <c r="K169" s="157"/>
      <c r="L169" s="123"/>
    </row>
    <row r="170" spans="1:12" ht="15.6">
      <c r="A170" s="24" t="str">
        <v>K203</v>
      </c>
      <c r="B170" s="25" t="str">
        <v>NY</v>
      </c>
      <c r="C170" s="25" t="str">
        <f>Sites[[#This Row],[SOL'#]]</f>
        <v>SOL-11190</v>
      </c>
      <c r="D170" s="60"/>
      <c r="E170" s="10"/>
      <c r="F170" s="10" t="str">
        <f t="shared" si="31"/>
        <v/>
      </c>
      <c r="G170" s="61" t="str">
        <f t="shared" si="32"/>
        <v/>
      </c>
      <c r="H170" s="75"/>
      <c r="I170" s="75" t="str">
        <f t="shared" si="33"/>
        <v/>
      </c>
      <c r="J170" s="72" t="str">
        <f t="shared" si="34"/>
        <v/>
      </c>
      <c r="K170" s="122"/>
      <c r="L170" s="55"/>
    </row>
    <row r="171" spans="1:12" ht="15.6">
      <c r="A171" s="26" t="str">
        <v>K213</v>
      </c>
      <c r="B171" s="27" t="str">
        <v>NY</v>
      </c>
      <c r="C171" s="25" t="str">
        <f>Sites[[#This Row],[SOL'#]]</f>
        <v>SOL-11191</v>
      </c>
      <c r="D171" s="74"/>
      <c r="E171" s="14"/>
      <c r="F171" s="14" t="str">
        <f t="shared" si="31"/>
        <v/>
      </c>
      <c r="G171" s="76" t="str">
        <f t="shared" si="32"/>
        <v/>
      </c>
      <c r="H171" s="77"/>
      <c r="I171" s="77" t="str">
        <f t="shared" si="33"/>
        <v/>
      </c>
      <c r="J171" s="76" t="str">
        <f t="shared" si="34"/>
        <v/>
      </c>
      <c r="K171" s="157"/>
      <c r="L171" s="123"/>
    </row>
    <row r="172" spans="1:12" ht="15.6">
      <c r="A172" s="24" t="str">
        <v>K217</v>
      </c>
      <c r="B172" s="25" t="str">
        <v>NY</v>
      </c>
      <c r="C172" s="25" t="str">
        <f>Sites[[#This Row],[SOL'#]]</f>
        <v>SOL-10933</v>
      </c>
      <c r="D172" s="60"/>
      <c r="E172" s="10"/>
      <c r="F172" s="10" t="str">
        <f t="shared" si="31"/>
        <v/>
      </c>
      <c r="G172" s="61" t="str">
        <f t="shared" si="32"/>
        <v/>
      </c>
      <c r="H172" s="75"/>
      <c r="I172" s="75" t="str">
        <f t="shared" si="33"/>
        <v/>
      </c>
      <c r="J172" s="72" t="str">
        <f t="shared" si="34"/>
        <v/>
      </c>
      <c r="K172" s="122"/>
      <c r="L172" s="55"/>
    </row>
    <row r="173" spans="1:12" ht="15.6">
      <c r="A173" s="26" t="str">
        <v>K307</v>
      </c>
      <c r="B173" s="27" t="str">
        <v>NY</v>
      </c>
      <c r="C173" s="25" t="str">
        <f>Sites[[#This Row],[SOL'#]]</f>
        <v>SOL-10876</v>
      </c>
      <c r="D173" s="74"/>
      <c r="E173" s="14"/>
      <c r="F173" s="14" t="str">
        <f t="shared" si="31"/>
        <v/>
      </c>
      <c r="G173" s="76" t="str">
        <f t="shared" si="32"/>
        <v/>
      </c>
      <c r="H173" s="77"/>
      <c r="I173" s="77" t="str">
        <f t="shared" si="33"/>
        <v/>
      </c>
      <c r="J173" s="76" t="str">
        <f t="shared" si="34"/>
        <v/>
      </c>
      <c r="K173" s="157"/>
      <c r="L173" s="123"/>
    </row>
    <row r="174" spans="1:12" ht="15.6">
      <c r="A174" s="24" t="str">
        <v>K610</v>
      </c>
      <c r="B174" s="25" t="str">
        <v>NY</v>
      </c>
      <c r="C174" s="25" t="str">
        <f>Sites[[#This Row],[SOL'#]]</f>
        <v>SOL-11158</v>
      </c>
      <c r="D174" s="60"/>
      <c r="E174" s="10"/>
      <c r="F174" s="10" t="str">
        <f t="shared" si="31"/>
        <v/>
      </c>
      <c r="G174" s="61" t="str">
        <f t="shared" si="32"/>
        <v/>
      </c>
      <c r="H174" s="75"/>
      <c r="I174" s="75" t="str">
        <f t="shared" si="33"/>
        <v/>
      </c>
      <c r="J174" s="72" t="str">
        <f t="shared" si="34"/>
        <v/>
      </c>
      <c r="K174" s="122"/>
      <c r="L174" s="55"/>
    </row>
    <row r="175" spans="1:12" ht="15.6">
      <c r="A175" s="26" t="str">
        <v>M025</v>
      </c>
      <c r="B175" s="27" t="str">
        <v>NY</v>
      </c>
      <c r="C175" s="25" t="str">
        <f>Sites[[#This Row],[SOL'#]]</f>
        <v>SOL-10392</v>
      </c>
      <c r="D175" s="74"/>
      <c r="E175" s="14"/>
      <c r="F175" s="14" t="str">
        <f t="shared" si="31"/>
        <v/>
      </c>
      <c r="G175" s="76" t="str">
        <f t="shared" si="32"/>
        <v/>
      </c>
      <c r="H175" s="77"/>
      <c r="I175" s="77" t="str">
        <f t="shared" si="33"/>
        <v/>
      </c>
      <c r="J175" s="76" t="str">
        <f t="shared" si="34"/>
        <v/>
      </c>
      <c r="K175" s="157"/>
      <c r="L175" s="123"/>
    </row>
    <row r="176" spans="1:12" ht="15.6">
      <c r="A176" s="24" t="str">
        <v>M028</v>
      </c>
      <c r="B176" s="25" t="str">
        <v>NY</v>
      </c>
      <c r="C176" s="25" t="str">
        <f>Sites[[#This Row],[SOL'#]]</f>
        <v>SOL-10381</v>
      </c>
      <c r="D176" s="60"/>
      <c r="E176" s="10"/>
      <c r="F176" s="10" t="str">
        <f t="shared" si="31"/>
        <v/>
      </c>
      <c r="G176" s="61" t="str">
        <f t="shared" si="32"/>
        <v/>
      </c>
      <c r="H176" s="75"/>
      <c r="I176" s="75" t="str">
        <f t="shared" si="33"/>
        <v/>
      </c>
      <c r="J176" s="72" t="str">
        <f t="shared" si="34"/>
        <v/>
      </c>
      <c r="K176" s="122"/>
      <c r="L176" s="55"/>
    </row>
    <row r="177" spans="1:12" ht="15.6">
      <c r="A177" s="26" t="str">
        <v>Q030</v>
      </c>
      <c r="B177" s="27" t="str">
        <v>NY</v>
      </c>
      <c r="C177" s="25" t="str">
        <f>Sites[[#This Row],[SOL'#]]</f>
        <v>SOL-10878</v>
      </c>
      <c r="D177" s="74"/>
      <c r="E177" s="14"/>
      <c r="F177" s="14" t="str">
        <f t="shared" si="31"/>
        <v/>
      </c>
      <c r="G177" s="76" t="str">
        <f t="shared" si="32"/>
        <v/>
      </c>
      <c r="H177" s="77"/>
      <c r="I177" s="77" t="str">
        <f t="shared" si="33"/>
        <v/>
      </c>
      <c r="J177" s="76" t="str">
        <f t="shared" si="34"/>
        <v/>
      </c>
      <c r="K177" s="157"/>
      <c r="L177" s="123"/>
    </row>
    <row r="178" spans="1:12" ht="15.6">
      <c r="A178" s="24" t="str">
        <v>Q130</v>
      </c>
      <c r="B178" s="25" t="str">
        <v>NY</v>
      </c>
      <c r="C178" s="25" t="str">
        <f>Sites[[#This Row],[SOL'#]]</f>
        <v>SOL-10877</v>
      </c>
      <c r="D178" s="60"/>
      <c r="E178" s="10"/>
      <c r="F178" s="10" t="str">
        <f t="shared" si="31"/>
        <v/>
      </c>
      <c r="G178" s="61" t="str">
        <f t="shared" si="32"/>
        <v/>
      </c>
      <c r="H178" s="75"/>
      <c r="I178" s="75" t="str">
        <f t="shared" si="33"/>
        <v/>
      </c>
      <c r="J178" s="72" t="str">
        <f t="shared" si="34"/>
        <v/>
      </c>
      <c r="K178" s="122"/>
      <c r="L178" s="55"/>
    </row>
    <row r="179" spans="1:12" ht="15.6">
      <c r="A179" s="26" t="str">
        <v>Q196</v>
      </c>
      <c r="B179" s="27" t="str">
        <v>NY</v>
      </c>
      <c r="C179" s="25" t="str">
        <f>Sites[[#This Row],[SOL'#]]</f>
        <v>SOL-10879</v>
      </c>
      <c r="D179" s="74"/>
      <c r="E179" s="14"/>
      <c r="F179" s="14" t="str">
        <f t="shared" si="31"/>
        <v/>
      </c>
      <c r="G179" s="76" t="str">
        <f t="shared" si="32"/>
        <v/>
      </c>
      <c r="H179" s="77"/>
      <c r="I179" s="77" t="str">
        <f t="shared" si="33"/>
        <v/>
      </c>
      <c r="J179" s="76" t="str">
        <f t="shared" si="34"/>
        <v/>
      </c>
      <c r="K179" s="157"/>
      <c r="L179" s="123"/>
    </row>
    <row r="180" spans="1:12" ht="15.6">
      <c r="A180" s="24" t="str">
        <v>Q220</v>
      </c>
      <c r="B180" s="25" t="str">
        <v>NY</v>
      </c>
      <c r="C180" s="25" t="str">
        <f>Sites[[#This Row],[SOL'#]]</f>
        <v>SOL-10873</v>
      </c>
      <c r="D180" s="60"/>
      <c r="E180" s="10"/>
      <c r="F180" s="10" t="str">
        <f t="shared" si="31"/>
        <v/>
      </c>
      <c r="G180" s="61" t="str">
        <f t="shared" si="32"/>
        <v/>
      </c>
      <c r="H180" s="75"/>
      <c r="I180" s="75" t="str">
        <f t="shared" si="33"/>
        <v/>
      </c>
      <c r="J180" s="72" t="str">
        <f t="shared" si="34"/>
        <v/>
      </c>
      <c r="K180" s="122"/>
      <c r="L180" s="55"/>
    </row>
    <row r="181" spans="1:12" ht="15.6">
      <c r="A181" s="26" t="str">
        <v>Q205</v>
      </c>
      <c r="B181" s="27" t="str">
        <v>NY</v>
      </c>
      <c r="C181" s="25" t="str">
        <f>Sites[[#This Row],[SOL'#]]</f>
        <v>SOL-10922</v>
      </c>
      <c r="D181" s="74"/>
      <c r="E181" s="14"/>
      <c r="F181" s="14" t="str">
        <f t="shared" si="31"/>
        <v/>
      </c>
      <c r="G181" s="76" t="str">
        <f t="shared" si="32"/>
        <v/>
      </c>
      <c r="H181" s="77"/>
      <c r="I181" s="77" t="str">
        <f t="shared" si="33"/>
        <v/>
      </c>
      <c r="J181" s="76" t="str">
        <f t="shared" si="34"/>
        <v/>
      </c>
      <c r="K181" s="157"/>
      <c r="L181" s="123"/>
    </row>
    <row r="182" spans="1:12" ht="15.6">
      <c r="A182" s="24" t="str">
        <v>Q400</v>
      </c>
      <c r="B182" s="25" t="str">
        <v>NY</v>
      </c>
      <c r="C182" s="25" t="str">
        <f>Sites[[#This Row],[SOL'#]]</f>
        <v>SOL-10871</v>
      </c>
      <c r="D182" s="60"/>
      <c r="E182" s="10"/>
      <c r="F182" s="10" t="str">
        <f t="shared" si="31"/>
        <v/>
      </c>
      <c r="G182" s="61" t="str">
        <f t="shared" si="32"/>
        <v/>
      </c>
      <c r="H182" s="75"/>
      <c r="I182" s="75" t="str">
        <f t="shared" si="33"/>
        <v/>
      </c>
      <c r="J182" s="72" t="str">
        <f t="shared" si="34"/>
        <v/>
      </c>
      <c r="K182" s="122"/>
      <c r="L182" s="55"/>
    </row>
    <row r="183" spans="1:12" ht="15.6">
      <c r="A183" s="26" t="str">
        <v>R003</v>
      </c>
      <c r="B183" s="27" t="str">
        <v>NY</v>
      </c>
      <c r="C183" s="25" t="str">
        <f>Sites[[#This Row],[SOL'#]]</f>
        <v>SOL-10416</v>
      </c>
      <c r="D183" s="74"/>
      <c r="E183" s="14"/>
      <c r="F183" s="14" t="str">
        <f t="shared" si="31"/>
        <v/>
      </c>
      <c r="G183" s="76" t="str">
        <f t="shared" si="32"/>
        <v/>
      </c>
      <c r="H183" s="77"/>
      <c r="I183" s="77" t="str">
        <f t="shared" si="33"/>
        <v/>
      </c>
      <c r="J183" s="76" t="str">
        <f t="shared" si="34"/>
        <v/>
      </c>
      <c r="K183" s="157"/>
      <c r="L183" s="123"/>
    </row>
    <row r="184" spans="1:12" ht="15.6">
      <c r="A184" s="24" t="str">
        <v>R007</v>
      </c>
      <c r="B184" s="25" t="str">
        <v>NY</v>
      </c>
      <c r="C184" s="25" t="str">
        <f>Sites[[#This Row],[SOL'#]]</f>
        <v>SOL-10417</v>
      </c>
      <c r="D184" s="60"/>
      <c r="E184" s="10"/>
      <c r="F184" s="10" t="str">
        <f t="shared" si="31"/>
        <v/>
      </c>
      <c r="G184" s="61" t="str">
        <f t="shared" si="32"/>
        <v/>
      </c>
      <c r="H184" s="75"/>
      <c r="I184" s="75" t="str">
        <f t="shared" si="33"/>
        <v/>
      </c>
      <c r="J184" s="72" t="str">
        <f t="shared" si="34"/>
        <v/>
      </c>
      <c r="K184" s="122"/>
      <c r="L184" s="55"/>
    </row>
    <row r="185" spans="1:12" ht="15.6">
      <c r="A185" s="26" t="str">
        <v>BK16</v>
      </c>
      <c r="B185" s="27" t="str">
        <v>NY</v>
      </c>
      <c r="C185" s="25" t="str">
        <f>Sites[[#This Row],[SOL'#]]</f>
        <v>SOL-11093</v>
      </c>
      <c r="D185" s="74"/>
      <c r="E185" s="14"/>
      <c r="F185" s="14" t="str">
        <f t="shared" si="31"/>
        <v/>
      </c>
      <c r="G185" s="76" t="str">
        <f t="shared" si="32"/>
        <v/>
      </c>
      <c r="H185" s="77"/>
      <c r="I185" s="77" t="str">
        <f t="shared" si="33"/>
        <v/>
      </c>
      <c r="J185" s="76" t="str">
        <f t="shared" si="34"/>
        <v/>
      </c>
      <c r="K185" s="157"/>
      <c r="L185" s="123"/>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85 J4:J185">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200"/>
  <sheetViews>
    <sheetView zoomScale="70" zoomScaleNormal="70" workbookViewId="0">
      <pane xSplit="2" ySplit="3" topLeftCell="J152" activePane="bottomRight" state="frozen"/>
      <selection pane="bottomRight" activeCell="K243" sqref="K242:K24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65" t="str" cm="1">
        <f t="array" ref="A1">portfolio</f>
        <v>Generate Capital</v>
      </c>
      <c r="B1" s="165"/>
      <c r="C1" s="165"/>
      <c r="D1" s="165"/>
      <c r="E1" s="166" t="s">
        <v>1994</v>
      </c>
      <c r="F1" s="166"/>
      <c r="G1" s="166"/>
      <c r="H1" s="164" t="s">
        <v>1995</v>
      </c>
      <c r="I1" s="164"/>
      <c r="J1" s="164"/>
      <c r="K1" s="4"/>
      <c r="L1" s="4"/>
    </row>
    <row r="2" spans="1:12" ht="19.5" customHeight="1">
      <c r="A2" s="167" t="s">
        <v>2</v>
      </c>
      <c r="B2" s="167"/>
      <c r="C2" s="65"/>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5"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5" t="str">
        <f>Sites[[#This Row],[SOL'#]]</f>
        <v>SOL-10750</v>
      </c>
      <c r="D7" s="9"/>
      <c r="E7" s="14"/>
      <c r="F7" s="14" t="str">
        <f t="shared" si="0"/>
        <v/>
      </c>
      <c r="G7" s="15" t="str">
        <f t="shared" si="3"/>
        <v/>
      </c>
      <c r="H7" s="16"/>
      <c r="I7" s="16" t="str">
        <f t="shared" si="1"/>
        <v/>
      </c>
      <c r="J7" s="15" t="str">
        <f t="shared" si="2"/>
        <v/>
      </c>
      <c r="K7" s="38"/>
      <c r="L7" s="3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5" t="str">
        <f>Sites[[#This Row],[SOL'#]]</f>
        <v>SOL-10752</v>
      </c>
      <c r="D9" s="9"/>
      <c r="E9" s="14"/>
      <c r="F9" s="14" t="str">
        <f t="shared" si="0"/>
        <v/>
      </c>
      <c r="G9" s="15" t="str">
        <f t="shared" si="3"/>
        <v/>
      </c>
      <c r="H9" s="16"/>
      <c r="I9" s="16" t="str">
        <f t="shared" si="1"/>
        <v/>
      </c>
      <c r="J9" s="15" t="str">
        <f t="shared" si="2"/>
        <v/>
      </c>
      <c r="K9" s="38"/>
      <c r="L9" s="3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5" t="str">
        <f>Sites[[#This Row],[SOL'#]]</f>
        <v>SOL-10757</v>
      </c>
      <c r="D11" s="9"/>
      <c r="E11" s="14"/>
      <c r="F11" s="14" t="str">
        <f t="shared" si="0"/>
        <v/>
      </c>
      <c r="G11" s="15" t="str">
        <f t="shared" si="3"/>
        <v/>
      </c>
      <c r="H11" s="16"/>
      <c r="I11" s="16" t="str">
        <f t="shared" si="1"/>
        <v/>
      </c>
      <c r="J11" s="15" t="str">
        <f t="shared" si="2"/>
        <v/>
      </c>
      <c r="K11" s="38"/>
      <c r="L11" s="94"/>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5" t="str">
        <f>Sites[[#This Row],[SOL'#]]</f>
        <v>SOL-10762</v>
      </c>
      <c r="D13" s="9"/>
      <c r="E13" s="14"/>
      <c r="F13" s="14" t="str">
        <f t="shared" si="0"/>
        <v/>
      </c>
      <c r="G13" s="15" t="str">
        <f t="shared" si="3"/>
        <v/>
      </c>
      <c r="H13" s="16"/>
      <c r="I13" s="16" t="str">
        <f t="shared" si="1"/>
        <v/>
      </c>
      <c r="J13" s="15" t="str">
        <f t="shared" si="2"/>
        <v/>
      </c>
      <c r="K13" s="38"/>
      <c r="L13" s="94"/>
    </row>
    <row r="14" spans="1:12" ht="22.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5" t="str">
        <f>Sites[[#This Row],[SOL'#]]</f>
        <v>SOL-10755</v>
      </c>
      <c r="D15" s="9"/>
      <c r="E15" s="14"/>
      <c r="F15" s="14" t="str">
        <f t="shared" si="0"/>
        <v/>
      </c>
      <c r="G15" s="15" t="str">
        <f t="shared" si="3"/>
        <v/>
      </c>
      <c r="H15" s="16"/>
      <c r="I15" s="16" t="str">
        <f t="shared" si="1"/>
        <v/>
      </c>
      <c r="J15" s="15" t="str">
        <f t="shared" si="2"/>
        <v/>
      </c>
      <c r="K15" s="38"/>
      <c r="L15" s="38"/>
    </row>
    <row r="16" spans="1:12" ht="15.6">
      <c r="A16" s="24" t="str">
        <v>Payson Gila CC</v>
      </c>
      <c r="B16" s="25" t="str">
        <v>AZ</v>
      </c>
      <c r="C16" s="25" t="str">
        <f>Sites[[#This Row],[SOL'#]]</f>
        <v>SOL-10756</v>
      </c>
      <c r="D16" s="20"/>
      <c r="E16" s="10"/>
      <c r="F16" s="10" t="str">
        <f t="shared" si="0"/>
        <v/>
      </c>
      <c r="G16" s="11" t="str">
        <f t="shared" si="3"/>
        <v/>
      </c>
      <c r="H16" s="12"/>
      <c r="I16" s="12" t="str">
        <f>IF(AND(ISNUMBER(D16),ISNUMBER(H16)), D16-H16, "")</f>
        <v/>
      </c>
      <c r="J16" s="13" t="str">
        <f t="shared" si="2"/>
        <v/>
      </c>
      <c r="K16" s="37"/>
      <c r="L16" s="37"/>
    </row>
    <row r="17" spans="1:12" ht="15.6">
      <c r="A17" s="26" t="str">
        <v>SCNM</v>
      </c>
      <c r="B17" s="27" t="str">
        <v>AZ</v>
      </c>
      <c r="C17" s="25" t="str">
        <f>Sites[[#This Row],[SOL'#]]</f>
        <v>SOL-10760</v>
      </c>
      <c r="D17" s="9"/>
      <c r="E17" s="14"/>
      <c r="F17" s="14" t="str">
        <f t="shared" si="0"/>
        <v/>
      </c>
      <c r="G17" s="15" t="str">
        <f t="shared" si="3"/>
        <v/>
      </c>
      <c r="H17" s="16"/>
      <c r="I17" s="16" t="str">
        <f t="shared" si="1"/>
        <v/>
      </c>
      <c r="J17" s="15" t="str">
        <f t="shared" si="2"/>
        <v/>
      </c>
      <c r="K17" s="38"/>
      <c r="L17" s="38"/>
    </row>
    <row r="18" spans="1:12" ht="46.5" customHeight="1">
      <c r="A18" s="24" t="str">
        <v>Sequoia Charter School</v>
      </c>
      <c r="B18" s="25" t="str">
        <v>AZ</v>
      </c>
      <c r="C18" s="25" t="str">
        <f>Sites[[#This Row],[SOL'#]]</f>
        <v>SOL-10759</v>
      </c>
      <c r="D18" s="20"/>
      <c r="E18" s="10"/>
      <c r="F18" s="10" t="str">
        <f t="shared" si="0"/>
        <v/>
      </c>
      <c r="G18" s="11" t="str">
        <f t="shared" si="3"/>
        <v/>
      </c>
      <c r="H18" s="12"/>
      <c r="I18" s="12" t="str">
        <f t="shared" si="1"/>
        <v/>
      </c>
      <c r="J18" s="13" t="str">
        <f t="shared" si="2"/>
        <v/>
      </c>
      <c r="K18" s="37"/>
      <c r="L18" s="37"/>
    </row>
    <row r="19" spans="1:12" ht="15.6">
      <c r="A19" s="26" t="str">
        <v>RCAB</v>
      </c>
      <c r="B19" s="27" t="str">
        <v>MA</v>
      </c>
      <c r="C19" s="25" t="str">
        <f>Sites[[#This Row],[SOL'#]]</f>
        <v>SOL-10838</v>
      </c>
      <c r="D19" s="9"/>
      <c r="E19" s="14"/>
      <c r="F19" s="14" t="str">
        <f t="shared" si="0"/>
        <v/>
      </c>
      <c r="G19" s="15" t="str">
        <f t="shared" si="3"/>
        <v/>
      </c>
      <c r="H19" s="16"/>
      <c r="I19" s="16" t="str">
        <f t="shared" si="1"/>
        <v/>
      </c>
      <c r="J19" s="15" t="str">
        <f t="shared" si="2"/>
        <v/>
      </c>
      <c r="K19" s="38"/>
      <c r="L19" s="95"/>
    </row>
    <row r="20" spans="1:12" ht="20.25" customHeight="1">
      <c r="A20" s="24" t="str">
        <v>Spectro Coatings</v>
      </c>
      <c r="B20" s="25" t="str">
        <v>MA</v>
      </c>
      <c r="C20" s="25" t="str">
        <f>Sites[[#This Row],[SOL'#]]</f>
        <v>SOL-10074</v>
      </c>
      <c r="D20" s="20"/>
      <c r="E20" s="10"/>
      <c r="F20" s="10" t="str">
        <f t="shared" si="0"/>
        <v/>
      </c>
      <c r="G20" s="11" t="str">
        <f t="shared" si="3"/>
        <v/>
      </c>
      <c r="H20" s="12"/>
      <c r="I20" s="12" t="str">
        <f t="shared" si="1"/>
        <v/>
      </c>
      <c r="J20" s="13" t="str">
        <f t="shared" si="2"/>
        <v/>
      </c>
      <c r="K20" s="37"/>
      <c r="L20" s="37"/>
    </row>
    <row r="21" spans="1:12" ht="15.6">
      <c r="A21" s="26" t="str">
        <v>K026</v>
      </c>
      <c r="B21" s="27" t="str">
        <v>NY</v>
      </c>
      <c r="C21" s="25" t="str">
        <f>Sites[[#This Row],[SOL'#]]</f>
        <v>SOL-10356</v>
      </c>
      <c r="D21" s="9"/>
      <c r="E21" s="14"/>
      <c r="F21" s="14" t="str">
        <f t="shared" si="0"/>
        <v/>
      </c>
      <c r="G21" s="15" t="str">
        <f t="shared" si="3"/>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3"/>
        <v/>
      </c>
      <c r="H22" s="12"/>
      <c r="I22" s="12" t="str">
        <f t="shared" si="1"/>
        <v/>
      </c>
      <c r="J22" s="13" t="str">
        <f t="shared" si="2"/>
        <v/>
      </c>
      <c r="K22" s="37"/>
      <c r="L22" s="37"/>
    </row>
    <row r="23" spans="1:12" ht="25.5" customHeight="1">
      <c r="A23" s="26" t="str">
        <v>K043</v>
      </c>
      <c r="B23" s="27" t="str">
        <v>NY</v>
      </c>
      <c r="C23" s="25" t="str">
        <f>Sites[[#This Row],[SOL'#]]</f>
        <v>SOL-10358</v>
      </c>
      <c r="D23" s="9"/>
      <c r="E23" s="14"/>
      <c r="F23" s="14" t="str">
        <f t="shared" si="0"/>
        <v/>
      </c>
      <c r="G23" s="15" t="str">
        <f t="shared" si="3"/>
        <v/>
      </c>
      <c r="H23" s="16"/>
      <c r="I23" s="16" t="str">
        <f t="shared" si="1"/>
        <v/>
      </c>
      <c r="J23" s="15" t="str">
        <f t="shared" si="2"/>
        <v/>
      </c>
      <c r="K23" s="56"/>
      <c r="L23" s="38"/>
    </row>
    <row r="24" spans="1:12" ht="15.6">
      <c r="A24" s="24" t="str">
        <v>K058</v>
      </c>
      <c r="B24" s="25" t="str">
        <v>NY</v>
      </c>
      <c r="C24" s="25" t="str">
        <f>Sites[[#This Row],[SOL'#]]</f>
        <v>SOL-10360</v>
      </c>
      <c r="D24" s="20"/>
      <c r="E24" s="10"/>
      <c r="F24" s="10" t="str">
        <f t="shared" si="0"/>
        <v/>
      </c>
      <c r="G24" s="11" t="str">
        <f t="shared" si="3"/>
        <v/>
      </c>
      <c r="H24" s="12"/>
      <c r="I24" s="12" t="str">
        <f t="shared" si="1"/>
        <v/>
      </c>
      <c r="J24" s="13" t="str">
        <f t="shared" si="2"/>
        <v/>
      </c>
      <c r="K24" s="37"/>
      <c r="L24" s="37"/>
    </row>
    <row r="25" spans="1:12" ht="15.6">
      <c r="A25" s="26" t="str">
        <v>K115</v>
      </c>
      <c r="B25" s="27" t="str">
        <v>NY</v>
      </c>
      <c r="C25" s="25" t="str">
        <f>Sites[[#This Row],[SOL'#]]</f>
        <v>SOL-10361</v>
      </c>
      <c r="D25" s="9"/>
      <c r="E25" s="14"/>
      <c r="F25" s="14" t="str">
        <f t="shared" si="0"/>
        <v/>
      </c>
      <c r="G25" s="15" t="str">
        <f t="shared" si="3"/>
        <v/>
      </c>
      <c r="H25" s="16"/>
      <c r="I25" s="16" t="str">
        <f t="shared" si="1"/>
        <v/>
      </c>
      <c r="J25" s="15" t="str">
        <f t="shared" si="2"/>
        <v/>
      </c>
      <c r="K25" s="38"/>
      <c r="L25" s="38"/>
    </row>
    <row r="26" spans="1:12" ht="15.6">
      <c r="A26" s="24" t="str">
        <v>K152</v>
      </c>
      <c r="B26" s="25" t="str">
        <v>NY</v>
      </c>
      <c r="C26" s="25" t="str">
        <f>Sites[[#This Row],[SOL'#]]</f>
        <v>SOL-10362</v>
      </c>
      <c r="D26" s="20"/>
      <c r="E26" s="10"/>
      <c r="F26" s="10" t="str">
        <f t="shared" si="0"/>
        <v/>
      </c>
      <c r="G26" s="11" t="str">
        <f t="shared" si="3"/>
        <v/>
      </c>
      <c r="H26" s="12"/>
      <c r="I26" s="12" t="str">
        <f t="shared" si="1"/>
        <v/>
      </c>
      <c r="J26" s="13" t="str">
        <f t="shared" si="2"/>
        <v/>
      </c>
      <c r="K26" s="37"/>
      <c r="L26" s="37"/>
    </row>
    <row r="27" spans="1:12" ht="15.6">
      <c r="A27" s="26" t="str">
        <v>K166</v>
      </c>
      <c r="B27" s="27" t="str">
        <v>NY</v>
      </c>
      <c r="C27" s="25" t="str">
        <f>Sites[[#This Row],[SOL'#]]</f>
        <v>SOL-10363</v>
      </c>
      <c r="D27" s="9"/>
      <c r="E27" s="14"/>
      <c r="F27" s="14" t="str">
        <f t="shared" si="0"/>
        <v/>
      </c>
      <c r="G27" s="15" t="str">
        <f t="shared" si="3"/>
        <v/>
      </c>
      <c r="H27" s="16"/>
      <c r="I27" s="16" t="str">
        <f t="shared" si="1"/>
        <v/>
      </c>
      <c r="J27" s="15" t="str">
        <f t="shared" si="2"/>
        <v/>
      </c>
      <c r="K27" s="38"/>
      <c r="L27" s="38"/>
    </row>
    <row r="28" spans="1:12" ht="15.6">
      <c r="A28" s="24" t="str">
        <v>K206</v>
      </c>
      <c r="B28" s="25" t="str">
        <v>NY</v>
      </c>
      <c r="C28" s="25" t="str">
        <f>Sites[[#This Row],[SOL'#]]</f>
        <v>SOL-10927</v>
      </c>
      <c r="D28" s="20"/>
      <c r="E28" s="10"/>
      <c r="F28" s="10" t="str">
        <f t="shared" si="0"/>
        <v/>
      </c>
      <c r="G28" s="11" t="str">
        <f t="shared" si="3"/>
        <v/>
      </c>
      <c r="H28" s="12"/>
      <c r="I28" s="12" t="str">
        <f t="shared" si="1"/>
        <v/>
      </c>
      <c r="J28" s="13" t="str">
        <f t="shared" si="2"/>
        <v/>
      </c>
      <c r="K28" s="37"/>
      <c r="L28" s="37"/>
    </row>
    <row r="29" spans="1:12" ht="27" customHeight="1">
      <c r="A29" s="26" t="str">
        <v>K251</v>
      </c>
      <c r="B29" s="27" t="str">
        <v>NY</v>
      </c>
      <c r="C29" s="25" t="str">
        <f>Sites[[#This Row],[SOL'#]]</f>
        <v>SOL-10365</v>
      </c>
      <c r="D29" s="9"/>
      <c r="E29" s="14"/>
      <c r="F29" s="14" t="str">
        <f t="shared" si="0"/>
        <v/>
      </c>
      <c r="G29" s="15" t="str">
        <f t="shared" si="3"/>
        <v/>
      </c>
      <c r="H29" s="16"/>
      <c r="I29" s="16" t="str">
        <f t="shared" si="1"/>
        <v/>
      </c>
      <c r="J29" s="15" t="str">
        <f t="shared" si="2"/>
        <v/>
      </c>
      <c r="K29" s="38"/>
      <c r="L29" s="57"/>
    </row>
    <row r="30" spans="1:12" ht="15.6">
      <c r="A30" s="24" t="str">
        <v>K269</v>
      </c>
      <c r="B30" s="25" t="str">
        <v>NY</v>
      </c>
      <c r="C30" s="25" t="str">
        <f>Sites[[#This Row],[SOL'#]]</f>
        <v>SOL-10366</v>
      </c>
      <c r="D30" s="20"/>
      <c r="E30" s="10"/>
      <c r="F30" s="10" t="str">
        <f t="shared" si="0"/>
        <v/>
      </c>
      <c r="G30" s="11" t="str">
        <f t="shared" si="3"/>
        <v/>
      </c>
      <c r="H30" s="12"/>
      <c r="I30" s="12" t="str">
        <f t="shared" si="1"/>
        <v/>
      </c>
      <c r="J30" s="13" t="str">
        <f t="shared" si="2"/>
        <v/>
      </c>
      <c r="K30" s="37"/>
      <c r="L30" s="37"/>
    </row>
    <row r="31" spans="1:12" ht="15.6">
      <c r="A31" s="26" t="str">
        <v>K273</v>
      </c>
      <c r="B31" s="27" t="str">
        <v>NY</v>
      </c>
      <c r="C31" s="25" t="str">
        <f>Sites[[#This Row],[SOL'#]]</f>
        <v>SOL-10367</v>
      </c>
      <c r="D31" s="9"/>
      <c r="E31" s="14"/>
      <c r="F31" s="14" t="str">
        <f t="shared" si="0"/>
        <v/>
      </c>
      <c r="G31" s="15" t="str">
        <f t="shared" si="3"/>
        <v/>
      </c>
      <c r="H31" s="16"/>
      <c r="I31" s="16" t="str">
        <f t="shared" si="1"/>
        <v/>
      </c>
      <c r="J31" s="15" t="str">
        <f t="shared" si="2"/>
        <v/>
      </c>
      <c r="K31" s="157"/>
      <c r="L31" s="157"/>
    </row>
    <row r="32" spans="1:12" ht="15.6">
      <c r="A32" s="24" t="str">
        <v>K287</v>
      </c>
      <c r="B32" s="25" t="str">
        <v>NY</v>
      </c>
      <c r="C32" s="25" t="str">
        <f>Sites[[#This Row],[SOL'#]]</f>
        <v>SOL-10919</v>
      </c>
      <c r="D32" s="20"/>
      <c r="E32" s="10"/>
      <c r="F32" s="10" t="str">
        <f t="shared" si="0"/>
        <v/>
      </c>
      <c r="G32" s="11" t="str">
        <f t="shared" si="3"/>
        <v/>
      </c>
      <c r="H32" s="12"/>
      <c r="I32" s="12" t="str">
        <f t="shared" si="1"/>
        <v/>
      </c>
      <c r="J32" s="13" t="str">
        <f t="shared" si="2"/>
        <v/>
      </c>
      <c r="K32" s="37"/>
      <c r="L32" s="37"/>
    </row>
    <row r="33" spans="1:12" ht="15.6">
      <c r="A33" s="26" t="str">
        <v>K298</v>
      </c>
      <c r="B33" s="27" t="str">
        <v>NY</v>
      </c>
      <c r="C33" s="25" t="str">
        <f>Sites[[#This Row],[SOL'#]]</f>
        <v>SOL-10368</v>
      </c>
      <c r="D33" s="9"/>
      <c r="E33" s="14"/>
      <c r="F33" s="14" t="str">
        <f t="shared" si="0"/>
        <v/>
      </c>
      <c r="G33" s="15" t="str">
        <f t="shared" si="3"/>
        <v/>
      </c>
      <c r="H33" s="16"/>
      <c r="I33" s="16" t="str">
        <f t="shared" si="1"/>
        <v/>
      </c>
      <c r="J33" s="15" t="str">
        <f t="shared" si="2"/>
        <v/>
      </c>
      <c r="K33" s="38"/>
      <c r="L33" s="38"/>
    </row>
    <row r="34" spans="1:12" ht="15.6">
      <c r="A34" s="24" t="str">
        <v>K335</v>
      </c>
      <c r="B34" s="25" t="str">
        <v>NY</v>
      </c>
      <c r="C34" s="25" t="str">
        <f>Sites[[#This Row],[SOL'#]]</f>
        <v>SOL-10370</v>
      </c>
      <c r="D34" s="20"/>
      <c r="E34" s="10"/>
      <c r="F34" s="10" t="str">
        <f t="shared" si="0"/>
        <v/>
      </c>
      <c r="G34" s="11" t="str">
        <f t="shared" si="3"/>
        <v/>
      </c>
      <c r="H34" s="12"/>
      <c r="I34" s="12" t="str">
        <f t="shared" si="1"/>
        <v/>
      </c>
      <c r="J34" s="13" t="str">
        <f t="shared" si="2"/>
        <v/>
      </c>
      <c r="K34" s="37"/>
      <c r="L34" s="37"/>
    </row>
    <row r="35" spans="1:12" ht="15.6">
      <c r="A35" s="26" t="str">
        <v>K345</v>
      </c>
      <c r="B35" s="27" t="str">
        <v>NY</v>
      </c>
      <c r="C35" s="25" t="str">
        <f>Sites[[#This Row],[SOL'#]]</f>
        <v>SOL-10920</v>
      </c>
      <c r="D35" s="9"/>
      <c r="E35" s="14"/>
      <c r="F35" s="14" t="str">
        <f t="shared" si="0"/>
        <v/>
      </c>
      <c r="G35" s="15" t="str">
        <f t="shared" si="3"/>
        <v/>
      </c>
      <c r="H35" s="16"/>
      <c r="I35" s="16" t="str">
        <f t="shared" si="1"/>
        <v/>
      </c>
      <c r="J35" s="15" t="str">
        <f t="shared" si="2"/>
        <v/>
      </c>
      <c r="K35" s="38"/>
      <c r="L35" s="38"/>
    </row>
    <row r="36" spans="1:12" ht="15.6">
      <c r="A36" s="24" t="str">
        <v>K445</v>
      </c>
      <c r="B36" s="25" t="str">
        <v>NY</v>
      </c>
      <c r="C36" s="25" t="str">
        <f>Sites[[#This Row],[SOL'#]]</f>
        <v>SOL-10373</v>
      </c>
      <c r="D36" s="20"/>
      <c r="E36" s="10"/>
      <c r="F36" s="10" t="str">
        <f t="shared" si="0"/>
        <v/>
      </c>
      <c r="G36" s="11" t="str">
        <f t="shared" si="3"/>
        <v/>
      </c>
      <c r="H36" s="12"/>
      <c r="I36" s="12" t="str">
        <f t="shared" si="1"/>
        <v/>
      </c>
      <c r="J36" s="13" t="str">
        <f t="shared" si="2"/>
        <v/>
      </c>
      <c r="K36" s="37"/>
      <c r="L36" s="37"/>
    </row>
    <row r="37" spans="1:12" ht="15.6">
      <c r="A37" s="26" t="str">
        <v>K495</v>
      </c>
      <c r="B37" s="27" t="str">
        <v>NY</v>
      </c>
      <c r="C37" s="25" t="str">
        <f>Sites[[#This Row],[SOL'#]]</f>
        <v>SOL-10374</v>
      </c>
      <c r="D37" s="9"/>
      <c r="E37" s="14"/>
      <c r="F37" s="14" t="str">
        <f t="shared" si="0"/>
        <v/>
      </c>
      <c r="G37" s="15" t="str">
        <f t="shared" si="3"/>
        <v/>
      </c>
      <c r="H37" s="16"/>
      <c r="I37" s="16" t="str">
        <f t="shared" si="1"/>
        <v/>
      </c>
      <c r="J37" s="15" t="str">
        <f t="shared" si="2"/>
        <v/>
      </c>
      <c r="K37" s="38"/>
      <c r="L37" s="38"/>
    </row>
    <row r="38" spans="1:12" ht="15.6">
      <c r="A38" s="24" t="str">
        <v>M020</v>
      </c>
      <c r="B38" s="25" t="str">
        <v>NY</v>
      </c>
      <c r="C38" s="25" t="str">
        <f>Sites[[#This Row],[SOL'#]]</f>
        <v>SOL-10380</v>
      </c>
      <c r="D38" s="20"/>
      <c r="E38" s="10"/>
      <c r="F38" s="10" t="str">
        <f t="shared" si="0"/>
        <v/>
      </c>
      <c r="G38" s="11" t="str">
        <f t="shared" si="3"/>
        <v/>
      </c>
      <c r="H38" s="12"/>
      <c r="I38" s="12" t="str">
        <f t="shared" si="1"/>
        <v/>
      </c>
      <c r="J38" s="13" t="str">
        <f t="shared" si="2"/>
        <v/>
      </c>
      <c r="K38" s="37"/>
      <c r="L38" s="37"/>
    </row>
    <row r="39" spans="1:12" ht="15.6">
      <c r="A39" s="26" t="str">
        <v>M092</v>
      </c>
      <c r="B39" s="27" t="str">
        <v>NY</v>
      </c>
      <c r="C39" s="25" t="str">
        <f>Sites[[#This Row],[SOL'#]]</f>
        <v>SOL-10383</v>
      </c>
      <c r="D39" s="9"/>
      <c r="E39" s="14"/>
      <c r="F39" s="14" t="str">
        <f t="shared" si="0"/>
        <v/>
      </c>
      <c r="G39" s="15" t="str">
        <f t="shared" si="3"/>
        <v/>
      </c>
      <c r="H39" s="16"/>
      <c r="I39" s="16" t="str">
        <f t="shared" si="1"/>
        <v/>
      </c>
      <c r="J39" s="15" t="str">
        <f t="shared" si="2"/>
        <v/>
      </c>
      <c r="K39" s="38"/>
      <c r="L39" s="38"/>
    </row>
    <row r="40" spans="1:12" ht="15.6">
      <c r="A40" s="24" t="str">
        <v>M143</v>
      </c>
      <c r="B40" s="25" t="str">
        <v>NY</v>
      </c>
      <c r="C40" s="25" t="str">
        <f>Sites[[#This Row],[SOL'#]]</f>
        <v>SOL-10384</v>
      </c>
      <c r="D40" s="20"/>
      <c r="E40" s="10"/>
      <c r="F40" s="10" t="str">
        <f t="shared" si="0"/>
        <v/>
      </c>
      <c r="G40" s="11" t="str">
        <f t="shared" si="3"/>
        <v/>
      </c>
      <c r="H40" s="12"/>
      <c r="I40" s="12" t="str">
        <f t="shared" si="1"/>
        <v/>
      </c>
      <c r="J40" s="13" t="str">
        <f t="shared" si="2"/>
        <v/>
      </c>
      <c r="K40" s="37"/>
      <c r="L40" s="37"/>
    </row>
    <row r="41" spans="1:12" ht="15.6">
      <c r="A41" s="26" t="str">
        <v>M144</v>
      </c>
      <c r="B41" s="27" t="str">
        <v>NY</v>
      </c>
      <c r="C41" s="25"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13" t="str">
        <f t="shared" si="2"/>
        <v/>
      </c>
      <c r="K42" s="37"/>
      <c r="L42" s="37"/>
    </row>
    <row r="43" spans="1:12" ht="15.6">
      <c r="A43" s="26" t="str">
        <v>M188</v>
      </c>
      <c r="B43" s="27" t="str">
        <v>NY</v>
      </c>
      <c r="C43" s="25" t="str">
        <f>Sites[[#This Row],[SOL'#]]</f>
        <v>SOL-10387</v>
      </c>
      <c r="D43" s="9"/>
      <c r="E43" s="14"/>
      <c r="F43" s="14" t="str">
        <f t="shared" si="0"/>
        <v/>
      </c>
      <c r="G43" s="15" t="str">
        <f t="shared" si="3"/>
        <v/>
      </c>
      <c r="H43" s="16"/>
      <c r="I43" s="16" t="str">
        <f t="shared" si="1"/>
        <v/>
      </c>
      <c r="J43" s="15" t="str">
        <f t="shared" si="2"/>
        <v/>
      </c>
      <c r="K43" s="38"/>
      <c r="L43" s="56"/>
    </row>
    <row r="44" spans="1:12" ht="15.6">
      <c r="A44" s="24" t="str">
        <v>EMHC</v>
      </c>
      <c r="B44" s="25" t="str">
        <v>NY</v>
      </c>
      <c r="C44" s="25" t="str">
        <f>Sites[[#This Row],[SOL'#]]</f>
        <v>SOL-10351</v>
      </c>
      <c r="D44" s="20"/>
      <c r="E44" s="10"/>
      <c r="F44" s="10" t="str">
        <f t="shared" si="0"/>
        <v/>
      </c>
      <c r="G44" s="11" t="str">
        <f t="shared" si="3"/>
        <v/>
      </c>
      <c r="H44" s="12"/>
      <c r="I44" s="12" t="str">
        <f t="shared" si="1"/>
        <v/>
      </c>
      <c r="J44" s="13" t="str">
        <f t="shared" si="2"/>
        <v/>
      </c>
      <c r="K44" s="37"/>
      <c r="L44" s="37"/>
    </row>
    <row r="45" spans="1:12" ht="15.6">
      <c r="A45" s="26" t="str">
        <v>Q008</v>
      </c>
      <c r="B45" s="27" t="str">
        <v>NY</v>
      </c>
      <c r="C45" s="25" t="str">
        <f>Sites[[#This Row],[SOL'#]]</f>
        <v>SOL-10397</v>
      </c>
      <c r="D45" s="9"/>
      <c r="E45" s="14"/>
      <c r="F45" s="14" t="str">
        <f t="shared" si="0"/>
        <v/>
      </c>
      <c r="G45" s="15" t="str">
        <f t="shared" si="3"/>
        <v/>
      </c>
      <c r="H45" s="16"/>
      <c r="I45" s="16" t="str">
        <f t="shared" si="1"/>
        <v/>
      </c>
      <c r="J45" s="15" t="str">
        <f t="shared" si="2"/>
        <v/>
      </c>
      <c r="K45" s="38"/>
      <c r="L45" s="38"/>
    </row>
    <row r="46" spans="1:12" ht="15.6">
      <c r="A46" s="24" t="str">
        <v>Q018</v>
      </c>
      <c r="B46" s="25" t="str">
        <v>NY</v>
      </c>
      <c r="C46" s="25" t="str">
        <f>Sites[[#This Row],[SOL'#]]</f>
        <v>SOL-10398</v>
      </c>
      <c r="D46" s="20"/>
      <c r="E46" s="10"/>
      <c r="F46" s="10" t="str">
        <f t="shared" si="0"/>
        <v/>
      </c>
      <c r="G46" s="11" t="str">
        <f t="shared" si="3"/>
        <v/>
      </c>
      <c r="H46" s="12"/>
      <c r="I46" s="12" t="str">
        <f t="shared" si="1"/>
        <v/>
      </c>
      <c r="J46" s="13" t="str">
        <f t="shared" si="2"/>
        <v/>
      </c>
      <c r="K46" s="37"/>
      <c r="L46" s="37"/>
    </row>
    <row r="47" spans="1:12" ht="15.6">
      <c r="A47" s="26" t="str">
        <v>Q021</v>
      </c>
      <c r="B47" s="27" t="str">
        <v>NY</v>
      </c>
      <c r="C47" s="25" t="str">
        <f>Sites[[#This Row],[SOL'#]]</f>
        <v>SOL-10399</v>
      </c>
      <c r="D47" s="9"/>
      <c r="E47" s="14"/>
      <c r="F47" s="14" t="str">
        <f t="shared" si="0"/>
        <v/>
      </c>
      <c r="G47" s="15" t="str">
        <f t="shared" si="3"/>
        <v/>
      </c>
      <c r="H47" s="16"/>
      <c r="I47" s="16" t="str">
        <f t="shared" si="1"/>
        <v/>
      </c>
      <c r="J47" s="15" t="str">
        <f t="shared" si="2"/>
        <v/>
      </c>
      <c r="K47" s="38"/>
      <c r="L47" s="38"/>
    </row>
    <row r="48" spans="1:12" ht="21" customHeight="1">
      <c r="A48" s="24" t="str">
        <v>Q025</v>
      </c>
      <c r="B48" s="25" t="str">
        <v>NY</v>
      </c>
      <c r="C48" s="25" t="str">
        <f>Sites[[#This Row],[SOL'#]]</f>
        <v>SOL-10400</v>
      </c>
      <c r="D48" s="20"/>
      <c r="E48" s="10"/>
      <c r="F48" s="10" t="str">
        <f t="shared" si="0"/>
        <v/>
      </c>
      <c r="G48" s="11" t="str">
        <f t="shared" si="3"/>
        <v/>
      </c>
      <c r="H48" s="12"/>
      <c r="I48" s="12" t="str">
        <f t="shared" si="1"/>
        <v/>
      </c>
      <c r="J48" s="13" t="str">
        <f t="shared" si="2"/>
        <v/>
      </c>
      <c r="K48" s="37"/>
      <c r="L48" s="37"/>
    </row>
    <row r="49" spans="1:12" ht="15.6">
      <c r="A49" s="26" t="str">
        <v>Q074</v>
      </c>
      <c r="B49" s="27" t="str">
        <v>NY</v>
      </c>
      <c r="C49" s="25" t="str">
        <f>Sites[[#This Row],[SOL'#]]</f>
        <v>SOL-10402</v>
      </c>
      <c r="D49" s="9"/>
      <c r="E49" s="14"/>
      <c r="F49" s="14" t="str">
        <f t="shared" si="0"/>
        <v/>
      </c>
      <c r="G49" s="15" t="str">
        <f t="shared" si="3"/>
        <v/>
      </c>
      <c r="H49" s="16"/>
      <c r="I49" s="16" t="str">
        <f t="shared" si="1"/>
        <v/>
      </c>
      <c r="J49" s="15" t="str">
        <f t="shared" si="2"/>
        <v/>
      </c>
      <c r="K49" s="38"/>
      <c r="L49" s="56"/>
    </row>
    <row r="50" spans="1:12" ht="15.6">
      <c r="A50" s="24" t="str">
        <v>Q115</v>
      </c>
      <c r="B50" s="25" t="str">
        <v>NY</v>
      </c>
      <c r="C50" s="25" t="str">
        <f>Sites[[#This Row],[SOL'#]]</f>
        <v>SOL-10872</v>
      </c>
      <c r="D50" s="20"/>
      <c r="E50" s="10"/>
      <c r="F50" s="10" t="str">
        <f t="shared" si="0"/>
        <v/>
      </c>
      <c r="G50" s="11" t="str">
        <f t="shared" si="3"/>
        <v/>
      </c>
      <c r="H50" s="12"/>
      <c r="I50" s="12" t="str">
        <f t="shared" si="1"/>
        <v/>
      </c>
      <c r="J50" s="13" t="str">
        <f t="shared" si="2"/>
        <v/>
      </c>
      <c r="K50" s="37"/>
      <c r="L50" s="37"/>
    </row>
    <row r="51" spans="1:12" ht="15.6">
      <c r="A51" s="26" t="str">
        <v>Q139</v>
      </c>
      <c r="B51" s="27" t="str">
        <v>NY</v>
      </c>
      <c r="C51" s="25" t="str">
        <f>Sites[[#This Row],[SOL'#]]</f>
        <v>SOL-10403</v>
      </c>
      <c r="D51" s="9"/>
      <c r="E51" s="14"/>
      <c r="F51" s="14" t="str">
        <f t="shared" si="0"/>
        <v/>
      </c>
      <c r="G51" s="15" t="str">
        <f t="shared" si="3"/>
        <v/>
      </c>
      <c r="H51" s="16"/>
      <c r="I51" s="16" t="str">
        <f t="shared" si="1"/>
        <v/>
      </c>
      <c r="J51" s="15" t="str">
        <f t="shared" si="2"/>
        <v/>
      </c>
      <c r="K51" s="38"/>
      <c r="L51" s="38"/>
    </row>
    <row r="52" spans="1:12" ht="15.6">
      <c r="A52" s="24" t="str">
        <v>Q157</v>
      </c>
      <c r="B52" s="25" t="str">
        <v>NY</v>
      </c>
      <c r="C52" s="25" t="str">
        <f>Sites[[#This Row],[SOL'#]]</f>
        <v>SOL-10404</v>
      </c>
      <c r="D52" s="20"/>
      <c r="E52" s="10"/>
      <c r="F52" s="10" t="str">
        <f t="shared" si="0"/>
        <v/>
      </c>
      <c r="G52" s="11" t="str">
        <f t="shared" si="3"/>
        <v/>
      </c>
      <c r="H52" s="12"/>
      <c r="I52" s="12" t="str">
        <f t="shared" si="1"/>
        <v/>
      </c>
      <c r="J52" s="13" t="str">
        <f t="shared" si="2"/>
        <v/>
      </c>
      <c r="K52" s="37"/>
      <c r="L52" s="37"/>
    </row>
    <row r="53" spans="1:12" ht="15.6">
      <c r="A53" s="26" t="str">
        <v>Q192</v>
      </c>
      <c r="B53" s="27" t="str">
        <v>NY</v>
      </c>
      <c r="C53" s="25"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13" t="str">
        <f t="shared" si="2"/>
        <v/>
      </c>
      <c r="K54" s="37"/>
      <c r="L54" s="37"/>
    </row>
    <row r="55" spans="1:12" ht="15.6">
      <c r="A55" s="26" t="str">
        <v>Q229</v>
      </c>
      <c r="B55" s="27" t="str">
        <v>NY</v>
      </c>
      <c r="C55" s="25" t="str">
        <f>Sites[[#This Row],[SOL'#]]</f>
        <v>SOL-10408</v>
      </c>
      <c r="D55" s="9"/>
      <c r="E55" s="14"/>
      <c r="F55" s="14" t="str">
        <f t="shared" si="0"/>
        <v/>
      </c>
      <c r="G55" s="15" t="str">
        <f t="shared" si="3"/>
        <v/>
      </c>
      <c r="H55" s="16"/>
      <c r="I55" s="16" t="str">
        <f t="shared" si="1"/>
        <v/>
      </c>
      <c r="J55" s="15" t="str">
        <f t="shared" si="2"/>
        <v/>
      </c>
      <c r="K55" s="38"/>
      <c r="L55" s="38"/>
    </row>
    <row r="56" spans="1:12" ht="15.6">
      <c r="A56" s="24" t="str">
        <v>Q231</v>
      </c>
      <c r="B56" s="25" t="str">
        <v>NY</v>
      </c>
      <c r="C56" s="25" t="str">
        <f>Sites[[#This Row],[SOL'#]]</f>
        <v>SOL-10870</v>
      </c>
      <c r="D56" s="20"/>
      <c r="E56" s="10"/>
      <c r="F56" s="10" t="str">
        <f t="shared" si="0"/>
        <v/>
      </c>
      <c r="G56" s="11" t="str">
        <f t="shared" si="3"/>
        <v/>
      </c>
      <c r="H56" s="12"/>
      <c r="I56" s="12" t="str">
        <f t="shared" si="1"/>
        <v/>
      </c>
      <c r="J56" s="13" t="str">
        <f t="shared" si="2"/>
        <v/>
      </c>
      <c r="K56" s="37"/>
      <c r="L56" s="37"/>
    </row>
    <row r="57" spans="1:12" ht="15.6">
      <c r="A57" s="26" t="str">
        <v>Q405</v>
      </c>
      <c r="B57" s="27" t="str">
        <v>NY</v>
      </c>
      <c r="C57" s="25" t="str">
        <f>Sites[[#This Row],[SOL'#]]</f>
        <v>SOL-10409</v>
      </c>
      <c r="D57" s="9"/>
      <c r="E57" s="14"/>
      <c r="F57" s="14" t="str">
        <f t="shared" si="0"/>
        <v/>
      </c>
      <c r="G57" s="15" t="str">
        <f t="shared" si="3"/>
        <v/>
      </c>
      <c r="H57" s="16"/>
      <c r="I57" s="16" t="str">
        <f t="shared" si="1"/>
        <v/>
      </c>
      <c r="J57" s="15" t="str">
        <f t="shared" si="2"/>
        <v/>
      </c>
      <c r="K57" s="38"/>
      <c r="L57" s="38"/>
    </row>
    <row r="58" spans="1:12" ht="15.6">
      <c r="A58" s="24" t="str">
        <v>Q435</v>
      </c>
      <c r="B58" s="25" t="str">
        <v>NY</v>
      </c>
      <c r="C58" s="25" t="str">
        <f>Sites[[#This Row],[SOL'#]]</f>
        <v>SOL-10923</v>
      </c>
      <c r="D58" s="20"/>
      <c r="E58" s="10"/>
      <c r="F58" s="10" t="str">
        <f t="shared" si="0"/>
        <v/>
      </c>
      <c r="G58" s="11" t="str">
        <f t="shared" si="3"/>
        <v/>
      </c>
      <c r="H58" s="12"/>
      <c r="I58" s="12" t="str">
        <f t="shared" si="1"/>
        <v/>
      </c>
      <c r="J58" s="13" t="str">
        <f t="shared" si="2"/>
        <v/>
      </c>
      <c r="K58" s="37"/>
      <c r="L58" s="37"/>
    </row>
    <row r="59" spans="1:12" ht="25.5" customHeight="1">
      <c r="A59" s="26" t="str">
        <v>Q485</v>
      </c>
      <c r="B59" s="27" t="str">
        <v>NY</v>
      </c>
      <c r="C59" s="25" t="str">
        <f>Sites[[#This Row],[SOL'#]]</f>
        <v>SOL-10869</v>
      </c>
      <c r="D59" s="9"/>
      <c r="E59" s="14"/>
      <c r="F59" s="14" t="str">
        <f t="shared" si="0"/>
        <v/>
      </c>
      <c r="G59" s="15" t="str">
        <f t="shared" si="3"/>
        <v/>
      </c>
      <c r="H59" s="16"/>
      <c r="I59" s="16" t="str">
        <f t="shared" si="1"/>
        <v/>
      </c>
      <c r="J59" s="15" t="str">
        <f t="shared" si="2"/>
        <v/>
      </c>
      <c r="K59" s="57"/>
      <c r="L59" s="56"/>
    </row>
    <row r="60" spans="1:12" ht="15.6">
      <c r="A60" s="24" t="str">
        <v>Q490</v>
      </c>
      <c r="B60" s="25" t="str">
        <v>NY</v>
      </c>
      <c r="C60" s="25" t="str">
        <f>Sites[[#This Row],[SOL'#]]</f>
        <v>SOL-10411</v>
      </c>
      <c r="D60" s="20"/>
      <c r="E60" s="10"/>
      <c r="F60" s="10" t="str">
        <f t="shared" si="0"/>
        <v/>
      </c>
      <c r="G60" s="11" t="str">
        <f t="shared" si="3"/>
        <v/>
      </c>
      <c r="H60" s="12"/>
      <c r="I60" s="12" t="str">
        <f t="shared" si="1"/>
        <v/>
      </c>
      <c r="J60" s="13" t="str">
        <f t="shared" si="2"/>
        <v/>
      </c>
      <c r="K60" s="37"/>
      <c r="L60" s="37"/>
    </row>
    <row r="61" spans="1:12" ht="15.6">
      <c r="A61" s="26" t="str">
        <v>Q620</v>
      </c>
      <c r="B61" s="27" t="str">
        <v>NY</v>
      </c>
      <c r="C61" s="25" t="str">
        <f>Sites[[#This Row],[SOL'#]]</f>
        <v>SOL-10867</v>
      </c>
      <c r="D61" s="9"/>
      <c r="E61" s="14"/>
      <c r="F61" s="14" t="str">
        <f t="shared" si="0"/>
        <v/>
      </c>
      <c r="G61" s="15" t="str">
        <f t="shared" si="3"/>
        <v/>
      </c>
      <c r="H61" s="16"/>
      <c r="I61" s="16" t="str">
        <f t="shared" si="1"/>
        <v/>
      </c>
      <c r="J61" s="15" t="str">
        <f t="shared" si="2"/>
        <v/>
      </c>
      <c r="K61" s="38"/>
      <c r="L61" s="38"/>
    </row>
    <row r="62" spans="1:12" ht="15.6">
      <c r="A62" s="24" t="str">
        <v>QMOA</v>
      </c>
      <c r="B62" s="25" t="str">
        <v>NY</v>
      </c>
      <c r="C62" s="25" t="str">
        <f>Sites[[#This Row],[SOL'#]]</f>
        <v>SOL-10415</v>
      </c>
      <c r="D62" s="20"/>
      <c r="E62" s="10"/>
      <c r="F62" s="10" t="str">
        <f t="shared" si="0"/>
        <v/>
      </c>
      <c r="G62" s="11" t="str">
        <f t="shared" si="3"/>
        <v/>
      </c>
      <c r="H62" s="12"/>
      <c r="I62" s="12" t="str">
        <f t="shared" si="1"/>
        <v/>
      </c>
      <c r="J62" s="13" t="str">
        <f t="shared" si="2"/>
        <v/>
      </c>
      <c r="K62" s="37"/>
      <c r="L62" s="37"/>
    </row>
    <row r="63" spans="1:12" ht="15.6">
      <c r="A63" s="26" t="str">
        <v>X024</v>
      </c>
      <c r="B63" s="27" t="str">
        <v>NY</v>
      </c>
      <c r="C63" s="25" t="str">
        <f>Sites[[#This Row],[SOL'#]]</f>
        <v>SOL-10419</v>
      </c>
      <c r="D63" s="9"/>
      <c r="E63" s="14"/>
      <c r="F63" s="14" t="str">
        <f t="shared" si="0"/>
        <v/>
      </c>
      <c r="G63" s="15" t="str">
        <f t="shared" si="3"/>
        <v/>
      </c>
      <c r="H63" s="16"/>
      <c r="I63" s="16" t="str">
        <f t="shared" si="1"/>
        <v/>
      </c>
      <c r="J63" s="15" t="str">
        <f t="shared" si="2"/>
        <v/>
      </c>
      <c r="K63" s="38"/>
      <c r="L63" s="56"/>
    </row>
    <row r="64" spans="1:12" ht="15.6">
      <c r="A64" s="24" t="str">
        <v>X026</v>
      </c>
      <c r="B64" s="25" t="str">
        <v>NY</v>
      </c>
      <c r="C64" s="25" t="str">
        <f>Sites[[#This Row],[SOL'#]]</f>
        <v>SOL-10420</v>
      </c>
      <c r="D64" s="20"/>
      <c r="E64" s="10"/>
      <c r="F64" s="10" t="str">
        <f t="shared" si="0"/>
        <v/>
      </c>
      <c r="G64" s="11" t="str">
        <f t="shared" si="3"/>
        <v/>
      </c>
      <c r="H64" s="12"/>
      <c r="I64" s="12" t="str">
        <f t="shared" si="1"/>
        <v/>
      </c>
      <c r="J64" s="13" t="str">
        <f t="shared" si="2"/>
        <v/>
      </c>
      <c r="K64" s="37"/>
      <c r="L64" s="37"/>
    </row>
    <row r="65" spans="1:12" ht="15.6">
      <c r="A65" s="26" t="str">
        <v>X090</v>
      </c>
      <c r="B65" s="27" t="str">
        <v>NY</v>
      </c>
      <c r="C65" s="25"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13" t="str">
        <f t="shared" si="2"/>
        <v/>
      </c>
      <c r="K66" s="37"/>
      <c r="L66" s="37"/>
    </row>
    <row r="67" spans="1:12" ht="15.6">
      <c r="A67" s="26" t="str">
        <v>X125</v>
      </c>
      <c r="B67" s="27" t="str">
        <v>NY</v>
      </c>
      <c r="C67" s="25" t="str">
        <f>Sites[[#This Row],[SOL'#]]</f>
        <v>SOL-10423</v>
      </c>
      <c r="D67" s="9"/>
      <c r="E67" s="14"/>
      <c r="F67" s="14" t="str">
        <f t="shared" si="0"/>
        <v/>
      </c>
      <c r="G67" s="15" t="str">
        <f t="shared" si="3"/>
        <v/>
      </c>
      <c r="H67" s="16"/>
      <c r="I67" s="16" t="str">
        <f t="shared" si="1"/>
        <v/>
      </c>
      <c r="J67" s="15" t="str">
        <f t="shared" si="2"/>
        <v/>
      </c>
      <c r="K67" s="56"/>
      <c r="L67" s="38"/>
    </row>
    <row r="68" spans="1:12" ht="15.6">
      <c r="A68" s="24" t="str">
        <v>X134</v>
      </c>
      <c r="B68" s="25" t="str">
        <v>NY</v>
      </c>
      <c r="C68" s="25" t="str">
        <f>Sites[[#This Row],[SOL'#]]</f>
        <v>SOL-10424</v>
      </c>
      <c r="D68" s="20"/>
      <c r="E68" s="10"/>
      <c r="F68" s="10" t="str">
        <f t="shared" si="0"/>
        <v/>
      </c>
      <c r="G68" s="11" t="str">
        <f t="shared" si="3"/>
        <v/>
      </c>
      <c r="H68" s="12"/>
      <c r="I68" s="12" t="str">
        <f t="shared" si="1"/>
        <v/>
      </c>
      <c r="J68" s="13" t="str">
        <f t="shared" si="2"/>
        <v/>
      </c>
      <c r="K68" s="37"/>
      <c r="L68" s="37"/>
    </row>
    <row r="69" spans="1:12" ht="15.6">
      <c r="A69" s="26" t="str">
        <v>X135</v>
      </c>
      <c r="B69" s="27" t="str">
        <v>NY</v>
      </c>
      <c r="C69" s="25" t="str">
        <f>Sites[[#This Row],[SOL'#]]</f>
        <v>SOL-10425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13" t="str">
        <f t="shared" si="6"/>
        <v/>
      </c>
      <c r="K70" s="37"/>
      <c r="L70" s="37"/>
    </row>
    <row r="71" spans="1:12" ht="15.6">
      <c r="A71" s="26" t="str">
        <v>X140</v>
      </c>
      <c r="B71" s="27" t="str">
        <v>NY</v>
      </c>
      <c r="C71" s="25" t="str">
        <f>Sites[[#This Row],[SOL'#]]</f>
        <v>SOL-10926</v>
      </c>
      <c r="D71" s="9"/>
      <c r="E71" s="14"/>
      <c r="F71" s="14" t="str">
        <f t="shared" si="4"/>
        <v/>
      </c>
      <c r="G71" s="15" t="str">
        <f t="shared" si="7"/>
        <v/>
      </c>
      <c r="H71" s="16"/>
      <c r="I71" s="16" t="str">
        <f t="shared" si="5"/>
        <v/>
      </c>
      <c r="J71" s="15" t="str">
        <f t="shared" si="6"/>
        <v/>
      </c>
      <c r="K71" s="38"/>
      <c r="L71" s="38"/>
    </row>
    <row r="72" spans="1:12" ht="15.6">
      <c r="A72" s="24" t="str">
        <v>X166</v>
      </c>
      <c r="B72" s="25" t="str">
        <v>NY</v>
      </c>
      <c r="C72" s="25" t="str">
        <f>Sites[[#This Row],[SOL'#]]</f>
        <v>SOL-10427</v>
      </c>
      <c r="D72" s="20"/>
      <c r="E72" s="10"/>
      <c r="F72" s="10" t="str">
        <f t="shared" si="4"/>
        <v/>
      </c>
      <c r="G72" s="11" t="str">
        <f t="shared" si="7"/>
        <v/>
      </c>
      <c r="H72" s="12"/>
      <c r="I72" s="12" t="str">
        <f t="shared" si="5"/>
        <v/>
      </c>
      <c r="J72" s="13" t="str">
        <f t="shared" si="6"/>
        <v/>
      </c>
      <c r="K72" s="37"/>
      <c r="L72" s="37"/>
    </row>
    <row r="73" spans="1:12" ht="15.6">
      <c r="A73" s="26" t="str">
        <v>Murphy</v>
      </c>
      <c r="B73" s="27" t="str">
        <v>MN</v>
      </c>
      <c r="C73" s="25" t="str">
        <f>Sites[[#This Row],[SOL'#]]</f>
        <v>SOL-10094</v>
      </c>
      <c r="D73" s="9"/>
      <c r="E73" s="14"/>
      <c r="F73" s="14" t="str">
        <f t="shared" si="4"/>
        <v/>
      </c>
      <c r="G73" s="15" t="str">
        <f t="shared" si="7"/>
        <v/>
      </c>
      <c r="H73" s="16"/>
      <c r="I73" s="16" t="str">
        <f t="shared" si="5"/>
        <v/>
      </c>
      <c r="J73" s="15" t="str">
        <f t="shared" si="6"/>
        <v/>
      </c>
      <c r="K73" s="38"/>
      <c r="L73" s="38"/>
    </row>
    <row r="74" spans="1:12" ht="15.6">
      <c r="A74" s="24" t="str">
        <v>Terning</v>
      </c>
      <c r="B74" s="25" t="str">
        <v>MN</v>
      </c>
      <c r="C74" s="25" t="str">
        <f>Sites[[#This Row],[SOL'#]]</f>
        <v>SOL-10093</v>
      </c>
      <c r="D74" s="20"/>
      <c r="E74" s="10"/>
      <c r="F74" s="10" t="str">
        <f t="shared" si="4"/>
        <v/>
      </c>
      <c r="G74" s="11" t="str">
        <f t="shared" si="7"/>
        <v/>
      </c>
      <c r="H74" s="12"/>
      <c r="I74" s="12" t="str">
        <f t="shared" si="5"/>
        <v/>
      </c>
      <c r="J74" s="13" t="str">
        <f t="shared" si="6"/>
        <v/>
      </c>
      <c r="K74" s="37"/>
      <c r="L74" s="37"/>
    </row>
    <row r="75" spans="1:12" ht="45" customHeight="1">
      <c r="A75" s="26" t="str">
        <v>Boas Road 04</v>
      </c>
      <c r="B75" s="27" t="str">
        <v>NY</v>
      </c>
      <c r="C75" s="25" t="str">
        <f>Sites[[#This Row],[SOL'#]]</f>
        <v>SOL-10908</v>
      </c>
      <c r="D75" s="9"/>
      <c r="E75" s="14"/>
      <c r="F75" s="14" t="str">
        <f t="shared" si="4"/>
        <v/>
      </c>
      <c r="G75" s="15" t="str">
        <f t="shared" si="7"/>
        <v/>
      </c>
      <c r="H75" s="16"/>
      <c r="I75" s="16" t="str">
        <f t="shared" si="5"/>
        <v/>
      </c>
      <c r="J75" s="15" t="str">
        <f t="shared" si="6"/>
        <v/>
      </c>
      <c r="K75" s="56"/>
      <c r="L75" s="56"/>
    </row>
    <row r="76" spans="1:12" ht="15.6">
      <c r="A76" s="24" t="str">
        <v>Kelly Bridge Farm</v>
      </c>
      <c r="B76" s="25" t="str">
        <v>NY</v>
      </c>
      <c r="C76" s="25" t="str">
        <f>Sites[[#This Row],[SOL'#]]</f>
        <v>SOL-10911</v>
      </c>
      <c r="D76" s="60"/>
      <c r="E76" s="10"/>
      <c r="F76" s="10" t="str">
        <f t="shared" si="4"/>
        <v/>
      </c>
      <c r="G76" s="11" t="str">
        <f t="shared" si="7"/>
        <v/>
      </c>
      <c r="H76" s="12"/>
      <c r="I76" s="12" t="str">
        <f t="shared" si="5"/>
        <v/>
      </c>
      <c r="J76" s="13" t="str">
        <f t="shared" si="6"/>
        <v/>
      </c>
      <c r="K76" s="37"/>
      <c r="L76" s="37"/>
    </row>
    <row r="77" spans="1:12" ht="21.75" customHeight="1">
      <c r="A77" s="26" t="str">
        <v>Pool Brook Road</v>
      </c>
      <c r="B77" s="27" t="str">
        <v>NY</v>
      </c>
      <c r="C77" s="25" t="str">
        <f>Sites[[#This Row],[SOL'#]]</f>
        <v>SOL-10909</v>
      </c>
      <c r="D77" s="9"/>
      <c r="E77" s="14"/>
      <c r="F77" s="14" t="str">
        <f t="shared" si="4"/>
        <v/>
      </c>
      <c r="G77" s="15" t="str">
        <f t="shared" si="7"/>
        <v/>
      </c>
      <c r="H77" s="16"/>
      <c r="I77" s="16" t="str">
        <f t="shared" si="5"/>
        <v/>
      </c>
      <c r="J77" s="15" t="str">
        <f t="shared" si="6"/>
        <v/>
      </c>
      <c r="K77" s="38"/>
      <c r="L77" s="38"/>
    </row>
    <row r="78" spans="1:12" ht="15.6">
      <c r="A78" s="24" t="str">
        <v>Sackett Lake</v>
      </c>
      <c r="B78" s="25" t="str">
        <v>NY</v>
      </c>
      <c r="C78" s="25" t="str">
        <f>Sites[[#This Row],[SOL'#]]</f>
        <v>SOL-10910</v>
      </c>
      <c r="D78" s="20"/>
      <c r="E78" s="10"/>
      <c r="F78" s="10" t="str">
        <f t="shared" si="4"/>
        <v/>
      </c>
      <c r="G78" s="11" t="str">
        <f t="shared" si="7"/>
        <v/>
      </c>
      <c r="H78" s="12"/>
      <c r="I78" s="12" t="str">
        <f t="shared" si="5"/>
        <v/>
      </c>
      <c r="J78" s="13" t="str">
        <f t="shared" si="6"/>
        <v/>
      </c>
      <c r="K78" s="37"/>
      <c r="L78" s="37"/>
    </row>
    <row r="79" spans="1:12" ht="15.6">
      <c r="A79" s="26" t="str">
        <v>Burritt Road</v>
      </c>
      <c r="B79" s="27" t="str">
        <v>NY</v>
      </c>
      <c r="C79" s="25" t="str">
        <f>Sites[[#This Row],[SOL'#]]</f>
        <v>SOL-10913</v>
      </c>
      <c r="D79" s="9"/>
      <c r="E79" s="14"/>
      <c r="F79" s="14" t="str">
        <f t="shared" si="4"/>
        <v/>
      </c>
      <c r="G79" s="15" t="str">
        <f t="shared" si="7"/>
        <v/>
      </c>
      <c r="H79" s="16"/>
      <c r="I79" s="16" t="str">
        <f t="shared" si="5"/>
        <v/>
      </c>
      <c r="J79" s="15" t="str">
        <f t="shared" si="6"/>
        <v/>
      </c>
      <c r="K79" s="38"/>
      <c r="L79" s="95"/>
    </row>
    <row r="80" spans="1:12" ht="15.6">
      <c r="A80" s="24" t="str">
        <v>Villa Roma 1</v>
      </c>
      <c r="B80" s="25" t="str">
        <v>NY</v>
      </c>
      <c r="C80" s="25" t="str">
        <f>Sites[[#This Row],[SOL'#]]</f>
        <v>SOL-10914</v>
      </c>
      <c r="D80" s="20"/>
      <c r="E80" s="10"/>
      <c r="F80" s="10" t="str">
        <f t="shared" si="4"/>
        <v/>
      </c>
      <c r="G80" s="11" t="str">
        <f t="shared" si="7"/>
        <v/>
      </c>
      <c r="H80" s="12"/>
      <c r="I80" s="12" t="str">
        <f t="shared" si="5"/>
        <v/>
      </c>
      <c r="J80" s="13" t="str">
        <f t="shared" si="6"/>
        <v/>
      </c>
      <c r="K80" s="37"/>
      <c r="L80" s="37"/>
    </row>
    <row r="81" spans="1:12" ht="15.6">
      <c r="A81" s="26" t="str">
        <v>Villa Roma 2</v>
      </c>
      <c r="B81" s="27" t="str">
        <v>NY</v>
      </c>
      <c r="C81" s="25" t="str">
        <f>Sites[[#This Row],[SOL'#]]</f>
        <v>SOL-10915</v>
      </c>
      <c r="D81" s="9"/>
      <c r="E81" s="14"/>
      <c r="F81" s="14" t="str">
        <f t="shared" si="4"/>
        <v/>
      </c>
      <c r="G81" s="15" t="str">
        <f t="shared" si="7"/>
        <v/>
      </c>
      <c r="H81" s="16"/>
      <c r="I81" s="16" t="str">
        <f t="shared" si="5"/>
        <v/>
      </c>
      <c r="J81" s="15" t="str">
        <f t="shared" si="6"/>
        <v/>
      </c>
      <c r="K81" s="38"/>
      <c r="L81" s="94"/>
    </row>
    <row r="82" spans="1:12" ht="19.5" customHeight="1">
      <c r="A82" s="24" t="str">
        <v>Washington 1</v>
      </c>
      <c r="B82" s="25" t="str">
        <v>NY</v>
      </c>
      <c r="C82" s="25" t="str">
        <f>Sites[[#This Row],[SOL'#]]</f>
        <v>SOL-10912</v>
      </c>
      <c r="D82" s="20"/>
      <c r="E82" s="10"/>
      <c r="F82" s="10" t="str">
        <f t="shared" si="4"/>
        <v/>
      </c>
      <c r="G82" s="11" t="str">
        <f t="shared" si="7"/>
        <v/>
      </c>
      <c r="H82" s="12"/>
      <c r="I82" s="12" t="str">
        <f t="shared" si="5"/>
        <v/>
      </c>
      <c r="J82" s="13" t="str">
        <f t="shared" si="6"/>
        <v/>
      </c>
      <c r="K82" s="37"/>
      <c r="L82" s="37"/>
    </row>
    <row r="83" spans="1:12" ht="15.6">
      <c r="A83" s="26" t="str">
        <v>Washington 3</v>
      </c>
      <c r="B83" s="27" t="str">
        <v>NY</v>
      </c>
      <c r="C83" s="25" t="str">
        <f>Sites[[#This Row],[SOL'#]]</f>
        <v>SOL-10828</v>
      </c>
      <c r="D83" s="9"/>
      <c r="E83" s="14"/>
      <c r="F83" s="14" t="str">
        <f t="shared" si="4"/>
        <v/>
      </c>
      <c r="G83" s="15" t="str">
        <f t="shared" si="7"/>
        <v/>
      </c>
      <c r="H83" s="16"/>
      <c r="I83" s="16" t="str">
        <f t="shared" si="5"/>
        <v/>
      </c>
      <c r="J83" s="15" t="str">
        <f t="shared" si="6"/>
        <v/>
      </c>
      <c r="K83" s="38"/>
      <c r="L83" s="109"/>
    </row>
    <row r="84" spans="1:12" ht="15.6">
      <c r="A84" s="24" t="str">
        <v>Washington 4</v>
      </c>
      <c r="B84" s="25" t="str">
        <v>NY</v>
      </c>
      <c r="C84" s="25" t="str">
        <f>Sites[[#This Row],[SOL'#]]</f>
        <v>SOL-10829</v>
      </c>
      <c r="D84" s="20"/>
      <c r="E84" s="10"/>
      <c r="F84" s="10" t="str">
        <f t="shared" si="4"/>
        <v/>
      </c>
      <c r="G84" s="11" t="str">
        <f t="shared" si="7"/>
        <v/>
      </c>
      <c r="H84" s="12"/>
      <c r="I84" s="12" t="str">
        <f t="shared" si="5"/>
        <v/>
      </c>
      <c r="J84" s="13" t="str">
        <f t="shared" si="6"/>
        <v/>
      </c>
      <c r="K84" s="37"/>
      <c r="L84" s="37"/>
    </row>
    <row r="85" spans="1:12" ht="15.6">
      <c r="A85" s="26" t="str">
        <v>Big Tree</v>
      </c>
      <c r="B85" s="27" t="str">
        <v>NY</v>
      </c>
      <c r="C85" s="25" t="str">
        <f>Sites[[#This Row],[SOL'#]]</f>
        <v>SOL-10966</v>
      </c>
      <c r="D85" s="9"/>
      <c r="E85" s="14"/>
      <c r="F85" s="14" t="str">
        <f t="shared" si="4"/>
        <v/>
      </c>
      <c r="G85" s="15" t="str">
        <f t="shared" si="7"/>
        <v/>
      </c>
      <c r="H85" s="16"/>
      <c r="I85" s="16" t="str">
        <f t="shared" si="5"/>
        <v/>
      </c>
      <c r="J85" s="15" t="str">
        <f t="shared" si="6"/>
        <v/>
      </c>
      <c r="K85" s="38"/>
      <c r="L85" s="94"/>
    </row>
    <row r="86" spans="1:12" ht="47.25" customHeight="1">
      <c r="A86" s="24" t="str">
        <v>Canoga</v>
      </c>
      <c r="B86" s="25" t="str">
        <v>NY</v>
      </c>
      <c r="C86" s="25" t="str">
        <f>Sites[[#This Row],[SOL'#]]</f>
        <v>SOL-10965</v>
      </c>
      <c r="D86" s="20"/>
      <c r="E86" s="10"/>
      <c r="F86" s="10" t="str">
        <f t="shared" si="4"/>
        <v/>
      </c>
      <c r="G86" s="11" t="str">
        <f t="shared" si="7"/>
        <v/>
      </c>
      <c r="H86" s="12"/>
      <c r="I86" s="12" t="str">
        <f t="shared" si="5"/>
        <v/>
      </c>
      <c r="J86" s="13" t="str">
        <f t="shared" si="6"/>
        <v/>
      </c>
      <c r="K86" s="37"/>
      <c r="L86" s="37"/>
    </row>
    <row r="87" spans="1:12" ht="15.6">
      <c r="A87" s="26" t="str">
        <v>County Route 84</v>
      </c>
      <c r="B87" s="27" t="str">
        <v>NY</v>
      </c>
      <c r="C87" s="25" t="str">
        <f>Sites[[#This Row],[SOL'#]]</f>
        <v>SOL-10967</v>
      </c>
      <c r="D87" s="9"/>
      <c r="E87" s="14"/>
      <c r="F87" s="14" t="str">
        <f t="shared" si="4"/>
        <v/>
      </c>
      <c r="G87" s="15" t="str">
        <f t="shared" si="7"/>
        <v/>
      </c>
      <c r="H87" s="16"/>
      <c r="I87" s="16" t="str">
        <f t="shared" si="5"/>
        <v/>
      </c>
      <c r="J87" s="15" t="str">
        <f t="shared" si="6"/>
        <v/>
      </c>
      <c r="K87" s="38"/>
      <c r="L87" s="109"/>
    </row>
    <row r="88" spans="1:12" ht="15.6">
      <c r="A88" s="24" t="str">
        <v>Donati</v>
      </c>
      <c r="B88" s="25" t="str">
        <v>NY</v>
      </c>
      <c r="C88" s="25" t="str">
        <f>Sites[[#This Row],[SOL'#]]</f>
        <v>SOL-10968</v>
      </c>
      <c r="D88" s="20"/>
      <c r="E88" s="10"/>
      <c r="F88" s="10" t="str">
        <f t="shared" si="4"/>
        <v/>
      </c>
      <c r="G88" s="11" t="str">
        <f t="shared" si="7"/>
        <v/>
      </c>
      <c r="H88" s="12"/>
      <c r="I88" s="12" t="str">
        <f t="shared" si="5"/>
        <v/>
      </c>
      <c r="J88" s="13" t="str">
        <f t="shared" si="6"/>
        <v/>
      </c>
      <c r="K88" s="37"/>
      <c r="L88" s="37"/>
    </row>
    <row r="89" spans="1:12" ht="15.6">
      <c r="A89" s="26" t="str">
        <v>Henrietta</v>
      </c>
      <c r="B89" s="27" t="str">
        <v>NY</v>
      </c>
      <c r="C89" s="25"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13" t="str">
        <f t="shared" si="6"/>
        <v/>
      </c>
      <c r="K90" s="37"/>
      <c r="L90" s="37"/>
    </row>
    <row r="91" spans="1:12" ht="15.6">
      <c r="A91" s="26" t="str">
        <v>Reid</v>
      </c>
      <c r="B91" s="27" t="str">
        <v>NY</v>
      </c>
      <c r="C91" s="25" t="str">
        <f>Sites[[#This Row],[SOL'#]]</f>
        <v>SOL-10991</v>
      </c>
      <c r="D91" s="9"/>
      <c r="E91" s="14"/>
      <c r="F91" s="14" t="str">
        <f t="shared" si="4"/>
        <v/>
      </c>
      <c r="G91" s="15" t="str">
        <f t="shared" si="7"/>
        <v/>
      </c>
      <c r="H91" s="16"/>
      <c r="I91" s="16" t="str">
        <f t="shared" si="5"/>
        <v/>
      </c>
      <c r="J91" s="15" t="str">
        <f t="shared" si="6"/>
        <v/>
      </c>
      <c r="K91" s="38"/>
      <c r="L91" s="38"/>
    </row>
    <row r="92" spans="1:12" ht="15.6">
      <c r="A92" s="24" t="str">
        <v>Sangolqui</v>
      </c>
      <c r="B92" s="25" t="str">
        <v>NY</v>
      </c>
      <c r="C92" s="25" t="str">
        <f>Sites[[#This Row],[SOL'#]]</f>
        <v>SOL-10975</v>
      </c>
      <c r="D92" s="20"/>
      <c r="E92" s="10"/>
      <c r="F92" s="10" t="str">
        <f t="shared" si="4"/>
        <v/>
      </c>
      <c r="G92" s="11" t="str">
        <f t="shared" si="7"/>
        <v/>
      </c>
      <c r="H92" s="12"/>
      <c r="I92" s="12" t="str">
        <f t="shared" si="5"/>
        <v/>
      </c>
      <c r="J92" s="13" t="str">
        <f t="shared" si="6"/>
        <v/>
      </c>
      <c r="K92" s="37"/>
      <c r="L92" s="37"/>
    </row>
    <row r="93" spans="1:12" ht="15.6">
      <c r="A93" s="26" t="str">
        <v>State Highway 17B</v>
      </c>
      <c r="B93" s="27" t="str">
        <v>NY</v>
      </c>
      <c r="C93" s="25" t="str">
        <f>Sites[[#This Row],[SOL'#]]</f>
        <v>SOL-10988</v>
      </c>
      <c r="D93" s="9"/>
      <c r="E93" s="14"/>
      <c r="F93" s="14" t="str">
        <f t="shared" si="4"/>
        <v/>
      </c>
      <c r="G93" s="15" t="str">
        <f t="shared" si="7"/>
        <v/>
      </c>
      <c r="H93" s="16"/>
      <c r="I93" s="16" t="str">
        <f t="shared" si="5"/>
        <v/>
      </c>
      <c r="J93" s="15" t="str">
        <f t="shared" si="6"/>
        <v/>
      </c>
      <c r="K93" s="38"/>
      <c r="L93" s="57"/>
    </row>
    <row r="94" spans="1:12" ht="15.6">
      <c r="A94" s="24" t="str">
        <v>State Route 14A</v>
      </c>
      <c r="B94" s="25" t="str">
        <v>NY</v>
      </c>
      <c r="C94" s="25" t="str">
        <f>Sites[[#This Row],[SOL'#]]</f>
        <v>SOL-10997</v>
      </c>
      <c r="D94" s="20"/>
      <c r="E94" s="10"/>
      <c r="F94" s="10" t="str">
        <f t="shared" si="4"/>
        <v/>
      </c>
      <c r="G94" s="11" t="str">
        <f t="shared" si="7"/>
        <v/>
      </c>
      <c r="H94" s="12"/>
      <c r="I94" s="12" t="str">
        <f t="shared" si="5"/>
        <v/>
      </c>
      <c r="J94" s="13" t="str">
        <f t="shared" si="6"/>
        <v/>
      </c>
      <c r="K94" s="37"/>
      <c r="L94" s="37"/>
    </row>
    <row r="95" spans="1:12" ht="15.6">
      <c r="A95" s="26" t="str">
        <v>West Creek</v>
      </c>
      <c r="B95" s="27" t="str">
        <v>NY</v>
      </c>
      <c r="C95" s="25" t="str">
        <f>Sites[[#This Row],[SOL'#]]</f>
        <v>SOL-10995</v>
      </c>
      <c r="D95" s="9"/>
      <c r="E95" s="14"/>
      <c r="F95" s="14" t="str">
        <f t="shared" si="4"/>
        <v/>
      </c>
      <c r="G95" s="15" t="str">
        <f t="shared" si="7"/>
        <v/>
      </c>
      <c r="H95" s="16"/>
      <c r="I95" s="16" t="str">
        <f t="shared" si="5"/>
        <v/>
      </c>
      <c r="J95" s="15" t="str">
        <f t="shared" si="6"/>
        <v/>
      </c>
      <c r="K95" s="38"/>
      <c r="L95" s="38"/>
    </row>
    <row r="96" spans="1:12" ht="15.6">
      <c r="A96" s="24" t="str">
        <v>Wildflower</v>
      </c>
      <c r="B96" s="25" t="str">
        <v>NY</v>
      </c>
      <c r="C96" s="25" t="str">
        <f>Sites[[#This Row],[SOL'#]]</f>
        <v>SOL-10982</v>
      </c>
      <c r="D96" s="20"/>
      <c r="E96" s="10"/>
      <c r="F96" s="10" t="str">
        <f t="shared" si="4"/>
        <v/>
      </c>
      <c r="G96" s="11" t="str">
        <f t="shared" si="7"/>
        <v/>
      </c>
      <c r="H96" s="12"/>
      <c r="I96" s="12" t="str">
        <f t="shared" si="5"/>
        <v/>
      </c>
      <c r="J96" s="13" t="str">
        <f t="shared" si="6"/>
        <v/>
      </c>
      <c r="K96" s="37"/>
      <c r="L96" s="37"/>
    </row>
    <row r="97" spans="1:12" ht="15.6">
      <c r="A97" s="26" t="str">
        <v>Glen Mary 1</v>
      </c>
      <c r="B97" s="27" t="str">
        <v>NY</v>
      </c>
      <c r="C97" s="25" t="str">
        <f>Sites[[#This Row],[SOL'#]]</f>
        <v>SOL-10993</v>
      </c>
      <c r="D97" s="9"/>
      <c r="E97" s="14"/>
      <c r="F97" s="14" t="str">
        <f t="shared" si="4"/>
        <v/>
      </c>
      <c r="G97" s="15" t="str">
        <f t="shared" si="7"/>
        <v/>
      </c>
      <c r="H97" s="16"/>
      <c r="I97" s="16" t="str">
        <f t="shared" si="5"/>
        <v/>
      </c>
      <c r="J97" s="15" t="str">
        <f t="shared" si="6"/>
        <v/>
      </c>
      <c r="K97" s="38"/>
      <c r="L97" s="38"/>
    </row>
    <row r="98" spans="1:12" ht="15.6">
      <c r="A98" s="24" t="str">
        <v>Glen Mary 2</v>
      </c>
      <c r="B98" s="25" t="str">
        <v>NY</v>
      </c>
      <c r="C98" s="25" t="str">
        <f>Sites[[#This Row],[SOL'#]]</f>
        <v>SOL-10994</v>
      </c>
      <c r="D98" s="20"/>
      <c r="E98" s="10"/>
      <c r="F98" s="10" t="str">
        <f t="shared" si="4"/>
        <v/>
      </c>
      <c r="G98" s="11" t="str">
        <f t="shared" si="7"/>
        <v/>
      </c>
      <c r="H98" s="12"/>
      <c r="I98" s="12" t="str">
        <f t="shared" si="5"/>
        <v/>
      </c>
      <c r="J98" s="13" t="str">
        <f t="shared" si="6"/>
        <v/>
      </c>
      <c r="K98" s="37"/>
      <c r="L98" s="37"/>
    </row>
    <row r="99" spans="1:12" ht="15.6">
      <c r="A99" s="26" t="str">
        <v>Telegraph 1</v>
      </c>
      <c r="B99" s="27" t="str">
        <v>NY</v>
      </c>
      <c r="C99" s="25" t="str">
        <f>Sites[[#This Row],[SOL'#]]</f>
        <v>SOL-11003</v>
      </c>
      <c r="D99" s="9"/>
      <c r="E99" s="14"/>
      <c r="F99" s="14" t="str">
        <f t="shared" si="4"/>
        <v/>
      </c>
      <c r="G99" s="15" t="str">
        <f t="shared" si="7"/>
        <v/>
      </c>
      <c r="H99" s="16"/>
      <c r="I99" s="16" t="str">
        <f t="shared" si="5"/>
        <v/>
      </c>
      <c r="J99" s="15" t="str">
        <f t="shared" si="6"/>
        <v/>
      </c>
      <c r="K99" s="57"/>
      <c r="L99" s="57"/>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13" t="str">
        <f t="shared" si="6"/>
        <v/>
      </c>
      <c r="K100" s="37"/>
      <c r="L100" s="37"/>
    </row>
    <row r="101" spans="1:12" ht="15.6">
      <c r="A101" s="26" t="str">
        <v>Cafferty Hill</v>
      </c>
      <c r="B101" s="27" t="str">
        <v>NY</v>
      </c>
      <c r="C101" s="25" t="str">
        <f>Sites[[#This Row],[SOL'#]]</f>
        <v>SOL-10996</v>
      </c>
      <c r="D101" s="9"/>
      <c r="E101" s="14"/>
      <c r="F101" s="14" t="str">
        <f t="shared" si="4"/>
        <v/>
      </c>
      <c r="G101" s="15" t="str">
        <f t="shared" si="7"/>
        <v/>
      </c>
      <c r="H101" s="16"/>
      <c r="I101" s="16" t="str">
        <f t="shared" si="5"/>
        <v/>
      </c>
      <c r="J101" s="15" t="str">
        <f t="shared" si="6"/>
        <v/>
      </c>
      <c r="K101" s="38"/>
      <c r="L101" s="57"/>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13" t="str">
        <f t="shared" si="6"/>
        <v/>
      </c>
      <c r="K102" s="37"/>
      <c r="L102" s="37"/>
    </row>
    <row r="103" spans="1:12" ht="15.6">
      <c r="A103" s="26" t="str">
        <v>Route 19 1</v>
      </c>
      <c r="B103" s="27" t="str">
        <v>NY</v>
      </c>
      <c r="C103" s="25" t="str">
        <f>Sites[[#This Row],[SOL'#]]</f>
        <v>SOL-11001</v>
      </c>
      <c r="D103" s="9"/>
      <c r="E103" s="14"/>
      <c r="F103" s="14" t="str">
        <f t="shared" si="4"/>
        <v/>
      </c>
      <c r="G103" s="15" t="str">
        <f t="shared" si="7"/>
        <v/>
      </c>
      <c r="H103" s="16"/>
      <c r="I103" s="16" t="str">
        <f t="shared" si="5"/>
        <v/>
      </c>
      <c r="J103" s="15" t="str">
        <f t="shared" si="6"/>
        <v/>
      </c>
      <c r="K103" s="38"/>
      <c r="L103" s="57"/>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13" t="str">
        <f t="shared" si="6"/>
        <v/>
      </c>
      <c r="K104" s="37"/>
      <c r="L104" s="37"/>
    </row>
    <row r="105" spans="1:12" ht="15.6">
      <c r="A105" s="26" t="str">
        <v>Yellow Mills 1</v>
      </c>
      <c r="B105" s="27" t="str">
        <v>NY</v>
      </c>
      <c r="C105" s="25" t="str">
        <f>Sites[[#This Row],[SOL'#]]</f>
        <v>SOL-11006</v>
      </c>
      <c r="D105" s="9"/>
      <c r="E105" s="14"/>
      <c r="F105" s="14" t="str">
        <f t="shared" si="4"/>
        <v/>
      </c>
      <c r="G105" s="15" t="str">
        <f t="shared" si="7"/>
        <v/>
      </c>
      <c r="H105" s="16"/>
      <c r="I105" s="16" t="str">
        <f t="shared" si="5"/>
        <v/>
      </c>
      <c r="J105" s="15" t="str">
        <f t="shared" si="6"/>
        <v/>
      </c>
      <c r="K105" s="38"/>
      <c r="L105" s="38"/>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13" t="str">
        <f t="shared" si="6"/>
        <v/>
      </c>
      <c r="K106" s="37"/>
      <c r="L106" s="37"/>
    </row>
    <row r="107" spans="1:12" ht="15.6">
      <c r="A107" s="26" t="str">
        <v>Yellow Mills 3</v>
      </c>
      <c r="B107" s="27" t="str">
        <v>NY</v>
      </c>
      <c r="C107" s="25" t="str">
        <f>Sites[[#This Row],[SOL'#]]</f>
        <v>SOL-11007</v>
      </c>
      <c r="D107" s="9"/>
      <c r="E107" s="14"/>
      <c r="F107" s="14" t="str">
        <f t="shared" si="4"/>
        <v/>
      </c>
      <c r="G107" s="15" t="str">
        <f t="shared" si="7"/>
        <v/>
      </c>
      <c r="H107" s="16"/>
      <c r="I107" s="16" t="str">
        <f t="shared" si="5"/>
        <v/>
      </c>
      <c r="J107" s="15" t="str">
        <f t="shared" si="6"/>
        <v/>
      </c>
      <c r="K107" s="38"/>
      <c r="L107" s="57"/>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13" t="str">
        <f t="shared" si="6"/>
        <v/>
      </c>
      <c r="K108" s="37"/>
      <c r="L108" s="37"/>
    </row>
    <row r="109" spans="1:12" ht="15.6">
      <c r="A109" s="26" t="str">
        <v>Eddy Ridge</v>
      </c>
      <c r="B109" s="27" t="str">
        <v>NY</v>
      </c>
      <c r="C109" s="25" t="str">
        <f>Sites[[#This Row],[SOL'#]]</f>
        <v>SOL-11054</v>
      </c>
      <c r="D109" s="9"/>
      <c r="E109" s="14"/>
      <c r="F109" s="14" t="str">
        <f t="shared" si="4"/>
        <v/>
      </c>
      <c r="G109" s="15" t="str">
        <f t="shared" si="7"/>
        <v/>
      </c>
      <c r="H109" s="16"/>
      <c r="I109" s="16" t="str">
        <f t="shared" si="5"/>
        <v/>
      </c>
      <c r="J109" s="15" t="str">
        <f t="shared" si="6"/>
        <v/>
      </c>
      <c r="K109" s="38"/>
      <c r="L109" s="57"/>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13" t="str">
        <f t="shared" si="6"/>
        <v/>
      </c>
      <c r="K110" s="37"/>
      <c r="L110" s="37"/>
    </row>
    <row r="111" spans="1:12" ht="15.6">
      <c r="A111" s="26" t="str">
        <v>Rivard 1</v>
      </c>
      <c r="B111" s="27" t="str">
        <v>NY</v>
      </c>
      <c r="C111" s="25" t="str">
        <f>Sites[[#This Row],[SOL'#]]</f>
        <v>SOL-11011</v>
      </c>
      <c r="D111" s="9"/>
      <c r="E111" s="14"/>
      <c r="F111" s="14" t="str">
        <f t="shared" si="4"/>
        <v/>
      </c>
      <c r="G111" s="15" t="str">
        <f t="shared" si="7"/>
        <v/>
      </c>
      <c r="H111" s="16"/>
      <c r="I111" s="16" t="str">
        <f t="shared" si="5"/>
        <v/>
      </c>
      <c r="J111" s="15" t="str">
        <f t="shared" si="6"/>
        <v/>
      </c>
      <c r="K111" s="38"/>
      <c r="L111" s="38"/>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13" t="str">
        <f t="shared" si="6"/>
        <v/>
      </c>
      <c r="K112" s="37"/>
      <c r="L112" s="37"/>
    </row>
    <row r="113" spans="1:12" ht="15.6">
      <c r="A113" s="26" t="str">
        <v>Essex</v>
      </c>
      <c r="B113" s="27" t="str">
        <v>DC</v>
      </c>
      <c r="C113" s="25" t="str">
        <f>Sites[[#This Row],[SOL'#]]</f>
        <v>SOL-10036</v>
      </c>
      <c r="D113" s="9"/>
      <c r="E113" s="14"/>
      <c r="F113" s="14" t="str">
        <f t="shared" si="4"/>
        <v/>
      </c>
      <c r="G113" s="15" t="str">
        <f t="shared" si="7"/>
        <v/>
      </c>
      <c r="H113" s="16"/>
      <c r="I113" s="16" t="str">
        <f t="shared" si="5"/>
        <v/>
      </c>
      <c r="J113" s="15" t="str">
        <f t="shared" si="6"/>
        <v/>
      </c>
      <c r="K113" s="38"/>
      <c r="L113" s="38"/>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13" t="str">
        <f t="shared" si="6"/>
        <v/>
      </c>
      <c r="K114" s="37"/>
      <c r="L114" s="37"/>
    </row>
    <row r="115" spans="1:12" ht="15.6">
      <c r="A115" s="26" t="str">
        <v>Weinberg Commons #1</v>
      </c>
      <c r="B115" s="27" t="str">
        <v>DC</v>
      </c>
      <c r="C115" s="25" t="str">
        <f>Sites[[#This Row],[SOL'#]]</f>
        <v>SOL-10039</v>
      </c>
      <c r="D115" s="9"/>
      <c r="E115" s="14"/>
      <c r="F115" s="14" t="str">
        <f t="shared" si="4"/>
        <v/>
      </c>
      <c r="G115" s="15" t="str">
        <f t="shared" si="7"/>
        <v/>
      </c>
      <c r="H115" s="16"/>
      <c r="I115" s="16" t="str">
        <f t="shared" si="5"/>
        <v/>
      </c>
      <c r="J115" s="15" t="str">
        <f t="shared" si="6"/>
        <v/>
      </c>
      <c r="K115" s="38"/>
      <c r="L115" s="38"/>
    </row>
    <row r="116" spans="1:12" ht="15.6">
      <c r="A116" s="24" t="str">
        <v>Weinberg Commons #2</v>
      </c>
      <c r="B116" s="25" t="str">
        <v>DC</v>
      </c>
      <c r="C116" s="25" t="str">
        <f>Sites[[#This Row],[SOL'#]]</f>
        <v>SOL-10045</v>
      </c>
      <c r="D116" s="20"/>
      <c r="E116" s="10"/>
      <c r="F116" s="10" t="str">
        <f t="shared" si="4"/>
        <v/>
      </c>
      <c r="G116" s="11" t="str">
        <f t="shared" si="7"/>
        <v/>
      </c>
      <c r="H116" s="12"/>
      <c r="I116" s="12" t="str">
        <f t="shared" si="5"/>
        <v/>
      </c>
      <c r="J116" s="13" t="str">
        <f t="shared" si="6"/>
        <v/>
      </c>
      <c r="K116" s="37"/>
      <c r="L116" s="37"/>
    </row>
    <row r="117" spans="1:12" ht="15.6">
      <c r="A117" s="26" t="str">
        <v>Weinberg Commons #3</v>
      </c>
      <c r="B117" s="27" t="str">
        <v>DC</v>
      </c>
      <c r="C117" s="25" t="str">
        <f>Sites[[#This Row],[SOL'#]]</f>
        <v>SOL-10042</v>
      </c>
      <c r="D117" s="9"/>
      <c r="E117" s="14"/>
      <c r="F117" s="14" t="str">
        <f t="shared" si="4"/>
        <v/>
      </c>
      <c r="G117" s="15" t="str">
        <f t="shared" si="7"/>
        <v/>
      </c>
      <c r="H117" s="16"/>
      <c r="I117" s="16" t="str">
        <f t="shared" si="5"/>
        <v/>
      </c>
      <c r="J117" s="15" t="str">
        <f t="shared" si="6"/>
        <v/>
      </c>
      <c r="K117" s="38"/>
      <c r="L117" s="38"/>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13" t="str">
        <f t="shared" si="6"/>
        <v/>
      </c>
      <c r="K118" s="37"/>
      <c r="L118" s="37"/>
    </row>
    <row r="119" spans="1:12" ht="15.6">
      <c r="A119" s="26" t="str">
        <v>Field House</v>
      </c>
      <c r="B119" s="27" t="str">
        <v>DE</v>
      </c>
      <c r="C119" s="25" t="str">
        <f>Sites[[#This Row],[SOL'#]]</f>
        <v>SOL-10821</v>
      </c>
      <c r="D119" s="9"/>
      <c r="E119" s="14"/>
      <c r="F119" s="14" t="str">
        <f t="shared" si="4"/>
        <v/>
      </c>
      <c r="G119" s="15" t="str">
        <f t="shared" si="7"/>
        <v/>
      </c>
      <c r="H119" s="16"/>
      <c r="I119" s="16" t="str">
        <f t="shared" si="5"/>
        <v/>
      </c>
      <c r="J119" s="15" t="str">
        <f t="shared" si="6"/>
        <v/>
      </c>
      <c r="K119" s="38"/>
      <c r="L119" s="94"/>
    </row>
    <row r="120" spans="1:12" ht="15.6">
      <c r="A120" s="24" t="str">
        <v>Wyoming Road</v>
      </c>
      <c r="B120" s="25" t="str">
        <v>DE</v>
      </c>
      <c r="C120" s="25" t="str">
        <f>Sites[[#This Row],[SOL'#]]</f>
        <v>SOL-10819</v>
      </c>
      <c r="D120" s="20"/>
      <c r="E120" s="10"/>
      <c r="F120" s="10" t="str">
        <f t="shared" si="4"/>
        <v/>
      </c>
      <c r="G120" s="11" t="str">
        <f t="shared" si="7"/>
        <v/>
      </c>
      <c r="H120" s="12"/>
      <c r="I120" s="12" t="str">
        <f t="shared" si="5"/>
        <v/>
      </c>
      <c r="J120" s="13" t="str">
        <f t="shared" si="6"/>
        <v/>
      </c>
      <c r="K120" s="37"/>
      <c r="L120" s="37"/>
    </row>
    <row r="121" spans="1:12" ht="15.6">
      <c r="A121" s="26" t="str">
        <v>94-246 Leoku St. - PV Bldg E, F, G</v>
      </c>
      <c r="B121" s="27" t="str">
        <v>HI</v>
      </c>
      <c r="C121" s="25" t="str">
        <f>Sites[[#This Row],[SOL'#]]</f>
        <v>SOL-10071</v>
      </c>
      <c r="D121" s="9"/>
      <c r="E121" s="14"/>
      <c r="F121" s="14" t="str">
        <f t="shared" si="4"/>
        <v/>
      </c>
      <c r="G121" s="15" t="str">
        <f t="shared" si="7"/>
        <v/>
      </c>
      <c r="H121" s="16"/>
      <c r="I121" s="16" t="str">
        <f t="shared" si="5"/>
        <v/>
      </c>
      <c r="J121" s="15" t="str">
        <f t="shared" si="6"/>
        <v/>
      </c>
      <c r="K121" s="56"/>
      <c r="L121" s="38"/>
    </row>
    <row r="122" spans="1:12" ht="15.6">
      <c r="A122" s="24" t="str">
        <v>94-099 Waipahu St - PV</v>
      </c>
      <c r="B122" s="25" t="str">
        <v>HI</v>
      </c>
      <c r="C122" s="25" t="str">
        <f>Sites[[#This Row],[SOL'#]]</f>
        <v>SOL-10068</v>
      </c>
      <c r="D122" s="20"/>
      <c r="E122" s="10"/>
      <c r="F122" s="10" t="str">
        <f t="shared" si="4"/>
        <v/>
      </c>
      <c r="G122" s="11" t="str">
        <f t="shared" si="7"/>
        <v/>
      </c>
      <c r="H122" s="12"/>
      <c r="I122" s="12" t="str">
        <f t="shared" si="5"/>
        <v/>
      </c>
      <c r="J122" s="13" t="str">
        <f t="shared" si="6"/>
        <v/>
      </c>
      <c r="K122" s="37"/>
      <c r="L122" s="37"/>
    </row>
    <row r="123" spans="1:12" ht="15.6">
      <c r="A123" s="26" t="str">
        <v>TES Bird in Hand</v>
      </c>
      <c r="B123" s="27" t="str">
        <v>MD</v>
      </c>
      <c r="C123" s="25" t="str">
        <f>Sites[[#This Row],[SOL'#]]</f>
        <v>SOL-10092</v>
      </c>
      <c r="D123" s="9"/>
      <c r="E123" s="14"/>
      <c r="F123" s="14" t="str">
        <f t="shared" si="4"/>
        <v/>
      </c>
      <c r="G123" s="15" t="str">
        <f t="shared" si="7"/>
        <v/>
      </c>
      <c r="H123" s="16"/>
      <c r="I123" s="16" t="str">
        <f t="shared" si="5"/>
        <v/>
      </c>
      <c r="J123" s="15" t="str">
        <f t="shared" si="6"/>
        <v/>
      </c>
      <c r="K123" s="38"/>
      <c r="L123" s="38"/>
    </row>
    <row r="124" spans="1:12" ht="15.6">
      <c r="A124" s="24" t="str">
        <v>TES Shortal Solar LLC</v>
      </c>
      <c r="B124" s="25" t="str">
        <v>MD</v>
      </c>
      <c r="C124" s="25" t="str">
        <f>Sites[[#This Row],[SOL'#]]</f>
        <v>SOL-10091</v>
      </c>
      <c r="D124" s="20"/>
      <c r="E124" s="10"/>
      <c r="F124" s="10" t="str">
        <f t="shared" si="4"/>
        <v/>
      </c>
      <c r="G124" s="11" t="str">
        <f t="shared" si="7"/>
        <v/>
      </c>
      <c r="H124" s="12"/>
      <c r="I124" s="12" t="str">
        <f t="shared" si="5"/>
        <v/>
      </c>
      <c r="J124" s="13" t="str">
        <f t="shared" si="6"/>
        <v/>
      </c>
      <c r="K124" s="37"/>
      <c r="L124" s="37"/>
    </row>
    <row r="125" spans="1:12" ht="15.6">
      <c r="A125" s="26" t="str">
        <v>Coca Cola Aguadilla</v>
      </c>
      <c r="B125" s="27" t="str">
        <v>PR</v>
      </c>
      <c r="C125" s="25" t="str">
        <f>Sites[[#This Row],[SOL'#]]</f>
        <v>SOL-10072</v>
      </c>
      <c r="D125" s="9"/>
      <c r="E125" s="14"/>
      <c r="F125" s="14" t="str">
        <f t="shared" si="4"/>
        <v/>
      </c>
      <c r="G125" s="15" t="str">
        <f t="shared" si="7"/>
        <v/>
      </c>
      <c r="H125" s="16"/>
      <c r="I125" s="16" t="str">
        <f t="shared" si="5"/>
        <v/>
      </c>
      <c r="J125" s="15" t="str">
        <f t="shared" si="6"/>
        <v/>
      </c>
      <c r="K125" s="38"/>
      <c r="L125" s="56"/>
    </row>
    <row r="126" spans="1:12" ht="15.6">
      <c r="A126" s="24" t="str">
        <v>Coca Cola Bayamon</v>
      </c>
      <c r="B126" s="25" t="str">
        <v>PR</v>
      </c>
      <c r="C126" s="25" t="str">
        <f>Sites[[#This Row],[SOL'#]]</f>
        <v>SOL-10073</v>
      </c>
      <c r="D126" s="20"/>
      <c r="E126" s="10"/>
      <c r="F126" s="10" t="str">
        <f t="shared" si="4"/>
        <v/>
      </c>
      <c r="G126" s="11" t="str">
        <f t="shared" si="7"/>
        <v/>
      </c>
      <c r="H126" s="12"/>
      <c r="I126" s="12" t="str">
        <f t="shared" si="5"/>
        <v/>
      </c>
      <c r="J126" s="13" t="str">
        <f t="shared" si="6"/>
        <v/>
      </c>
      <c r="K126" s="37"/>
      <c r="L126" s="37"/>
    </row>
    <row r="127" spans="1:12" ht="15.6">
      <c r="A127" s="26" t="str">
        <v>St Francis School</v>
      </c>
      <c r="B127" s="27" t="str">
        <v>PR</v>
      </c>
      <c r="C127" s="25" t="str">
        <f>Sites[[#This Row],[SOL'#]]</f>
        <v>SOL-10034</v>
      </c>
      <c r="D127" s="9"/>
      <c r="E127" s="14"/>
      <c r="F127" s="14" t="str">
        <f t="shared" si="4"/>
        <v/>
      </c>
      <c r="G127" s="15" t="str">
        <f t="shared" si="7"/>
        <v/>
      </c>
      <c r="H127" s="16"/>
      <c r="I127" s="16" t="str">
        <f t="shared" si="5"/>
        <v/>
      </c>
      <c r="J127" s="15" t="str">
        <f t="shared" si="6"/>
        <v/>
      </c>
      <c r="K127" s="38"/>
      <c r="L127" s="95"/>
    </row>
    <row r="128" spans="1:12" ht="15.6">
      <c r="A128" s="24" t="str">
        <v>645 Summer Street - (Seaport Solar)</v>
      </c>
      <c r="B128" s="25" t="str">
        <v>MA</v>
      </c>
      <c r="C128" s="25" t="str">
        <f>Sites[[#This Row],[SOL'#]]</f>
        <v>SOL-10772</v>
      </c>
      <c r="D128" s="20"/>
      <c r="E128" s="10"/>
      <c r="F128" s="10" t="str">
        <f t="shared" si="4"/>
        <v/>
      </c>
      <c r="G128" s="11" t="str">
        <f t="shared" si="7"/>
        <v/>
      </c>
      <c r="H128" s="12"/>
      <c r="I128" s="12" t="str">
        <f t="shared" si="5"/>
        <v/>
      </c>
      <c r="J128" s="13" t="str">
        <f t="shared" si="6"/>
        <v/>
      </c>
      <c r="K128" s="37"/>
      <c r="L128" s="37"/>
    </row>
    <row r="129" spans="1:12" ht="15.6">
      <c r="A129" s="26" t="str">
        <v>480 Sprague St</v>
      </c>
      <c r="B129" s="27" t="str">
        <v>MA</v>
      </c>
      <c r="C129" s="25" t="str">
        <f>Sites[[#This Row],[SOL'#]]</f>
        <v>SOL-10773</v>
      </c>
      <c r="D129" s="9"/>
      <c r="E129" s="14"/>
      <c r="F129" s="14" t="str">
        <f t="shared" si="4"/>
        <v/>
      </c>
      <c r="G129" s="15" t="str">
        <f t="shared" si="7"/>
        <v/>
      </c>
      <c r="H129" s="16"/>
      <c r="I129" s="16" t="str">
        <f t="shared" si="5"/>
        <v/>
      </c>
      <c r="J129" s="15" t="str">
        <f t="shared" si="6"/>
        <v/>
      </c>
      <c r="K129" s="38"/>
      <c r="L129" s="38"/>
    </row>
    <row r="130" spans="1:12" ht="15.6">
      <c r="A130" s="24" t="str">
        <v>647 Summer Street - (Summer Street Solar)</v>
      </c>
      <c r="B130" s="25" t="str">
        <v>MA</v>
      </c>
      <c r="C130" s="25" t="str">
        <f>Sites[[#This Row],[SOL'#]]</f>
        <v>SOL-10764</v>
      </c>
      <c r="D130" s="20"/>
      <c r="E130" s="10"/>
      <c r="F130" s="10" t="str">
        <f t="shared" si="4"/>
        <v/>
      </c>
      <c r="G130" s="11" t="str">
        <f t="shared" si="7"/>
        <v/>
      </c>
      <c r="H130" s="12"/>
      <c r="I130" s="12" t="str">
        <f t="shared" si="5"/>
        <v/>
      </c>
      <c r="J130" s="13" t="str">
        <f t="shared" si="6"/>
        <v/>
      </c>
      <c r="K130" s="37"/>
      <c r="L130" s="37"/>
    </row>
    <row r="131" spans="1:12" ht="15.6">
      <c r="A131" s="26" t="str">
        <v>Rochester Technical School (Wakefield Street)</v>
      </c>
      <c r="B131" s="27" t="str">
        <v>NH</v>
      </c>
      <c r="C131" s="25" t="str">
        <f>Sites[[#This Row],[SOL'#]]</f>
        <v>SOL-10768</v>
      </c>
      <c r="D131" s="9"/>
      <c r="E131" s="14"/>
      <c r="F131" s="14" t="str">
        <f t="shared" si="4"/>
        <v/>
      </c>
      <c r="G131" s="15" t="str">
        <f t="shared" si="7"/>
        <v/>
      </c>
      <c r="H131" s="16"/>
      <c r="I131" s="16" t="str">
        <f t="shared" si="5"/>
        <v/>
      </c>
      <c r="J131" s="15" t="str">
        <f t="shared" si="6"/>
        <v/>
      </c>
      <c r="K131" s="38"/>
      <c r="L131" s="38"/>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13" t="str">
        <f t="shared" si="6"/>
        <v/>
      </c>
      <c r="K132" s="37"/>
      <c r="L132" s="37"/>
    </row>
    <row r="133" spans="1:12" ht="15.6">
      <c r="A133" s="26" t="str">
        <v>Portland St</v>
      </c>
      <c r="B133" s="27" t="str">
        <v>NH</v>
      </c>
      <c r="C133" s="25" t="str">
        <f>Sites[[#This Row],[SOL'#]]</f>
        <v>SOL-10771</v>
      </c>
      <c r="D133" s="9"/>
      <c r="E133" s="14"/>
      <c r="F133" s="14" t="str">
        <f t="shared" si="4"/>
        <v/>
      </c>
      <c r="G133" s="15" t="str">
        <f t="shared" si="7"/>
        <v/>
      </c>
      <c r="H133" s="16"/>
      <c r="I133" s="16" t="str">
        <f t="shared" ref="I133:I163" si="8">IF(AND(ISNUMBER(D133),ISNUMBER(H133)), D133-H133, "")</f>
        <v/>
      </c>
      <c r="J133" s="15" t="str">
        <f t="shared" ref="J133:J163" si="9">IFERROR(I133/H133, "")</f>
        <v/>
      </c>
      <c r="K133" s="38"/>
      <c r="L133" s="38"/>
    </row>
    <row r="134" spans="1:12" ht="15.6">
      <c r="A134" s="24" t="str">
        <v>Freshet Road -PHS</v>
      </c>
      <c r="B134" s="25" t="str">
        <v>NH</v>
      </c>
      <c r="C134" s="25" t="str">
        <f>Sites[[#This Row],[SOL'#]]</f>
        <v>SOL-10769</v>
      </c>
      <c r="D134" s="20"/>
      <c r="E134" s="10"/>
      <c r="F134" s="10" t="str">
        <f t="shared" ref="F134:F163" si="10">IF(AND(ISNUMBER(D134),ISNUMBER(E134)), D134-E134, "")</f>
        <v/>
      </c>
      <c r="G134" s="11" t="str">
        <f t="shared" ref="G134:G163" si="11">IFERROR(F134/E134, "")</f>
        <v/>
      </c>
      <c r="H134" s="12"/>
      <c r="I134" s="12" t="str">
        <f t="shared" si="8"/>
        <v/>
      </c>
      <c r="J134" s="13" t="str">
        <f t="shared" si="9"/>
        <v/>
      </c>
      <c r="K134" s="37"/>
      <c r="L134" s="37"/>
    </row>
    <row r="135" spans="1:12" ht="15.6">
      <c r="A135" s="26" t="str">
        <v>Freshet Road - PWTP</v>
      </c>
      <c r="B135" s="27" t="str">
        <v>NH</v>
      </c>
      <c r="C135" s="25" t="str">
        <f>Sites[[#This Row],[SOL'#]]</f>
        <v>SOL-10770</v>
      </c>
      <c r="D135" s="9"/>
      <c r="E135" s="14"/>
      <c r="F135" s="14" t="str">
        <f t="shared" si="10"/>
        <v/>
      </c>
      <c r="G135" s="15" t="str">
        <f t="shared" si="11"/>
        <v/>
      </c>
      <c r="H135" s="16"/>
      <c r="I135" s="16" t="str">
        <f t="shared" si="8"/>
        <v/>
      </c>
      <c r="J135" s="15" t="str">
        <f t="shared" si="9"/>
        <v/>
      </c>
      <c r="K135" s="38"/>
      <c r="L135" s="38"/>
    </row>
    <row r="136" spans="1:12" ht="15.6">
      <c r="A136" s="24" t="str">
        <v>Rochester Middle School (Brock Street)</v>
      </c>
      <c r="B136" s="25" t="str">
        <v>NH</v>
      </c>
      <c r="C136" s="25" t="str">
        <f>Sites[[#This Row],[SOL'#]]</f>
        <v>SOL-10765</v>
      </c>
      <c r="D136" s="20"/>
      <c r="E136" s="10"/>
      <c r="F136" s="10" t="str">
        <f t="shared" si="10"/>
        <v/>
      </c>
      <c r="G136" s="11" t="str">
        <f t="shared" si="11"/>
        <v/>
      </c>
      <c r="H136" s="12"/>
      <c r="I136" s="12" t="str">
        <f t="shared" si="8"/>
        <v/>
      </c>
      <c r="J136" s="13" t="str">
        <f t="shared" si="9"/>
        <v/>
      </c>
      <c r="K136" s="37"/>
      <c r="L136" s="37"/>
    </row>
    <row r="137" spans="1:12" ht="15.6">
      <c r="A137" s="26" t="str">
        <v>Spaulding High School (Wakefield Street)</v>
      </c>
      <c r="B137" s="27" t="str">
        <v>NH</v>
      </c>
      <c r="C137" s="25" t="str">
        <f>Sites[[#This Row],[SOL'#]]</f>
        <v>SOL-10767</v>
      </c>
      <c r="D137" s="9"/>
      <c r="E137" s="14"/>
      <c r="F137" s="14" t="str">
        <f t="shared" si="10"/>
        <v/>
      </c>
      <c r="G137" s="15" t="str">
        <f t="shared" si="11"/>
        <v/>
      </c>
      <c r="H137" s="16"/>
      <c r="I137" s="16" t="str">
        <f t="shared" si="8"/>
        <v/>
      </c>
      <c r="J137" s="15" t="str">
        <f t="shared" si="9"/>
        <v/>
      </c>
      <c r="K137" s="38"/>
      <c r="L137" s="3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37"/>
      <c r="L138" s="37"/>
    </row>
    <row r="139" spans="1:12" ht="15.6">
      <c r="A139" s="26" t="str">
        <v>Spencer</v>
      </c>
      <c r="B139" s="27" t="str">
        <v>NY</v>
      </c>
      <c r="C139" s="25" t="str">
        <f>Sites[[#This Row],[SOL'#]]</f>
        <v>SOL-11017</v>
      </c>
      <c r="D139" s="9"/>
      <c r="E139" s="14"/>
      <c r="F139" s="14" t="str">
        <f t="shared" si="10"/>
        <v/>
      </c>
      <c r="G139" s="15" t="str">
        <f t="shared" si="11"/>
        <v/>
      </c>
      <c r="H139" s="16"/>
      <c r="I139" s="16" t="str">
        <f t="shared" si="8"/>
        <v/>
      </c>
      <c r="J139" s="15" t="str">
        <f t="shared" si="9"/>
        <v/>
      </c>
      <c r="K139" s="38"/>
      <c r="L139" s="109"/>
    </row>
    <row r="140" spans="1:12" ht="15.6">
      <c r="A140" s="28" t="str">
        <v>Reisender</v>
      </c>
      <c r="B140" s="25" t="str">
        <v>NY</v>
      </c>
      <c r="C140" s="25" t="str">
        <f>Sites[[#This Row],[SOL'#]]</f>
        <v>SOL-10886</v>
      </c>
      <c r="D140" s="60"/>
      <c r="E140" s="10"/>
      <c r="F140" s="10" t="str">
        <f t="shared" si="10"/>
        <v/>
      </c>
      <c r="G140" s="11" t="str">
        <f t="shared" si="11"/>
        <v/>
      </c>
      <c r="H140" s="75"/>
      <c r="I140" s="12" t="str">
        <f t="shared" si="8"/>
        <v/>
      </c>
      <c r="J140" s="13" t="str">
        <f t="shared" si="9"/>
        <v/>
      </c>
      <c r="K140" s="63"/>
      <c r="L140" s="37"/>
    </row>
    <row r="141" spans="1:12" ht="15.6">
      <c r="A141" s="26" t="str">
        <v>Finney</v>
      </c>
      <c r="B141" s="27" t="str">
        <v>NY</v>
      </c>
      <c r="C141" s="25" t="str">
        <f>Sites[[#This Row],[SOL'#]]</f>
        <v>SOL-10999</v>
      </c>
      <c r="D141" s="74"/>
      <c r="E141" s="14"/>
      <c r="F141" s="14" t="str">
        <f t="shared" si="10"/>
        <v/>
      </c>
      <c r="G141" s="15" t="str">
        <f t="shared" si="11"/>
        <v/>
      </c>
      <c r="H141" s="77"/>
      <c r="I141" s="16" t="str">
        <f t="shared" si="8"/>
        <v/>
      </c>
      <c r="J141" s="15" t="str">
        <f t="shared" si="9"/>
        <v/>
      </c>
      <c r="K141" s="38"/>
      <c r="L141" s="29"/>
    </row>
    <row r="142" spans="1:12" ht="15.6">
      <c r="A142" s="24" t="str">
        <v>Davis Solar</v>
      </c>
      <c r="B142" s="25" t="str">
        <v>NY</v>
      </c>
      <c r="C142" s="25" t="str">
        <f>Sites[[#This Row],[SOL'#]]</f>
        <v>SOL-10958</v>
      </c>
      <c r="D142" s="60"/>
      <c r="E142" s="10"/>
      <c r="F142" s="10" t="str">
        <f t="shared" si="10"/>
        <v/>
      </c>
      <c r="G142" s="11" t="str">
        <f t="shared" si="11"/>
        <v/>
      </c>
      <c r="H142" s="75"/>
      <c r="I142" s="12" t="str">
        <f t="shared" si="8"/>
        <v/>
      </c>
      <c r="J142" s="13" t="str">
        <f t="shared" si="9"/>
        <v/>
      </c>
      <c r="K142" s="63"/>
      <c r="L142" s="37"/>
    </row>
    <row r="143" spans="1:12" ht="15.6">
      <c r="A143" s="26" t="str">
        <v>Genesee</v>
      </c>
      <c r="B143" s="27" t="str">
        <v>NY</v>
      </c>
      <c r="C143" s="25" t="str">
        <f>Sites[[#This Row],[SOL'#]]</f>
        <v>SOL-10951</v>
      </c>
      <c r="D143" s="74"/>
      <c r="E143" s="14"/>
      <c r="F143" s="14" t="str">
        <f t="shared" si="10"/>
        <v/>
      </c>
      <c r="G143" s="15" t="str">
        <f t="shared" si="11"/>
        <v/>
      </c>
      <c r="H143" s="77"/>
      <c r="I143" s="16" t="str">
        <f t="shared" si="8"/>
        <v/>
      </c>
      <c r="J143" s="15" t="str">
        <f t="shared" si="9"/>
        <v/>
      </c>
      <c r="K143" s="38"/>
      <c r="L143" s="29"/>
    </row>
    <row r="144" spans="1:12" ht="15.6">
      <c r="A144" s="24" t="str">
        <v>Landau I</v>
      </c>
      <c r="B144" s="25" t="str">
        <v>NY</v>
      </c>
      <c r="C144" s="25" t="str">
        <f>Sites[[#This Row],[SOL'#]]</f>
        <v>SOL-10891</v>
      </c>
      <c r="D144" s="60"/>
      <c r="E144" s="10"/>
      <c r="F144" s="10" t="str">
        <f t="shared" si="10"/>
        <v/>
      </c>
      <c r="G144" s="11" t="str">
        <f t="shared" si="11"/>
        <v/>
      </c>
      <c r="H144" s="75"/>
      <c r="I144" s="12" t="str">
        <f t="shared" si="8"/>
        <v/>
      </c>
      <c r="J144" s="13" t="str">
        <f t="shared" si="9"/>
        <v/>
      </c>
      <c r="K144" s="63"/>
      <c r="L144" s="37"/>
    </row>
    <row r="145" spans="1:12" ht="15.6">
      <c r="A145" s="26" t="str">
        <v>Landau II</v>
      </c>
      <c r="B145" s="27" t="str">
        <v>NY</v>
      </c>
      <c r="C145" s="25" t="str">
        <f>Sites[[#This Row],[SOL'#]]</f>
        <v>SOL-10895</v>
      </c>
      <c r="D145" s="74"/>
      <c r="E145" s="14"/>
      <c r="F145" s="14" t="str">
        <f t="shared" si="10"/>
        <v/>
      </c>
      <c r="G145" s="15" t="str">
        <f t="shared" si="11"/>
        <v/>
      </c>
      <c r="H145" s="77"/>
      <c r="I145" s="16" t="str">
        <f t="shared" si="8"/>
        <v/>
      </c>
      <c r="J145" s="15" t="str">
        <f t="shared" si="9"/>
        <v/>
      </c>
      <c r="K145" s="57"/>
      <c r="L145" s="92"/>
    </row>
    <row r="146" spans="1:12" ht="15.6">
      <c r="A146" s="24" t="str">
        <v>New Beginnings</v>
      </c>
      <c r="B146" s="25" t="str">
        <v>NY</v>
      </c>
      <c r="C146" s="25" t="str">
        <f>Sites[[#This Row],[SOL'#]]</f>
        <v>SOL-10890</v>
      </c>
      <c r="D146" s="60"/>
      <c r="E146" s="10"/>
      <c r="F146" s="10" t="str">
        <f t="shared" si="10"/>
        <v/>
      </c>
      <c r="G146" s="11" t="str">
        <f t="shared" si="11"/>
        <v/>
      </c>
      <c r="H146" s="75"/>
      <c r="I146" s="12" t="str">
        <f t="shared" si="8"/>
        <v/>
      </c>
      <c r="J146" s="13" t="str">
        <f t="shared" si="9"/>
        <v/>
      </c>
      <c r="K146" s="63"/>
      <c r="L146" s="37"/>
    </row>
    <row r="147" spans="1:12" ht="15.6">
      <c r="A147" s="26" t="str">
        <v>Bullitt Farm Solar, LLC</v>
      </c>
      <c r="B147" s="27" t="str">
        <v>NY</v>
      </c>
      <c r="C147" s="25" t="str">
        <f>Sites[[#This Row],[SOL'#]]</f>
        <v>SOL-10998</v>
      </c>
      <c r="D147" s="74"/>
      <c r="E147" s="14"/>
      <c r="F147" s="14" t="str">
        <f t="shared" si="10"/>
        <v/>
      </c>
      <c r="G147" s="15" t="str">
        <f t="shared" si="11"/>
        <v/>
      </c>
      <c r="H147" s="77"/>
      <c r="I147" s="16" t="str">
        <f t="shared" si="8"/>
        <v/>
      </c>
      <c r="J147" s="15" t="str">
        <f t="shared" si="9"/>
        <v/>
      </c>
      <c r="K147" s="38"/>
      <c r="L147" s="29"/>
    </row>
    <row r="148" spans="1:12" ht="15.6">
      <c r="A148" s="24" t="str">
        <v>Brodhead Solar, LLC</v>
      </c>
      <c r="B148" s="25" t="str">
        <v>NY</v>
      </c>
      <c r="C148" s="25" t="str">
        <f>Sites[[#This Row],[SOL'#]]</f>
        <v>SOL-10899</v>
      </c>
      <c r="D148" s="60"/>
      <c r="E148" s="10"/>
      <c r="F148" s="10" t="str">
        <f t="shared" si="10"/>
        <v/>
      </c>
      <c r="G148" s="11" t="str">
        <f t="shared" si="11"/>
        <v/>
      </c>
      <c r="H148" s="75"/>
      <c r="I148" s="12" t="str">
        <f t="shared" si="8"/>
        <v/>
      </c>
      <c r="J148" s="13" t="str">
        <f t="shared" si="9"/>
        <v/>
      </c>
      <c r="K148" s="63"/>
      <c r="L148" s="37"/>
    </row>
    <row r="149" spans="1:12" ht="15.6">
      <c r="A149" s="26" t="str">
        <v>Svenski</v>
      </c>
      <c r="B149" s="27" t="str">
        <v>NY</v>
      </c>
      <c r="C149" s="25" t="str">
        <f>Sites[[#This Row],[SOL'#]]</f>
        <v>SOL-10894</v>
      </c>
      <c r="D149" s="74"/>
      <c r="E149" s="14"/>
      <c r="F149" s="14" t="str">
        <f t="shared" si="10"/>
        <v/>
      </c>
      <c r="G149" s="15" t="str">
        <f t="shared" si="11"/>
        <v/>
      </c>
      <c r="H149" s="77"/>
      <c r="I149" s="16" t="str">
        <f t="shared" si="8"/>
        <v/>
      </c>
      <c r="J149" s="15" t="str">
        <f t="shared" si="9"/>
        <v/>
      </c>
      <c r="K149" s="38"/>
      <c r="L149" s="84"/>
    </row>
    <row r="150" spans="1:12" ht="15.6">
      <c r="A150" s="24" t="str">
        <v>Bantam</v>
      </c>
      <c r="B150" s="25" t="str">
        <v>NY</v>
      </c>
      <c r="C150" s="25" t="str">
        <f>Sites[[#This Row],[SOL'#]]</f>
        <v>SOL-10986</v>
      </c>
      <c r="D150" s="60"/>
      <c r="E150" s="10"/>
      <c r="F150" s="10" t="str">
        <f t="shared" si="10"/>
        <v/>
      </c>
      <c r="G150" s="11" t="str">
        <f t="shared" si="11"/>
        <v/>
      </c>
      <c r="H150" s="75"/>
      <c r="I150" s="12" t="str">
        <f t="shared" si="8"/>
        <v/>
      </c>
      <c r="J150" s="13" t="str">
        <f t="shared" si="9"/>
        <v/>
      </c>
      <c r="K150" s="63"/>
      <c r="L150" s="37"/>
    </row>
    <row r="151" spans="1:12" ht="15.6">
      <c r="A151" s="26" t="str">
        <v>Bogart</v>
      </c>
      <c r="B151" s="27" t="str">
        <v>NY</v>
      </c>
      <c r="C151" s="25" t="str">
        <f>Sites[[#This Row],[SOL'#]]</f>
        <v>SOL-10887</v>
      </c>
      <c r="D151" s="74"/>
      <c r="E151" s="14"/>
      <c r="F151" s="14" t="str">
        <f t="shared" si="10"/>
        <v/>
      </c>
      <c r="G151" s="15" t="str">
        <f t="shared" si="11"/>
        <v/>
      </c>
      <c r="H151" s="77"/>
      <c r="I151" s="16" t="str">
        <f t="shared" si="8"/>
        <v/>
      </c>
      <c r="J151" s="15" t="str">
        <f t="shared" si="9"/>
        <v/>
      </c>
      <c r="K151" s="38"/>
      <c r="L151" s="29"/>
    </row>
    <row r="152" spans="1:12" ht="78" customHeight="1">
      <c r="A152" s="24" t="str">
        <v>Dubois</v>
      </c>
      <c r="B152" s="25" t="str">
        <v>NY</v>
      </c>
      <c r="C152" s="25" t="str">
        <f>Sites[[#This Row],[SOL'#]]</f>
        <v>SOL-10892</v>
      </c>
      <c r="D152" s="60"/>
      <c r="E152" s="10"/>
      <c r="F152" s="10" t="str">
        <f t="shared" si="10"/>
        <v/>
      </c>
      <c r="G152" s="11" t="str">
        <f t="shared" si="11"/>
        <v/>
      </c>
      <c r="H152" s="75"/>
      <c r="I152" s="12" t="str">
        <f t="shared" si="8"/>
        <v/>
      </c>
      <c r="J152" s="13" t="str">
        <f t="shared" si="9"/>
        <v/>
      </c>
      <c r="K152" s="63"/>
      <c r="L152" s="37"/>
    </row>
    <row r="153" spans="1:12" ht="15.6">
      <c r="A153" s="26" t="str">
        <v>Salt Point</v>
      </c>
      <c r="B153" s="27" t="str">
        <v>NY</v>
      </c>
      <c r="C153" s="25" t="str">
        <f>Sites[[#This Row],[SOL'#]]</f>
        <v>SOL-10888</v>
      </c>
      <c r="D153" s="74"/>
      <c r="E153" s="14"/>
      <c r="F153" s="14" t="str">
        <f t="shared" si="10"/>
        <v/>
      </c>
      <c r="G153" s="15" t="str">
        <f t="shared" si="11"/>
        <v/>
      </c>
      <c r="H153" s="77"/>
      <c r="I153" s="16" t="str">
        <f t="shared" si="8"/>
        <v/>
      </c>
      <c r="J153" s="15" t="str">
        <f t="shared" si="9"/>
        <v/>
      </c>
      <c r="K153" s="155"/>
      <c r="L153" s="29"/>
    </row>
    <row r="154" spans="1:12" ht="15.6">
      <c r="A154" s="24" t="str">
        <v>Wheatland 2A</v>
      </c>
      <c r="B154" s="25" t="str">
        <v>NY</v>
      </c>
      <c r="C154" s="25" t="str">
        <f>Sites[[#This Row],[SOL'#]]</f>
        <v>SOL-10971</v>
      </c>
      <c r="D154" s="60"/>
      <c r="E154" s="10"/>
      <c r="F154" s="10" t="str">
        <f t="shared" si="10"/>
        <v/>
      </c>
      <c r="G154" s="11" t="str">
        <f t="shared" si="11"/>
        <v/>
      </c>
      <c r="H154" s="75"/>
      <c r="I154" s="12" t="str">
        <f t="shared" si="8"/>
        <v/>
      </c>
      <c r="J154" s="13" t="str">
        <f t="shared" si="9"/>
        <v/>
      </c>
      <c r="K154" s="63"/>
      <c r="L154" s="37"/>
    </row>
    <row r="155" spans="1:12" ht="15.6">
      <c r="A155" s="26" t="str">
        <v>Wheatland 2B</v>
      </c>
      <c r="B155" s="27" t="str">
        <v>NY</v>
      </c>
      <c r="C155" s="25" t="str">
        <f>Sites[[#This Row],[SOL'#]]</f>
        <v>SOL-10961</v>
      </c>
      <c r="D155" s="74"/>
      <c r="E155" s="14"/>
      <c r="F155" s="14" t="str">
        <f t="shared" si="10"/>
        <v/>
      </c>
      <c r="G155" s="15" t="str">
        <f t="shared" si="11"/>
        <v/>
      </c>
      <c r="H155" s="77"/>
      <c r="I155" s="16" t="str">
        <f t="shared" si="8"/>
        <v/>
      </c>
      <c r="J155" s="15" t="str">
        <f t="shared" si="9"/>
        <v/>
      </c>
      <c r="K155" s="38"/>
      <c r="L155" s="38"/>
    </row>
    <row r="156" spans="1:12" ht="15.6">
      <c r="A156" s="24" t="str">
        <v>Brickchurch</v>
      </c>
      <c r="B156" s="25" t="str">
        <v>NY</v>
      </c>
      <c r="C156" s="25" t="str">
        <f>Sites[[#This Row],[SOL'#]]</f>
        <v>SOL-10889</v>
      </c>
      <c r="D156" s="60"/>
      <c r="E156" s="10"/>
      <c r="F156" s="10" t="str">
        <f t="shared" si="10"/>
        <v/>
      </c>
      <c r="G156" s="11" t="str">
        <f t="shared" si="11"/>
        <v/>
      </c>
      <c r="H156" s="75"/>
      <c r="I156" s="12" t="str">
        <f t="shared" si="8"/>
        <v/>
      </c>
      <c r="J156" s="13" t="str">
        <f t="shared" si="9"/>
        <v/>
      </c>
      <c r="K156" s="63"/>
      <c r="L156" s="37"/>
    </row>
    <row r="157" spans="1:12" ht="15.6">
      <c r="A157" s="26" t="str">
        <v>McCarthy Solar</v>
      </c>
      <c r="B157" s="27" t="str">
        <v>NY</v>
      </c>
      <c r="C157" s="25" t="str">
        <f>Sites[[#This Row],[SOL'#]]</f>
        <v>SOL-10992</v>
      </c>
      <c r="D157" s="74"/>
      <c r="E157" s="14"/>
      <c r="F157" s="14" t="str">
        <f t="shared" si="10"/>
        <v/>
      </c>
      <c r="G157" s="15" t="str">
        <f t="shared" si="11"/>
        <v/>
      </c>
      <c r="H157" s="77"/>
      <c r="I157" s="16" t="str">
        <f t="shared" si="8"/>
        <v/>
      </c>
      <c r="J157" s="15" t="str">
        <f t="shared" si="9"/>
        <v/>
      </c>
      <c r="K157" s="38"/>
      <c r="L157" s="29"/>
    </row>
    <row r="158" spans="1:12" ht="15.6">
      <c r="A158" s="24" t="str">
        <v>Costanza</v>
      </c>
      <c r="B158" s="25" t="str">
        <v>NY</v>
      </c>
      <c r="C158" s="25" t="str">
        <f>Sites[[#This Row],[SOL'#]]</f>
        <v>SOL-10907</v>
      </c>
      <c r="D158" s="60"/>
      <c r="E158" s="10"/>
      <c r="F158" s="10" t="str">
        <f t="shared" si="10"/>
        <v/>
      </c>
      <c r="G158" s="11" t="str">
        <f t="shared" si="11"/>
        <v/>
      </c>
      <c r="H158" s="75"/>
      <c r="I158" s="12" t="str">
        <f t="shared" si="8"/>
        <v/>
      </c>
      <c r="J158" s="13" t="str">
        <f t="shared" si="9"/>
        <v/>
      </c>
      <c r="K158" s="63"/>
      <c r="L158" s="37"/>
    </row>
    <row r="159" spans="1:12" ht="15.6">
      <c r="A159" s="26" t="str">
        <v>Lockenhurst Pond</v>
      </c>
      <c r="B159" s="27" t="str">
        <v>NY</v>
      </c>
      <c r="C159" s="25" t="str">
        <f>Sites[[#This Row],[SOL'#]]</f>
        <v>SOL-11000</v>
      </c>
      <c r="D159" s="74"/>
      <c r="E159" s="14"/>
      <c r="F159" s="14" t="str">
        <f t="shared" si="10"/>
        <v/>
      </c>
      <c r="G159" s="15" t="str">
        <f t="shared" si="11"/>
        <v/>
      </c>
      <c r="H159" s="77"/>
      <c r="I159" s="16" t="str">
        <f t="shared" si="8"/>
        <v/>
      </c>
      <c r="J159" s="15" t="str">
        <f t="shared" si="9"/>
        <v/>
      </c>
      <c r="K159" s="38"/>
      <c r="L159" s="29"/>
    </row>
    <row r="160" spans="1:12" ht="15.6">
      <c r="A160" s="24" t="str">
        <v>Drinkwater</v>
      </c>
      <c r="B160" s="25" t="str">
        <v>NY</v>
      </c>
      <c r="C160" s="25" t="str">
        <f>Sites[[#This Row],[SOL'#]]</f>
        <v>SOL-10896</v>
      </c>
      <c r="D160" s="60"/>
      <c r="E160" s="10"/>
      <c r="F160" s="10" t="str">
        <f t="shared" si="10"/>
        <v/>
      </c>
      <c r="G160" s="11" t="str">
        <f t="shared" si="11"/>
        <v/>
      </c>
      <c r="H160" s="75"/>
      <c r="I160" s="12" t="str">
        <f t="shared" si="8"/>
        <v/>
      </c>
      <c r="J160" s="13" t="str">
        <f t="shared" si="9"/>
        <v/>
      </c>
      <c r="K160" s="63"/>
      <c r="L160" s="37"/>
    </row>
    <row r="161" spans="1:12" ht="15.6">
      <c r="A161" s="26" t="str">
        <v>Altamont</v>
      </c>
      <c r="B161" s="27" t="str">
        <v>NY</v>
      </c>
      <c r="C161" s="25" t="str">
        <f>Sites[[#This Row],[SOL'#]]</f>
        <v>SOL-11085</v>
      </c>
      <c r="D161" s="74"/>
      <c r="E161" s="14"/>
      <c r="F161" s="14" t="str">
        <f t="shared" si="10"/>
        <v/>
      </c>
      <c r="G161" s="15" t="str">
        <f t="shared" si="11"/>
        <v/>
      </c>
      <c r="H161" s="77"/>
      <c r="I161" s="16" t="str">
        <f t="shared" si="8"/>
        <v/>
      </c>
      <c r="J161" s="15" t="str">
        <f t="shared" si="9"/>
        <v/>
      </c>
      <c r="K161" s="38"/>
      <c r="L161" s="29"/>
    </row>
    <row r="162" spans="1:12" ht="15.6">
      <c r="A162" s="24" t="str">
        <v>Krumkill North</v>
      </c>
      <c r="B162" s="25" t="str">
        <v>NY</v>
      </c>
      <c r="C162" s="25" t="str">
        <f>Sites[[#This Row],[SOL'#]]</f>
        <v>SOL-11086</v>
      </c>
      <c r="D162" s="60"/>
      <c r="E162" s="10"/>
      <c r="F162" s="10" t="str">
        <f t="shared" si="10"/>
        <v/>
      </c>
      <c r="G162" s="11" t="str">
        <f t="shared" si="11"/>
        <v/>
      </c>
      <c r="H162" s="75"/>
      <c r="I162" s="12" t="str">
        <f t="shared" si="8"/>
        <v/>
      </c>
      <c r="J162" s="13" t="str">
        <f t="shared" si="9"/>
        <v/>
      </c>
      <c r="K162" s="63"/>
      <c r="L162" s="37"/>
    </row>
    <row r="163" spans="1:12" ht="15.6">
      <c r="A163" s="26" t="str">
        <v>Krumkill South</v>
      </c>
      <c r="B163" s="27" t="str">
        <v>NY</v>
      </c>
      <c r="C163" s="25" t="str">
        <f>Sites[[#This Row],[SOL'#]]</f>
        <v>SOL-11087</v>
      </c>
      <c r="D163" s="74"/>
      <c r="E163" s="14"/>
      <c r="F163" s="14" t="str">
        <f t="shared" si="10"/>
        <v/>
      </c>
      <c r="G163" s="15" t="str">
        <f t="shared" si="11"/>
        <v/>
      </c>
      <c r="H163" s="77"/>
      <c r="I163" s="16" t="str">
        <f t="shared" si="8"/>
        <v/>
      </c>
      <c r="J163" s="15" t="str">
        <f t="shared" si="9"/>
        <v/>
      </c>
      <c r="K163" s="38"/>
      <c r="L163" s="91"/>
    </row>
    <row r="164" spans="1:12" ht="15.6">
      <c r="A164" s="24" t="str">
        <v>X092</v>
      </c>
      <c r="B164" s="25" t="str">
        <v>NY</v>
      </c>
      <c r="C164" s="25" t="str">
        <f>Sites[[#This Row],[SOL'#]]</f>
        <v>SOL-11189</v>
      </c>
      <c r="D164" s="60"/>
      <c r="E164" s="10"/>
      <c r="F164" s="10" t="str">
        <f t="shared" ref="F164:F185" si="12">IF(AND(ISNUMBER(D164),ISNUMBER(E164)), D164-E164, "")</f>
        <v/>
      </c>
      <c r="G164" s="11" t="str">
        <f t="shared" ref="G164:G185" si="13">IFERROR(F164/E164, "")</f>
        <v/>
      </c>
      <c r="H164" s="75"/>
      <c r="I164" s="12" t="str">
        <f t="shared" ref="I164:I185" si="14">IF(AND(ISNUMBER(D164),ISNUMBER(H164)), D164-H164, "")</f>
        <v/>
      </c>
      <c r="J164" s="13" t="str">
        <f t="shared" ref="J164:J185" si="15">IFERROR(I164/H164, "")</f>
        <v/>
      </c>
      <c r="K164" s="63"/>
      <c r="L164" s="37"/>
    </row>
    <row r="165" spans="1:12" ht="15.6">
      <c r="A165" s="26" t="str">
        <v>X093</v>
      </c>
      <c r="B165" s="27" t="str">
        <v>NY</v>
      </c>
      <c r="C165" s="25" t="str">
        <f>Sites[[#This Row],[SOL'#]]</f>
        <v>SOL-10932</v>
      </c>
      <c r="D165" s="74"/>
      <c r="E165" s="14"/>
      <c r="F165" s="14" t="str">
        <f t="shared" si="12"/>
        <v/>
      </c>
      <c r="G165" s="15" t="str">
        <f t="shared" si="13"/>
        <v/>
      </c>
      <c r="H165" s="77"/>
      <c r="I165" s="16" t="str">
        <f t="shared" si="14"/>
        <v/>
      </c>
      <c r="J165" s="15" t="str">
        <f t="shared" si="15"/>
        <v/>
      </c>
      <c r="K165" s="38"/>
      <c r="L165" s="91"/>
    </row>
    <row r="166" spans="1:12" ht="15.6">
      <c r="A166" s="24" t="str">
        <v>X095</v>
      </c>
      <c r="B166" s="25" t="str">
        <v>NY</v>
      </c>
      <c r="C166" s="25" t="str">
        <f>Sites[[#This Row],[SOL'#]]</f>
        <v>SOL-10929</v>
      </c>
      <c r="D166" s="60"/>
      <c r="E166" s="10"/>
      <c r="F166" s="10" t="str">
        <f t="shared" si="12"/>
        <v/>
      </c>
      <c r="G166" s="11" t="str">
        <f t="shared" si="13"/>
        <v/>
      </c>
      <c r="H166" s="75"/>
      <c r="I166" s="12" t="str">
        <f t="shared" si="14"/>
        <v/>
      </c>
      <c r="J166" s="13" t="str">
        <f t="shared" si="15"/>
        <v/>
      </c>
      <c r="K166" s="63"/>
      <c r="L166" s="37"/>
    </row>
    <row r="167" spans="1:12" ht="15.6">
      <c r="A167" s="26" t="str">
        <v>X181</v>
      </c>
      <c r="B167" s="27" t="str">
        <v>NY</v>
      </c>
      <c r="C167" s="25" t="str">
        <f>Sites[[#This Row],[SOL'#]]</f>
        <v>SOL-10428</v>
      </c>
      <c r="D167" s="74"/>
      <c r="E167" s="14"/>
      <c r="F167" s="14" t="str">
        <f t="shared" si="12"/>
        <v/>
      </c>
      <c r="G167" s="15" t="str">
        <f t="shared" si="13"/>
        <v/>
      </c>
      <c r="H167" s="77"/>
      <c r="I167" s="16" t="str">
        <f t="shared" si="14"/>
        <v/>
      </c>
      <c r="J167" s="15" t="str">
        <f t="shared" si="15"/>
        <v/>
      </c>
      <c r="K167" s="38"/>
      <c r="L167" s="91"/>
    </row>
    <row r="168" spans="1:12" ht="15.6">
      <c r="A168" s="24" t="str">
        <v>X415</v>
      </c>
      <c r="B168" s="25" t="str">
        <v>NY</v>
      </c>
      <c r="C168" s="25" t="str">
        <f>Sites[[#This Row],[SOL'#]]</f>
        <v>SOL-10429</v>
      </c>
      <c r="D168" s="60"/>
      <c r="E168" s="10"/>
      <c r="F168" s="10" t="str">
        <f t="shared" si="12"/>
        <v/>
      </c>
      <c r="G168" s="11" t="str">
        <f t="shared" si="13"/>
        <v/>
      </c>
      <c r="H168" s="75"/>
      <c r="I168" s="12" t="str">
        <f t="shared" si="14"/>
        <v/>
      </c>
      <c r="J168" s="13" t="str">
        <f t="shared" si="15"/>
        <v/>
      </c>
      <c r="K168" s="63"/>
      <c r="L168" s="37"/>
    </row>
    <row r="169" spans="1:12" ht="15.6">
      <c r="A169" s="26" t="str">
        <v>K198</v>
      </c>
      <c r="B169" s="27" t="str">
        <v>NY</v>
      </c>
      <c r="C169" s="25" t="str">
        <f>Sites[[#This Row],[SOL'#]]</f>
        <v>SOL-10930</v>
      </c>
      <c r="D169" s="74"/>
      <c r="E169" s="14"/>
      <c r="F169" s="14" t="str">
        <f t="shared" si="12"/>
        <v/>
      </c>
      <c r="G169" s="15" t="str">
        <f t="shared" si="13"/>
        <v/>
      </c>
      <c r="H169" s="77"/>
      <c r="I169" s="16" t="str">
        <f t="shared" si="14"/>
        <v/>
      </c>
      <c r="J169" s="15" t="str">
        <f t="shared" si="15"/>
        <v/>
      </c>
      <c r="K169" s="38"/>
      <c r="L169" s="91"/>
    </row>
    <row r="170" spans="1:12" ht="15.6">
      <c r="A170" s="24" t="str">
        <v>K203</v>
      </c>
      <c r="B170" s="25" t="str">
        <v>NY</v>
      </c>
      <c r="C170" s="25" t="str">
        <f>Sites[[#This Row],[SOL'#]]</f>
        <v>SOL-11190</v>
      </c>
      <c r="D170" s="60"/>
      <c r="E170" s="10"/>
      <c r="F170" s="10" t="str">
        <f t="shared" si="12"/>
        <v/>
      </c>
      <c r="G170" s="11" t="str">
        <f t="shared" si="13"/>
        <v/>
      </c>
      <c r="H170" s="75"/>
      <c r="I170" s="12" t="str">
        <f t="shared" si="14"/>
        <v/>
      </c>
      <c r="J170" s="13" t="str">
        <f t="shared" si="15"/>
        <v/>
      </c>
      <c r="K170" s="63"/>
      <c r="L170" s="37"/>
    </row>
    <row r="171" spans="1:12" ht="15.6">
      <c r="A171" s="26" t="str">
        <v>K213</v>
      </c>
      <c r="B171" s="27" t="str">
        <v>NY</v>
      </c>
      <c r="C171" s="25" t="str">
        <f>Sites[[#This Row],[SOL'#]]</f>
        <v>SOL-11191</v>
      </c>
      <c r="D171" s="74"/>
      <c r="E171" s="14"/>
      <c r="F171" s="14" t="str">
        <f t="shared" si="12"/>
        <v/>
      </c>
      <c r="G171" s="15" t="str">
        <f t="shared" si="13"/>
        <v/>
      </c>
      <c r="H171" s="77"/>
      <c r="I171" s="16" t="str">
        <f t="shared" si="14"/>
        <v/>
      </c>
      <c r="J171" s="15" t="str">
        <f t="shared" si="15"/>
        <v/>
      </c>
      <c r="K171" s="38"/>
      <c r="L171" s="91"/>
    </row>
    <row r="172" spans="1:12" ht="15.6">
      <c r="A172" s="24" t="str">
        <v>K217</v>
      </c>
      <c r="B172" s="25" t="str">
        <v>NY</v>
      </c>
      <c r="C172" s="25" t="str">
        <f>Sites[[#This Row],[SOL'#]]</f>
        <v>SOL-10933</v>
      </c>
      <c r="D172" s="60"/>
      <c r="E172" s="10"/>
      <c r="F172" s="10" t="str">
        <f t="shared" si="12"/>
        <v/>
      </c>
      <c r="G172" s="11" t="str">
        <f t="shared" si="13"/>
        <v/>
      </c>
      <c r="H172" s="75"/>
      <c r="I172" s="12" t="str">
        <f t="shared" si="14"/>
        <v/>
      </c>
      <c r="J172" s="13" t="str">
        <f t="shared" si="15"/>
        <v/>
      </c>
      <c r="K172" s="63"/>
      <c r="L172" s="37"/>
    </row>
    <row r="173" spans="1:12" ht="15.6">
      <c r="A173" s="26" t="str">
        <v>K307</v>
      </c>
      <c r="B173" s="27" t="str">
        <v>NY</v>
      </c>
      <c r="C173" s="25" t="str">
        <f>Sites[[#This Row],[SOL'#]]</f>
        <v>SOL-10876</v>
      </c>
      <c r="D173" s="74"/>
      <c r="E173" s="14"/>
      <c r="F173" s="14" t="str">
        <f t="shared" si="12"/>
        <v/>
      </c>
      <c r="G173" s="15" t="str">
        <f t="shared" si="13"/>
        <v/>
      </c>
      <c r="H173" s="77"/>
      <c r="I173" s="16" t="str">
        <f t="shared" si="14"/>
        <v/>
      </c>
      <c r="J173" s="15" t="str">
        <f t="shared" si="15"/>
        <v/>
      </c>
      <c r="K173" s="38"/>
      <c r="L173" s="91"/>
    </row>
    <row r="174" spans="1:12" ht="15.6">
      <c r="A174" s="24" t="str">
        <v>K610</v>
      </c>
      <c r="B174" s="25" t="str">
        <v>NY</v>
      </c>
      <c r="C174" s="25" t="str">
        <f>Sites[[#This Row],[SOL'#]]</f>
        <v>SOL-11158</v>
      </c>
      <c r="D174" s="60"/>
      <c r="E174" s="10"/>
      <c r="F174" s="10" t="str">
        <f t="shared" si="12"/>
        <v/>
      </c>
      <c r="G174" s="11" t="str">
        <f t="shared" si="13"/>
        <v/>
      </c>
      <c r="H174" s="75"/>
      <c r="I174" s="12" t="str">
        <f t="shared" si="14"/>
        <v/>
      </c>
      <c r="J174" s="13" t="str">
        <f t="shared" si="15"/>
        <v/>
      </c>
      <c r="K174" s="63"/>
      <c r="L174" s="37"/>
    </row>
    <row r="175" spans="1:12" ht="15.6">
      <c r="A175" s="26" t="str">
        <v>M025</v>
      </c>
      <c r="B175" s="27" t="str">
        <v>NY</v>
      </c>
      <c r="C175" s="25" t="str">
        <f>Sites[[#This Row],[SOL'#]]</f>
        <v>SOL-10392</v>
      </c>
      <c r="D175" s="74"/>
      <c r="E175" s="14"/>
      <c r="F175" s="14" t="str">
        <f t="shared" si="12"/>
        <v/>
      </c>
      <c r="G175" s="15" t="str">
        <f t="shared" si="13"/>
        <v/>
      </c>
      <c r="H175" s="77"/>
      <c r="I175" s="16" t="str">
        <f t="shared" si="14"/>
        <v/>
      </c>
      <c r="J175" s="15" t="str">
        <f t="shared" si="15"/>
        <v/>
      </c>
      <c r="K175" s="38"/>
      <c r="L175" s="91"/>
    </row>
    <row r="176" spans="1:12" ht="15.6">
      <c r="A176" s="24" t="str">
        <v>M028</v>
      </c>
      <c r="B176" s="25" t="str">
        <v>NY</v>
      </c>
      <c r="C176" s="25" t="str">
        <f>Sites[[#This Row],[SOL'#]]</f>
        <v>SOL-10381</v>
      </c>
      <c r="D176" s="60"/>
      <c r="E176" s="10"/>
      <c r="F176" s="10" t="str">
        <f t="shared" si="12"/>
        <v/>
      </c>
      <c r="G176" s="11" t="str">
        <f t="shared" si="13"/>
        <v/>
      </c>
      <c r="H176" s="75"/>
      <c r="I176" s="12" t="str">
        <f t="shared" si="14"/>
        <v/>
      </c>
      <c r="J176" s="13" t="str">
        <f t="shared" si="15"/>
        <v/>
      </c>
      <c r="K176" s="63"/>
      <c r="L176" s="37"/>
    </row>
    <row r="177" spans="1:12" ht="15.6">
      <c r="A177" s="26" t="str">
        <v>Q030</v>
      </c>
      <c r="B177" s="27" t="str">
        <v>NY</v>
      </c>
      <c r="C177" s="25" t="str">
        <f>Sites[[#This Row],[SOL'#]]</f>
        <v>SOL-10878</v>
      </c>
      <c r="D177" s="74"/>
      <c r="E177" s="14"/>
      <c r="F177" s="14" t="str">
        <f t="shared" si="12"/>
        <v/>
      </c>
      <c r="G177" s="15" t="str">
        <f t="shared" si="13"/>
        <v/>
      </c>
      <c r="H177" s="77"/>
      <c r="I177" s="16" t="str">
        <f t="shared" si="14"/>
        <v/>
      </c>
      <c r="J177" s="15" t="str">
        <f t="shared" si="15"/>
        <v/>
      </c>
      <c r="K177" s="38"/>
      <c r="L177" s="91"/>
    </row>
    <row r="178" spans="1:12" ht="15.6">
      <c r="A178" s="24" t="str">
        <v>Q130</v>
      </c>
      <c r="B178" s="25" t="str">
        <v>NY</v>
      </c>
      <c r="C178" s="25" t="str">
        <f>Sites[[#This Row],[SOL'#]]</f>
        <v>SOL-10877</v>
      </c>
      <c r="D178" s="60"/>
      <c r="E178" s="10"/>
      <c r="F178" s="10" t="str">
        <f t="shared" si="12"/>
        <v/>
      </c>
      <c r="G178" s="11" t="str">
        <f t="shared" si="13"/>
        <v/>
      </c>
      <c r="H178" s="75"/>
      <c r="I178" s="12" t="str">
        <f t="shared" si="14"/>
        <v/>
      </c>
      <c r="J178" s="13" t="str">
        <f t="shared" si="15"/>
        <v/>
      </c>
      <c r="K178" s="63"/>
      <c r="L178" s="37"/>
    </row>
    <row r="179" spans="1:12" ht="15.6">
      <c r="A179" s="26" t="str">
        <v>Q196</v>
      </c>
      <c r="B179" s="27" t="str">
        <v>NY</v>
      </c>
      <c r="C179" s="25" t="str">
        <f>Sites[[#This Row],[SOL'#]]</f>
        <v>SOL-10879</v>
      </c>
      <c r="D179" s="74"/>
      <c r="E179" s="14"/>
      <c r="F179" s="14" t="str">
        <f t="shared" si="12"/>
        <v/>
      </c>
      <c r="G179" s="15" t="str">
        <f t="shared" si="13"/>
        <v/>
      </c>
      <c r="H179" s="77"/>
      <c r="I179" s="16" t="str">
        <f t="shared" si="14"/>
        <v/>
      </c>
      <c r="J179" s="15" t="str">
        <f t="shared" si="15"/>
        <v/>
      </c>
      <c r="K179" s="38"/>
      <c r="L179" s="91"/>
    </row>
    <row r="180" spans="1:12" ht="15.6">
      <c r="A180" s="24" t="str">
        <v>Q220</v>
      </c>
      <c r="B180" s="25" t="str">
        <v>NY</v>
      </c>
      <c r="C180" s="25" t="str">
        <f>Sites[[#This Row],[SOL'#]]</f>
        <v>SOL-10873</v>
      </c>
      <c r="D180" s="60"/>
      <c r="E180" s="10"/>
      <c r="F180" s="10" t="str">
        <f t="shared" si="12"/>
        <v/>
      </c>
      <c r="G180" s="11" t="str">
        <f t="shared" si="13"/>
        <v/>
      </c>
      <c r="H180" s="75"/>
      <c r="I180" s="12" t="str">
        <f t="shared" si="14"/>
        <v/>
      </c>
      <c r="J180" s="13" t="str">
        <f t="shared" si="15"/>
        <v/>
      </c>
      <c r="K180" s="63"/>
      <c r="L180" s="37"/>
    </row>
    <row r="181" spans="1:12" ht="15.6">
      <c r="A181" s="26" t="str">
        <v>Q205</v>
      </c>
      <c r="B181" s="27" t="str">
        <v>NY</v>
      </c>
      <c r="C181" s="25" t="str">
        <f>Sites[[#This Row],[SOL'#]]</f>
        <v>SOL-10922</v>
      </c>
      <c r="D181" s="74"/>
      <c r="E181" s="14"/>
      <c r="F181" s="14" t="str">
        <f t="shared" si="12"/>
        <v/>
      </c>
      <c r="G181" s="15" t="str">
        <f t="shared" si="13"/>
        <v/>
      </c>
      <c r="H181" s="77"/>
      <c r="I181" s="16" t="str">
        <f t="shared" si="14"/>
        <v/>
      </c>
      <c r="J181" s="15" t="str">
        <f t="shared" si="15"/>
        <v/>
      </c>
      <c r="K181" s="38"/>
      <c r="L181" s="91"/>
    </row>
    <row r="182" spans="1:12" ht="15.6">
      <c r="A182" s="24" t="str">
        <v>Q400</v>
      </c>
      <c r="B182" s="25" t="str">
        <v>NY</v>
      </c>
      <c r="C182" s="25" t="str">
        <f>Sites[[#This Row],[SOL'#]]</f>
        <v>SOL-10871</v>
      </c>
      <c r="D182" s="60"/>
      <c r="E182" s="10"/>
      <c r="F182" s="10" t="str">
        <f t="shared" si="12"/>
        <v/>
      </c>
      <c r="G182" s="11" t="str">
        <f t="shared" si="13"/>
        <v/>
      </c>
      <c r="H182" s="75"/>
      <c r="I182" s="12" t="str">
        <f t="shared" si="14"/>
        <v/>
      </c>
      <c r="J182" s="13" t="str">
        <f t="shared" si="15"/>
        <v/>
      </c>
      <c r="K182" s="63"/>
      <c r="L182" s="37"/>
    </row>
    <row r="183" spans="1:12" ht="15.6">
      <c r="A183" s="26" t="str">
        <v>R003</v>
      </c>
      <c r="B183" s="27" t="str">
        <v>NY</v>
      </c>
      <c r="C183" s="25" t="str">
        <f>Sites[[#This Row],[SOL'#]]</f>
        <v>SOL-10416</v>
      </c>
      <c r="D183" s="74"/>
      <c r="E183" s="14"/>
      <c r="F183" s="14" t="str">
        <f t="shared" si="12"/>
        <v/>
      </c>
      <c r="G183" s="15" t="str">
        <f t="shared" si="13"/>
        <v/>
      </c>
      <c r="H183" s="77"/>
      <c r="I183" s="16" t="str">
        <f t="shared" si="14"/>
        <v/>
      </c>
      <c r="J183" s="15" t="str">
        <f t="shared" si="15"/>
        <v/>
      </c>
      <c r="K183" s="38"/>
      <c r="L183" s="91"/>
    </row>
    <row r="184" spans="1:12" ht="15.6">
      <c r="A184" s="24" t="str">
        <v>R007</v>
      </c>
      <c r="B184" s="25" t="str">
        <v>NY</v>
      </c>
      <c r="C184" s="25" t="str">
        <f>Sites[[#This Row],[SOL'#]]</f>
        <v>SOL-10417</v>
      </c>
      <c r="D184" s="60"/>
      <c r="E184" s="10"/>
      <c r="F184" s="10" t="str">
        <f t="shared" si="12"/>
        <v/>
      </c>
      <c r="G184" s="11" t="str">
        <f t="shared" si="13"/>
        <v/>
      </c>
      <c r="H184" s="75"/>
      <c r="I184" s="12" t="str">
        <f t="shared" si="14"/>
        <v/>
      </c>
      <c r="J184" s="13" t="str">
        <f t="shared" si="15"/>
        <v/>
      </c>
      <c r="K184" s="63"/>
      <c r="L184" s="37"/>
    </row>
    <row r="185" spans="1:12" ht="15.6">
      <c r="A185" s="26" t="str">
        <v>BK16</v>
      </c>
      <c r="B185" s="27" t="str">
        <v>NY</v>
      </c>
      <c r="C185" s="25" t="str">
        <f>Sites[[#This Row],[SOL'#]]</f>
        <v>SOL-11093</v>
      </c>
      <c r="D185" s="74"/>
      <c r="E185" s="14"/>
      <c r="F185" s="14" t="str">
        <f t="shared" si="12"/>
        <v/>
      </c>
      <c r="G185" s="15" t="str">
        <f t="shared" si="13"/>
        <v/>
      </c>
      <c r="H185" s="77"/>
      <c r="I185" s="16" t="str">
        <f t="shared" si="14"/>
        <v/>
      </c>
      <c r="J185" s="15" t="str">
        <f t="shared" si="15"/>
        <v/>
      </c>
      <c r="K185" s="38"/>
      <c r="L185" s="91"/>
    </row>
    <row r="186" spans="1:12" ht="15.6">
      <c r="A186" s="24" t="str">
        <v>Trenton - Trenton East</v>
      </c>
      <c r="B186" s="25" t="str">
        <v>IL</v>
      </c>
      <c r="C186" s="25" t="str">
        <f>Sites[[#This Row],[SOL'#]]</f>
        <v>SOL-11060</v>
      </c>
      <c r="D186" s="60"/>
      <c r="E186" s="10"/>
      <c r="F186" s="10"/>
      <c r="G186" s="11"/>
      <c r="H186" s="75"/>
      <c r="I186" s="12"/>
      <c r="J186" s="13"/>
      <c r="K186" s="63"/>
      <c r="L186" s="37"/>
    </row>
    <row r="187" spans="1:12" ht="15.6">
      <c r="A187" s="26" t="str">
        <v>Trenton - Trenton West</v>
      </c>
      <c r="B187" s="27" t="str">
        <v>IL</v>
      </c>
      <c r="C187" s="25" t="str">
        <f>Sites[[#This Row],[SOL'#]]</f>
        <v>SOL-11061</v>
      </c>
      <c r="D187" s="74"/>
      <c r="E187" s="14"/>
      <c r="F187" s="14"/>
      <c r="G187" s="15"/>
      <c r="H187" s="77"/>
      <c r="I187" s="16"/>
      <c r="J187" s="15"/>
      <c r="K187" s="38"/>
      <c r="L187" s="91"/>
    </row>
    <row r="188" spans="1:12" ht="15.6">
      <c r="A188" s="24" t="str">
        <v>Dakota - Dakota Solar 1</v>
      </c>
      <c r="B188" s="25" t="str">
        <v>IL</v>
      </c>
      <c r="C188" s="25" t="str">
        <f>Sites[[#This Row],[SOL'#]]</f>
        <v>SOL-11113</v>
      </c>
      <c r="D188" s="60"/>
      <c r="E188" s="10"/>
      <c r="F188" s="10"/>
      <c r="G188" s="11"/>
      <c r="H188" s="75"/>
      <c r="I188" s="12"/>
      <c r="J188" s="13"/>
      <c r="K188" s="63"/>
      <c r="L188" s="37"/>
    </row>
    <row r="189" spans="1:12" ht="15.6">
      <c r="A189" s="26" t="str">
        <v>X018</v>
      </c>
      <c r="B189" s="27" t="str">
        <v>NY</v>
      </c>
      <c r="C189" s="27"/>
      <c r="D189" s="74"/>
      <c r="E189" s="14"/>
      <c r="F189" s="14"/>
      <c r="G189" s="15"/>
      <c r="H189" s="77"/>
      <c r="I189" s="16"/>
      <c r="J189" s="15"/>
      <c r="K189" s="38"/>
      <c r="L189" s="91"/>
    </row>
    <row r="190" spans="1:12" ht="14.45">
      <c r="A190" s="17" t="str">
        <v>Janiak Solar</v>
      </c>
      <c r="B190" s="134" t="str">
        <v>NY</v>
      </c>
      <c r="C190" s="29"/>
      <c r="D190" s="17"/>
      <c r="E190" s="17"/>
      <c r="F190" s="17"/>
      <c r="G190" s="18"/>
      <c r="H190" s="17"/>
      <c r="I190" s="17"/>
      <c r="J190" s="18"/>
      <c r="K190" s="17"/>
      <c r="L190" s="17"/>
    </row>
    <row r="191" spans="1:12" ht="14.45">
      <c r="A191" s="17" t="str">
        <v>County Route 11B</v>
      </c>
      <c r="B191" s="134" t="str">
        <v>NY</v>
      </c>
      <c r="C191" s="29"/>
      <c r="D191" s="17"/>
      <c r="E191" s="17"/>
      <c r="F191" s="17"/>
      <c r="G191" s="18"/>
      <c r="H191" s="17"/>
      <c r="I191" s="17"/>
      <c r="J191" s="18"/>
      <c r="K191" s="17"/>
      <c r="L191" s="17"/>
    </row>
    <row r="192" spans="1:12" ht="14.45">
      <c r="A192" s="17" t="str">
        <v>Barone</v>
      </c>
      <c r="B192" s="134" t="str">
        <v>NY</v>
      </c>
      <c r="C192" s="29"/>
      <c r="D192" s="17"/>
      <c r="E192" s="17"/>
      <c r="F192" s="17"/>
      <c r="G192" s="18"/>
      <c r="H192" s="17"/>
      <c r="I192" s="17"/>
      <c r="J192" s="18"/>
      <c r="K192" s="17"/>
      <c r="L192" s="17"/>
    </row>
    <row r="193" spans="1:12" ht="14.45">
      <c r="A193" s="17" t="str">
        <v>Cedarville</v>
      </c>
      <c r="B193" s="134" t="str">
        <v>IL</v>
      </c>
      <c r="C193" s="29"/>
      <c r="D193" s="17"/>
      <c r="E193" s="17"/>
      <c r="F193" s="17"/>
      <c r="G193" s="18"/>
      <c r="H193" s="17"/>
      <c r="I193" s="17"/>
      <c r="J193" s="18"/>
      <c r="K193" s="17"/>
      <c r="L193" s="17"/>
    </row>
    <row r="194" spans="1:12" ht="14.45">
      <c r="A194" s="17" t="str">
        <v xml:space="preserve"> O'Brien Hill #1</v>
      </c>
      <c r="B194" s="134" t="str">
        <v>NY</v>
      </c>
      <c r="C194" s="29"/>
      <c r="D194" s="17"/>
      <c r="E194" s="17"/>
      <c r="F194" s="17"/>
      <c r="G194" s="18"/>
      <c r="H194" s="17"/>
      <c r="I194" s="17"/>
      <c r="J194" s="18"/>
      <c r="K194" s="17"/>
      <c r="L194" s="17"/>
    </row>
    <row r="195" spans="1:12" ht="14.45">
      <c r="A195" s="17" t="str">
        <v xml:space="preserve"> O'Brien Hill #2</v>
      </c>
      <c r="B195" s="134"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89 J4:J189">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00"/>
  <sheetViews>
    <sheetView zoomScale="90" zoomScaleNormal="90" workbookViewId="0">
      <pane ySplit="3" topLeftCell="A122" activePane="bottomLeft" state="frozen"/>
      <selection pane="bottomLeft" activeCell="A122" sqref="A122"/>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1996</v>
      </c>
      <c r="B1" t="s">
        <v>1997</v>
      </c>
    </row>
    <row r="3" spans="1:6" ht="13.15">
      <c r="A3" t="s">
        <v>1998</v>
      </c>
      <c r="B3" t="s">
        <v>3</v>
      </c>
      <c r="C3" t="s">
        <v>4</v>
      </c>
      <c r="D3" t="s">
        <v>1999</v>
      </c>
      <c r="E3" s="2" t="s">
        <v>2000</v>
      </c>
      <c r="F3" t="s">
        <v>5</v>
      </c>
    </row>
    <row r="4" spans="1:6" ht="13.15">
      <c r="A4" s="40" t="s">
        <v>2001</v>
      </c>
      <c r="B4" s="3" t="s">
        <v>2002</v>
      </c>
      <c r="C4" s="3" t="s">
        <v>2003</v>
      </c>
      <c r="E4" t="s">
        <v>2004</v>
      </c>
      <c r="F4" t="s">
        <v>2005</v>
      </c>
    </row>
    <row r="5" spans="1:6" ht="13.15">
      <c r="A5" s="40" t="s">
        <v>2006</v>
      </c>
      <c r="B5" s="3" t="s">
        <v>2007</v>
      </c>
      <c r="C5" s="3" t="s">
        <v>2003</v>
      </c>
      <c r="E5" t="s">
        <v>2004</v>
      </c>
      <c r="F5" t="s">
        <v>2008</v>
      </c>
    </row>
    <row r="6" spans="1:6" ht="13.15">
      <c r="A6" s="40" t="s">
        <v>2009</v>
      </c>
      <c r="B6" s="3" t="s">
        <v>2009</v>
      </c>
      <c r="C6" s="3" t="s">
        <v>2003</v>
      </c>
      <c r="E6" t="s">
        <v>2004</v>
      </c>
      <c r="F6" t="s">
        <v>2010</v>
      </c>
    </row>
    <row r="7" spans="1:6" ht="12.75" customHeight="1">
      <c r="A7" s="40" t="s">
        <v>2011</v>
      </c>
      <c r="B7" s="3" t="s">
        <v>2012</v>
      </c>
      <c r="C7" s="3" t="s">
        <v>2003</v>
      </c>
      <c r="E7" t="s">
        <v>2004</v>
      </c>
      <c r="F7" t="s">
        <v>2013</v>
      </c>
    </row>
    <row r="8" spans="1:6" ht="12.75" customHeight="1">
      <c r="A8" s="40" t="s">
        <v>2014</v>
      </c>
      <c r="B8" s="3" t="s">
        <v>2015</v>
      </c>
      <c r="C8" s="3" t="s">
        <v>2003</v>
      </c>
      <c r="E8" t="s">
        <v>2004</v>
      </c>
      <c r="F8" t="s">
        <v>2016</v>
      </c>
    </row>
    <row r="9" spans="1:6" ht="12.75" customHeight="1">
      <c r="A9" s="40" t="s">
        <v>2017</v>
      </c>
      <c r="B9" s="3" t="s">
        <v>2018</v>
      </c>
      <c r="C9" s="3" t="s">
        <v>2003</v>
      </c>
      <c r="E9" t="s">
        <v>2004</v>
      </c>
      <c r="F9" t="s">
        <v>2019</v>
      </c>
    </row>
    <row r="10" spans="1:6" ht="12.75" customHeight="1">
      <c r="A10" s="40" t="s">
        <v>2020</v>
      </c>
      <c r="B10" s="3" t="s">
        <v>2021</v>
      </c>
      <c r="C10" s="3" t="s">
        <v>2003</v>
      </c>
      <c r="E10" t="s">
        <v>2004</v>
      </c>
      <c r="F10" t="s">
        <v>2022</v>
      </c>
    </row>
    <row r="11" spans="1:6" ht="12.75" customHeight="1">
      <c r="A11" s="40" t="s">
        <v>2023</v>
      </c>
      <c r="B11" s="3" t="s">
        <v>2023</v>
      </c>
      <c r="C11" s="3" t="s">
        <v>2003</v>
      </c>
      <c r="E11" t="s">
        <v>2004</v>
      </c>
      <c r="F11" t="s">
        <v>2024</v>
      </c>
    </row>
    <row r="12" spans="1:6" ht="12.75" customHeight="1">
      <c r="A12" s="40" t="s">
        <v>2025</v>
      </c>
      <c r="B12" s="3" t="s">
        <v>2025</v>
      </c>
      <c r="C12" s="3" t="s">
        <v>2003</v>
      </c>
      <c r="E12" t="s">
        <v>2004</v>
      </c>
      <c r="F12" t="s">
        <v>2026</v>
      </c>
    </row>
    <row r="13" spans="1:6" ht="12.75" customHeight="1">
      <c r="A13" s="40" t="s">
        <v>2027</v>
      </c>
      <c r="B13" s="3" t="s">
        <v>2028</v>
      </c>
      <c r="C13" s="3" t="s">
        <v>2029</v>
      </c>
      <c r="E13" t="s">
        <v>2004</v>
      </c>
      <c r="F13" t="s">
        <v>2030</v>
      </c>
    </row>
    <row r="14" spans="1:6" ht="12.75" customHeight="1">
      <c r="A14" s="40" t="s">
        <v>2031</v>
      </c>
      <c r="B14" s="3" t="s">
        <v>2032</v>
      </c>
      <c r="C14" s="3" t="s">
        <v>2029</v>
      </c>
      <c r="E14" t="s">
        <v>2004</v>
      </c>
      <c r="F14" t="s">
        <v>2033</v>
      </c>
    </row>
    <row r="15" spans="1:6" ht="12.75" customHeight="1">
      <c r="A15" s="40" t="s">
        <v>2034</v>
      </c>
      <c r="B15" s="3" t="s">
        <v>2035</v>
      </c>
      <c r="C15" s="3" t="s">
        <v>2003</v>
      </c>
      <c r="E15" t="s">
        <v>2004</v>
      </c>
      <c r="F15" t="s">
        <v>2036</v>
      </c>
    </row>
    <row r="16" spans="1:6" ht="12.75" customHeight="1">
      <c r="A16" s="40" t="s">
        <v>2037</v>
      </c>
      <c r="B16" s="3" t="s">
        <v>2038</v>
      </c>
      <c r="C16" s="3" t="s">
        <v>2003</v>
      </c>
      <c r="E16" t="s">
        <v>2004</v>
      </c>
      <c r="F16" t="s">
        <v>2039</v>
      </c>
    </row>
    <row r="17" spans="1:6" ht="12.75" customHeight="1">
      <c r="A17" s="40" t="s">
        <v>2040</v>
      </c>
      <c r="B17" s="3" t="s">
        <v>2041</v>
      </c>
      <c r="C17" s="3" t="s">
        <v>2003</v>
      </c>
      <c r="E17" t="s">
        <v>2004</v>
      </c>
      <c r="F17" t="s">
        <v>2042</v>
      </c>
    </row>
    <row r="18" spans="1:6" ht="12.75" customHeight="1">
      <c r="A18" s="40" t="s">
        <v>2043</v>
      </c>
      <c r="B18" s="3" t="s">
        <v>2043</v>
      </c>
      <c r="C18" s="3" t="s">
        <v>2003</v>
      </c>
      <c r="E18" t="s">
        <v>2004</v>
      </c>
      <c r="F18" t="s">
        <v>2044</v>
      </c>
    </row>
    <row r="19" spans="1:6" ht="12.75" customHeight="1">
      <c r="A19" s="40" t="s">
        <v>2045</v>
      </c>
      <c r="B19" s="3" t="s">
        <v>2046</v>
      </c>
      <c r="C19" s="3" t="s">
        <v>2047</v>
      </c>
      <c r="E19" t="s">
        <v>2004</v>
      </c>
      <c r="F19" t="s">
        <v>2048</v>
      </c>
    </row>
    <row r="20" spans="1:6" ht="12.75" customHeight="1">
      <c r="A20" s="40" t="s">
        <v>2049</v>
      </c>
      <c r="B20" s="3" t="s">
        <v>2050</v>
      </c>
      <c r="C20" s="3" t="s">
        <v>2047</v>
      </c>
      <c r="E20" t="s">
        <v>2004</v>
      </c>
      <c r="F20" t="s">
        <v>2051</v>
      </c>
    </row>
    <row r="21" spans="1:6" ht="12.75" customHeight="1">
      <c r="A21" s="40" t="s">
        <v>2052</v>
      </c>
      <c r="B21" s="3" t="s">
        <v>2052</v>
      </c>
      <c r="C21" s="3" t="s">
        <v>2053</v>
      </c>
      <c r="E21" t="s">
        <v>2004</v>
      </c>
      <c r="F21" t="s">
        <v>2054</v>
      </c>
    </row>
    <row r="22" spans="1:6" ht="12.75" customHeight="1">
      <c r="A22" s="40" t="s">
        <v>2055</v>
      </c>
      <c r="B22" s="3" t="s">
        <v>2055</v>
      </c>
      <c r="C22" s="3" t="s">
        <v>2053</v>
      </c>
      <c r="E22" t="s">
        <v>2004</v>
      </c>
      <c r="F22" t="s">
        <v>2056</v>
      </c>
    </row>
    <row r="23" spans="1:6" ht="12.75" customHeight="1">
      <c r="A23" s="41" t="s">
        <v>2057</v>
      </c>
      <c r="B23" t="s">
        <v>2058</v>
      </c>
      <c r="C23" s="3" t="s">
        <v>2053</v>
      </c>
      <c r="E23" t="s">
        <v>2004</v>
      </c>
      <c r="F23" t="s">
        <v>2059</v>
      </c>
    </row>
    <row r="24" spans="1:6" ht="12.75" customHeight="1">
      <c r="A24" s="40" t="s">
        <v>2060</v>
      </c>
      <c r="B24" s="3" t="s">
        <v>2060</v>
      </c>
      <c r="C24" s="3" t="s">
        <v>2053</v>
      </c>
      <c r="E24" t="s">
        <v>2004</v>
      </c>
      <c r="F24" t="s">
        <v>2061</v>
      </c>
    </row>
    <row r="25" spans="1:6" ht="12.75" customHeight="1">
      <c r="A25" s="41" t="s">
        <v>2062</v>
      </c>
      <c r="B25" t="s">
        <v>2062</v>
      </c>
      <c r="C25" s="3" t="s">
        <v>2053</v>
      </c>
      <c r="E25" t="s">
        <v>2004</v>
      </c>
      <c r="F25" t="s">
        <v>2063</v>
      </c>
    </row>
    <row r="26" spans="1:6" ht="12.75" customHeight="1">
      <c r="A26" s="40" t="s">
        <v>2064</v>
      </c>
      <c r="B26" s="3" t="s">
        <v>2064</v>
      </c>
      <c r="C26" s="3" t="s">
        <v>2053</v>
      </c>
      <c r="E26" t="s">
        <v>2004</v>
      </c>
      <c r="F26" t="s">
        <v>2065</v>
      </c>
    </row>
    <row r="27" spans="1:6" ht="12.75" customHeight="1">
      <c r="A27" s="40" t="s">
        <v>2066</v>
      </c>
      <c r="B27" s="3" t="s">
        <v>2066</v>
      </c>
      <c r="C27" s="3" t="s">
        <v>2053</v>
      </c>
      <c r="E27" t="s">
        <v>2004</v>
      </c>
      <c r="F27" t="s">
        <v>2067</v>
      </c>
    </row>
    <row r="28" spans="1:6" ht="12.75" customHeight="1">
      <c r="A28" s="40" t="s">
        <v>2068</v>
      </c>
      <c r="B28" s="3" t="s">
        <v>2068</v>
      </c>
      <c r="C28" s="3" t="s">
        <v>2053</v>
      </c>
      <c r="E28" t="s">
        <v>2004</v>
      </c>
      <c r="F28" t="s">
        <v>2069</v>
      </c>
    </row>
    <row r="29" spans="1:6" ht="12.75" customHeight="1">
      <c r="A29" s="40" t="s">
        <v>2070</v>
      </c>
      <c r="B29" s="3" t="s">
        <v>2070</v>
      </c>
      <c r="C29" s="3" t="s">
        <v>2053</v>
      </c>
      <c r="E29" t="s">
        <v>2004</v>
      </c>
      <c r="F29" t="s">
        <v>2071</v>
      </c>
    </row>
    <row r="30" spans="1:6" ht="12.75" customHeight="1">
      <c r="A30" s="40" t="s">
        <v>2072</v>
      </c>
      <c r="B30" s="3" t="s">
        <v>2072</v>
      </c>
      <c r="C30" s="3" t="s">
        <v>2053</v>
      </c>
      <c r="E30" t="s">
        <v>2004</v>
      </c>
      <c r="F30" t="s">
        <v>2073</v>
      </c>
    </row>
    <row r="31" spans="1:6" ht="12.75" customHeight="1">
      <c r="A31" s="40" t="s">
        <v>2074</v>
      </c>
      <c r="B31" s="3" t="s">
        <v>2074</v>
      </c>
      <c r="C31" s="3" t="s">
        <v>2053</v>
      </c>
      <c r="E31" t="s">
        <v>2004</v>
      </c>
      <c r="F31" t="s">
        <v>2075</v>
      </c>
    </row>
    <row r="32" spans="1:6" ht="12.75" customHeight="1">
      <c r="A32" s="41" t="s">
        <v>2076</v>
      </c>
      <c r="B32" t="s">
        <v>2076</v>
      </c>
      <c r="C32" s="3" t="s">
        <v>2053</v>
      </c>
      <c r="E32" t="s">
        <v>2004</v>
      </c>
      <c r="F32" t="s">
        <v>2077</v>
      </c>
    </row>
    <row r="33" spans="1:6" ht="12.75" customHeight="1">
      <c r="A33" s="41" t="s">
        <v>2078</v>
      </c>
      <c r="B33" t="s">
        <v>2078</v>
      </c>
      <c r="C33" s="3" t="s">
        <v>2053</v>
      </c>
      <c r="E33" t="s">
        <v>2004</v>
      </c>
      <c r="F33" t="s">
        <v>2079</v>
      </c>
    </row>
    <row r="34" spans="1:6" ht="12.75" customHeight="1">
      <c r="A34" s="40" t="s">
        <v>2080</v>
      </c>
      <c r="B34" s="3" t="s">
        <v>2080</v>
      </c>
      <c r="C34" s="3" t="s">
        <v>2053</v>
      </c>
      <c r="E34" t="s">
        <v>2004</v>
      </c>
      <c r="F34" t="s">
        <v>2081</v>
      </c>
    </row>
    <row r="35" spans="1:6" ht="12.75" customHeight="1">
      <c r="A35" s="40" t="s">
        <v>2082</v>
      </c>
      <c r="B35" s="3" t="s">
        <v>2082</v>
      </c>
      <c r="C35" s="3" t="s">
        <v>2053</v>
      </c>
      <c r="E35" t="s">
        <v>2004</v>
      </c>
      <c r="F35" t="s">
        <v>2083</v>
      </c>
    </row>
    <row r="36" spans="1:6" ht="12.75" customHeight="1">
      <c r="A36" s="40" t="s">
        <v>2084</v>
      </c>
      <c r="B36" s="3" t="s">
        <v>2084</v>
      </c>
      <c r="C36" s="3" t="s">
        <v>2053</v>
      </c>
      <c r="E36" t="s">
        <v>2004</v>
      </c>
      <c r="F36" t="s">
        <v>2085</v>
      </c>
    </row>
    <row r="37" spans="1:6" ht="12.75" customHeight="1">
      <c r="A37" s="41" t="s">
        <v>2086</v>
      </c>
      <c r="B37" t="s">
        <v>2086</v>
      </c>
      <c r="C37" s="3" t="s">
        <v>2053</v>
      </c>
      <c r="E37" t="s">
        <v>2004</v>
      </c>
      <c r="F37" t="s">
        <v>2087</v>
      </c>
    </row>
    <row r="38" spans="1:6" ht="12.75" customHeight="1">
      <c r="A38" s="40" t="s">
        <v>2088</v>
      </c>
      <c r="B38" s="3" t="s">
        <v>2088</v>
      </c>
      <c r="C38" s="3" t="s">
        <v>2053</v>
      </c>
      <c r="E38" t="s">
        <v>2004</v>
      </c>
      <c r="F38" t="s">
        <v>2089</v>
      </c>
    </row>
    <row r="39" spans="1:6" ht="12.75" customHeight="1">
      <c r="A39" s="40" t="s">
        <v>2090</v>
      </c>
      <c r="B39" s="3" t="s">
        <v>2090</v>
      </c>
      <c r="C39" s="3" t="s">
        <v>2053</v>
      </c>
      <c r="E39" t="s">
        <v>2004</v>
      </c>
      <c r="F39" t="s">
        <v>2091</v>
      </c>
    </row>
    <row r="40" spans="1:6" ht="12.75" customHeight="1">
      <c r="A40" s="40" t="s">
        <v>2092</v>
      </c>
      <c r="B40" s="3" t="s">
        <v>2092</v>
      </c>
      <c r="C40" s="3" t="s">
        <v>2053</v>
      </c>
      <c r="E40" t="s">
        <v>2004</v>
      </c>
      <c r="F40" t="s">
        <v>2093</v>
      </c>
    </row>
    <row r="41" spans="1:6" ht="12.75" customHeight="1">
      <c r="A41" s="41" t="s">
        <v>2094</v>
      </c>
      <c r="B41" t="s">
        <v>2094</v>
      </c>
      <c r="C41" s="3" t="s">
        <v>2053</v>
      </c>
      <c r="E41" t="s">
        <v>2004</v>
      </c>
      <c r="F41" t="s">
        <v>2095</v>
      </c>
    </row>
    <row r="42" spans="1:6" ht="12.75" customHeight="1">
      <c r="A42" s="41" t="s">
        <v>2096</v>
      </c>
      <c r="B42" t="s">
        <v>2096</v>
      </c>
      <c r="C42" s="3" t="s">
        <v>2053</v>
      </c>
      <c r="E42" t="s">
        <v>2004</v>
      </c>
      <c r="F42" t="s">
        <v>2097</v>
      </c>
    </row>
    <row r="43" spans="1:6" ht="12.75" customHeight="1">
      <c r="A43" s="40" t="s">
        <v>2098</v>
      </c>
      <c r="B43" s="3" t="s">
        <v>2098</v>
      </c>
      <c r="C43" s="3" t="s">
        <v>2053</v>
      </c>
      <c r="E43" t="s">
        <v>2004</v>
      </c>
      <c r="F43" t="s">
        <v>2099</v>
      </c>
    </row>
    <row r="44" spans="1:6" ht="12.75" customHeight="1">
      <c r="A44" s="40" t="s">
        <v>2100</v>
      </c>
      <c r="B44" s="3" t="s">
        <v>2101</v>
      </c>
      <c r="C44" s="3" t="s">
        <v>2053</v>
      </c>
      <c r="E44" t="s">
        <v>2004</v>
      </c>
      <c r="F44" t="s">
        <v>2102</v>
      </c>
    </row>
    <row r="45" spans="1:6" ht="12.75" customHeight="1">
      <c r="A45" s="41" t="s">
        <v>2103</v>
      </c>
      <c r="B45" t="s">
        <v>2103</v>
      </c>
      <c r="C45" s="3" t="s">
        <v>2053</v>
      </c>
      <c r="E45" t="s">
        <v>2004</v>
      </c>
      <c r="F45" t="s">
        <v>2104</v>
      </c>
    </row>
    <row r="46" spans="1:6" ht="12.75" customHeight="1">
      <c r="A46" s="40" t="s">
        <v>2105</v>
      </c>
      <c r="B46" s="3" t="s">
        <v>2105</v>
      </c>
      <c r="C46" s="3" t="s">
        <v>2053</v>
      </c>
      <c r="E46" t="s">
        <v>2004</v>
      </c>
      <c r="F46" t="s">
        <v>2106</v>
      </c>
    </row>
    <row r="47" spans="1:6" ht="12.75" customHeight="1">
      <c r="A47" s="40" t="s">
        <v>2107</v>
      </c>
      <c r="B47" s="3" t="s">
        <v>2107</v>
      </c>
      <c r="C47" s="3" t="s">
        <v>2053</v>
      </c>
      <c r="E47" t="s">
        <v>2004</v>
      </c>
      <c r="F47" t="s">
        <v>2108</v>
      </c>
    </row>
    <row r="48" spans="1:6" ht="12.75" customHeight="1">
      <c r="A48" s="40" t="s">
        <v>2109</v>
      </c>
      <c r="B48" s="3" t="s">
        <v>2109</v>
      </c>
      <c r="C48" s="3" t="s">
        <v>2053</v>
      </c>
      <c r="E48" t="s">
        <v>2004</v>
      </c>
      <c r="F48" t="s">
        <v>2110</v>
      </c>
    </row>
    <row r="49" spans="1:6" ht="12.75" customHeight="1">
      <c r="A49" s="40" t="s">
        <v>2111</v>
      </c>
      <c r="B49" s="3" t="s">
        <v>2111</v>
      </c>
      <c r="C49" s="3" t="s">
        <v>2053</v>
      </c>
      <c r="E49" t="s">
        <v>2004</v>
      </c>
      <c r="F49" t="s">
        <v>2112</v>
      </c>
    </row>
    <row r="50" spans="1:6" ht="12.75" customHeight="1">
      <c r="A50" s="40" t="s">
        <v>2113</v>
      </c>
      <c r="B50" s="3" t="s">
        <v>2113</v>
      </c>
      <c r="C50" s="3" t="s">
        <v>2053</v>
      </c>
      <c r="E50" t="s">
        <v>2004</v>
      </c>
      <c r="F50" t="s">
        <v>2114</v>
      </c>
    </row>
    <row r="51" spans="1:6" ht="12.75" customHeight="1">
      <c r="A51" s="40" t="s">
        <v>2115</v>
      </c>
      <c r="B51" s="3" t="s">
        <v>2115</v>
      </c>
      <c r="C51" s="3" t="s">
        <v>2053</v>
      </c>
      <c r="E51" t="s">
        <v>2004</v>
      </c>
      <c r="F51" t="s">
        <v>2116</v>
      </c>
    </row>
    <row r="52" spans="1:6" ht="12.75" customHeight="1">
      <c r="A52" s="40" t="s">
        <v>2117</v>
      </c>
      <c r="B52" s="3" t="s">
        <v>2117</v>
      </c>
      <c r="C52" s="3" t="s">
        <v>2053</v>
      </c>
      <c r="E52" t="s">
        <v>2004</v>
      </c>
      <c r="F52" t="s">
        <v>2118</v>
      </c>
    </row>
    <row r="53" spans="1:6" ht="12.75" customHeight="1">
      <c r="A53" s="40" t="s">
        <v>2119</v>
      </c>
      <c r="B53" s="3" t="s">
        <v>2119</v>
      </c>
      <c r="C53" s="3" t="s">
        <v>2053</v>
      </c>
      <c r="E53" t="s">
        <v>2004</v>
      </c>
      <c r="F53" t="s">
        <v>2120</v>
      </c>
    </row>
    <row r="54" spans="1:6" ht="12.75" customHeight="1">
      <c r="A54" s="40" t="s">
        <v>2121</v>
      </c>
      <c r="B54" s="3" t="s">
        <v>2121</v>
      </c>
      <c r="C54" s="3" t="s">
        <v>2053</v>
      </c>
      <c r="E54" t="s">
        <v>2004</v>
      </c>
      <c r="F54" t="s">
        <v>2122</v>
      </c>
    </row>
    <row r="55" spans="1:6" ht="12.75" customHeight="1">
      <c r="A55" s="40" t="s">
        <v>2123</v>
      </c>
      <c r="B55" s="3" t="s">
        <v>2123</v>
      </c>
      <c r="C55" s="3" t="s">
        <v>2053</v>
      </c>
      <c r="E55" t="s">
        <v>2004</v>
      </c>
      <c r="F55" t="s">
        <v>2124</v>
      </c>
    </row>
    <row r="56" spans="1:6" ht="12.75" customHeight="1">
      <c r="A56" s="40" t="s">
        <v>2125</v>
      </c>
      <c r="B56" s="3" t="s">
        <v>2125</v>
      </c>
      <c r="C56" s="3" t="s">
        <v>2053</v>
      </c>
      <c r="E56" t="s">
        <v>2004</v>
      </c>
      <c r="F56" t="s">
        <v>2126</v>
      </c>
    </row>
    <row r="57" spans="1:6" ht="12.75" customHeight="1">
      <c r="A57" s="40" t="s">
        <v>2127</v>
      </c>
      <c r="B57" s="3" t="s">
        <v>2127</v>
      </c>
      <c r="C57" s="3" t="s">
        <v>2053</v>
      </c>
      <c r="E57" t="s">
        <v>2004</v>
      </c>
      <c r="F57" t="s">
        <v>2128</v>
      </c>
    </row>
    <row r="58" spans="1:6" ht="12.75" customHeight="1">
      <c r="A58" s="41" t="s">
        <v>2129</v>
      </c>
      <c r="B58" t="s">
        <v>2129</v>
      </c>
      <c r="C58" s="3" t="s">
        <v>2053</v>
      </c>
      <c r="E58" t="s">
        <v>2004</v>
      </c>
      <c r="F58" t="s">
        <v>2130</v>
      </c>
    </row>
    <row r="59" spans="1:6" ht="12.75" customHeight="1">
      <c r="A59" s="41" t="s">
        <v>2131</v>
      </c>
      <c r="B59" t="s">
        <v>2131</v>
      </c>
      <c r="C59" s="3" t="s">
        <v>2053</v>
      </c>
      <c r="E59" t="s">
        <v>2004</v>
      </c>
      <c r="F59" t="s">
        <v>2132</v>
      </c>
    </row>
    <row r="60" spans="1:6" ht="12.75" customHeight="1">
      <c r="A60" s="40" t="s">
        <v>2133</v>
      </c>
      <c r="B60" s="3" t="s">
        <v>2133</v>
      </c>
      <c r="C60" s="3" t="s">
        <v>2053</v>
      </c>
      <c r="E60" t="s">
        <v>2004</v>
      </c>
      <c r="F60" t="s">
        <v>2134</v>
      </c>
    </row>
    <row r="61" spans="1:6" ht="12.75" customHeight="1">
      <c r="A61" s="40" t="s">
        <v>2135</v>
      </c>
      <c r="B61" s="3" t="s">
        <v>2135</v>
      </c>
      <c r="C61" s="3" t="s">
        <v>2053</v>
      </c>
      <c r="E61" t="s">
        <v>2004</v>
      </c>
      <c r="F61" t="s">
        <v>2136</v>
      </c>
    </row>
    <row r="62" spans="1:6" ht="12.75" customHeight="1">
      <c r="A62" s="41" t="s">
        <v>2137</v>
      </c>
      <c r="B62" t="s">
        <v>2138</v>
      </c>
      <c r="C62" s="3" t="s">
        <v>2053</v>
      </c>
      <c r="E62" t="s">
        <v>2004</v>
      </c>
      <c r="F62" t="s">
        <v>2139</v>
      </c>
    </row>
    <row r="63" spans="1:6" ht="12.75" customHeight="1">
      <c r="A63" s="41" t="s">
        <v>2140</v>
      </c>
      <c r="B63" t="s">
        <v>2140</v>
      </c>
      <c r="C63" s="3" t="s">
        <v>2053</v>
      </c>
      <c r="E63" t="s">
        <v>2004</v>
      </c>
      <c r="F63" t="s">
        <v>2141</v>
      </c>
    </row>
    <row r="64" spans="1:6" ht="12.75" customHeight="1">
      <c r="A64" s="40">
        <v>38</v>
      </c>
      <c r="B64" s="3" t="s">
        <v>2142</v>
      </c>
      <c r="C64" s="3" t="s">
        <v>2053</v>
      </c>
      <c r="E64" t="s">
        <v>2004</v>
      </c>
      <c r="F64" t="s">
        <v>2143</v>
      </c>
    </row>
    <row r="65" spans="1:6" ht="12.75" customHeight="1">
      <c r="A65" s="41">
        <v>144</v>
      </c>
      <c r="B65" t="s">
        <v>2144</v>
      </c>
      <c r="C65" s="3" t="s">
        <v>2053</v>
      </c>
      <c r="E65" t="s">
        <v>2004</v>
      </c>
      <c r="F65" t="s">
        <v>2145</v>
      </c>
    </row>
    <row r="66" spans="1:6" ht="12.75" customHeight="1">
      <c r="A66" s="40">
        <v>279</v>
      </c>
      <c r="B66" s="3" t="s">
        <v>2146</v>
      </c>
      <c r="C66" s="3" t="s">
        <v>2053</v>
      </c>
      <c r="E66" t="s">
        <v>2004</v>
      </c>
      <c r="F66" t="s">
        <v>2147</v>
      </c>
    </row>
    <row r="67" spans="1:6" ht="12.75" customHeight="1">
      <c r="A67" s="40">
        <v>293</v>
      </c>
      <c r="B67" s="3" t="s">
        <v>2148</v>
      </c>
      <c r="C67" s="3" t="s">
        <v>2053</v>
      </c>
      <c r="E67" t="s">
        <v>2004</v>
      </c>
      <c r="F67" t="s">
        <v>2149</v>
      </c>
    </row>
    <row r="68" spans="1:6" ht="12.75" customHeight="1">
      <c r="A68" s="41">
        <v>308</v>
      </c>
      <c r="B68" t="s">
        <v>2150</v>
      </c>
      <c r="C68" s="3" t="s">
        <v>2053</v>
      </c>
      <c r="E68" t="s">
        <v>2004</v>
      </c>
      <c r="F68" t="s">
        <v>2151</v>
      </c>
    </row>
    <row r="69" spans="1:6" ht="12.75" customHeight="1">
      <c r="A69" s="41">
        <v>309</v>
      </c>
      <c r="B69" t="s">
        <v>2152</v>
      </c>
      <c r="C69" s="3" t="s">
        <v>2053</v>
      </c>
      <c r="E69" t="s">
        <v>2004</v>
      </c>
      <c r="F69" t="s">
        <v>2153</v>
      </c>
    </row>
    <row r="70" spans="1:6" ht="12.75" customHeight="1">
      <c r="A70" s="41" t="s">
        <v>2154</v>
      </c>
      <c r="B70" t="s">
        <v>2155</v>
      </c>
      <c r="C70" s="3" t="s">
        <v>2053</v>
      </c>
      <c r="E70" t="s">
        <v>2004</v>
      </c>
      <c r="F70" t="s">
        <v>2156</v>
      </c>
    </row>
    <row r="71" spans="1:6" ht="12.75" customHeight="1">
      <c r="A71" s="40" t="s">
        <v>2157</v>
      </c>
      <c r="B71" s="3" t="s">
        <v>2157</v>
      </c>
      <c r="C71" s="3" t="s">
        <v>2053</v>
      </c>
      <c r="E71" t="s">
        <v>2004</v>
      </c>
      <c r="F71" t="s">
        <v>2158</v>
      </c>
    </row>
    <row r="72" spans="1:6" ht="12.75" customHeight="1">
      <c r="A72" s="40">
        <v>358</v>
      </c>
      <c r="B72" s="3" t="s">
        <v>2159</v>
      </c>
      <c r="C72" s="3" t="s">
        <v>2053</v>
      </c>
      <c r="E72" t="s">
        <v>2004</v>
      </c>
      <c r="F72" t="s">
        <v>2160</v>
      </c>
    </row>
    <row r="73" spans="1:6" ht="12.75" customHeight="1">
      <c r="A73" s="40" t="s">
        <v>2161</v>
      </c>
      <c r="B73" s="3" t="s">
        <v>2162</v>
      </c>
      <c r="C73" s="3" t="s">
        <v>2163</v>
      </c>
      <c r="E73" t="s">
        <v>2004</v>
      </c>
      <c r="F73" t="s">
        <v>2164</v>
      </c>
    </row>
    <row r="74" spans="1:6" ht="12.75" customHeight="1">
      <c r="A74" s="40" t="s">
        <v>2165</v>
      </c>
      <c r="B74" s="3" t="s">
        <v>2166</v>
      </c>
      <c r="C74" s="3" t="s">
        <v>2163</v>
      </c>
      <c r="E74" t="s">
        <v>2004</v>
      </c>
      <c r="F74" t="s">
        <v>2167</v>
      </c>
    </row>
    <row r="75" spans="1:6" ht="12.75" customHeight="1">
      <c r="A75" s="40" t="s">
        <v>2168</v>
      </c>
      <c r="B75" s="40" t="s">
        <v>2168</v>
      </c>
      <c r="C75" s="3" t="s">
        <v>2053</v>
      </c>
      <c r="D75" t="s">
        <v>2169</v>
      </c>
      <c r="E75" t="s">
        <v>2170</v>
      </c>
      <c r="F75" t="s">
        <v>2171</v>
      </c>
    </row>
    <row r="76" spans="1:6" ht="12.75" customHeight="1">
      <c r="A76" s="40" t="s">
        <v>2172</v>
      </c>
      <c r="B76" s="3" t="s">
        <v>2172</v>
      </c>
      <c r="C76" s="3" t="s">
        <v>2053</v>
      </c>
      <c r="D76" t="s">
        <v>2169</v>
      </c>
      <c r="E76" s="42" t="s">
        <v>2170</v>
      </c>
      <c r="F76" t="s">
        <v>2173</v>
      </c>
    </row>
    <row r="77" spans="1:6" ht="12.75" customHeight="1">
      <c r="A77" s="40" t="s">
        <v>2174</v>
      </c>
      <c r="B77" s="3" t="s">
        <v>2175</v>
      </c>
      <c r="C77" s="3" t="s">
        <v>2053</v>
      </c>
      <c r="D77" t="s">
        <v>2169</v>
      </c>
      <c r="E77" s="42" t="s">
        <v>2170</v>
      </c>
      <c r="F77" t="s">
        <v>2176</v>
      </c>
    </row>
    <row r="78" spans="1:6" ht="12.75" customHeight="1">
      <c r="A78" s="40" t="s">
        <v>2177</v>
      </c>
      <c r="B78" s="3" t="s">
        <v>2178</v>
      </c>
      <c r="C78" s="3" t="s">
        <v>2053</v>
      </c>
      <c r="D78" t="s">
        <v>2169</v>
      </c>
      <c r="E78" s="42" t="s">
        <v>2170</v>
      </c>
      <c r="F78" t="s">
        <v>2179</v>
      </c>
    </row>
    <row r="79" spans="1:6" ht="12.75" customHeight="1">
      <c r="A79" s="40" t="s">
        <v>2180</v>
      </c>
      <c r="B79" s="3" t="s">
        <v>2180</v>
      </c>
      <c r="C79" s="3" t="s">
        <v>2053</v>
      </c>
      <c r="D79" t="s">
        <v>2169</v>
      </c>
      <c r="E79" t="s">
        <v>2170</v>
      </c>
      <c r="F79" t="s">
        <v>2181</v>
      </c>
    </row>
    <row r="80" spans="1:6" ht="12.75" customHeight="1">
      <c r="A80" s="40" t="s">
        <v>2182</v>
      </c>
      <c r="B80" s="40" t="s">
        <v>2182</v>
      </c>
      <c r="C80" s="3" t="s">
        <v>2053</v>
      </c>
      <c r="D80" t="s">
        <v>2169</v>
      </c>
      <c r="E80" t="s">
        <v>2170</v>
      </c>
      <c r="F80" t="s">
        <v>2183</v>
      </c>
    </row>
    <row r="81" spans="1:6" ht="12.75" customHeight="1">
      <c r="A81" s="40" t="s">
        <v>2184</v>
      </c>
      <c r="B81" s="40" t="s">
        <v>2184</v>
      </c>
      <c r="C81" s="3" t="s">
        <v>2053</v>
      </c>
      <c r="D81" t="s">
        <v>2169</v>
      </c>
      <c r="E81" t="s">
        <v>2170</v>
      </c>
      <c r="F81" t="s">
        <v>2185</v>
      </c>
    </row>
    <row r="82" spans="1:6" ht="12.75" customHeight="1">
      <c r="A82" s="40" t="s">
        <v>2186</v>
      </c>
      <c r="B82" s="40" t="s">
        <v>2186</v>
      </c>
      <c r="C82" s="3" t="s">
        <v>2053</v>
      </c>
      <c r="D82" t="s">
        <v>2169</v>
      </c>
      <c r="E82" t="s">
        <v>2170</v>
      </c>
      <c r="F82" t="s">
        <v>2187</v>
      </c>
    </row>
    <row r="83" spans="1:6" ht="12.75" customHeight="1">
      <c r="A83" s="40" t="s">
        <v>2188</v>
      </c>
      <c r="B83" s="40" t="s">
        <v>2188</v>
      </c>
      <c r="C83" s="3" t="s">
        <v>2053</v>
      </c>
      <c r="D83" t="s">
        <v>2169</v>
      </c>
      <c r="E83" t="s">
        <v>2170</v>
      </c>
      <c r="F83" t="s">
        <v>2189</v>
      </c>
    </row>
    <row r="84" spans="1:6" ht="12.75" customHeight="1">
      <c r="A84" s="40" t="s">
        <v>2190</v>
      </c>
      <c r="B84" s="40" t="s">
        <v>2190</v>
      </c>
      <c r="C84" s="3" t="s">
        <v>2053</v>
      </c>
      <c r="D84" t="s">
        <v>2169</v>
      </c>
      <c r="E84" t="s">
        <v>2170</v>
      </c>
      <c r="F84" t="s">
        <v>2191</v>
      </c>
    </row>
    <row r="85" spans="1:6" ht="12.75" customHeight="1">
      <c r="A85" s="40" t="s">
        <v>2192</v>
      </c>
      <c r="B85" s="40" t="s">
        <v>2192</v>
      </c>
      <c r="C85" s="3" t="s">
        <v>2053</v>
      </c>
      <c r="D85" t="s">
        <v>2193</v>
      </c>
      <c r="E85" t="s">
        <v>2170</v>
      </c>
      <c r="F85" t="s">
        <v>2194</v>
      </c>
    </row>
    <row r="86" spans="1:6" ht="12.75" customHeight="1">
      <c r="A86" s="40" t="s">
        <v>2195</v>
      </c>
      <c r="B86" s="3" t="s">
        <v>2195</v>
      </c>
      <c r="C86" s="3" t="s">
        <v>2053</v>
      </c>
      <c r="D86" t="s">
        <v>2196</v>
      </c>
      <c r="E86" t="s">
        <v>2170</v>
      </c>
      <c r="F86" t="s">
        <v>2197</v>
      </c>
    </row>
    <row r="87" spans="1:6" ht="12.75" customHeight="1">
      <c r="A87" s="40" t="s">
        <v>2198</v>
      </c>
      <c r="B87" s="3" t="s">
        <v>2198</v>
      </c>
      <c r="C87" s="3" t="s">
        <v>2053</v>
      </c>
      <c r="D87" t="s">
        <v>2193</v>
      </c>
      <c r="E87" t="s">
        <v>2170</v>
      </c>
      <c r="F87" t="s">
        <v>2199</v>
      </c>
    </row>
    <row r="88" spans="1:6" ht="12.75" customHeight="1">
      <c r="A88" s="40" t="s">
        <v>2200</v>
      </c>
      <c r="B88" s="3" t="s">
        <v>2200</v>
      </c>
      <c r="C88" s="3" t="s">
        <v>2053</v>
      </c>
      <c r="D88" t="s">
        <v>2193</v>
      </c>
      <c r="E88" t="s">
        <v>2170</v>
      </c>
      <c r="F88" t="s">
        <v>2201</v>
      </c>
    </row>
    <row r="89" spans="1:6" ht="12.75" customHeight="1">
      <c r="A89" s="40" t="s">
        <v>2202</v>
      </c>
      <c r="B89" s="3" t="s">
        <v>2202</v>
      </c>
      <c r="C89" s="3" t="s">
        <v>2053</v>
      </c>
      <c r="D89" t="s">
        <v>2193</v>
      </c>
      <c r="E89" t="s">
        <v>2170</v>
      </c>
      <c r="F89" t="s">
        <v>2203</v>
      </c>
    </row>
    <row r="90" spans="1:6" ht="12.75" customHeight="1">
      <c r="A90" s="40" t="s">
        <v>2204</v>
      </c>
      <c r="B90" s="3" t="s">
        <v>2204</v>
      </c>
      <c r="C90" s="3" t="s">
        <v>2053</v>
      </c>
      <c r="D90" t="s">
        <v>2193</v>
      </c>
      <c r="E90" t="s">
        <v>2170</v>
      </c>
      <c r="F90" t="s">
        <v>2205</v>
      </c>
    </row>
    <row r="91" spans="1:6" ht="12.75" customHeight="1">
      <c r="A91" s="40" t="s">
        <v>2206</v>
      </c>
      <c r="B91" s="3" t="s">
        <v>2207</v>
      </c>
      <c r="C91" s="3" t="s">
        <v>2053</v>
      </c>
      <c r="E91" t="s">
        <v>2004</v>
      </c>
      <c r="F91" t="s">
        <v>2208</v>
      </c>
    </row>
    <row r="92" spans="1:6" ht="12.75" customHeight="1">
      <c r="A92" s="40" t="s">
        <v>2209</v>
      </c>
      <c r="B92" s="3" t="s">
        <v>2209</v>
      </c>
      <c r="C92" s="3" t="s">
        <v>2053</v>
      </c>
      <c r="D92" t="s">
        <v>2193</v>
      </c>
      <c r="E92" t="s">
        <v>2170</v>
      </c>
      <c r="F92" t="s">
        <v>2210</v>
      </c>
    </row>
    <row r="93" spans="1:6" ht="12.75" customHeight="1">
      <c r="A93" s="40" t="s">
        <v>2211</v>
      </c>
      <c r="B93" s="3" t="s">
        <v>2211</v>
      </c>
      <c r="C93" s="3" t="s">
        <v>2053</v>
      </c>
      <c r="D93" t="s">
        <v>2196</v>
      </c>
      <c r="E93" t="s">
        <v>2170</v>
      </c>
      <c r="F93" t="s">
        <v>2212</v>
      </c>
    </row>
    <row r="94" spans="1:6" ht="12.75" customHeight="1">
      <c r="A94" s="40" t="s">
        <v>2213</v>
      </c>
      <c r="B94" s="3" t="s">
        <v>2213</v>
      </c>
      <c r="C94" s="3" t="s">
        <v>2053</v>
      </c>
      <c r="D94" t="s">
        <v>2193</v>
      </c>
      <c r="E94" t="s">
        <v>2170</v>
      </c>
      <c r="F94" t="s">
        <v>2214</v>
      </c>
    </row>
    <row r="95" spans="1:6" ht="12.75" customHeight="1">
      <c r="A95" s="40" t="s">
        <v>2215</v>
      </c>
      <c r="B95" s="3" t="s">
        <v>2215</v>
      </c>
      <c r="C95" s="3" t="s">
        <v>2053</v>
      </c>
      <c r="D95" t="s">
        <v>2193</v>
      </c>
      <c r="E95" t="s">
        <v>2170</v>
      </c>
      <c r="F95" t="s">
        <v>2216</v>
      </c>
    </row>
    <row r="96" spans="1:6" ht="12.75" customHeight="1">
      <c r="A96" s="3" t="s">
        <v>2217</v>
      </c>
      <c r="B96" s="3" t="s">
        <v>2217</v>
      </c>
      <c r="C96" s="3" t="s">
        <v>2053</v>
      </c>
      <c r="E96" t="s">
        <v>2170</v>
      </c>
      <c r="F96" t="s">
        <v>2218</v>
      </c>
    </row>
    <row r="97" spans="1:6" ht="12.75" customHeight="1">
      <c r="A97" s="3" t="s">
        <v>2219</v>
      </c>
      <c r="B97" s="3" t="s">
        <v>2219</v>
      </c>
      <c r="C97" s="3" t="s">
        <v>2053</v>
      </c>
      <c r="D97" t="s">
        <v>2193</v>
      </c>
      <c r="E97" t="s">
        <v>2170</v>
      </c>
      <c r="F97" t="s">
        <v>2220</v>
      </c>
    </row>
    <row r="98" spans="1:6" ht="12.75" customHeight="1">
      <c r="A98" s="3" t="s">
        <v>2221</v>
      </c>
      <c r="B98" s="3" t="s">
        <v>2221</v>
      </c>
      <c r="C98" s="3" t="s">
        <v>2053</v>
      </c>
      <c r="D98" t="s">
        <v>2193</v>
      </c>
      <c r="E98" t="s">
        <v>2170</v>
      </c>
      <c r="F98" t="s">
        <v>2222</v>
      </c>
    </row>
    <row r="99" spans="1:6" ht="12.75" customHeight="1">
      <c r="A99" s="3" t="s">
        <v>2223</v>
      </c>
      <c r="B99" s="3" t="s">
        <v>2223</v>
      </c>
      <c r="C99" s="3" t="s">
        <v>2053</v>
      </c>
      <c r="D99" t="s">
        <v>2193</v>
      </c>
      <c r="E99" t="s">
        <v>2170</v>
      </c>
      <c r="F99" t="s">
        <v>2224</v>
      </c>
    </row>
    <row r="100" spans="1:6" ht="12.75" customHeight="1">
      <c r="A100" s="3" t="s">
        <v>2225</v>
      </c>
      <c r="B100" s="3" t="s">
        <v>2225</v>
      </c>
      <c r="C100" s="3" t="s">
        <v>2053</v>
      </c>
      <c r="D100" t="s">
        <v>2193</v>
      </c>
      <c r="E100" t="s">
        <v>2170</v>
      </c>
      <c r="F100" t="s">
        <v>2226</v>
      </c>
    </row>
    <row r="101" spans="1:6" ht="12.75" customHeight="1">
      <c r="A101" s="3" t="s">
        <v>2227</v>
      </c>
      <c r="B101" s="3" t="s">
        <v>2227</v>
      </c>
      <c r="C101" s="3" t="s">
        <v>2053</v>
      </c>
      <c r="D101" t="s">
        <v>2193</v>
      </c>
      <c r="E101" t="s">
        <v>2170</v>
      </c>
      <c r="F101" t="s">
        <v>2228</v>
      </c>
    </row>
    <row r="102" spans="1:6" ht="12.75" customHeight="1">
      <c r="A102" s="3" t="s">
        <v>2229</v>
      </c>
      <c r="B102" s="3" t="s">
        <v>2229</v>
      </c>
      <c r="C102" s="3" t="s">
        <v>2053</v>
      </c>
      <c r="D102" t="s">
        <v>2193</v>
      </c>
      <c r="E102" t="s">
        <v>2170</v>
      </c>
      <c r="F102" t="s">
        <v>2230</v>
      </c>
    </row>
    <row r="103" spans="1:6" ht="12.75" customHeight="1">
      <c r="A103" s="3" t="s">
        <v>2231</v>
      </c>
      <c r="B103" s="3" t="s">
        <v>2232</v>
      </c>
      <c r="C103" s="3" t="s">
        <v>2053</v>
      </c>
      <c r="D103" t="s">
        <v>2193</v>
      </c>
      <c r="E103" t="s">
        <v>2170</v>
      </c>
      <c r="F103" t="s">
        <v>2233</v>
      </c>
    </row>
    <row r="104" spans="1:6" ht="12.75" customHeight="1">
      <c r="A104" s="3" t="s">
        <v>2234</v>
      </c>
      <c r="B104" s="3" t="s">
        <v>2235</v>
      </c>
      <c r="C104" s="3" t="s">
        <v>2053</v>
      </c>
      <c r="D104" t="s">
        <v>2193</v>
      </c>
      <c r="E104" t="s">
        <v>2170</v>
      </c>
      <c r="F104" t="s">
        <v>2236</v>
      </c>
    </row>
    <row r="105" spans="1:6" ht="12.75" customHeight="1">
      <c r="A105" s="3" t="s">
        <v>2237</v>
      </c>
      <c r="B105" s="3" t="s">
        <v>2237</v>
      </c>
      <c r="C105" s="3" t="s">
        <v>2053</v>
      </c>
      <c r="D105" t="s">
        <v>2193</v>
      </c>
      <c r="E105" t="s">
        <v>2170</v>
      </c>
      <c r="F105" t="s">
        <v>2238</v>
      </c>
    </row>
    <row r="106" spans="1:6" ht="12.75" customHeight="1">
      <c r="A106" s="3" t="s">
        <v>2239</v>
      </c>
      <c r="B106" s="3" t="s">
        <v>2239</v>
      </c>
      <c r="C106" s="3" t="s">
        <v>2053</v>
      </c>
      <c r="D106" t="s">
        <v>2193</v>
      </c>
      <c r="E106" t="s">
        <v>2170</v>
      </c>
      <c r="F106" t="s">
        <v>2240</v>
      </c>
    </row>
    <row r="107" spans="1:6" ht="12.75" customHeight="1">
      <c r="A107" s="3" t="s">
        <v>2241</v>
      </c>
      <c r="B107" s="3" t="s">
        <v>2241</v>
      </c>
      <c r="C107" s="3" t="s">
        <v>2053</v>
      </c>
      <c r="D107" t="s">
        <v>2193</v>
      </c>
      <c r="E107" t="s">
        <v>2170</v>
      </c>
      <c r="F107" t="s">
        <v>2242</v>
      </c>
    </row>
    <row r="108" spans="1:6" ht="12.75" customHeight="1">
      <c r="A108" s="40" t="s">
        <v>2243</v>
      </c>
      <c r="B108" s="3" t="s">
        <v>2243</v>
      </c>
      <c r="C108" s="3" t="s">
        <v>2053</v>
      </c>
      <c r="D108" t="s">
        <v>2193</v>
      </c>
      <c r="E108" t="s">
        <v>2170</v>
      </c>
      <c r="F108" t="s">
        <v>2244</v>
      </c>
    </row>
    <row r="109" spans="1:6" ht="12.75" customHeight="1">
      <c r="A109" s="40" t="s">
        <v>2245</v>
      </c>
      <c r="B109" s="3" t="s">
        <v>2245</v>
      </c>
      <c r="C109" s="3" t="s">
        <v>2053</v>
      </c>
      <c r="D109" t="s">
        <v>2193</v>
      </c>
      <c r="E109" t="s">
        <v>2170</v>
      </c>
      <c r="F109" t="s">
        <v>2246</v>
      </c>
    </row>
    <row r="110" spans="1:6" ht="12.75" customHeight="1">
      <c r="A110" s="40" t="s">
        <v>2247</v>
      </c>
      <c r="B110" s="3" t="s">
        <v>2247</v>
      </c>
      <c r="C110" s="3" t="s">
        <v>2053</v>
      </c>
      <c r="E110" t="s">
        <v>2170</v>
      </c>
      <c r="F110" t="s">
        <v>2248</v>
      </c>
    </row>
    <row r="111" spans="1:6" ht="12.75" customHeight="1">
      <c r="A111" s="40" t="s">
        <v>2249</v>
      </c>
      <c r="B111" s="3" t="s">
        <v>2249</v>
      </c>
      <c r="C111" s="3" t="s">
        <v>2053</v>
      </c>
      <c r="E111" t="s">
        <v>2004</v>
      </c>
      <c r="F111" t="s">
        <v>2250</v>
      </c>
    </row>
    <row r="112" spans="1:6" ht="12.75" customHeight="1">
      <c r="A112" s="40" t="s">
        <v>2251</v>
      </c>
      <c r="B112" s="3" t="s">
        <v>2251</v>
      </c>
      <c r="C112" s="3" t="s">
        <v>2053</v>
      </c>
      <c r="E112" t="s">
        <v>2004</v>
      </c>
      <c r="F112" t="s">
        <v>2252</v>
      </c>
    </row>
    <row r="113" spans="1:6" ht="12.75" customHeight="1">
      <c r="A113" s="40" t="s">
        <v>2253</v>
      </c>
      <c r="B113" s="3" t="s">
        <v>2254</v>
      </c>
      <c r="C113" s="3" t="s">
        <v>2255</v>
      </c>
      <c r="E113" t="s">
        <v>2004</v>
      </c>
      <c r="F113" t="s">
        <v>2256</v>
      </c>
    </row>
    <row r="114" spans="1:6" ht="12.75" customHeight="1">
      <c r="A114" s="40" t="s">
        <v>2257</v>
      </c>
      <c r="B114" s="3" t="s">
        <v>2257</v>
      </c>
      <c r="C114" s="3" t="s">
        <v>2255</v>
      </c>
      <c r="E114" t="s">
        <v>2004</v>
      </c>
      <c r="F114" t="s">
        <v>2258</v>
      </c>
    </row>
    <row r="115" spans="1:6" ht="12.75" customHeight="1">
      <c r="A115" s="3" t="s">
        <v>2259</v>
      </c>
      <c r="B115" s="3" t="s">
        <v>2260</v>
      </c>
      <c r="C115" s="3" t="s">
        <v>2255</v>
      </c>
      <c r="E115" t="s">
        <v>2004</v>
      </c>
      <c r="F115" t="s">
        <v>2261</v>
      </c>
    </row>
    <row r="116" spans="1:6" ht="12.75" customHeight="1">
      <c r="A116" s="3" t="s">
        <v>2262</v>
      </c>
      <c r="B116" s="3" t="s">
        <v>2263</v>
      </c>
      <c r="C116" s="3" t="s">
        <v>2255</v>
      </c>
      <c r="E116" t="s">
        <v>2004</v>
      </c>
      <c r="F116" t="s">
        <v>2264</v>
      </c>
    </row>
    <row r="117" spans="1:6" ht="12.75" customHeight="1">
      <c r="A117" s="3" t="s">
        <v>2265</v>
      </c>
      <c r="B117" s="3" t="s">
        <v>2266</v>
      </c>
      <c r="C117" s="3" t="s">
        <v>2255</v>
      </c>
      <c r="E117" t="s">
        <v>2004</v>
      </c>
      <c r="F117" t="s">
        <v>2267</v>
      </c>
    </row>
    <row r="118" spans="1:6" ht="12.75" customHeight="1">
      <c r="A118" s="3" t="s">
        <v>2268</v>
      </c>
      <c r="B118" s="3" t="s">
        <v>2268</v>
      </c>
      <c r="C118" s="3" t="s">
        <v>2269</v>
      </c>
      <c r="E118" t="s">
        <v>2004</v>
      </c>
      <c r="F118" t="s">
        <v>2270</v>
      </c>
    </row>
    <row r="119" spans="1:6" ht="12.75" customHeight="1">
      <c r="A119" s="3" t="s">
        <v>2271</v>
      </c>
      <c r="B119" s="3" t="s">
        <v>2271</v>
      </c>
      <c r="C119" s="3" t="s">
        <v>2269</v>
      </c>
      <c r="E119" t="s">
        <v>2004</v>
      </c>
      <c r="F119" t="s">
        <v>2272</v>
      </c>
    </row>
    <row r="120" spans="1:6" ht="12.75" customHeight="1">
      <c r="A120" s="3" t="s">
        <v>2273</v>
      </c>
      <c r="B120" s="3" t="s">
        <v>2273</v>
      </c>
      <c r="C120" s="3" t="s">
        <v>2269</v>
      </c>
      <c r="E120" t="s">
        <v>2004</v>
      </c>
      <c r="F120" t="s">
        <v>2274</v>
      </c>
    </row>
    <row r="121" spans="1:6" ht="12.75" customHeight="1">
      <c r="A121" s="3" t="s">
        <v>2275</v>
      </c>
      <c r="B121" s="3" t="s">
        <v>2276</v>
      </c>
      <c r="C121" s="3" t="s">
        <v>2277</v>
      </c>
      <c r="E121" t="s">
        <v>2004</v>
      </c>
      <c r="F121" t="s">
        <v>2278</v>
      </c>
    </row>
    <row r="122" spans="1:6" ht="12.75" customHeight="1">
      <c r="A122" s="3" t="s">
        <v>2279</v>
      </c>
      <c r="B122" s="3" t="s">
        <v>2280</v>
      </c>
      <c r="C122" s="3" t="s">
        <v>2277</v>
      </c>
      <c r="E122" t="s">
        <v>2004</v>
      </c>
      <c r="F122" t="s">
        <v>2281</v>
      </c>
    </row>
    <row r="123" spans="1:6" ht="12.75" customHeight="1">
      <c r="A123" s="3" t="s">
        <v>2282</v>
      </c>
      <c r="B123" s="3" t="s">
        <v>2283</v>
      </c>
      <c r="C123" s="3" t="s">
        <v>2284</v>
      </c>
      <c r="E123" t="s">
        <v>2004</v>
      </c>
      <c r="F123" t="s">
        <v>2285</v>
      </c>
    </row>
    <row r="124" spans="1:6" ht="12.75" customHeight="1">
      <c r="A124" s="3" t="s">
        <v>2286</v>
      </c>
      <c r="B124" s="3" t="s">
        <v>2287</v>
      </c>
      <c r="C124" s="3" t="s">
        <v>2284</v>
      </c>
      <c r="E124" t="s">
        <v>2004</v>
      </c>
      <c r="F124" t="s">
        <v>2288</v>
      </c>
    </row>
    <row r="125" spans="1:6" ht="12.75" customHeight="1">
      <c r="A125" s="3" t="s">
        <v>2289</v>
      </c>
      <c r="B125" s="3" t="s">
        <v>2290</v>
      </c>
      <c r="C125" s="3" t="s">
        <v>2291</v>
      </c>
      <c r="E125" t="s">
        <v>2004</v>
      </c>
      <c r="F125" t="s">
        <v>2292</v>
      </c>
    </row>
    <row r="126" spans="1:6" ht="12.75" customHeight="1">
      <c r="A126" s="3" t="s">
        <v>2293</v>
      </c>
      <c r="B126" s="3" t="s">
        <v>2294</v>
      </c>
      <c r="C126" s="3" t="s">
        <v>2291</v>
      </c>
      <c r="E126" t="s">
        <v>2004</v>
      </c>
      <c r="F126" t="s">
        <v>2295</v>
      </c>
    </row>
    <row r="127" spans="1:6" ht="12.75" customHeight="1">
      <c r="A127" s="3" t="s">
        <v>2296</v>
      </c>
      <c r="B127" s="3" t="s">
        <v>2297</v>
      </c>
      <c r="C127" s="3" t="s">
        <v>2291</v>
      </c>
      <c r="E127" t="s">
        <v>2004</v>
      </c>
      <c r="F127" t="s">
        <v>2298</v>
      </c>
    </row>
    <row r="128" spans="1:6" ht="12.75" customHeight="1">
      <c r="A128" s="3" t="s">
        <v>2299</v>
      </c>
      <c r="B128" s="3" t="s">
        <v>2300</v>
      </c>
      <c r="C128" s="3" t="s">
        <v>2047</v>
      </c>
      <c r="E128" t="s">
        <v>2004</v>
      </c>
      <c r="F128" t="s">
        <v>2301</v>
      </c>
    </row>
    <row r="129" spans="1:6" ht="12.75" customHeight="1">
      <c r="A129" s="3" t="s">
        <v>2302</v>
      </c>
      <c r="B129" s="3" t="s">
        <v>2303</v>
      </c>
      <c r="C129" s="3" t="s">
        <v>2047</v>
      </c>
      <c r="E129" t="s">
        <v>2004</v>
      </c>
      <c r="F129" t="s">
        <v>2304</v>
      </c>
    </row>
    <row r="130" spans="1:6" ht="12.75" customHeight="1">
      <c r="A130" s="3" t="s">
        <v>2305</v>
      </c>
      <c r="B130" s="3" t="s">
        <v>2306</v>
      </c>
      <c r="C130" s="3" t="s">
        <v>2047</v>
      </c>
      <c r="E130" t="s">
        <v>2004</v>
      </c>
      <c r="F130" t="s">
        <v>2307</v>
      </c>
    </row>
    <row r="131" spans="1:6" ht="12.75" customHeight="1">
      <c r="A131" s="3" t="s">
        <v>2308</v>
      </c>
      <c r="B131" s="3" t="s">
        <v>2309</v>
      </c>
      <c r="C131" s="3" t="s">
        <v>2310</v>
      </c>
      <c r="E131" t="s">
        <v>2004</v>
      </c>
      <c r="F131" t="s">
        <v>2311</v>
      </c>
    </row>
    <row r="132" spans="1:6" ht="12.75" customHeight="1">
      <c r="A132" s="3" t="s">
        <v>2312</v>
      </c>
      <c r="B132" s="3" t="s">
        <v>2312</v>
      </c>
      <c r="C132" s="3" t="s">
        <v>2310</v>
      </c>
      <c r="E132" t="s">
        <v>2004</v>
      </c>
      <c r="F132" t="s">
        <v>2313</v>
      </c>
    </row>
    <row r="133" spans="1:6" ht="12.75" customHeight="1">
      <c r="A133" s="3" t="s">
        <v>2314</v>
      </c>
      <c r="B133" s="3" t="s">
        <v>2314</v>
      </c>
      <c r="C133" s="3" t="s">
        <v>2310</v>
      </c>
      <c r="E133" t="s">
        <v>2004</v>
      </c>
      <c r="F133" t="s">
        <v>2315</v>
      </c>
    </row>
    <row r="134" spans="1:6" ht="12.75" customHeight="1">
      <c r="A134" s="3" t="s">
        <v>2316</v>
      </c>
      <c r="B134" s="3" t="s">
        <v>2317</v>
      </c>
      <c r="C134" s="3" t="s">
        <v>2310</v>
      </c>
      <c r="E134" t="s">
        <v>2004</v>
      </c>
      <c r="F134" t="s">
        <v>2318</v>
      </c>
    </row>
    <row r="135" spans="1:6" ht="12.75" customHeight="1">
      <c r="A135" s="3" t="s">
        <v>2319</v>
      </c>
      <c r="B135" s="3" t="s">
        <v>2320</v>
      </c>
      <c r="C135" s="3" t="s">
        <v>2310</v>
      </c>
      <c r="E135" t="s">
        <v>2004</v>
      </c>
      <c r="F135" t="s">
        <v>2321</v>
      </c>
    </row>
    <row r="136" spans="1:6" ht="12.75" customHeight="1">
      <c r="A136" s="3" t="s">
        <v>2322</v>
      </c>
      <c r="B136" s="3" t="s">
        <v>2323</v>
      </c>
      <c r="C136" s="3" t="s">
        <v>2310</v>
      </c>
      <c r="E136" t="s">
        <v>2004</v>
      </c>
      <c r="F136" t="s">
        <v>2324</v>
      </c>
    </row>
    <row r="137" spans="1:6" ht="12.75" customHeight="1">
      <c r="A137" s="3" t="s">
        <v>2325</v>
      </c>
      <c r="B137" s="3" t="s">
        <v>2326</v>
      </c>
      <c r="C137" s="3" t="s">
        <v>2310</v>
      </c>
      <c r="E137" t="s">
        <v>2004</v>
      </c>
      <c r="F137" t="s">
        <v>2327</v>
      </c>
    </row>
    <row r="138" spans="1:6" ht="12.75" customHeight="1">
      <c r="A138" s="3" t="s">
        <v>2247</v>
      </c>
      <c r="B138" s="3" t="s">
        <v>2328</v>
      </c>
      <c r="C138" s="3" t="s">
        <v>2053</v>
      </c>
      <c r="E138" t="s">
        <v>2170</v>
      </c>
      <c r="F138" t="s">
        <v>2329</v>
      </c>
    </row>
    <row r="139" spans="1:6" ht="12.75" customHeight="1">
      <c r="A139" s="3" t="s">
        <v>2330</v>
      </c>
      <c r="B139" s="3" t="s">
        <v>2330</v>
      </c>
      <c r="C139" s="3" t="s">
        <v>2053</v>
      </c>
      <c r="D139" t="s">
        <v>2193</v>
      </c>
      <c r="E139" t="s">
        <v>2170</v>
      </c>
      <c r="F139" t="s">
        <v>2331</v>
      </c>
    </row>
    <row r="140" spans="1:6" ht="12.75" customHeight="1">
      <c r="A140" s="40" t="s">
        <v>2332</v>
      </c>
      <c r="B140" s="40" t="s">
        <v>2332</v>
      </c>
      <c r="C140" s="3" t="s">
        <v>2053</v>
      </c>
      <c r="D140" t="s">
        <v>2169</v>
      </c>
      <c r="E140" s="73" t="s">
        <v>2333</v>
      </c>
      <c r="F140" s="73" t="s">
        <v>2334</v>
      </c>
    </row>
    <row r="141" spans="1:6" ht="12.75" customHeight="1">
      <c r="A141" s="40" t="s">
        <v>2335</v>
      </c>
      <c r="B141" s="40" t="s">
        <v>2335</v>
      </c>
      <c r="C141" s="3" t="s">
        <v>2053</v>
      </c>
      <c r="D141" t="s">
        <v>2193</v>
      </c>
      <c r="E141" s="73" t="s">
        <v>2336</v>
      </c>
      <c r="F141" s="73" t="s">
        <v>2337</v>
      </c>
    </row>
    <row r="142" spans="1:6" ht="12.75" customHeight="1">
      <c r="A142" s="40" t="s">
        <v>2338</v>
      </c>
      <c r="B142" s="40" t="s">
        <v>2338</v>
      </c>
      <c r="C142" s="3" t="s">
        <v>2053</v>
      </c>
      <c r="E142" s="73" t="s">
        <v>2339</v>
      </c>
      <c r="F142" s="73" t="s">
        <v>2340</v>
      </c>
    </row>
    <row r="143" spans="1:6" ht="12.75" customHeight="1">
      <c r="A143" s="40" t="s">
        <v>2341</v>
      </c>
      <c r="B143" s="40" t="s">
        <v>2341</v>
      </c>
      <c r="C143" s="3" t="s">
        <v>2053</v>
      </c>
      <c r="D143" t="s">
        <v>2193</v>
      </c>
      <c r="E143" s="73" t="s">
        <v>2336</v>
      </c>
      <c r="F143" s="73" t="s">
        <v>2342</v>
      </c>
    </row>
    <row r="144" spans="1:6" ht="12.75" customHeight="1">
      <c r="A144" s="40" t="s">
        <v>2343</v>
      </c>
      <c r="B144" s="40" t="s">
        <v>2343</v>
      </c>
      <c r="C144" s="3" t="s">
        <v>2053</v>
      </c>
      <c r="D144" t="s">
        <v>2193</v>
      </c>
      <c r="E144" s="73" t="s">
        <v>2170</v>
      </c>
      <c r="F144" s="73" t="s">
        <v>2344</v>
      </c>
    </row>
    <row r="145" spans="1:6" ht="12.75" customHeight="1">
      <c r="A145" s="40" t="s">
        <v>2345</v>
      </c>
      <c r="B145" s="40" t="s">
        <v>2345</v>
      </c>
      <c r="C145" s="3" t="s">
        <v>2053</v>
      </c>
      <c r="E145" s="73" t="s">
        <v>2336</v>
      </c>
      <c r="F145" s="73" t="s">
        <v>2346</v>
      </c>
    </row>
    <row r="146" spans="1:6" ht="12.75" customHeight="1">
      <c r="A146" s="40" t="s">
        <v>2347</v>
      </c>
      <c r="B146" s="40" t="s">
        <v>2347</v>
      </c>
      <c r="C146" s="3" t="s">
        <v>2053</v>
      </c>
      <c r="D146" t="s">
        <v>2169</v>
      </c>
      <c r="E146" s="73" t="s">
        <v>2336</v>
      </c>
      <c r="F146" s="73" t="s">
        <v>2348</v>
      </c>
    </row>
    <row r="147" spans="1:6" ht="12.75" customHeight="1">
      <c r="A147" s="40" t="s">
        <v>2349</v>
      </c>
      <c r="B147" s="40" t="s">
        <v>2350</v>
      </c>
      <c r="C147" s="3" t="s">
        <v>2053</v>
      </c>
      <c r="E147" s="73" t="s">
        <v>2004</v>
      </c>
      <c r="F147" s="73" t="s">
        <v>2351</v>
      </c>
    </row>
    <row r="148" spans="1:6" ht="12.75" customHeight="1">
      <c r="A148" s="40" t="s">
        <v>2352</v>
      </c>
      <c r="B148" s="40" t="s">
        <v>2353</v>
      </c>
      <c r="C148" s="3" t="s">
        <v>2053</v>
      </c>
      <c r="E148" s="73" t="s">
        <v>2004</v>
      </c>
      <c r="F148" s="73" t="s">
        <v>2354</v>
      </c>
    </row>
    <row r="149" spans="1:6" ht="12.75" customHeight="1">
      <c r="A149" s="40" t="s">
        <v>2355</v>
      </c>
      <c r="B149" s="40" t="s">
        <v>2355</v>
      </c>
      <c r="C149" s="3" t="s">
        <v>2053</v>
      </c>
      <c r="D149" t="s">
        <v>2193</v>
      </c>
      <c r="E149" s="73" t="s">
        <v>2336</v>
      </c>
      <c r="F149" s="73" t="s">
        <v>2356</v>
      </c>
    </row>
    <row r="150" spans="1:6" ht="12.75" customHeight="1">
      <c r="A150" s="40" t="s">
        <v>2357</v>
      </c>
      <c r="B150" s="40" t="s">
        <v>2357</v>
      </c>
      <c r="C150" s="3" t="s">
        <v>2053</v>
      </c>
      <c r="D150" t="s">
        <v>2193</v>
      </c>
      <c r="E150" s="73" t="s">
        <v>2170</v>
      </c>
      <c r="F150" s="73" t="s">
        <v>2358</v>
      </c>
    </row>
    <row r="151" spans="1:6" ht="12.75" customHeight="1">
      <c r="A151" s="40" t="s">
        <v>2359</v>
      </c>
      <c r="B151" s="40" t="s">
        <v>2359</v>
      </c>
      <c r="C151" s="3" t="s">
        <v>2053</v>
      </c>
      <c r="D151" t="s">
        <v>2169</v>
      </c>
      <c r="E151" s="73" t="s">
        <v>2170</v>
      </c>
      <c r="F151" s="73" t="s">
        <v>2360</v>
      </c>
    </row>
    <row r="152" spans="1:6" ht="12.75" customHeight="1">
      <c r="A152" s="40" t="s">
        <v>2361</v>
      </c>
      <c r="B152" s="40" t="s">
        <v>2361</v>
      </c>
      <c r="C152" s="3" t="s">
        <v>2053</v>
      </c>
      <c r="D152" t="s">
        <v>2362</v>
      </c>
      <c r="E152" s="73" t="s">
        <v>2170</v>
      </c>
      <c r="F152" s="73" t="s">
        <v>2363</v>
      </c>
    </row>
    <row r="153" spans="1:6" ht="12.75" customHeight="1">
      <c r="A153" s="40" t="s">
        <v>2364</v>
      </c>
      <c r="B153" s="40" t="s">
        <v>2364</v>
      </c>
      <c r="C153" s="3" t="s">
        <v>2053</v>
      </c>
      <c r="D153" t="s">
        <v>2193</v>
      </c>
      <c r="E153" s="73" t="s">
        <v>2170</v>
      </c>
      <c r="F153" s="73" t="s">
        <v>2365</v>
      </c>
    </row>
    <row r="154" spans="1:6" ht="12.75" customHeight="1">
      <c r="A154" s="40" t="s">
        <v>2366</v>
      </c>
      <c r="B154" s="40" t="s">
        <v>2366</v>
      </c>
      <c r="C154" s="3" t="s">
        <v>2053</v>
      </c>
      <c r="D154" t="s">
        <v>2193</v>
      </c>
      <c r="E154" s="73" t="s">
        <v>2336</v>
      </c>
      <c r="F154" s="73" t="s">
        <v>2367</v>
      </c>
    </row>
    <row r="155" spans="1:6" ht="12.75" customHeight="1">
      <c r="A155" s="40" t="s">
        <v>2368</v>
      </c>
      <c r="B155" s="40" t="s">
        <v>2368</v>
      </c>
      <c r="C155" s="3" t="s">
        <v>2053</v>
      </c>
      <c r="D155" t="s">
        <v>2193</v>
      </c>
      <c r="E155" s="73" t="s">
        <v>2336</v>
      </c>
      <c r="F155" s="73" t="s">
        <v>2369</v>
      </c>
    </row>
    <row r="156" spans="1:6" ht="12.75" customHeight="1">
      <c r="A156" s="40" t="s">
        <v>2370</v>
      </c>
      <c r="B156" s="40" t="s">
        <v>2370</v>
      </c>
      <c r="C156" s="3" t="s">
        <v>2053</v>
      </c>
      <c r="D156" t="s">
        <v>2169</v>
      </c>
      <c r="E156" s="73" t="s">
        <v>2336</v>
      </c>
      <c r="F156" s="73" t="s">
        <v>2371</v>
      </c>
    </row>
    <row r="157" spans="1:6" ht="12.75" customHeight="1">
      <c r="A157" s="40" t="s">
        <v>2372</v>
      </c>
      <c r="B157" s="40" t="s">
        <v>2372</v>
      </c>
      <c r="C157" s="3" t="s">
        <v>2053</v>
      </c>
      <c r="E157" s="73" t="s">
        <v>2336</v>
      </c>
      <c r="F157" s="73" t="s">
        <v>2373</v>
      </c>
    </row>
    <row r="158" spans="1:6" ht="12.75" customHeight="1">
      <c r="A158" s="40" t="s">
        <v>2374</v>
      </c>
      <c r="B158" s="40" t="s">
        <v>2374</v>
      </c>
      <c r="C158" s="3" t="s">
        <v>2053</v>
      </c>
      <c r="D158" t="s">
        <v>2193</v>
      </c>
      <c r="E158" s="73" t="s">
        <v>2336</v>
      </c>
      <c r="F158" s="73" t="s">
        <v>2375</v>
      </c>
    </row>
    <row r="159" spans="1:6" ht="12.75" customHeight="1">
      <c r="A159" s="40" t="s">
        <v>2376</v>
      </c>
      <c r="B159" s="40" t="s">
        <v>2376</v>
      </c>
      <c r="C159" s="3" t="s">
        <v>2053</v>
      </c>
      <c r="E159" s="73" t="s">
        <v>2004</v>
      </c>
      <c r="F159" s="73" t="s">
        <v>2377</v>
      </c>
    </row>
    <row r="160" spans="1:6" ht="12.75" customHeight="1">
      <c r="A160" s="40" t="s">
        <v>2378</v>
      </c>
      <c r="B160" s="40" t="s">
        <v>2378</v>
      </c>
      <c r="C160" s="3" t="s">
        <v>2053</v>
      </c>
      <c r="D160" t="s">
        <v>2193</v>
      </c>
      <c r="E160" s="73" t="s">
        <v>2170</v>
      </c>
      <c r="F160" s="73" t="s">
        <v>2379</v>
      </c>
    </row>
    <row r="161" spans="1:6" ht="12.75" customHeight="1">
      <c r="A161" s="40" t="s">
        <v>2380</v>
      </c>
      <c r="B161" s="3" t="s">
        <v>2380</v>
      </c>
      <c r="C161" s="3" t="s">
        <v>2053</v>
      </c>
      <c r="E161" s="73" t="s">
        <v>2004</v>
      </c>
      <c r="F161" t="s">
        <v>228</v>
      </c>
    </row>
    <row r="162" spans="1:6" ht="12.75" customHeight="1">
      <c r="A162" s="40" t="s">
        <v>2381</v>
      </c>
      <c r="B162" s="40" t="s">
        <v>2381</v>
      </c>
      <c r="C162" s="3" t="s">
        <v>2053</v>
      </c>
      <c r="E162" s="73" t="s">
        <v>2004</v>
      </c>
      <c r="F162" t="s">
        <v>2382</v>
      </c>
    </row>
    <row r="163" spans="1:6" ht="12.75" customHeight="1">
      <c r="A163" s="40" t="s">
        <v>2383</v>
      </c>
      <c r="B163" s="40" t="s">
        <v>2383</v>
      </c>
      <c r="C163" s="3" t="s">
        <v>2053</v>
      </c>
      <c r="E163" s="73" t="s">
        <v>2004</v>
      </c>
      <c r="F163" t="s">
        <v>2384</v>
      </c>
    </row>
    <row r="164" spans="1:6" ht="12.75" customHeight="1">
      <c r="A164" s="40" t="s">
        <v>2385</v>
      </c>
      <c r="B164" s="3" t="s">
        <v>2385</v>
      </c>
      <c r="C164" s="3" t="s">
        <v>2053</v>
      </c>
      <c r="E164" t="s">
        <v>2004</v>
      </c>
      <c r="F164" t="s">
        <v>2386</v>
      </c>
    </row>
    <row r="165" spans="1:6" ht="12.75" customHeight="1">
      <c r="A165" s="40" t="s">
        <v>2387</v>
      </c>
      <c r="B165" s="3" t="s">
        <v>2387</v>
      </c>
      <c r="C165" s="3" t="s">
        <v>2053</v>
      </c>
      <c r="E165" t="s">
        <v>2004</v>
      </c>
      <c r="F165" t="s">
        <v>2388</v>
      </c>
    </row>
    <row r="166" spans="1:6" ht="12.75" customHeight="1">
      <c r="A166" s="40" t="s">
        <v>2389</v>
      </c>
      <c r="B166" s="3" t="s">
        <v>2389</v>
      </c>
      <c r="C166" s="3" t="s">
        <v>2053</v>
      </c>
      <c r="E166" t="s">
        <v>2004</v>
      </c>
      <c r="F166" t="s">
        <v>2390</v>
      </c>
    </row>
    <row r="167" spans="1:6" ht="12.75" customHeight="1">
      <c r="A167" s="40" t="s">
        <v>2391</v>
      </c>
      <c r="B167" s="3" t="s">
        <v>2391</v>
      </c>
      <c r="C167" s="3" t="s">
        <v>2053</v>
      </c>
      <c r="E167" t="s">
        <v>2004</v>
      </c>
      <c r="F167" t="s">
        <v>2392</v>
      </c>
    </row>
    <row r="168" spans="1:6" ht="12.75" customHeight="1">
      <c r="A168" s="40" t="s">
        <v>2393</v>
      </c>
      <c r="B168" s="3" t="s">
        <v>2393</v>
      </c>
      <c r="C168" s="3" t="s">
        <v>2053</v>
      </c>
      <c r="E168" t="s">
        <v>2004</v>
      </c>
      <c r="F168" t="s">
        <v>2394</v>
      </c>
    </row>
    <row r="169" spans="1:6" ht="12.75" customHeight="1">
      <c r="A169" s="40" t="s">
        <v>2395</v>
      </c>
      <c r="B169" s="3" t="s">
        <v>2395</v>
      </c>
      <c r="C169" s="3" t="s">
        <v>2053</v>
      </c>
      <c r="E169" t="s">
        <v>2004</v>
      </c>
      <c r="F169" t="s">
        <v>2396</v>
      </c>
    </row>
    <row r="170" spans="1:6" ht="12.75" customHeight="1">
      <c r="A170" s="40" t="s">
        <v>2397</v>
      </c>
      <c r="B170" s="3" t="s">
        <v>2397</v>
      </c>
      <c r="C170" s="3" t="s">
        <v>2053</v>
      </c>
      <c r="E170" t="s">
        <v>2004</v>
      </c>
      <c r="F170" t="s">
        <v>2398</v>
      </c>
    </row>
    <row r="171" spans="1:6" ht="12.75" customHeight="1">
      <c r="A171" s="40" t="s">
        <v>2399</v>
      </c>
      <c r="B171" s="3" t="s">
        <v>2399</v>
      </c>
      <c r="C171" s="3" t="s">
        <v>2053</v>
      </c>
      <c r="E171" t="s">
        <v>2004</v>
      </c>
      <c r="F171" t="s">
        <v>2400</v>
      </c>
    </row>
    <row r="172" spans="1:6" ht="12.75" customHeight="1">
      <c r="A172" s="40" t="s">
        <v>2401</v>
      </c>
      <c r="B172" s="3" t="s">
        <v>2401</v>
      </c>
      <c r="C172" s="3" t="s">
        <v>2053</v>
      </c>
      <c r="E172" t="s">
        <v>2004</v>
      </c>
      <c r="F172" t="s">
        <v>2402</v>
      </c>
    </row>
    <row r="173" spans="1:6" ht="12.75" customHeight="1">
      <c r="A173" s="40" t="s">
        <v>2403</v>
      </c>
      <c r="B173" s="3" t="s">
        <v>2403</v>
      </c>
      <c r="C173" s="3" t="s">
        <v>2053</v>
      </c>
      <c r="E173" t="s">
        <v>2004</v>
      </c>
      <c r="F173" t="s">
        <v>2404</v>
      </c>
    </row>
    <row r="174" spans="1:6" ht="12.75" customHeight="1">
      <c r="A174" s="40" t="s">
        <v>2405</v>
      </c>
      <c r="B174" s="3" t="s">
        <v>2405</v>
      </c>
      <c r="C174" s="3" t="s">
        <v>2053</v>
      </c>
      <c r="E174" t="s">
        <v>2004</v>
      </c>
      <c r="F174" t="s">
        <v>2406</v>
      </c>
    </row>
    <row r="175" spans="1:6" ht="12.75" customHeight="1">
      <c r="A175" s="40" t="s">
        <v>2407</v>
      </c>
      <c r="B175" s="3" t="s">
        <v>2407</v>
      </c>
      <c r="C175" s="3" t="s">
        <v>2053</v>
      </c>
      <c r="E175" t="s">
        <v>2004</v>
      </c>
      <c r="F175" t="s">
        <v>2408</v>
      </c>
    </row>
    <row r="176" spans="1:6" ht="12.75" customHeight="1">
      <c r="A176" s="40" t="s">
        <v>2409</v>
      </c>
      <c r="B176" s="3" t="s">
        <v>2409</v>
      </c>
      <c r="C176" s="3" t="s">
        <v>2053</v>
      </c>
      <c r="E176" t="s">
        <v>2004</v>
      </c>
      <c r="F176" t="s">
        <v>2410</v>
      </c>
    </row>
    <row r="177" spans="1:6" ht="12.75" customHeight="1">
      <c r="A177" s="40" t="s">
        <v>2411</v>
      </c>
      <c r="B177" s="3" t="s">
        <v>2411</v>
      </c>
      <c r="C177" s="3" t="s">
        <v>2053</v>
      </c>
      <c r="E177" t="s">
        <v>2004</v>
      </c>
      <c r="F177" t="s">
        <v>2412</v>
      </c>
    </row>
    <row r="178" spans="1:6" ht="12.75" customHeight="1">
      <c r="A178" s="40" t="s">
        <v>2413</v>
      </c>
      <c r="B178" s="3" t="s">
        <v>2413</v>
      </c>
      <c r="C178" s="3" t="s">
        <v>2053</v>
      </c>
      <c r="E178" t="s">
        <v>2004</v>
      </c>
      <c r="F178" t="s">
        <v>2414</v>
      </c>
    </row>
    <row r="179" spans="1:6" ht="12.75" customHeight="1">
      <c r="A179" s="40" t="s">
        <v>2415</v>
      </c>
      <c r="B179" s="3" t="s">
        <v>2415</v>
      </c>
      <c r="C179" s="3" t="s">
        <v>2053</v>
      </c>
      <c r="E179" t="s">
        <v>2004</v>
      </c>
      <c r="F179" t="s">
        <v>2416</v>
      </c>
    </row>
    <row r="180" spans="1:6" ht="12.75" customHeight="1">
      <c r="A180" s="40" t="s">
        <v>2417</v>
      </c>
      <c r="B180" s="3" t="s">
        <v>2417</v>
      </c>
      <c r="C180" s="3" t="s">
        <v>2053</v>
      </c>
      <c r="E180" t="s">
        <v>2004</v>
      </c>
      <c r="F180" t="s">
        <v>2418</v>
      </c>
    </row>
    <row r="181" spans="1:6" ht="12.75" customHeight="1">
      <c r="A181" s="40" t="s">
        <v>2419</v>
      </c>
      <c r="B181" s="3" t="s">
        <v>2419</v>
      </c>
      <c r="C181" s="3" t="s">
        <v>2053</v>
      </c>
      <c r="E181" t="s">
        <v>2004</v>
      </c>
      <c r="F181" t="s">
        <v>2420</v>
      </c>
    </row>
    <row r="182" spans="1:6" ht="12.75" customHeight="1">
      <c r="A182" s="40" t="s">
        <v>2421</v>
      </c>
      <c r="B182" s="3" t="s">
        <v>2421</v>
      </c>
      <c r="C182" s="3" t="s">
        <v>2053</v>
      </c>
      <c r="E182" t="s">
        <v>2004</v>
      </c>
      <c r="F182" t="s">
        <v>2422</v>
      </c>
    </row>
    <row r="183" spans="1:6" ht="12.75" customHeight="1">
      <c r="A183" s="40" t="s">
        <v>2423</v>
      </c>
      <c r="B183" s="3" t="s">
        <v>2423</v>
      </c>
      <c r="C183" s="3" t="s">
        <v>2053</v>
      </c>
      <c r="E183" t="s">
        <v>2004</v>
      </c>
      <c r="F183" t="s">
        <v>2424</v>
      </c>
    </row>
    <row r="184" spans="1:6" ht="12.75" customHeight="1">
      <c r="A184" s="40" t="s">
        <v>2425</v>
      </c>
      <c r="B184" s="3" t="s">
        <v>2425</v>
      </c>
      <c r="C184" s="3" t="s">
        <v>2053</v>
      </c>
      <c r="E184" t="s">
        <v>2004</v>
      </c>
      <c r="F184" t="s">
        <v>2426</v>
      </c>
    </row>
    <row r="185" spans="1:6" ht="12.75" customHeight="1">
      <c r="A185" s="40" t="s">
        <v>2427</v>
      </c>
      <c r="B185" s="3" t="s">
        <v>2427</v>
      </c>
      <c r="C185" s="3" t="s">
        <v>2053</v>
      </c>
      <c r="E185" t="s">
        <v>2004</v>
      </c>
      <c r="F185" t="s">
        <v>2428</v>
      </c>
    </row>
    <row r="186" spans="1:6" ht="12.75" customHeight="1">
      <c r="A186" s="40" t="s">
        <v>2429</v>
      </c>
      <c r="B186" s="3" t="s">
        <v>2430</v>
      </c>
      <c r="C186" s="3" t="s">
        <v>2431</v>
      </c>
      <c r="E186" t="s">
        <v>2004</v>
      </c>
      <c r="F186" t="s">
        <v>2432</v>
      </c>
    </row>
    <row r="187" spans="1:6" ht="12.75" customHeight="1">
      <c r="A187" s="40" t="s">
        <v>2433</v>
      </c>
      <c r="B187" s="3" t="s">
        <v>2434</v>
      </c>
      <c r="C187" s="3" t="s">
        <v>2431</v>
      </c>
      <c r="E187" t="s">
        <v>2004</v>
      </c>
      <c r="F187" t="s">
        <v>2435</v>
      </c>
    </row>
    <row r="188" spans="1:6" ht="12.75" customHeight="1">
      <c r="A188" s="40" t="s">
        <v>2436</v>
      </c>
      <c r="B188" s="3" t="s">
        <v>2437</v>
      </c>
      <c r="C188" s="3" t="s">
        <v>2431</v>
      </c>
      <c r="E188" t="s">
        <v>2004</v>
      </c>
      <c r="F188" t="s">
        <v>2438</v>
      </c>
    </row>
    <row r="189" spans="1:6" ht="12.75" customHeight="1">
      <c r="A189" s="40" t="s">
        <v>2439</v>
      </c>
      <c r="B189" s="3" t="s">
        <v>2439</v>
      </c>
      <c r="C189" s="3" t="s">
        <v>2053</v>
      </c>
      <c r="E189" t="s">
        <v>2004</v>
      </c>
      <c r="F189" t="s">
        <v>2440</v>
      </c>
    </row>
    <row r="190" spans="1:6" ht="12.75" customHeight="1">
      <c r="A190" s="40" t="s">
        <v>2441</v>
      </c>
      <c r="B190" s="3" t="s">
        <v>2441</v>
      </c>
      <c r="C190" s="3" t="s">
        <v>2053</v>
      </c>
      <c r="E190" t="s">
        <v>2004</v>
      </c>
      <c r="F190" t="s">
        <v>2442</v>
      </c>
    </row>
    <row r="191" spans="1:6" ht="12.75" customHeight="1">
      <c r="A191" s="40" t="s">
        <v>2443</v>
      </c>
      <c r="B191" s="3" t="s">
        <v>2443</v>
      </c>
      <c r="C191" s="3" t="s">
        <v>2053</v>
      </c>
      <c r="E191" t="s">
        <v>2170</v>
      </c>
      <c r="F191" t="s">
        <v>2444</v>
      </c>
    </row>
    <row r="192" spans="1:6" ht="12.75" customHeight="1">
      <c r="A192" s="40" t="s">
        <v>2445</v>
      </c>
      <c r="B192" s="3" t="s">
        <v>2445</v>
      </c>
      <c r="C192" s="3" t="s">
        <v>2053</v>
      </c>
      <c r="E192" t="s">
        <v>2170</v>
      </c>
      <c r="F192" t="s">
        <v>2446</v>
      </c>
    </row>
    <row r="193" spans="1:6" ht="12.75" customHeight="1">
      <c r="A193" s="40" t="s">
        <v>2447</v>
      </c>
      <c r="B193" s="3" t="s">
        <v>2447</v>
      </c>
      <c r="C193" s="3" t="s">
        <v>2431</v>
      </c>
      <c r="E193" t="s">
        <v>2004</v>
      </c>
      <c r="F193" t="s">
        <v>2448</v>
      </c>
    </row>
    <row r="194" spans="1:6" ht="12.75" customHeight="1">
      <c r="A194" s="40" t="s">
        <v>2449</v>
      </c>
      <c r="B194" s="3" t="s">
        <v>2449</v>
      </c>
      <c r="C194" s="3" t="s">
        <v>2053</v>
      </c>
      <c r="E194" t="s">
        <v>2170</v>
      </c>
      <c r="F194" t="s">
        <v>2450</v>
      </c>
    </row>
    <row r="195" spans="1:6" ht="12.75" customHeight="1">
      <c r="A195" s="40" t="s">
        <v>2451</v>
      </c>
      <c r="B195" s="3" t="s">
        <v>2451</v>
      </c>
      <c r="C195" s="3" t="s">
        <v>2053</v>
      </c>
      <c r="E195" t="s">
        <v>2336</v>
      </c>
      <c r="F195" t="s">
        <v>2452</v>
      </c>
    </row>
    <row r="196" spans="1:6" ht="12.75" customHeight="1">
      <c r="A196" s="40" t="s">
        <v>2453</v>
      </c>
      <c r="B196" s="3" t="s">
        <v>2454</v>
      </c>
      <c r="C196" s="3" t="s">
        <v>2431</v>
      </c>
      <c r="E196" t="s">
        <v>2004</v>
      </c>
      <c r="F196" t="s">
        <v>2455</v>
      </c>
    </row>
    <row r="197" spans="1:6" ht="12.75" customHeight="1">
      <c r="A197" s="40" t="s">
        <v>2456</v>
      </c>
      <c r="B197" s="3" t="s">
        <v>2457</v>
      </c>
      <c r="C197" s="3" t="s">
        <v>2053</v>
      </c>
      <c r="E197" t="s">
        <v>2336</v>
      </c>
      <c r="F197" t="s">
        <v>2458</v>
      </c>
    </row>
    <row r="198" spans="1:6" ht="12.75" customHeight="1">
      <c r="A198" s="40" t="s">
        <v>2459</v>
      </c>
      <c r="B198" s="3" t="s">
        <v>2460</v>
      </c>
      <c r="C198" s="3" t="s">
        <v>2053</v>
      </c>
      <c r="E198" t="s">
        <v>2336</v>
      </c>
      <c r="F198" t="s">
        <v>2461</v>
      </c>
    </row>
    <row r="199" spans="1:6" ht="12.75" customHeight="1">
      <c r="A199" s="40" t="s">
        <v>2462</v>
      </c>
      <c r="B199" s="3" t="s">
        <v>2463</v>
      </c>
      <c r="C199" s="3" t="s">
        <v>2053</v>
      </c>
      <c r="E199" t="s">
        <v>2336</v>
      </c>
      <c r="F199" t="s">
        <v>2464</v>
      </c>
    </row>
    <row r="200" spans="1:6" ht="12.75" customHeight="1">
      <c r="A200" s="40" t="s">
        <v>2465</v>
      </c>
      <c r="B200" s="3" t="s">
        <v>2466</v>
      </c>
      <c r="C200" s="3" t="s">
        <v>2053</v>
      </c>
      <c r="E200" t="s">
        <v>2336</v>
      </c>
      <c r="F200" t="s">
        <v>2467</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25CE9BE-88F6-476A-BD8D-40E7BAC5D29B}"/>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2025-09-04T14:05:51Z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