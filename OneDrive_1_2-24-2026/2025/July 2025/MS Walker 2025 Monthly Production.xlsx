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FE5D190F-8541-4400-A20F-8AF10BE4472B}" xr6:coauthVersionLast="47" xr6:coauthVersionMax="47" xr10:uidLastSave="{00000000-0000-0000-0000-000000000000}"/>
  <bookViews>
    <workbookView xWindow="-108" yWindow="-108" windowWidth="23256" windowHeight="13896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G4" i="30"/>
  <c r="G2" i="30" s="1"/>
  <c r="G4" i="29"/>
  <c r="C4" i="29"/>
  <c r="G2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4" l="1"/>
  <c r="I2" i="4" s="1"/>
  <c r="H2" i="33"/>
  <c r="I2" i="33" s="1"/>
  <c r="H2" i="31"/>
  <c r="I2" i="31" s="1"/>
  <c r="G4" i="34"/>
  <c r="G2" i="34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<sst xmlns="http://schemas.openxmlformats.org/spreadsheetml/2006/main" count="255" uniqueCount="64">
  <si>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</si>
  <si>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</si>
  <si>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</si>
  <si>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</si>
  <si>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</si>
  <si>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</si>
  <si>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</si>
  <si>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</si>
  <si>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</si>
  <si>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</si>
  <si>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</si>
  <si>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</si>
  <si>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</si>
  <si>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</si>
  <si>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</si>
  <si>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</si>
  <si>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</si>
  <si>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</si>
  <si>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</si>
  <si>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</si>
  <si>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</si>
  <si>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</si>
  <si>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</si>
  <si>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</si>
  <si>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</si>
  <si>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</si>
  <si>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 xml:space="preserve">1.The site was offline from 07:45 AM to 02:03 PM on 03/14. MS Walker technicians re-energized the site by closing the recloser
2.Inverter 17 is underperforming by approximately 4 kW, possibly due to a string being down, when compared to Inverters 16 and 15
</t>
  </si>
  <si>
    <t>1.SR098583
2.SR098784</t>
  </si>
  <si>
    <t>April Actual v. Expected</t>
  </si>
  <si>
    <t>April Actual v. Forecasted</t>
  </si>
  <si>
    <t>N/A</t>
  </si>
  <si>
    <t>1.Inverter 17 is underperforming approximately 4kW,possibly string down from 03/14 at 14:30 when compared to Inv 16 &amp;15 which are of same strings.</t>
  </si>
  <si>
    <t>1.SR098784</t>
  </si>
  <si>
    <t>May Actual v. Expected</t>
  </si>
  <si>
    <t>May Actual v. Forecasted</t>
  </si>
  <si>
    <t xml:space="preserve">1.Inverter 17 is underperforming approximately 4kW,possibly string down from 03/14 at 14:30 when compared to Inv 16 &amp;15 which are of same strings.
2.Site was offline from 12:30 on 05/03 to 12:45 on 05/07 
   Site was offline from 15:15 on 05/16 to 06:30 on 05/19
   Site was offline from 12:45 on 05/27 to 08:15 on 05/28.
The site was back online after customer closed the recloser.Site was offline due to persistent communication failures with the DAS. The issue is currently under troubleshooting  </t>
  </si>
  <si>
    <t>1.SR098784
2.SR100966</t>
  </si>
  <si>
    <t>SR100966</t>
  </si>
  <si>
    <t>June Actual v. Expected</t>
  </si>
  <si>
    <t>June Actual v. Forecasted</t>
  </si>
  <si>
    <t>1.Site was offline almost for whole month due to persistent communication failures with the DAS. The issue is currently under troubleshooting  and Tavrida is being RMA'd.</t>
  </si>
  <si>
    <t xml:space="preserve">1.SR103715
</t>
  </si>
  <si>
    <t>July Actual v. Expected</t>
  </si>
  <si>
    <t>July Actual v. Forecasted</t>
  </si>
  <si>
    <t xml:space="preserve">1. Site was offline almost for whole month and is back online at 14:15 on 07/30 </t>
  </si>
  <si>
    <t>1.SR103715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</si>
  <si>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</si>
  <si>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</si>
  <si>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</si>
  <si>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</si>
  <si>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</si>
  <si>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</si>
  <si>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</si>
  <si>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</si>
  <si>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</si>
  <si>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</si>
  <si>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</si>
  <si>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MS Walker</t>
  </si>
  <si>
    <t>Site DAS Name</t>
  </si>
  <si>
    <t>Update</t>
  </si>
  <si>
    <t>DAS</t>
  </si>
  <si>
    <t>MA: MS Walker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</si>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</sst>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0" fontId="34" fillId="40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3" fontId="30" fillId="4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583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784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0966" TargetMode="External"/><Relationship Id="rId1" Type="http://schemas.openxmlformats.org/officeDocument/2006/relationships/hyperlink" Target="https://us3.assetplanner.com/service_request?ID=098784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3715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371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18" sqref="G18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MS Walker</v>
      </c>
      <c r="B1" s="50"/>
      <c r="C1" s="50"/>
      <c r="D1" s="51" t="s">
        <v>0</v>
      </c>
      <c r="E1" s="51"/>
      <c r="F1" s="51"/>
      <c r="G1" s="49" t="s">
        <v>1</v>
      </c>
      <c r="H1" s="49"/>
      <c r="I1" s="49"/>
    </row>
    <row r="2" spans="1:9" ht="19.5" customHeight="1">
      <c r="A2" s="52" t="s">
        <v>2</v>
      </c>
      <c r="B2" s="52"/>
      <c r="C2" s="6">
        <f>SUM(C4:C60)</f>
        <v>297471.3</v>
      </c>
      <c r="D2" s="6">
        <f>SUM(D4:D60)</f>
        <v>0</v>
      </c>
      <c r="E2" s="6">
        <f>C2-D2</f>
        <v>297471.3</v>
      </c>
      <c r="F2" s="7">
        <f>IFERROR(E2/D2, 0)</f>
        <v>0</v>
      </c>
      <c r="G2" s="6">
        <f>SUM(G4:G60)</f>
        <v>0</v>
      </c>
      <c r="H2" s="8">
        <f>C2-G2</f>
        <v>297471.3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SUM('1st Qtr'!C4, '2nd Qtr'!C4, '3rd Qtr'!C4, '4th Qtr'!C4)</f>
        <v>297471.3</v>
      </c>
      <c r="D4" s="14">
        <f>SUM('1st Qtr'!D4, '2nd Qtr'!D4, '3rd Qtr'!D4, '4th Qtr'!D4)</f>
        <v>0</v>
      </c>
      <c r="E4" s="14">
        <f>IF(AND(ISNUMBER(C4),ISNUMBER(D4)), C4-D4, "")</f>
        <v>297471.3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263082.23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MS Walker</v>
      </c>
      <c r="B1" s="50"/>
      <c r="C1" s="50"/>
      <c r="D1" s="51" t="s">
        <v>10</v>
      </c>
      <c r="E1" s="51"/>
      <c r="F1" s="51"/>
      <c r="G1" s="49" t="s">
        <v>11</v>
      </c>
      <c r="H1" s="49"/>
      <c r="I1" s="49"/>
    </row>
    <row r="2" spans="1:9" ht="19.5" customHeight="1">
      <c r="A2" s="52" t="s">
        <v>2</v>
      </c>
      <c r="B2" s="52"/>
      <c r="C2" s="6">
        <f>SUM(C4:C68)</f>
        <v>121978.82800000001</v>
      </c>
      <c r="D2" s="6">
        <f>SUM(D4:D68)</f>
        <v>0</v>
      </c>
      <c r="E2" s="6">
        <f>C2-D2</f>
        <v>121978.82800000001</v>
      </c>
      <c r="F2" s="7">
        <f>IFERROR(E2/D2, 0)</f>
        <v>0</v>
      </c>
      <c r="G2" s="6">
        <f>SUM(G4:G68)</f>
        <v>0</v>
      </c>
      <c r="H2" s="8">
        <f>C2-G2</f>
        <v>121978.82800000001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SUM(Jan!C4, Feb!C4, Mar!C4)</f>
        <v>121978.82800000001</v>
      </c>
      <c r="D4" s="14">
        <f>SUM(Jan!D4, Feb!D4, Mar!D4)</f>
        <v>0</v>
      </c>
      <c r="E4" s="14">
        <f>IF(AND(ISNUMBER(C4),ISNUMBER(D4)), C4-D4, "")</f>
        <v>121978.82800000001</v>
      </c>
      <c r="F4" s="15" t="str">
        <f>IFERROR(E4/D4, "")</f>
        <v/>
      </c>
      <c r="G4" s="16">
        <f>SUM(Jan!G4, Feb!G4, Mar!G4)</f>
        <v>0</v>
      </c>
      <c r="H4" s="16">
        <f>SUM(Jan!H4, Feb!H4, Mar!H4)</f>
        <v>121978.82800000001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9" sqref="G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MS Walker</v>
      </c>
      <c r="B1" s="50"/>
      <c r="C1" s="50"/>
      <c r="D1" s="51" t="s">
        <v>12</v>
      </c>
      <c r="E1" s="51"/>
      <c r="F1" s="51"/>
      <c r="G1" s="49" t="s">
        <v>13</v>
      </c>
      <c r="H1" s="49"/>
      <c r="I1" s="49"/>
    </row>
    <row r="2" spans="1:9" ht="19.5" customHeight="1">
      <c r="A2" s="52" t="s">
        <v>2</v>
      </c>
      <c r="B2" s="52"/>
      <c r="C2" s="6">
        <f>SUM(C4:C90)</f>
        <v>174443.772</v>
      </c>
      <c r="D2" s="6">
        <f>SUM(D4:D90)</f>
        <v>0</v>
      </c>
      <c r="E2" s="6">
        <f>C2-D2</f>
        <v>174443.772</v>
      </c>
      <c r="F2" s="7">
        <f>IFERROR(E2/D2, 0)</f>
        <v>0</v>
      </c>
      <c r="G2" s="6">
        <f>SUM(G4:G90)</f>
        <v>0</v>
      </c>
      <c r="H2" s="8">
        <f>C2-G2</f>
        <v>174443.772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SUM(Apr!C4, May!C4, Jun!C4)</f>
        <v>174443.772</v>
      </c>
      <c r="D4" s="14">
        <f>SUM(Apr!D4, May!D4, Jun!D4)</f>
        <v>0</v>
      </c>
      <c r="E4" s="14">
        <f>IF(AND(ISNUMBER(C4),ISNUMBER(D4)), C4-D4, "")</f>
        <v>174443.772</v>
      </c>
      <c r="F4" s="15" t="str">
        <f>IFERROR(E4/D4, "")</f>
        <v/>
      </c>
      <c r="G4" s="16">
        <f>SUM(Apr!G4,May!G4,Jun!G4)</f>
        <v>0</v>
      </c>
      <c r="H4" s="16">
        <f>SUM(Apr!H4, May!H4, Jun!H4)</f>
        <v>141103.402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MS Walker</v>
      </c>
      <c r="B1" s="50"/>
      <c r="C1" s="50"/>
      <c r="D1" s="51" t="s">
        <v>14</v>
      </c>
      <c r="E1" s="51"/>
      <c r="F1" s="51"/>
      <c r="G1" s="49" t="s">
        <v>15</v>
      </c>
      <c r="H1" s="49"/>
      <c r="I1" s="49"/>
    </row>
    <row r="2" spans="1:9" ht="19.5" customHeight="1">
      <c r="A2" s="52" t="s">
        <v>2</v>
      </c>
      <c r="B2" s="52"/>
      <c r="C2" s="6">
        <f>SUM(C4:C89)</f>
        <v>1048.7</v>
      </c>
      <c r="D2" s="6">
        <f>SUM(D4:D89)</f>
        <v>0</v>
      </c>
      <c r="E2" s="6">
        <f>C2-D2</f>
        <v>1048.7</v>
      </c>
      <c r="F2" s="7">
        <f>IFERROR(E2/D2, 0)</f>
        <v>0</v>
      </c>
      <c r="G2" s="6">
        <f>SUM(G4:G89)</f>
        <v>0</v>
      </c>
      <c r="H2" s="8">
        <f>C2-G2</f>
        <v>1048.7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SUM(Jul!C4, Aug!C4, Sep!C4)</f>
        <v>1048.7</v>
      </c>
      <c r="D4" s="14">
        <f>SUM(Jul!D4, Aug!D4, Sep!D4)</f>
        <v>0</v>
      </c>
      <c r="E4" s="14">
        <f>IF(AND(ISNUMBER(C4),ISNUMBER(D4)), C4-D4, "")</f>
        <v>1048.7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19" sqref="E1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MS Walker</v>
      </c>
      <c r="B1" s="50"/>
      <c r="C1" s="50"/>
      <c r="D1" s="51" t="s">
        <v>16</v>
      </c>
      <c r="E1" s="51"/>
      <c r="F1" s="51"/>
      <c r="G1" s="49" t="s">
        <v>17</v>
      </c>
      <c r="H1" s="49"/>
      <c r="I1" s="49"/>
    </row>
    <row r="2" spans="1:9" ht="19.5" customHeight="1">
      <c r="A2" s="52" t="s">
        <v>2</v>
      </c>
      <c r="B2" s="52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zoomScale="90" zoomScaleNormal="90" workbookViewId="0">
      <pane ySplit="3" topLeftCell="A4" activePane="bottomLeft" state="frozen"/>
      <selection pane="bottomLeft" activeCell="F14" sqref="F14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MS Walker</v>
      </c>
      <c r="B1" s="50"/>
      <c r="C1" s="50"/>
      <c r="D1" s="51" t="s">
        <v>18</v>
      </c>
      <c r="E1" s="51"/>
      <c r="F1" s="51"/>
      <c r="G1" s="49" t="s">
        <v>19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SUM(C4:C89)</f>
        <v>29177.128000000001</v>
      </c>
      <c r="D2" s="6">
        <f>SUM(D4:D89)</f>
        <v>0</v>
      </c>
      <c r="E2" s="6">
        <f>C2-D2</f>
        <v>29177.128000000001</v>
      </c>
      <c r="F2" s="7">
        <f>IFERROR(E2/D2, 0)</f>
        <v>0</v>
      </c>
      <c r="G2" s="6">
        <f>SUM(G4:G89)</f>
        <v>0</v>
      </c>
      <c r="H2" s="8">
        <f>C2-G2</f>
        <v>29177.128000000001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29177.128000000001</v>
      </c>
      <c r="D4" s="14">
        <v>0</v>
      </c>
      <c r="E4" s="14">
        <f>IF(AND(ISNUMBER(C4),ISNUMBER(D4)), C4-D4, "")</f>
        <v>29177.128000000001</v>
      </c>
      <c r="F4" s="15" t="str">
        <f>IFERROR(E4/D4, "")</f>
        <v/>
      </c>
      <c r="G4" s="42">
        <v>0</v>
      </c>
      <c r="H4" s="16">
        <f>IF(AND(ISNUMBER(C4),ISNUMBER(G4)), C4-G4, "")</f>
        <v>29177.128000000001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D4" sqref="D4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MS Walker</v>
      </c>
      <c r="B1" s="50"/>
      <c r="C1" s="50"/>
      <c r="D1" s="51" t="s">
        <v>22</v>
      </c>
      <c r="E1" s="51"/>
      <c r="F1" s="51"/>
      <c r="G1" s="49" t="s">
        <v>23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SUM(C4:C85)</f>
        <v>27473.4</v>
      </c>
      <c r="D2" s="6">
        <f>SUM(D4:D85)</f>
        <v>0</v>
      </c>
      <c r="E2" s="6">
        <f>C2-D2</f>
        <v>27473.4</v>
      </c>
      <c r="F2" s="7">
        <f>IFERROR(E2/D2, 0)</f>
        <v>0</v>
      </c>
      <c r="G2" s="6">
        <f>SUM(G4:G85)</f>
        <v>0</v>
      </c>
      <c r="H2" s="8">
        <f>C2-G2</f>
        <v>27473.4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27473.4</v>
      </c>
      <c r="D4" s="14">
        <v>0</v>
      </c>
      <c r="E4" s="14">
        <f>IF(AND(ISNUMBER(C4),ISNUMBER(D4)), C4-D4, "")</f>
        <v>27473.4</v>
      </c>
      <c r="F4" s="15" t="str">
        <f>IFERROR(E4/D4, "")</f>
        <v/>
      </c>
      <c r="G4" s="42">
        <v>0</v>
      </c>
      <c r="H4" s="16">
        <f>IF(AND(ISNUMBER(C4),ISNUMBER(G4)), C4-G4, "")</f>
        <v>27473.4</v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2"/>
  <sheetViews>
    <sheetView zoomScale="80" zoomScaleNormal="80" workbookViewId="0">
      <pane ySplit="2" topLeftCell="A3" activePane="bottomLeft" state="frozen"/>
      <selection pane="bottomLeft" activeCell="F10" sqref="F10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0" t="str" cm="1">
        <f t="array" ref="A1">portfolio</f>
        <v>MS Walker</v>
      </c>
      <c r="B1" s="50"/>
      <c r="C1" s="50"/>
      <c r="D1" s="51" t="s">
        <v>24</v>
      </c>
      <c r="E1" s="51"/>
      <c r="F1" s="51"/>
      <c r="G1" s="49" t="s">
        <v>25</v>
      </c>
      <c r="H1" s="49"/>
      <c r="I1" s="49"/>
      <c r="J1" s="5"/>
      <c r="K1" s="5"/>
    </row>
    <row r="2" spans="1:12" ht="19.5" customHeight="1">
      <c r="A2" s="52" t="s">
        <v>2</v>
      </c>
      <c r="B2" s="52"/>
      <c r="C2" s="6">
        <f>SUM(C4:C90)</f>
        <v>65328.3</v>
      </c>
      <c r="D2" s="6">
        <f>SUM(D4:D90)</f>
        <v>0</v>
      </c>
      <c r="E2" s="6">
        <f>C2-D2</f>
        <v>65328.3</v>
      </c>
      <c r="F2" s="7">
        <f>IFERROR(E2/D2, 0)</f>
        <v>0</v>
      </c>
      <c r="G2" s="6">
        <f>SUM(G4:G90)</f>
        <v>0</v>
      </c>
      <c r="H2" s="8">
        <f>C2-G2</f>
        <v>65328.3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72">
      <c r="A4" s="33" t="str" cm="1">
        <f t="array" ref="A4">Sites[Site]</f>
        <v>MA: MS Walker</v>
      </c>
      <c r="B4" s="30" t="str" cm="1">
        <f t="array" ref="B4">Sites[State]</f>
        <v>MA</v>
      </c>
      <c r="C4" s="26">
        <v>65328.3</v>
      </c>
      <c r="D4" s="14">
        <v>0</v>
      </c>
      <c r="E4" s="14">
        <f>IF(AND(ISNUMBER(C4),ISNUMBER(D4)), C4-D4, "")</f>
        <v>65328.3</v>
      </c>
      <c r="F4" s="15" t="str">
        <f>IFERROR(E4/D4, "")</f>
        <v/>
      </c>
      <c r="G4" s="42">
        <v>0</v>
      </c>
      <c r="H4" s="16">
        <f>IF(AND(ISNUMBER(C4),ISNUMBER(G4)), C4-G4, "")</f>
        <v>65328.3</v>
      </c>
      <c r="I4" s="17" t="str">
        <f>IFERROR(H4/G4, "")</f>
        <v/>
      </c>
      <c r="J4" s="18" t="s">
        <v>26</v>
      </c>
      <c r="K4" s="43" t="s">
        <v>27</v>
      </c>
      <c r="L4" s="44"/>
    </row>
    <row r="5" spans="1:12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hyperlinks>
    <hyperlink ref="K4" r:id="rId1" display="https://us3.assetplanner.com/service_request?ID=098583" xr:uid="{6FFA8704-A7C8-4388-BDC7-120F413A49A7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opLeftCell="D1" workbookViewId="0">
      <pane ySplit="2" topLeftCell="A3" activePane="bottomLeft" state="frozen"/>
      <selection pane="bottomLeft" activeCell="G6" sqref="G6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MS Walker</v>
      </c>
      <c r="B1" s="50"/>
      <c r="C1" s="50"/>
      <c r="D1" s="51" t="s">
        <v>28</v>
      </c>
      <c r="E1" s="51"/>
      <c r="F1" s="51"/>
      <c r="G1" s="49" t="s">
        <v>29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79195</v>
      </c>
      <c r="D2" s="6">
        <f>SUM(D4:D90)</f>
        <v>0</v>
      </c>
      <c r="E2" s="6">
        <f>C2-D2</f>
        <v>79195</v>
      </c>
      <c r="F2" s="7">
        <f>IFERROR(E2/D2, 0)</f>
        <v>0</v>
      </c>
      <c r="G2" s="6">
        <f>SUM(G4:G90)</f>
        <v>0</v>
      </c>
      <c r="H2" s="8">
        <f>C2-G2</f>
        <v>79195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MA: MS Walker</v>
      </c>
      <c r="B4" s="30" t="str" cm="1">
        <f t="array" ref="B4">Sites[State]</f>
        <v>MA</v>
      </c>
      <c r="C4" s="26">
        <v>79195</v>
      </c>
      <c r="D4" s="14" t="s">
        <v>30</v>
      </c>
      <c r="E4" s="14" t="str">
        <f>IF(AND(ISNUMBER(C4),ISNUMBER(D4)), C4-D4, "")</f>
        <v/>
      </c>
      <c r="F4" s="15" t="str">
        <f>IFERROR(E4/D4, "")</f>
        <v/>
      </c>
      <c r="G4" s="42">
        <v>0</v>
      </c>
      <c r="H4" s="16">
        <f>IF(AND(ISNUMBER(C4),ISNUMBER(G4)), C4-G4, "")</f>
        <v>79195</v>
      </c>
      <c r="I4" s="17" t="str">
        <f>IFERROR(H4/G4, "")</f>
        <v/>
      </c>
      <c r="J4" s="18" t="s">
        <v>31</v>
      </c>
      <c r="K4" s="43" t="s">
        <v>32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098784" xr:uid="{4CF3A914-EEC8-4E4F-B15C-340E9E4F711F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32"/>
  <sheetViews>
    <sheetView topLeftCell="E1" workbookViewId="0">
      <pane ySplit="2" topLeftCell="A3" activePane="bottomLeft" state="frozen"/>
      <selection pane="bottomLeft" activeCell="J4" sqref="J4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46"/>
  </cols>
  <sheetData>
    <row r="1" spans="1:12" ht="19.5" customHeight="1">
      <c r="A1" s="50" t="str" cm="1">
        <f t="array" ref="A1">portfolio</f>
        <v>MS Walker</v>
      </c>
      <c r="B1" s="50"/>
      <c r="C1" s="50"/>
      <c r="D1" s="51" t="s">
        <v>33</v>
      </c>
      <c r="E1" s="51"/>
      <c r="F1" s="51"/>
      <c r="G1" s="49" t="s">
        <v>34</v>
      </c>
      <c r="H1" s="49"/>
      <c r="I1" s="49"/>
      <c r="J1" s="5"/>
      <c r="K1" s="5"/>
    </row>
    <row r="2" spans="1:12" ht="19.5" customHeight="1">
      <c r="A2" s="52" t="s">
        <v>2</v>
      </c>
      <c r="B2" s="52"/>
      <c r="C2" s="6">
        <f>SUM(C4:C90)</f>
        <v>61908.402000000002</v>
      </c>
      <c r="D2" s="6">
        <f>SUM(D4:D90)</f>
        <v>0</v>
      </c>
      <c r="E2" s="6">
        <f>C2-D2</f>
        <v>61908.402000000002</v>
      </c>
      <c r="F2" s="7">
        <f>IFERROR(E2/D2, 0)</f>
        <v>0</v>
      </c>
      <c r="G2" s="6">
        <f>SUM(G4:G90)</f>
        <v>0</v>
      </c>
      <c r="H2" s="8">
        <f>C2-G2</f>
        <v>61908.402000000002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115.15">
      <c r="A4" s="45" t="str" cm="1">
        <f t="array" ref="A4">Sites[Site]</f>
        <v>MA: MS Walker</v>
      </c>
      <c r="B4" s="30" t="str" cm="1">
        <f t="array" ref="B4">Sites[State]</f>
        <v>MA</v>
      </c>
      <c r="C4" s="26">
        <v>61908.402000000002</v>
      </c>
      <c r="D4" s="14">
        <v>0</v>
      </c>
      <c r="E4" s="14">
        <f>IF(AND(ISNUMBER(C4),ISNUMBER(D4)), C4-D4, "")</f>
        <v>61908.402000000002</v>
      </c>
      <c r="F4" s="15" t="str">
        <f>IFERROR(E4/D4, "")</f>
        <v/>
      </c>
      <c r="G4" s="42">
        <v>0</v>
      </c>
      <c r="H4" s="16">
        <f>IF(AND(ISNUMBER(C4),ISNUMBER(G4)), C4-G4, "")</f>
        <v>61908.402000000002</v>
      </c>
      <c r="I4" s="17" t="str">
        <f>IFERROR(H4/G4, "")</f>
        <v/>
      </c>
      <c r="J4" s="18" t="s">
        <v>35</v>
      </c>
      <c r="K4" s="43" t="s">
        <v>36</v>
      </c>
      <c r="L4" s="47" t="s">
        <v>37</v>
      </c>
    </row>
    <row r="5" spans="1:12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098784" xr:uid="{D2AFEDF4-EF03-460A-8142-1A0BBDDA7F5E}"/>
    <hyperlink ref="L4" r:id="rId2" display="https://us3.assetplanner.com/service_request?ID=100966" xr:uid="{F14445B8-B187-4CB9-AEE1-DEE371480FD5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J4" sqref="J4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MS Walker</v>
      </c>
      <c r="B1" s="50"/>
      <c r="C1" s="50"/>
      <c r="D1" s="51" t="s">
        <v>38</v>
      </c>
      <c r="E1" s="51"/>
      <c r="F1" s="51"/>
      <c r="G1" s="49" t="s">
        <v>39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33340.370000000003</v>
      </c>
      <c r="D2" s="6">
        <f>SUM(D4:D90)</f>
        <v>0</v>
      </c>
      <c r="E2" s="6">
        <f>C2-D2</f>
        <v>33340.370000000003</v>
      </c>
      <c r="F2" s="7">
        <f>IFERROR(E2/D2, 0)</f>
        <v>0</v>
      </c>
      <c r="G2" s="6">
        <f>SUM(G4:G90)</f>
        <v>0</v>
      </c>
      <c r="H2" s="8">
        <f>C2-G2</f>
        <v>33340.370000000003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43.15">
      <c r="A4" s="33" t="str" cm="1">
        <f t="array" ref="A4">Sites[Site]</f>
        <v>MA: MS Walker</v>
      </c>
      <c r="B4" s="30" t="str" cm="1">
        <f t="array" ref="B4">Sites[State]</f>
        <v>MA</v>
      </c>
      <c r="C4" s="26">
        <v>33340.370000000003</v>
      </c>
      <c r="D4" s="14" t="s">
        <v>30</v>
      </c>
      <c r="E4" s="14" t="str">
        <f>IF(AND(ISNUMBER(C4),ISNUMBER(D4)), C4-D4, "")</f>
        <v/>
      </c>
      <c r="F4" s="15" t="str">
        <f>IFERROR(E4/D4, "")</f>
        <v/>
      </c>
      <c r="G4" s="48" t="s">
        <v>30</v>
      </c>
      <c r="H4" s="16" t="str">
        <f>IF(AND(ISNUMBER(C4),ISNUMBER(G4)), C4-G4, "")</f>
        <v/>
      </c>
      <c r="I4" s="17" t="str">
        <f>IFERROR(H4/G4, "")</f>
        <v/>
      </c>
      <c r="J4" s="18" t="s">
        <v>40</v>
      </c>
      <c r="K4" s="43" t="s">
        <v>41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hyperlinks>
    <hyperlink ref="K4" r:id="rId1" display="https://us3.assetplanner.com/service_request?ID=103715" xr:uid="{0EC34683-6AF5-4B8E-80D4-8C6974F473C7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tabSelected="1" workbookViewId="0">
      <pane ySplit="2" topLeftCell="A3" activePane="bottomLeft" state="frozen"/>
      <selection pane="bottomLeft" activeCell="J13" sqref="J13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MS Walker</v>
      </c>
      <c r="B1" s="50"/>
      <c r="C1" s="50"/>
      <c r="D1" s="51" t="s">
        <v>42</v>
      </c>
      <c r="E1" s="51"/>
      <c r="F1" s="51"/>
      <c r="G1" s="49" t="s">
        <v>43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1048.7</v>
      </c>
      <c r="D2" s="6">
        <f>SUM(D4:D90)</f>
        <v>0</v>
      </c>
      <c r="E2" s="6">
        <f>C2-D2</f>
        <v>1048.7</v>
      </c>
      <c r="F2" s="7">
        <f>IFERROR(E2/D2, 0)</f>
        <v>0</v>
      </c>
      <c r="G2" s="6">
        <f>SUM(G4:G90)</f>
        <v>0</v>
      </c>
      <c r="H2" s="8">
        <f>C2-G2</f>
        <v>1048.7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1048.7</v>
      </c>
      <c r="D4" s="14" t="s">
        <v>30</v>
      </c>
      <c r="E4" s="14" t="str">
        <f>IF(AND(ISNUMBER(C4),ISNUMBER(D4)), C4-D4, "")</f>
        <v/>
      </c>
      <c r="F4" s="15" t="str">
        <f>IFERROR(E4/D4, "")</f>
        <v/>
      </c>
      <c r="G4" s="48" t="s">
        <v>30</v>
      </c>
      <c r="H4" s="16" t="str">
        <f>IF(AND(ISNUMBER(C4),ISNUMBER(G4)), C4-G4, "")</f>
        <v/>
      </c>
      <c r="I4" s="17" t="str">
        <f>IFERROR(H4/G4, "")</f>
        <v/>
      </c>
      <c r="J4" s="18" t="s">
        <v>44</v>
      </c>
      <c r="K4" s="43" t="s">
        <v>45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hyperlinks>
    <hyperlink ref="K4" r:id="rId1" display="https://us3.assetplanner.com/service_request?ID=103715" xr:uid="{2ECD0FB9-99F0-4A37-A3BE-859008B42254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topLeftCell="B1" zoomScale="90" zoomScaleNormal="90"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MS Walker</v>
      </c>
      <c r="B1" s="50"/>
      <c r="C1" s="50"/>
      <c r="D1" s="51" t="s">
        <v>46</v>
      </c>
      <c r="E1" s="51"/>
      <c r="F1" s="51"/>
      <c r="G1" s="49" t="s">
        <v>47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MS Walker</v>
      </c>
      <c r="B1" s="50"/>
      <c r="C1" s="50"/>
      <c r="D1" s="51" t="s">
        <v>48</v>
      </c>
      <c r="E1" s="51"/>
      <c r="F1" s="51"/>
      <c r="G1" s="49" t="s">
        <v>49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topLeftCell="B1" zoomScale="90" zoomScaleNormal="90"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MS Walker</v>
      </c>
      <c r="B1" s="50"/>
      <c r="C1" s="50"/>
      <c r="D1" s="51" t="s">
        <v>50</v>
      </c>
      <c r="E1" s="51"/>
      <c r="F1" s="51"/>
      <c r="G1" s="49" t="s">
        <v>51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MS Walker</v>
      </c>
      <c r="B1" s="50"/>
      <c r="C1" s="50"/>
      <c r="D1" s="51" t="s">
        <v>52</v>
      </c>
      <c r="E1" s="51"/>
      <c r="F1" s="51"/>
      <c r="G1" s="49" t="s">
        <v>53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F27" sqref="F26:F27"/>
      <selection activeCell="C32" sqref="C32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MS Walker</v>
      </c>
      <c r="B1" s="50"/>
      <c r="C1" s="50"/>
      <c r="D1" s="51" t="s">
        <v>54</v>
      </c>
      <c r="E1" s="51"/>
      <c r="F1" s="51"/>
      <c r="G1" s="49" t="s">
        <v>55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6" sqref="E16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56</v>
      </c>
      <c r="B1" t="s">
        <v>57</v>
      </c>
    </row>
    <row r="3" spans="1:7" ht="13.15">
      <c r="A3" t="s">
        <v>58</v>
      </c>
      <c r="B3" t="s">
        <v>3</v>
      </c>
      <c r="C3" t="s">
        <v>4</v>
      </c>
      <c r="D3" t="s">
        <v>59</v>
      </c>
      <c r="E3" s="2" t="s">
        <v>60</v>
      </c>
    </row>
    <row r="4" spans="1:7" ht="14.45">
      <c r="A4" t="s">
        <v>57</v>
      </c>
      <c r="B4" t="s">
        <v>61</v>
      </c>
      <c r="C4" s="4" t="s">
        <v>62</v>
      </c>
      <c r="E4" t="s">
        <v>63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C10EBC78-4A40-4C57-9336-460DF610DFC3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E3716282-BFD2-4ED2-BA47-BFA1123827F0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89CF5C07-45EB-4100-9AFB-2C6AF77FA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Mogilipalem[Libsys]</cp:lastModifiedBy>
  <cp:revision/>
  <dcterms:created xsi:type="dcterms:W3CDTF">2021-01-01T16:39:53Z</dcterms:created>
  <dcterms:modified xsi:type="dcterms:W3CDTF">2025-08-18T06:44:27Z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