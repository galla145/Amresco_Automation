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6" documentId="13_ncr:1_{6A735896-0DD9-4AB4-9B57-0D4BCD675385}" xr6:coauthVersionLast="47" xr6:coauthVersionMax="47" xr10:uidLastSave="{D36AA964-6A27-4497-B5F2-2F0F857511B5}"/>
  <bookViews>
    <workbookView xWindow="-98" yWindow="-98" windowWidth="21795" windowHeight="12975" tabRatio="713" firstSheet="4" activeTab="3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3" i="12"/>
  <c r="J13" i="18"/>
  <c r="I50" i="32"/>
  <c r="O103" i="33"/>
  <c r="N102" i="33"/>
  <c r="N103" i="33"/>
  <c r="M102" i="33"/>
  <c r="M103" i="33"/>
  <c r="J10" i="36" l="1"/>
  <c r="L103" i="33"/>
  <c r="J7" i="36"/>
  <c r="J10" i="12"/>
  <c r="F103" i="33"/>
  <c r="J7" i="12"/>
  <c r="J10" i="18"/>
  <c r="I103" i="33"/>
  <c r="O102" i="33"/>
  <c r="L102" i="33"/>
  <c r="I102" i="33"/>
  <c r="F102" i="33"/>
  <c r="J7" i="18"/>
  <c r="O101" i="33"/>
  <c r="N101" i="33"/>
  <c r="M101" i="33"/>
  <c r="L101" i="33"/>
  <c r="F101" i="33"/>
  <c r="I101" i="33"/>
  <c r="M100" i="33"/>
  <c r="N100" i="33"/>
  <c r="L100" i="33"/>
  <c r="I100" i="33"/>
  <c r="F100" i="33"/>
  <c r="O100" i="33" l="1"/>
  <c r="I99" i="33" l="1"/>
  <c r="I98" i="33"/>
  <c r="N98" i="33"/>
  <c r="N99" i="33"/>
  <c r="M98" i="33"/>
  <c r="O98" i="33" s="1"/>
  <c r="M99" i="33"/>
  <c r="L98" i="33"/>
  <c r="L99" i="33"/>
  <c r="K109" i="33"/>
  <c r="F98" i="33"/>
  <c r="F99" i="33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D109" i="33"/>
  <c r="N97" i="33"/>
  <c r="M97" i="33"/>
  <c r="L97" i="33"/>
  <c r="I97" i="33"/>
  <c r="F97" i="33"/>
  <c r="K50" i="32"/>
  <c r="J14" i="36" s="1"/>
  <c r="J50" i="32"/>
  <c r="J14" i="18" s="1"/>
  <c r="J14" i="12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N109" i="33" l="1"/>
  <c r="M109" i="33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O109" i="33" l="1"/>
  <c r="F50" i="32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<sst xmlns="http://schemas.openxmlformats.org/spreadsheetml/2006/main" count="552" uniqueCount="92">
  <si>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</si>
  <si>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</si>
  <si>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</si>
  <si>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</si>
  <si>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</si>
  <si>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</si>
  <si>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</si>
  <si>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</si>
  <si>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</si>
  <si>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</si>
  <si>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</si>
  <si>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</si>
  <si>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</si>
  <si>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</si>
  <si>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</si>
  <si>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</si>
  <si>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</si>
  <si>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</si>
  <si>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</si>
  <si>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</si>
  <si>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</si>
  <si>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</si>
  <si>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</si>
  <si>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</si>
  <si>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July'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</si>
  <si>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</si>
  <si>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</si>
  <si>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</si>
  <si>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</si>
  <si>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</si>
  <si>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</si>
  <si>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</si>
  <si>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</si>
  <si>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</si>
  <si>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</si>
  <si>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</si>
  <si>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</si>
  <si>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</si>
  <si>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</si>
  <si>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</si>
  <si>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</si>
  <si>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</si>
  <si>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</si>
  <si>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</si>
  <si>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</si>
  <si>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</si>
  <si>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</si>
  <si>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</si>
  <si>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</si>
  <si>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</si>
  <si>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</si>
  <si>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</si>
  <si>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</si>
  <si>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</si>
  <si>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</si>
  <si>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</si>
  <si>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</si>
  <si>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</si>
  <si>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</si>
  <si>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</si>
  <si>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</si>
  <si>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</si>
  <si>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</si>
  <si>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</si>
  <si>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</si>
  <si>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</si>
  <si>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</si>
  <si>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2025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</si>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</sst>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 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0">
                  <c:v>9925.8092105276883</c:v>
                </c:pt>
                <c:pt idx="1">
                  <c:v>12272.190789472312</c:v>
                </c:pt>
                <c:pt idx="2">
                  <c:v>14124</c:v>
                </c:pt>
                <c:pt idx="3">
                  <c:v>16356.616666667163</c:v>
                </c:pt>
                <c:pt idx="4">
                  <c:v>15779.383333332837</c:v>
                </c:pt>
                <c:pt idx="5">
                  <c:v>15978</c:v>
                </c:pt>
                <c:pt idx="6">
                  <c:v>11806</c:v>
                </c:pt>
                <c:pt idx="7">
                  <c:v>13492</c:v>
                </c:pt>
                <c:pt idx="8">
                  <c:v>5031</c:v>
                </c:pt>
                <c:pt idx="9">
                  <c:v>4605</c:v>
                </c:pt>
                <c:pt idx="10">
                  <c:v>11550</c:v>
                </c:pt>
                <c:pt idx="11">
                  <c:v>8596.7052631564438</c:v>
                </c:pt>
                <c:pt idx="12">
                  <c:v>12239.294736843556</c:v>
                </c:pt>
                <c:pt idx="13">
                  <c:v>10934.000000001863</c:v>
                </c:pt>
                <c:pt idx="14">
                  <c:v>14173.999999998137</c:v>
                </c:pt>
                <c:pt idx="15">
                  <c:v>16847.792592592537</c:v>
                </c:pt>
                <c:pt idx="16">
                  <c:v>11520.207407407463</c:v>
                </c:pt>
                <c:pt idx="17">
                  <c:v>16056.869565216824</c:v>
                </c:pt>
                <c:pt idx="18">
                  <c:v>17553.130434783176</c:v>
                </c:pt>
                <c:pt idx="19">
                  <c:v>12845</c:v>
                </c:pt>
                <c:pt idx="20">
                  <c:v>16201</c:v>
                </c:pt>
                <c:pt idx="21">
                  <c:v>16858</c:v>
                </c:pt>
                <c:pt idx="22">
                  <c:v>16998</c:v>
                </c:pt>
                <c:pt idx="23">
                  <c:v>16504</c:v>
                </c:pt>
                <c:pt idx="24">
                  <c:v>11273</c:v>
                </c:pt>
                <c:pt idx="25">
                  <c:v>16182</c:v>
                </c:pt>
                <c:pt idx="26">
                  <c:v>4848</c:v>
                </c:pt>
                <c:pt idx="27">
                  <c:v>15890.704545456916</c:v>
                </c:pt>
                <c:pt idx="28">
                  <c:v>16389.295454543084</c:v>
                </c:pt>
                <c:pt idx="29">
                  <c:v>15197</c:v>
                </c:pt>
                <c:pt idx="30">
                  <c:v>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9921.6849999999995</c:v>
                </c:pt>
                <c:pt idx="1">
                  <c:v>12021.15</c:v>
                </c:pt>
                <c:pt idx="2">
                  <c:v>13678.82</c:v>
                </c:pt>
                <c:pt idx="3">
                  <c:v>16174.16</c:v>
                </c:pt>
                <c:pt idx="4">
                  <c:v>15203.1</c:v>
                </c:pt>
                <c:pt idx="5">
                  <c:v>15340.95</c:v>
                </c:pt>
                <c:pt idx="6">
                  <c:v>10742.37</c:v>
                </c:pt>
                <c:pt idx="7">
                  <c:v>12353.34</c:v>
                </c:pt>
                <c:pt idx="8">
                  <c:v>4648.8770000000004</c:v>
                </c:pt>
                <c:pt idx="9">
                  <c:v>4314.1660000000002</c:v>
                </c:pt>
                <c:pt idx="10">
                  <c:v>11174.71</c:v>
                </c:pt>
                <c:pt idx="11">
                  <c:v>8436.49</c:v>
                </c:pt>
                <c:pt idx="12">
                  <c:v>12407.93</c:v>
                </c:pt>
                <c:pt idx="13">
                  <c:v>10657.68</c:v>
                </c:pt>
                <c:pt idx="14">
                  <c:v>13788.87</c:v>
                </c:pt>
                <c:pt idx="15">
                  <c:v>15800.03</c:v>
                </c:pt>
                <c:pt idx="16">
                  <c:v>10966.47</c:v>
                </c:pt>
                <c:pt idx="17">
                  <c:v>15760.76</c:v>
                </c:pt>
                <c:pt idx="18">
                  <c:v>17094.84</c:v>
                </c:pt>
                <c:pt idx="19">
                  <c:v>13119.01</c:v>
                </c:pt>
                <c:pt idx="20">
                  <c:v>16377.59</c:v>
                </c:pt>
                <c:pt idx="21">
                  <c:v>16733.09</c:v>
                </c:pt>
                <c:pt idx="22">
                  <c:v>16788.669999999998</c:v>
                </c:pt>
                <c:pt idx="23">
                  <c:v>16209.93</c:v>
                </c:pt>
                <c:pt idx="24">
                  <c:v>11092.17</c:v>
                </c:pt>
                <c:pt idx="25">
                  <c:v>16034.27</c:v>
                </c:pt>
                <c:pt idx="26">
                  <c:v>4612.4759999999997</c:v>
                </c:pt>
                <c:pt idx="27">
                  <c:v>15704.44</c:v>
                </c:pt>
                <c:pt idx="28">
                  <c:v>15761.8</c:v>
                </c:pt>
                <c:pt idx="29">
                  <c:v>13970.67</c:v>
                </c:pt>
                <c:pt idx="30">
                  <c:v>2339.5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13630.75</c:v>
                </c:pt>
                <c:pt idx="1">
                  <c:v>13888.25</c:v>
                </c:pt>
                <c:pt idx="2">
                  <c:v>20072</c:v>
                </c:pt>
                <c:pt idx="3">
                  <c:v>22407</c:v>
                </c:pt>
                <c:pt idx="4">
                  <c:v>20157.5</c:v>
                </c:pt>
                <c:pt idx="5">
                  <c:v>20945.25</c:v>
                </c:pt>
                <c:pt idx="6">
                  <c:v>13324</c:v>
                </c:pt>
                <c:pt idx="7">
                  <c:v>17781</c:v>
                </c:pt>
                <c:pt idx="8">
                  <c:v>7166.25</c:v>
                </c:pt>
                <c:pt idx="9">
                  <c:v>6426.25</c:v>
                </c:pt>
                <c:pt idx="10">
                  <c:v>13362.140243902802</c:v>
                </c:pt>
                <c:pt idx="11">
                  <c:v>18587.859756097198</c:v>
                </c:pt>
                <c:pt idx="12">
                  <c:v>15661</c:v>
                </c:pt>
                <c:pt idx="13">
                  <c:v>9985.5</c:v>
                </c:pt>
                <c:pt idx="14">
                  <c:v>19940</c:v>
                </c:pt>
                <c:pt idx="15">
                  <c:v>19920</c:v>
                </c:pt>
                <c:pt idx="16">
                  <c:v>15827.75</c:v>
                </c:pt>
                <c:pt idx="17">
                  <c:v>18877</c:v>
                </c:pt>
                <c:pt idx="18">
                  <c:v>22256</c:v>
                </c:pt>
                <c:pt idx="19">
                  <c:v>12580.75</c:v>
                </c:pt>
                <c:pt idx="20">
                  <c:v>20256.25</c:v>
                </c:pt>
                <c:pt idx="21">
                  <c:v>20751.5</c:v>
                </c:pt>
                <c:pt idx="22">
                  <c:v>21622</c:v>
                </c:pt>
                <c:pt idx="23">
                  <c:v>21421.75</c:v>
                </c:pt>
                <c:pt idx="24">
                  <c:v>16617</c:v>
                </c:pt>
                <c:pt idx="25">
                  <c:v>20094.5</c:v>
                </c:pt>
                <c:pt idx="26">
                  <c:v>6222.75</c:v>
                </c:pt>
                <c:pt idx="27">
                  <c:v>20785.5</c:v>
                </c:pt>
                <c:pt idx="28">
                  <c:v>21376.5</c:v>
                </c:pt>
                <c:pt idx="29">
                  <c:v>20605.75</c:v>
                </c:pt>
                <c:pt idx="30">
                  <c:v>10438.25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12422.56</c:v>
                </c:pt>
                <c:pt idx="1">
                  <c:v>12415.74</c:v>
                </c:pt>
                <c:pt idx="2">
                  <c:v>18627.22</c:v>
                </c:pt>
                <c:pt idx="3">
                  <c:v>21149.1</c:v>
                </c:pt>
                <c:pt idx="4">
                  <c:v>18352.32</c:v>
                </c:pt>
                <c:pt idx="5">
                  <c:v>18989.03</c:v>
                </c:pt>
                <c:pt idx="6">
                  <c:v>11818.22</c:v>
                </c:pt>
                <c:pt idx="7">
                  <c:v>16484.45</c:v>
                </c:pt>
                <c:pt idx="8">
                  <c:v>6391.5460000000003</c:v>
                </c:pt>
                <c:pt idx="9">
                  <c:v>5653.87</c:v>
                </c:pt>
                <c:pt idx="10">
                  <c:v>12138.31</c:v>
                </c:pt>
                <c:pt idx="11">
                  <c:v>17106.21</c:v>
                </c:pt>
                <c:pt idx="12">
                  <c:v>14689.56</c:v>
                </c:pt>
                <c:pt idx="13">
                  <c:v>8863.6779999999999</c:v>
                </c:pt>
                <c:pt idx="14">
                  <c:v>18531.84</c:v>
                </c:pt>
                <c:pt idx="15">
                  <c:v>18538.39</c:v>
                </c:pt>
                <c:pt idx="16">
                  <c:v>14215.26</c:v>
                </c:pt>
                <c:pt idx="17">
                  <c:v>18331.400000000001</c:v>
                </c:pt>
                <c:pt idx="18">
                  <c:v>20782.38</c:v>
                </c:pt>
                <c:pt idx="19">
                  <c:v>11713.98</c:v>
                </c:pt>
                <c:pt idx="20">
                  <c:v>19221.330000000002</c:v>
                </c:pt>
                <c:pt idx="21">
                  <c:v>19393.34</c:v>
                </c:pt>
                <c:pt idx="22">
                  <c:v>19983.259999999998</c:v>
                </c:pt>
                <c:pt idx="23">
                  <c:v>19406.560000000001</c:v>
                </c:pt>
                <c:pt idx="24">
                  <c:v>14874.37</c:v>
                </c:pt>
                <c:pt idx="25">
                  <c:v>18304.68</c:v>
                </c:pt>
                <c:pt idx="26">
                  <c:v>5583.78</c:v>
                </c:pt>
                <c:pt idx="27">
                  <c:v>18707.509999999998</c:v>
                </c:pt>
                <c:pt idx="28">
                  <c:v>19339.12</c:v>
                </c:pt>
                <c:pt idx="29">
                  <c:v>18700.36</c:v>
                </c:pt>
                <c:pt idx="30">
                  <c:v>9451.2049999999999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15927</c:v>
                </c:pt>
                <c:pt idx="1">
                  <c:v>11773</c:v>
                </c:pt>
                <c:pt idx="2">
                  <c:v>9286</c:v>
                </c:pt>
                <c:pt idx="3">
                  <c:v>11255</c:v>
                </c:pt>
                <c:pt idx="4">
                  <c:v>9683</c:v>
                </c:pt>
                <c:pt idx="5">
                  <c:v>10537</c:v>
                </c:pt>
                <c:pt idx="6">
                  <c:v>17320</c:v>
                </c:pt>
                <c:pt idx="7">
                  <c:v>20010</c:v>
                </c:pt>
                <c:pt idx="8">
                  <c:v>19345</c:v>
                </c:pt>
                <c:pt idx="9">
                  <c:v>23161</c:v>
                </c:pt>
                <c:pt idx="10">
                  <c:v>23228</c:v>
                </c:pt>
                <c:pt idx="11">
                  <c:v>14228</c:v>
                </c:pt>
                <c:pt idx="12">
                  <c:v>16195</c:v>
                </c:pt>
                <c:pt idx="13">
                  <c:v>13671</c:v>
                </c:pt>
                <c:pt idx="14">
                  <c:v>17215</c:v>
                </c:pt>
                <c:pt idx="15">
                  <c:v>19744</c:v>
                </c:pt>
                <c:pt idx="16">
                  <c:v>23592</c:v>
                </c:pt>
                <c:pt idx="17">
                  <c:v>24088</c:v>
                </c:pt>
                <c:pt idx="18">
                  <c:v>24290</c:v>
                </c:pt>
                <c:pt idx="19">
                  <c:v>24178</c:v>
                </c:pt>
                <c:pt idx="20">
                  <c:v>23764</c:v>
                </c:pt>
                <c:pt idx="21">
                  <c:v>22306</c:v>
                </c:pt>
                <c:pt idx="22">
                  <c:v>24152</c:v>
                </c:pt>
                <c:pt idx="23">
                  <c:v>24296</c:v>
                </c:pt>
                <c:pt idx="24">
                  <c:v>21110</c:v>
                </c:pt>
                <c:pt idx="25">
                  <c:v>19150</c:v>
                </c:pt>
                <c:pt idx="26">
                  <c:v>16134</c:v>
                </c:pt>
                <c:pt idx="27">
                  <c:v>23583</c:v>
                </c:pt>
                <c:pt idx="28">
                  <c:v>21325</c:v>
                </c:pt>
                <c:pt idx="29">
                  <c:v>22549</c:v>
                </c:pt>
                <c:pt idx="30">
                  <c:v>17701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14684.29</c:v>
                </c:pt>
                <c:pt idx="1">
                  <c:v>9836.8050000000003</c:v>
                </c:pt>
                <c:pt idx="2">
                  <c:v>7642.2669999999998</c:v>
                </c:pt>
                <c:pt idx="3">
                  <c:v>9961.5310000000009</c:v>
                </c:pt>
                <c:pt idx="4">
                  <c:v>7857.3890000000001</c:v>
                </c:pt>
                <c:pt idx="5">
                  <c:v>8942.4120000000003</c:v>
                </c:pt>
                <c:pt idx="6">
                  <c:v>17065.849999999999</c:v>
                </c:pt>
                <c:pt idx="7">
                  <c:v>18852.89</c:v>
                </c:pt>
                <c:pt idx="8">
                  <c:v>17951.22</c:v>
                </c:pt>
                <c:pt idx="9">
                  <c:v>21832.89</c:v>
                </c:pt>
                <c:pt idx="10">
                  <c:v>22348.82</c:v>
                </c:pt>
                <c:pt idx="11">
                  <c:v>12555.68</c:v>
                </c:pt>
                <c:pt idx="12">
                  <c:v>14651.63</c:v>
                </c:pt>
                <c:pt idx="13">
                  <c:v>12233.13</c:v>
                </c:pt>
                <c:pt idx="14">
                  <c:v>16736.95</c:v>
                </c:pt>
                <c:pt idx="15">
                  <c:v>19307.59</c:v>
                </c:pt>
                <c:pt idx="16">
                  <c:v>21296.25</c:v>
                </c:pt>
                <c:pt idx="17">
                  <c:v>22439.26</c:v>
                </c:pt>
                <c:pt idx="18">
                  <c:v>22646.78</c:v>
                </c:pt>
                <c:pt idx="19">
                  <c:v>22413.29</c:v>
                </c:pt>
                <c:pt idx="20">
                  <c:v>22235.26</c:v>
                </c:pt>
                <c:pt idx="21">
                  <c:v>20729.919999999998</c:v>
                </c:pt>
                <c:pt idx="22">
                  <c:v>22707.01</c:v>
                </c:pt>
                <c:pt idx="23">
                  <c:v>22581.22</c:v>
                </c:pt>
                <c:pt idx="24">
                  <c:v>21840.66</c:v>
                </c:pt>
                <c:pt idx="25">
                  <c:v>17653.009999999998</c:v>
                </c:pt>
                <c:pt idx="26">
                  <c:v>14896.9</c:v>
                </c:pt>
                <c:pt idx="27">
                  <c:v>21734.31</c:v>
                </c:pt>
                <c:pt idx="28">
                  <c:v>20355.34</c:v>
                </c:pt>
                <c:pt idx="29">
                  <c:v>21130.02</c:v>
                </c:pt>
                <c:pt idx="30">
                  <c:v>19476.28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25"/>
  <cols>
    <col min="23" max="23" width="12.5703125" customWidth="1"/>
  </cols>
  <sheetData>
    <row r="1" spans="1:31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5.75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5.75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3"/>
  <sheetViews>
    <sheetView view="pageLayout" zoomScale="80" zoomScaleNormal="80" zoomScalePageLayoutView="80" workbookViewId="0">
      <selection activeCell="J14" sqref="J14"/>
    </sheetView>
  </sheetViews>
  <sheetFormatPr defaultRowHeight="14.2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77" t="s">
        <v>22</v>
      </c>
      <c r="F1" s="177"/>
      <c r="G1" s="177"/>
      <c r="H1" s="177"/>
      <c r="I1" s="177"/>
      <c r="J1" s="177"/>
    </row>
    <row r="2" spans="3:13">
      <c r="E2" s="178" t="s">
        <v>23</v>
      </c>
      <c r="F2" s="178"/>
      <c r="G2" s="178"/>
      <c r="H2" s="178"/>
      <c r="I2" s="178"/>
      <c r="J2" s="178"/>
    </row>
    <row r="3" spans="3:13">
      <c r="E3" s="179" t="s">
        <v>24</v>
      </c>
      <c r="F3" s="180"/>
      <c r="G3" s="180"/>
      <c r="H3" s="180"/>
      <c r="I3" s="180"/>
      <c r="J3" s="180"/>
    </row>
    <row r="5" spans="3:13">
      <c r="C5" s="181" t="s">
        <v>25</v>
      </c>
      <c r="D5" s="182"/>
      <c r="E5" s="182"/>
      <c r="F5" s="182"/>
      <c r="G5" s="182"/>
      <c r="H5" s="182"/>
      <c r="I5" s="182"/>
      <c r="J5" s="182"/>
      <c r="K5" s="182"/>
      <c r="L5" s="183"/>
    </row>
    <row r="6" spans="3:13">
      <c r="C6" s="20"/>
      <c r="D6" s="21"/>
      <c r="E6" s="172" t="s">
        <v>2</v>
      </c>
      <c r="F6" s="172"/>
      <c r="G6" s="172"/>
      <c r="H6" s="172"/>
      <c r="I6" s="172"/>
      <c r="J6" s="22">
        <f>SUM(G32:G62)</f>
        <v>400549</v>
      </c>
      <c r="K6" s="21" t="s">
        <v>26</v>
      </c>
      <c r="L6" s="23"/>
    </row>
    <row r="7" spans="3:13">
      <c r="C7" s="3"/>
      <c r="D7" s="2"/>
      <c r="E7" s="176" t="s">
        <v>4</v>
      </c>
      <c r="F7" s="176"/>
      <c r="G7" s="176"/>
      <c r="H7" s="176"/>
      <c r="I7" s="176"/>
      <c r="J7" s="8">
        <f>'Predicted Data'!D23</f>
        <v>465962.5</v>
      </c>
      <c r="K7" s="69"/>
      <c r="L7" s="4"/>
    </row>
    <row r="8" spans="3:13" ht="15.75">
      <c r="C8" s="3"/>
      <c r="D8" s="2"/>
      <c r="E8" s="176" t="s">
        <v>6</v>
      </c>
      <c r="F8" s="176"/>
      <c r="G8" s="176"/>
      <c r="H8" s="176"/>
      <c r="I8" s="176"/>
      <c r="J8" s="8">
        <f>SUM(H32:H62)</f>
        <v>389230.01399999997</v>
      </c>
      <c r="K8" s="2" t="s">
        <v>26</v>
      </c>
      <c r="L8" s="4"/>
    </row>
    <row r="9" spans="3:13" ht="15.75">
      <c r="C9" s="3"/>
      <c r="D9" s="2"/>
      <c r="E9" s="176" t="s">
        <v>8</v>
      </c>
      <c r="F9" s="176"/>
      <c r="G9" s="176"/>
      <c r="H9" s="176"/>
      <c r="I9" s="176"/>
      <c r="J9" s="79"/>
      <c r="K9" s="69"/>
      <c r="L9" s="4"/>
    </row>
    <row r="10" spans="3:13">
      <c r="C10" s="3"/>
      <c r="D10" s="2"/>
      <c r="E10" s="176" t="s">
        <v>10</v>
      </c>
      <c r="F10" s="176"/>
      <c r="G10" s="176"/>
      <c r="H10" s="176"/>
      <c r="I10" s="176"/>
      <c r="J10" s="85">
        <f>'Plant Health'!H103</f>
        <v>389230.01399999997</v>
      </c>
      <c r="K10" s="2" t="s">
        <v>26</v>
      </c>
      <c r="L10" s="4"/>
    </row>
    <row r="11" spans="3:13">
      <c r="C11" s="3"/>
      <c r="D11" s="2"/>
      <c r="E11" s="176" t="s">
        <v>12</v>
      </c>
      <c r="F11" s="176"/>
      <c r="G11" s="176"/>
      <c r="H11" s="176"/>
      <c r="I11" s="176"/>
      <c r="J11" s="31">
        <f>J6/J10</f>
        <v>1.0290804552395079</v>
      </c>
      <c r="K11" s="2"/>
      <c r="L11" s="4"/>
      <c r="M11" s="61"/>
    </row>
    <row r="12" spans="3:13">
      <c r="C12" s="3"/>
      <c r="D12" s="2"/>
      <c r="E12" s="176" t="s">
        <v>16</v>
      </c>
      <c r="F12" s="176"/>
      <c r="G12" s="176"/>
      <c r="H12" s="176"/>
      <c r="I12" s="176"/>
      <c r="J12" s="31">
        <f>J6/J7</f>
        <v>0.85961638543874241</v>
      </c>
      <c r="K12" s="2"/>
      <c r="L12" s="4"/>
    </row>
    <row r="13" spans="3:13">
      <c r="C13" s="3"/>
      <c r="D13" s="2"/>
      <c r="E13" s="176" t="s">
        <v>18</v>
      </c>
      <c r="F13" s="176"/>
      <c r="G13" s="176"/>
      <c r="H13" s="176"/>
      <c r="I13" s="176"/>
      <c r="J13" s="31">
        <f>Availability!J44</f>
        <v>0.99859285714285717</v>
      </c>
      <c r="K13" s="2"/>
      <c r="L13" s="4"/>
    </row>
    <row r="14" spans="3:13">
      <c r="C14" s="5"/>
      <c r="D14" s="6"/>
      <c r="E14" s="185" t="s">
        <v>20</v>
      </c>
      <c r="F14" s="185"/>
      <c r="G14" s="185"/>
      <c r="H14" s="185"/>
      <c r="I14" s="185"/>
      <c r="J14" s="9">
        <f>Availability!J50</f>
        <v>0.99455850340136054</v>
      </c>
      <c r="K14" s="6"/>
      <c r="L14" s="7"/>
    </row>
    <row r="16" spans="3:13">
      <c r="C16" s="184" t="s">
        <v>27</v>
      </c>
      <c r="D16" s="184"/>
      <c r="E16" s="184"/>
      <c r="F16" s="184"/>
      <c r="G16" s="184"/>
      <c r="H16" s="184"/>
      <c r="I16" s="184"/>
      <c r="J16" s="184"/>
      <c r="K16" s="184"/>
      <c r="L16" s="184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4" t="s">
        <v>28</v>
      </c>
      <c r="G30" s="184"/>
      <c r="H30" s="184"/>
      <c r="I30" s="184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23.45" customHeight="1">
      <c r="E32" s="2"/>
      <c r="F32" s="160">
        <v>45839</v>
      </c>
      <c r="G32" s="161">
        <v>9925.8092105276883</v>
      </c>
      <c r="H32" s="162">
        <v>9921.6849999999995</v>
      </c>
      <c r="I32" s="162">
        <v>79.460650000000001</v>
      </c>
      <c r="J32" s="2"/>
      <c r="K32" s="151"/>
    </row>
    <row r="33" spans="5:15">
      <c r="E33" s="2"/>
      <c r="F33" s="160">
        <v>45840</v>
      </c>
      <c r="G33" s="161">
        <v>12272.190789472312</v>
      </c>
      <c r="H33" s="162">
        <v>12021.15</v>
      </c>
      <c r="I33" s="162">
        <v>78.502200000000002</v>
      </c>
      <c r="J33" s="2"/>
      <c r="K33" s="14"/>
    </row>
    <row r="34" spans="5:15">
      <c r="E34" s="2"/>
      <c r="F34" s="160">
        <v>45841</v>
      </c>
      <c r="G34" s="161">
        <v>14124</v>
      </c>
      <c r="H34" s="162">
        <v>13678.82</v>
      </c>
      <c r="I34" s="162">
        <v>73.778679999999994</v>
      </c>
      <c r="J34" s="2"/>
      <c r="K34" s="14"/>
    </row>
    <row r="35" spans="5:15">
      <c r="E35" s="2"/>
      <c r="F35" s="160">
        <v>45842</v>
      </c>
      <c r="G35" s="161">
        <v>16356.616666667163</v>
      </c>
      <c r="H35" s="162">
        <v>16174.16</v>
      </c>
      <c r="I35" s="162">
        <v>68.578900000000004</v>
      </c>
      <c r="J35" s="2"/>
      <c r="K35" s="14"/>
    </row>
    <row r="36" spans="5:15">
      <c r="E36" s="2"/>
      <c r="F36" s="160">
        <v>45843</v>
      </c>
      <c r="G36" s="161">
        <v>15779.383333332837</v>
      </c>
      <c r="H36" s="162">
        <v>15203.1</v>
      </c>
      <c r="I36" s="162">
        <v>70.393780000000007</v>
      </c>
      <c r="J36" s="2"/>
      <c r="K36" s="14"/>
    </row>
    <row r="37" spans="5:15">
      <c r="E37" s="2"/>
      <c r="F37" s="160">
        <v>45844</v>
      </c>
      <c r="G37" s="161">
        <v>15978</v>
      </c>
      <c r="H37" s="162">
        <v>15340.95</v>
      </c>
      <c r="I37" s="162">
        <v>81.891130000000004</v>
      </c>
      <c r="J37" s="2"/>
      <c r="K37" s="14"/>
    </row>
    <row r="38" spans="5:15">
      <c r="E38" s="2"/>
      <c r="F38" s="160">
        <v>45845</v>
      </c>
      <c r="G38" s="161">
        <v>11806</v>
      </c>
      <c r="H38" s="162">
        <v>10742.37</v>
      </c>
      <c r="I38" s="162">
        <v>82.254810000000006</v>
      </c>
      <c r="J38" s="2"/>
      <c r="K38" s="14"/>
    </row>
    <row r="39" spans="5:15">
      <c r="E39" s="2"/>
      <c r="F39" s="160">
        <v>45846</v>
      </c>
      <c r="G39" s="161">
        <v>13492</v>
      </c>
      <c r="H39" s="162">
        <v>12353.34</v>
      </c>
      <c r="I39" s="162">
        <v>83.445300000000003</v>
      </c>
      <c r="J39" s="2"/>
      <c r="K39" s="14"/>
    </row>
    <row r="40" spans="5:15">
      <c r="E40" s="2"/>
      <c r="F40" s="160">
        <v>45847</v>
      </c>
      <c r="G40" s="161">
        <v>5031</v>
      </c>
      <c r="H40" s="162">
        <v>4648.8770000000004</v>
      </c>
      <c r="I40" s="162">
        <v>72.91489</v>
      </c>
      <c r="J40" s="2"/>
      <c r="K40" s="14"/>
    </row>
    <row r="41" spans="5:15">
      <c r="E41" s="2"/>
      <c r="F41" s="160">
        <v>45848</v>
      </c>
      <c r="G41" s="161">
        <v>4605</v>
      </c>
      <c r="H41" s="162">
        <v>4314.1660000000002</v>
      </c>
      <c r="I41" s="162">
        <v>68.631929999999997</v>
      </c>
      <c r="J41" s="2"/>
      <c r="K41" s="14"/>
    </row>
    <row r="42" spans="5:15">
      <c r="E42" s="2"/>
      <c r="F42" s="160">
        <v>45849</v>
      </c>
      <c r="G42" s="161">
        <v>11550</v>
      </c>
      <c r="H42" s="162">
        <v>11174.71</v>
      </c>
      <c r="I42" s="162">
        <v>73.080280000000002</v>
      </c>
      <c r="J42" s="2"/>
      <c r="K42" s="14"/>
    </row>
    <row r="43" spans="5:15">
      <c r="E43" s="2"/>
      <c r="F43" s="160">
        <v>45850</v>
      </c>
      <c r="G43" s="161">
        <v>8596.7052631564438</v>
      </c>
      <c r="H43" s="162">
        <v>8436.49</v>
      </c>
      <c r="I43" s="162">
        <v>75.816479999999999</v>
      </c>
      <c r="J43" s="2"/>
      <c r="K43" s="14"/>
    </row>
    <row r="44" spans="5:15">
      <c r="E44" s="2"/>
      <c r="F44" s="160">
        <v>45851</v>
      </c>
      <c r="G44" s="161">
        <v>12239.294736843556</v>
      </c>
      <c r="H44" s="162">
        <v>12407.93</v>
      </c>
      <c r="I44" s="162">
        <v>76.600250000000003</v>
      </c>
      <c r="J44" s="2"/>
      <c r="K44" s="14"/>
    </row>
    <row r="45" spans="5:15">
      <c r="E45" s="2"/>
      <c r="F45" s="160">
        <v>45852</v>
      </c>
      <c r="G45" s="161">
        <v>10934.000000001863</v>
      </c>
      <c r="H45" s="162">
        <v>10657.68</v>
      </c>
      <c r="I45" s="162">
        <v>79.745130000000003</v>
      </c>
      <c r="J45" s="2"/>
      <c r="K45" s="14"/>
    </row>
    <row r="46" spans="5:15">
      <c r="E46" s="2"/>
      <c r="F46" s="160">
        <v>45853</v>
      </c>
      <c r="G46" s="161">
        <v>14173.999999998137</v>
      </c>
      <c r="H46" s="162">
        <v>13788.87</v>
      </c>
      <c r="I46" s="162">
        <v>83.300989999999999</v>
      </c>
      <c r="J46" s="2"/>
      <c r="K46" s="14"/>
    </row>
    <row r="47" spans="5:15">
      <c r="E47" s="2"/>
      <c r="F47" s="160">
        <v>45854</v>
      </c>
      <c r="G47" s="161">
        <v>16847.792592592537</v>
      </c>
      <c r="H47" s="162">
        <v>15800.03</v>
      </c>
      <c r="I47" s="162">
        <v>84.111789999999999</v>
      </c>
      <c r="J47" s="2"/>
      <c r="K47" s="14"/>
    </row>
    <row r="48" spans="5:15">
      <c r="E48" s="2"/>
      <c r="F48" s="160">
        <v>45855</v>
      </c>
      <c r="G48" s="161">
        <v>11520.207407407463</v>
      </c>
      <c r="H48" s="162">
        <v>10966.47</v>
      </c>
      <c r="I48" s="162">
        <v>83.019440000000003</v>
      </c>
      <c r="J48" s="2"/>
      <c r="K48" s="14"/>
      <c r="M48" s="2"/>
      <c r="N48" s="2"/>
      <c r="O48" s="2"/>
    </row>
    <row r="49" spans="5:15">
      <c r="E49" s="2"/>
      <c r="F49" s="160">
        <v>45856</v>
      </c>
      <c r="G49" s="161">
        <v>16056.869565216824</v>
      </c>
      <c r="H49" s="162">
        <v>15760.76</v>
      </c>
      <c r="I49" s="162">
        <v>74.328879999999998</v>
      </c>
      <c r="J49" s="2"/>
      <c r="K49" s="14"/>
      <c r="M49" s="2"/>
      <c r="N49" s="2"/>
      <c r="O49" s="2"/>
    </row>
    <row r="50" spans="5:15">
      <c r="E50" s="2"/>
      <c r="F50" s="160">
        <v>45857</v>
      </c>
      <c r="G50" s="161">
        <v>17553.130434783176</v>
      </c>
      <c r="H50" s="162">
        <v>17094.84</v>
      </c>
      <c r="I50" s="162">
        <v>71.389840000000007</v>
      </c>
      <c r="J50" s="2"/>
      <c r="K50" s="14"/>
    </row>
    <row r="51" spans="5:15">
      <c r="E51" s="2"/>
      <c r="F51" s="160">
        <v>45858</v>
      </c>
      <c r="G51" s="161">
        <v>12845</v>
      </c>
      <c r="H51" s="162">
        <v>13119.01</v>
      </c>
      <c r="I51" s="162">
        <v>77.696849999999998</v>
      </c>
      <c r="J51" s="2"/>
      <c r="K51" s="14"/>
    </row>
    <row r="52" spans="5:15">
      <c r="E52" s="2"/>
      <c r="F52" s="160">
        <v>45859</v>
      </c>
      <c r="G52" s="161">
        <v>16201</v>
      </c>
      <c r="H52" s="162">
        <v>16377.59</v>
      </c>
      <c r="I52" s="162">
        <v>69.144800000000004</v>
      </c>
      <c r="J52" s="2"/>
      <c r="K52" s="14"/>
    </row>
    <row r="53" spans="5:15">
      <c r="E53" s="2"/>
      <c r="F53" s="160">
        <v>45860</v>
      </c>
      <c r="G53" s="161">
        <v>16858</v>
      </c>
      <c r="H53" s="162">
        <v>16733.09</v>
      </c>
      <c r="I53" s="162">
        <v>66.010800000000003</v>
      </c>
      <c r="J53" s="2"/>
      <c r="K53" s="14"/>
    </row>
    <row r="54" spans="5:15">
      <c r="E54" s="2"/>
      <c r="F54" s="160">
        <v>45861</v>
      </c>
      <c r="G54" s="161">
        <v>16998</v>
      </c>
      <c r="H54" s="162">
        <v>16788.669999999998</v>
      </c>
      <c r="I54" s="162">
        <v>70.967920000000007</v>
      </c>
      <c r="J54" s="2"/>
      <c r="K54" s="14"/>
    </row>
    <row r="55" spans="5:15">
      <c r="E55" s="2"/>
      <c r="F55" s="160">
        <v>45862</v>
      </c>
      <c r="G55" s="161">
        <v>16504</v>
      </c>
      <c r="H55" s="162">
        <v>16209.93</v>
      </c>
      <c r="I55" s="162">
        <v>80.156390000000002</v>
      </c>
      <c r="J55" s="2"/>
      <c r="K55" s="14"/>
    </row>
    <row r="56" spans="5:15">
      <c r="E56" s="2"/>
      <c r="F56" s="160">
        <v>45863</v>
      </c>
      <c r="G56" s="161">
        <v>11273</v>
      </c>
      <c r="H56" s="162">
        <v>11092.17</v>
      </c>
      <c r="I56" s="162">
        <v>81.297160000000005</v>
      </c>
      <c r="J56" s="2"/>
      <c r="K56" s="14"/>
    </row>
    <row r="57" spans="5:15">
      <c r="E57" s="2"/>
      <c r="F57" s="160">
        <v>45864</v>
      </c>
      <c r="G57" s="161">
        <v>16182</v>
      </c>
      <c r="H57" s="162">
        <v>16034.27</v>
      </c>
      <c r="I57" s="162">
        <v>73.929469999999995</v>
      </c>
      <c r="J57" s="2"/>
      <c r="K57" s="14"/>
    </row>
    <row r="58" spans="5:15">
      <c r="E58" s="2"/>
      <c r="F58" s="160">
        <v>45865</v>
      </c>
      <c r="G58" s="161">
        <v>4848</v>
      </c>
      <c r="H58" s="162">
        <v>4612.4759999999997</v>
      </c>
      <c r="I58" s="162">
        <v>69.621189999999999</v>
      </c>
      <c r="J58" s="2"/>
      <c r="K58" s="14"/>
    </row>
    <row r="59" spans="5:15">
      <c r="E59" s="2"/>
      <c r="F59" s="160">
        <v>45866</v>
      </c>
      <c r="G59" s="161">
        <v>15890.704545456916</v>
      </c>
      <c r="H59" s="162">
        <v>15704.44</v>
      </c>
      <c r="I59" s="162">
        <v>80.076729999999998</v>
      </c>
      <c r="J59" s="2"/>
      <c r="K59" s="14"/>
    </row>
    <row r="60" spans="5:15">
      <c r="E60" s="2"/>
      <c r="F60" s="160">
        <v>45867</v>
      </c>
      <c r="G60" s="161">
        <v>16389.295454543084</v>
      </c>
      <c r="H60" s="162">
        <v>15761.8</v>
      </c>
      <c r="I60" s="162">
        <v>82.135239999999996</v>
      </c>
      <c r="J60" s="2"/>
      <c r="K60" s="14"/>
    </row>
    <row r="61" spans="5:15">
      <c r="E61" s="2"/>
      <c r="F61" s="160">
        <v>45868</v>
      </c>
      <c r="G61" s="161">
        <v>15197</v>
      </c>
      <c r="H61" s="162">
        <v>13970.67</v>
      </c>
      <c r="I61" s="162">
        <v>81.958539999999999</v>
      </c>
      <c r="J61" s="2"/>
      <c r="K61" s="14"/>
    </row>
    <row r="62" spans="5:15" s="2" customFormat="1">
      <c r="F62" s="160">
        <v>45869</v>
      </c>
      <c r="G62" s="161">
        <v>2521</v>
      </c>
      <c r="H62" s="162">
        <v>2339.5</v>
      </c>
      <c r="I62" s="162">
        <v>67.603229999999996</v>
      </c>
      <c r="K62" s="14"/>
    </row>
    <row r="63" spans="5:15" s="2" customFormat="1">
      <c r="F63" s="157"/>
      <c r="G63" s="155"/>
      <c r="H63" s="155"/>
      <c r="I63" s="156"/>
      <c r="K63" s="14"/>
    </row>
    <row r="64" spans="5:15">
      <c r="F64" s="143"/>
      <c r="G64" s="137"/>
      <c r="H64" s="2"/>
      <c r="I64" s="2"/>
    </row>
    <row r="65" spans="3:12">
      <c r="C65" s="181" t="s">
        <v>33</v>
      </c>
      <c r="D65" s="182"/>
      <c r="E65" s="182"/>
      <c r="F65" s="182"/>
      <c r="G65" s="182"/>
      <c r="H65" s="182"/>
      <c r="I65" s="182"/>
      <c r="J65" s="182"/>
      <c r="K65" s="182"/>
      <c r="L65" s="183"/>
    </row>
    <row r="66" spans="3:12" ht="15" customHeight="1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>
      <c r="C67" s="192"/>
      <c r="D67" s="193"/>
      <c r="E67" s="193"/>
      <c r="F67" s="193"/>
      <c r="G67" s="193"/>
      <c r="H67" s="193"/>
      <c r="I67" s="193"/>
      <c r="J67" s="193"/>
      <c r="K67" s="193"/>
      <c r="L67" s="194"/>
    </row>
    <row r="68" spans="3:12">
      <c r="C68" s="195"/>
      <c r="D68" s="196"/>
      <c r="E68" s="196"/>
      <c r="F68" s="196"/>
      <c r="G68" s="196"/>
      <c r="H68" s="196"/>
      <c r="I68" s="196"/>
      <c r="J68" s="196"/>
      <c r="K68" s="196"/>
      <c r="L68" s="197"/>
    </row>
    <row r="70" spans="3:12">
      <c r="C70" s="186" t="s">
        <v>34</v>
      </c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ht="14.85" customHeight="1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  <row r="72" spans="3:12">
      <c r="C72" s="192"/>
      <c r="D72" s="193"/>
      <c r="E72" s="193"/>
      <c r="F72" s="193"/>
      <c r="G72" s="193"/>
      <c r="H72" s="193"/>
      <c r="I72" s="193"/>
      <c r="J72" s="193"/>
      <c r="K72" s="193"/>
      <c r="L72" s="194"/>
    </row>
    <row r="73" spans="3:12">
      <c r="C73" s="195"/>
      <c r="D73" s="196"/>
      <c r="E73" s="196"/>
      <c r="F73" s="196"/>
      <c r="G73" s="196"/>
      <c r="H73" s="196"/>
      <c r="I73" s="196"/>
      <c r="J73" s="196"/>
      <c r="K73" s="196"/>
      <c r="L73" s="197"/>
    </row>
  </sheetData>
  <mergeCells count="19">
    <mergeCell ref="C70:L70"/>
    <mergeCell ref="C65:L65"/>
    <mergeCell ref="E13:I13"/>
    <mergeCell ref="F30:I30"/>
    <mergeCell ref="C71:L73"/>
    <mergeCell ref="C66:L68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4"/>
  <sheetViews>
    <sheetView zoomScale="85" zoomScaleNormal="85" workbookViewId="0">
      <selection activeCell="O31" sqref="O31"/>
    </sheetView>
  </sheetViews>
  <sheetFormatPr defaultRowHeight="14.2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77" t="s">
        <v>35</v>
      </c>
      <c r="F1" s="177"/>
      <c r="G1" s="177"/>
      <c r="H1" s="177"/>
      <c r="I1" s="177"/>
      <c r="J1" s="177"/>
    </row>
    <row r="2" spans="3:18">
      <c r="E2" s="178" t="s">
        <v>23</v>
      </c>
      <c r="F2" s="178"/>
      <c r="G2" s="178"/>
      <c r="H2" s="178"/>
      <c r="I2" s="178"/>
      <c r="J2" s="178"/>
    </row>
    <row r="3" spans="3:18" ht="14.25" customHeight="1">
      <c r="E3" s="179" t="s">
        <v>24</v>
      </c>
      <c r="F3" s="180"/>
      <c r="G3" s="180"/>
      <c r="H3" s="180"/>
      <c r="I3" s="180"/>
      <c r="J3" s="180"/>
    </row>
    <row r="5" spans="3:18">
      <c r="C5" s="181" t="s">
        <v>25</v>
      </c>
      <c r="D5" s="182"/>
      <c r="E5" s="182"/>
      <c r="F5" s="182"/>
      <c r="G5" s="182"/>
      <c r="H5" s="182"/>
      <c r="I5" s="182"/>
      <c r="J5" s="182"/>
      <c r="K5" s="182"/>
      <c r="L5" s="183"/>
      <c r="R5" s="26"/>
    </row>
    <row r="6" spans="3:18">
      <c r="C6" s="20"/>
      <c r="D6" s="21"/>
      <c r="E6" s="172" t="s">
        <v>2</v>
      </c>
      <c r="F6" s="172"/>
      <c r="G6" s="172"/>
      <c r="H6" s="172"/>
      <c r="I6" s="172"/>
      <c r="J6" s="22">
        <f>SUM(G32:G62)</f>
        <v>522988</v>
      </c>
      <c r="K6" s="2"/>
      <c r="L6" s="23"/>
      <c r="R6" s="26"/>
    </row>
    <row r="7" spans="3:18">
      <c r="C7" s="3"/>
      <c r="D7" s="2"/>
      <c r="E7" s="176" t="s">
        <v>4</v>
      </c>
      <c r="F7" s="176"/>
      <c r="G7" s="176"/>
      <c r="H7" s="176"/>
      <c r="I7" s="176"/>
      <c r="J7" s="8">
        <f>'Predicted Data'!D11</f>
        <v>524395</v>
      </c>
      <c r="K7" s="69"/>
      <c r="L7" s="4"/>
      <c r="R7" s="26"/>
    </row>
    <row r="8" spans="3:18" ht="15.75">
      <c r="C8" s="3"/>
      <c r="D8" s="2"/>
      <c r="E8" s="176" t="s">
        <v>6</v>
      </c>
      <c r="F8" s="176"/>
      <c r="G8" s="176"/>
      <c r="H8" s="176"/>
      <c r="I8" s="176"/>
      <c r="J8" s="8">
        <f>SUM(H32:H62)</f>
        <v>480180.57900000003</v>
      </c>
      <c r="K8" s="2"/>
      <c r="L8" s="4"/>
      <c r="R8" s="26"/>
    </row>
    <row r="9" spans="3:18" ht="15.75">
      <c r="C9" s="3"/>
      <c r="D9" s="2"/>
      <c r="E9" s="176" t="s">
        <v>8</v>
      </c>
      <c r="F9" s="176"/>
      <c r="G9" s="176"/>
      <c r="H9" s="176"/>
      <c r="I9" s="176"/>
      <c r="J9" s="79"/>
      <c r="K9" s="69"/>
      <c r="L9" s="4"/>
      <c r="R9" s="44"/>
    </row>
    <row r="10" spans="3:18">
      <c r="C10" s="3"/>
      <c r="D10" s="2"/>
      <c r="E10" s="176" t="s">
        <v>10</v>
      </c>
      <c r="F10" s="176"/>
      <c r="G10" s="176"/>
      <c r="H10" s="176"/>
      <c r="I10" s="176"/>
      <c r="J10" s="84">
        <f>'Plant Health'!E103</f>
        <v>480180.57900000003</v>
      </c>
      <c r="K10" s="2"/>
      <c r="L10" s="4"/>
      <c r="R10" s="26"/>
    </row>
    <row r="11" spans="3:18">
      <c r="C11" s="3"/>
      <c r="D11" s="2"/>
      <c r="E11" s="176" t="s">
        <v>12</v>
      </c>
      <c r="F11" s="176"/>
      <c r="G11" s="176"/>
      <c r="H11" s="176"/>
      <c r="I11" s="176"/>
      <c r="J11" s="31">
        <f>J6/J10</f>
        <v>1.0891485888270378</v>
      </c>
      <c r="K11" s="2"/>
      <c r="L11" s="4"/>
      <c r="R11" s="26"/>
    </row>
    <row r="12" spans="3:18">
      <c r="C12" s="3"/>
      <c r="D12" s="2"/>
      <c r="E12" s="176" t="s">
        <v>16</v>
      </c>
      <c r="F12" s="176"/>
      <c r="G12" s="176"/>
      <c r="H12" s="176"/>
      <c r="I12" s="176"/>
      <c r="J12" s="31">
        <f>J6/J7</f>
        <v>0.99731690805595019</v>
      </c>
      <c r="K12" s="2"/>
      <c r="L12" s="4"/>
      <c r="R12" s="26"/>
    </row>
    <row r="13" spans="3:18">
      <c r="C13" s="3"/>
      <c r="D13" s="2"/>
      <c r="E13" s="176" t="s">
        <v>18</v>
      </c>
      <c r="F13" s="176"/>
      <c r="G13" s="176"/>
      <c r="H13" s="176"/>
      <c r="I13" s="176"/>
      <c r="J13" s="31">
        <f>Availability!I44</f>
        <v>0.99665000000000004</v>
      </c>
      <c r="K13" s="2"/>
      <c r="L13" s="4"/>
      <c r="R13" s="26"/>
    </row>
    <row r="14" spans="3:18">
      <c r="C14" s="5"/>
      <c r="D14" s="6"/>
      <c r="E14" s="185" t="s">
        <v>20</v>
      </c>
      <c r="F14" s="185"/>
      <c r="G14" s="185"/>
      <c r="H14" s="185"/>
      <c r="I14" s="185"/>
      <c r="J14" s="9">
        <f>Availability!I50</f>
        <v>0.99766547619047619</v>
      </c>
      <c r="K14" s="6"/>
      <c r="L14" s="7"/>
      <c r="R14" s="26"/>
    </row>
    <row r="15" spans="3:18">
      <c r="R15" s="26"/>
    </row>
    <row r="16" spans="3:18">
      <c r="C16" s="181" t="s">
        <v>27</v>
      </c>
      <c r="D16" s="182"/>
      <c r="E16" s="182"/>
      <c r="F16" s="182"/>
      <c r="G16" s="182"/>
      <c r="H16" s="182"/>
      <c r="I16" s="182"/>
      <c r="J16" s="182"/>
      <c r="K16" s="182"/>
      <c r="L16" s="183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8" t="s">
        <v>28</v>
      </c>
      <c r="G30" s="198"/>
      <c r="H30" s="198"/>
      <c r="I30" s="19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3" t="s">
        <v>30</v>
      </c>
      <c r="H31" s="164" t="s">
        <v>31</v>
      </c>
      <c r="I31" s="163" t="s">
        <v>32</v>
      </c>
      <c r="J31" s="12"/>
      <c r="K31" s="13"/>
      <c r="R31" s="45"/>
      <c r="X31"/>
    </row>
    <row r="32" spans="5:24">
      <c r="E32" s="2"/>
      <c r="F32" s="154">
        <v>45839</v>
      </c>
      <c r="G32" s="162">
        <v>13630.75</v>
      </c>
      <c r="H32" s="162">
        <v>12422.56</v>
      </c>
      <c r="I32" s="162">
        <v>81.156649999999999</v>
      </c>
      <c r="J32" s="14"/>
      <c r="K32" s="14"/>
      <c r="R32" s="26"/>
    </row>
    <row r="33" spans="5:18">
      <c r="E33" s="2"/>
      <c r="F33" s="154">
        <v>45840</v>
      </c>
      <c r="G33" s="162">
        <v>13888.25</v>
      </c>
      <c r="H33" s="162">
        <v>12415.74</v>
      </c>
      <c r="I33" s="162">
        <v>80.482330000000005</v>
      </c>
      <c r="J33" s="14"/>
      <c r="K33" s="14"/>
      <c r="R33" s="26"/>
    </row>
    <row r="34" spans="5:18">
      <c r="E34" s="2"/>
      <c r="F34" s="154">
        <v>45841</v>
      </c>
      <c r="G34" s="162">
        <v>20072</v>
      </c>
      <c r="H34" s="162">
        <v>18627.22</v>
      </c>
      <c r="I34" s="162">
        <v>78.043620000000004</v>
      </c>
      <c r="J34" s="14"/>
      <c r="K34" s="14"/>
      <c r="R34" s="26"/>
    </row>
    <row r="35" spans="5:18">
      <c r="E35" s="2"/>
      <c r="F35" s="154">
        <v>45842</v>
      </c>
      <c r="G35" s="162">
        <v>22407</v>
      </c>
      <c r="H35" s="162">
        <v>21149.1</v>
      </c>
      <c r="I35" s="162">
        <v>71.69923</v>
      </c>
      <c r="J35" s="14"/>
      <c r="K35" s="14"/>
      <c r="R35" s="26"/>
    </row>
    <row r="36" spans="5:18">
      <c r="E36" s="2"/>
      <c r="F36" s="154">
        <v>45843</v>
      </c>
      <c r="G36" s="162">
        <v>20157.5</v>
      </c>
      <c r="H36" s="162">
        <v>18352.32</v>
      </c>
      <c r="I36" s="162">
        <v>74.025310000000005</v>
      </c>
      <c r="J36" s="14"/>
      <c r="K36" s="14"/>
      <c r="R36" s="26"/>
    </row>
    <row r="37" spans="5:18">
      <c r="E37" s="2"/>
      <c r="F37" s="154">
        <v>45844</v>
      </c>
      <c r="G37" s="162">
        <v>20945.25</v>
      </c>
      <c r="H37" s="162">
        <v>18989.03</v>
      </c>
      <c r="I37" s="162">
        <v>81.122960000000006</v>
      </c>
      <c r="J37" s="14"/>
      <c r="K37" s="14"/>
      <c r="R37" s="26"/>
    </row>
    <row r="38" spans="5:18">
      <c r="E38" s="2"/>
      <c r="F38" s="154">
        <v>45845</v>
      </c>
      <c r="G38" s="162">
        <v>13324</v>
      </c>
      <c r="H38" s="162">
        <v>11818.22</v>
      </c>
      <c r="I38" s="162">
        <v>81.437179999999998</v>
      </c>
      <c r="J38" s="14"/>
      <c r="K38" s="14"/>
    </row>
    <row r="39" spans="5:18">
      <c r="E39" s="2"/>
      <c r="F39" s="154">
        <v>45846</v>
      </c>
      <c r="G39" s="162">
        <v>17781</v>
      </c>
      <c r="H39" s="162">
        <v>16484.45</v>
      </c>
      <c r="I39" s="162">
        <v>87.093810000000005</v>
      </c>
      <c r="J39" s="14"/>
      <c r="K39" s="14"/>
    </row>
    <row r="40" spans="5:18">
      <c r="E40" s="2"/>
      <c r="F40" s="154">
        <v>45847</v>
      </c>
      <c r="G40" s="162">
        <v>7166.25</v>
      </c>
      <c r="H40" s="162">
        <v>6391.5460000000003</v>
      </c>
      <c r="I40" s="162">
        <v>76.22184</v>
      </c>
      <c r="J40" s="14"/>
      <c r="K40" s="14"/>
    </row>
    <row r="41" spans="5:18">
      <c r="E41" s="2"/>
      <c r="F41" s="154">
        <v>45848</v>
      </c>
      <c r="G41" s="162">
        <v>6426.25</v>
      </c>
      <c r="H41" s="162">
        <v>5653.87</v>
      </c>
      <c r="I41" s="162">
        <v>69.593519999999998</v>
      </c>
      <c r="J41" s="14"/>
      <c r="K41" s="14"/>
    </row>
    <row r="42" spans="5:18">
      <c r="E42" s="2"/>
      <c r="F42" s="154">
        <v>45849</v>
      </c>
      <c r="G42" s="162">
        <v>13362.140243902802</v>
      </c>
      <c r="H42" s="162">
        <v>12138.31</v>
      </c>
      <c r="I42" s="162">
        <v>76.179500000000004</v>
      </c>
      <c r="J42" s="14"/>
      <c r="K42" s="14"/>
    </row>
    <row r="43" spans="5:18">
      <c r="E43" s="2"/>
      <c r="F43" s="154">
        <v>45850</v>
      </c>
      <c r="G43" s="162">
        <v>18587.859756097198</v>
      </c>
      <c r="H43" s="162">
        <v>17106.21</v>
      </c>
      <c r="I43" s="162">
        <v>77.202539999999999</v>
      </c>
      <c r="J43" s="14"/>
      <c r="K43" s="14"/>
    </row>
    <row r="44" spans="5:18">
      <c r="E44" s="2"/>
      <c r="F44" s="154">
        <v>45851</v>
      </c>
      <c r="G44" s="162">
        <v>15661</v>
      </c>
      <c r="H44" s="162">
        <v>14689.56</v>
      </c>
      <c r="I44" s="162">
        <v>78.154420000000002</v>
      </c>
      <c r="J44" s="14"/>
      <c r="K44" s="14"/>
    </row>
    <row r="45" spans="5:18">
      <c r="E45" s="2"/>
      <c r="F45" s="154">
        <v>45852</v>
      </c>
      <c r="G45" s="162">
        <v>9985.5</v>
      </c>
      <c r="H45" s="162">
        <v>8863.6779999999999</v>
      </c>
      <c r="I45" s="162">
        <v>77.832700000000003</v>
      </c>
      <c r="J45" s="14"/>
      <c r="K45" s="14"/>
    </row>
    <row r="46" spans="5:18">
      <c r="E46" s="2"/>
      <c r="F46" s="154">
        <v>45853</v>
      </c>
      <c r="G46" s="162">
        <v>19940</v>
      </c>
      <c r="H46" s="162">
        <v>18531.84</v>
      </c>
      <c r="I46" s="162">
        <v>84.262159999999994</v>
      </c>
      <c r="J46" s="14"/>
      <c r="K46" s="14"/>
    </row>
    <row r="47" spans="5:18">
      <c r="E47" s="2"/>
      <c r="F47" s="154">
        <v>45854</v>
      </c>
      <c r="G47" s="162">
        <v>19920</v>
      </c>
      <c r="H47" s="162">
        <v>18538.39</v>
      </c>
      <c r="I47" s="162">
        <v>84.889949999999999</v>
      </c>
      <c r="J47" s="14"/>
      <c r="K47" s="14"/>
    </row>
    <row r="48" spans="5:18">
      <c r="E48" s="2"/>
      <c r="F48" s="154">
        <v>45855</v>
      </c>
      <c r="G48" s="162">
        <v>15827.75</v>
      </c>
      <c r="H48" s="162">
        <v>14215.26</v>
      </c>
      <c r="I48" s="162">
        <v>85.44332</v>
      </c>
      <c r="J48" s="14"/>
      <c r="K48" s="14"/>
    </row>
    <row r="49" spans="5:11">
      <c r="E49" s="2"/>
      <c r="F49" s="154">
        <v>45856</v>
      </c>
      <c r="G49" s="162">
        <v>18877</v>
      </c>
      <c r="H49" s="162">
        <v>18331.400000000001</v>
      </c>
      <c r="I49" s="162">
        <v>77.740250000000003</v>
      </c>
      <c r="J49" s="14"/>
      <c r="K49" s="14"/>
    </row>
    <row r="50" spans="5:11">
      <c r="E50" s="2"/>
      <c r="F50" s="154">
        <v>45857</v>
      </c>
      <c r="G50" s="162">
        <v>22256</v>
      </c>
      <c r="H50" s="162">
        <v>20782.38</v>
      </c>
      <c r="I50" s="162">
        <v>76.566789999999997</v>
      </c>
      <c r="J50" s="14"/>
      <c r="K50" s="14"/>
    </row>
    <row r="51" spans="5:11">
      <c r="E51" s="2"/>
      <c r="F51" s="154">
        <v>45858</v>
      </c>
      <c r="G51" s="162">
        <v>12580.75</v>
      </c>
      <c r="H51" s="162">
        <v>11713.98</v>
      </c>
      <c r="I51" s="162">
        <v>78.790589999999995</v>
      </c>
      <c r="J51" s="14"/>
      <c r="K51" s="14"/>
    </row>
    <row r="52" spans="5:11">
      <c r="E52" s="2"/>
      <c r="F52" s="154">
        <v>45859</v>
      </c>
      <c r="G52" s="162">
        <v>20256.25</v>
      </c>
      <c r="H52" s="162">
        <v>19221.330000000002</v>
      </c>
      <c r="I52" s="162">
        <v>73.1571</v>
      </c>
      <c r="J52" s="14"/>
      <c r="K52" s="14"/>
    </row>
    <row r="53" spans="5:11">
      <c r="E53" s="2"/>
      <c r="F53" s="154">
        <v>45860</v>
      </c>
      <c r="G53" s="162">
        <v>20751.5</v>
      </c>
      <c r="H53" s="162">
        <v>19393.34</v>
      </c>
      <c r="I53" s="162">
        <v>69.086749999999995</v>
      </c>
      <c r="J53" s="14"/>
      <c r="K53" s="14"/>
    </row>
    <row r="54" spans="5:11">
      <c r="E54" s="2"/>
      <c r="F54" s="154">
        <v>45861</v>
      </c>
      <c r="G54" s="162">
        <v>21622</v>
      </c>
      <c r="H54" s="162">
        <v>19983.259999999998</v>
      </c>
      <c r="I54" s="162">
        <v>74.799400000000006</v>
      </c>
      <c r="J54" s="14"/>
      <c r="K54" s="14"/>
    </row>
    <row r="55" spans="5:11">
      <c r="E55" s="2"/>
      <c r="F55" s="154">
        <v>45862</v>
      </c>
      <c r="G55" s="162">
        <v>21421.75</v>
      </c>
      <c r="H55" s="162">
        <v>19406.560000000001</v>
      </c>
      <c r="I55" s="162">
        <v>78.244870000000006</v>
      </c>
      <c r="J55" s="14"/>
      <c r="K55" s="14"/>
    </row>
    <row r="56" spans="5:11">
      <c r="E56" s="2"/>
      <c r="F56" s="154">
        <v>45863</v>
      </c>
      <c r="G56" s="162">
        <v>16617</v>
      </c>
      <c r="H56" s="162">
        <v>14874.37</v>
      </c>
      <c r="I56" s="162">
        <v>81.451570000000004</v>
      </c>
      <c r="J56" s="14"/>
      <c r="K56" s="14"/>
    </row>
    <row r="57" spans="5:11">
      <c r="E57" s="2"/>
      <c r="F57" s="154">
        <v>45864</v>
      </c>
      <c r="G57" s="162">
        <v>20094.5</v>
      </c>
      <c r="H57" s="162">
        <v>18304.68</v>
      </c>
      <c r="I57" s="162">
        <v>76.659049999999993</v>
      </c>
      <c r="J57" s="14"/>
      <c r="K57" s="14"/>
    </row>
    <row r="58" spans="5:11">
      <c r="E58" s="2"/>
      <c r="F58" s="154">
        <v>45865</v>
      </c>
      <c r="G58" s="162">
        <v>6222.75</v>
      </c>
      <c r="H58" s="162">
        <v>5583.78</v>
      </c>
      <c r="I58" s="162">
        <v>70.097350000000006</v>
      </c>
      <c r="J58" s="14"/>
      <c r="K58" s="14"/>
    </row>
    <row r="59" spans="5:11">
      <c r="E59" s="2"/>
      <c r="F59" s="154">
        <v>45866</v>
      </c>
      <c r="G59" s="162">
        <v>20785.5</v>
      </c>
      <c r="H59" s="162">
        <v>18707.509999999998</v>
      </c>
      <c r="I59" s="162">
        <v>82.920299999999997</v>
      </c>
      <c r="J59" s="14"/>
      <c r="K59" s="14"/>
    </row>
    <row r="60" spans="5:11">
      <c r="E60" s="2"/>
      <c r="F60" s="154">
        <v>45867</v>
      </c>
      <c r="G60" s="162">
        <v>21376.5</v>
      </c>
      <c r="H60" s="162">
        <v>19339.12</v>
      </c>
      <c r="I60" s="162">
        <v>85.09751</v>
      </c>
      <c r="J60" s="14"/>
      <c r="K60" s="14"/>
    </row>
    <row r="61" spans="5:11">
      <c r="E61" s="2"/>
      <c r="F61" s="154">
        <v>45868</v>
      </c>
      <c r="G61" s="162">
        <v>20605.75</v>
      </c>
      <c r="H61" s="162">
        <v>18700.36</v>
      </c>
      <c r="I61" s="162">
        <v>85.304419999999993</v>
      </c>
      <c r="J61" s="14"/>
      <c r="K61" s="14"/>
    </row>
    <row r="62" spans="5:11">
      <c r="E62" s="2"/>
      <c r="F62" s="154">
        <v>45869</v>
      </c>
      <c r="G62" s="162">
        <v>10438.25</v>
      </c>
      <c r="H62" s="162">
        <v>9451.2049999999999</v>
      </c>
      <c r="I62" s="162">
        <v>73.156559999999999</v>
      </c>
      <c r="J62" s="14"/>
      <c r="K62" s="14"/>
    </row>
    <row r="63" spans="5:11">
      <c r="F63" s="152"/>
      <c r="G63" s="2"/>
      <c r="H63" s="2"/>
      <c r="I63" s="2"/>
    </row>
    <row r="64" spans="5:11">
      <c r="F64" s="139"/>
      <c r="G64" s="2"/>
      <c r="H64" s="2"/>
      <c r="I64" s="2"/>
    </row>
    <row r="65" spans="3:12">
      <c r="C65" s="186" t="s">
        <v>33</v>
      </c>
      <c r="D65" s="187"/>
      <c r="E65" s="187"/>
      <c r="F65" s="187"/>
      <c r="G65" s="187"/>
      <c r="H65" s="187"/>
      <c r="I65" s="187"/>
      <c r="J65" s="187"/>
      <c r="K65" s="187"/>
      <c r="L65" s="188"/>
    </row>
    <row r="66" spans="3:12" ht="15" customHeight="1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>
      <c r="C67" s="192"/>
      <c r="D67" s="193"/>
      <c r="E67" s="193"/>
      <c r="F67" s="193"/>
      <c r="G67" s="193"/>
      <c r="H67" s="193"/>
      <c r="I67" s="193"/>
      <c r="J67" s="193"/>
      <c r="K67" s="193"/>
      <c r="L67" s="194"/>
    </row>
    <row r="68" spans="3:12">
      <c r="C68" s="195"/>
      <c r="D68" s="196"/>
      <c r="E68" s="196"/>
      <c r="F68" s="196"/>
      <c r="G68" s="196"/>
      <c r="H68" s="196"/>
      <c r="I68" s="196"/>
      <c r="J68" s="196"/>
      <c r="K68" s="196"/>
      <c r="L68" s="197"/>
    </row>
    <row r="69" spans="3:12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>
      <c r="C70" s="186" t="s">
        <v>34</v>
      </c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ht="14.85" customHeight="1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  <row r="72" spans="3:12">
      <c r="C72" s="192"/>
      <c r="D72" s="193"/>
      <c r="E72" s="193"/>
      <c r="F72" s="193"/>
      <c r="G72" s="193"/>
      <c r="H72" s="193"/>
      <c r="I72" s="193"/>
      <c r="J72" s="193"/>
      <c r="K72" s="193"/>
      <c r="L72" s="194"/>
    </row>
    <row r="73" spans="3:12">
      <c r="C73" s="195"/>
      <c r="D73" s="196"/>
      <c r="E73" s="196"/>
      <c r="F73" s="196"/>
      <c r="G73" s="196"/>
      <c r="H73" s="196"/>
      <c r="I73" s="196"/>
      <c r="J73" s="196"/>
      <c r="K73" s="196"/>
      <c r="L73" s="197"/>
    </row>
    <row r="74" spans="3:12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3"/>
  <sheetViews>
    <sheetView tabSelected="1" topLeftCell="B33" zoomScale="80" zoomScaleNormal="80" workbookViewId="0">
      <selection activeCell="S26" sqref="S26"/>
    </sheetView>
  </sheetViews>
  <sheetFormatPr defaultColWidth="9" defaultRowHeight="14.2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01" t="s">
        <v>36</v>
      </c>
      <c r="F1" s="201"/>
      <c r="G1" s="201"/>
      <c r="H1" s="201"/>
      <c r="I1" s="201"/>
      <c r="J1" s="201"/>
    </row>
    <row r="2" spans="3:13">
      <c r="E2" s="202" t="s">
        <v>23</v>
      </c>
      <c r="F2" s="202"/>
      <c r="G2" s="202"/>
      <c r="H2" s="202"/>
      <c r="I2" s="202"/>
      <c r="J2" s="202"/>
    </row>
    <row r="3" spans="3:13" ht="14.25" customHeight="1">
      <c r="E3" s="179" t="s">
        <v>24</v>
      </c>
      <c r="F3" s="180"/>
      <c r="G3" s="180"/>
      <c r="H3" s="180"/>
      <c r="I3" s="180"/>
      <c r="J3" s="180"/>
    </row>
    <row r="5" spans="3:13">
      <c r="C5" s="203" t="s">
        <v>25</v>
      </c>
      <c r="D5" s="204"/>
      <c r="E5" s="204"/>
      <c r="F5" s="204"/>
      <c r="G5" s="204"/>
      <c r="H5" s="204"/>
      <c r="I5" s="204"/>
      <c r="J5" s="204"/>
      <c r="K5" s="204"/>
      <c r="L5" s="205"/>
    </row>
    <row r="6" spans="3:13">
      <c r="C6" s="107"/>
      <c r="D6" s="108"/>
      <c r="E6" s="206" t="s">
        <v>2</v>
      </c>
      <c r="F6" s="206"/>
      <c r="G6" s="206"/>
      <c r="H6" s="206"/>
      <c r="I6" s="206"/>
      <c r="J6" s="109">
        <f>SUM(G32:G62)</f>
        <v>584796</v>
      </c>
      <c r="K6" s="108"/>
      <c r="L6" s="110"/>
    </row>
    <row r="7" spans="3:13">
      <c r="C7" s="111"/>
      <c r="E7" s="200" t="s">
        <v>4</v>
      </c>
      <c r="F7" s="200"/>
      <c r="G7" s="200"/>
      <c r="H7" s="200"/>
      <c r="I7" s="200"/>
      <c r="J7" s="112">
        <f>'Predicted Data'!D35</f>
        <v>528500</v>
      </c>
      <c r="K7" s="113"/>
      <c r="L7" s="114"/>
    </row>
    <row r="8" spans="3:13" ht="15.75">
      <c r="C8" s="111"/>
      <c r="E8" s="200" t="s">
        <v>6</v>
      </c>
      <c r="F8" s="200"/>
      <c r="G8" s="200"/>
      <c r="H8" s="200"/>
      <c r="I8" s="200"/>
      <c r="J8" s="112">
        <f>SUM(H32:H62)</f>
        <v>546596.85399999993</v>
      </c>
      <c r="L8" s="114"/>
    </row>
    <row r="9" spans="3:13" ht="15.75">
      <c r="C9" s="111"/>
      <c r="E9" s="200" t="s">
        <v>8</v>
      </c>
      <c r="F9" s="200"/>
      <c r="G9" s="200"/>
      <c r="H9" s="200"/>
      <c r="I9" s="200"/>
      <c r="J9" s="115"/>
      <c r="K9" s="113"/>
      <c r="L9" s="114"/>
    </row>
    <row r="10" spans="3:13">
      <c r="C10" s="111"/>
      <c r="E10" s="200" t="s">
        <v>10</v>
      </c>
      <c r="F10" s="200"/>
      <c r="G10" s="200"/>
      <c r="H10" s="200"/>
      <c r="I10" s="200"/>
      <c r="J10" s="116">
        <f>'Plant Health'!K103</f>
        <v>546596.85399999993</v>
      </c>
      <c r="L10" s="114"/>
    </row>
    <row r="11" spans="3:13">
      <c r="C11" s="111"/>
      <c r="E11" s="200" t="s">
        <v>12</v>
      </c>
      <c r="F11" s="200"/>
      <c r="G11" s="200"/>
      <c r="H11" s="200"/>
      <c r="I11" s="200"/>
      <c r="J11" s="117">
        <f>J6/J10</f>
        <v>1.0698854113785297</v>
      </c>
      <c r="L11" s="114"/>
      <c r="M11" s="118"/>
    </row>
    <row r="12" spans="3:13">
      <c r="C12" s="111"/>
      <c r="E12" s="200" t="s">
        <v>16</v>
      </c>
      <c r="F12" s="200"/>
      <c r="G12" s="200"/>
      <c r="H12" s="200"/>
      <c r="I12" s="200"/>
      <c r="J12" s="117">
        <f>J6/J7</f>
        <v>1.1065203405865658</v>
      </c>
      <c r="L12" s="114"/>
    </row>
    <row r="13" spans="3:13">
      <c r="C13" s="111"/>
      <c r="E13" s="200" t="s">
        <v>18</v>
      </c>
      <c r="F13" s="200"/>
      <c r="G13" s="200"/>
      <c r="H13" s="200"/>
      <c r="I13" s="200"/>
      <c r="J13" s="117">
        <f>Availability!K44</f>
        <v>0.99833333333333341</v>
      </c>
      <c r="L13" s="114"/>
    </row>
    <row r="14" spans="3:13">
      <c r="C14" s="119"/>
      <c r="D14" s="120"/>
      <c r="E14" s="216" t="s">
        <v>20</v>
      </c>
      <c r="F14" s="216"/>
      <c r="G14" s="216"/>
      <c r="H14" s="216"/>
      <c r="I14" s="216"/>
      <c r="J14" s="121">
        <f>Availability!K50</f>
        <v>0.9981740476190476</v>
      </c>
      <c r="K14" s="120"/>
      <c r="L14" s="122"/>
    </row>
    <row r="16" spans="3:13">
      <c r="C16" s="203" t="s">
        <v>27</v>
      </c>
      <c r="D16" s="204"/>
      <c r="E16" s="204"/>
      <c r="F16" s="204"/>
      <c r="G16" s="204"/>
      <c r="H16" s="204"/>
      <c r="I16" s="204"/>
      <c r="J16" s="204"/>
      <c r="K16" s="204"/>
      <c r="L16" s="205"/>
    </row>
    <row r="30" spans="5:12">
      <c r="E30" s="123"/>
      <c r="F30" s="217" t="s">
        <v>28</v>
      </c>
      <c r="G30" s="217"/>
      <c r="H30" s="217"/>
      <c r="I30" s="217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45839</v>
      </c>
      <c r="G32" s="162">
        <v>15927</v>
      </c>
      <c r="H32" s="162">
        <v>14684.29</v>
      </c>
      <c r="I32" s="162">
        <v>84.340190000000007</v>
      </c>
      <c r="K32" s="127"/>
    </row>
    <row r="33" spans="6:11">
      <c r="F33" s="140">
        <v>45840</v>
      </c>
      <c r="G33" s="162">
        <v>11773</v>
      </c>
      <c r="H33" s="162">
        <v>9836.8050000000003</v>
      </c>
      <c r="I33" s="162">
        <v>86.154669999999996</v>
      </c>
      <c r="K33" s="127"/>
    </row>
    <row r="34" spans="6:11">
      <c r="F34" s="140">
        <v>45841</v>
      </c>
      <c r="G34" s="162">
        <v>9286</v>
      </c>
      <c r="H34" s="162">
        <v>7642.2669999999998</v>
      </c>
      <c r="I34" s="162">
        <v>84.413409999999999</v>
      </c>
      <c r="K34" s="127"/>
    </row>
    <row r="35" spans="6:11">
      <c r="F35" s="140">
        <v>45842</v>
      </c>
      <c r="G35" s="162">
        <v>11255</v>
      </c>
      <c r="H35" s="162">
        <v>9961.5310000000009</v>
      </c>
      <c r="I35" s="162">
        <v>82.175870000000003</v>
      </c>
      <c r="K35" s="127"/>
    </row>
    <row r="36" spans="6:11">
      <c r="F36" s="140">
        <v>45843</v>
      </c>
      <c r="G36" s="162">
        <v>9683</v>
      </c>
      <c r="H36" s="162">
        <v>7857.3890000000001</v>
      </c>
      <c r="I36" s="162">
        <v>82.081239999999994</v>
      </c>
      <c r="K36" s="127"/>
    </row>
    <row r="37" spans="6:11">
      <c r="F37" s="140">
        <v>45844</v>
      </c>
      <c r="G37" s="162">
        <v>10537</v>
      </c>
      <c r="H37" s="162">
        <v>8942.4120000000003</v>
      </c>
      <c r="I37" s="162">
        <v>82.242260000000002</v>
      </c>
      <c r="K37" s="127"/>
    </row>
    <row r="38" spans="6:11">
      <c r="F38" s="140">
        <v>45845</v>
      </c>
      <c r="G38" s="162">
        <v>17320</v>
      </c>
      <c r="H38" s="162">
        <v>17065.849999999999</v>
      </c>
      <c r="I38" s="162">
        <v>86.294659999999993</v>
      </c>
      <c r="K38" s="127"/>
    </row>
    <row r="39" spans="6:11">
      <c r="F39" s="140">
        <v>45846</v>
      </c>
      <c r="G39" s="162">
        <v>20010</v>
      </c>
      <c r="H39" s="162">
        <v>18852.89</v>
      </c>
      <c r="I39" s="162">
        <v>88.355189999999993</v>
      </c>
      <c r="K39" s="127"/>
    </row>
    <row r="40" spans="6:11">
      <c r="F40" s="140">
        <v>45847</v>
      </c>
      <c r="G40" s="162">
        <v>19345</v>
      </c>
      <c r="H40" s="162">
        <v>17951.22</v>
      </c>
      <c r="I40" s="162">
        <v>86.117249999999999</v>
      </c>
      <c r="K40" s="127"/>
    </row>
    <row r="41" spans="6:11">
      <c r="F41" s="140">
        <v>45848</v>
      </c>
      <c r="G41" s="162">
        <v>23161</v>
      </c>
      <c r="H41" s="162">
        <v>21832.89</v>
      </c>
      <c r="I41" s="162">
        <v>89.123480000000001</v>
      </c>
      <c r="K41" s="127"/>
    </row>
    <row r="42" spans="6:11">
      <c r="F42" s="140">
        <v>45849</v>
      </c>
      <c r="G42" s="162">
        <v>23228</v>
      </c>
      <c r="H42" s="162">
        <v>22348.82</v>
      </c>
      <c r="I42" s="162">
        <v>89.781440000000003</v>
      </c>
      <c r="K42" s="127"/>
    </row>
    <row r="43" spans="6:11">
      <c r="F43" s="140">
        <v>45850</v>
      </c>
      <c r="G43" s="162">
        <v>14228</v>
      </c>
      <c r="H43" s="162">
        <v>12555.68</v>
      </c>
      <c r="I43" s="162">
        <v>83.742329999999995</v>
      </c>
      <c r="K43" s="127"/>
    </row>
    <row r="44" spans="6:11">
      <c r="F44" s="140">
        <v>45851</v>
      </c>
      <c r="G44" s="162">
        <v>16195</v>
      </c>
      <c r="H44" s="162">
        <v>14651.63</v>
      </c>
      <c r="I44" s="162">
        <v>83.476089999999999</v>
      </c>
      <c r="K44" s="127"/>
    </row>
    <row r="45" spans="6:11">
      <c r="F45" s="140">
        <v>45852</v>
      </c>
      <c r="G45" s="162">
        <v>13671</v>
      </c>
      <c r="H45" s="162">
        <v>12233.13</v>
      </c>
      <c r="I45" s="162">
        <v>82.586359999999999</v>
      </c>
      <c r="K45" s="127"/>
    </row>
    <row r="46" spans="6:11">
      <c r="F46" s="140">
        <v>45853</v>
      </c>
      <c r="G46" s="162">
        <v>17215</v>
      </c>
      <c r="H46" s="162">
        <v>16736.95</v>
      </c>
      <c r="I46" s="162">
        <v>86.05753</v>
      </c>
      <c r="K46" s="127"/>
    </row>
    <row r="47" spans="6:11">
      <c r="F47" s="140">
        <v>45854</v>
      </c>
      <c r="G47" s="162">
        <v>19744</v>
      </c>
      <c r="H47" s="162">
        <v>19307.59</v>
      </c>
      <c r="I47" s="162">
        <v>88.312579999999997</v>
      </c>
      <c r="K47" s="127"/>
    </row>
    <row r="48" spans="6:11">
      <c r="F48" s="140">
        <v>45855</v>
      </c>
      <c r="G48" s="162">
        <v>23592</v>
      </c>
      <c r="H48" s="162">
        <v>21296.25</v>
      </c>
      <c r="I48" s="162">
        <v>89.685159999999996</v>
      </c>
      <c r="K48" s="127"/>
    </row>
    <row r="49" spans="6:20">
      <c r="F49" s="140">
        <v>45856</v>
      </c>
      <c r="G49" s="162">
        <v>24088</v>
      </c>
      <c r="H49" s="162">
        <v>22439.26</v>
      </c>
      <c r="I49" s="162">
        <v>90.428780000000003</v>
      </c>
      <c r="K49" s="127"/>
    </row>
    <row r="50" spans="6:20">
      <c r="F50" s="140">
        <v>45857</v>
      </c>
      <c r="G50" s="162">
        <v>24290</v>
      </c>
      <c r="H50" s="162">
        <v>22646.78</v>
      </c>
      <c r="I50" s="162">
        <v>89.969750000000005</v>
      </c>
      <c r="K50" s="127"/>
    </row>
    <row r="51" spans="6:20">
      <c r="F51" s="140">
        <v>45858</v>
      </c>
      <c r="G51" s="162">
        <v>24178</v>
      </c>
      <c r="H51" s="162">
        <v>22413.29</v>
      </c>
      <c r="I51" s="162">
        <v>90.408969999999997</v>
      </c>
      <c r="K51" s="127"/>
    </row>
    <row r="52" spans="6:20">
      <c r="F52" s="140">
        <v>45859</v>
      </c>
      <c r="G52" s="162">
        <v>23764</v>
      </c>
      <c r="H52" s="162">
        <v>22235.26</v>
      </c>
      <c r="I52" s="162">
        <v>90.810860000000005</v>
      </c>
      <c r="K52" s="127"/>
    </row>
    <row r="53" spans="6:20">
      <c r="F53" s="140">
        <v>45860</v>
      </c>
      <c r="G53" s="162">
        <v>22306</v>
      </c>
      <c r="H53" s="162">
        <v>20729.919999999998</v>
      </c>
      <c r="I53" s="162">
        <v>90.516469999999998</v>
      </c>
      <c r="K53" s="127"/>
    </row>
    <row r="54" spans="6:20">
      <c r="F54" s="140">
        <v>45861</v>
      </c>
      <c r="G54" s="162">
        <v>24152</v>
      </c>
      <c r="H54" s="162">
        <v>22707.01</v>
      </c>
      <c r="I54" s="162">
        <v>92.331519999999998</v>
      </c>
      <c r="K54" s="127"/>
    </row>
    <row r="55" spans="6:20">
      <c r="F55" s="140">
        <v>45862</v>
      </c>
      <c r="G55" s="162">
        <v>24296</v>
      </c>
      <c r="H55" s="162">
        <v>22581.22</v>
      </c>
      <c r="I55" s="162">
        <v>93.691860000000005</v>
      </c>
      <c r="K55" s="127"/>
    </row>
    <row r="56" spans="6:20">
      <c r="F56" s="140">
        <v>45863</v>
      </c>
      <c r="G56" s="162">
        <v>21110</v>
      </c>
      <c r="H56" s="162">
        <v>21840.66</v>
      </c>
      <c r="I56" s="162">
        <v>93.246579999999994</v>
      </c>
      <c r="K56" s="127"/>
    </row>
    <row r="57" spans="6:20">
      <c r="F57" s="140">
        <v>45864</v>
      </c>
      <c r="G57" s="162">
        <v>19150</v>
      </c>
      <c r="H57" s="162">
        <v>17653.009999999998</v>
      </c>
      <c r="I57" s="162">
        <v>92.27413</v>
      </c>
      <c r="K57" s="127"/>
    </row>
    <row r="58" spans="6:20">
      <c r="F58" s="140">
        <v>45865</v>
      </c>
      <c r="G58" s="162">
        <v>16134</v>
      </c>
      <c r="H58" s="162">
        <v>14896.9</v>
      </c>
      <c r="I58" s="162">
        <v>90.453149999999994</v>
      </c>
      <c r="K58" s="127"/>
      <c r="R58" s="112"/>
      <c r="S58" s="112"/>
      <c r="T58" s="112"/>
    </row>
    <row r="59" spans="6:20">
      <c r="F59" s="140">
        <v>45866</v>
      </c>
      <c r="G59" s="162">
        <v>23583</v>
      </c>
      <c r="H59" s="162">
        <v>21734.31</v>
      </c>
      <c r="I59" s="162">
        <v>92.724760000000003</v>
      </c>
      <c r="K59" s="127"/>
    </row>
    <row r="60" spans="6:20">
      <c r="F60" s="140">
        <v>45867</v>
      </c>
      <c r="G60" s="162">
        <v>21325</v>
      </c>
      <c r="H60" s="162">
        <v>20355.34</v>
      </c>
      <c r="I60" s="162">
        <v>93.501800000000003</v>
      </c>
      <c r="K60" s="127"/>
      <c r="R60" s="112"/>
      <c r="S60" s="112"/>
      <c r="T60" s="112"/>
    </row>
    <row r="61" spans="6:20">
      <c r="F61" s="140">
        <v>45868</v>
      </c>
      <c r="G61" s="162">
        <v>22549</v>
      </c>
      <c r="H61" s="162">
        <v>21130.02</v>
      </c>
      <c r="I61" s="162">
        <v>94.199659999999994</v>
      </c>
      <c r="K61" s="127"/>
    </row>
    <row r="62" spans="6:20">
      <c r="F62" s="140">
        <v>45869</v>
      </c>
      <c r="G62" s="162">
        <v>17701</v>
      </c>
      <c r="H62" s="162">
        <v>19476.28</v>
      </c>
      <c r="I62" s="162">
        <v>93.183899999999994</v>
      </c>
      <c r="K62" s="127"/>
    </row>
    <row r="63" spans="6:20">
      <c r="F63" s="152"/>
      <c r="G63" s="150"/>
      <c r="H63" s="150"/>
      <c r="I63" s="150"/>
    </row>
    <row r="64" spans="6:20">
      <c r="F64" s="153"/>
      <c r="G64" s="128"/>
    </row>
    <row r="65" spans="3:12">
      <c r="C65" s="203" t="s">
        <v>33</v>
      </c>
      <c r="D65" s="204"/>
      <c r="E65" s="204"/>
      <c r="F65" s="204"/>
      <c r="G65" s="204"/>
      <c r="H65" s="204"/>
      <c r="I65" s="204"/>
      <c r="J65" s="204"/>
      <c r="K65" s="204"/>
      <c r="L65" s="205"/>
    </row>
    <row r="66" spans="3:12" ht="15" customHeight="1">
      <c r="C66" s="207"/>
      <c r="D66" s="208"/>
      <c r="E66" s="208"/>
      <c r="F66" s="208"/>
      <c r="G66" s="208"/>
      <c r="H66" s="208"/>
      <c r="I66" s="208"/>
      <c r="J66" s="208"/>
      <c r="K66" s="208"/>
      <c r="L66" s="209"/>
    </row>
    <row r="67" spans="3:12">
      <c r="C67" s="210"/>
      <c r="D67" s="211"/>
      <c r="E67" s="211"/>
      <c r="F67" s="211"/>
      <c r="G67" s="211"/>
      <c r="H67" s="211"/>
      <c r="I67" s="211"/>
      <c r="J67" s="211"/>
      <c r="K67" s="211"/>
      <c r="L67" s="212"/>
    </row>
    <row r="68" spans="3:12">
      <c r="C68" s="213"/>
      <c r="D68" s="214"/>
      <c r="E68" s="214"/>
      <c r="F68" s="214"/>
      <c r="G68" s="214"/>
      <c r="H68" s="214"/>
      <c r="I68" s="214"/>
      <c r="J68" s="214"/>
      <c r="K68" s="214"/>
      <c r="L68" s="215"/>
    </row>
    <row r="70" spans="3:12">
      <c r="C70" s="218" t="s">
        <v>34</v>
      </c>
      <c r="D70" s="219"/>
      <c r="E70" s="219"/>
      <c r="F70" s="219"/>
      <c r="G70" s="219"/>
      <c r="H70" s="219"/>
      <c r="I70" s="219"/>
      <c r="J70" s="219"/>
      <c r="K70" s="219"/>
      <c r="L70" s="220"/>
    </row>
    <row r="71" spans="3:12" ht="14.85" customHeight="1">
      <c r="C71" s="207"/>
      <c r="D71" s="208"/>
      <c r="E71" s="208"/>
      <c r="F71" s="208"/>
      <c r="G71" s="208"/>
      <c r="H71" s="208"/>
      <c r="I71" s="208"/>
      <c r="J71" s="208"/>
      <c r="K71" s="208"/>
      <c r="L71" s="209"/>
    </row>
    <row r="72" spans="3:12">
      <c r="C72" s="210"/>
      <c r="D72" s="211"/>
      <c r="E72" s="211"/>
      <c r="F72" s="211"/>
      <c r="G72" s="211"/>
      <c r="H72" s="211"/>
      <c r="I72" s="211"/>
      <c r="J72" s="211"/>
      <c r="K72" s="211"/>
      <c r="L72" s="212"/>
    </row>
    <row r="73" spans="3:12">
      <c r="C73" s="213"/>
      <c r="D73" s="214"/>
      <c r="E73" s="214"/>
      <c r="F73" s="214"/>
      <c r="G73" s="214"/>
      <c r="H73" s="214"/>
      <c r="I73" s="214"/>
      <c r="J73" s="214"/>
      <c r="K73" s="214"/>
      <c r="L73" s="215"/>
    </row>
  </sheetData>
  <mergeCells count="19">
    <mergeCell ref="C71:L73"/>
    <mergeCell ref="E14:I14"/>
    <mergeCell ref="C16:L16"/>
    <mergeCell ref="F30:I30"/>
    <mergeCell ref="C65:L65"/>
    <mergeCell ref="C66:L68"/>
    <mergeCell ref="C70:L70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22" zoomScaleNormal="100" workbookViewId="0">
      <selection activeCell="I44" sqref="I44"/>
    </sheetView>
  </sheetViews>
  <sheetFormatPr defaultRowHeight="14.2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4" t="s">
        <v>37</v>
      </c>
      <c r="D4" s="225"/>
      <c r="E4" s="226"/>
      <c r="G4" s="224" t="s">
        <v>38</v>
      </c>
      <c r="H4" s="225"/>
      <c r="I4" s="226"/>
    </row>
    <row r="5" spans="3:9">
      <c r="C5" s="1"/>
      <c r="D5" s="42" t="s">
        <v>35</v>
      </c>
      <c r="E5" s="42" t="s">
        <v>22</v>
      </c>
      <c r="G5" s="1"/>
      <c r="H5" s="42" t="s">
        <v>35</v>
      </c>
      <c r="I5" s="42" t="s">
        <v>22</v>
      </c>
    </row>
    <row r="6" spans="3:9">
      <c r="C6" s="43" t="s">
        <v>39</v>
      </c>
      <c r="D6" s="46"/>
      <c r="E6" s="46"/>
      <c r="G6" s="43" t="s">
        <v>39</v>
      </c>
      <c r="H6" s="62">
        <v>0.99899000000000004</v>
      </c>
      <c r="I6" s="62">
        <v>0.99677000000000004</v>
      </c>
    </row>
    <row r="7" spans="3:9">
      <c r="C7" s="43" t="s">
        <v>40</v>
      </c>
      <c r="D7" s="46"/>
      <c r="E7" s="46"/>
      <c r="G7" s="43" t="s">
        <v>40</v>
      </c>
      <c r="H7" s="62">
        <v>0.99977000000000005</v>
      </c>
      <c r="I7" s="62">
        <v>0.96015000000000006</v>
      </c>
    </row>
    <row r="8" spans="3:9">
      <c r="C8" s="43" t="s">
        <v>41</v>
      </c>
      <c r="D8" s="46"/>
      <c r="E8" s="46"/>
      <c r="G8" s="43" t="s">
        <v>41</v>
      </c>
      <c r="H8" s="62">
        <v>0.99834999999999996</v>
      </c>
      <c r="I8" s="62">
        <v>0.99973000000000001</v>
      </c>
    </row>
    <row r="9" spans="3:9">
      <c r="C9" s="43" t="s">
        <v>42</v>
      </c>
      <c r="D9" s="46"/>
      <c r="E9" s="46"/>
      <c r="G9" s="43" t="s">
        <v>42</v>
      </c>
      <c r="H9" s="62">
        <v>1</v>
      </c>
      <c r="I9" s="62">
        <v>1</v>
      </c>
    </row>
    <row r="10" spans="3:9">
      <c r="C10" s="43" t="s">
        <v>43</v>
      </c>
      <c r="D10" s="46"/>
      <c r="E10" s="46"/>
      <c r="G10" s="43" t="s">
        <v>43</v>
      </c>
      <c r="H10" s="62">
        <v>1</v>
      </c>
      <c r="I10" s="62">
        <v>1</v>
      </c>
    </row>
    <row r="11" spans="3:9">
      <c r="C11" s="43" t="s">
        <v>44</v>
      </c>
      <c r="D11" s="46"/>
      <c r="E11" s="46"/>
      <c r="G11" s="43" t="s">
        <v>44</v>
      </c>
      <c r="H11" s="62">
        <v>1</v>
      </c>
      <c r="I11" s="62">
        <v>0.99909999999999999</v>
      </c>
    </row>
    <row r="12" spans="3:9">
      <c r="C12" s="43" t="s">
        <v>45</v>
      </c>
      <c r="D12" s="46">
        <v>0.98024</v>
      </c>
      <c r="E12" s="46">
        <v>1</v>
      </c>
      <c r="G12" s="43" t="s">
        <v>45</v>
      </c>
      <c r="H12" s="62">
        <v>1</v>
      </c>
      <c r="I12" s="62">
        <v>1</v>
      </c>
    </row>
    <row r="13" spans="3:9">
      <c r="C13" s="43" t="s">
        <v>46</v>
      </c>
      <c r="D13" s="46">
        <v>0.98093999999999992</v>
      </c>
      <c r="E13" s="46">
        <v>1</v>
      </c>
      <c r="G13" s="43" t="s">
        <v>46</v>
      </c>
      <c r="H13" s="90">
        <v>0.998</v>
      </c>
      <c r="I13" s="91">
        <v>1</v>
      </c>
    </row>
    <row r="14" spans="3:9">
      <c r="C14" s="43" t="s">
        <v>47</v>
      </c>
      <c r="D14" s="46">
        <v>0.97177999999999998</v>
      </c>
      <c r="E14" s="46">
        <v>1</v>
      </c>
      <c r="G14" s="43" t="s">
        <v>47</v>
      </c>
      <c r="H14" s="90">
        <v>1</v>
      </c>
      <c r="I14" s="91">
        <v>0.97929999999999995</v>
      </c>
    </row>
    <row r="15" spans="3:9">
      <c r="C15" s="43" t="s">
        <v>48</v>
      </c>
      <c r="D15" s="46">
        <v>0.99820999999999993</v>
      </c>
      <c r="E15" s="46">
        <v>0.99462000000000006</v>
      </c>
      <c r="G15" s="43" t="s">
        <v>48</v>
      </c>
      <c r="H15" s="62">
        <v>1</v>
      </c>
      <c r="I15" s="62">
        <v>1</v>
      </c>
    </row>
    <row r="16" spans="3:9">
      <c r="C16" s="43" t="s">
        <v>49</v>
      </c>
      <c r="D16" s="46">
        <v>1</v>
      </c>
      <c r="E16" s="46">
        <v>1</v>
      </c>
      <c r="G16" s="43" t="s">
        <v>49</v>
      </c>
      <c r="H16" s="62">
        <v>1</v>
      </c>
      <c r="I16" s="46">
        <v>0.98499999999999999</v>
      </c>
    </row>
    <row r="17" spans="3:12">
      <c r="C17" s="43" t="s">
        <v>50</v>
      </c>
      <c r="D17" s="46">
        <v>1</v>
      </c>
      <c r="E17" s="46">
        <v>0.99820999999999993</v>
      </c>
      <c r="G17" s="43" t="s">
        <v>50</v>
      </c>
      <c r="H17" s="46">
        <v>0.98167000000000004</v>
      </c>
      <c r="I17" s="46">
        <v>1</v>
      </c>
    </row>
    <row r="18" spans="3:12">
      <c r="C18" s="56" t="s">
        <v>51</v>
      </c>
      <c r="D18" s="52">
        <f>AVERAGE(D6:D17)</f>
        <v>0.98852833333333334</v>
      </c>
      <c r="E18" s="52">
        <f>AVERAGE(E6:E17)</f>
        <v>0.99880500000000005</v>
      </c>
      <c r="G18" s="56" t="s">
        <v>51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4" t="s">
        <v>52</v>
      </c>
      <c r="D20" s="225"/>
      <c r="E20" s="226"/>
      <c r="G20" s="221" t="s">
        <v>53</v>
      </c>
      <c r="H20" s="227"/>
      <c r="I20" s="222"/>
      <c r="K20" s="221" t="s">
        <v>53</v>
      </c>
      <c r="L20" s="222"/>
    </row>
    <row r="21" spans="3:12">
      <c r="C21" s="1"/>
      <c r="D21" s="42" t="s">
        <v>35</v>
      </c>
      <c r="E21" s="42" t="s">
        <v>22</v>
      </c>
      <c r="G21" s="1"/>
      <c r="H21" s="42" t="s">
        <v>35</v>
      </c>
      <c r="I21" s="42" t="s">
        <v>22</v>
      </c>
      <c r="K21" s="1"/>
      <c r="L21" s="42" t="s">
        <v>36</v>
      </c>
    </row>
    <row r="22" spans="3:12">
      <c r="C22" s="43" t="s">
        <v>39</v>
      </c>
      <c r="D22" s="62">
        <v>1</v>
      </c>
      <c r="E22" s="62">
        <v>1</v>
      </c>
      <c r="G22" s="43" t="s">
        <v>39</v>
      </c>
      <c r="H22" s="62">
        <v>1</v>
      </c>
      <c r="I22" s="62">
        <v>0.99860000000000004</v>
      </c>
      <c r="K22" s="43" t="s">
        <v>39</v>
      </c>
      <c r="L22" s="62">
        <v>0.9647</v>
      </c>
    </row>
    <row r="23" spans="3:12">
      <c r="C23" s="43" t="s">
        <v>40</v>
      </c>
      <c r="D23" s="62">
        <v>1</v>
      </c>
      <c r="E23" s="62">
        <v>0.99867000000000006</v>
      </c>
      <c r="G23" s="43" t="s">
        <v>40</v>
      </c>
      <c r="H23" s="62">
        <v>1</v>
      </c>
      <c r="I23" s="62">
        <v>0.99960000000000004</v>
      </c>
      <c r="K23" s="43" t="s">
        <v>40</v>
      </c>
      <c r="L23" s="62">
        <v>0.82140000000000002</v>
      </c>
    </row>
    <row r="24" spans="3:12">
      <c r="C24" s="43" t="s">
        <v>41</v>
      </c>
      <c r="D24" s="62">
        <v>1</v>
      </c>
      <c r="E24" s="62">
        <v>1</v>
      </c>
      <c r="G24" s="43" t="s">
        <v>41</v>
      </c>
      <c r="H24" s="62">
        <v>1</v>
      </c>
      <c r="I24" s="62">
        <v>1</v>
      </c>
      <c r="K24" s="43" t="s">
        <v>41</v>
      </c>
      <c r="L24" s="62">
        <v>1</v>
      </c>
    </row>
    <row r="25" spans="3:12">
      <c r="C25" s="43" t="s">
        <v>42</v>
      </c>
      <c r="D25" s="62">
        <v>1</v>
      </c>
      <c r="E25" s="62">
        <v>1</v>
      </c>
      <c r="G25" s="43" t="s">
        <v>42</v>
      </c>
      <c r="H25" s="62">
        <v>1</v>
      </c>
      <c r="I25" s="62">
        <v>1</v>
      </c>
      <c r="K25" s="43" t="s">
        <v>42</v>
      </c>
      <c r="L25" s="62">
        <v>1</v>
      </c>
    </row>
    <row r="26" spans="3:12">
      <c r="C26" s="43" t="s">
        <v>43</v>
      </c>
      <c r="D26" s="62">
        <v>0.99953999999999998</v>
      </c>
      <c r="E26" s="62">
        <v>0.99919000000000002</v>
      </c>
      <c r="G26" s="43" t="s">
        <v>43</v>
      </c>
      <c r="H26" s="62">
        <v>1</v>
      </c>
      <c r="I26" s="62">
        <v>1</v>
      </c>
      <c r="K26" s="43" t="s">
        <v>43</v>
      </c>
      <c r="L26" s="62">
        <v>1</v>
      </c>
    </row>
    <row r="27" spans="3:12">
      <c r="C27" s="43" t="s">
        <v>44</v>
      </c>
      <c r="D27" s="62">
        <v>1</v>
      </c>
      <c r="E27" s="62">
        <v>1</v>
      </c>
      <c r="G27" s="43" t="s">
        <v>44</v>
      </c>
      <c r="H27" s="62">
        <v>1</v>
      </c>
      <c r="I27" s="62">
        <v>0.88139999999999996</v>
      </c>
      <c r="K27" s="43" t="s">
        <v>44</v>
      </c>
      <c r="L27" s="136">
        <v>1</v>
      </c>
    </row>
    <row r="28" spans="3:12">
      <c r="C28" s="43" t="s">
        <v>45</v>
      </c>
      <c r="D28" s="62">
        <v>1</v>
      </c>
      <c r="E28" s="62">
        <v>1</v>
      </c>
      <c r="G28" s="43" t="s">
        <v>45</v>
      </c>
      <c r="H28" s="62">
        <v>0.99544999999999995</v>
      </c>
      <c r="I28" s="62">
        <v>1</v>
      </c>
      <c r="K28" s="43" t="s">
        <v>45</v>
      </c>
      <c r="L28" s="136">
        <v>1</v>
      </c>
    </row>
    <row r="29" spans="3:12">
      <c r="C29" s="43" t="s">
        <v>46</v>
      </c>
      <c r="D29" s="62">
        <v>1</v>
      </c>
      <c r="E29" s="62">
        <v>0.99942999999999993</v>
      </c>
      <c r="G29" s="43" t="s">
        <v>46</v>
      </c>
      <c r="H29" s="62">
        <v>1</v>
      </c>
      <c r="I29" s="62">
        <v>1</v>
      </c>
      <c r="K29" s="43" t="s">
        <v>46</v>
      </c>
      <c r="L29" s="62">
        <v>0.98</v>
      </c>
    </row>
    <row r="30" spans="3:12">
      <c r="C30" s="43" t="s">
        <v>47</v>
      </c>
      <c r="D30" s="62">
        <v>1</v>
      </c>
      <c r="E30" s="62">
        <v>1</v>
      </c>
      <c r="G30" s="43" t="s">
        <v>47</v>
      </c>
      <c r="H30" s="62">
        <v>1</v>
      </c>
      <c r="I30" s="62">
        <v>1</v>
      </c>
      <c r="K30" s="43" t="s">
        <v>47</v>
      </c>
      <c r="L30" s="62">
        <v>1</v>
      </c>
    </row>
    <row r="31" spans="3:12">
      <c r="C31" s="43" t="s">
        <v>48</v>
      </c>
      <c r="D31" s="46">
        <v>1</v>
      </c>
      <c r="E31" s="46">
        <v>0.99968000000000001</v>
      </c>
      <c r="G31" s="43" t="s">
        <v>48</v>
      </c>
      <c r="H31" s="62">
        <v>0.99950000000000006</v>
      </c>
      <c r="I31" s="62">
        <v>1</v>
      </c>
      <c r="K31" s="43" t="s">
        <v>48</v>
      </c>
      <c r="L31" s="62">
        <v>1</v>
      </c>
    </row>
    <row r="32" spans="3:12">
      <c r="C32" s="43" t="s">
        <v>49</v>
      </c>
      <c r="D32" s="46">
        <v>1</v>
      </c>
      <c r="E32" s="46">
        <v>0.99951999999999996</v>
      </c>
      <c r="G32" s="43" t="s">
        <v>49</v>
      </c>
      <c r="H32" s="62">
        <v>1</v>
      </c>
      <c r="I32" s="46" t="s">
        <v>54</v>
      </c>
      <c r="K32" s="43" t="s">
        <v>49</v>
      </c>
      <c r="L32" s="142">
        <v>0.96</v>
      </c>
    </row>
    <row r="33" spans="3:12">
      <c r="C33" s="43" t="s">
        <v>50</v>
      </c>
      <c r="D33" s="46">
        <v>1</v>
      </c>
      <c r="E33" s="46">
        <v>1</v>
      </c>
      <c r="G33" s="43" t="s">
        <v>50</v>
      </c>
      <c r="H33" s="46">
        <v>1</v>
      </c>
      <c r="I33" s="46">
        <v>1</v>
      </c>
      <c r="K33" s="43" t="s">
        <v>50</v>
      </c>
      <c r="L33" s="46">
        <v>1</v>
      </c>
    </row>
    <row r="34" spans="3:12">
      <c r="C34" s="56" t="s">
        <v>51</v>
      </c>
      <c r="D34" s="52">
        <f>AVERAGE(D22:D33)</f>
        <v>0.99996166666666664</v>
      </c>
      <c r="E34" s="52">
        <f>AVERAGE(E22:E33)</f>
        <v>0.99970749999999997</v>
      </c>
      <c r="G34" s="56" t="s">
        <v>51</v>
      </c>
      <c r="H34" s="52">
        <f>AVERAGE(H22:H33)</f>
        <v>0.99957916666666657</v>
      </c>
      <c r="I34" s="52">
        <f>AVERAGE(I22:I33)</f>
        <v>0.98905454545454541</v>
      </c>
      <c r="K34" s="56" t="s">
        <v>51</v>
      </c>
      <c r="L34" s="52">
        <f>AVERAGE(L22:L33)</f>
        <v>0.9771749999999999</v>
      </c>
    </row>
    <row r="36" spans="3:12">
      <c r="C36" s="223" t="s">
        <v>55</v>
      </c>
      <c r="D36" s="223"/>
      <c r="E36" s="223"/>
      <c r="F36" s="223"/>
      <c r="H36" s="223" t="s">
        <v>56</v>
      </c>
      <c r="I36" s="223"/>
      <c r="J36" s="223"/>
      <c r="K36" s="223"/>
    </row>
    <row r="37" spans="3:12">
      <c r="C37" s="1"/>
      <c r="D37" s="42" t="s">
        <v>35</v>
      </c>
      <c r="E37" s="42" t="s">
        <v>22</v>
      </c>
      <c r="F37" s="42" t="s">
        <v>36</v>
      </c>
      <c r="H37" s="1"/>
      <c r="I37" s="42" t="s">
        <v>35</v>
      </c>
      <c r="J37" s="42" t="s">
        <v>22</v>
      </c>
      <c r="K37" s="42" t="s">
        <v>36</v>
      </c>
    </row>
    <row r="38" spans="3:12">
      <c r="C38" s="43" t="s">
        <v>39</v>
      </c>
      <c r="D38" s="62">
        <v>1</v>
      </c>
      <c r="E38" s="62">
        <v>0.98660000000000003</v>
      </c>
      <c r="F38" s="62">
        <v>1</v>
      </c>
      <c r="H38" s="43" t="s">
        <v>39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40</v>
      </c>
      <c r="D39" s="62">
        <v>0.99970000000000003</v>
      </c>
      <c r="E39" s="62">
        <v>1</v>
      </c>
      <c r="F39" s="62">
        <v>0.99809999999999999</v>
      </c>
      <c r="H39" s="43" t="s">
        <v>40</v>
      </c>
      <c r="I39" s="62">
        <v>0.99970000000000003</v>
      </c>
      <c r="J39" s="62">
        <v>0.98819999999999997</v>
      </c>
      <c r="K39" s="62">
        <v>1</v>
      </c>
    </row>
    <row r="40" spans="3:12" ht="15">
      <c r="C40" s="43" t="s">
        <v>41</v>
      </c>
      <c r="D40" s="62">
        <v>1</v>
      </c>
      <c r="E40" s="62">
        <v>1</v>
      </c>
      <c r="F40" s="62">
        <v>0.99750000000000005</v>
      </c>
      <c r="H40" s="43" t="s">
        <v>41</v>
      </c>
      <c r="I40" s="62">
        <v>0.99796666666666667</v>
      </c>
      <c r="J40" s="62">
        <v>0.99333333333333329</v>
      </c>
      <c r="K40" s="62">
        <v>0.99809999999999999</v>
      </c>
    </row>
    <row r="41" spans="3:12" ht="15">
      <c r="C41" s="43" t="s">
        <v>42</v>
      </c>
      <c r="D41" s="62">
        <v>1</v>
      </c>
      <c r="E41" s="62">
        <v>1</v>
      </c>
      <c r="F41" s="62">
        <v>1</v>
      </c>
      <c r="H41" s="43" t="s">
        <v>42</v>
      </c>
      <c r="I41" s="62">
        <v>0.998475</v>
      </c>
      <c r="J41" s="62">
        <v>0.995</v>
      </c>
      <c r="K41" s="62">
        <v>0.99857499999999999</v>
      </c>
    </row>
    <row r="42" spans="3:12" ht="15">
      <c r="C42" s="43" t="s">
        <v>43</v>
      </c>
      <c r="D42" s="62">
        <v>1</v>
      </c>
      <c r="E42" s="62">
        <v>1</v>
      </c>
      <c r="F42" s="62">
        <v>1</v>
      </c>
      <c r="H42" s="43" t="s">
        <v>43</v>
      </c>
      <c r="I42" s="62">
        <v>1</v>
      </c>
      <c r="J42" s="62">
        <v>0.99600000000000011</v>
      </c>
      <c r="K42" s="62">
        <v>0.99885999999999997</v>
      </c>
    </row>
    <row r="43" spans="3:12" ht="15">
      <c r="C43" s="43" t="s">
        <v>44</v>
      </c>
      <c r="D43" s="62">
        <v>1</v>
      </c>
      <c r="E43" s="62">
        <v>1</v>
      </c>
      <c r="F43" s="62">
        <v>1</v>
      </c>
      <c r="H43" s="43" t="s">
        <v>44</v>
      </c>
      <c r="I43" s="62">
        <v>0.9966666666666667</v>
      </c>
      <c r="J43" s="62">
        <v>0.99898333333333333</v>
      </c>
      <c r="K43" s="62">
        <v>0.99904999999999999</v>
      </c>
    </row>
    <row r="44" spans="3:12">
      <c r="C44" s="43" t="s">
        <v>45</v>
      </c>
      <c r="D44" s="62">
        <v>1</v>
      </c>
      <c r="E44" s="149">
        <v>1</v>
      </c>
      <c r="F44" s="62">
        <v>1</v>
      </c>
      <c r="H44" s="43" t="s">
        <v>45</v>
      </c>
      <c r="I44" s="62">
        <v>0.99665000000000004</v>
      </c>
      <c r="J44" s="149">
        <v>0.99859285714285717</v>
      </c>
      <c r="K44" s="62">
        <v>0.99833333333333341</v>
      </c>
    </row>
    <row r="45" spans="3:12">
      <c r="C45" s="43" t="s">
        <v>46</v>
      </c>
      <c r="D45" s="62">
        <v>0.98780000000000001</v>
      </c>
      <c r="E45" s="149">
        <v>1</v>
      </c>
      <c r="F45" s="62">
        <v>1</v>
      </c>
      <c r="H45" s="43" t="s">
        <v>46</v>
      </c>
      <c r="I45" s="62"/>
      <c r="J45" s="149"/>
      <c r="K45" s="62"/>
    </row>
    <row r="46" spans="3:12">
      <c r="C46" s="43" t="s">
        <v>47</v>
      </c>
      <c r="D46" s="62">
        <v>1</v>
      </c>
      <c r="E46" s="149">
        <v>1</v>
      </c>
      <c r="F46" s="62">
        <v>1</v>
      </c>
      <c r="H46" s="43" t="s">
        <v>47</v>
      </c>
      <c r="I46" s="62"/>
      <c r="J46" s="149"/>
      <c r="K46" s="62"/>
    </row>
    <row r="47" spans="3:12">
      <c r="C47" s="43" t="s">
        <v>48</v>
      </c>
      <c r="D47" s="62">
        <v>1</v>
      </c>
      <c r="E47" s="62">
        <v>1</v>
      </c>
      <c r="F47" s="62">
        <v>0.97189999999999999</v>
      </c>
      <c r="H47" s="43" t="s">
        <v>48</v>
      </c>
      <c r="I47" s="62"/>
      <c r="J47" s="62"/>
      <c r="K47" s="62"/>
    </row>
    <row r="48" spans="3:12">
      <c r="C48" s="43" t="s">
        <v>49</v>
      </c>
      <c r="D48" s="62">
        <v>1</v>
      </c>
      <c r="E48" s="46">
        <v>1</v>
      </c>
      <c r="F48" s="62">
        <v>0.99109999999999998</v>
      </c>
      <c r="H48" s="43" t="s">
        <v>49</v>
      </c>
      <c r="I48" s="62"/>
      <c r="J48" s="46"/>
      <c r="K48" s="62"/>
    </row>
    <row r="49" spans="3:11">
      <c r="C49" s="43" t="s">
        <v>50</v>
      </c>
      <c r="D49" s="46">
        <v>0.99750000000000005</v>
      </c>
      <c r="E49" s="46">
        <v>1</v>
      </c>
      <c r="F49" s="46">
        <v>1</v>
      </c>
      <c r="H49" s="43" t="s">
        <v>50</v>
      </c>
      <c r="I49" s="46"/>
      <c r="J49" s="46"/>
      <c r="K49" s="46"/>
    </row>
    <row r="50" spans="3:11">
      <c r="C50" s="56" t="s">
        <v>51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51</v>
      </c>
      <c r="I50" s="52">
        <f>AVERAGE(I38:I49)</f>
        <v>0.99766547619047619</v>
      </c>
      <c r="J50" s="52">
        <f>AVERAGE(J38:J49)</f>
        <v>0.99455850340136054</v>
      </c>
      <c r="K50" s="52">
        <f>AVERAGE(K38:K49)</f>
        <v>0.9981740476190476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51" zoomScaleNormal="100" workbookViewId="0">
      <selection activeCell="F115" sqref="F115"/>
    </sheetView>
  </sheetViews>
  <sheetFormatPr defaultColWidth="9.140625" defaultRowHeight="14.2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8" t="s">
        <v>57</v>
      </c>
      <c r="D4" s="229"/>
      <c r="E4" s="229"/>
      <c r="F4" s="229"/>
      <c r="G4" s="229"/>
      <c r="H4" s="229"/>
      <c r="I4" s="229"/>
      <c r="J4" s="77"/>
      <c r="K4" s="77"/>
      <c r="L4" s="78"/>
    </row>
    <row r="5" spans="3:12" ht="15.75">
      <c r="C5" s="42"/>
      <c r="D5" s="234" t="s">
        <v>35</v>
      </c>
      <c r="E5" s="235"/>
      <c r="F5" s="236"/>
      <c r="G5" s="234" t="s">
        <v>22</v>
      </c>
      <c r="H5" s="235"/>
      <c r="I5" s="236"/>
      <c r="J5" s="231" t="s">
        <v>58</v>
      </c>
      <c r="K5" s="232"/>
      <c r="L5" s="233"/>
    </row>
    <row r="6" spans="3:12">
      <c r="C6" s="42"/>
      <c r="D6" s="42" t="s">
        <v>59</v>
      </c>
      <c r="E6" s="42" t="s">
        <v>60</v>
      </c>
      <c r="F6" s="42" t="s">
        <v>61</v>
      </c>
      <c r="G6" s="42" t="s">
        <v>59</v>
      </c>
      <c r="H6" s="42" t="s">
        <v>60</v>
      </c>
      <c r="I6" s="42" t="s">
        <v>61</v>
      </c>
      <c r="J6" s="49" t="s">
        <v>59</v>
      </c>
      <c r="K6" s="49" t="s">
        <v>60</v>
      </c>
      <c r="L6" s="49" t="s">
        <v>61</v>
      </c>
    </row>
    <row r="7" spans="3:12">
      <c r="C7" s="47" t="s">
        <v>39</v>
      </c>
      <c r="D7" s="86" t="s">
        <v>62</v>
      </c>
      <c r="E7" s="86" t="s">
        <v>62</v>
      </c>
      <c r="F7" s="86" t="s">
        <v>62</v>
      </c>
      <c r="G7" s="86" t="s">
        <v>62</v>
      </c>
      <c r="H7" s="86" t="s">
        <v>62</v>
      </c>
      <c r="I7" s="86" t="s">
        <v>62</v>
      </c>
      <c r="J7" s="86" t="s">
        <v>62</v>
      </c>
      <c r="K7" s="86" t="s">
        <v>62</v>
      </c>
      <c r="L7" s="86" t="s">
        <v>62</v>
      </c>
    </row>
    <row r="8" spans="3:12">
      <c r="C8" s="47" t="s">
        <v>40</v>
      </c>
      <c r="D8" s="86" t="s">
        <v>62</v>
      </c>
      <c r="E8" s="86" t="s">
        <v>62</v>
      </c>
      <c r="F8" s="86" t="s">
        <v>62</v>
      </c>
      <c r="G8" s="86" t="s">
        <v>62</v>
      </c>
      <c r="H8" s="86" t="s">
        <v>62</v>
      </c>
      <c r="I8" s="86" t="s">
        <v>62</v>
      </c>
      <c r="J8" s="86" t="s">
        <v>62</v>
      </c>
      <c r="K8" s="86" t="s">
        <v>62</v>
      </c>
      <c r="L8" s="86" t="s">
        <v>62</v>
      </c>
    </row>
    <row r="9" spans="3:12">
      <c r="C9" s="47" t="s">
        <v>41</v>
      </c>
      <c r="D9" s="86" t="s">
        <v>62</v>
      </c>
      <c r="E9" s="86" t="s">
        <v>62</v>
      </c>
      <c r="F9" s="86" t="s">
        <v>62</v>
      </c>
      <c r="G9" s="86" t="s">
        <v>62</v>
      </c>
      <c r="H9" s="86" t="s">
        <v>62</v>
      </c>
      <c r="I9" s="86" t="s">
        <v>62</v>
      </c>
      <c r="J9" s="86" t="s">
        <v>62</v>
      </c>
      <c r="K9" s="86" t="s">
        <v>62</v>
      </c>
      <c r="L9" s="86" t="s">
        <v>62</v>
      </c>
    </row>
    <row r="10" spans="3:12">
      <c r="C10" s="47" t="s">
        <v>42</v>
      </c>
      <c r="D10" s="86" t="s">
        <v>62</v>
      </c>
      <c r="E10" s="86" t="s">
        <v>62</v>
      </c>
      <c r="F10" s="86" t="s">
        <v>62</v>
      </c>
      <c r="G10" s="86" t="s">
        <v>62</v>
      </c>
      <c r="H10" s="86" t="s">
        <v>62</v>
      </c>
      <c r="I10" s="86" t="s">
        <v>62</v>
      </c>
      <c r="J10" s="86" t="s">
        <v>62</v>
      </c>
      <c r="K10" s="86" t="s">
        <v>62</v>
      </c>
      <c r="L10" s="86" t="s">
        <v>62</v>
      </c>
    </row>
    <row r="11" spans="3:12">
      <c r="C11" s="47" t="s">
        <v>43</v>
      </c>
      <c r="D11" s="86" t="s">
        <v>62</v>
      </c>
      <c r="E11" s="86" t="s">
        <v>62</v>
      </c>
      <c r="F11" s="86" t="s">
        <v>62</v>
      </c>
      <c r="G11" s="86" t="s">
        <v>62</v>
      </c>
      <c r="H11" s="86" t="s">
        <v>62</v>
      </c>
      <c r="I11" s="86" t="s">
        <v>62</v>
      </c>
      <c r="J11" s="86" t="s">
        <v>62</v>
      </c>
      <c r="K11" s="86" t="s">
        <v>62</v>
      </c>
      <c r="L11" s="86" t="s">
        <v>62</v>
      </c>
    </row>
    <row r="12" spans="3:12">
      <c r="C12" s="47" t="s">
        <v>44</v>
      </c>
      <c r="D12" s="86" t="s">
        <v>62</v>
      </c>
      <c r="E12" s="86" t="s">
        <v>62</v>
      </c>
      <c r="F12" s="86" t="s">
        <v>62</v>
      </c>
      <c r="G12" s="86" t="s">
        <v>62</v>
      </c>
      <c r="H12" s="86" t="s">
        <v>62</v>
      </c>
      <c r="I12" s="86" t="s">
        <v>62</v>
      </c>
      <c r="J12" s="86" t="s">
        <v>62</v>
      </c>
      <c r="K12" s="86" t="s">
        <v>62</v>
      </c>
      <c r="L12" s="86" t="s">
        <v>62</v>
      </c>
    </row>
    <row r="13" spans="3:12">
      <c r="C13" s="47" t="s">
        <v>45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46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62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47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62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48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49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50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63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8" t="s">
        <v>64</v>
      </c>
      <c r="D22" s="229"/>
      <c r="E22" s="229"/>
      <c r="F22" s="229"/>
      <c r="G22" s="229"/>
      <c r="H22" s="229"/>
      <c r="I22" s="229"/>
      <c r="J22" s="77"/>
      <c r="K22" s="77"/>
      <c r="L22" s="78"/>
    </row>
    <row r="23" spans="3:12" ht="15.75">
      <c r="C23" s="42"/>
      <c r="D23" s="234" t="s">
        <v>35</v>
      </c>
      <c r="E23" s="235"/>
      <c r="F23" s="236"/>
      <c r="G23" s="234" t="s">
        <v>22</v>
      </c>
      <c r="H23" s="235"/>
      <c r="I23" s="236"/>
      <c r="J23" s="231" t="s">
        <v>58</v>
      </c>
      <c r="K23" s="232"/>
      <c r="L23" s="233"/>
    </row>
    <row r="24" spans="3:12">
      <c r="C24" s="42"/>
      <c r="D24" s="42" t="s">
        <v>59</v>
      </c>
      <c r="E24" s="42" t="s">
        <v>60</v>
      </c>
      <c r="F24" s="42" t="s">
        <v>61</v>
      </c>
      <c r="G24" s="42" t="s">
        <v>59</v>
      </c>
      <c r="H24" s="42" t="s">
        <v>60</v>
      </c>
      <c r="I24" s="42" t="s">
        <v>61</v>
      </c>
      <c r="J24" s="49" t="s">
        <v>59</v>
      </c>
      <c r="K24" s="49" t="s">
        <v>60</v>
      </c>
      <c r="L24" s="49" t="s">
        <v>61</v>
      </c>
    </row>
    <row r="25" spans="3:12">
      <c r="C25" s="47" t="s">
        <v>39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40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41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42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43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44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45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46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47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48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49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50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63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8" t="s">
        <v>65</v>
      </c>
      <c r="D40" s="229"/>
      <c r="E40" s="229"/>
      <c r="F40" s="229"/>
      <c r="G40" s="229"/>
      <c r="H40" s="229"/>
      <c r="I40" s="229"/>
      <c r="J40" s="77"/>
      <c r="K40" s="77"/>
      <c r="L40" s="78"/>
    </row>
    <row r="41" spans="3:43" ht="15.75">
      <c r="C41" s="42"/>
      <c r="D41" s="234" t="s">
        <v>35</v>
      </c>
      <c r="E41" s="235"/>
      <c r="F41" s="236"/>
      <c r="G41" s="234" t="s">
        <v>22</v>
      </c>
      <c r="H41" s="235"/>
      <c r="I41" s="236"/>
      <c r="J41" s="231" t="s">
        <v>58</v>
      </c>
      <c r="K41" s="232"/>
      <c r="L41" s="233"/>
    </row>
    <row r="42" spans="3:43">
      <c r="C42" s="42"/>
      <c r="D42" s="42" t="s">
        <v>59</v>
      </c>
      <c r="E42" s="42" t="s">
        <v>60</v>
      </c>
      <c r="F42" s="42" t="s">
        <v>61</v>
      </c>
      <c r="G42" s="42" t="s">
        <v>59</v>
      </c>
      <c r="H42" s="42" t="s">
        <v>60</v>
      </c>
      <c r="I42" s="42" t="s">
        <v>61</v>
      </c>
      <c r="J42" s="49" t="s">
        <v>59</v>
      </c>
      <c r="K42" s="49" t="s">
        <v>60</v>
      </c>
      <c r="L42" s="49" t="s">
        <v>61</v>
      </c>
    </row>
    <row r="43" spans="3:43">
      <c r="C43" s="47" t="s">
        <v>39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40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41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42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43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44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45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7"/>
      <c r="AO49" s="237"/>
      <c r="AP49" s="237"/>
      <c r="AQ49" s="237"/>
    </row>
    <row r="50" spans="3:43" ht="15.75">
      <c r="C50" s="47" t="s">
        <v>46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8"/>
      <c r="AP50" s="238"/>
      <c r="AQ50" s="238"/>
    </row>
    <row r="51" spans="3:43">
      <c r="C51" s="47" t="s">
        <v>47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48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49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50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63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8" t="s">
        <v>66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>
      <c r="C59" s="42"/>
      <c r="D59" s="231" t="s">
        <v>35</v>
      </c>
      <c r="E59" s="232"/>
      <c r="F59" s="233"/>
      <c r="G59" s="231" t="s">
        <v>22</v>
      </c>
      <c r="H59" s="232"/>
      <c r="I59" s="233"/>
      <c r="J59" s="231" t="s">
        <v>36</v>
      </c>
      <c r="K59" s="232"/>
      <c r="L59" s="233"/>
      <c r="M59" s="231" t="s">
        <v>58</v>
      </c>
      <c r="N59" s="232"/>
      <c r="O59" s="23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59</v>
      </c>
      <c r="E60" s="42" t="s">
        <v>60</v>
      </c>
      <c r="F60" s="42" t="s">
        <v>61</v>
      </c>
      <c r="G60" s="42" t="s">
        <v>59</v>
      </c>
      <c r="H60" s="42" t="s">
        <v>60</v>
      </c>
      <c r="I60" s="42" t="s">
        <v>61</v>
      </c>
      <c r="J60" s="42" t="s">
        <v>59</v>
      </c>
      <c r="K60" s="42" t="s">
        <v>60</v>
      </c>
      <c r="L60" s="42" t="s">
        <v>61</v>
      </c>
      <c r="M60" s="49" t="s">
        <v>59</v>
      </c>
      <c r="N60" s="49" t="s">
        <v>60</v>
      </c>
      <c r="O60" s="49" t="s">
        <v>61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39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40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41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42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43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44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45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46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47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48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49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50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63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8" t="s">
        <v>67</v>
      </c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30"/>
    </row>
    <row r="77" spans="3:43" ht="15.75">
      <c r="C77" s="42"/>
      <c r="D77" s="231" t="s">
        <v>35</v>
      </c>
      <c r="E77" s="232"/>
      <c r="F77" s="233"/>
      <c r="G77" s="231" t="s">
        <v>22</v>
      </c>
      <c r="H77" s="232"/>
      <c r="I77" s="233"/>
      <c r="J77" s="231" t="s">
        <v>36</v>
      </c>
      <c r="K77" s="232"/>
      <c r="L77" s="233"/>
      <c r="M77" s="231" t="s">
        <v>58</v>
      </c>
      <c r="N77" s="232"/>
      <c r="O77" s="233"/>
    </row>
    <row r="78" spans="3:43">
      <c r="C78" s="42"/>
      <c r="D78" s="42" t="s">
        <v>59</v>
      </c>
      <c r="E78" s="42" t="s">
        <v>60</v>
      </c>
      <c r="F78" s="42" t="s">
        <v>61</v>
      </c>
      <c r="G78" s="42" t="s">
        <v>59</v>
      </c>
      <c r="H78" s="42" t="s">
        <v>60</v>
      </c>
      <c r="I78" s="42" t="s">
        <v>61</v>
      </c>
      <c r="J78" s="42" t="s">
        <v>59</v>
      </c>
      <c r="K78" s="42" t="s">
        <v>60</v>
      </c>
      <c r="L78" s="42" t="s">
        <v>61</v>
      </c>
      <c r="M78" s="49" t="s">
        <v>59</v>
      </c>
      <c r="N78" s="49" t="s">
        <v>60</v>
      </c>
      <c r="O78" s="49" t="s">
        <v>61</v>
      </c>
    </row>
    <row r="79" spans="3:43">
      <c r="C79" s="47" t="s">
        <v>39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40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41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68</v>
      </c>
    </row>
    <row r="82" spans="3:16">
      <c r="C82" s="47" t="s">
        <v>42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43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44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45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46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47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48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49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50</v>
      </c>
      <c r="D90" s="86">
        <f>Smithfield!J6</f>
        <v>522988</v>
      </c>
      <c r="E90" s="86">
        <v>200509</v>
      </c>
      <c r="F90" s="46">
        <f t="shared" si="29"/>
        <v>2.6083018717364306</v>
      </c>
      <c r="G90" s="86">
        <f>Merrimack!J6</f>
        <v>400549</v>
      </c>
      <c r="H90" s="86">
        <v>186514</v>
      </c>
      <c r="I90" s="46">
        <f>G90/H90</f>
        <v>2.1475546071608567</v>
      </c>
      <c r="J90" s="86">
        <f>Westlake!J6</f>
        <v>584796</v>
      </c>
      <c r="K90" s="86">
        <v>250803</v>
      </c>
      <c r="L90" s="46">
        <f t="shared" si="31"/>
        <v>2.3316945969545819</v>
      </c>
      <c r="M90" s="50">
        <f t="shared" si="35"/>
        <v>1508333</v>
      </c>
      <c r="N90" s="50">
        <f t="shared" si="34"/>
        <v>637826</v>
      </c>
      <c r="O90" s="51">
        <f t="shared" si="32"/>
        <v>2.364803253551909</v>
      </c>
    </row>
    <row r="91" spans="3:16">
      <c r="C91" s="49" t="s">
        <v>63</v>
      </c>
      <c r="D91" s="53">
        <f>SUM(D79:D90)</f>
        <v>4787163.7</v>
      </c>
      <c r="E91" s="53">
        <f>SUM(E79:E90)</f>
        <v>4199996.8692999994</v>
      </c>
      <c r="F91" s="55">
        <f>D91/E91</f>
        <v>1.1398017305660186</v>
      </c>
      <c r="G91" s="53">
        <f>SUM(G79:G90)</f>
        <v>3760081.3449999997</v>
      </c>
      <c r="H91" s="53">
        <f>SUM(H79:H90)</f>
        <v>3528167.0586000006</v>
      </c>
      <c r="I91" s="55">
        <f t="shared" ref="I91" si="36">G91/H91</f>
        <v>1.0657322293837255</v>
      </c>
      <c r="J91" s="53">
        <f>SUM(J79:J90)</f>
        <v>5723934.0000000009</v>
      </c>
      <c r="K91" s="53">
        <f>SUM(K79:K90)</f>
        <v>5141104.1964999996</v>
      </c>
      <c r="L91" s="55">
        <f>J91/K91</f>
        <v>1.1133666584499073</v>
      </c>
      <c r="M91" s="54">
        <f t="shared" si="35"/>
        <v>14271179.045000002</v>
      </c>
      <c r="N91" s="54">
        <f t="shared" si="34"/>
        <v>12869268.124399999</v>
      </c>
      <c r="O91" s="55">
        <f t="shared" ref="O91" si="37">M91/N91</f>
        <v>1.1089347822307001</v>
      </c>
    </row>
    <row r="94" spans="3:16">
      <c r="C94" s="228" t="s">
        <v>67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30"/>
    </row>
    <row r="95" spans="3:16" ht="15.75">
      <c r="C95" s="42"/>
      <c r="D95" s="231" t="s">
        <v>35</v>
      </c>
      <c r="E95" s="232"/>
      <c r="F95" s="233"/>
      <c r="G95" s="231" t="s">
        <v>22</v>
      </c>
      <c r="H95" s="232"/>
      <c r="I95" s="233"/>
      <c r="J95" s="231" t="s">
        <v>36</v>
      </c>
      <c r="K95" s="232"/>
      <c r="L95" s="233"/>
      <c r="M95" s="231" t="s">
        <v>58</v>
      </c>
      <c r="N95" s="232"/>
      <c r="O95" s="233"/>
    </row>
    <row r="96" spans="3:16">
      <c r="C96" s="42"/>
      <c r="D96" s="42" t="s">
        <v>59</v>
      </c>
      <c r="E96" s="42" t="s">
        <v>60</v>
      </c>
      <c r="F96" s="42" t="s">
        <v>61</v>
      </c>
      <c r="G96" s="42" t="s">
        <v>59</v>
      </c>
      <c r="H96" s="42" t="s">
        <v>60</v>
      </c>
      <c r="I96" s="42" t="s">
        <v>61</v>
      </c>
      <c r="J96" s="42" t="s">
        <v>59</v>
      </c>
      <c r="K96" s="42" t="s">
        <v>60</v>
      </c>
      <c r="L96" s="42" t="s">
        <v>61</v>
      </c>
      <c r="M96" s="49" t="s">
        <v>59</v>
      </c>
      <c r="N96" s="49" t="s">
        <v>60</v>
      </c>
      <c r="O96" s="49" t="s">
        <v>61</v>
      </c>
    </row>
    <row r="97" spans="3:15">
      <c r="C97" s="47" t="s">
        <v>39</v>
      </c>
      <c r="D97" s="48">
        <v>194299.75</v>
      </c>
      <c r="E97" s="48">
        <v>261206.57600000006</v>
      </c>
      <c r="F97" s="46">
        <f t="shared" ref="F97:F103" si="38">D97/E97</f>
        <v>0.74385474123744866</v>
      </c>
      <c r="G97" s="48">
        <v>152720.45000000001</v>
      </c>
      <c r="H97" s="48">
        <v>225291.31930000006</v>
      </c>
      <c r="I97" s="46">
        <f t="shared" ref="I97:I103" si="39">G97/H97</f>
        <v>0.67787986893820795</v>
      </c>
      <c r="J97" s="48">
        <v>359558</v>
      </c>
      <c r="K97" s="48">
        <v>330650.56599999988</v>
      </c>
      <c r="L97" s="46">
        <f t="shared" ref="L97:L103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>
      <c r="C98" s="47" t="s">
        <v>40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3" si="42">SUM(D98,G98,J98)</f>
        <v>704570.5</v>
      </c>
      <c r="N98" s="50">
        <f t="shared" ref="N98:N103" si="43">SUM(E98,H98,K98)</f>
        <v>814511.79449999984</v>
      </c>
      <c r="O98" s="51">
        <f t="shared" si="41"/>
        <v>0.86502185082845984</v>
      </c>
    </row>
    <row r="99" spans="3:15">
      <c r="C99" s="93" t="s">
        <v>41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>
      <c r="C100" s="47" t="s">
        <v>42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>
      <c r="C101" s="47" t="s">
        <v>43</v>
      </c>
      <c r="D101" s="105">
        <v>426205.5</v>
      </c>
      <c r="E101" s="48">
        <v>392392.74499999988</v>
      </c>
      <c r="F101" s="46">
        <f t="shared" si="38"/>
        <v>1.0861706935993429</v>
      </c>
      <c r="G101" s="105">
        <v>294851.58735391125</v>
      </c>
      <c r="H101" s="48">
        <v>282521.75280000007</v>
      </c>
      <c r="I101" s="46">
        <f t="shared" si="39"/>
        <v>1.0436420715633872</v>
      </c>
      <c r="J101" s="48">
        <v>526758</v>
      </c>
      <c r="K101" s="48">
        <v>496290.51</v>
      </c>
      <c r="L101" s="46">
        <f t="shared" si="40"/>
        <v>1.0613904344050422</v>
      </c>
      <c r="M101" s="50">
        <f t="shared" si="42"/>
        <v>1247815.0873539113</v>
      </c>
      <c r="N101" s="50">
        <f t="shared" si="43"/>
        <v>1171205.0078</v>
      </c>
      <c r="O101" s="51">
        <f t="shared" si="41"/>
        <v>1.0654113319561502</v>
      </c>
    </row>
    <row r="102" spans="3:15">
      <c r="C102" s="47" t="s">
        <v>44</v>
      </c>
      <c r="D102" s="48">
        <v>493050</v>
      </c>
      <c r="E102" s="48">
        <v>452685.08499999985</v>
      </c>
      <c r="F102" s="46">
        <f t="shared" si="38"/>
        <v>1.089167759967175</v>
      </c>
      <c r="G102" s="48">
        <v>363249.59574468061</v>
      </c>
      <c r="H102" s="48">
        <v>356731.43699999992</v>
      </c>
      <c r="I102" s="46">
        <f t="shared" si="39"/>
        <v>1.0182718932749419</v>
      </c>
      <c r="J102" s="48">
        <v>575204</v>
      </c>
      <c r="K102" s="48">
        <v>541222.24100000004</v>
      </c>
      <c r="L102" s="46">
        <f t="shared" si="40"/>
        <v>1.0627870704966094</v>
      </c>
      <c r="M102" s="50">
        <f t="shared" si="42"/>
        <v>1431503.5957446806</v>
      </c>
      <c r="N102" s="50">
        <f t="shared" si="43"/>
        <v>1350638.7629999998</v>
      </c>
      <c r="O102" s="51">
        <f t="shared" si="41"/>
        <v>1.0598715474188423</v>
      </c>
    </row>
    <row r="103" spans="3:15">
      <c r="C103" s="47" t="s">
        <v>45</v>
      </c>
      <c r="D103" s="48">
        <v>522988</v>
      </c>
      <c r="E103" s="48">
        <v>480180.57900000003</v>
      </c>
      <c r="F103" s="46">
        <f t="shared" si="38"/>
        <v>1.0891485888270378</v>
      </c>
      <c r="G103" s="48">
        <v>400549</v>
      </c>
      <c r="H103" s="48">
        <v>389230.01399999997</v>
      </c>
      <c r="I103" s="46">
        <f t="shared" si="39"/>
        <v>1.0290804552395079</v>
      </c>
      <c r="J103" s="48">
        <v>584796</v>
      </c>
      <c r="K103" s="48">
        <v>546596.85399999993</v>
      </c>
      <c r="L103" s="46">
        <f t="shared" si="40"/>
        <v>1.0698854113785297</v>
      </c>
      <c r="M103" s="50">
        <f t="shared" si="42"/>
        <v>1508333</v>
      </c>
      <c r="N103" s="50">
        <f t="shared" si="43"/>
        <v>1416007.4469999999</v>
      </c>
      <c r="O103" s="51">
        <f t="shared" si="41"/>
        <v>1.0652013188176404</v>
      </c>
    </row>
    <row r="104" spans="3:15">
      <c r="C104" s="47" t="s">
        <v>46</v>
      </c>
      <c r="D104" s="86"/>
      <c r="E104" s="86"/>
      <c r="F104" s="46"/>
      <c r="G104" s="86"/>
      <c r="H104" s="86"/>
      <c r="I104" s="46"/>
      <c r="J104" s="86"/>
      <c r="K104" s="86"/>
      <c r="L104" s="46"/>
      <c r="M104" s="50"/>
      <c r="N104" s="50"/>
      <c r="O104" s="51"/>
    </row>
    <row r="105" spans="3:15">
      <c r="C105" s="47" t="s">
        <v>47</v>
      </c>
      <c r="D105" s="86"/>
      <c r="E105" s="86"/>
      <c r="F105" s="46"/>
      <c r="G105" s="48"/>
      <c r="H105" s="86"/>
      <c r="I105" s="46"/>
      <c r="J105" s="86"/>
      <c r="K105" s="86"/>
      <c r="L105" s="46"/>
      <c r="M105" s="50"/>
      <c r="N105" s="50"/>
      <c r="O105" s="51"/>
    </row>
    <row r="106" spans="3:15">
      <c r="C106" s="47" t="s">
        <v>48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>
      <c r="C107" s="47" t="s">
        <v>49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>
      <c r="C108" s="47" t="s">
        <v>50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>
      <c r="C109" s="49" t="s">
        <v>63</v>
      </c>
      <c r="D109" s="53">
        <f>SUM(D97:D108)</f>
        <v>2712906.75</v>
      </c>
      <c r="E109" s="53">
        <f>SUM(E97:E108)</f>
        <v>2631517.0959999999</v>
      </c>
      <c r="F109" s="55">
        <f>D109/E109</f>
        <v>1.0309287954555626</v>
      </c>
      <c r="G109" s="53">
        <f>SUM(G97:G108)</f>
        <v>1983070.4509999999</v>
      </c>
      <c r="H109" s="53">
        <f>SUM(H97:H108)</f>
        <v>2118486.0193999996</v>
      </c>
      <c r="I109" s="55">
        <f t="shared" ref="I109" si="44">G109/H109</f>
        <v>0.93607908328875711</v>
      </c>
      <c r="J109" s="53">
        <f>SUM(J97:J108)</f>
        <v>3396887</v>
      </c>
      <c r="K109" s="53">
        <f>SUM(K97:K108)</f>
        <v>3126133.2847999996</v>
      </c>
      <c r="L109" s="55">
        <f>J109/K109</f>
        <v>1.0866097797289926</v>
      </c>
      <c r="M109" s="54">
        <f t="shared" ref="M109" si="45">SUM(D109,G109,J109)</f>
        <v>8092864.2009999994</v>
      </c>
      <c r="N109" s="54">
        <f t="shared" ref="N109" si="46">SUM(E109,H109,K109)</f>
        <v>7876136.4001999991</v>
      </c>
      <c r="O109" s="55">
        <f t="shared" si="41"/>
        <v>1.0275170197400971</v>
      </c>
    </row>
  </sheetData>
  <mergeCells count="29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C94:O94"/>
    <mergeCell ref="D95:F95"/>
    <mergeCell ref="G95:I95"/>
    <mergeCell ref="J95:L95"/>
    <mergeCell ref="M95:O9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23" workbookViewId="0">
      <selection activeCell="K42" sqref="K42"/>
    </sheetView>
  </sheetViews>
  <sheetFormatPr defaultRowHeight="14.2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30">
      <c r="A4" s="70" t="s">
        <v>69</v>
      </c>
      <c r="B4" s="71" t="s">
        <v>70</v>
      </c>
      <c r="C4" s="71" t="s">
        <v>71</v>
      </c>
      <c r="D4" s="72" t="s">
        <v>4</v>
      </c>
      <c r="E4" s="73" t="s">
        <v>72</v>
      </c>
      <c r="F4" s="60"/>
      <c r="G4" s="60"/>
      <c r="H4" s="60"/>
    </row>
    <row r="5" spans="1:8">
      <c r="A5" s="1" t="s">
        <v>35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35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35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35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35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35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35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35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35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35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35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35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36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36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36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36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36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36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36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36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36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36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36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36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2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73</v>
      </c>
      <c r="B1" s="17" t="s">
        <v>74</v>
      </c>
      <c r="C1" s="17" t="s">
        <v>75</v>
      </c>
      <c r="D1" s="32"/>
      <c r="H1" s="178" t="s">
        <v>76</v>
      </c>
      <c r="I1" s="178"/>
      <c r="J1" s="178"/>
      <c r="K1" s="178"/>
      <c r="L1" s="178"/>
      <c r="M1" s="178"/>
      <c r="N1" s="178"/>
      <c r="O1" s="178"/>
      <c r="Q1" s="32" t="s">
        <v>77</v>
      </c>
    </row>
    <row r="2" spans="1:17">
      <c r="A2" s="33" t="s">
        <v>78</v>
      </c>
      <c r="B2" s="34" t="s">
        <v>79</v>
      </c>
      <c r="C2" s="34" t="s">
        <v>80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39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40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81</v>
      </c>
      <c r="F5" s="19"/>
      <c r="G5" t="s">
        <v>82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42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43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44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45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46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47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48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49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50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73</v>
      </c>
      <c r="B1" s="17" t="s">
        <v>74</v>
      </c>
      <c r="C1" s="17" t="s">
        <v>75</v>
      </c>
      <c r="G1" t="s">
        <v>83</v>
      </c>
      <c r="P1" t="s">
        <v>84</v>
      </c>
    </row>
    <row r="2" spans="1:16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39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40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82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42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43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44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45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46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47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85</v>
      </c>
      <c r="F12" s="26" t="s">
        <v>48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49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50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73</v>
      </c>
      <c r="B1" s="17" t="s">
        <v>74</v>
      </c>
      <c r="C1" s="17" t="s">
        <v>75</v>
      </c>
      <c r="G1" s="178" t="s">
        <v>86</v>
      </c>
      <c r="H1" s="178"/>
      <c r="I1" s="178"/>
      <c r="J1" s="178"/>
      <c r="K1" s="178"/>
      <c r="L1" s="178"/>
      <c r="M1" s="178"/>
      <c r="N1" s="178"/>
      <c r="P1" s="32" t="s">
        <v>87</v>
      </c>
    </row>
    <row r="2" spans="1:16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39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40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82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42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43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44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45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46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88</v>
      </c>
      <c r="E11" s="26"/>
      <c r="F11" t="s">
        <v>47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48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49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50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73</v>
      </c>
      <c r="B1" s="17" t="s">
        <v>74</v>
      </c>
      <c r="C1" s="17" t="s">
        <v>75</v>
      </c>
      <c r="G1" s="178" t="s">
        <v>89</v>
      </c>
      <c r="H1" s="178"/>
      <c r="I1" s="178"/>
      <c r="J1" s="178"/>
      <c r="K1" s="178"/>
      <c r="L1" s="178"/>
      <c r="M1" s="178"/>
      <c r="N1" s="178"/>
      <c r="P1" s="32" t="s">
        <v>90</v>
      </c>
    </row>
    <row r="2" spans="1:16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39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40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82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42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43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44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45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46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91</v>
      </c>
      <c r="E11" s="26"/>
      <c r="F11" t="s">
        <v>47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48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49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50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4FB608-2C95-4CB3-B789-2A06D4831A94}"/>
</file>

<file path=customXml/itemProps2.xml><?xml version="1.0" encoding="utf-8"?>
<ds:datastoreItem xmlns:ds="http://schemas.openxmlformats.org/officeDocument/2006/customXml" ds:itemID="{6F2410DE-0C3D-4C69-92D9-9A7972A06D71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Jayasri  Garapati</cp:lastModifiedBy>
  <cp:revision/>
  <dcterms:created xsi:type="dcterms:W3CDTF">2013-05-02T09:51:31Z</dcterms:created>
  <dcterms:modified xsi:type="dcterms:W3CDTF">2025-09-09T04:45:14Z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