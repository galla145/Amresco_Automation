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July 2025/"/>
    </mc:Choice>
  </mc:AlternateContent>
  <xr:revisionPtr revIDLastSave="21" documentId="13_ncr:1_{7D788AF1-5DA9-4BC7-A4FA-A946206F9AF4}" xr6:coauthVersionLast="47" xr6:coauthVersionMax="47" xr10:uidLastSave="{47BEBF30-F805-46A8-99EB-9C1FCFF4755D}"/>
  <bookViews>
    <workbookView xWindow="25490" yWindow="-110" windowWidth="25820" windowHeight="13900"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26" l="1"/>
  <c r="E6" i="28"/>
  <c r="E7" i="28"/>
  <c r="E8" i="28"/>
  <c r="E9" i="28"/>
  <c r="E10" i="28"/>
  <c r="E11" i="28"/>
  <c r="E12" i="28"/>
  <c r="E13" i="28"/>
  <c r="E14" i="28"/>
  <c r="E15" i="28"/>
  <c r="E16" i="28"/>
  <c r="E17" i="28"/>
  <c r="E18" i="28"/>
  <c r="E19" i="28"/>
  <c r="E20" i="28"/>
  <c r="E21" i="28"/>
  <c r="E22" i="28"/>
  <c r="E23" i="28"/>
  <c r="E5" i="28"/>
  <c r="E4" i="28"/>
  <c r="E2" i="28"/>
  <c r="E2" i="27"/>
  <c r="E4" i="27"/>
  <c r="E21" i="27"/>
  <c r="E20" i="27"/>
  <c r="E19" i="27"/>
  <c r="E18" i="27"/>
  <c r="E17" i="27"/>
  <c r="E16" i="27"/>
  <c r="E15" i="27"/>
  <c r="E14" i="27"/>
  <c r="E13" i="27"/>
  <c r="E12" i="27"/>
  <c r="E11" i="27"/>
  <c r="E10" i="27"/>
  <c r="E9" i="27"/>
  <c r="E8" i="27"/>
  <c r="E7" i="27"/>
  <c r="E6" i="27"/>
  <c r="E5" i="27"/>
  <c r="E22" i="27"/>
  <c r="E23" i="27"/>
  <c r="E23" i="20"/>
  <c r="E23" i="19"/>
  <c r="E23" i="29"/>
  <c r="E4" i="30"/>
  <c r="E5" i="30"/>
  <c r="E6" i="30"/>
  <c r="E7" i="30"/>
  <c r="E8" i="30"/>
  <c r="E9" i="30"/>
  <c r="E10" i="30"/>
  <c r="E11" i="30"/>
  <c r="E12" i="30"/>
  <c r="E13" i="30"/>
  <c r="E14" i="30"/>
  <c r="E15" i="30"/>
  <c r="E16" i="30"/>
  <c r="E17" i="30"/>
  <c r="E18" i="30"/>
  <c r="E19" i="30"/>
  <c r="E20" i="30"/>
  <c r="E21" i="30"/>
  <c r="E22" i="30"/>
  <c r="E23" i="30"/>
  <c r="E23" i="18"/>
  <c r="C6" i="29"/>
  <c r="D6" i="29"/>
  <c r="E6" i="29"/>
  <c r="F6" i="29"/>
  <c r="G6" i="29"/>
  <c r="H6" i="29"/>
  <c r="I6" i="29"/>
  <c r="J6" i="29"/>
  <c r="K6" i="29"/>
  <c r="C7" i="29"/>
  <c r="D7" i="29"/>
  <c r="E7" i="29"/>
  <c r="F7" i="29"/>
  <c r="G7" i="29"/>
  <c r="H7" i="29"/>
  <c r="I7" i="29"/>
  <c r="J7" i="29"/>
  <c r="K7" i="29"/>
  <c r="C8" i="29"/>
  <c r="D8" i="29"/>
  <c r="E8" i="29"/>
  <c r="F8" i="29"/>
  <c r="G8" i="29"/>
  <c r="H8" i="29"/>
  <c r="I8" i="29"/>
  <c r="J8" i="29"/>
  <c r="K8" i="29"/>
  <c r="C9" i="29"/>
  <c r="D9" i="29"/>
  <c r="E9" i="29"/>
  <c r="F9" i="29"/>
  <c r="G9" i="29"/>
  <c r="H9" i="29"/>
  <c r="I9" i="29"/>
  <c r="J9" i="29"/>
  <c r="K9" i="29"/>
  <c r="C10" i="29"/>
  <c r="D10" i="29"/>
  <c r="E10" i="29"/>
  <c r="F10" i="29"/>
  <c r="G10" i="29"/>
  <c r="H10" i="29"/>
  <c r="I10" i="29"/>
  <c r="J10" i="29"/>
  <c r="K10" i="29"/>
  <c r="C11" i="29"/>
  <c r="D11" i="29"/>
  <c r="E11" i="29"/>
  <c r="F11" i="29"/>
  <c r="G11" i="29"/>
  <c r="H11" i="29"/>
  <c r="I11" i="29"/>
  <c r="J11" i="29"/>
  <c r="K11" i="29"/>
  <c r="C12" i="29"/>
  <c r="D12" i="29"/>
  <c r="E12" i="29"/>
  <c r="F12" i="29"/>
  <c r="G12" i="29"/>
  <c r="H12" i="29"/>
  <c r="I12" i="29"/>
  <c r="J12" i="29"/>
  <c r="K12" i="29"/>
  <c r="C13" i="29"/>
  <c r="D13" i="29"/>
  <c r="E13" i="29"/>
  <c r="F13" i="29"/>
  <c r="G13" i="29"/>
  <c r="H13" i="29"/>
  <c r="I13" i="29"/>
  <c r="J13" i="29"/>
  <c r="K13" i="29"/>
  <c r="C14" i="29"/>
  <c r="D14" i="29"/>
  <c r="E14" i="29"/>
  <c r="F14" i="29"/>
  <c r="G14" i="29"/>
  <c r="H14" i="29"/>
  <c r="I14" i="29"/>
  <c r="J14" i="29"/>
  <c r="K14" i="29"/>
  <c r="C15" i="29"/>
  <c r="D15" i="29"/>
  <c r="E15" i="29"/>
  <c r="F15" i="29"/>
  <c r="G15" i="29"/>
  <c r="H15" i="29"/>
  <c r="I15" i="29"/>
  <c r="J15" i="29"/>
  <c r="K15" i="29"/>
  <c r="C16" i="29"/>
  <c r="D16" i="29"/>
  <c r="E16" i="29"/>
  <c r="F16" i="29"/>
  <c r="G16" i="29"/>
  <c r="H16" i="29"/>
  <c r="I16" i="29"/>
  <c r="J16" i="29"/>
  <c r="K16" i="29"/>
  <c r="C17" i="29"/>
  <c r="D17" i="29"/>
  <c r="E17" i="29"/>
  <c r="F17" i="29"/>
  <c r="G17" i="29"/>
  <c r="H17" i="29"/>
  <c r="I17" i="29"/>
  <c r="J17" i="29"/>
  <c r="K17" i="29"/>
  <c r="C18" i="29"/>
  <c r="D18" i="29"/>
  <c r="E18" i="29"/>
  <c r="F18" i="29"/>
  <c r="G18" i="29"/>
  <c r="H18" i="29"/>
  <c r="I18" i="29"/>
  <c r="J18" i="29"/>
  <c r="K18" i="29"/>
  <c r="C19" i="29"/>
  <c r="D19" i="29"/>
  <c r="E19" i="29"/>
  <c r="F19" i="29"/>
  <c r="G19" i="29"/>
  <c r="H19" i="29"/>
  <c r="I19" i="29"/>
  <c r="J19" i="29"/>
  <c r="K19" i="29"/>
  <c r="C20" i="29"/>
  <c r="D20" i="29"/>
  <c r="E20" i="29"/>
  <c r="F20" i="29"/>
  <c r="G20" i="29"/>
  <c r="H20" i="29"/>
  <c r="I20" i="29"/>
  <c r="J20" i="29"/>
  <c r="K20" i="29"/>
  <c r="C21" i="29"/>
  <c r="D21" i="29"/>
  <c r="E21" i="29"/>
  <c r="F21" i="29"/>
  <c r="G21" i="29"/>
  <c r="H21" i="29"/>
  <c r="I21" i="29"/>
  <c r="J21" i="29"/>
  <c r="K21" i="29"/>
  <c r="C22" i="29"/>
  <c r="D22" i="29"/>
  <c r="E22" i="29"/>
  <c r="F22" i="29"/>
  <c r="G22" i="29"/>
  <c r="H22" i="29"/>
  <c r="I22" i="29"/>
  <c r="J22" i="29"/>
  <c r="K22" i="29"/>
  <c r="C23" i="29"/>
  <c r="D23" i="29"/>
  <c r="F23" i="29"/>
  <c r="G23" i="29"/>
  <c r="H23" i="29"/>
  <c r="I23" i="29"/>
  <c r="J23" i="29"/>
  <c r="K23" i="29"/>
  <c r="J5" i="29"/>
  <c r="J4" i="29"/>
  <c r="G4" i="29"/>
  <c r="F5" i="29"/>
  <c r="F4" i="29"/>
  <c r="D5" i="29"/>
  <c r="D4" i="29"/>
  <c r="I4" i="29"/>
  <c r="I5" i="29"/>
  <c r="G6" i="26"/>
  <c r="G7" i="26"/>
  <c r="G8" i="26"/>
  <c r="G9" i="26"/>
  <c r="G10" i="26"/>
  <c r="G11" i="26"/>
  <c r="G12" i="26"/>
  <c r="G13" i="26"/>
  <c r="G14" i="26"/>
  <c r="G15" i="26"/>
  <c r="G16" i="26"/>
  <c r="G17" i="26"/>
  <c r="G18" i="26"/>
  <c r="G19" i="26"/>
  <c r="G20" i="26"/>
  <c r="G21" i="26"/>
  <c r="G22" i="26"/>
  <c r="G23" i="26"/>
  <c r="G5" i="26"/>
  <c r="G4" i="26"/>
  <c r="G4" i="20"/>
  <c r="H23" i="26"/>
  <c r="J6" i="26"/>
  <c r="J7" i="26"/>
  <c r="J8" i="26"/>
  <c r="J9" i="26"/>
  <c r="J10" i="26"/>
  <c r="J11" i="26"/>
  <c r="J12" i="26"/>
  <c r="J13" i="26"/>
  <c r="J14" i="26"/>
  <c r="J15" i="26"/>
  <c r="J16" i="26"/>
  <c r="J17" i="26"/>
  <c r="J18" i="26"/>
  <c r="J19" i="26"/>
  <c r="J20" i="26"/>
  <c r="J21" i="26"/>
  <c r="J22" i="26"/>
  <c r="J23" i="26"/>
  <c r="K23" i="26" s="1"/>
  <c r="J5" i="26"/>
  <c r="J4" i="26"/>
  <c r="J4" i="20"/>
  <c r="K4" i="19"/>
  <c r="E22" i="26"/>
  <c r="E21" i="26"/>
  <c r="E20" i="26"/>
  <c r="E19" i="26"/>
  <c r="E18" i="26"/>
  <c r="E17" i="26"/>
  <c r="E16" i="26"/>
  <c r="E15" i="26"/>
  <c r="E14" i="26"/>
  <c r="E13" i="26"/>
  <c r="E12" i="26"/>
  <c r="E11" i="26"/>
  <c r="E10" i="26"/>
  <c r="E9" i="26"/>
  <c r="E8" i="26"/>
  <c r="E7" i="26"/>
  <c r="E6" i="26"/>
  <c r="E5" i="26"/>
  <c r="E4" i="26"/>
  <c r="D2" i="26"/>
  <c r="H4" i="19"/>
  <c r="C23" i="34"/>
  <c r="G23" i="34" s="1"/>
  <c r="H23" i="34" s="1"/>
  <c r="F23" i="34"/>
  <c r="I23" i="34"/>
  <c r="J23" i="34"/>
  <c r="K23" i="34"/>
  <c r="F23" i="19"/>
  <c r="K23" i="19"/>
  <c r="E22" i="19"/>
  <c r="D6" i="18"/>
  <c r="D7" i="18"/>
  <c r="D8" i="18"/>
  <c r="D9" i="18"/>
  <c r="D10" i="18"/>
  <c r="D11" i="18"/>
  <c r="D12" i="18"/>
  <c r="D13" i="18"/>
  <c r="D14" i="18"/>
  <c r="D15" i="18"/>
  <c r="D16" i="18"/>
  <c r="D17" i="18"/>
  <c r="D18" i="18"/>
  <c r="D19" i="18"/>
  <c r="D20" i="18"/>
  <c r="D21" i="18"/>
  <c r="D22" i="18"/>
  <c r="D23" i="18"/>
  <c r="D23" i="34" s="1"/>
  <c r="D5" i="18"/>
  <c r="D4" i="18"/>
  <c r="F6" i="19"/>
  <c r="F7" i="19"/>
  <c r="F8" i="19"/>
  <c r="F9" i="19"/>
  <c r="F10" i="19"/>
  <c r="F11" i="19"/>
  <c r="F12" i="19"/>
  <c r="F13" i="19"/>
  <c r="F14" i="19"/>
  <c r="F15" i="19"/>
  <c r="F16" i="19"/>
  <c r="F17" i="19"/>
  <c r="F18" i="19"/>
  <c r="F19" i="19"/>
  <c r="F20" i="19"/>
  <c r="F21" i="19"/>
  <c r="F22" i="19"/>
  <c r="F5" i="19"/>
  <c r="F4" i="19"/>
  <c r="F2" i="19"/>
  <c r="E6" i="19"/>
  <c r="E7" i="19"/>
  <c r="E8" i="19"/>
  <c r="E9" i="19"/>
  <c r="E10" i="19"/>
  <c r="E11" i="19"/>
  <c r="E12" i="19"/>
  <c r="E13" i="19"/>
  <c r="E14" i="19"/>
  <c r="E15" i="19"/>
  <c r="E16" i="19"/>
  <c r="E17" i="19"/>
  <c r="E18" i="19"/>
  <c r="E19" i="19"/>
  <c r="E20" i="19"/>
  <c r="E21" i="19"/>
  <c r="E5" i="19"/>
  <c r="E4" i="19"/>
  <c r="L23" i="19"/>
  <c r="D2" i="19"/>
  <c r="H4" i="20"/>
  <c r="H23" i="19"/>
  <c r="I23" i="19" s="1"/>
  <c r="K21" i="1"/>
  <c r="K22" i="1"/>
  <c r="J6" i="20"/>
  <c r="J7" i="20"/>
  <c r="J8" i="20"/>
  <c r="J9" i="20"/>
  <c r="J10" i="20"/>
  <c r="J11" i="20"/>
  <c r="J12" i="20"/>
  <c r="J13" i="20"/>
  <c r="J14" i="20"/>
  <c r="J15" i="20"/>
  <c r="J16" i="20"/>
  <c r="J17" i="20"/>
  <c r="J18" i="20"/>
  <c r="J19" i="20"/>
  <c r="J20" i="20"/>
  <c r="J21" i="20"/>
  <c r="J22" i="20"/>
  <c r="J23" i="20"/>
  <c r="K23" i="20" s="1"/>
  <c r="J5" i="20"/>
  <c r="G6" i="20"/>
  <c r="G7" i="20"/>
  <c r="G8" i="20"/>
  <c r="G9" i="20"/>
  <c r="G10" i="20"/>
  <c r="G11" i="20"/>
  <c r="G12" i="20"/>
  <c r="G13" i="20"/>
  <c r="G14" i="20"/>
  <c r="G15" i="20"/>
  <c r="G16" i="20"/>
  <c r="G17" i="20"/>
  <c r="G18" i="20"/>
  <c r="G19" i="20"/>
  <c r="G20" i="20"/>
  <c r="G21" i="20"/>
  <c r="G22" i="20"/>
  <c r="G23" i="20"/>
  <c r="H23" i="20" s="1"/>
  <c r="G5" i="20"/>
  <c r="C4" i="18"/>
  <c r="F23" i="18"/>
  <c r="I23" i="18"/>
  <c r="C23" i="18"/>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5" i="4"/>
  <c r="L17" i="4"/>
  <c r="L18" i="4"/>
  <c r="L19" i="4"/>
  <c r="L21" i="4"/>
  <c r="L22" i="4"/>
  <c r="L5" i="4"/>
  <c r="L4" i="4"/>
  <c r="I6" i="4"/>
  <c r="I7" i="4"/>
  <c r="I9" i="4"/>
  <c r="I10" i="4"/>
  <c r="I11" i="4"/>
  <c r="I12" i="4"/>
  <c r="I15" i="4"/>
  <c r="I17" i="4"/>
  <c r="I18" i="4"/>
  <c r="I19" i="4"/>
  <c r="I21" i="4"/>
  <c r="I22" i="4"/>
  <c r="I5" i="4"/>
  <c r="F6" i="4"/>
  <c r="F7" i="4"/>
  <c r="F8" i="4"/>
  <c r="F9" i="4"/>
  <c r="F10" i="4"/>
  <c r="F11" i="4"/>
  <c r="F12" i="4"/>
  <c r="F13" i="4"/>
  <c r="F2" i="4" s="1"/>
  <c r="F14" i="4"/>
  <c r="F15" i="4"/>
  <c r="F16" i="4"/>
  <c r="F17" i="4"/>
  <c r="F18" i="4"/>
  <c r="F19" i="4"/>
  <c r="F20" i="4"/>
  <c r="F21" i="4"/>
  <c r="F22" i="4"/>
  <c r="F5" i="4"/>
  <c r="F4" i="4"/>
  <c r="E19" i="4"/>
  <c r="J7" i="72"/>
  <c r="D6" i="30"/>
  <c r="D8" i="30"/>
  <c r="D10" i="30"/>
  <c r="D12" i="30"/>
  <c r="D14" i="30"/>
  <c r="D16" i="30"/>
  <c r="D18" i="30"/>
  <c r="D20" i="30"/>
  <c r="D22" i="30"/>
  <c r="D4" i="30"/>
  <c r="D6" i="1"/>
  <c r="D7" i="1"/>
  <c r="D8" i="1"/>
  <c r="D9" i="1"/>
  <c r="D10" i="1"/>
  <c r="D11" i="1"/>
  <c r="D12" i="1"/>
  <c r="D13" i="1"/>
  <c r="D14" i="1"/>
  <c r="D15" i="1"/>
  <c r="D15" i="34" s="1"/>
  <c r="D16" i="1"/>
  <c r="D16" i="34" s="1"/>
  <c r="D17" i="1"/>
  <c r="D17" i="34" s="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2"/>
  <c r="E21" i="32"/>
  <c r="E20" i="32"/>
  <c r="E19" i="32"/>
  <c r="E18" i="32"/>
  <c r="E17" i="32"/>
  <c r="E16" i="32"/>
  <c r="E15" i="32"/>
  <c r="E14" i="32"/>
  <c r="E13" i="32"/>
  <c r="E12" i="32"/>
  <c r="E11" i="32"/>
  <c r="E10" i="32"/>
  <c r="E9" i="32"/>
  <c r="E8" i="32"/>
  <c r="E7" i="32"/>
  <c r="E6" i="32"/>
  <c r="E5" i="32"/>
  <c r="E4" i="32"/>
  <c r="D2" i="32"/>
  <c r="K22" i="32"/>
  <c r="H22" i="32"/>
  <c r="E22" i="31"/>
  <c r="E21" i="31"/>
  <c r="E20" i="31"/>
  <c r="E19" i="31"/>
  <c r="E18" i="31"/>
  <c r="E17" i="31"/>
  <c r="E16" i="31"/>
  <c r="E15" i="31"/>
  <c r="E14" i="31"/>
  <c r="E13" i="31"/>
  <c r="E12" i="31"/>
  <c r="E11" i="31"/>
  <c r="E10" i="31"/>
  <c r="E9" i="31"/>
  <c r="E8" i="31"/>
  <c r="E7" i="31"/>
  <c r="E6" i="31"/>
  <c r="E5" i="31"/>
  <c r="E4" i="31"/>
  <c r="C2" i="31"/>
  <c r="D2" i="31"/>
  <c r="E2" i="31"/>
  <c r="K22" i="31"/>
  <c r="H22" i="31"/>
  <c r="D2" i="28"/>
  <c r="K22" i="28"/>
  <c r="H22" i="28"/>
  <c r="D2" i="27"/>
  <c r="F2" i="27"/>
  <c r="G2" i="27" s="1"/>
  <c r="H2" i="27" s="1"/>
  <c r="H4" i="27"/>
  <c r="H5" i="27"/>
  <c r="H6" i="27"/>
  <c r="H7" i="27"/>
  <c r="H8" i="27"/>
  <c r="H9" i="27"/>
  <c r="H10" i="27"/>
  <c r="H11" i="27"/>
  <c r="H12" i="27"/>
  <c r="H13" i="27"/>
  <c r="H14" i="27"/>
  <c r="H15" i="27"/>
  <c r="H16" i="27"/>
  <c r="H17" i="27"/>
  <c r="H18" i="27"/>
  <c r="H19" i="27"/>
  <c r="H20" i="27"/>
  <c r="H21" i="27"/>
  <c r="H22" i="27"/>
  <c r="D2" i="20"/>
  <c r="D2" i="4"/>
  <c r="D2" i="3"/>
  <c r="D2" i="72"/>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K22" i="27"/>
  <c r="K22" i="26"/>
  <c r="H22" i="26"/>
  <c r="H22" i="19"/>
  <c r="I22" i="19" s="1"/>
  <c r="K22" i="19"/>
  <c r="L22" i="19" s="1"/>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I5" i="18"/>
  <c r="I6" i="18"/>
  <c r="I7" i="18"/>
  <c r="I8" i="18"/>
  <c r="I9" i="18"/>
  <c r="I10" i="18"/>
  <c r="I11" i="18"/>
  <c r="I12" i="18"/>
  <c r="I13" i="18"/>
  <c r="I14" i="18"/>
  <c r="I15" i="18"/>
  <c r="I16" i="18"/>
  <c r="I17" i="18"/>
  <c r="I18" i="18"/>
  <c r="I19" i="18"/>
  <c r="I20" i="18"/>
  <c r="I21" i="18"/>
  <c r="I22" i="18"/>
  <c r="I4" i="18"/>
  <c r="F22" i="18"/>
  <c r="C22" i="18"/>
  <c r="H22" i="21"/>
  <c r="H22" i="4"/>
  <c r="K22" i="4"/>
  <c r="J22" i="3"/>
  <c r="J23" i="3"/>
  <c r="G22" i="3"/>
  <c r="H22" i="3" s="1"/>
  <c r="I22" i="1"/>
  <c r="F22" i="1"/>
  <c r="C22" i="1"/>
  <c r="G22" i="1" s="1"/>
  <c r="J22" i="72"/>
  <c r="K22" i="72" s="1"/>
  <c r="G22" i="72"/>
  <c r="H22" i="72" s="1"/>
  <c r="G21" i="72"/>
  <c r="H21" i="72" s="1"/>
  <c r="C16" i="30"/>
  <c r="F16" i="30"/>
  <c r="C17" i="30"/>
  <c r="F17" i="30"/>
  <c r="C18" i="30"/>
  <c r="F18" i="30"/>
  <c r="C19" i="30"/>
  <c r="F19" i="30"/>
  <c r="K19" i="31"/>
  <c r="C20" i="30"/>
  <c r="F20" i="30"/>
  <c r="C21" i="30"/>
  <c r="F21" i="30"/>
  <c r="C16" i="18"/>
  <c r="F16" i="18"/>
  <c r="C17" i="18"/>
  <c r="F17" i="18"/>
  <c r="C18" i="18"/>
  <c r="F18" i="18"/>
  <c r="C19" i="18"/>
  <c r="F19" i="18"/>
  <c r="C20" i="18"/>
  <c r="F20" i="18"/>
  <c r="C21" i="18"/>
  <c r="E21" i="18" s="1"/>
  <c r="F21" i="18"/>
  <c r="C16" i="1"/>
  <c r="F16" i="1"/>
  <c r="G16" i="1" s="1"/>
  <c r="H16" i="1" s="1"/>
  <c r="I16" i="1"/>
  <c r="C17" i="1"/>
  <c r="F17" i="1"/>
  <c r="I17" i="1"/>
  <c r="C18" i="1"/>
  <c r="F18" i="1"/>
  <c r="I18" i="1"/>
  <c r="C19" i="1"/>
  <c r="F19" i="1"/>
  <c r="I19" i="1"/>
  <c r="C20" i="1"/>
  <c r="F20" i="1"/>
  <c r="I20" i="1"/>
  <c r="C21" i="1"/>
  <c r="F21" i="1"/>
  <c r="I21" i="1"/>
  <c r="H16" i="33"/>
  <c r="I16" i="30"/>
  <c r="H17" i="33"/>
  <c r="I17" i="30"/>
  <c r="H18" i="33"/>
  <c r="K18" i="33"/>
  <c r="H19" i="33"/>
  <c r="I19" i="30"/>
  <c r="H20" i="33"/>
  <c r="I20" i="30"/>
  <c r="G21" i="30"/>
  <c r="K21" i="33"/>
  <c r="H16" i="32"/>
  <c r="K16" i="32"/>
  <c r="H17" i="32"/>
  <c r="K17" i="32"/>
  <c r="H18" i="32"/>
  <c r="K18" i="32"/>
  <c r="H19" i="32"/>
  <c r="K19" i="32"/>
  <c r="H20" i="32"/>
  <c r="K20" i="32"/>
  <c r="H21" i="32"/>
  <c r="K21" i="32"/>
  <c r="H16" i="31"/>
  <c r="K16" i="31"/>
  <c r="H17" i="31"/>
  <c r="K17" i="31"/>
  <c r="H18" i="31"/>
  <c r="K18" i="31"/>
  <c r="H19" i="31"/>
  <c r="H20" i="31"/>
  <c r="K20" i="31"/>
  <c r="H21" i="31"/>
  <c r="K21" i="31"/>
  <c r="H16" i="28"/>
  <c r="K16" i="28"/>
  <c r="H17" i="28"/>
  <c r="K17" i="28"/>
  <c r="H18" i="28"/>
  <c r="K18" i="28"/>
  <c r="H19" i="28"/>
  <c r="K19" i="28"/>
  <c r="H20" i="28"/>
  <c r="K20" i="28"/>
  <c r="H21" i="28"/>
  <c r="K21" i="28"/>
  <c r="K16" i="27"/>
  <c r="K17" i="27"/>
  <c r="K18" i="27"/>
  <c r="K19" i="27"/>
  <c r="K20" i="27"/>
  <c r="K21" i="27"/>
  <c r="H16" i="26"/>
  <c r="H17" i="26"/>
  <c r="H18" i="26"/>
  <c r="H19" i="26"/>
  <c r="H20" i="26"/>
  <c r="K20" i="26"/>
  <c r="H21" i="26"/>
  <c r="K21" i="26"/>
  <c r="H16" i="19"/>
  <c r="I16" i="19" s="1"/>
  <c r="K16" i="19"/>
  <c r="L16" i="19" s="1"/>
  <c r="H17" i="19"/>
  <c r="I17" i="19" s="1"/>
  <c r="K17" i="19"/>
  <c r="L17" i="19" s="1"/>
  <c r="H18" i="19"/>
  <c r="I18" i="19" s="1"/>
  <c r="K18" i="19"/>
  <c r="L18" i="19" s="1"/>
  <c r="H19" i="19"/>
  <c r="I19" i="19" s="1"/>
  <c r="K19" i="19"/>
  <c r="L19" i="19" s="1"/>
  <c r="H20" i="19"/>
  <c r="I20" i="19" s="1"/>
  <c r="K20" i="19"/>
  <c r="L20" i="19" s="1"/>
  <c r="H21" i="19"/>
  <c r="I21" i="19" s="1"/>
  <c r="K21" i="19"/>
  <c r="L21" i="19" s="1"/>
  <c r="H16" i="4"/>
  <c r="I16" i="4" s="1"/>
  <c r="K16" i="4"/>
  <c r="H17" i="4"/>
  <c r="K17" i="4"/>
  <c r="H18" i="4"/>
  <c r="K18" i="4"/>
  <c r="H19" i="4"/>
  <c r="K19" i="4"/>
  <c r="H20" i="4"/>
  <c r="I20" i="4" s="1"/>
  <c r="K20" i="4"/>
  <c r="H21" i="4"/>
  <c r="K21" i="4"/>
  <c r="G16" i="3"/>
  <c r="H16" i="3" s="1"/>
  <c r="J16" i="3"/>
  <c r="J16" i="1" s="1"/>
  <c r="K16" i="1" s="1"/>
  <c r="K16" i="3"/>
  <c r="G17" i="3"/>
  <c r="H17" i="3" s="1"/>
  <c r="J17" i="3"/>
  <c r="J17" i="1" s="1"/>
  <c r="K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B4" i="31" s="1"/>
  <c r="A4" i="31" a="1"/>
  <c r="A4" i="31" s="1"/>
  <c r="B4" i="19" a="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I6" i="1"/>
  <c r="I7" i="1"/>
  <c r="I8" i="1"/>
  <c r="I9" i="1"/>
  <c r="I10" i="1"/>
  <c r="I11" i="1"/>
  <c r="I12" i="1"/>
  <c r="I13" i="1"/>
  <c r="I14" i="1"/>
  <c r="I15" i="1"/>
  <c r="I5" i="1"/>
  <c r="I4" i="1"/>
  <c r="B4" i="34" a="1"/>
  <c r="B4" i="34" s="1"/>
  <c r="A4" i="34" a="1"/>
  <c r="A4" i="34" s="1"/>
  <c r="A1" i="34" a="1"/>
  <c r="A1" i="34" s="1"/>
  <c r="F15" i="30"/>
  <c r="C15" i="30"/>
  <c r="F14" i="30"/>
  <c r="C14" i="30"/>
  <c r="F13" i="30"/>
  <c r="C13" i="30"/>
  <c r="F12" i="30"/>
  <c r="C12" i="30"/>
  <c r="F11" i="30"/>
  <c r="C11" i="30"/>
  <c r="F10" i="30"/>
  <c r="C10" i="30"/>
  <c r="F9" i="30"/>
  <c r="C9" i="30"/>
  <c r="F8" i="30"/>
  <c r="C8" i="30"/>
  <c r="F7" i="30"/>
  <c r="C7" i="30"/>
  <c r="F6" i="30"/>
  <c r="C6" i="30"/>
  <c r="F5" i="30"/>
  <c r="C5" i="30"/>
  <c r="F4" i="30"/>
  <c r="C4" i="30"/>
  <c r="C5" i="29"/>
  <c r="E5" i="29" s="1"/>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F6" i="1"/>
  <c r="F7" i="1"/>
  <c r="F8" i="1"/>
  <c r="F9" i="1"/>
  <c r="F10" i="1"/>
  <c r="F11" i="1"/>
  <c r="F12" i="1"/>
  <c r="G12" i="1" s="1"/>
  <c r="H12" i="1" s="1"/>
  <c r="F13" i="1"/>
  <c r="F14" i="1"/>
  <c r="G14" i="1" s="1"/>
  <c r="H14" i="1" s="1"/>
  <c r="F15" i="1"/>
  <c r="F5" i="1"/>
  <c r="F4" i="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5" i="31"/>
  <c r="H15" i="31"/>
  <c r="K14" i="31"/>
  <c r="H14" i="31"/>
  <c r="K13" i="31"/>
  <c r="H13" i="31"/>
  <c r="K12" i="31"/>
  <c r="H12" i="31"/>
  <c r="K11" i="31"/>
  <c r="H11" i="31"/>
  <c r="K10" i="31"/>
  <c r="H10" i="31"/>
  <c r="K9" i="31"/>
  <c r="H9" i="31"/>
  <c r="K8" i="31"/>
  <c r="H8" i="31"/>
  <c r="K7" i="31"/>
  <c r="H7" i="31"/>
  <c r="K6" i="31"/>
  <c r="H6" i="31"/>
  <c r="K5" i="31"/>
  <c r="H5" i="31"/>
  <c r="K4" i="31"/>
  <c r="H4" i="31"/>
  <c r="I2" i="31"/>
  <c r="F2" i="31"/>
  <c r="A1" i="31" a="1"/>
  <c r="A1" i="31"/>
  <c r="K15" i="28"/>
  <c r="H15" i="28"/>
  <c r="K14" i="28"/>
  <c r="H14" i="28"/>
  <c r="K13" i="28"/>
  <c r="H13" i="28"/>
  <c r="K12" i="28"/>
  <c r="H12" i="28"/>
  <c r="K11" i="28"/>
  <c r="H11" i="28"/>
  <c r="K10" i="28"/>
  <c r="H10" i="28"/>
  <c r="K9" i="28"/>
  <c r="H9" i="28"/>
  <c r="K8" i="28"/>
  <c r="H8" i="28"/>
  <c r="K7" i="28"/>
  <c r="H7" i="28"/>
  <c r="K6" i="28"/>
  <c r="H6" i="28"/>
  <c r="K5" i="28"/>
  <c r="H5" i="28"/>
  <c r="K4" i="28"/>
  <c r="H4" i="28"/>
  <c r="B4" i="28" a="1"/>
  <c r="B4" i="28" s="1"/>
  <c r="A4" i="28" a="1"/>
  <c r="A4" i="28" s="1"/>
  <c r="J2" i="28"/>
  <c r="K2" i="28" s="1"/>
  <c r="L2" i="28" s="1"/>
  <c r="G2" i="28"/>
  <c r="C2" i="28"/>
  <c r="A1" i="28" a="1"/>
  <c r="A1" i="28"/>
  <c r="K15" i="27"/>
  <c r="K14" i="27"/>
  <c r="K13" i="27"/>
  <c r="K11" i="27"/>
  <c r="K10" i="27"/>
  <c r="K9" i="27"/>
  <c r="K8" i="27"/>
  <c r="K7" i="27"/>
  <c r="K6" i="27"/>
  <c r="K5" i="27"/>
  <c r="K4" i="27"/>
  <c r="I2" i="27"/>
  <c r="C2" i="27"/>
  <c r="A1" i="27" a="1"/>
  <c r="A1" i="27"/>
  <c r="K15" i="26"/>
  <c r="H15" i="26"/>
  <c r="K14" i="26"/>
  <c r="H14" i="26"/>
  <c r="K13" i="26"/>
  <c r="H13" i="26"/>
  <c r="H12" i="26"/>
  <c r="K11" i="26"/>
  <c r="H11" i="26"/>
  <c r="K10" i="26"/>
  <c r="H10" i="26"/>
  <c r="H9" i="26"/>
  <c r="K8" i="26"/>
  <c r="H8" i="26"/>
  <c r="H7" i="26"/>
  <c r="H6" i="26"/>
  <c r="H5" i="26"/>
  <c r="H4" i="26"/>
  <c r="I2" i="26"/>
  <c r="F2" i="26"/>
  <c r="C2" i="26"/>
  <c r="E2" i="26" s="1"/>
  <c r="A1" i="26" a="1"/>
  <c r="A1" i="26"/>
  <c r="K15" i="19"/>
  <c r="L15" i="19" s="1"/>
  <c r="H15" i="19"/>
  <c r="I15" i="19" s="1"/>
  <c r="K14" i="19"/>
  <c r="L14" i="19" s="1"/>
  <c r="H14" i="19"/>
  <c r="I14" i="19" s="1"/>
  <c r="K13" i="19"/>
  <c r="L13" i="19" s="1"/>
  <c r="H13" i="19"/>
  <c r="I13" i="19" s="1"/>
  <c r="K12" i="19"/>
  <c r="L12" i="19" s="1"/>
  <c r="H12" i="19"/>
  <c r="I12" i="19" s="1"/>
  <c r="K11" i="19"/>
  <c r="L11" i="19" s="1"/>
  <c r="H11" i="19"/>
  <c r="I11" i="19" s="1"/>
  <c r="K10" i="19"/>
  <c r="H10" i="19"/>
  <c r="I10" i="19" s="1"/>
  <c r="K9" i="19"/>
  <c r="L9" i="19" s="1"/>
  <c r="H9" i="19"/>
  <c r="I9" i="19" s="1"/>
  <c r="K8" i="19"/>
  <c r="L8" i="19" s="1"/>
  <c r="H8" i="19"/>
  <c r="I8" i="19" s="1"/>
  <c r="K7" i="19"/>
  <c r="L7" i="19" s="1"/>
  <c r="H7" i="19"/>
  <c r="I7" i="19" s="1"/>
  <c r="K6" i="19"/>
  <c r="L6" i="19" s="1"/>
  <c r="H6" i="19"/>
  <c r="I6" i="19" s="1"/>
  <c r="K5" i="19"/>
  <c r="L5" i="19" s="1"/>
  <c r="H5" i="19"/>
  <c r="I5" i="19" s="1"/>
  <c r="L4" i="19"/>
  <c r="I4" i="19"/>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L13" i="4" s="1"/>
  <c r="H13" i="4"/>
  <c r="I13" i="4" s="1"/>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K16" i="26"/>
  <c r="K18" i="26"/>
  <c r="K17" i="26"/>
  <c r="G12" i="18"/>
  <c r="H12" i="18" s="1"/>
  <c r="J18" i="18"/>
  <c r="K18" i="18" s="1"/>
  <c r="J16" i="18"/>
  <c r="K16" i="18" s="1"/>
  <c r="J2" i="31"/>
  <c r="K2" i="31" s="1"/>
  <c r="L2" i="31"/>
  <c r="M2" i="28"/>
  <c r="H2" i="28"/>
  <c r="I2" i="28" s="1"/>
  <c r="J2" i="27"/>
  <c r="K2" i="27" s="1"/>
  <c r="L2" i="27"/>
  <c r="J2" i="26"/>
  <c r="K2" i="26"/>
  <c r="L2" i="26"/>
  <c r="M2" i="19"/>
  <c r="K20" i="72"/>
  <c r="K18" i="72"/>
  <c r="K19" i="72"/>
  <c r="K17" i="72"/>
  <c r="K9" i="26"/>
  <c r="K12" i="26"/>
  <c r="K7" i="26"/>
  <c r="J7" i="18"/>
  <c r="J6" i="34"/>
  <c r="H4" i="29"/>
  <c r="J10" i="1"/>
  <c r="K10" i="1" s="1"/>
  <c r="J6" i="1"/>
  <c r="G2" i="31"/>
  <c r="H2" i="31" s="1"/>
  <c r="G2" i="26"/>
  <c r="H2" i="26" s="1"/>
  <c r="J2" i="72"/>
  <c r="K2" i="72" s="1"/>
  <c r="G2" i="72"/>
  <c r="H2" i="72"/>
  <c r="B4" i="26" l="1"/>
  <c r="G5" i="29"/>
  <c r="H5" i="29" s="1"/>
  <c r="E4" i="29"/>
  <c r="D2" i="29"/>
  <c r="J8" i="18"/>
  <c r="J9" i="18"/>
  <c r="J6" i="18"/>
  <c r="B4" i="19"/>
  <c r="J10" i="18"/>
  <c r="L10" i="19"/>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J15" i="34"/>
  <c r="J10" i="34"/>
  <c r="J9" i="34"/>
  <c r="E10" i="1"/>
  <c r="E5" i="1"/>
  <c r="E4" i="1"/>
  <c r="G15" i="1"/>
  <c r="H15" i="1" s="1"/>
  <c r="K15" i="3"/>
  <c r="G13" i="1"/>
  <c r="H13" i="1" s="1"/>
  <c r="K9" i="3"/>
  <c r="G20" i="1"/>
  <c r="H20" i="1" s="1"/>
  <c r="G17" i="1"/>
  <c r="H17" i="1" s="1"/>
  <c r="J15" i="1"/>
  <c r="J14" i="1"/>
  <c r="K14" i="1" s="1"/>
  <c r="J14" i="34"/>
  <c r="J8" i="34"/>
  <c r="K6" i="1"/>
  <c r="J5" i="1"/>
  <c r="K5" i="1"/>
  <c r="J5" i="34"/>
  <c r="G4" i="1"/>
  <c r="H4" i="1" s="1"/>
  <c r="E9" i="1"/>
  <c r="G7" i="1"/>
  <c r="H7" i="1" s="1"/>
  <c r="G18" i="1"/>
  <c r="H18" i="1" s="1"/>
  <c r="E2" i="3"/>
  <c r="E18" i="1"/>
  <c r="G5" i="1"/>
  <c r="H5" i="1" s="1"/>
  <c r="E6" i="1"/>
  <c r="J18" i="1"/>
  <c r="K18" i="1" s="1"/>
  <c r="J21" i="34"/>
  <c r="E14" i="1"/>
  <c r="E17" i="1"/>
  <c r="J21" i="1"/>
  <c r="G6" i="1"/>
  <c r="H6" i="1" s="1"/>
  <c r="E15" i="1"/>
  <c r="J22" i="1"/>
  <c r="J18" i="34"/>
  <c r="J17" i="34"/>
  <c r="J4" i="1"/>
  <c r="K4" i="1" s="1"/>
  <c r="G2" i="3"/>
  <c r="H2" i="3" s="1"/>
  <c r="K22" i="3"/>
  <c r="J2" i="3"/>
  <c r="K2" i="3" s="1"/>
  <c r="J22" i="34"/>
  <c r="D2" i="30"/>
  <c r="C2" i="29"/>
  <c r="E2" i="29" s="1"/>
  <c r="F2" i="18"/>
  <c r="D2" i="18"/>
  <c r="G6" i="18"/>
  <c r="H6" i="18" s="1"/>
  <c r="E17" i="18"/>
  <c r="E18" i="18"/>
  <c r="G7" i="18"/>
  <c r="H7" i="18" s="1"/>
  <c r="E19" i="18"/>
  <c r="E20" i="1"/>
  <c r="E11" i="1"/>
  <c r="E19" i="1"/>
  <c r="E12" i="1"/>
  <c r="E13" i="1"/>
  <c r="E21" i="1"/>
  <c r="D2" i="1"/>
  <c r="G19" i="1"/>
  <c r="H19" i="1" s="1"/>
  <c r="C9" i="34"/>
  <c r="E9" i="34" s="1"/>
  <c r="C13" i="34"/>
  <c r="E13" i="34" s="1"/>
  <c r="C20" i="34"/>
  <c r="G10" i="1"/>
  <c r="H10" i="1" s="1"/>
  <c r="E22" i="1"/>
  <c r="C22" i="34"/>
  <c r="F2" i="1"/>
  <c r="G4" i="18"/>
  <c r="H4" i="18" s="1"/>
  <c r="I17" i="34"/>
  <c r="K8" i="18"/>
  <c r="J19" i="34"/>
  <c r="F17" i="34"/>
  <c r="F22" i="34"/>
  <c r="F20" i="34"/>
  <c r="J8" i="1"/>
  <c r="K8" i="1" s="1"/>
  <c r="K15" i="1"/>
  <c r="G10" i="18"/>
  <c r="H10" i="18" s="1"/>
  <c r="G14" i="18"/>
  <c r="H14" i="18" s="1"/>
  <c r="F19" i="34"/>
  <c r="J22" i="18"/>
  <c r="K22" i="18" s="1"/>
  <c r="F5" i="34"/>
  <c r="J16" i="34"/>
  <c r="K16" i="72"/>
  <c r="K4" i="20"/>
  <c r="K12" i="27"/>
  <c r="C6" i="34"/>
  <c r="F9" i="34"/>
  <c r="F13" i="34"/>
  <c r="J13" i="1"/>
  <c r="K13" i="1" s="1"/>
  <c r="J13" i="34"/>
  <c r="J11" i="34"/>
  <c r="J11" i="1"/>
  <c r="K11" i="1" s="1"/>
  <c r="J9" i="1"/>
  <c r="K9" i="1" s="1"/>
  <c r="J7" i="1"/>
  <c r="K7" i="1" s="1"/>
  <c r="J7" i="34"/>
  <c r="J20" i="1"/>
  <c r="K20" i="1" s="1"/>
  <c r="C2" i="1"/>
  <c r="G8" i="1"/>
  <c r="H8" i="1" s="1"/>
  <c r="C2" i="18"/>
  <c r="F6" i="34"/>
  <c r="C10" i="34"/>
  <c r="C14" i="34"/>
  <c r="E14" i="34" s="1"/>
  <c r="I2" i="1"/>
  <c r="K19" i="26"/>
  <c r="J19" i="1"/>
  <c r="K19" i="1" s="1"/>
  <c r="J13" i="18"/>
  <c r="K13" i="18" s="1"/>
  <c r="J20" i="34"/>
  <c r="I15" i="34"/>
  <c r="K15" i="34" s="1"/>
  <c r="J19" i="18"/>
  <c r="K19" i="18" s="1"/>
  <c r="J17" i="18"/>
  <c r="K17" i="18" s="1"/>
  <c r="K17" i="21"/>
  <c r="I19" i="34"/>
  <c r="J12" i="1"/>
  <c r="K12" i="1" s="1"/>
  <c r="J12" i="34"/>
  <c r="J21" i="18"/>
  <c r="K21" i="18" s="1"/>
  <c r="K21" i="21"/>
  <c r="K6" i="26"/>
  <c r="G2" i="20"/>
  <c r="H2" i="20" s="1"/>
  <c r="L2" i="20"/>
  <c r="J2" i="20"/>
  <c r="K2" i="20" s="1"/>
  <c r="J12" i="18"/>
  <c r="K12" i="18" s="1"/>
  <c r="H21" i="33"/>
  <c r="G21" i="1"/>
  <c r="H21" i="1" s="1"/>
  <c r="F2" i="29"/>
  <c r="G2" i="29" s="1"/>
  <c r="H2" i="29" s="1"/>
  <c r="G22" i="30"/>
  <c r="H22" i="30" s="1"/>
  <c r="F10" i="34"/>
  <c r="F14" i="34"/>
  <c r="I20" i="34"/>
  <c r="J22" i="30"/>
  <c r="C7" i="34"/>
  <c r="E7" i="34" s="1"/>
  <c r="C11" i="34"/>
  <c r="E11" i="34" s="1"/>
  <c r="I16" i="34"/>
  <c r="C19" i="34"/>
  <c r="E19" i="34" s="1"/>
  <c r="F16" i="34"/>
  <c r="E2" i="32"/>
  <c r="M2" i="4"/>
  <c r="I13" i="34"/>
  <c r="C4" i="34"/>
  <c r="E4" i="34" s="1"/>
  <c r="F7" i="34"/>
  <c r="F11" i="34"/>
  <c r="F15" i="34"/>
  <c r="G20" i="30"/>
  <c r="H20" i="30" s="1"/>
  <c r="F21" i="34"/>
  <c r="C16" i="34"/>
  <c r="E16" i="34" s="1"/>
  <c r="C12" i="34"/>
  <c r="C21" i="34"/>
  <c r="E21" i="34" s="1"/>
  <c r="F18" i="34"/>
  <c r="C17" i="34"/>
  <c r="E17" i="34" s="1"/>
  <c r="K2" i="4"/>
  <c r="L2" i="4" s="1"/>
  <c r="I14" i="34"/>
  <c r="C5" i="34"/>
  <c r="E5" i="34" s="1"/>
  <c r="F8" i="34"/>
  <c r="F12" i="34"/>
  <c r="E2" i="33"/>
  <c r="G10" i="30"/>
  <c r="H10" i="30" s="1"/>
  <c r="G19" i="30"/>
  <c r="H19" i="30" s="1"/>
  <c r="K17" i="33"/>
  <c r="H22" i="33"/>
  <c r="K15" i="33"/>
  <c r="I22" i="30"/>
  <c r="I22" i="34" s="1"/>
  <c r="K22" i="34" s="1"/>
  <c r="K22" i="33"/>
  <c r="K20" i="33"/>
  <c r="I18" i="30"/>
  <c r="I18" i="34" s="1"/>
  <c r="G17" i="30"/>
  <c r="H17" i="30" s="1"/>
  <c r="J12" i="30"/>
  <c r="I8" i="30"/>
  <c r="I8" i="34" s="1"/>
  <c r="J10" i="30"/>
  <c r="J14" i="30"/>
  <c r="K14" i="30" s="1"/>
  <c r="G8" i="30"/>
  <c r="H8" i="30" s="1"/>
  <c r="K16" i="33"/>
  <c r="J7" i="30"/>
  <c r="C8" i="34"/>
  <c r="E8" i="34" s="1"/>
  <c r="G6" i="30"/>
  <c r="H6" i="30" s="1"/>
  <c r="I7" i="30"/>
  <c r="I7" i="34" s="1"/>
  <c r="I9" i="30"/>
  <c r="I9" i="34" s="1"/>
  <c r="K9" i="34" s="1"/>
  <c r="H21" i="30"/>
  <c r="I4" i="30"/>
  <c r="I4" i="34" s="1"/>
  <c r="I21" i="30"/>
  <c r="I21" i="34" s="1"/>
  <c r="K14" i="33"/>
  <c r="J2" i="33"/>
  <c r="K2" i="33" s="1"/>
  <c r="G15" i="30"/>
  <c r="H15" i="30" s="1"/>
  <c r="K19" i="33"/>
  <c r="G18" i="30"/>
  <c r="H18" i="30" s="1"/>
  <c r="I5" i="30"/>
  <c r="I12" i="30"/>
  <c r="J6" i="30"/>
  <c r="G9" i="30"/>
  <c r="H9" i="30" s="1"/>
  <c r="G14" i="30"/>
  <c r="H14" i="30" s="1"/>
  <c r="I11" i="30"/>
  <c r="J15" i="30"/>
  <c r="K15" i="30" s="1"/>
  <c r="I10" i="30"/>
  <c r="I10" i="34" s="1"/>
  <c r="K10" i="34" s="1"/>
  <c r="J21" i="30"/>
  <c r="J4" i="30"/>
  <c r="G16" i="30"/>
  <c r="H16" i="30" s="1"/>
  <c r="C18" i="34"/>
  <c r="B4" i="33"/>
  <c r="I6" i="30"/>
  <c r="I6" i="34" s="1"/>
  <c r="K6" i="34" s="1"/>
  <c r="J9" i="30"/>
  <c r="G2" i="33"/>
  <c r="H2" i="33" s="1"/>
  <c r="K13" i="33"/>
  <c r="G13" i="30"/>
  <c r="H13" i="30" s="1"/>
  <c r="C15" i="34"/>
  <c r="E15" i="34" s="1"/>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E22" i="34" l="1"/>
  <c r="D2" i="34"/>
  <c r="E18" i="34"/>
  <c r="E10" i="34"/>
  <c r="E6" i="34"/>
  <c r="G9" i="34"/>
  <c r="H9" i="34" s="1"/>
  <c r="E12" i="34"/>
  <c r="K8" i="34"/>
  <c r="K14" i="34"/>
  <c r="K18" i="34"/>
  <c r="K17" i="34"/>
  <c r="K21" i="34"/>
  <c r="G13" i="34"/>
  <c r="H13" i="34" s="1"/>
  <c r="G6" i="34"/>
  <c r="H6" i="34" s="1"/>
  <c r="G20" i="34"/>
  <c r="H20" i="34" s="1"/>
  <c r="E20" i="34"/>
  <c r="E2" i="30"/>
  <c r="K7" i="34"/>
  <c r="G7" i="34"/>
  <c r="H7" i="34" s="1"/>
  <c r="E2" i="18"/>
  <c r="G17" i="34"/>
  <c r="H17" i="34" s="1"/>
  <c r="G11" i="34"/>
  <c r="H11" i="34" s="1"/>
  <c r="G22" i="34"/>
  <c r="H22" i="34" s="1"/>
  <c r="G16" i="34"/>
  <c r="H16" i="34" s="1"/>
  <c r="G19" i="34"/>
  <c r="H19" i="34" s="1"/>
  <c r="I2" i="18"/>
  <c r="J2" i="18" s="1"/>
  <c r="K2" i="18" s="1"/>
  <c r="E2" i="1"/>
  <c r="G21" i="34"/>
  <c r="H21" i="34" s="1"/>
  <c r="K19" i="34"/>
  <c r="G18" i="34"/>
  <c r="H18" i="34" s="1"/>
  <c r="G5" i="34"/>
  <c r="H5" i="34" s="1"/>
  <c r="G8" i="34"/>
  <c r="H8" i="34" s="1"/>
  <c r="I2" i="29"/>
  <c r="J2" i="29" s="1"/>
  <c r="K2" i="29" s="1"/>
  <c r="G10" i="34"/>
  <c r="H10" i="34" s="1"/>
  <c r="K13" i="34"/>
  <c r="I11" i="34"/>
  <c r="K11" i="34" s="1"/>
  <c r="K16" i="34"/>
  <c r="G14" i="34"/>
  <c r="H14" i="34" s="1"/>
  <c r="J2" i="1"/>
  <c r="K2" i="1" s="1"/>
  <c r="G2" i="1"/>
  <c r="H2" i="1" s="1"/>
  <c r="G15" i="34"/>
  <c r="H15" i="34" s="1"/>
  <c r="G12" i="34"/>
  <c r="H12" i="34" s="1"/>
  <c r="I12" i="34"/>
  <c r="K12" i="34" s="1"/>
  <c r="K20" i="34"/>
  <c r="G2" i="18"/>
  <c r="H2" i="18" s="1"/>
  <c r="K18" i="30"/>
  <c r="K10" i="30"/>
  <c r="K8" i="30"/>
  <c r="K22" i="30"/>
  <c r="K21" i="30"/>
  <c r="K11" i="30"/>
  <c r="K9" i="30"/>
  <c r="K7" i="30"/>
  <c r="K4" i="30"/>
  <c r="C2" i="34"/>
  <c r="E2" i="34" s="1"/>
  <c r="K5" i="30"/>
  <c r="I5" i="34"/>
  <c r="I2" i="30"/>
  <c r="J2" i="30" s="1"/>
  <c r="K2" i="30" s="1"/>
  <c r="K12" i="30"/>
  <c r="K6" i="30"/>
  <c r="G2" i="30"/>
  <c r="H2" i="30" s="1"/>
  <c r="G4" i="34"/>
  <c r="H4" i="34" s="1"/>
  <c r="F2" i="34"/>
  <c r="G2" i="34" l="1"/>
  <c r="H2" i="34" s="1"/>
  <c r="K5" i="34"/>
  <c r="I2" i="34"/>
  <c r="J2" i="34" s="1"/>
  <c r="K2" i="34" s="1"/>
  <c r="H4" i="21"/>
  <c r="H5" i="21"/>
  <c r="J4" i="18"/>
  <c r="K4" i="21"/>
  <c r="H6" i="21"/>
  <c r="K4" i="18" l="1"/>
  <c r="K4" i="26"/>
  <c r="K4" i="29"/>
  <c r="J4" i="34"/>
  <c r="K4" i="34"/>
  <c r="K5" i="26"/>
  <c r="K5"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<sst xmlns="http://schemas.openxmlformats.org/spreadsheetml/2006/main" count="551" uniqueCount="291">
  <si>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</si>
  <si>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</si>
  <si>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</si>
  <si>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</si>
  <si>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</si>
  <si>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</si>
  <si>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</si>
  <si>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</si>
  <si>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</si>
  <si>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</si>
  <si>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</si>
  <si>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</si>
  <si>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</si>
  <si>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</si>
  <si>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</si>
  <si>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</si>
  <si>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</si>
  <si>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</si>
  <si>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</si>
  <si>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</si>
  <si>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</si>
  <si>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</si>
  <si>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</si>
  <si>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</si>
  <si>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</si>
  <si>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</si>
  <si>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</si>
  <si>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</si>
  <si>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</si>
  <si>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</si>
  <si>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</si>
  <si>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</si>
  <si>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</si>
  <si>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</si>
  <si>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</si>
  <si>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</si>
  <si>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</si>
  <si>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</si>
  <si>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</si>
  <si>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</si>
  <si>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</si>
  <si>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</si>
  <si>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</si>
  <si>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</si>
  <si>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</si>
  <si>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</si>
  <si>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</si>
  <si>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</si>
  <si>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</si>
  <si>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</si>
  <si>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</si>
  <si>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</si>
  <si>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</si>
  <si>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</si>
  <si>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</si>
  <si>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</si>
  <si>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</si>
  <si>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</si>
  <si>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</si>
  <si>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</si>
  <si>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</si>
  <si>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</si>
  <si>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</si>
  <si>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</si>
  <si>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</si>
  <si>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</si>
  <si>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</si>
  <si>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</si>
  <si>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</si>
  <si>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</si>
  <si>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</si>
  <si>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</si>
  <si>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</si>
  <si>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</si>
  <si>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</si>
  <si>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</si>
  <si>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</si>
  <si>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</si>
  <si>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</si>
  <si>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</si>
  <si>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</si>
  <si>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</si>
  <si>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</si>
  <si>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</si>
  <si>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</si>
  <si>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</si>
  <si>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</si>
  <si>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</si>
  <si>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</si>
  <si>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</si>
  <si>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</si>
  <si>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</si>
  <si>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</si>
  <si>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</si>
  <si>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</si>
  <si>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</si>
  <si>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</si>
  <si>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</si>
  <si>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</si>
  <si>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</si>
  <si>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</si>
  <si>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</si>
  <si>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</si>
  <si>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</si>
  <si>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</si>
  <si>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</si>
  <si>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</si>
  <si>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</si>
  <si>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</si>
  <si>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</si>
  <si>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</si>
  <si>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family val="2"/>
      </rPr>
      <t xml:space="preserve">1. Weather station has been reporting erroneous values since 04/07 at 13:45, with continuous fluctuations on the graph indicating inconsistent readings throughout the day.
</t>
    </r>
    <r>
      <rPr>
        <b/>
        <sz val="11"/>
        <color rgb="FF000000"/>
        <rFont val="Calibri"/>
        <family val="2"/>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</si>
  <si>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</si>
  <si>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</si>
  <si>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</si>
  <si>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</si>
  <si>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</si>
  <si>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</si>
  <si>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</si>
  <si>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</si>
  <si>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</si>
  <si>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</si>
  <si>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</si>
  <si>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</si>
  <si>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</si>
  <si>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</si>
  <si>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</si>
  <si>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</si>
  <si>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</si>
  <si>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</si>
  <si>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</si>
  <si>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</si>
  <si>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</si>
  <si>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</si>
  <si>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</si>
  <si>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</si>
  <si>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</si>
  <si>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</si>
  <si>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</si>
  <si>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</si>
  <si>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</si>
  <si>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</si>
  <si>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</si>
  <si>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</si>
  <si>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</si>
  <si>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</si>
  <si>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</si>
  <si>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</si>
  <si>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</si>
  <si>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</si>
  <si>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</si>
  <si>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</si>
  <si>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</si>
  <si>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</si>
  <si>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</si>
  <si>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</si>
  <si>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</si>
  <si>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</si>
  <si>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</si>
  <si>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</si>
  <si>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</si>
  <si>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</si>
  <si>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</si>
  <si>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</si>
  <si>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</si>
  <si>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</si>
  <si>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</si>
  <si>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</si>
  <si>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</si>
  <si>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</si>
  <si>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</si>
  <si>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</si>
  <si>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</si>
  <si>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</si>
  <si>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1.SR0099434</t>
  </si>
  <si>
    <t>1. Inverter 3 tripped offline at 21:05 on 06/30 and reporting an arc protection.</t>
  </si>
  <si>
    <t>1. SR103832</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</si>
  <si>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 and pending CT replacement.</t>
  </si>
  <si>
    <t>1. SR099861</t>
  </si>
  <si>
    <t xml:space="preserve">1.Inverter 4 has a history of multiple trip events. On 05/07, a technician visited the site, performed troubleshooting on Inverter 4, and initiated an RMA request for replacement. on 06/23, technician replaced the inverter 4 now it's producting as expected. </t>
  </si>
  <si>
    <t>1. 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</si>
  <si>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Flex Gateway to install at the site is pending replacement.
2.weather station was reading inaccurately.On 05/20 ,technician checked into site site and confirmed that the weather station sensor was determined to be faulty and new one is needed.confirmed with ROC the need for replacement device like CT's.</t>
  </si>
  <si>
    <t>1. SR099433
2. SR100933</t>
  </si>
  <si>
    <t xml:space="preserve">1. 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</si>
  <si>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 SR099231,SR099339</t>
  </si>
  <si>
    <t>1. Inverter 1-1 tripped offline at 15:55 on 05/31 and reporting "Grid line voltage out of range" and back online at 16:25 on 06/03.
2. Inverter 3.4 tripped offline at 16:00 on 06/18 due to a 'Grid line voltage out of range' error. On 06/26, a technician inspected the system, reset the Inverter 3.4 breaker, and re-energized the inverter. It's back online at 12:50 on 06/26.</t>
  </si>
  <si>
    <t>1. SR102225
2. SR103154</t>
  </si>
  <si>
    <t>SR103154</t>
  </si>
  <si>
    <t>1. Inverter 5.4 has been offline since 02/22, reporting an 'ARC Protection' 
fault. Replacement parts are pending.
2.Inverter 1.3 has been underperforming by approximately 10 kW compared to its peers since 03/25, possibly due to a string being offline because of an isolated module pending replacement.
3. Inverter 1.1 tripped offline at 17:15 on 06/28 and reporting "Inverter hardware over current". later, self resolved and back online at 17:45 on 06/28.</t>
  </si>
  <si>
    <t>1. SR097653
2. SR098986
3. SR103688</t>
  </si>
  <si>
    <t>SR103688</t>
  </si>
  <si>
    <t>1.The meter's phase B CT is 25 amps lower than the phase A and C CTs. There is a 3% variance between the meter and total inverter power. On 04/03, After the technician arrived, it was confirmed that the meter's CTs need to be replaced. Pending to replace the meter's CTs.</t>
  </si>
  <si>
    <t>1.SR098874,SR101694,
SR101694</t>
  </si>
  <si>
    <t>1. Inverter 1 was underperforming by approximately 3 kW and operating in 
independent mode. and need to replace Flex gateway is pendiging to install.</t>
  </si>
  <si>
    <t>1. SR099435</t>
  </si>
  <si>
    <t>1.Meter 2 Phase A current is approximately 65 amps lower than the Phase B and C currents, resulting in an 18% variance between total inverter power and meter power. This issue requires further troubleshooting. Additionally, multiple inverters are reporting lower-than-expected production, possibly due to incorrect system drawings or the need for a firmware update. This also requires further investigation.</t>
  </si>
  <si>
    <t>1. SR100428</t>
  </si>
  <si>
    <t>1. The site tripped offline at 13:45 on 05/26. On 05/28, a technician visited the site and determined that the disconnect needed to be replaced. Later, on 06/18, after resetting the site, it was brought back online at 13:00 on 06/18.
2. Weather station is heavily shaded until around 10am each morning.On 05/22 technician checked into site and mentioned it Requires further troubleshooting.</t>
  </si>
  <si>
    <t>1. SR101695
2. SR099704</t>
  </si>
  <si>
    <t>SR099704</t>
  </si>
  <si>
    <t xml:space="preserve">1. Reference Cell 4 stopped communicating on 05/27. On 05/29, a technician visited the site and found that Meter 1 had sustained thermal damage. The breaker and feeders connected to the meter were burnt and require replacement. Additional work is needed due to ongoing construction repairs on the cabinet and feeders.
</t>
  </si>
  <si>
    <t>1. SR102064</t>
  </si>
  <si>
    <t>July Actual v. Expected</t>
  </si>
  <si>
    <t>July Actual v. Forecasted</t>
  </si>
  <si>
    <t xml:space="preserve">1. The weather station has been reporting erroneous values. Its graph shows continuous fluctuations throughout the day, indicating inconsistent readings. Scheduled to be investigate on 08/20.
</t>
  </si>
  <si>
    <t>1. SR099622</t>
  </si>
  <si>
    <t xml:space="preserve">1. Inverter 1.4 has shading from morning to afternoon. Inverter 1.2, 2.1  has shading from afternoon to evening.  </t>
  </si>
  <si>
    <t>1. Inverter 6 was offline from 06/20 and inverter 3 was offline from 06/30. Both inverters are back online on 07/14.</t>
  </si>
  <si>
    <t>1. SR103832, SR104264</t>
  </si>
  <si>
    <t>SR104264</t>
  </si>
  <si>
    <t xml:space="preserve">1. The weather station has been reporting erroneous values  from 04/07. Its graph shows continuous fluctuations throughout the day, indicating inconsistent readings.Scheduled to be investigate on 08/06.
</t>
  </si>
  <si>
    <t>1. All inverters experiencing shading issue during evening hours.</t>
  </si>
  <si>
    <t>1. SR105795</t>
  </si>
  <si>
    <t>1. Weather station reporting inaccurate values. On 07/24 technician replaced  irradiance sensor and started operating correctly.
2. Inverters 5 and 14 are underperforming by 3 kW. On 07/24  Inv 14 replaced LCD board and bus bar, producing in line with peers.  Need to replace inv 5 powerhead.</t>
  </si>
  <si>
    <t>1. SR100933
2. SR099433, SR104106, SR105254</t>
  </si>
  <si>
    <t>SR099433</t>
  </si>
  <si>
    <t>SR104106</t>
  </si>
  <si>
    <t>SR105254</t>
  </si>
  <si>
    <t>1. Inverters 12, 15, and 17 tripped offline on GFCI faults on 07/22 and self-resolved on 07/23.</t>
  </si>
  <si>
    <t>1. SR104774</t>
  </si>
  <si>
    <t>1. Inverter 3.4 was tripped offline on 07/27 at 16:50 and remained offline for end of the month.
2. Inverter 3.3 started late on 07/09 at 10:45 and on 07/24 at 10:50</t>
  </si>
  <si>
    <t>1. SR105142
2. SR104189</t>
  </si>
  <si>
    <t>SR104189</t>
  </si>
  <si>
    <t>1. Inverter 4.3 was offline from 13:45 to 20:00 on 07/26.</t>
  </si>
  <si>
    <t>1. The meter's phase B CT is 25 amps lower than the phase A and C CTs. There is a 3% variance between the meter and total inverter power. The CT's were replaced and meter started reporting as excepected since 07/28. Site was taken offline on 07/28 from 12:00 to 13:45 to replace CT on meter</t>
  </si>
  <si>
    <t>1. SR101694</t>
  </si>
  <si>
    <t>1. Inverter 1 is underperforming by 3 kW and is independent mode. Will be investigate in next month.</t>
  </si>
  <si>
    <t>1. SR104095, SR099435</t>
  </si>
  <si>
    <t>1.  Inverters 3 and 4 are experiencing shading from morning to midday, while Inverter 1 is experiencing shading from midday to evening.</t>
  </si>
  <si>
    <t>1. Inverters 13,18,19 are underperforming by 3kW during high irradiance days. Issue was self-resolved by 07/31.
2. Meter 2 Phase A current is approximately 65 amps lower than the Phase B and C currents, resulting in an 18% variance between total inverter power and meter power. Waiting for parts.</t>
  </si>
  <si>
    <t>1. SR104704
2. SR100428</t>
  </si>
  <si>
    <t>1. Weather station is heavily shaded until around 10am each morning.</t>
  </si>
  <si>
    <t>1. SR099704</t>
  </si>
  <si>
    <t>1. Meter 1  had sustained thermal damage. The breaker and feeders connected to the meter were burnt and require replacement. Ameresco construction repairs were ongoing.</t>
  </si>
  <si>
    <t>August Actual v. Expected</t>
  </si>
  <si>
    <t>August Actual v. Forecasted</t>
  </si>
  <si>
    <t>Q3 Production Vs PPA</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</si>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</sst>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3">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
      <b/>
      <sz val="11"/>
      <color rgb="FF000000"/>
      <name val="Calibri"/>
      <family val="2"/>
    </font>
    <font>
      <sz val="11"/>
      <color rgb="FF000000"/>
      <name val="Calibri"/>
    </font>
    <font>
      <b/>
      <sz val="11"/>
      <color rgb="FF000000"/>
      <name val="Calibri"/>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38">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49" fontId="41" fillId="38" borderId="0" xfId="2" applyNumberFormat="1" applyFont="1" applyFill="1" applyBorder="1" applyAlignment="1">
      <alignment horizontal="left" vertical="top" wrapText="1"/>
    </xf>
    <xf numFmtId="165" fontId="28" fillId="47" borderId="0" xfId="1" applyNumberFormat="1" applyFont="1" applyFill="1" applyBorder="1" applyAlignment="1">
      <alignment horizontal="center" vertical="center" wrapText="1"/>
    </xf>
    <xf numFmtId="9" fontId="25" fillId="36" borderId="12" xfId="2" applyFont="1" applyFill="1" applyBorder="1" applyAlignment="1">
      <alignment horizontal="center" vertical="center" wrapText="1"/>
    </xf>
    <xf numFmtId="0" fontId="0" fillId="0" borderId="0" xfId="0"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8986" TargetMode="External"/><Relationship Id="rId18" Type="http://schemas.openxmlformats.org/officeDocument/2006/relationships/hyperlink" Target="https://us3.assetplanner.com/service_request?ID=099435" TargetMode="External"/><Relationship Id="rId3" Type="http://schemas.openxmlformats.org/officeDocument/2006/relationships/hyperlink" Target="https://us3.assetplanner.com/service_request?ID=103832" TargetMode="External"/><Relationship Id="rId21" Type="http://schemas.openxmlformats.org/officeDocument/2006/relationships/hyperlink" Target="https://us3.assetplanner.com/service_request?ID=099704" TargetMode="External"/><Relationship Id="rId7" Type="http://schemas.openxmlformats.org/officeDocument/2006/relationships/hyperlink" Target="https://us3.assetplanner.com/service_request?ID=100933"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101694" TargetMode="External"/><Relationship Id="rId2" Type="http://schemas.openxmlformats.org/officeDocument/2006/relationships/hyperlink" Target="https://us3.assetplanner.com/service_request?ID=009943" TargetMode="External"/><Relationship Id="rId16" Type="http://schemas.openxmlformats.org/officeDocument/2006/relationships/hyperlink" Target="https://us3.assetplanner.com/service_request?ID=101694"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099433" TargetMode="External"/><Relationship Id="rId11" Type="http://schemas.openxmlformats.org/officeDocument/2006/relationships/hyperlink" Target="https://us3.assetplanner.com/service_request?ID=103154" TargetMode="External"/><Relationship Id="rId5" Type="http://schemas.openxmlformats.org/officeDocument/2006/relationships/hyperlink" Target="https://us3.assetplanner.com/service_request?ID=098674" TargetMode="External"/><Relationship Id="rId15" Type="http://schemas.openxmlformats.org/officeDocument/2006/relationships/hyperlink" Target="https://us3.assetplanner.com/service_request?ID=098874" TargetMode="External"/><Relationship Id="rId10" Type="http://schemas.openxmlformats.org/officeDocument/2006/relationships/hyperlink" Target="https://us3.assetplanner.com/service_request?ID=102225" TargetMode="External"/><Relationship Id="rId19" Type="http://schemas.openxmlformats.org/officeDocument/2006/relationships/hyperlink" Target="https://us3.assetplanner.com/service_request?ID=100428"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3688" TargetMode="External"/><Relationship Id="rId22" Type="http://schemas.openxmlformats.org/officeDocument/2006/relationships/hyperlink" Target="https://us3.assetplanner.com/service_request?ID=10206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106" TargetMode="External"/><Relationship Id="rId13" Type="http://schemas.openxmlformats.org/officeDocument/2006/relationships/hyperlink" Target="https://us3.assetplanner.com/service_request?ID=101694"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4264" TargetMode="External"/><Relationship Id="rId7" Type="http://schemas.openxmlformats.org/officeDocument/2006/relationships/hyperlink" Target="https://us3.assetplanner.com/service_request?ID=099433" TargetMode="External"/><Relationship Id="rId12" Type="http://schemas.openxmlformats.org/officeDocument/2006/relationships/hyperlink" Target="https://us3.assetplanner.com/service_request?ID=104189" TargetMode="External"/><Relationship Id="rId17" Type="http://schemas.openxmlformats.org/officeDocument/2006/relationships/hyperlink" Target="https://us3.assetplanner.com/service_request?ID=104704" TargetMode="External"/><Relationship Id="rId2" Type="http://schemas.openxmlformats.org/officeDocument/2006/relationships/hyperlink" Target="https://us3.assetplanner.com/service_request?ID=103832" TargetMode="External"/><Relationship Id="rId16" Type="http://schemas.openxmlformats.org/officeDocument/2006/relationships/hyperlink" Target="https://us3.assetplanner.com/service_request?ID=101090" TargetMode="External"/><Relationship Id="rId20" Type="http://schemas.openxmlformats.org/officeDocument/2006/relationships/hyperlink" Target="https://us3.assetplanner.com/service_request?ID=102064"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5142" TargetMode="External"/><Relationship Id="rId5" Type="http://schemas.openxmlformats.org/officeDocument/2006/relationships/hyperlink" Target="https://us3.assetplanner.com/service_request?ID=105795" TargetMode="External"/><Relationship Id="rId15" Type="http://schemas.openxmlformats.org/officeDocument/2006/relationships/hyperlink" Target="https://us3.assetplanner.com/service_request?ID=099435" TargetMode="External"/><Relationship Id="rId10" Type="http://schemas.openxmlformats.org/officeDocument/2006/relationships/hyperlink" Target="https://us3.assetplanner.com/service_request?ID=104774" TargetMode="External"/><Relationship Id="rId19" Type="http://schemas.openxmlformats.org/officeDocument/2006/relationships/hyperlink" Target="https://us3.assetplanner.com/service_request?ID=099704"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105254" TargetMode="External"/><Relationship Id="rId14" Type="http://schemas.openxmlformats.org/officeDocument/2006/relationships/hyperlink" Target="https://us3.assetplanner.com/service_request?ID=10409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ySplit="2" topLeftCell="A3" activePane="bottomLeft" state="frozen"/>
      <selection pane="bottomLeft" activeCell="E25" sqref="E25"/>
    </sheetView>
  </sheetViews>
  <sheetFormatPr defaultRowHeight="12.6"/>
  <cols>
    <col min="1" max="1" width="39"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32" t="str" cm="1">
        <f t="array" ref="A1">portfolio</f>
        <v>CITI</v>
      </c>
      <c r="B1" s="132"/>
      <c r="C1" s="132"/>
      <c r="D1" s="76" t="s">
        <v>0</v>
      </c>
      <c r="E1" s="76" t="s">
        <v>1</v>
      </c>
      <c r="F1" s="133" t="s">
        <v>2</v>
      </c>
      <c r="G1" s="133"/>
      <c r="H1" s="133"/>
      <c r="I1" s="131" t="s">
        <v>3</v>
      </c>
      <c r="J1" s="131"/>
      <c r="K1" s="131"/>
    </row>
    <row r="2" spans="1:11" ht="19.5" customHeight="1">
      <c r="A2" s="134" t="s">
        <v>4</v>
      </c>
      <c r="B2" s="134"/>
      <c r="C2" s="6">
        <f>SUM(C4:C100)</f>
        <v>15035729.52</v>
      </c>
      <c r="D2" s="6">
        <f>SUM(D4:D22)</f>
        <v>14901835.689999999</v>
      </c>
      <c r="E2" s="7">
        <f>C2/D2</f>
        <v>1.0089850561223037</v>
      </c>
      <c r="F2" s="6">
        <f>SUM(F4:F100)</f>
        <v>14336170.369000001</v>
      </c>
      <c r="G2" s="6">
        <f>C2-F2</f>
        <v>699559.15099999867</v>
      </c>
      <c r="H2" s="7">
        <f>IFERROR(G2/F2, 0)</f>
        <v>4.879679391315684E-2</v>
      </c>
      <c r="I2" s="6">
        <f>SUM(I4:I100)</f>
        <v>16420234.807</v>
      </c>
      <c r="J2" s="8">
        <f>C2-I2</f>
        <v>-1384505.2870000005</v>
      </c>
      <c r="K2" s="7">
        <f>IFERROR(J2/I2, 0)</f>
        <v>-8.4317021240754811E-2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428091.5</v>
      </c>
      <c r="D4" s="111">
        <f>SUM('1st Qtr'!D4,'2nd Qtr'!D4,'3rd Qtr'!D4,'4th Qtr'!D4)</f>
        <v>412073.74</v>
      </c>
      <c r="E4" s="79">
        <f>C4/D4</f>
        <v>1.0388711010801126</v>
      </c>
      <c r="F4" s="14">
        <f>SUM('1st Qtr'!F4, '2nd Qtr'!F4, '3rd Qtr'!F4, '4th Qtr'!F4)</f>
        <v>415303</v>
      </c>
      <c r="G4" s="14">
        <f>IF(AND(ISNUMBER(C4),ISNUMBER(F4)), C4-F4, "")</f>
        <v>12788.5</v>
      </c>
      <c r="H4" s="15">
        <f>IFERROR(G4/F4, "")</f>
        <v>3.0793179919239688E-2</v>
      </c>
      <c r="I4" s="16">
        <f>SUM('1st Qtr'!I4,'2nd Qtr'!I4,'3rd Qtr'!I4,'4th Qtr'!I4)</f>
        <v>426804.53200000001</v>
      </c>
      <c r="J4" s="16">
        <f>SUM('1st Qtr'!J4, '2nd Qtr'!J4, '3rd Qtr'!J4, '4th Qtr'!J4)</f>
        <v>1286.9680000000008</v>
      </c>
      <c r="K4" s="17">
        <f>IFERROR(J4/I4, "")</f>
        <v>3.0153569222175006E-3</v>
      </c>
    </row>
    <row r="5" spans="1:11" ht="15.6">
      <c r="A5" s="19" t="str">
        <v>CA: Antioch MC CUP - Citi</v>
      </c>
      <c r="B5" s="11" t="str">
        <v>CA</v>
      </c>
      <c r="C5" s="20">
        <f>SUM('1st Qtr'!C5, '2nd Qtr'!C5, '3rd Qtr'!C5, '4th Qtr'!C5)</f>
        <v>1432122</v>
      </c>
      <c r="D5" s="112">
        <f>SUM('1st Qtr'!D5,'2nd Qtr'!D5,'3rd Qtr'!D5,'4th Qtr'!D5)</f>
        <v>1395221.18</v>
      </c>
      <c r="E5" s="80">
        <f t="shared" ref="E5:E22" si="0">C5/D5</f>
        <v>1.0264480073331457</v>
      </c>
      <c r="F5" s="20">
        <f>SUM('1st Qtr'!F5, '2nd Qtr'!F5, '3rd Qtr'!F5, '4th Qtr'!F5)</f>
        <v>1408597</v>
      </c>
      <c r="G5" s="20">
        <f t="shared" ref="G5:G15" si="1">IF(AND(ISNUMBER(C5),ISNUMBER(F5)), C5-F5, "")</f>
        <v>23525</v>
      </c>
      <c r="H5" s="21">
        <f>IFERROR(G5/F5, "")</f>
        <v>1.6701015265544367E-2</v>
      </c>
      <c r="I5" s="22">
        <f>SUM('1st Qtr'!I5,'2nd Qtr'!I5,'3rd Qtr'!I5,'4th Qtr'!I5)</f>
        <v>1469871.9939999999</v>
      </c>
      <c r="J5" s="22">
        <f>SUM(Jan!J5, Feb!J5, Mar!K5)</f>
        <v>-18801.309999999983</v>
      </c>
      <c r="K5" s="21">
        <f>IFERROR(J5/I5, "")</f>
        <v>-1.2791120639584064E-2</v>
      </c>
    </row>
    <row r="6" spans="1:11" ht="15.6">
      <c r="A6" s="13" t="str">
        <v>CA: Clovis - Citi</v>
      </c>
      <c r="B6" s="10" t="str">
        <v>CA</v>
      </c>
      <c r="C6" s="26">
        <f>SUM('1st Qtr'!C6, '2nd Qtr'!C6, '3rd Qtr'!C6, '4th Qtr'!C6)</f>
        <v>596197.5</v>
      </c>
      <c r="D6" s="111">
        <f>SUM('1st Qtr'!D6,'2nd Qtr'!D6,'3rd Qtr'!D6,'4th Qtr'!D6)</f>
        <v>585091</v>
      </c>
      <c r="E6" s="79">
        <f t="shared" si="0"/>
        <v>1.0189825172494535</v>
      </c>
      <c r="F6" s="14">
        <f>SUM('1st Qtr'!F6, '2nd Qtr'!F6, '3rd Qtr'!F6, '4th Qtr'!F6)</f>
        <v>350957</v>
      </c>
      <c r="G6" s="14">
        <f t="shared" si="1"/>
        <v>245240.5</v>
      </c>
      <c r="H6" s="15">
        <f t="shared" ref="H6:H15" si="2">IFERROR(G6/F6, "")</f>
        <v>0.69877648828773897</v>
      </c>
      <c r="I6" s="16">
        <f>SUM('1st Qtr'!I6,'2nd Qtr'!I6,'3rd Qtr'!I6,'4th Qtr'!I6)</f>
        <v>375588.67099999997</v>
      </c>
      <c r="J6" s="16">
        <f>SUM(Jan!J6, Feb!J6, Mar!K6)</f>
        <v>37638.939999999995</v>
      </c>
      <c r="K6" s="17">
        <f t="shared" ref="K6:K15" si="3">IFERROR(J6/I6, "")</f>
        <v>0.10021319306513374</v>
      </c>
    </row>
    <row r="7" spans="1:11" ht="15.6">
      <c r="A7" s="19" t="str">
        <v>CA: Elk Grove MOB - Citi</v>
      </c>
      <c r="B7" s="11" t="str">
        <v>CA</v>
      </c>
      <c r="C7" s="20">
        <f>SUM('1st Qtr'!C7, '2nd Qtr'!C7, '3rd Qtr'!C7, '4th Qtr'!C7)</f>
        <v>910284.5</v>
      </c>
      <c r="D7" s="112">
        <f>SUM('1st Qtr'!D7,'2nd Qtr'!D7,'3rd Qtr'!D7,'4th Qtr'!D7)</f>
        <v>943630</v>
      </c>
      <c r="E7" s="80">
        <f t="shared" si="0"/>
        <v>0.96466252662590213</v>
      </c>
      <c r="F7" s="20">
        <f>SUM('1st Qtr'!F7, '2nd Qtr'!F7, '3rd Qtr'!F7, '4th Qtr'!F7)</f>
        <v>950957</v>
      </c>
      <c r="G7" s="20">
        <f t="shared" si="1"/>
        <v>-40672.5</v>
      </c>
      <c r="H7" s="21">
        <f t="shared" si="2"/>
        <v>-4.277007267415877E-2</v>
      </c>
      <c r="I7" s="22">
        <f>SUM('1st Qtr'!I7,'2nd Qtr'!I7,'3rd Qtr'!I7,'4th Qtr'!I7)</f>
        <v>979823.00300000003</v>
      </c>
      <c r="J7" s="22">
        <f>SUM(Jan!J7, Feb!J7, Mar!K7)</f>
        <v>-16876.800000000003</v>
      </c>
      <c r="K7" s="21">
        <f t="shared" si="3"/>
        <v>-1.722433536294514E-2</v>
      </c>
    </row>
    <row r="8" spans="1:11" ht="15.6">
      <c r="A8" s="13" t="str">
        <v>CA: Elk Grove Promenade - Citi</v>
      </c>
      <c r="B8" s="10" t="str">
        <v>CA</v>
      </c>
      <c r="C8" s="26">
        <f>SUM('1st Qtr'!C8, '2nd Qtr'!C8, '3rd Qtr'!C8, '4th Qtr'!C8)</f>
        <v>498258.25</v>
      </c>
      <c r="D8" s="111">
        <f>SUM('1st Qtr'!D8,'2nd Qtr'!D8,'3rd Qtr'!D8,'4th Qtr'!D8)</f>
        <v>501532.5</v>
      </c>
      <c r="E8" s="79">
        <f t="shared" si="0"/>
        <v>0.99347150982239441</v>
      </c>
      <c r="F8" s="14">
        <f>SUM('1st Qtr'!F8, '2nd Qtr'!F8, '3rd Qtr'!F8, '4th Qtr'!F8)</f>
        <v>498211.98900000006</v>
      </c>
      <c r="G8" s="14">
        <f t="shared" si="1"/>
        <v>46.260999999940395</v>
      </c>
      <c r="H8" s="15">
        <f t="shared" si="2"/>
        <v>9.2854048118742459E-5</v>
      </c>
      <c r="I8" s="16">
        <f>SUM('1st Qtr'!I8,'2nd Qtr'!I8,'3rd Qtr'!I8,'4th Qtr'!I8)</f>
        <v>523880.15300000005</v>
      </c>
      <c r="J8" s="16">
        <f>SUM(Jan!J8, Feb!J8, Mar!K8)</f>
        <v>-13241.197999999997</v>
      </c>
      <c r="K8" s="17">
        <f t="shared" si="3"/>
        <v>-2.5275242675589574E-2</v>
      </c>
    </row>
    <row r="9" spans="1:11" ht="15.6">
      <c r="A9" s="19" t="str">
        <v>CA: Fresno Sequioa - Citi</v>
      </c>
      <c r="B9" s="11" t="str">
        <v>CA</v>
      </c>
      <c r="C9" s="20">
        <f>SUM('1st Qtr'!C9, '2nd Qtr'!C9, '3rd Qtr'!C9, '4th Qtr'!C9)</f>
        <v>968136</v>
      </c>
      <c r="D9" s="112">
        <f>SUM('1st Qtr'!D9,'2nd Qtr'!D9,'3rd Qtr'!D9,'4th Qtr'!D9)</f>
        <v>983315.56</v>
      </c>
      <c r="E9" s="80">
        <f t="shared" si="0"/>
        <v>0.9845628803026365</v>
      </c>
      <c r="F9" s="20">
        <f>SUM('1st Qtr'!F9, '2nd Qtr'!F9, '3rd Qtr'!F9, '4th Qtr'!F9)</f>
        <v>988923</v>
      </c>
      <c r="G9" s="20">
        <f t="shared" si="1"/>
        <v>-20787</v>
      </c>
      <c r="H9" s="21">
        <f t="shared" si="2"/>
        <v>-2.1019836731474544E-2</v>
      </c>
      <c r="I9" s="22">
        <f>SUM('1st Qtr'!I9,'2nd Qtr'!I9,'3rd Qtr'!I9,'4th Qtr'!I9)</f>
        <v>1023945.1089999999</v>
      </c>
      <c r="J9" s="22">
        <f>SUM(Jan!J9, Feb!J9, Mar!K9)</f>
        <v>-32740.300000000003</v>
      </c>
      <c r="K9" s="21">
        <f t="shared" si="3"/>
        <v>-3.1974663204333939E-2</v>
      </c>
    </row>
    <row r="10" spans="1:11" ht="15.6">
      <c r="A10" s="13" t="str">
        <v>CA: Fresno MOB - Citi</v>
      </c>
      <c r="B10" s="10" t="str">
        <v>CA</v>
      </c>
      <c r="C10" s="26">
        <f>SUM('1st Qtr'!C10, '2nd Qtr'!C10, '3rd Qtr'!C10, '4th Qtr'!C10)</f>
        <v>357605</v>
      </c>
      <c r="D10" s="111">
        <f>SUM('1st Qtr'!D10,'2nd Qtr'!D10,'3rd Qtr'!D10,'4th Qtr'!D10)</f>
        <v>397589.88</v>
      </c>
      <c r="E10" s="79">
        <f t="shared" si="0"/>
        <v>0.89943184670595744</v>
      </c>
      <c r="F10" s="14">
        <f>SUM('1st Qtr'!F10, '2nd Qtr'!F10, '3rd Qtr'!F10, '4th Qtr'!F10)</f>
        <v>392234</v>
      </c>
      <c r="G10" s="14">
        <f t="shared" si="1"/>
        <v>-34629</v>
      </c>
      <c r="H10" s="15">
        <f t="shared" si="2"/>
        <v>-8.8286584028921505E-2</v>
      </c>
      <c r="I10" s="16">
        <f>SUM('1st Qtr'!I10,'2nd Qtr'!I10,'3rd Qtr'!I10,'4th Qtr'!I10)</f>
        <v>384002.72400000005</v>
      </c>
      <c r="J10" s="16">
        <f>SUM(Jan!J10, Feb!J10, Mar!K10)</f>
        <v>-6133.5459999999985</v>
      </c>
      <c r="K10" s="17">
        <f t="shared" si="3"/>
        <v>-1.5972662735590379E-2</v>
      </c>
    </row>
    <row r="11" spans="1:11" ht="15.6">
      <c r="A11" s="19" t="str">
        <v>CA: Modesto Bangs - Citi</v>
      </c>
      <c r="B11" s="11" t="str">
        <v>CA</v>
      </c>
      <c r="C11" s="20">
        <f>SUM('1st Qtr'!C11, '2nd Qtr'!C11, '3rd Qtr'!C11, '4th Qtr'!C11)</f>
        <v>245123.75</v>
      </c>
      <c r="D11" s="112">
        <f>SUM('1st Qtr'!D11,'2nd Qtr'!D11,'3rd Qtr'!D11,'4th Qtr'!D11)</f>
        <v>270589.71999999997</v>
      </c>
      <c r="E11" s="80">
        <f t="shared" si="0"/>
        <v>0.90588714900181733</v>
      </c>
      <c r="F11" s="20">
        <f>SUM('1st Qtr'!F11, '2nd Qtr'!F11, '3rd Qtr'!F11, '4th Qtr'!F11)</f>
        <v>161788</v>
      </c>
      <c r="G11" s="20">
        <f t="shared" si="1"/>
        <v>83335.75</v>
      </c>
      <c r="H11" s="21">
        <f t="shared" si="2"/>
        <v>0.5150922812569535</v>
      </c>
      <c r="I11" s="22">
        <f>SUM('1st Qtr'!I11,'2nd Qtr'!I11,'3rd Qtr'!I11,'4th Qtr'!I11)</f>
        <v>185868.41500000001</v>
      </c>
      <c r="J11" s="22">
        <f>SUM(Jan!J11, Feb!J11, Mar!K11)</f>
        <v>-1666.3119999999981</v>
      </c>
      <c r="K11" s="21">
        <f t="shared" si="3"/>
        <v>-8.9650089284938374E-3</v>
      </c>
    </row>
    <row r="12" spans="1:11" ht="15.6">
      <c r="A12" s="13" t="str">
        <v>CA: Napa Data Center - Citi</v>
      </c>
      <c r="B12" s="10" t="str">
        <v>CA</v>
      </c>
      <c r="C12" s="26">
        <f>SUM('1st Qtr'!C12, '2nd Qtr'!C12, '3rd Qtr'!C12, '4th Qtr'!C12)</f>
        <v>249818.25</v>
      </c>
      <c r="D12" s="111">
        <f>SUM('1st Qtr'!D12,'2nd Qtr'!D12,'3rd Qtr'!D12,'4th Qtr'!D12)</f>
        <v>287427.29000000004</v>
      </c>
      <c r="E12" s="79">
        <f t="shared" si="0"/>
        <v>0.86915285601447223</v>
      </c>
      <c r="F12" s="14">
        <f>SUM('1st Qtr'!F12, '2nd Qtr'!F12, '3rd Qtr'!F12, '4th Qtr'!F12)</f>
        <v>294762</v>
      </c>
      <c r="G12" s="14">
        <f t="shared" si="1"/>
        <v>-44943.75</v>
      </c>
      <c r="H12" s="15">
        <f t="shared" si="2"/>
        <v>-0.15247470840881797</v>
      </c>
      <c r="I12" s="16">
        <f>SUM('1st Qtr'!I12,'2nd Qtr'!I12,'3rd Qtr'!I12,'4th Qtr'!I12)</f>
        <v>290310.18099999998</v>
      </c>
      <c r="J12" s="16">
        <f>SUM(Jan!J12, Feb!J12, Mar!K12)</f>
        <v>-13452.904999999999</v>
      </c>
      <c r="K12" s="17">
        <f t="shared" si="3"/>
        <v>-4.6339763055020106E-2</v>
      </c>
    </row>
    <row r="13" spans="1:11" ht="15.6">
      <c r="A13" s="19" t="str">
        <v>CA: Petaluma MOB - Citi</v>
      </c>
      <c r="B13" s="11" t="str">
        <v>CA</v>
      </c>
      <c r="C13" s="20">
        <f>SUM('1st Qtr'!C13, '2nd Qtr'!C13, '3rd Qtr'!C13, '4th Qtr'!C13)</f>
        <v>567502.5</v>
      </c>
      <c r="D13" s="112">
        <f>SUM('1st Qtr'!D13,'2nd Qtr'!D13,'3rd Qtr'!D13,'4th Qtr'!D13)</f>
        <v>663199.5</v>
      </c>
      <c r="E13" s="80">
        <f t="shared" si="0"/>
        <v>0.85570405285287454</v>
      </c>
      <c r="F13" s="20">
        <f>SUM('1st Qtr'!F13, '2nd Qtr'!F13, '3rd Qtr'!F13, '4th Qtr'!F13)</f>
        <v>443790</v>
      </c>
      <c r="G13" s="20">
        <f t="shared" si="1"/>
        <v>123712.5</v>
      </c>
      <c r="H13" s="21">
        <f t="shared" si="2"/>
        <v>0.27876360440749004</v>
      </c>
      <c r="I13" s="22">
        <f>SUM('1st Qtr'!I13,'2nd Qtr'!I13,'3rd Qtr'!I13,'4th Qtr'!I13)</f>
        <v>473371.41600000003</v>
      </c>
      <c r="J13" s="22">
        <f>SUM(Jan!J13, Feb!J13, Mar!K13)</f>
        <v>-11960.39</v>
      </c>
      <c r="K13" s="21">
        <f t="shared" si="3"/>
        <v>-2.5266396735708265E-2</v>
      </c>
    </row>
    <row r="14" spans="1:11" ht="15.6">
      <c r="A14" s="13" t="str">
        <v>CA: Pleasanton Tec Ctr - Citi</v>
      </c>
      <c r="B14" s="10" t="str">
        <v>CA</v>
      </c>
      <c r="C14" s="26">
        <f>SUM('1st Qtr'!C14, '2nd Qtr'!C14, '3rd Qtr'!C14, '4th Qtr'!C14)</f>
        <v>793028.5</v>
      </c>
      <c r="D14" s="111">
        <f>SUM('1st Qtr'!D14,'2nd Qtr'!D14,'3rd Qtr'!D14,'4th Qtr'!D14)</f>
        <v>924003.36</v>
      </c>
      <c r="E14" s="79">
        <f t="shared" si="0"/>
        <v>0.85825283146156528</v>
      </c>
      <c r="F14" s="14">
        <f>SUM('1st Qtr'!F14, '2nd Qtr'!F14, '3rd Qtr'!F14, '4th Qtr'!F14)</f>
        <v>924060</v>
      </c>
      <c r="G14" s="14">
        <f t="shared" si="1"/>
        <v>-131031.5</v>
      </c>
      <c r="H14" s="15">
        <f t="shared" si="2"/>
        <v>-0.14179977490639137</v>
      </c>
      <c r="I14" s="16">
        <f>SUM('1st Qtr'!I14,'2nd Qtr'!I14,'3rd Qtr'!I14,'4th Qtr'!I14)</f>
        <v>939032.48400000005</v>
      </c>
      <c r="J14" s="16">
        <f>SUM(Jan!J14, Feb!J14, Mar!K14)</f>
        <v>-32875.356</v>
      </c>
      <c r="K14" s="17">
        <f t="shared" si="3"/>
        <v>-3.5009817615638518E-2</v>
      </c>
    </row>
    <row r="15" spans="1:11" ht="15.6">
      <c r="A15" s="19" t="str">
        <v>CA: Rancho Cordova - Citi</v>
      </c>
      <c r="B15" s="11" t="str">
        <v>CA</v>
      </c>
      <c r="C15" s="20">
        <f>SUM('1st Qtr'!C15, '2nd Qtr'!C15, '3rd Qtr'!C15, '4th Qtr'!C15)</f>
        <v>1357126</v>
      </c>
      <c r="D15" s="112">
        <f>SUM('1st Qtr'!D15,'2nd Qtr'!D15,'3rd Qtr'!D15,'4th Qtr'!D15)</f>
        <v>1303394.78</v>
      </c>
      <c r="E15" s="80">
        <f t="shared" si="0"/>
        <v>1.0412240564597013</v>
      </c>
      <c r="F15" s="20">
        <f>SUM('1st Qtr'!F15, '2nd Qtr'!F15, '3rd Qtr'!F15, '4th Qtr'!F15)</f>
        <v>1324116</v>
      </c>
      <c r="G15" s="20">
        <f t="shared" si="1"/>
        <v>33010</v>
      </c>
      <c r="H15" s="21">
        <f t="shared" si="2"/>
        <v>2.4929839983808065E-2</v>
      </c>
      <c r="I15" s="22">
        <f>SUM('1st Qtr'!I15,'2nd Qtr'!I15,'3rd Qtr'!I15,'4th Qtr'!I15)</f>
        <v>1404046.6869999999</v>
      </c>
      <c r="J15" s="22">
        <f>SUM(Jan!J15, Feb!J15, Mar!K15)</f>
        <v>-17879.210000000006</v>
      </c>
      <c r="K15" s="21">
        <f t="shared" si="3"/>
        <v>-1.2734056613318306E-2</v>
      </c>
    </row>
    <row r="16" spans="1:11" ht="15.6">
      <c r="A16" s="13" t="str">
        <v>CA: S Sacramento Wyndham - Citi</v>
      </c>
      <c r="B16" s="10" t="str">
        <v>CA</v>
      </c>
      <c r="C16" s="26">
        <f>SUM('1st Qtr'!C16, '2nd Qtr'!C16, '3rd Qtr'!C16, '4th Qtr'!C16)</f>
        <v>748289</v>
      </c>
      <c r="D16" s="111">
        <f>SUM('1st Qtr'!D16,'2nd Qtr'!D16,'3rd Qtr'!D16,'4th Qtr'!D16)</f>
        <v>816698.69</v>
      </c>
      <c r="E16" s="79">
        <f t="shared" si="0"/>
        <v>0.91623631721510423</v>
      </c>
      <c r="F16" s="14">
        <f>SUM('1st Qtr'!F16, '2nd Qtr'!F16, '3rd Qtr'!F16, '4th Qtr'!F16)</f>
        <v>790655</v>
      </c>
      <c r="G16" s="14">
        <f t="shared" ref="G16:G22" si="4">IF(AND(ISNUMBER(C16),ISNUMBER(F16)), C16-F16, "")</f>
        <v>-42366</v>
      </c>
      <c r="H16" s="38">
        <f t="shared" ref="H16:H22" si="5">IFERROR(G16/F16, "")</f>
        <v>-5.3583421340534114E-2</v>
      </c>
      <c r="I16" s="39">
        <f>SUM('1st Qtr'!I16,'2nd Qtr'!I16,'3rd Qtr'!I16,'4th Qtr'!I16)</f>
        <v>808590.75699999998</v>
      </c>
      <c r="J16" s="39">
        <f>SUM(Jan!J16, Feb!J16, Mar!K16)</f>
        <v>-1200.1229999999996</v>
      </c>
      <c r="K16" s="40">
        <f t="shared" ref="K16:K22" si="6">IFERROR(J16/I16, "")</f>
        <v>-1.4842155807625681E-3</v>
      </c>
    </row>
    <row r="17" spans="1:11" ht="15.6">
      <c r="A17" s="19" t="str">
        <v>CA: Sacramento Point West - Citi</v>
      </c>
      <c r="B17" s="11" t="str">
        <v>CA</v>
      </c>
      <c r="C17" s="20">
        <f>SUM('1st Qtr'!C17, '2nd Qtr'!C17, '3rd Qtr'!C17, '4th Qtr'!C17)</f>
        <v>1491065</v>
      </c>
      <c r="D17" s="112">
        <f>SUM('1st Qtr'!D17,'2nd Qtr'!D17,'3rd Qtr'!D17,'4th Qtr'!D17)</f>
        <v>1560436.9</v>
      </c>
      <c r="E17" s="80">
        <f t="shared" si="0"/>
        <v>0.95554328406358502</v>
      </c>
      <c r="F17" s="20">
        <f>SUM('1st Qtr'!F17, '2nd Qtr'!F17, '3rd Qtr'!F17, '4th Qtr'!F17)</f>
        <v>1560373</v>
      </c>
      <c r="G17" s="20">
        <f t="shared" si="4"/>
        <v>-69308</v>
      </c>
      <c r="H17" s="43">
        <f t="shared" si="5"/>
        <v>-4.4417584769795425E-2</v>
      </c>
      <c r="I17" s="44">
        <f>SUM('1st Qtr'!I17,'2nd Qtr'!I17,'3rd Qtr'!I17,'4th Qtr'!I17)</f>
        <v>1632939.561</v>
      </c>
      <c r="J17" s="44">
        <f>SUM(Jan!J17, Feb!J17, Mar!K17)</f>
        <v>-48001.260000000009</v>
      </c>
      <c r="K17" s="43">
        <f t="shared" si="6"/>
        <v>-2.9395613375062329E-2</v>
      </c>
    </row>
    <row r="18" spans="1:11" ht="12.75" customHeight="1">
      <c r="A18" s="13" t="str">
        <v>CA: San Jose FHC - Citi</v>
      </c>
      <c r="B18" s="10" t="str">
        <v>CA</v>
      </c>
      <c r="C18" s="26">
        <f>SUM('1st Qtr'!C18, '2nd Qtr'!C18, '3rd Qtr'!C18, '4th Qtr'!C18)</f>
        <v>286697</v>
      </c>
      <c r="D18" s="111">
        <f>SUM('1st Qtr'!D18,'2nd Qtr'!D18,'3rd Qtr'!D18,'4th Qtr'!D18)</f>
        <v>320475.34999999998</v>
      </c>
      <c r="E18" s="79">
        <f t="shared" si="0"/>
        <v>0.89459922580629059</v>
      </c>
      <c r="F18" s="14">
        <f>SUM('1st Qtr'!F18, '2nd Qtr'!F18, '3rd Qtr'!F18, '4th Qtr'!F18)</f>
        <v>321760</v>
      </c>
      <c r="G18" s="14">
        <f t="shared" si="4"/>
        <v>-35063</v>
      </c>
      <c r="H18" s="38">
        <f t="shared" si="5"/>
        <v>-0.10897252610641472</v>
      </c>
      <c r="I18" s="39">
        <f>SUM('1st Qtr'!I18,'2nd Qtr'!I18,'3rd Qtr'!I18,'4th Qtr'!I18)</f>
        <v>326916.87199999997</v>
      </c>
      <c r="J18" s="39">
        <f>SUM(Jan!J18, Feb!J18, Mar!K18)</f>
        <v>-13919.123999999996</v>
      </c>
      <c r="K18" s="40">
        <f t="shared" si="6"/>
        <v>-4.257695210053275E-2</v>
      </c>
    </row>
    <row r="19" spans="1:11" ht="15.6">
      <c r="A19" s="19" t="str">
        <v>CA: San Jose MOB - Citi</v>
      </c>
      <c r="B19" s="11" t="str">
        <v>CA</v>
      </c>
      <c r="C19" s="20">
        <f>SUM('1st Qtr'!C19, '2nd Qtr'!C19, '3rd Qtr'!C19, '4th Qtr'!C19)</f>
        <v>437710.25</v>
      </c>
      <c r="D19" s="112">
        <f>SUM('1st Qtr'!D19,'2nd Qtr'!D19,'3rd Qtr'!D19,'4th Qtr'!D19)</f>
        <v>511463.84</v>
      </c>
      <c r="E19" s="80">
        <f t="shared" si="0"/>
        <v>0.85579901406128722</v>
      </c>
      <c r="F19" s="20">
        <f>SUM('1st Qtr'!F19, '2nd Qtr'!F19, '3rd Qtr'!F19, '4th Qtr'!F19)</f>
        <v>512669</v>
      </c>
      <c r="G19" s="20">
        <f t="shared" si="4"/>
        <v>-74958.75</v>
      </c>
      <c r="H19" s="43">
        <f t="shared" si="5"/>
        <v>-0.14621276106025524</v>
      </c>
      <c r="I19" s="44">
        <f>SUM('1st Qtr'!I19,'2nd Qtr'!I19,'3rd Qtr'!I19,'4th Qtr'!I19)</f>
        <v>525323.85400000005</v>
      </c>
      <c r="J19" s="44">
        <f>SUM(Jan!J19, Feb!J19, Mar!K19)</f>
        <v>-33809.864000000009</v>
      </c>
      <c r="K19" s="43">
        <f t="shared" si="6"/>
        <v>-6.4360039511931255E-2</v>
      </c>
    </row>
    <row r="20" spans="1:11" ht="15.6">
      <c r="A20" s="13" t="str">
        <v>CA: Selma - Citi</v>
      </c>
      <c r="B20" s="10" t="str">
        <v>CA</v>
      </c>
      <c r="C20" s="26">
        <f>SUM('1st Qtr'!C20, '2nd Qtr'!C20, '3rd Qtr'!C20, '4th Qtr'!C20)</f>
        <v>282678.87</v>
      </c>
      <c r="D20" s="111">
        <f>SUM('1st Qtr'!D20,'2nd Qtr'!D20,'3rd Qtr'!D20,'4th Qtr'!D20)</f>
        <v>297208.96000000002</v>
      </c>
      <c r="E20" s="79">
        <f t="shared" si="0"/>
        <v>0.95111153445710372</v>
      </c>
      <c r="F20" s="14">
        <f>SUM('1st Qtr'!F20, '2nd Qtr'!F20, '3rd Qtr'!F20, '4th Qtr'!F20)</f>
        <v>299592</v>
      </c>
      <c r="G20" s="14">
        <f t="shared" si="4"/>
        <v>-16913.130000000005</v>
      </c>
      <c r="H20" s="38">
        <f t="shared" si="5"/>
        <v>-5.6453877273091417E-2</v>
      </c>
      <c r="I20" s="39">
        <f>SUM('1st Qtr'!I20,'2nd Qtr'!I20,'3rd Qtr'!I20,'4th Qtr'!I20)</f>
        <v>314427.359</v>
      </c>
      <c r="J20" s="39">
        <f>SUM(Jan!J20, Feb!J20, Mar!K20)</f>
        <v>-11115.291000000001</v>
      </c>
      <c r="K20" s="40">
        <f t="shared" si="6"/>
        <v>-3.535090278196816E-2</v>
      </c>
    </row>
    <row r="21" spans="1:11" ht="15.6">
      <c r="A21" s="19" t="str">
        <v>CA: Vacaville Hospital</v>
      </c>
      <c r="B21" s="11" t="str">
        <v>CA</v>
      </c>
      <c r="C21" s="20">
        <f>SUM('1st Qtr'!C21, '2nd Qtr'!C21, '3rd Qtr'!C21, '4th Qtr'!C21)</f>
        <v>1629354</v>
      </c>
      <c r="D21" s="112">
        <f>SUM('1st Qtr'!D21,'2nd Qtr'!D21,'3rd Qtr'!D21,'4th Qtr'!D21)</f>
        <v>2068150.4400000002</v>
      </c>
      <c r="E21" s="80">
        <f t="shared" si="0"/>
        <v>0.78783146935867965</v>
      </c>
      <c r="F21" s="20">
        <f>SUM('1st Qtr'!F21, '2nd Qtr'!F21, '3rd Qtr'!F21, '4th Qtr'!F21)</f>
        <v>2143442</v>
      </c>
      <c r="G21" s="20">
        <f t="shared" si="4"/>
        <v>-514088</v>
      </c>
      <c r="H21" s="43">
        <f t="shared" si="5"/>
        <v>-0.23984227238245776</v>
      </c>
      <c r="I21" s="44">
        <f>SUM('1st Qtr'!I21,'2nd Qtr'!I21,'3rd Qtr'!I21,'4th Qtr'!I21)</f>
        <v>2155685.5180000002</v>
      </c>
      <c r="J21" s="44">
        <f>SUM(Jan!J21, Feb!J21, Mar!K21)</f>
        <v>-33523.386999999988</v>
      </c>
      <c r="K21" s="43">
        <f t="shared" si="6"/>
        <v>-1.5551149144937562E-2</v>
      </c>
    </row>
    <row r="22" spans="1:11" ht="15.6">
      <c r="A22" s="13" t="str">
        <v>CA: Manteca - KP Manteca Hospital</v>
      </c>
      <c r="B22" s="10" t="str">
        <v>CA</v>
      </c>
      <c r="C22" s="26">
        <f>SUM('1st Qtr'!C22, '2nd Qtr'!C22, '3rd Qtr'!C22, '4th Qtr'!C22)</f>
        <v>527767.75</v>
      </c>
      <c r="D22" s="111">
        <f>SUM('1st Qtr'!D22,'2nd Qtr'!D22,'3rd Qtr'!D22,'4th Qtr'!D22)</f>
        <v>660333</v>
      </c>
      <c r="E22" s="79">
        <f t="shared" si="0"/>
        <v>0.79924485070411444</v>
      </c>
      <c r="F22" s="14">
        <f>SUM('1st Qtr'!F22, '2nd Qtr'!F22, '3rd Qtr'!F22, '4th Qtr'!F22)</f>
        <v>553980.38</v>
      </c>
      <c r="G22" s="14">
        <f t="shared" si="4"/>
        <v>-26212.630000000005</v>
      </c>
      <c r="H22" s="38">
        <f t="shared" si="5"/>
        <v>-4.7316892341927354E-2</v>
      </c>
      <c r="I22" s="39">
        <f>SUM('1st Qtr'!I22,'2nd Qtr'!I22,'3rd Qtr'!I22,'4th Qtr'!I22)</f>
        <v>619643.51699999999</v>
      </c>
      <c r="J22" s="39">
        <f>SUM(Jan!J22, Feb!J22, Mar!K22)</f>
        <v>-6367.1640000000116</v>
      </c>
      <c r="K22" s="40">
        <f t="shared" si="6"/>
        <v>-1.0275527501403701E-2</v>
      </c>
    </row>
    <row r="23" spans="1:11" ht="15.6">
      <c r="A23" s="19" t="str">
        <v>Sacramento - KP South Sacramento HSP</v>
      </c>
      <c r="B23" s="11" t="str">
        <v>CA</v>
      </c>
      <c r="C23" s="20">
        <f>SUM('1st Qtr'!C23, '2nd Qtr'!C23, '3rd Qtr'!C23, '4th Qtr'!C23)</f>
        <v>1228873.8999999999</v>
      </c>
      <c r="D23" s="112">
        <f>SUM('1st Qtr'!D23,'2nd Qtr'!D23,'3rd Qtr'!D23,'4th Qtr'!D23)</f>
        <v>0</v>
      </c>
      <c r="E23" s="80"/>
      <c r="F23" s="20">
        <f>SUM('1st Qtr'!F23, '2nd Qtr'!F23, '3rd Qtr'!F23, '4th Qtr'!F23)</f>
        <v>0</v>
      </c>
      <c r="G23" s="20">
        <f t="shared" ref="G23" si="7">IF(AND(ISNUMBER(C23),ISNUMBER(F23)), C23-F23, "")</f>
        <v>1228873.8999999999</v>
      </c>
      <c r="H23" s="43" t="str">
        <f t="shared" ref="H23" si="8">IFERROR(G23/F23, "")</f>
        <v/>
      </c>
      <c r="I23" s="44">
        <f>SUM('1st Qtr'!I23,'2nd Qtr'!I23,'3rd Qtr'!I23,'4th Qtr'!I23)</f>
        <v>1560162</v>
      </c>
      <c r="J23" s="44">
        <f>SUM(Jan!J23, Feb!J23, Mar!K23)</f>
        <v>0</v>
      </c>
      <c r="K23" s="43">
        <f t="shared" ref="K23" si="9">IFERROR(J23/I23, "")</f>
        <v>0</v>
      </c>
    </row>
    <row r="24" spans="1:11" ht="12.95">
      <c r="A24" s="23"/>
      <c r="B24" s="23"/>
      <c r="C24" s="23"/>
      <c r="D24" s="23"/>
      <c r="E24" s="23"/>
      <c r="F24" s="23"/>
      <c r="G24" s="23"/>
      <c r="H24" s="23"/>
      <c r="I24" s="23"/>
      <c r="J24" s="23"/>
      <c r="K24" s="23"/>
    </row>
    <row r="25" spans="1:11" ht="12.95">
      <c r="A25" s="23"/>
      <c r="B25" s="23"/>
      <c r="C25" s="23"/>
      <c r="F25" s="23"/>
      <c r="G25" s="23"/>
      <c r="H25" s="23"/>
      <c r="I25" s="23"/>
      <c r="J25" s="23"/>
      <c r="K25" s="23"/>
    </row>
    <row r="26" spans="1:11" ht="12.95">
      <c r="A26" s="23"/>
      <c r="B26" s="23"/>
      <c r="C26" s="23"/>
      <c r="F26" s="23"/>
      <c r="G26" s="23"/>
      <c r="H26" s="23"/>
      <c r="I26" s="23"/>
      <c r="J26" s="23"/>
      <c r="K26" s="23"/>
    </row>
    <row r="27" spans="1:11" ht="12.95">
      <c r="A27" s="23"/>
      <c r="B27" s="23"/>
      <c r="C27" s="23"/>
      <c r="D27" s="23"/>
      <c r="E27" s="23"/>
      <c r="F27" s="23"/>
      <c r="G27" s="23"/>
      <c r="H27" s="23"/>
      <c r="I27" s="23"/>
      <c r="J27" s="23"/>
      <c r="K27" s="23"/>
    </row>
    <row r="28" spans="1:11" ht="12.95">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2.95">
      <c r="A31" s="23"/>
      <c r="B31" s="23"/>
      <c r="C31" s="23"/>
      <c r="D31" s="23"/>
      <c r="E31" s="23"/>
      <c r="F31" s="23"/>
      <c r="G31" s="23"/>
      <c r="H31" s="23"/>
      <c r="I31" s="23"/>
      <c r="J31" s="23"/>
      <c r="K31" s="23"/>
    </row>
    <row r="32" spans="1:11" ht="12.95">
      <c r="A32" s="23"/>
      <c r="B32" s="23"/>
      <c r="C32" s="23"/>
      <c r="D32" s="23"/>
      <c r="E32" s="23"/>
      <c r="F32" s="23"/>
      <c r="G32" s="23"/>
      <c r="H32" s="23"/>
      <c r="I32" s="23"/>
      <c r="J32" s="23"/>
      <c r="K32" s="23"/>
    </row>
    <row r="33" spans="1:11" ht="12.95">
      <c r="A33" s="23"/>
      <c r="B33" s="23"/>
      <c r="C33" s="23"/>
      <c r="D33" s="23"/>
      <c r="E33" s="23"/>
      <c r="F33" s="23"/>
      <c r="G33" s="23"/>
      <c r="H33" s="24"/>
      <c r="I33" s="23"/>
      <c r="J33" s="23"/>
      <c r="K33" s="24"/>
    </row>
    <row r="34" spans="1:11" ht="12.95">
      <c r="A34" s="23"/>
      <c r="B34" s="23"/>
      <c r="C34" s="23"/>
      <c r="D34" s="23"/>
      <c r="E34" s="23"/>
      <c r="F34" s="23"/>
      <c r="G34" s="23"/>
      <c r="H34" s="24"/>
      <c r="I34" s="23"/>
      <c r="J34" s="23"/>
      <c r="K34" s="24"/>
    </row>
    <row r="35" spans="1:11" ht="12.95">
      <c r="A35" s="23"/>
      <c r="B35" s="23"/>
      <c r="C35" s="23"/>
      <c r="D35" s="23"/>
      <c r="E35" s="23"/>
      <c r="F35" s="23"/>
      <c r="G35" s="23"/>
      <c r="H35" s="24"/>
      <c r="I35" s="23"/>
      <c r="J35" s="23"/>
      <c r="K35" s="24"/>
    </row>
    <row r="36" spans="1:11" ht="12.95">
      <c r="A36" s="23"/>
      <c r="B36" s="23"/>
      <c r="C36" s="23"/>
      <c r="D36" s="23"/>
      <c r="E36" s="23"/>
      <c r="F36" s="23"/>
      <c r="G36" s="23"/>
      <c r="H36" s="24"/>
      <c r="I36" s="23"/>
      <c r="J36" s="23"/>
      <c r="K36" s="24"/>
    </row>
    <row r="37" spans="1:11" ht="12.95">
      <c r="A37" s="23"/>
      <c r="B37" s="23"/>
      <c r="C37" s="23"/>
      <c r="D37" s="23"/>
      <c r="E37" s="23"/>
      <c r="F37" s="23"/>
      <c r="G37" s="23"/>
      <c r="H37" s="24"/>
      <c r="I37" s="23"/>
      <c r="J37" s="23"/>
      <c r="K37" s="24"/>
    </row>
    <row r="38" spans="1:11" ht="12.95">
      <c r="A38" s="23"/>
      <c r="B38" s="23"/>
      <c r="C38" s="23"/>
      <c r="D38" s="23"/>
      <c r="E38" s="23"/>
      <c r="F38" s="23"/>
      <c r="G38" s="23"/>
      <c r="H38" s="24"/>
      <c r="I38" s="23"/>
      <c r="J38" s="23"/>
      <c r="K38" s="24"/>
    </row>
    <row r="39" spans="1:11" ht="12.95">
      <c r="A39" s="23"/>
      <c r="B39" s="23"/>
      <c r="C39" s="23"/>
      <c r="D39" s="23"/>
      <c r="E39" s="23"/>
      <c r="F39" s="23"/>
      <c r="G39" s="23"/>
      <c r="H39" s="24"/>
      <c r="I39" s="23"/>
      <c r="J39" s="23"/>
      <c r="K39" s="24"/>
    </row>
    <row r="40" spans="1:11" ht="12.95">
      <c r="A40" s="23"/>
      <c r="B40" s="23"/>
      <c r="C40" s="23"/>
      <c r="D40" s="23"/>
      <c r="E40" s="23"/>
      <c r="F40" s="23"/>
      <c r="G40" s="23"/>
      <c r="H40" s="24"/>
      <c r="I40" s="23"/>
      <c r="J40" s="23"/>
      <c r="K40" s="24"/>
    </row>
    <row r="41" spans="1:11" ht="12.95">
      <c r="A41" s="23"/>
      <c r="B41" s="23"/>
      <c r="C41" s="23"/>
      <c r="D41" s="23"/>
      <c r="E41" s="23"/>
      <c r="F41" s="23"/>
      <c r="G41" s="23"/>
      <c r="H41" s="24"/>
      <c r="I41" s="23"/>
      <c r="J41" s="23"/>
      <c r="K41" s="24"/>
    </row>
    <row r="42" spans="1:11" ht="12.95">
      <c r="A42" s="23"/>
      <c r="B42" s="23"/>
      <c r="C42" s="23"/>
      <c r="D42" s="23"/>
      <c r="E42" s="23"/>
      <c r="F42" s="23"/>
      <c r="G42" s="23"/>
      <c r="H42" s="24"/>
      <c r="I42" s="23"/>
      <c r="J42" s="23"/>
      <c r="K42" s="24"/>
    </row>
    <row r="43" spans="1:11" ht="12.95">
      <c r="A43" s="23"/>
      <c r="B43" s="23"/>
      <c r="C43" s="23"/>
      <c r="D43" s="23"/>
      <c r="E43" s="23"/>
      <c r="F43" s="23"/>
      <c r="G43" s="23"/>
      <c r="H43" s="24"/>
      <c r="I43" s="23"/>
      <c r="J43" s="23"/>
      <c r="K43" s="24"/>
    </row>
    <row r="44" spans="1:11" ht="12.95">
      <c r="A44" s="23"/>
      <c r="B44" s="23"/>
      <c r="C44" s="23"/>
      <c r="D44" s="23"/>
      <c r="E44" s="23"/>
      <c r="F44" s="23"/>
      <c r="G44" s="23"/>
      <c r="H44" s="24"/>
      <c r="I44" s="23"/>
      <c r="J44" s="23"/>
      <c r="K44" s="24"/>
    </row>
    <row r="45" spans="1:11" ht="12.95">
      <c r="A45" s="23"/>
      <c r="B45" s="23"/>
      <c r="C45" s="23"/>
      <c r="D45" s="23"/>
      <c r="E45" s="23"/>
      <c r="F45" s="23"/>
      <c r="G45" s="23"/>
      <c r="H45" s="24"/>
      <c r="I45" s="23"/>
      <c r="J45" s="23"/>
      <c r="K45" s="24"/>
    </row>
    <row r="46" spans="1:11" ht="12.95">
      <c r="A46" s="23"/>
      <c r="B46" s="23"/>
      <c r="C46" s="23"/>
      <c r="D46" s="23"/>
      <c r="E46" s="23"/>
      <c r="F46" s="23"/>
      <c r="G46" s="23"/>
      <c r="H46" s="24"/>
      <c r="I46" s="23"/>
      <c r="J46" s="23"/>
      <c r="K46" s="24"/>
    </row>
    <row r="47" spans="1:11" ht="12.95">
      <c r="A47" s="23"/>
      <c r="B47" s="23"/>
      <c r="C47" s="23"/>
      <c r="D47" s="23"/>
      <c r="E47" s="23"/>
      <c r="F47" s="23"/>
      <c r="G47" s="23"/>
      <c r="H47" s="24"/>
      <c r="I47" s="23"/>
      <c r="J47" s="23"/>
      <c r="K47" s="24"/>
    </row>
    <row r="48" spans="1:11" ht="12.95">
      <c r="A48" s="23"/>
      <c r="B48" s="23"/>
      <c r="C48" s="23"/>
      <c r="D48" s="23"/>
      <c r="E48" s="23"/>
      <c r="F48" s="23"/>
      <c r="G48" s="23"/>
      <c r="H48" s="24"/>
      <c r="I48" s="23"/>
      <c r="J48" s="23"/>
      <c r="K48" s="24"/>
    </row>
    <row r="49" spans="1:11" ht="12.95">
      <c r="A49" s="23"/>
      <c r="B49" s="23"/>
      <c r="C49" s="23"/>
      <c r="D49" s="23"/>
      <c r="E49" s="23"/>
      <c r="F49" s="23"/>
      <c r="G49" s="23"/>
      <c r="H49" s="24"/>
      <c r="I49" s="23"/>
      <c r="J49" s="23"/>
      <c r="K49" s="24"/>
    </row>
    <row r="50" spans="1:11" ht="12.95">
      <c r="A50" s="23"/>
      <c r="B50" s="23"/>
      <c r="C50" s="23"/>
      <c r="D50" s="23"/>
      <c r="E50" s="23"/>
      <c r="F50" s="23"/>
      <c r="G50" s="23"/>
      <c r="H50" s="24"/>
      <c r="I50" s="23"/>
      <c r="J50" s="23"/>
      <c r="K50" s="24"/>
    </row>
    <row r="51" spans="1:11" ht="12.95">
      <c r="A51" s="23"/>
      <c r="B51" s="23"/>
      <c r="C51" s="23"/>
      <c r="D51" s="23"/>
      <c r="E51" s="23"/>
      <c r="F51" s="23"/>
      <c r="G51" s="23"/>
      <c r="H51" s="24"/>
      <c r="I51" s="23"/>
      <c r="J51" s="23"/>
      <c r="K51" s="24"/>
    </row>
    <row r="52" spans="1:11" ht="12.95">
      <c r="A52" s="23"/>
      <c r="B52" s="23"/>
      <c r="C52" s="23"/>
      <c r="D52" s="23"/>
      <c r="E52" s="23"/>
      <c r="F52" s="23"/>
      <c r="G52" s="23"/>
      <c r="H52" s="24"/>
      <c r="I52" s="23"/>
      <c r="J52" s="23"/>
      <c r="K52" s="24"/>
    </row>
    <row r="53" spans="1:11" ht="12.95">
      <c r="A53" s="23"/>
      <c r="B53" s="23"/>
      <c r="C53" s="23"/>
      <c r="D53" s="23"/>
      <c r="E53" s="23"/>
      <c r="F53" s="23"/>
      <c r="G53" s="23"/>
      <c r="H53" s="24"/>
      <c r="I53" s="23"/>
      <c r="J53" s="23"/>
      <c r="K53" s="24"/>
    </row>
    <row r="54" spans="1:11" ht="12.95">
      <c r="A54" s="23"/>
      <c r="B54" s="23"/>
      <c r="C54" s="23"/>
      <c r="D54" s="23"/>
      <c r="E54" s="23"/>
      <c r="F54" s="23"/>
      <c r="G54" s="23"/>
      <c r="H54" s="24"/>
      <c r="I54" s="23"/>
      <c r="J54" s="23"/>
      <c r="K54" s="24"/>
    </row>
    <row r="55" spans="1:11" ht="12.95">
      <c r="A55" s="23"/>
      <c r="B55" s="23"/>
      <c r="C55" s="23"/>
      <c r="D55" s="23"/>
      <c r="E55" s="23"/>
      <c r="F55" s="23"/>
      <c r="G55" s="23"/>
      <c r="H55" s="24"/>
      <c r="I55" s="23"/>
      <c r="J55" s="23"/>
      <c r="K55" s="24"/>
    </row>
    <row r="56" spans="1:11" ht="12.95">
      <c r="A56" s="23"/>
      <c r="B56" s="23"/>
      <c r="C56" s="23"/>
      <c r="D56" s="23"/>
      <c r="E56" s="23"/>
      <c r="F56" s="23"/>
      <c r="G56" s="23"/>
      <c r="H56" s="24"/>
      <c r="I56" s="23"/>
      <c r="J56" s="23"/>
      <c r="K56" s="24"/>
    </row>
    <row r="57" spans="1:11" ht="12.95">
      <c r="A57" s="23"/>
      <c r="B57" s="23"/>
      <c r="C57" s="23"/>
      <c r="D57" s="23"/>
      <c r="E57" s="23"/>
      <c r="F57" s="23"/>
      <c r="G57" s="23"/>
      <c r="H57" s="24"/>
      <c r="I57" s="23"/>
      <c r="J57" s="23"/>
      <c r="K57" s="24"/>
    </row>
    <row r="58" spans="1:11" ht="12.95">
      <c r="A58" s="23"/>
      <c r="B58" s="23"/>
      <c r="C58" s="23"/>
      <c r="D58" s="23"/>
      <c r="E58" s="23"/>
      <c r="F58" s="23"/>
      <c r="G58" s="23"/>
      <c r="H58" s="24"/>
      <c r="I58" s="23"/>
      <c r="J58" s="23"/>
      <c r="K58" s="24"/>
    </row>
    <row r="59" spans="1:11" ht="12.95">
      <c r="A59" s="23"/>
      <c r="B59" s="23"/>
      <c r="C59" s="23"/>
      <c r="D59" s="23"/>
      <c r="E59" s="23"/>
      <c r="F59" s="23"/>
      <c r="G59" s="23"/>
      <c r="H59" s="24"/>
      <c r="I59" s="23"/>
      <c r="J59" s="23"/>
      <c r="K59" s="24"/>
    </row>
    <row r="60" spans="1:11" ht="12.95">
      <c r="A60" s="23"/>
      <c r="B60" s="23"/>
      <c r="C60" s="23"/>
      <c r="D60" s="23"/>
      <c r="E60" s="23"/>
      <c r="F60" s="23"/>
      <c r="G60" s="23"/>
      <c r="H60" s="24"/>
      <c r="I60" s="23"/>
      <c r="J60" s="23"/>
      <c r="K60" s="24"/>
    </row>
    <row r="61" spans="1:11" ht="12.95">
      <c r="A61" s="23"/>
      <c r="B61" s="23"/>
      <c r="C61" s="23"/>
      <c r="D61" s="23"/>
      <c r="E61" s="23"/>
      <c r="F61" s="23"/>
      <c r="G61" s="23"/>
      <c r="H61" s="24"/>
      <c r="I61" s="23"/>
      <c r="J61" s="23"/>
      <c r="K61" s="24"/>
    </row>
    <row r="62" spans="1:11" ht="12.95">
      <c r="A62" s="23"/>
      <c r="B62" s="23"/>
      <c r="C62" s="23"/>
      <c r="D62" s="23"/>
      <c r="E62" s="23"/>
      <c r="F62" s="23"/>
      <c r="G62" s="23"/>
      <c r="H62" s="24"/>
      <c r="I62" s="23"/>
      <c r="J62" s="23"/>
      <c r="K62" s="24"/>
    </row>
    <row r="63" spans="1:11" ht="12.95">
      <c r="A63" s="23"/>
      <c r="B63" s="23"/>
      <c r="C63" s="23"/>
      <c r="D63" s="23"/>
      <c r="E63" s="23"/>
      <c r="F63" s="23"/>
      <c r="G63" s="23"/>
      <c r="H63" s="24"/>
      <c r="I63" s="23"/>
      <c r="J63" s="23"/>
      <c r="K63" s="24"/>
    </row>
    <row r="64" spans="1:11" ht="12.95">
      <c r="A64" s="23"/>
      <c r="B64" s="23"/>
      <c r="C64" s="23"/>
      <c r="D64" s="23"/>
      <c r="E64" s="23"/>
      <c r="F64" s="23"/>
      <c r="G64" s="23"/>
      <c r="H64" s="24"/>
      <c r="I64" s="23"/>
      <c r="J64" s="23"/>
      <c r="K64" s="24"/>
    </row>
    <row r="65" spans="1:11" ht="12.95">
      <c r="A65" s="23"/>
      <c r="B65" s="23"/>
      <c r="C65" s="23"/>
      <c r="D65" s="23"/>
      <c r="E65" s="23"/>
      <c r="F65" s="23"/>
      <c r="G65" s="23"/>
      <c r="H65" s="24"/>
      <c r="I65" s="23"/>
      <c r="J65" s="23"/>
      <c r="K65" s="24"/>
    </row>
    <row r="66" spans="1:11" ht="12.95">
      <c r="A66" s="23"/>
      <c r="B66" s="23"/>
      <c r="C66" s="23"/>
      <c r="D66" s="23"/>
      <c r="E66" s="23"/>
      <c r="F66" s="23"/>
      <c r="G66" s="23"/>
      <c r="H66" s="24"/>
      <c r="I66" s="23"/>
      <c r="J66" s="23"/>
      <c r="K66" s="24"/>
    </row>
    <row r="67" spans="1:11" ht="12.95">
      <c r="A67" s="23"/>
      <c r="B67" s="23"/>
      <c r="C67" s="23"/>
      <c r="D67" s="23"/>
      <c r="E67" s="23"/>
      <c r="F67" s="23"/>
      <c r="G67" s="23"/>
      <c r="H67" s="24"/>
      <c r="I67" s="23"/>
      <c r="J67" s="23"/>
      <c r="K67" s="24"/>
    </row>
    <row r="68" spans="1:11" ht="12.95">
      <c r="A68" s="23"/>
      <c r="B68" s="23"/>
      <c r="C68" s="23"/>
      <c r="D68" s="23"/>
      <c r="E68" s="23"/>
      <c r="F68" s="23"/>
      <c r="G68" s="23"/>
      <c r="H68" s="24"/>
      <c r="I68" s="23"/>
      <c r="J68" s="23"/>
      <c r="K68" s="24"/>
    </row>
    <row r="69" spans="1:11" ht="12.95">
      <c r="A69" s="23"/>
      <c r="B69" s="23"/>
      <c r="C69" s="23"/>
      <c r="D69" s="23"/>
      <c r="E69" s="23"/>
      <c r="F69" s="23"/>
      <c r="G69" s="23"/>
      <c r="H69" s="24"/>
      <c r="I69" s="23"/>
      <c r="J69" s="23"/>
      <c r="K69" s="24"/>
    </row>
    <row r="70" spans="1:11" ht="12.95">
      <c r="A70" s="23"/>
      <c r="B70" s="23"/>
      <c r="C70" s="23"/>
      <c r="D70" s="23"/>
      <c r="E70" s="23"/>
      <c r="F70" s="23"/>
      <c r="G70" s="23"/>
      <c r="H70" s="24"/>
      <c r="I70" s="23"/>
      <c r="J70" s="23"/>
      <c r="K70" s="24"/>
    </row>
    <row r="71" spans="1:11" ht="12.95">
      <c r="A71" s="23"/>
      <c r="B71" s="23"/>
      <c r="C71" s="23"/>
      <c r="D71" s="23"/>
      <c r="E71" s="23"/>
      <c r="F71" s="23"/>
      <c r="G71" s="23"/>
      <c r="H71" s="24"/>
      <c r="I71" s="23"/>
      <c r="J71" s="23"/>
      <c r="K71" s="24"/>
    </row>
    <row r="72" spans="1:11" ht="12.95">
      <c r="A72" s="23"/>
      <c r="B72" s="23"/>
      <c r="C72" s="23"/>
      <c r="D72" s="23"/>
      <c r="E72" s="23"/>
      <c r="F72" s="23"/>
      <c r="G72" s="23"/>
      <c r="H72" s="24"/>
      <c r="I72" s="23"/>
      <c r="J72" s="23"/>
      <c r="K72" s="24"/>
    </row>
    <row r="73" spans="1:11" ht="12.95">
      <c r="A73" s="23"/>
      <c r="B73" s="23"/>
      <c r="C73" s="23"/>
      <c r="D73" s="23"/>
      <c r="E73" s="23"/>
      <c r="F73" s="23"/>
      <c r="G73" s="23"/>
      <c r="H73" s="24"/>
      <c r="I73" s="23"/>
      <c r="J73" s="23"/>
      <c r="K73" s="24"/>
    </row>
    <row r="74" spans="1:11" ht="12.95">
      <c r="A74" s="23"/>
      <c r="B74" s="23"/>
      <c r="C74" s="23"/>
      <c r="D74" s="23"/>
      <c r="E74" s="23"/>
      <c r="F74" s="23"/>
      <c r="G74" s="23"/>
      <c r="H74" s="24"/>
      <c r="I74" s="23"/>
      <c r="J74" s="23"/>
      <c r="K74" s="24"/>
    </row>
    <row r="75" spans="1:11" ht="12.95">
      <c r="A75" s="23"/>
      <c r="B75" s="23"/>
      <c r="C75" s="23"/>
      <c r="D75" s="23"/>
      <c r="E75" s="23"/>
      <c r="F75" s="23"/>
      <c r="G75" s="23"/>
      <c r="H75" s="24"/>
      <c r="I75" s="23"/>
      <c r="J75" s="23"/>
      <c r="K75" s="24"/>
    </row>
    <row r="76" spans="1:11" ht="12.95">
      <c r="A76" s="23"/>
      <c r="B76" s="23"/>
      <c r="C76" s="23"/>
      <c r="D76" s="23"/>
      <c r="E76" s="23"/>
      <c r="F76" s="23"/>
      <c r="G76" s="23"/>
      <c r="H76" s="24"/>
      <c r="I76" s="23"/>
      <c r="J76" s="23"/>
      <c r="K76" s="24"/>
    </row>
    <row r="77" spans="1:11" ht="12.95">
      <c r="A77" s="23"/>
      <c r="B77" s="23"/>
      <c r="C77" s="23"/>
      <c r="D77" s="23"/>
      <c r="E77" s="23"/>
      <c r="F77" s="23"/>
      <c r="G77" s="23"/>
      <c r="H77" s="24"/>
      <c r="I77" s="23"/>
      <c r="J77" s="23"/>
      <c r="K77" s="24"/>
    </row>
    <row r="78" spans="1:11" ht="12.95">
      <c r="A78" s="23"/>
      <c r="B78" s="23"/>
      <c r="C78" s="23"/>
      <c r="D78" s="23"/>
      <c r="E78" s="23"/>
      <c r="F78" s="23"/>
      <c r="G78" s="23"/>
      <c r="H78" s="24"/>
      <c r="I78" s="23"/>
      <c r="J78" s="23"/>
      <c r="K78" s="24"/>
    </row>
    <row r="79" spans="1:11" ht="12.95">
      <c r="A79" s="23"/>
      <c r="B79" s="23"/>
      <c r="C79" s="23"/>
      <c r="D79" s="23"/>
      <c r="E79" s="23"/>
      <c r="F79" s="23"/>
      <c r="G79" s="23"/>
      <c r="H79" s="24"/>
      <c r="I79" s="23"/>
      <c r="J79" s="23"/>
      <c r="K79" s="24"/>
    </row>
    <row r="80" spans="1:11" ht="12.95">
      <c r="A80" s="23"/>
      <c r="B80" s="23"/>
      <c r="C80" s="23"/>
      <c r="D80" s="23"/>
      <c r="E80" s="23"/>
      <c r="F80" s="23"/>
      <c r="G80" s="23"/>
      <c r="H80" s="24"/>
      <c r="I80" s="23"/>
      <c r="J80" s="23"/>
      <c r="K80" s="24"/>
    </row>
    <row r="81" spans="1:11" ht="12.95">
      <c r="A81" s="23"/>
      <c r="B81" s="23"/>
      <c r="C81" s="23"/>
      <c r="D81" s="23"/>
      <c r="E81" s="23"/>
      <c r="F81" s="23"/>
      <c r="G81" s="23"/>
      <c r="H81" s="24"/>
      <c r="I81" s="23"/>
      <c r="J81" s="23"/>
      <c r="K81" s="24"/>
    </row>
    <row r="82" spans="1:11" ht="12.95">
      <c r="A82" s="23"/>
      <c r="B82" s="23"/>
      <c r="C82" s="23"/>
      <c r="D82" s="23"/>
      <c r="E82" s="23"/>
      <c r="F82" s="23"/>
      <c r="G82" s="23"/>
      <c r="H82" s="24"/>
      <c r="I82" s="23"/>
      <c r="J82" s="23"/>
      <c r="K82" s="24"/>
    </row>
    <row r="83" spans="1:11" ht="12.95">
      <c r="A83" s="23"/>
      <c r="B83" s="23"/>
      <c r="C83" s="23"/>
      <c r="D83" s="23"/>
      <c r="E83" s="23"/>
      <c r="F83" s="23"/>
      <c r="G83" s="23"/>
      <c r="H83" s="24"/>
      <c r="I83" s="23"/>
      <c r="J83" s="23"/>
      <c r="K83" s="24"/>
    </row>
    <row r="84" spans="1:11" ht="12.95">
      <c r="A84" s="23"/>
      <c r="B84" s="23"/>
      <c r="C84" s="23"/>
      <c r="D84" s="23"/>
      <c r="E84" s="23"/>
      <c r="F84" s="23"/>
      <c r="G84" s="23"/>
      <c r="H84" s="24"/>
      <c r="I84" s="23"/>
      <c r="J84" s="23"/>
      <c r="K84" s="24"/>
    </row>
    <row r="85" spans="1:11" ht="12.95">
      <c r="A85" s="23"/>
      <c r="B85" s="23"/>
      <c r="C85" s="23"/>
      <c r="D85" s="23"/>
      <c r="E85" s="23"/>
      <c r="F85" s="23"/>
      <c r="G85" s="23"/>
      <c r="H85" s="24"/>
      <c r="I85" s="23"/>
      <c r="J85" s="23"/>
      <c r="K85" s="24"/>
    </row>
    <row r="86" spans="1:11" ht="12.95">
      <c r="A86" s="23"/>
      <c r="B86" s="23"/>
      <c r="C86" s="23"/>
      <c r="D86" s="23"/>
      <c r="E86" s="23"/>
      <c r="F86" s="23"/>
      <c r="G86" s="23"/>
      <c r="H86" s="24"/>
      <c r="I86" s="23"/>
      <c r="J86" s="23"/>
      <c r="K86" s="24"/>
    </row>
    <row r="87" spans="1:11" ht="12.95">
      <c r="A87" s="23"/>
      <c r="B87" s="23"/>
      <c r="C87" s="23"/>
      <c r="D87" s="23"/>
      <c r="E87" s="23"/>
      <c r="F87" s="23"/>
      <c r="G87" s="23"/>
      <c r="H87" s="24"/>
      <c r="I87" s="23"/>
      <c r="J87" s="23"/>
      <c r="K87" s="24"/>
    </row>
    <row r="88" spans="1:11" ht="12.95">
      <c r="A88" s="23"/>
      <c r="B88" s="23"/>
      <c r="C88" s="23"/>
      <c r="D88" s="23"/>
      <c r="E88" s="23"/>
      <c r="F88" s="23"/>
      <c r="G88" s="23"/>
      <c r="H88" s="24"/>
      <c r="I88" s="23"/>
      <c r="J88" s="23"/>
      <c r="K88" s="24"/>
    </row>
    <row r="89" spans="1:11" ht="12.95">
      <c r="A89" s="23"/>
      <c r="B89" s="23"/>
      <c r="C89" s="23"/>
      <c r="D89" s="23"/>
      <c r="E89" s="23"/>
      <c r="F89" s="23"/>
      <c r="G89" s="23"/>
      <c r="H89" s="24"/>
      <c r="I89" s="23"/>
      <c r="J89" s="23"/>
      <c r="K89" s="24"/>
    </row>
    <row r="90" spans="1:11" ht="12.95">
      <c r="A90" s="23"/>
      <c r="B90" s="23"/>
      <c r="C90" s="23"/>
      <c r="D90" s="23"/>
      <c r="E90" s="23"/>
      <c r="F90" s="23"/>
      <c r="G90" s="23"/>
      <c r="H90" s="24"/>
      <c r="I90" s="23"/>
      <c r="J90" s="23"/>
      <c r="K90" s="24"/>
    </row>
    <row r="91" spans="1:11" ht="12.95">
      <c r="A91" s="23"/>
      <c r="B91" s="23"/>
      <c r="C91" s="23"/>
      <c r="D91" s="23"/>
      <c r="E91" s="23"/>
      <c r="F91" s="23"/>
      <c r="G91" s="23"/>
      <c r="H91" s="24"/>
      <c r="I91" s="23"/>
      <c r="J91" s="23"/>
      <c r="K91" s="24"/>
    </row>
    <row r="92" spans="1:11" ht="12.95">
      <c r="A92" s="23"/>
      <c r="B92" s="23"/>
      <c r="C92" s="23"/>
      <c r="D92" s="23"/>
      <c r="E92" s="23"/>
      <c r="F92" s="23"/>
      <c r="G92" s="23"/>
      <c r="H92" s="24"/>
      <c r="I92" s="23"/>
      <c r="J92" s="23"/>
      <c r="K92" s="24"/>
    </row>
    <row r="93" spans="1:11" ht="12.95">
      <c r="A93" s="23"/>
      <c r="B93" s="23"/>
      <c r="C93" s="23"/>
      <c r="D93" s="23"/>
      <c r="E93" s="23"/>
      <c r="F93" s="23"/>
      <c r="G93" s="23"/>
      <c r="H93" s="24"/>
      <c r="I93" s="23"/>
      <c r="J93" s="23"/>
      <c r="K93" s="24"/>
    </row>
    <row r="94" spans="1:11" ht="12.95">
      <c r="A94" s="23"/>
      <c r="B94" s="23"/>
      <c r="C94" s="23"/>
      <c r="D94" s="23"/>
      <c r="E94" s="23"/>
      <c r="F94" s="23"/>
      <c r="G94" s="23"/>
      <c r="H94" s="24"/>
      <c r="I94" s="23"/>
      <c r="J94" s="23"/>
      <c r="K94" s="24"/>
    </row>
    <row r="95" spans="1:11" ht="12.95">
      <c r="A95" s="23"/>
      <c r="B95" s="23"/>
      <c r="C95" s="23"/>
      <c r="D95" s="23"/>
      <c r="E95" s="23"/>
      <c r="F95" s="23"/>
      <c r="G95" s="23"/>
      <c r="H95" s="24"/>
      <c r="I95" s="23"/>
      <c r="J95" s="23"/>
      <c r="K95" s="24"/>
    </row>
    <row r="96" spans="1:11" ht="12.95">
      <c r="A96" s="23"/>
      <c r="B96" s="23"/>
      <c r="C96" s="23"/>
      <c r="D96" s="23"/>
      <c r="E96" s="23"/>
      <c r="F96" s="23"/>
      <c r="G96" s="23"/>
      <c r="H96" s="24"/>
      <c r="I96" s="23"/>
      <c r="J96" s="23"/>
      <c r="K96" s="24"/>
    </row>
    <row r="97" spans="1:11" ht="12.95">
      <c r="A97" s="23"/>
      <c r="B97" s="23"/>
      <c r="C97" s="23"/>
      <c r="D97" s="23"/>
      <c r="E97" s="23"/>
      <c r="F97" s="23"/>
      <c r="G97" s="23"/>
      <c r="H97" s="24"/>
      <c r="I97" s="23"/>
      <c r="J97" s="23"/>
      <c r="K97" s="24"/>
    </row>
    <row r="98" spans="1:11" ht="12.95">
      <c r="A98" s="23"/>
      <c r="B98" s="23"/>
      <c r="C98" s="23"/>
      <c r="D98" s="23"/>
      <c r="E98" s="23"/>
      <c r="F98" s="23"/>
      <c r="G98" s="23"/>
      <c r="H98" s="24"/>
      <c r="I98" s="23"/>
      <c r="J98" s="23"/>
      <c r="K98" s="24"/>
    </row>
    <row r="99" spans="1:11" ht="12.95">
      <c r="A99" s="23"/>
      <c r="B99" s="23"/>
      <c r="C99" s="23"/>
      <c r="D99" s="23"/>
      <c r="E99" s="23"/>
      <c r="F99" s="23"/>
      <c r="G99" s="23"/>
      <c r="H99" s="24"/>
      <c r="I99" s="23"/>
      <c r="J99" s="23"/>
      <c r="K99" s="24"/>
    </row>
    <row r="100" spans="1:11" ht="12.95">
      <c r="A100" s="23"/>
      <c r="B100" s="23"/>
      <c r="C100" s="23"/>
      <c r="D100" s="23"/>
      <c r="E100" s="23"/>
      <c r="F100" s="23"/>
      <c r="G100" s="23"/>
      <c r="H100" s="24"/>
      <c r="I100" s="23"/>
      <c r="J100" s="23"/>
      <c r="K100" s="24"/>
    </row>
    <row r="101" spans="1:11" ht="12.95">
      <c r="A101" s="23"/>
      <c r="B101" s="23"/>
      <c r="C101" s="23"/>
      <c r="D101" s="23"/>
      <c r="E101" s="23"/>
      <c r="F101" s="23"/>
      <c r="G101" s="23"/>
      <c r="H101" s="24"/>
      <c r="I101" s="23"/>
      <c r="J101" s="23"/>
      <c r="K101" s="24"/>
    </row>
    <row r="102" spans="1:11" ht="12.95">
      <c r="A102" s="23"/>
      <c r="B102" s="23"/>
      <c r="C102" s="23"/>
      <c r="D102" s="23"/>
      <c r="E102" s="23"/>
      <c r="F102" s="23"/>
      <c r="G102" s="23"/>
      <c r="H102" s="24"/>
      <c r="I102" s="23"/>
      <c r="J102" s="23"/>
      <c r="K102" s="24"/>
    </row>
    <row r="103" spans="1:11" ht="12.95">
      <c r="A103" s="23"/>
      <c r="B103" s="23"/>
      <c r="C103" s="23"/>
      <c r="D103" s="23"/>
      <c r="E103" s="23"/>
      <c r="F103" s="23"/>
      <c r="G103" s="23"/>
      <c r="H103" s="24"/>
      <c r="I103" s="23"/>
      <c r="J103" s="23"/>
      <c r="K103" s="24"/>
    </row>
    <row r="104" spans="1:11" ht="12.95">
      <c r="A104" s="23"/>
      <c r="B104" s="23"/>
      <c r="C104" s="23"/>
      <c r="D104" s="23"/>
      <c r="E104" s="23"/>
      <c r="F104" s="23"/>
      <c r="G104" s="23"/>
      <c r="H104" s="24"/>
      <c r="I104" s="23"/>
      <c r="J104" s="23"/>
      <c r="K104" s="24"/>
    </row>
    <row r="105" spans="1:11" ht="12.95">
      <c r="A105" s="23"/>
      <c r="B105" s="23"/>
      <c r="C105" s="23"/>
      <c r="D105" s="23"/>
      <c r="E105" s="23"/>
      <c r="F105" s="23"/>
      <c r="G105" s="23"/>
      <c r="H105" s="24"/>
      <c r="I105" s="23"/>
      <c r="J105" s="23"/>
      <c r="K105" s="24"/>
    </row>
    <row r="106" spans="1:11" ht="12.95">
      <c r="A106" s="23"/>
      <c r="B106" s="23"/>
      <c r="C106" s="23"/>
      <c r="D106" s="23"/>
      <c r="E106" s="23"/>
      <c r="F106" s="23"/>
      <c r="G106" s="23"/>
      <c r="H106" s="24"/>
      <c r="I106" s="23"/>
      <c r="J106" s="23"/>
      <c r="K106" s="24"/>
    </row>
    <row r="107" spans="1:11" ht="12.95">
      <c r="A107" s="23"/>
      <c r="B107" s="23"/>
      <c r="C107" s="23"/>
      <c r="D107" s="23"/>
      <c r="E107" s="23"/>
      <c r="F107" s="23"/>
      <c r="G107" s="23"/>
      <c r="H107" s="24"/>
      <c r="I107" s="23"/>
      <c r="J107" s="23"/>
      <c r="K107" s="24"/>
    </row>
    <row r="108" spans="1:11" ht="12.95">
      <c r="A108" s="23"/>
      <c r="B108" s="23"/>
      <c r="C108" s="23"/>
      <c r="D108" s="23"/>
      <c r="E108" s="23"/>
      <c r="F108" s="23"/>
      <c r="G108" s="23"/>
      <c r="H108" s="24"/>
      <c r="I108" s="23"/>
      <c r="J108" s="23"/>
      <c r="K108" s="24"/>
    </row>
    <row r="109" spans="1:11" ht="12.95">
      <c r="A109" s="23"/>
      <c r="B109" s="23"/>
      <c r="C109" s="23"/>
      <c r="D109" s="23"/>
      <c r="E109" s="23"/>
      <c r="F109" s="23"/>
      <c r="G109" s="23"/>
      <c r="H109" s="24"/>
      <c r="I109" s="23"/>
      <c r="J109" s="23"/>
      <c r="K109" s="24"/>
    </row>
    <row r="110" spans="1:11" ht="12.95">
      <c r="A110" s="23"/>
      <c r="B110" s="23"/>
      <c r="C110" s="23"/>
      <c r="D110" s="23"/>
      <c r="E110" s="23"/>
      <c r="F110" s="23"/>
      <c r="G110" s="23"/>
      <c r="H110" s="24"/>
      <c r="I110" s="23"/>
      <c r="J110" s="23"/>
      <c r="K110" s="24"/>
    </row>
    <row r="111" spans="1:11" ht="12.95">
      <c r="A111" s="23"/>
      <c r="B111" s="23"/>
      <c r="C111" s="23"/>
      <c r="D111" s="23"/>
      <c r="E111" s="23"/>
      <c r="F111" s="23"/>
      <c r="G111" s="23"/>
      <c r="H111" s="24"/>
      <c r="I111" s="23"/>
      <c r="J111" s="23"/>
      <c r="K111" s="24"/>
    </row>
    <row r="112" spans="1:11" ht="12.95">
      <c r="A112" s="23"/>
      <c r="B112" s="23"/>
      <c r="C112" s="23"/>
      <c r="D112" s="23"/>
      <c r="E112" s="23"/>
      <c r="F112" s="23"/>
      <c r="G112" s="23"/>
      <c r="H112" s="24"/>
      <c r="I112" s="23"/>
      <c r="J112" s="23"/>
      <c r="K112" s="24"/>
    </row>
    <row r="113" spans="1:11" ht="12.95">
      <c r="A113" s="23"/>
      <c r="B113" s="23"/>
      <c r="C113" s="23"/>
      <c r="D113" s="23"/>
      <c r="E113" s="23"/>
      <c r="F113" s="23"/>
      <c r="G113" s="23"/>
      <c r="H113" s="24"/>
      <c r="I113" s="23"/>
      <c r="J113" s="23"/>
      <c r="K113" s="24"/>
    </row>
    <row r="114" spans="1:11" ht="12.95">
      <c r="A114" s="23"/>
      <c r="B114" s="23"/>
      <c r="C114" s="23"/>
      <c r="D114" s="23"/>
      <c r="E114" s="23"/>
      <c r="F114" s="23"/>
      <c r="G114" s="23"/>
      <c r="H114" s="24"/>
      <c r="I114" s="23"/>
      <c r="J114" s="23"/>
      <c r="K114" s="24"/>
    </row>
    <row r="115" spans="1:11" ht="12.95">
      <c r="A115" s="23"/>
      <c r="B115" s="23"/>
      <c r="C115" s="23"/>
      <c r="D115" s="23"/>
      <c r="E115" s="23"/>
      <c r="F115" s="23"/>
      <c r="G115" s="23"/>
      <c r="H115" s="24"/>
      <c r="I115" s="23"/>
      <c r="J115" s="23"/>
      <c r="K115" s="24"/>
    </row>
    <row r="116" spans="1:11" ht="12.95">
      <c r="A116" s="23"/>
      <c r="B116" s="23"/>
      <c r="C116" s="23"/>
      <c r="D116" s="23"/>
      <c r="E116" s="23"/>
      <c r="F116" s="23"/>
      <c r="G116" s="23"/>
      <c r="H116" s="24"/>
      <c r="I116" s="23"/>
      <c r="J116" s="23"/>
      <c r="K116" s="24"/>
    </row>
    <row r="117" spans="1:11" ht="12.95">
      <c r="A117" s="23"/>
      <c r="B117" s="23"/>
      <c r="C117" s="23"/>
      <c r="D117" s="23"/>
      <c r="E117" s="23"/>
      <c r="F117" s="23"/>
      <c r="G117" s="23"/>
      <c r="H117" s="24"/>
      <c r="I117" s="23"/>
      <c r="J117" s="23"/>
      <c r="K117" s="24"/>
    </row>
    <row r="118" spans="1:11" ht="12.95">
      <c r="A118" s="23"/>
      <c r="B118" s="23"/>
      <c r="C118" s="23"/>
      <c r="D118" s="23"/>
      <c r="E118" s="23"/>
      <c r="F118" s="23"/>
      <c r="G118" s="23"/>
      <c r="H118" s="24"/>
      <c r="I118" s="23"/>
      <c r="J118" s="23"/>
      <c r="K118" s="24"/>
    </row>
    <row r="119" spans="1:11" ht="12.95">
      <c r="A119" s="23"/>
      <c r="B119" s="23"/>
      <c r="C119" s="23"/>
      <c r="D119" s="23"/>
      <c r="E119" s="23"/>
      <c r="F119" s="23"/>
      <c r="G119" s="23"/>
      <c r="H119" s="24"/>
      <c r="I119" s="23"/>
      <c r="J119" s="23"/>
      <c r="K119" s="24"/>
    </row>
    <row r="120" spans="1:11" ht="12.95">
      <c r="A120" s="23"/>
      <c r="B120" s="23"/>
      <c r="C120" s="23"/>
      <c r="D120" s="23"/>
      <c r="E120" s="23"/>
      <c r="F120" s="23"/>
      <c r="G120" s="23"/>
      <c r="H120" s="24"/>
      <c r="I120" s="23"/>
      <c r="J120" s="23"/>
      <c r="K120" s="24"/>
    </row>
    <row r="121" spans="1:11" ht="12.95">
      <c r="A121" s="23"/>
      <c r="B121" s="23"/>
      <c r="C121" s="23"/>
      <c r="D121" s="23"/>
      <c r="E121" s="23"/>
      <c r="F121" s="23"/>
      <c r="G121" s="23"/>
      <c r="H121" s="24"/>
      <c r="I121" s="23"/>
      <c r="J121" s="23"/>
      <c r="K121" s="24"/>
    </row>
    <row r="122" spans="1:11" ht="12.95">
      <c r="A122" s="23"/>
      <c r="B122" s="23"/>
      <c r="C122" s="23"/>
      <c r="D122" s="23"/>
      <c r="E122" s="23"/>
      <c r="F122" s="23"/>
      <c r="G122" s="23"/>
      <c r="H122" s="24"/>
      <c r="I122" s="23"/>
      <c r="J122" s="23"/>
      <c r="K122" s="24"/>
    </row>
    <row r="123" spans="1:11" ht="12.95">
      <c r="A123" s="23"/>
      <c r="B123" s="23"/>
      <c r="C123" s="23"/>
      <c r="D123" s="23"/>
      <c r="E123" s="23"/>
      <c r="F123" s="23"/>
      <c r="G123" s="23"/>
      <c r="H123" s="24"/>
      <c r="I123" s="23"/>
      <c r="J123" s="23"/>
      <c r="K123" s="24"/>
    </row>
    <row r="124" spans="1:11" ht="12.95">
      <c r="A124" s="23"/>
      <c r="B124" s="23"/>
      <c r="C124" s="23"/>
      <c r="D124" s="23"/>
      <c r="E124" s="23"/>
      <c r="F124" s="23"/>
      <c r="G124" s="23"/>
      <c r="H124" s="24"/>
      <c r="I124" s="23"/>
      <c r="J124" s="23"/>
      <c r="K124" s="24"/>
    </row>
    <row r="125" spans="1:11" ht="12.95">
      <c r="A125" s="23"/>
      <c r="B125" s="23"/>
      <c r="C125" s="23"/>
      <c r="D125" s="23"/>
      <c r="E125" s="23"/>
      <c r="F125" s="23"/>
      <c r="G125" s="23"/>
      <c r="H125" s="24"/>
      <c r="I125" s="23"/>
      <c r="J125" s="23"/>
      <c r="K125" s="24"/>
    </row>
    <row r="126" spans="1:11" ht="12.95">
      <c r="A126" s="23"/>
      <c r="B126" s="23"/>
      <c r="C126" s="23"/>
      <c r="D126" s="23"/>
      <c r="E126" s="23"/>
      <c r="F126" s="23"/>
      <c r="G126" s="23"/>
      <c r="H126" s="24"/>
      <c r="I126" s="23"/>
      <c r="J126" s="23"/>
      <c r="K126" s="24"/>
    </row>
    <row r="127" spans="1:11" ht="12.95">
      <c r="A127" s="23"/>
      <c r="B127" s="23"/>
      <c r="C127" s="23"/>
      <c r="D127" s="23"/>
      <c r="E127" s="23"/>
      <c r="F127" s="23"/>
      <c r="G127" s="23"/>
      <c r="H127" s="24"/>
      <c r="I127" s="23"/>
      <c r="J127" s="23"/>
      <c r="K127" s="24"/>
    </row>
    <row r="128" spans="1:11" ht="12.95">
      <c r="A128" s="23"/>
      <c r="B128" s="23"/>
      <c r="C128" s="23"/>
      <c r="D128" s="23"/>
      <c r="E128" s="23"/>
      <c r="F128" s="23"/>
      <c r="G128" s="23"/>
      <c r="H128" s="24"/>
      <c r="I128" s="23"/>
      <c r="J128" s="23"/>
      <c r="K128" s="24"/>
    </row>
    <row r="129" spans="1:11" ht="12.95">
      <c r="A129" s="23"/>
      <c r="B129" s="23"/>
      <c r="C129" s="23"/>
      <c r="D129" s="23"/>
      <c r="E129" s="23"/>
      <c r="F129" s="23"/>
      <c r="G129" s="23"/>
      <c r="H129" s="24"/>
      <c r="I129" s="23"/>
      <c r="J129" s="23"/>
      <c r="K129" s="24"/>
    </row>
    <row r="130" spans="1:11" ht="12.95">
      <c r="A130" s="23"/>
      <c r="B130" s="23"/>
      <c r="C130" s="23"/>
      <c r="D130" s="23"/>
      <c r="E130" s="23"/>
      <c r="F130" s="23"/>
      <c r="G130" s="23"/>
      <c r="H130" s="24"/>
      <c r="I130" s="23"/>
      <c r="J130" s="23"/>
      <c r="K130" s="24"/>
    </row>
    <row r="131" spans="1:11" ht="12.95">
      <c r="A131" s="23"/>
      <c r="B131" s="23"/>
      <c r="C131" s="23"/>
      <c r="D131" s="23"/>
      <c r="E131" s="23"/>
      <c r="F131" s="23"/>
      <c r="G131" s="23"/>
      <c r="H131" s="24"/>
      <c r="I131" s="23"/>
      <c r="J131" s="23"/>
      <c r="K131" s="24"/>
    </row>
    <row r="132" spans="1:11" ht="12.95">
      <c r="A132" s="23"/>
      <c r="B132" s="23"/>
      <c r="C132" s="23"/>
      <c r="D132" s="23"/>
      <c r="E132" s="23"/>
      <c r="F132" s="23"/>
      <c r="G132" s="23"/>
      <c r="H132" s="24"/>
      <c r="I132" s="23"/>
      <c r="J132" s="23"/>
      <c r="K132" s="24"/>
    </row>
    <row r="133" spans="1:11" ht="12.95">
      <c r="A133" s="23"/>
      <c r="B133" s="23"/>
      <c r="C133" s="23"/>
      <c r="D133" s="23"/>
      <c r="E133" s="23"/>
      <c r="F133" s="23"/>
      <c r="G133" s="23"/>
      <c r="H133" s="24"/>
      <c r="I133" s="23"/>
      <c r="J133" s="23"/>
      <c r="K133" s="24"/>
    </row>
    <row r="134" spans="1:11" ht="12.95">
      <c r="A134" s="23"/>
      <c r="B134" s="23"/>
      <c r="C134" s="23"/>
      <c r="D134" s="23"/>
      <c r="E134" s="23"/>
      <c r="F134" s="23"/>
      <c r="G134" s="23"/>
      <c r="H134" s="24"/>
      <c r="I134" s="23"/>
      <c r="J134" s="23"/>
      <c r="K134" s="24"/>
    </row>
    <row r="135" spans="1:11" ht="12.95">
      <c r="A135" s="23"/>
      <c r="B135" s="23"/>
      <c r="C135" s="23"/>
      <c r="D135" s="23"/>
      <c r="E135" s="23"/>
      <c r="F135" s="23"/>
      <c r="G135" s="23"/>
      <c r="H135" s="24"/>
      <c r="I135" s="23"/>
      <c r="J135" s="23"/>
      <c r="K135" s="24"/>
    </row>
    <row r="136" spans="1:11" ht="12.95">
      <c r="A136" s="23"/>
      <c r="B136" s="23"/>
      <c r="C136" s="23"/>
      <c r="D136" s="23"/>
      <c r="E136" s="23"/>
      <c r="F136" s="23"/>
      <c r="G136" s="23"/>
      <c r="H136" s="24"/>
      <c r="I136" s="23"/>
      <c r="J136" s="23"/>
      <c r="K136" s="24"/>
    </row>
    <row r="137" spans="1:11" ht="12.95">
      <c r="A137" s="23"/>
      <c r="B137" s="23"/>
      <c r="C137" s="23"/>
      <c r="D137" s="23"/>
      <c r="E137" s="23"/>
      <c r="F137" s="23"/>
      <c r="G137" s="23"/>
      <c r="H137" s="24"/>
      <c r="I137" s="23"/>
      <c r="J137" s="23"/>
      <c r="K137" s="24"/>
    </row>
    <row r="138" spans="1:11" ht="12.95">
      <c r="A138" s="23"/>
      <c r="B138" s="23"/>
      <c r="C138" s="23"/>
      <c r="D138" s="23"/>
      <c r="E138" s="23"/>
      <c r="F138" s="23"/>
      <c r="G138" s="23"/>
      <c r="H138" s="24"/>
      <c r="I138" s="23"/>
      <c r="J138" s="23"/>
      <c r="K138" s="24"/>
    </row>
    <row r="139" spans="1:11" ht="12.95">
      <c r="A139" s="23"/>
      <c r="B139" s="23"/>
      <c r="C139" s="23"/>
      <c r="D139" s="23"/>
      <c r="E139" s="23"/>
      <c r="F139" s="23"/>
      <c r="G139" s="23"/>
      <c r="H139" s="24"/>
      <c r="I139" s="23"/>
      <c r="J139" s="23"/>
      <c r="K139" s="24"/>
    </row>
    <row r="140" spans="1:11" ht="12.95">
      <c r="A140" s="23"/>
      <c r="B140" s="23"/>
      <c r="C140" s="23"/>
      <c r="D140" s="23"/>
      <c r="E140" s="23"/>
      <c r="F140" s="23"/>
      <c r="G140" s="23"/>
      <c r="H140" s="24"/>
      <c r="I140" s="23"/>
      <c r="J140" s="23"/>
      <c r="K140" s="24"/>
    </row>
    <row r="141" spans="1:11" ht="12.95">
      <c r="A141" s="23"/>
      <c r="B141" s="23"/>
      <c r="C141" s="23"/>
      <c r="D141" s="23"/>
      <c r="E141" s="23"/>
      <c r="F141" s="23"/>
      <c r="G141" s="23"/>
      <c r="H141" s="24"/>
      <c r="I141" s="23"/>
      <c r="J141" s="23"/>
      <c r="K141" s="24"/>
    </row>
    <row r="142" spans="1:11" ht="12.95">
      <c r="A142" s="23"/>
      <c r="B142" s="23"/>
      <c r="C142" s="23"/>
      <c r="D142" s="23"/>
      <c r="E142" s="23"/>
      <c r="F142" s="23"/>
      <c r="G142" s="23"/>
      <c r="H142" s="24"/>
      <c r="I142" s="23"/>
      <c r="J142" s="23"/>
      <c r="K142" s="24"/>
    </row>
    <row r="143" spans="1:11" ht="12.95">
      <c r="A143" s="23"/>
      <c r="B143" s="23"/>
      <c r="C143" s="23"/>
      <c r="D143" s="23"/>
      <c r="E143" s="23"/>
      <c r="F143" s="23"/>
      <c r="G143" s="23"/>
      <c r="H143" s="24"/>
      <c r="I143" s="23"/>
      <c r="J143" s="23"/>
      <c r="K143" s="24"/>
    </row>
    <row r="144" spans="1:11" ht="12.95">
      <c r="A144" s="23"/>
      <c r="B144" s="23"/>
      <c r="C144" s="23"/>
      <c r="D144" s="23"/>
      <c r="E144" s="23"/>
      <c r="F144" s="23"/>
      <c r="G144" s="23"/>
      <c r="H144" s="24"/>
      <c r="I144" s="23"/>
      <c r="J144" s="23"/>
      <c r="K144" s="24"/>
    </row>
    <row r="145" spans="1:11" ht="12.95">
      <c r="A145" s="23"/>
      <c r="B145" s="23"/>
      <c r="C145" s="23"/>
      <c r="D145" s="23"/>
      <c r="E145" s="23"/>
      <c r="F145" s="23"/>
      <c r="G145" s="23"/>
      <c r="H145" s="24"/>
      <c r="I145" s="23"/>
      <c r="J145" s="23"/>
      <c r="K145" s="24"/>
    </row>
    <row r="146" spans="1:11" ht="12.95">
      <c r="A146" s="23"/>
      <c r="B146" s="23"/>
      <c r="C146" s="23"/>
      <c r="D146" s="23"/>
      <c r="E146" s="23"/>
      <c r="F146" s="23"/>
      <c r="G146" s="23"/>
      <c r="H146" s="24"/>
      <c r="I146" s="23"/>
      <c r="J146" s="23"/>
      <c r="K146" s="24"/>
    </row>
    <row r="147" spans="1:11" ht="12.95">
      <c r="A147" s="23"/>
      <c r="B147" s="23"/>
      <c r="C147" s="23"/>
      <c r="D147" s="23"/>
      <c r="E147" s="23"/>
      <c r="F147" s="23"/>
      <c r="G147" s="23"/>
      <c r="H147" s="24"/>
      <c r="I147" s="23"/>
      <c r="J147" s="23"/>
      <c r="K147" s="24"/>
    </row>
    <row r="148" spans="1:11" ht="12.95">
      <c r="A148" s="23"/>
      <c r="B148" s="23"/>
      <c r="C148" s="23"/>
      <c r="D148" s="23"/>
      <c r="E148" s="23"/>
      <c r="F148" s="23"/>
      <c r="G148" s="23"/>
      <c r="H148" s="24"/>
      <c r="I148" s="23"/>
      <c r="J148" s="23"/>
      <c r="K148" s="24"/>
    </row>
    <row r="149" spans="1:11" ht="12.95">
      <c r="A149" s="23"/>
      <c r="B149" s="23"/>
      <c r="C149" s="23"/>
      <c r="D149" s="23"/>
      <c r="E149" s="23"/>
      <c r="F149" s="23"/>
      <c r="G149" s="23"/>
      <c r="H149" s="24"/>
      <c r="I149" s="23"/>
      <c r="J149" s="23"/>
      <c r="K149" s="24"/>
    </row>
    <row r="150" spans="1:11" ht="12.95">
      <c r="A150" s="23"/>
      <c r="B150" s="23"/>
      <c r="C150" s="23"/>
      <c r="D150" s="23"/>
      <c r="E150" s="23"/>
      <c r="F150" s="23"/>
      <c r="G150" s="23"/>
      <c r="H150" s="24"/>
      <c r="I150" s="23"/>
      <c r="J150" s="23"/>
      <c r="K150" s="24"/>
    </row>
    <row r="151" spans="1:11" ht="12.95">
      <c r="A151" s="23"/>
      <c r="B151" s="23"/>
      <c r="C151" s="23"/>
      <c r="D151" s="23"/>
      <c r="E151" s="23"/>
      <c r="F151" s="23"/>
      <c r="G151" s="23"/>
      <c r="H151" s="24"/>
      <c r="I151" s="23"/>
      <c r="J151" s="23"/>
      <c r="K151" s="24"/>
    </row>
    <row r="152" spans="1:11" ht="12.95">
      <c r="A152" s="23"/>
      <c r="B152" s="23"/>
      <c r="C152" s="23"/>
      <c r="D152" s="23"/>
      <c r="E152" s="23"/>
      <c r="F152" s="23"/>
      <c r="G152" s="23"/>
      <c r="H152" s="24"/>
      <c r="I152" s="23"/>
      <c r="J152" s="23"/>
      <c r="K152" s="24"/>
    </row>
    <row r="153" spans="1:11" ht="12.95">
      <c r="A153" s="23"/>
      <c r="B153" s="23"/>
      <c r="C153" s="23"/>
      <c r="D153" s="23"/>
      <c r="E153" s="23"/>
      <c r="F153" s="23"/>
      <c r="G153" s="23"/>
      <c r="H153" s="24"/>
      <c r="I153" s="23"/>
      <c r="J153" s="23"/>
      <c r="K153" s="24"/>
    </row>
    <row r="154" spans="1:11" ht="12.95">
      <c r="A154" s="23"/>
      <c r="B154" s="23"/>
      <c r="C154" s="23"/>
      <c r="D154" s="23"/>
      <c r="E154" s="23"/>
      <c r="F154" s="23"/>
      <c r="G154" s="23"/>
      <c r="H154" s="24"/>
      <c r="I154" s="23"/>
      <c r="J154" s="23"/>
      <c r="K154" s="24"/>
    </row>
    <row r="155" spans="1:11" ht="12.95">
      <c r="A155" s="23"/>
      <c r="B155" s="23"/>
      <c r="C155" s="23"/>
      <c r="D155" s="23"/>
      <c r="E155" s="23"/>
      <c r="F155" s="23"/>
      <c r="G155" s="23"/>
      <c r="H155" s="24"/>
      <c r="I155" s="23"/>
      <c r="J155" s="23"/>
      <c r="K155" s="24"/>
    </row>
    <row r="156" spans="1:11" ht="12.95">
      <c r="A156" s="23"/>
      <c r="B156" s="23"/>
      <c r="C156" s="23"/>
      <c r="D156" s="23"/>
      <c r="E156" s="23"/>
      <c r="F156" s="23"/>
      <c r="G156" s="23"/>
      <c r="H156" s="24"/>
      <c r="I156" s="23"/>
      <c r="J156" s="23"/>
      <c r="K156" s="24"/>
    </row>
    <row r="157" spans="1:11" ht="12.95">
      <c r="A157" s="23"/>
      <c r="B157" s="23"/>
      <c r="C157" s="23"/>
      <c r="D157" s="23"/>
      <c r="E157" s="23"/>
      <c r="F157" s="23"/>
      <c r="G157" s="23"/>
      <c r="H157" s="24"/>
      <c r="I157" s="23"/>
      <c r="J157" s="23"/>
      <c r="K157" s="24"/>
    </row>
    <row r="158" spans="1:11" ht="12.95">
      <c r="A158" s="23"/>
      <c r="B158" s="23"/>
      <c r="C158" s="23"/>
      <c r="D158" s="23"/>
      <c r="E158" s="23"/>
      <c r="F158" s="23"/>
      <c r="G158" s="23"/>
      <c r="H158" s="24"/>
      <c r="I158" s="23"/>
      <c r="J158" s="23"/>
      <c r="K158" s="24"/>
    </row>
    <row r="159" spans="1:11" ht="12.95">
      <c r="A159" s="23"/>
      <c r="B159" s="23"/>
      <c r="C159" s="23"/>
      <c r="D159" s="23"/>
      <c r="E159" s="23"/>
      <c r="F159" s="23"/>
      <c r="G159" s="23"/>
      <c r="H159" s="24"/>
      <c r="I159" s="23"/>
      <c r="J159" s="23"/>
      <c r="K159" s="24"/>
    </row>
    <row r="160" spans="1:11" ht="12.95">
      <c r="A160" s="23"/>
      <c r="B160" s="23"/>
      <c r="C160" s="23"/>
      <c r="D160" s="23"/>
      <c r="E160" s="23"/>
      <c r="F160" s="23"/>
      <c r="G160" s="23"/>
      <c r="H160" s="24"/>
      <c r="I160" s="23"/>
      <c r="J160" s="23"/>
      <c r="K160" s="24"/>
    </row>
    <row r="161" spans="1:11" ht="12.95">
      <c r="A161" s="23"/>
      <c r="B161" s="23"/>
      <c r="C161" s="23"/>
      <c r="D161" s="23"/>
      <c r="E161" s="23"/>
      <c r="F161" s="23"/>
      <c r="G161" s="23"/>
      <c r="H161" s="24"/>
      <c r="I161" s="23"/>
      <c r="J161" s="23"/>
      <c r="K161" s="24"/>
    </row>
    <row r="162" spans="1:11" ht="12.95">
      <c r="A162" s="23"/>
      <c r="B162" s="23"/>
      <c r="C162" s="23"/>
      <c r="D162" s="23"/>
      <c r="E162" s="23"/>
      <c r="F162" s="23"/>
      <c r="G162" s="23"/>
      <c r="H162" s="24"/>
      <c r="I162" s="23"/>
      <c r="J162" s="23"/>
      <c r="K162" s="24"/>
    </row>
    <row r="163" spans="1:11" ht="12.95">
      <c r="A163" s="23"/>
      <c r="B163" s="23"/>
      <c r="C163" s="23"/>
      <c r="D163" s="23"/>
      <c r="E163" s="23"/>
      <c r="F163" s="23"/>
      <c r="G163" s="23"/>
      <c r="H163" s="24"/>
      <c r="I163" s="23"/>
      <c r="J163" s="23"/>
      <c r="K163" s="24"/>
    </row>
    <row r="164" spans="1:11" ht="12.95">
      <c r="A164" s="23"/>
      <c r="B164" s="23"/>
      <c r="C164" s="23"/>
      <c r="D164" s="23"/>
      <c r="E164" s="23"/>
      <c r="F164" s="23"/>
      <c r="G164" s="23"/>
      <c r="H164" s="24"/>
      <c r="I164" s="23"/>
      <c r="J164" s="23"/>
      <c r="K164" s="24"/>
    </row>
    <row r="165" spans="1:11" ht="12.95">
      <c r="A165" s="23"/>
      <c r="B165" s="23"/>
      <c r="C165" s="23"/>
      <c r="D165" s="23"/>
      <c r="E165" s="23"/>
      <c r="F165" s="23"/>
      <c r="G165" s="23"/>
      <c r="H165" s="24"/>
      <c r="I165" s="23"/>
      <c r="J165" s="23"/>
      <c r="K165" s="24"/>
    </row>
    <row r="166" spans="1:11" ht="12.95">
      <c r="A166" s="23"/>
      <c r="B166" s="23"/>
      <c r="C166" s="23"/>
      <c r="D166" s="23"/>
      <c r="E166" s="23"/>
      <c r="F166" s="23"/>
      <c r="G166" s="23"/>
      <c r="H166" s="24"/>
      <c r="I166" s="23"/>
      <c r="J166" s="23"/>
      <c r="K166" s="24"/>
    </row>
    <row r="167" spans="1:11" ht="12.95">
      <c r="A167" s="23"/>
      <c r="B167" s="23"/>
      <c r="C167" s="23"/>
      <c r="D167" s="23"/>
      <c r="E167" s="23"/>
      <c r="F167" s="23"/>
      <c r="G167" s="23"/>
      <c r="H167" s="24"/>
      <c r="I167" s="23"/>
      <c r="J167" s="23"/>
      <c r="K167" s="24"/>
    </row>
    <row r="168" spans="1:11" ht="12.95">
      <c r="A168" s="23"/>
      <c r="B168" s="23"/>
      <c r="C168" s="23"/>
      <c r="D168" s="23"/>
      <c r="E168" s="23"/>
      <c r="F168" s="23"/>
      <c r="G168" s="23"/>
      <c r="H168" s="24"/>
      <c r="I168" s="23"/>
      <c r="J168" s="23"/>
      <c r="K168" s="24"/>
    </row>
    <row r="169" spans="1:11" ht="12.95">
      <c r="A169" s="23"/>
      <c r="B169" s="23"/>
      <c r="C169" s="23"/>
      <c r="D169" s="23"/>
      <c r="E169" s="23"/>
      <c r="F169" s="23"/>
      <c r="G169" s="23"/>
      <c r="H169" s="24"/>
      <c r="I169" s="23"/>
      <c r="J169" s="23"/>
      <c r="K169" s="24"/>
    </row>
    <row r="170" spans="1:11" ht="12.95">
      <c r="A170" s="23"/>
      <c r="B170" s="23"/>
      <c r="C170" s="23"/>
      <c r="D170" s="23"/>
      <c r="E170" s="23"/>
      <c r="F170" s="23"/>
      <c r="G170" s="23"/>
      <c r="H170" s="24"/>
      <c r="I170" s="23"/>
      <c r="J170" s="23"/>
      <c r="K170" s="24"/>
    </row>
    <row r="171" spans="1:11" ht="12.95">
      <c r="A171" s="23"/>
      <c r="B171" s="23"/>
      <c r="C171" s="23"/>
      <c r="D171" s="23"/>
      <c r="E171" s="23"/>
      <c r="F171" s="23"/>
      <c r="G171" s="23"/>
      <c r="H171" s="24"/>
      <c r="I171" s="23"/>
      <c r="J171" s="23"/>
      <c r="K171" s="24"/>
    </row>
    <row r="172" spans="1:11" ht="12.95">
      <c r="A172" s="23"/>
      <c r="B172" s="23"/>
      <c r="C172" s="23"/>
      <c r="D172" s="23"/>
      <c r="E172" s="23"/>
      <c r="F172" s="23"/>
      <c r="G172" s="23"/>
      <c r="H172" s="24"/>
      <c r="I172" s="23"/>
      <c r="J172" s="23"/>
      <c r="K172" s="24"/>
    </row>
    <row r="173" spans="1:11" ht="12.95">
      <c r="A173" s="23"/>
      <c r="B173" s="23"/>
      <c r="C173" s="23"/>
      <c r="D173" s="23"/>
      <c r="E173" s="23"/>
      <c r="F173" s="23"/>
      <c r="G173" s="23"/>
      <c r="H173" s="24"/>
      <c r="I173" s="23"/>
      <c r="J173" s="23"/>
      <c r="K173" s="24"/>
    </row>
    <row r="174" spans="1:11" ht="12.95">
      <c r="A174" s="23"/>
      <c r="B174" s="23"/>
      <c r="C174" s="23"/>
      <c r="D174" s="23"/>
      <c r="E174" s="23"/>
      <c r="F174" s="23"/>
      <c r="G174" s="23"/>
      <c r="H174" s="24"/>
      <c r="I174" s="23"/>
      <c r="J174" s="23"/>
      <c r="K174" s="24"/>
    </row>
    <row r="175" spans="1:11" ht="12.95">
      <c r="A175" s="23"/>
      <c r="B175" s="23"/>
      <c r="C175" s="23"/>
      <c r="D175" s="23"/>
      <c r="E175" s="23"/>
      <c r="F175" s="23"/>
      <c r="G175" s="23"/>
      <c r="H175" s="24"/>
      <c r="I175" s="23"/>
      <c r="J175" s="23"/>
      <c r="K175" s="24"/>
    </row>
    <row r="176" spans="1:11" ht="12.95">
      <c r="A176" s="23"/>
      <c r="B176" s="23"/>
      <c r="C176" s="23"/>
      <c r="D176" s="23"/>
      <c r="E176" s="23"/>
      <c r="F176" s="23"/>
      <c r="G176" s="23"/>
      <c r="H176" s="24"/>
      <c r="I176" s="23"/>
      <c r="J176" s="23"/>
      <c r="K176" s="24"/>
    </row>
    <row r="177" spans="1:11" ht="12.95">
      <c r="A177" s="23"/>
      <c r="B177" s="23"/>
      <c r="C177" s="23"/>
      <c r="D177" s="23"/>
      <c r="E177" s="23"/>
      <c r="F177" s="23"/>
      <c r="G177" s="23"/>
      <c r="H177" s="24"/>
      <c r="I177" s="23"/>
      <c r="J177" s="23"/>
      <c r="K177" s="24"/>
    </row>
    <row r="178" spans="1:11" ht="12.95">
      <c r="A178" s="23"/>
      <c r="B178" s="23"/>
      <c r="C178" s="23"/>
      <c r="D178" s="23"/>
      <c r="E178" s="23"/>
      <c r="F178" s="23"/>
      <c r="G178" s="23"/>
      <c r="H178" s="24"/>
      <c r="I178" s="23"/>
      <c r="J178" s="23"/>
      <c r="K178" s="24"/>
    </row>
    <row r="179" spans="1:11" ht="12.95">
      <c r="A179" s="23"/>
      <c r="B179" s="23"/>
      <c r="C179" s="23"/>
      <c r="D179" s="23"/>
      <c r="E179" s="23"/>
      <c r="F179" s="23"/>
      <c r="G179" s="23"/>
      <c r="H179" s="24"/>
      <c r="I179" s="23"/>
      <c r="J179" s="23"/>
      <c r="K179" s="24"/>
    </row>
    <row r="180" spans="1:11" ht="12.95">
      <c r="A180" s="23"/>
      <c r="B180" s="23"/>
      <c r="C180" s="23"/>
      <c r="D180" s="23"/>
      <c r="E180" s="23"/>
      <c r="F180" s="23"/>
      <c r="G180" s="23"/>
      <c r="H180" s="24"/>
      <c r="I180" s="23"/>
      <c r="J180" s="23"/>
      <c r="K180" s="24"/>
    </row>
    <row r="181" spans="1:11" ht="12.95">
      <c r="A181" s="23"/>
      <c r="B181" s="23"/>
      <c r="C181" s="23"/>
      <c r="D181" s="23"/>
      <c r="E181" s="23"/>
      <c r="F181" s="23"/>
      <c r="G181" s="23"/>
      <c r="H181" s="24"/>
      <c r="I181" s="23"/>
      <c r="J181" s="23"/>
      <c r="K181" s="24"/>
    </row>
    <row r="182" spans="1:11" ht="12.95">
      <c r="A182" s="23"/>
      <c r="B182" s="23"/>
      <c r="C182" s="23"/>
      <c r="D182" s="23"/>
      <c r="E182" s="23"/>
      <c r="F182" s="23"/>
      <c r="G182" s="23"/>
      <c r="H182" s="24"/>
      <c r="I182" s="23"/>
      <c r="J182" s="23"/>
      <c r="K182" s="24"/>
    </row>
    <row r="183" spans="1:11" ht="12.95">
      <c r="A183" s="23"/>
      <c r="B183" s="23"/>
      <c r="C183" s="23"/>
      <c r="D183" s="23"/>
      <c r="E183" s="23"/>
      <c r="F183" s="23"/>
      <c r="G183" s="23"/>
      <c r="H183" s="24"/>
      <c r="I183" s="23"/>
      <c r="J183" s="23"/>
      <c r="K183" s="24"/>
    </row>
    <row r="184" spans="1:11" ht="12.95">
      <c r="A184" s="23"/>
      <c r="B184" s="23"/>
      <c r="C184" s="23"/>
      <c r="D184" s="23"/>
      <c r="E184" s="23"/>
      <c r="F184" s="23"/>
      <c r="G184" s="23"/>
      <c r="H184" s="24"/>
      <c r="I184" s="23"/>
      <c r="J184" s="23"/>
      <c r="K184" s="24"/>
    </row>
    <row r="185" spans="1:11" ht="12.95">
      <c r="A185" s="23"/>
      <c r="B185" s="23"/>
      <c r="C185" s="23"/>
      <c r="D185" s="23"/>
      <c r="E185" s="23"/>
      <c r="F185" s="23"/>
      <c r="G185" s="23"/>
      <c r="H185" s="24"/>
      <c r="I185" s="23"/>
      <c r="J185" s="23"/>
      <c r="K185" s="24"/>
    </row>
    <row r="186" spans="1:11" ht="12.95">
      <c r="A186" s="23"/>
      <c r="B186" s="23"/>
      <c r="C186" s="23"/>
      <c r="D186" s="23"/>
      <c r="E186" s="23"/>
      <c r="F186" s="23"/>
      <c r="G186" s="23"/>
      <c r="H186" s="24"/>
      <c r="I186" s="23"/>
      <c r="J186" s="23"/>
      <c r="K186" s="24"/>
    </row>
    <row r="187" spans="1:11" ht="12.95">
      <c r="A187" s="23"/>
      <c r="B187" s="23"/>
      <c r="C187" s="23"/>
      <c r="D187" s="23"/>
      <c r="E187" s="23"/>
      <c r="F187" s="23"/>
      <c r="G187" s="23"/>
      <c r="H187" s="24"/>
      <c r="I187" s="23"/>
      <c r="J187" s="23"/>
      <c r="K187" s="24"/>
    </row>
    <row r="188" spans="1:11" ht="12.95">
      <c r="A188" s="23"/>
      <c r="B188" s="23"/>
      <c r="C188" s="23"/>
      <c r="D188" s="23"/>
      <c r="E188" s="23"/>
      <c r="F188" s="23"/>
      <c r="G188" s="23"/>
      <c r="H188" s="24"/>
      <c r="I188" s="23"/>
      <c r="J188" s="23"/>
      <c r="K188" s="24"/>
    </row>
    <row r="189" spans="1:11" ht="12.95">
      <c r="A189" s="23"/>
      <c r="B189" s="23"/>
      <c r="C189" s="23"/>
      <c r="D189" s="23"/>
      <c r="E189" s="23"/>
      <c r="F189" s="23"/>
      <c r="G189" s="23"/>
      <c r="H189" s="24"/>
      <c r="I189" s="23"/>
      <c r="J189" s="23"/>
      <c r="K189" s="24"/>
    </row>
    <row r="190" spans="1:11" ht="12.95">
      <c r="A190" s="23"/>
      <c r="B190" s="23"/>
      <c r="C190" s="23"/>
      <c r="D190" s="23"/>
      <c r="E190" s="23"/>
      <c r="F190" s="23"/>
      <c r="G190" s="23"/>
      <c r="H190" s="24"/>
      <c r="I190" s="23"/>
      <c r="J190" s="23"/>
      <c r="K190" s="24"/>
    </row>
    <row r="191" spans="1:11" ht="12.95">
      <c r="A191" s="23"/>
      <c r="B191" s="23"/>
      <c r="C191" s="23"/>
      <c r="D191" s="23"/>
      <c r="E191" s="23"/>
      <c r="F191" s="23"/>
      <c r="G191" s="23"/>
      <c r="H191" s="24"/>
      <c r="I191" s="23"/>
      <c r="J191" s="23"/>
      <c r="K191" s="24"/>
    </row>
    <row r="192" spans="1:11" ht="12.95">
      <c r="A192" s="23"/>
      <c r="B192" s="23"/>
      <c r="C192" s="23"/>
      <c r="D192" s="23"/>
      <c r="E192" s="23"/>
      <c r="F192" s="23"/>
      <c r="G192" s="23"/>
      <c r="H192" s="24"/>
      <c r="I192" s="23"/>
      <c r="J192" s="23"/>
      <c r="K192" s="24"/>
    </row>
    <row r="193" spans="1:11" ht="12.95">
      <c r="A193" s="23"/>
      <c r="B193" s="23"/>
      <c r="C193" s="23"/>
      <c r="D193" s="23"/>
      <c r="E193" s="23"/>
      <c r="F193" s="23"/>
      <c r="G193" s="23"/>
      <c r="H193" s="24"/>
      <c r="I193" s="23"/>
      <c r="J193" s="23"/>
      <c r="K193" s="24"/>
    </row>
    <row r="194" spans="1:11" ht="12.95">
      <c r="A194" s="23"/>
      <c r="B194" s="23"/>
      <c r="C194" s="23"/>
      <c r="D194" s="23"/>
      <c r="E194" s="23"/>
      <c r="F194" s="23"/>
      <c r="G194" s="23"/>
      <c r="H194" s="24"/>
      <c r="I194" s="23"/>
      <c r="J194" s="23"/>
      <c r="K194" s="24"/>
    </row>
    <row r="195" spans="1:11" ht="12.95">
      <c r="A195" s="23"/>
      <c r="B195" s="23"/>
      <c r="C195" s="23"/>
      <c r="D195" s="23"/>
      <c r="E195" s="23"/>
      <c r="F195" s="23"/>
      <c r="G195" s="23"/>
      <c r="H195" s="24"/>
      <c r="I195" s="23"/>
      <c r="J195" s="23"/>
      <c r="K195" s="24"/>
    </row>
    <row r="196" spans="1:11" ht="12.95">
      <c r="A196" s="23"/>
      <c r="B196" s="23"/>
      <c r="C196" s="23"/>
      <c r="D196" s="23"/>
      <c r="E196" s="23"/>
      <c r="F196" s="23"/>
      <c r="G196" s="23"/>
      <c r="H196" s="24"/>
      <c r="I196" s="23"/>
      <c r="J196" s="23"/>
      <c r="K196" s="24"/>
    </row>
    <row r="197" spans="1:11" ht="12.95">
      <c r="A197" s="23"/>
      <c r="B197" s="23"/>
      <c r="C197" s="23"/>
      <c r="D197" s="23"/>
      <c r="E197" s="23"/>
      <c r="F197" s="23"/>
      <c r="G197" s="23"/>
      <c r="H197" s="24"/>
      <c r="I197" s="23"/>
      <c r="J197" s="23"/>
      <c r="K197" s="24"/>
    </row>
    <row r="198" spans="1:11" ht="12.95">
      <c r="A198" s="23"/>
      <c r="B198" s="23"/>
      <c r="C198" s="23"/>
      <c r="D198" s="23"/>
      <c r="E198" s="23"/>
      <c r="F198" s="23"/>
      <c r="G198" s="23"/>
      <c r="H198" s="24"/>
      <c r="I198" s="23"/>
      <c r="J198" s="23"/>
      <c r="K198" s="24"/>
    </row>
    <row r="199" spans="1:11" ht="12.95">
      <c r="A199" s="23"/>
      <c r="B199" s="23"/>
      <c r="C199" s="23"/>
      <c r="D199" s="23"/>
      <c r="E199" s="23"/>
      <c r="F199" s="23"/>
      <c r="G199" s="23"/>
      <c r="H199" s="24"/>
      <c r="I199" s="23"/>
      <c r="J199" s="23"/>
      <c r="K199" s="24"/>
    </row>
    <row r="200" spans="1:11" ht="12.95">
      <c r="A200" s="23"/>
      <c r="B200" s="23"/>
      <c r="C200" s="23"/>
      <c r="D200" s="23"/>
      <c r="E200" s="23"/>
      <c r="F200" s="23"/>
      <c r="G200" s="23"/>
      <c r="H200" s="24"/>
      <c r="I200" s="23"/>
      <c r="J200" s="23"/>
      <c r="K200" s="24"/>
    </row>
    <row r="201" spans="1:11" ht="12.95">
      <c r="A201" s="23"/>
      <c r="B201" s="23"/>
      <c r="C201" s="23"/>
      <c r="D201" s="23"/>
      <c r="E201" s="23"/>
      <c r="F201" s="23"/>
      <c r="G201" s="23"/>
      <c r="H201" s="24"/>
      <c r="I201" s="23"/>
      <c r="J201" s="23"/>
      <c r="K201" s="24"/>
    </row>
    <row r="202" spans="1:11" ht="12.95">
      <c r="A202" s="23"/>
      <c r="B202" s="23"/>
      <c r="C202" s="23"/>
      <c r="D202" s="23"/>
      <c r="E202" s="23"/>
      <c r="F202" s="23"/>
      <c r="G202" s="23"/>
      <c r="H202" s="24"/>
      <c r="I202" s="23"/>
      <c r="J202" s="23"/>
      <c r="K202" s="24"/>
    </row>
    <row r="203" spans="1:11" ht="12.95">
      <c r="A203" s="23"/>
      <c r="B203" s="23"/>
      <c r="C203" s="23"/>
      <c r="D203" s="23"/>
      <c r="E203" s="23"/>
      <c r="F203" s="23"/>
      <c r="G203" s="23"/>
      <c r="H203" s="24"/>
      <c r="I203" s="23"/>
      <c r="J203" s="23"/>
      <c r="K203" s="24"/>
    </row>
    <row r="204" spans="1:11" ht="12.95">
      <c r="A204" s="23"/>
      <c r="B204" s="23"/>
      <c r="C204" s="23"/>
      <c r="D204" s="23"/>
      <c r="E204" s="23"/>
      <c r="F204" s="23"/>
      <c r="G204" s="23"/>
      <c r="H204" s="24"/>
      <c r="I204" s="23"/>
      <c r="J204" s="23"/>
      <c r="K204" s="24"/>
    </row>
    <row r="205" spans="1:11" ht="12.95">
      <c r="A205" s="23"/>
      <c r="B205" s="23"/>
      <c r="C205" s="23"/>
      <c r="D205" s="23"/>
      <c r="E205" s="23"/>
      <c r="F205" s="23"/>
      <c r="G205" s="23"/>
      <c r="H205" s="24"/>
      <c r="I205" s="23"/>
      <c r="J205" s="23"/>
      <c r="K205" s="24"/>
    </row>
    <row r="206" spans="1:11" ht="12.95">
      <c r="A206" s="23"/>
      <c r="B206" s="23"/>
      <c r="C206" s="23"/>
      <c r="D206" s="23"/>
      <c r="E206" s="23"/>
      <c r="F206" s="23"/>
      <c r="G206" s="23"/>
      <c r="H206" s="24"/>
      <c r="I206" s="23"/>
      <c r="J206" s="23"/>
      <c r="K206" s="24"/>
    </row>
    <row r="207" spans="1:11" ht="12.95">
      <c r="A207" s="23"/>
      <c r="B207" s="23"/>
      <c r="C207" s="23"/>
      <c r="D207" s="23"/>
      <c r="E207" s="23"/>
      <c r="F207" s="23"/>
      <c r="G207" s="23"/>
      <c r="H207" s="24"/>
      <c r="I207" s="23"/>
      <c r="J207" s="23"/>
      <c r="K207" s="24"/>
    </row>
    <row r="208" spans="1:11" ht="12.95">
      <c r="A208" s="23"/>
      <c r="B208" s="23"/>
      <c r="C208" s="23"/>
      <c r="D208" s="23"/>
      <c r="E208" s="23"/>
      <c r="F208" s="23"/>
      <c r="G208" s="23"/>
      <c r="H208" s="24"/>
      <c r="I208" s="23"/>
      <c r="J208" s="23"/>
      <c r="K208" s="24"/>
    </row>
    <row r="209" spans="1:11" ht="12.95">
      <c r="A209" s="23"/>
      <c r="B209" s="23"/>
      <c r="C209" s="23"/>
      <c r="D209" s="23"/>
      <c r="E209" s="23"/>
      <c r="F209" s="23"/>
      <c r="G209" s="23"/>
      <c r="H209" s="24"/>
      <c r="I209" s="23"/>
      <c r="J209" s="23"/>
      <c r="K209" s="24"/>
    </row>
    <row r="210" spans="1:11" ht="12.95">
      <c r="A210" s="23"/>
      <c r="B210" s="23"/>
      <c r="C210" s="23"/>
      <c r="D210" s="23"/>
      <c r="E210" s="23"/>
      <c r="F210" s="23"/>
      <c r="G210" s="23"/>
      <c r="H210" s="24"/>
      <c r="I210" s="23"/>
      <c r="J210" s="23"/>
      <c r="K210" s="24"/>
    </row>
    <row r="211" spans="1:11" ht="12.95">
      <c r="A211" s="23"/>
      <c r="B211" s="23"/>
      <c r="C211" s="23"/>
      <c r="D211" s="23"/>
      <c r="E211" s="23"/>
      <c r="F211" s="23"/>
      <c r="G211" s="23"/>
      <c r="H211" s="24"/>
      <c r="I211" s="23"/>
      <c r="J211" s="23"/>
      <c r="K211" s="24"/>
    </row>
    <row r="212" spans="1:11" ht="12.95">
      <c r="A212" s="23"/>
      <c r="B212" s="23"/>
      <c r="C212" s="23"/>
      <c r="D212" s="23"/>
      <c r="E212" s="23"/>
      <c r="F212" s="23"/>
      <c r="G212" s="23"/>
      <c r="H212" s="24"/>
      <c r="I212" s="23"/>
      <c r="J212" s="23"/>
      <c r="K212" s="24"/>
    </row>
    <row r="213" spans="1:11" ht="12.95">
      <c r="A213" s="23"/>
      <c r="B213" s="23"/>
      <c r="C213" s="23"/>
      <c r="D213" s="23"/>
      <c r="E213" s="23"/>
      <c r="F213" s="23"/>
      <c r="G213" s="23"/>
      <c r="H213" s="24"/>
      <c r="I213" s="23"/>
      <c r="J213" s="23"/>
      <c r="K213" s="24"/>
    </row>
    <row r="214" spans="1:11" ht="12.95">
      <c r="A214" s="23"/>
      <c r="B214" s="23"/>
      <c r="C214" s="23"/>
      <c r="D214" s="23"/>
      <c r="E214" s="23"/>
      <c r="F214" s="23"/>
      <c r="G214" s="23"/>
      <c r="H214" s="24"/>
      <c r="I214" s="23"/>
      <c r="J214" s="23"/>
      <c r="K214" s="24"/>
    </row>
    <row r="215" spans="1:11" ht="12.95">
      <c r="A215" s="23"/>
      <c r="B215" s="23"/>
      <c r="C215" s="23"/>
      <c r="D215" s="23"/>
      <c r="E215" s="23"/>
      <c r="F215" s="23"/>
      <c r="G215" s="23"/>
      <c r="H215" s="24"/>
      <c r="I215" s="23"/>
      <c r="J215" s="23"/>
      <c r="K215" s="24"/>
    </row>
    <row r="216" spans="1:11" ht="12.95">
      <c r="A216" s="23"/>
      <c r="B216" s="23"/>
      <c r="C216" s="23"/>
      <c r="D216" s="23"/>
      <c r="E216" s="23"/>
      <c r="F216" s="23"/>
      <c r="G216" s="23"/>
      <c r="H216" s="24"/>
      <c r="I216" s="23"/>
      <c r="J216" s="23"/>
      <c r="K216" s="24"/>
    </row>
    <row r="217" spans="1:11" ht="12.95">
      <c r="A217" s="23"/>
      <c r="B217" s="23"/>
      <c r="C217" s="23"/>
      <c r="D217" s="23"/>
      <c r="E217" s="23"/>
      <c r="F217" s="23"/>
      <c r="G217" s="23"/>
      <c r="H217" s="24"/>
      <c r="I217" s="23"/>
      <c r="J217" s="23"/>
      <c r="K217" s="24"/>
    </row>
    <row r="218" spans="1:11" ht="12.95">
      <c r="A218" s="23"/>
      <c r="B218" s="23"/>
      <c r="C218" s="23"/>
      <c r="D218" s="23"/>
      <c r="E218" s="23"/>
      <c r="F218" s="23"/>
      <c r="G218" s="23"/>
      <c r="H218" s="24"/>
      <c r="I218" s="23"/>
      <c r="J218" s="23"/>
      <c r="K218" s="24"/>
    </row>
    <row r="219" spans="1:11" ht="12.95">
      <c r="A219" s="23"/>
      <c r="B219" s="23"/>
      <c r="C219" s="23"/>
      <c r="D219" s="23"/>
      <c r="E219" s="23"/>
      <c r="F219" s="23"/>
      <c r="G219" s="23"/>
      <c r="H219" s="24"/>
      <c r="I219" s="23"/>
      <c r="J219" s="23"/>
      <c r="K219" s="24"/>
    </row>
    <row r="220" spans="1:11" ht="12.95">
      <c r="A220" s="23"/>
      <c r="B220" s="23"/>
      <c r="C220" s="23"/>
      <c r="D220" s="23"/>
      <c r="E220" s="23"/>
      <c r="F220" s="23"/>
      <c r="G220" s="23"/>
      <c r="H220" s="24"/>
      <c r="I220" s="23"/>
      <c r="J220" s="23"/>
      <c r="K220" s="24"/>
    </row>
    <row r="221" spans="1:11" ht="12.95">
      <c r="A221" s="23"/>
      <c r="B221" s="23"/>
      <c r="C221" s="23"/>
      <c r="D221" s="23"/>
      <c r="E221" s="23"/>
      <c r="F221" s="23"/>
      <c r="G221" s="23"/>
      <c r="H221" s="24"/>
      <c r="I221" s="23"/>
      <c r="J221" s="23"/>
      <c r="K221" s="24"/>
    </row>
    <row r="222" spans="1:11" ht="12.95">
      <c r="A222" s="23"/>
      <c r="B222" s="23"/>
      <c r="C222" s="23"/>
      <c r="D222" s="23"/>
      <c r="E222" s="23"/>
      <c r="F222" s="23"/>
      <c r="G222" s="23"/>
      <c r="H222" s="24"/>
      <c r="I222" s="23"/>
      <c r="J222" s="23"/>
      <c r="K222" s="24"/>
    </row>
    <row r="223" spans="1:11" ht="12.95">
      <c r="A223" s="23"/>
      <c r="B223" s="23"/>
      <c r="C223" s="23"/>
      <c r="D223" s="23"/>
      <c r="E223" s="23"/>
      <c r="F223" s="23"/>
      <c r="G223" s="23"/>
      <c r="H223" s="24"/>
      <c r="I223" s="23"/>
      <c r="J223" s="23"/>
      <c r="K223" s="24"/>
    </row>
    <row r="224" spans="1:11" ht="12.95">
      <c r="A224" s="23"/>
      <c r="B224" s="23"/>
      <c r="C224" s="23"/>
      <c r="D224" s="23"/>
      <c r="E224" s="23"/>
      <c r="F224" s="23"/>
      <c r="G224" s="23"/>
      <c r="H224" s="24"/>
      <c r="I224" s="23"/>
      <c r="J224" s="23"/>
      <c r="K224" s="24"/>
    </row>
    <row r="225" spans="1:11" ht="12.95">
      <c r="A225" s="23"/>
      <c r="B225" s="23"/>
      <c r="C225" s="23"/>
      <c r="D225" s="23"/>
      <c r="E225" s="23"/>
      <c r="F225" s="23"/>
      <c r="G225" s="23"/>
      <c r="H225" s="24"/>
      <c r="I225" s="23"/>
      <c r="J225" s="23"/>
      <c r="K225" s="24"/>
    </row>
    <row r="226" spans="1:11" ht="12.95">
      <c r="A226" s="23"/>
      <c r="B226" s="23"/>
      <c r="C226" s="23"/>
      <c r="D226" s="23"/>
      <c r="E226" s="23"/>
      <c r="F226" s="23"/>
      <c r="G226" s="23"/>
      <c r="H226" s="24"/>
      <c r="I226" s="23"/>
      <c r="J226" s="23"/>
      <c r="K226" s="24"/>
    </row>
    <row r="227" spans="1:11" ht="12.95">
      <c r="A227" s="23"/>
      <c r="B227" s="23"/>
      <c r="C227" s="23"/>
      <c r="D227" s="23"/>
      <c r="E227" s="23"/>
      <c r="F227" s="23"/>
      <c r="G227" s="23"/>
      <c r="H227" s="24"/>
      <c r="I227" s="23"/>
      <c r="J227" s="23"/>
      <c r="K227" s="24"/>
    </row>
    <row r="228" spans="1:11" ht="12.95">
      <c r="A228" s="23"/>
      <c r="B228" s="23"/>
      <c r="C228" s="23"/>
      <c r="D228" s="23"/>
      <c r="E228" s="23"/>
      <c r="F228" s="23"/>
      <c r="G228" s="23"/>
      <c r="H228" s="24"/>
      <c r="I228" s="23"/>
      <c r="J228" s="23"/>
      <c r="K228" s="24"/>
    </row>
    <row r="229" spans="1:11" ht="12.95">
      <c r="A229" s="23"/>
      <c r="B229" s="23"/>
      <c r="C229" s="23"/>
      <c r="D229" s="23"/>
      <c r="E229" s="23"/>
      <c r="F229" s="23"/>
      <c r="G229" s="23"/>
      <c r="H229" s="24"/>
      <c r="I229" s="23"/>
      <c r="J229" s="23"/>
      <c r="K229" s="24"/>
    </row>
    <row r="230" spans="1:11" ht="12.95">
      <c r="A230" s="23"/>
      <c r="B230" s="23"/>
      <c r="C230" s="23"/>
      <c r="D230" s="23"/>
      <c r="E230" s="23"/>
      <c r="F230" s="23"/>
      <c r="G230" s="23"/>
      <c r="H230" s="24"/>
      <c r="I230" s="23"/>
      <c r="J230" s="23"/>
      <c r="K230" s="24"/>
    </row>
    <row r="231" spans="1:11" ht="12.95">
      <c r="A231" s="23"/>
      <c r="B231" s="23"/>
      <c r="C231" s="23"/>
      <c r="D231" s="23"/>
      <c r="E231" s="23"/>
      <c r="F231" s="23"/>
      <c r="G231" s="23"/>
      <c r="H231" s="24"/>
      <c r="I231" s="23"/>
      <c r="J231" s="23"/>
      <c r="K231" s="24"/>
    </row>
    <row r="232" spans="1:11" ht="12.95">
      <c r="A232" s="23"/>
      <c r="B232" s="23"/>
      <c r="C232" s="23"/>
      <c r="D232" s="23"/>
      <c r="E232" s="23"/>
      <c r="F232" s="23"/>
      <c r="G232" s="23"/>
      <c r="H232" s="24"/>
      <c r="I232" s="23"/>
      <c r="J232" s="23"/>
      <c r="K232" s="24"/>
    </row>
    <row r="233" spans="1:11" ht="12.95">
      <c r="A233" s="23"/>
      <c r="B233" s="23"/>
      <c r="C233" s="23"/>
      <c r="D233" s="23"/>
      <c r="E233" s="23"/>
      <c r="F233" s="23"/>
      <c r="G233" s="23"/>
      <c r="H233" s="24"/>
      <c r="I233" s="23"/>
      <c r="J233" s="23"/>
      <c r="K233" s="24"/>
    </row>
    <row r="234" spans="1:11" ht="12.95">
      <c r="A234" s="23"/>
      <c r="B234" s="23"/>
      <c r="C234" s="23"/>
      <c r="D234" s="23"/>
      <c r="E234" s="23"/>
      <c r="F234" s="23"/>
      <c r="G234" s="23"/>
      <c r="H234" s="24"/>
      <c r="I234" s="23"/>
      <c r="J234" s="23"/>
      <c r="K234" s="24"/>
    </row>
    <row r="235" spans="1:11" ht="12.95">
      <c r="A235" s="23"/>
      <c r="B235" s="23"/>
      <c r="C235" s="23"/>
      <c r="D235" s="23"/>
      <c r="E235" s="23"/>
      <c r="F235" s="23"/>
      <c r="G235" s="23"/>
      <c r="H235" s="24"/>
      <c r="I235" s="23"/>
      <c r="J235" s="23"/>
      <c r="K235" s="24"/>
    </row>
    <row r="236" spans="1:11" ht="12.95">
      <c r="A236" s="23"/>
      <c r="B236" s="23"/>
      <c r="C236" s="23"/>
      <c r="D236" s="23"/>
      <c r="E236" s="23"/>
      <c r="F236" s="23"/>
      <c r="G236" s="23"/>
      <c r="H236" s="24"/>
      <c r="I236" s="23"/>
      <c r="J236" s="23"/>
      <c r="K236" s="24"/>
    </row>
    <row r="237" spans="1:11" ht="12.95">
      <c r="A237" s="23"/>
      <c r="B237" s="23"/>
      <c r="C237" s="23"/>
      <c r="D237" s="23"/>
      <c r="E237" s="23"/>
      <c r="F237" s="23"/>
      <c r="G237" s="23"/>
      <c r="H237" s="24"/>
      <c r="I237" s="23"/>
      <c r="J237" s="23"/>
      <c r="K237" s="24"/>
    </row>
    <row r="238" spans="1:11" ht="12.95">
      <c r="A238" s="23"/>
      <c r="B238" s="23"/>
      <c r="C238" s="23"/>
      <c r="D238" s="23"/>
      <c r="E238" s="23"/>
      <c r="F238" s="23"/>
      <c r="G238" s="23"/>
      <c r="H238" s="24"/>
      <c r="I238" s="23"/>
      <c r="J238" s="23"/>
      <c r="K238" s="24"/>
    </row>
    <row r="239" spans="1:11" ht="12.95">
      <c r="A239" s="23"/>
      <c r="B239" s="23"/>
      <c r="C239" s="23"/>
      <c r="D239" s="23"/>
      <c r="E239" s="23"/>
      <c r="F239" s="23"/>
      <c r="G239" s="23"/>
      <c r="H239" s="24"/>
      <c r="I239" s="23"/>
      <c r="J239" s="23"/>
      <c r="K239" s="24"/>
    </row>
    <row r="240" spans="1:11" ht="12.95">
      <c r="A240" s="23"/>
      <c r="B240" s="23"/>
      <c r="C240" s="23"/>
      <c r="D240" s="23"/>
      <c r="E240" s="23"/>
      <c r="F240" s="23"/>
      <c r="G240" s="23"/>
      <c r="H240" s="24"/>
      <c r="I240" s="23"/>
      <c r="J240" s="23"/>
      <c r="K240" s="24"/>
    </row>
    <row r="241" spans="1:11" ht="12.95">
      <c r="A241" s="23"/>
      <c r="B241" s="23"/>
      <c r="C241" s="23"/>
      <c r="D241" s="23"/>
      <c r="E241" s="23"/>
      <c r="F241" s="23"/>
      <c r="G241" s="23"/>
      <c r="H241" s="24"/>
      <c r="I241" s="23"/>
      <c r="J241" s="23"/>
      <c r="K241" s="24"/>
    </row>
    <row r="242" spans="1:11" ht="12.95">
      <c r="A242" s="23"/>
      <c r="B242" s="23"/>
      <c r="C242" s="23"/>
      <c r="D242" s="23"/>
      <c r="E242" s="23"/>
      <c r="F242" s="23"/>
      <c r="G242" s="23"/>
      <c r="H242" s="24"/>
      <c r="I242" s="23"/>
      <c r="J242" s="23"/>
      <c r="K242" s="24"/>
    </row>
    <row r="243" spans="1:11" ht="12.95">
      <c r="A243" s="23"/>
      <c r="B243" s="23"/>
      <c r="C243" s="23"/>
      <c r="D243" s="23"/>
      <c r="E243" s="23"/>
      <c r="F243" s="23"/>
      <c r="G243" s="23"/>
      <c r="H243" s="24"/>
      <c r="I243" s="23"/>
      <c r="J243" s="23"/>
      <c r="K243" s="24"/>
    </row>
    <row r="244" spans="1:11" ht="12.95">
      <c r="A244" s="23"/>
      <c r="B244" s="23"/>
      <c r="C244" s="23"/>
      <c r="D244" s="23"/>
      <c r="E244" s="23"/>
      <c r="F244" s="23"/>
      <c r="G244" s="23"/>
      <c r="H244" s="24"/>
      <c r="I244" s="23"/>
      <c r="J244" s="23"/>
      <c r="K244" s="24"/>
    </row>
    <row r="245" spans="1:11" ht="12.95">
      <c r="A245" s="23"/>
      <c r="B245" s="23"/>
      <c r="C245" s="23"/>
      <c r="D245" s="23"/>
      <c r="E245" s="23"/>
      <c r="F245" s="23"/>
      <c r="G245" s="23"/>
      <c r="H245" s="24"/>
      <c r="I245" s="23"/>
      <c r="J245" s="23"/>
      <c r="K245" s="24"/>
    </row>
    <row r="246" spans="1:11" ht="12.95">
      <c r="A246" s="23"/>
      <c r="B246" s="23"/>
      <c r="C246" s="23"/>
      <c r="D246" s="23"/>
      <c r="E246" s="23"/>
      <c r="F246" s="23"/>
      <c r="G246" s="23"/>
      <c r="H246" s="24"/>
      <c r="I246" s="23"/>
      <c r="J246" s="23"/>
      <c r="K246" s="24"/>
    </row>
    <row r="247" spans="1:11" ht="12.95">
      <c r="A247" s="23"/>
      <c r="B247" s="23"/>
      <c r="C247" s="23"/>
      <c r="D247" s="23"/>
      <c r="E247" s="23"/>
      <c r="F247" s="23"/>
      <c r="G247" s="23"/>
      <c r="H247" s="24"/>
      <c r="I247" s="23"/>
      <c r="J247" s="23"/>
      <c r="K247" s="24"/>
    </row>
    <row r="248" spans="1:11" ht="12.95">
      <c r="A248" s="23"/>
      <c r="B248" s="23"/>
      <c r="C248" s="23"/>
      <c r="D248" s="23"/>
      <c r="E248" s="23"/>
      <c r="F248" s="23"/>
      <c r="G248" s="23"/>
      <c r="H248" s="24"/>
      <c r="I248" s="23"/>
      <c r="J248" s="23"/>
      <c r="K248" s="24"/>
    </row>
    <row r="249" spans="1:11" ht="12.95">
      <c r="A249" s="23"/>
      <c r="B249" s="23"/>
      <c r="C249" s="23"/>
      <c r="D249" s="23"/>
      <c r="E249" s="23"/>
      <c r="F249" s="23"/>
      <c r="G249" s="23"/>
      <c r="H249" s="24"/>
      <c r="I249" s="23"/>
      <c r="J249" s="23"/>
      <c r="K249" s="24"/>
    </row>
    <row r="250" spans="1:11" ht="12.95">
      <c r="A250" s="23"/>
      <c r="B250" s="23"/>
      <c r="C250" s="23"/>
      <c r="D250" s="23"/>
      <c r="E250" s="23"/>
      <c r="F250" s="23"/>
      <c r="G250" s="23"/>
      <c r="H250" s="24"/>
      <c r="I250" s="23"/>
      <c r="J250" s="23"/>
      <c r="K250" s="24"/>
    </row>
    <row r="251" spans="1:11" ht="12.95">
      <c r="A251" s="23"/>
      <c r="B251" s="23"/>
      <c r="C251" s="23"/>
      <c r="D251" s="23"/>
      <c r="E251" s="23"/>
      <c r="F251" s="23"/>
      <c r="G251" s="23"/>
      <c r="H251" s="24"/>
      <c r="I251" s="23"/>
      <c r="J251" s="23"/>
      <c r="K251" s="24"/>
    </row>
    <row r="252" spans="1:11" ht="12.95">
      <c r="A252" s="23"/>
      <c r="B252" s="23"/>
      <c r="C252" s="23"/>
      <c r="D252" s="23"/>
      <c r="E252" s="23"/>
      <c r="F252" s="23"/>
      <c r="G252" s="23"/>
      <c r="H252" s="24"/>
      <c r="I252" s="23"/>
      <c r="J252" s="23"/>
      <c r="K252" s="24"/>
    </row>
    <row r="253" spans="1:11" ht="12.95">
      <c r="A253" s="23"/>
      <c r="B253" s="23"/>
      <c r="C253" s="23"/>
      <c r="D253" s="23"/>
      <c r="E253" s="23"/>
      <c r="F253" s="23"/>
      <c r="G253" s="23"/>
      <c r="H253" s="24"/>
      <c r="I253" s="23"/>
      <c r="J253" s="23"/>
      <c r="K253" s="24"/>
    </row>
    <row r="254" spans="1:11" ht="12.95">
      <c r="A254" s="23"/>
      <c r="B254" s="23"/>
      <c r="C254" s="23"/>
      <c r="D254" s="23"/>
      <c r="E254" s="23"/>
      <c r="F254" s="23"/>
      <c r="G254" s="23"/>
      <c r="H254" s="24"/>
      <c r="I254" s="23"/>
      <c r="J254" s="23"/>
      <c r="K254" s="24"/>
    </row>
    <row r="255" spans="1:11" ht="12.95">
      <c r="A255" s="23"/>
      <c r="B255" s="23"/>
      <c r="C255" s="23"/>
      <c r="D255" s="23"/>
      <c r="E255" s="23"/>
      <c r="F255" s="23"/>
      <c r="G255" s="23"/>
      <c r="H255" s="24"/>
      <c r="I255" s="23"/>
      <c r="J255" s="23"/>
      <c r="K255" s="24"/>
    </row>
    <row r="256" spans="1:11" ht="12.95">
      <c r="A256" s="23"/>
      <c r="B256" s="23"/>
      <c r="C256" s="23"/>
      <c r="D256" s="23"/>
      <c r="E256" s="23"/>
      <c r="F256" s="23"/>
      <c r="G256" s="23"/>
      <c r="H256" s="24"/>
      <c r="I256" s="23"/>
      <c r="J256" s="23"/>
      <c r="K256" s="24"/>
    </row>
    <row r="257" spans="1:11" ht="12.95">
      <c r="A257" s="23"/>
      <c r="B257" s="23"/>
      <c r="C257" s="23"/>
      <c r="D257" s="23"/>
      <c r="E257" s="23"/>
      <c r="F257" s="23"/>
      <c r="G257" s="23"/>
      <c r="H257" s="24"/>
      <c r="I257" s="23"/>
      <c r="J257" s="23"/>
      <c r="K257" s="24"/>
    </row>
    <row r="258" spans="1:11" ht="12.95">
      <c r="A258" s="23"/>
      <c r="B258" s="23"/>
      <c r="C258" s="23"/>
      <c r="D258" s="23"/>
      <c r="E258" s="23"/>
      <c r="F258" s="23"/>
      <c r="G258" s="23"/>
      <c r="H258" s="24"/>
      <c r="I258" s="23"/>
      <c r="J258" s="23"/>
      <c r="K258" s="24"/>
    </row>
    <row r="259" spans="1:11" ht="12.95">
      <c r="A259" s="23"/>
      <c r="B259" s="23"/>
      <c r="C259" s="23"/>
      <c r="D259" s="23"/>
      <c r="E259" s="23"/>
      <c r="F259" s="23"/>
      <c r="G259" s="23"/>
      <c r="H259" s="24"/>
      <c r="I259" s="23"/>
      <c r="J259" s="23"/>
      <c r="K259" s="24"/>
    </row>
    <row r="260" spans="1:11" ht="12.95">
      <c r="A260" s="23"/>
      <c r="B260" s="23"/>
      <c r="C260" s="23"/>
      <c r="D260" s="23"/>
      <c r="E260" s="23"/>
      <c r="F260" s="23"/>
      <c r="G260" s="23"/>
      <c r="H260" s="24"/>
      <c r="I260" s="23"/>
      <c r="J260" s="23"/>
      <c r="K260" s="24"/>
    </row>
    <row r="261" spans="1:11" ht="12.95">
      <c r="A261" s="23"/>
      <c r="B261" s="23"/>
      <c r="C261" s="23"/>
      <c r="D261" s="23"/>
      <c r="E261" s="23"/>
      <c r="F261" s="23"/>
      <c r="G261" s="23"/>
      <c r="H261" s="24"/>
      <c r="I261" s="23"/>
      <c r="J261" s="23"/>
      <c r="K261" s="24"/>
    </row>
    <row r="262" spans="1:11" ht="12.95">
      <c r="A262" s="23"/>
      <c r="B262" s="23"/>
      <c r="C262" s="23"/>
      <c r="D262" s="23"/>
      <c r="E262" s="23"/>
      <c r="F262" s="23"/>
      <c r="G262" s="23"/>
      <c r="H262" s="24"/>
      <c r="I262" s="23"/>
      <c r="J262" s="23"/>
      <c r="K262" s="24"/>
    </row>
    <row r="263" spans="1:11" ht="12.95">
      <c r="A263" s="23"/>
      <c r="B263" s="23"/>
      <c r="C263" s="23"/>
      <c r="D263" s="23"/>
      <c r="E263" s="23"/>
      <c r="F263" s="23"/>
      <c r="G263" s="23"/>
      <c r="H263" s="24"/>
      <c r="I263" s="23"/>
      <c r="J263" s="23"/>
      <c r="K263" s="24"/>
    </row>
    <row r="264" spans="1:11" ht="12.95">
      <c r="A264" s="23"/>
      <c r="B264" s="23"/>
      <c r="C264" s="23"/>
      <c r="D264" s="23"/>
      <c r="E264" s="23"/>
      <c r="F264" s="23"/>
      <c r="G264" s="23"/>
      <c r="H264" s="24"/>
      <c r="I264" s="23"/>
      <c r="J264" s="23"/>
      <c r="K264" s="24"/>
    </row>
    <row r="265" spans="1:11" ht="12.95">
      <c r="A265" s="23"/>
      <c r="B265" s="23"/>
      <c r="C265" s="23"/>
      <c r="D265" s="23"/>
      <c r="E265" s="23"/>
      <c r="F265" s="23"/>
      <c r="G265" s="23"/>
      <c r="H265" s="24"/>
      <c r="I265" s="23"/>
      <c r="J265" s="23"/>
      <c r="K265" s="24"/>
    </row>
    <row r="266" spans="1:11" ht="12.95">
      <c r="A266" s="23"/>
      <c r="B266" s="23"/>
      <c r="C266" s="23"/>
      <c r="D266" s="23"/>
      <c r="E266" s="23"/>
      <c r="F266" s="23"/>
      <c r="G266" s="23"/>
      <c r="H266" s="24"/>
      <c r="I266" s="23"/>
      <c r="J266" s="23"/>
      <c r="K266" s="24"/>
    </row>
    <row r="267" spans="1:11" ht="12.95">
      <c r="A267" s="23"/>
      <c r="B267" s="23"/>
      <c r="C267" s="23"/>
      <c r="D267" s="23"/>
      <c r="E267" s="23"/>
      <c r="F267" s="23"/>
      <c r="G267" s="23"/>
      <c r="H267" s="24"/>
      <c r="I267" s="23"/>
      <c r="J267" s="23"/>
      <c r="K267" s="24"/>
    </row>
    <row r="268" spans="1:11" ht="12.95">
      <c r="A268" s="23"/>
      <c r="B268" s="23"/>
      <c r="C268" s="23"/>
      <c r="D268" s="23"/>
      <c r="E268" s="23"/>
      <c r="F268" s="23"/>
      <c r="G268" s="23"/>
      <c r="H268" s="24"/>
      <c r="I268" s="23"/>
      <c r="J268" s="23"/>
      <c r="K268" s="24"/>
    </row>
    <row r="269" spans="1:11" ht="12.95">
      <c r="A269" s="23"/>
      <c r="B269" s="23"/>
      <c r="C269" s="23"/>
      <c r="D269" s="23"/>
      <c r="E269" s="23"/>
      <c r="F269" s="23"/>
      <c r="G269" s="23"/>
      <c r="H269" s="24"/>
      <c r="I269" s="23"/>
      <c r="J269" s="23"/>
      <c r="K269" s="24"/>
    </row>
    <row r="270" spans="1:11" ht="12.95">
      <c r="A270" s="23"/>
      <c r="B270" s="23"/>
      <c r="C270" s="23"/>
      <c r="D270" s="23"/>
      <c r="E270" s="23"/>
      <c r="F270" s="23"/>
      <c r="G270" s="23"/>
      <c r="H270" s="24"/>
      <c r="I270" s="23"/>
      <c r="J270" s="23"/>
      <c r="K270" s="24"/>
    </row>
    <row r="271" spans="1:11" ht="12.95">
      <c r="A271" s="23"/>
      <c r="B271" s="23"/>
      <c r="C271" s="23"/>
      <c r="D271" s="23"/>
      <c r="E271" s="23"/>
      <c r="F271" s="23"/>
      <c r="G271" s="23"/>
      <c r="H271" s="24"/>
      <c r="I271" s="23"/>
      <c r="J271" s="23"/>
      <c r="K271" s="24"/>
    </row>
    <row r="272" spans="1:11" ht="12.95">
      <c r="A272" s="23"/>
      <c r="B272" s="23"/>
      <c r="C272" s="23"/>
      <c r="D272" s="23"/>
      <c r="E272" s="23"/>
      <c r="F272" s="23"/>
      <c r="G272" s="23"/>
      <c r="H272" s="24"/>
      <c r="I272" s="23"/>
      <c r="J272" s="23"/>
      <c r="K272" s="24"/>
    </row>
    <row r="273" spans="1:11" ht="12.95">
      <c r="A273" s="23"/>
      <c r="B273" s="23"/>
      <c r="C273" s="23"/>
      <c r="D273" s="23"/>
      <c r="E273" s="23"/>
      <c r="F273" s="23"/>
      <c r="G273" s="23"/>
      <c r="H273" s="24"/>
      <c r="I273" s="23"/>
      <c r="J273" s="23"/>
      <c r="K273" s="24"/>
    </row>
    <row r="274" spans="1:11" ht="12.95">
      <c r="A274" s="23"/>
      <c r="B274" s="23"/>
      <c r="C274" s="23"/>
      <c r="D274" s="23"/>
      <c r="E274" s="23"/>
      <c r="F274" s="23"/>
      <c r="G274" s="23"/>
      <c r="H274" s="24"/>
      <c r="I274" s="23"/>
      <c r="J274" s="23"/>
      <c r="K274" s="24"/>
    </row>
    <row r="275" spans="1:11" ht="12.95">
      <c r="A275" s="23"/>
      <c r="B275" s="23"/>
      <c r="C275" s="23"/>
      <c r="D275" s="23"/>
      <c r="E275" s="23"/>
      <c r="F275" s="23"/>
      <c r="G275" s="23"/>
      <c r="H275" s="24"/>
      <c r="I275" s="23"/>
      <c r="J275" s="23"/>
      <c r="K275" s="24"/>
    </row>
    <row r="276" spans="1:11" ht="12.95">
      <c r="A276" s="23"/>
      <c r="B276" s="23"/>
      <c r="C276" s="23"/>
      <c r="D276" s="23"/>
      <c r="E276" s="23"/>
      <c r="F276" s="23"/>
      <c r="G276" s="23"/>
      <c r="H276" s="24"/>
      <c r="I276" s="23"/>
      <c r="J276" s="23"/>
      <c r="K276" s="24"/>
    </row>
    <row r="277" spans="1:11" ht="12.95">
      <c r="A277" s="23"/>
      <c r="B277" s="23"/>
      <c r="C277" s="23"/>
      <c r="D277" s="23"/>
      <c r="E277" s="23"/>
      <c r="F277" s="23"/>
      <c r="G277" s="23"/>
      <c r="H277" s="24"/>
      <c r="I277" s="23"/>
      <c r="J277" s="23"/>
      <c r="K277" s="24"/>
    </row>
    <row r="278" spans="1:11" ht="12.95">
      <c r="A278" s="23"/>
      <c r="B278" s="23"/>
      <c r="C278" s="23"/>
      <c r="D278" s="23"/>
      <c r="E278" s="23"/>
      <c r="F278" s="23"/>
      <c r="G278" s="23"/>
      <c r="H278" s="24"/>
      <c r="I278" s="23"/>
      <c r="J278" s="23"/>
      <c r="K278" s="24"/>
    </row>
    <row r="279" spans="1:11" ht="12.95">
      <c r="A279" s="23"/>
      <c r="B279" s="23"/>
      <c r="C279" s="23"/>
      <c r="D279" s="23"/>
      <c r="E279" s="23"/>
      <c r="F279" s="23"/>
      <c r="G279" s="23"/>
      <c r="H279" s="24"/>
      <c r="I279" s="23"/>
      <c r="J279" s="23"/>
      <c r="K279" s="24"/>
    </row>
    <row r="280" spans="1:11" ht="12.95">
      <c r="A280" s="23"/>
      <c r="B280" s="23"/>
      <c r="C280" s="23"/>
      <c r="D280" s="23"/>
      <c r="E280" s="23"/>
      <c r="F280" s="23"/>
      <c r="G280" s="23"/>
      <c r="H280" s="24"/>
      <c r="I280" s="23"/>
      <c r="J280" s="23"/>
      <c r="K280" s="24"/>
    </row>
    <row r="281" spans="1:11" ht="12.95">
      <c r="A281" s="23"/>
      <c r="B281" s="23"/>
      <c r="C281" s="23"/>
      <c r="D281" s="23"/>
      <c r="E281" s="23"/>
      <c r="F281" s="23"/>
      <c r="G281" s="23"/>
      <c r="H281" s="24"/>
      <c r="I281" s="23"/>
      <c r="J281" s="23"/>
      <c r="K281" s="24"/>
    </row>
    <row r="282" spans="1:11" ht="12.95">
      <c r="A282" s="23"/>
      <c r="B282" s="23"/>
      <c r="C282" s="23"/>
      <c r="D282" s="23"/>
      <c r="E282" s="23"/>
      <c r="F282" s="23"/>
      <c r="G282" s="23"/>
      <c r="H282" s="24"/>
      <c r="I282" s="23"/>
      <c r="J282" s="23"/>
      <c r="K282" s="24"/>
    </row>
    <row r="283" spans="1:11" ht="12.95">
      <c r="A283" s="23"/>
      <c r="B283" s="23"/>
      <c r="C283" s="23"/>
      <c r="D283" s="23"/>
      <c r="E283" s="23"/>
      <c r="F283" s="23"/>
      <c r="G283" s="23"/>
      <c r="H283" s="24"/>
      <c r="I283" s="23"/>
      <c r="J283" s="23"/>
      <c r="K283" s="24"/>
    </row>
    <row r="284" spans="1:11" ht="12.95">
      <c r="A284" s="23"/>
      <c r="B284" s="23"/>
      <c r="C284" s="23"/>
      <c r="D284" s="23"/>
      <c r="E284" s="23"/>
      <c r="F284" s="23"/>
      <c r="G284" s="23"/>
      <c r="H284" s="24"/>
      <c r="I284" s="23"/>
      <c r="J284" s="23"/>
      <c r="K284" s="24"/>
    </row>
    <row r="285" spans="1:11" ht="12.95">
      <c r="A285" s="23"/>
      <c r="B285" s="23"/>
      <c r="C285" s="23"/>
      <c r="D285" s="23"/>
      <c r="E285" s="23"/>
      <c r="F285" s="23"/>
      <c r="G285" s="23"/>
      <c r="H285" s="24"/>
      <c r="I285" s="23"/>
      <c r="J285" s="23"/>
      <c r="K285" s="24"/>
    </row>
    <row r="286" spans="1:11" ht="12.95">
      <c r="A286" s="23"/>
      <c r="B286" s="23"/>
      <c r="C286" s="23"/>
      <c r="D286" s="23"/>
      <c r="E286" s="23"/>
      <c r="F286" s="23"/>
      <c r="G286" s="23"/>
      <c r="H286" s="24"/>
      <c r="I286" s="23"/>
      <c r="J286" s="23"/>
      <c r="K286" s="24"/>
    </row>
    <row r="287" spans="1:11" ht="12.95">
      <c r="A287" s="23"/>
      <c r="B287" s="23"/>
      <c r="C287" s="23"/>
      <c r="D287" s="23"/>
      <c r="E287" s="23"/>
      <c r="F287" s="23"/>
      <c r="G287" s="23"/>
      <c r="H287" s="24"/>
      <c r="I287" s="23"/>
      <c r="J287" s="23"/>
      <c r="K287" s="24"/>
    </row>
    <row r="288" spans="1:11" ht="12.95">
      <c r="A288" s="23"/>
      <c r="B288" s="23"/>
      <c r="C288" s="23"/>
      <c r="D288" s="23"/>
      <c r="E288" s="23"/>
      <c r="F288" s="23"/>
      <c r="G288" s="23"/>
      <c r="H288" s="24"/>
      <c r="I288" s="23"/>
      <c r="J288" s="23"/>
      <c r="K288" s="24"/>
    </row>
    <row r="289" spans="1:11" ht="12.95">
      <c r="A289" s="23"/>
      <c r="B289" s="23"/>
      <c r="C289" s="23"/>
      <c r="D289" s="23"/>
      <c r="E289" s="23"/>
      <c r="F289" s="23"/>
      <c r="G289" s="23"/>
      <c r="H289" s="24"/>
      <c r="I289" s="23"/>
      <c r="J289" s="23"/>
      <c r="K289" s="24"/>
    </row>
    <row r="290" spans="1:11" ht="12.95">
      <c r="A290" s="23"/>
      <c r="B290" s="23"/>
      <c r="C290" s="23"/>
      <c r="D290" s="23"/>
      <c r="E290" s="23"/>
      <c r="F290" s="23"/>
      <c r="G290" s="23"/>
      <c r="H290" s="24"/>
      <c r="I290" s="23"/>
      <c r="J290" s="23"/>
      <c r="K290" s="24"/>
    </row>
    <row r="291" spans="1:11" ht="12.95">
      <c r="A291" s="23"/>
      <c r="B291" s="23"/>
      <c r="C291" s="23"/>
      <c r="D291" s="23"/>
      <c r="E291" s="23"/>
      <c r="F291" s="23"/>
      <c r="G291" s="23"/>
      <c r="H291" s="24"/>
      <c r="I291" s="23"/>
      <c r="J291" s="23"/>
      <c r="K291" s="24"/>
    </row>
    <row r="292" spans="1:11" ht="12.95">
      <c r="A292" s="23"/>
      <c r="B292" s="23"/>
      <c r="C292" s="23"/>
      <c r="D292" s="23"/>
      <c r="E292" s="23"/>
      <c r="F292" s="23"/>
      <c r="G292" s="23"/>
      <c r="H292" s="24"/>
      <c r="I292" s="23"/>
      <c r="J292" s="23"/>
      <c r="K292" s="24"/>
    </row>
    <row r="293" spans="1:11" ht="12.95">
      <c r="A293" s="23"/>
      <c r="B293" s="23"/>
      <c r="C293" s="23"/>
      <c r="D293" s="23"/>
      <c r="E293" s="23"/>
      <c r="F293" s="23"/>
      <c r="G293" s="23"/>
      <c r="H293" s="24"/>
      <c r="I293" s="23"/>
      <c r="J293" s="23"/>
      <c r="K293" s="24"/>
    </row>
    <row r="294" spans="1:11" ht="12.95">
      <c r="A294" s="23"/>
      <c r="B294" s="23"/>
      <c r="C294" s="23"/>
      <c r="D294" s="23"/>
      <c r="E294" s="23"/>
      <c r="F294" s="23"/>
      <c r="G294" s="23"/>
      <c r="H294" s="24"/>
      <c r="I294" s="23"/>
      <c r="J294" s="23"/>
      <c r="K294" s="24"/>
    </row>
    <row r="295" spans="1:11" ht="12.95">
      <c r="A295" s="23"/>
      <c r="B295" s="23"/>
      <c r="C295" s="23"/>
      <c r="D295" s="23"/>
      <c r="E295" s="23"/>
      <c r="F295" s="23"/>
      <c r="G295" s="23"/>
      <c r="H295" s="24"/>
      <c r="I295" s="23"/>
      <c r="J295" s="23"/>
      <c r="K295" s="24"/>
    </row>
    <row r="296" spans="1:11" ht="12.95">
      <c r="A296" s="23"/>
      <c r="B296" s="23"/>
      <c r="C296" s="23"/>
      <c r="D296" s="23"/>
      <c r="E296" s="23"/>
      <c r="F296" s="23"/>
      <c r="G296" s="23"/>
      <c r="H296" s="24"/>
      <c r="I296" s="23"/>
      <c r="J296" s="23"/>
      <c r="K296" s="24"/>
    </row>
    <row r="297" spans="1:11" ht="12.95">
      <c r="A297" s="23"/>
      <c r="B297" s="23"/>
      <c r="C297" s="23"/>
      <c r="D297" s="23"/>
      <c r="E297" s="23"/>
      <c r="F297" s="23"/>
      <c r="G297" s="23"/>
      <c r="H297" s="24"/>
      <c r="I297" s="23"/>
      <c r="J297" s="23"/>
      <c r="K297" s="24"/>
    </row>
    <row r="298" spans="1:11" ht="12.95">
      <c r="A298" s="23"/>
      <c r="B298" s="23"/>
      <c r="C298" s="23"/>
      <c r="D298" s="23"/>
      <c r="E298" s="23"/>
      <c r="F298" s="23"/>
      <c r="G298" s="23"/>
      <c r="H298" s="24"/>
      <c r="I298" s="23"/>
      <c r="J298" s="23"/>
      <c r="K298" s="24"/>
    </row>
    <row r="299" spans="1:11" ht="12.95">
      <c r="A299" s="23"/>
      <c r="B299" s="23"/>
      <c r="C299" s="23"/>
      <c r="D299" s="23"/>
      <c r="E299" s="23"/>
      <c r="F299" s="23"/>
      <c r="G299" s="23"/>
      <c r="H299" s="24"/>
      <c r="I299" s="23"/>
      <c r="J299" s="23"/>
      <c r="K299" s="24"/>
    </row>
    <row r="300" spans="1:11" ht="12.95">
      <c r="A300" s="23"/>
      <c r="B300" s="23"/>
      <c r="C300" s="23"/>
      <c r="D300" s="23"/>
      <c r="E300" s="23"/>
      <c r="F300" s="23"/>
      <c r="G300" s="23"/>
      <c r="H300" s="24"/>
      <c r="I300" s="23"/>
      <c r="J300" s="23"/>
      <c r="K300" s="24"/>
    </row>
    <row r="301" spans="1:11" ht="12.95">
      <c r="A301" s="23"/>
      <c r="B301" s="23"/>
      <c r="C301" s="23"/>
      <c r="D301" s="23"/>
      <c r="E301" s="23"/>
      <c r="F301" s="23"/>
      <c r="G301" s="23"/>
      <c r="H301" s="24"/>
      <c r="I301" s="23"/>
      <c r="J301" s="23"/>
      <c r="K301" s="24"/>
    </row>
    <row r="302" spans="1:11" ht="12.95">
      <c r="A302" s="23"/>
      <c r="B302" s="23"/>
      <c r="C302" s="23"/>
      <c r="D302" s="23"/>
      <c r="E302" s="23"/>
      <c r="F302" s="23"/>
      <c r="G302" s="23"/>
      <c r="H302" s="24"/>
      <c r="I302" s="23"/>
      <c r="J302" s="23"/>
      <c r="K302" s="24"/>
    </row>
    <row r="303" spans="1:11" ht="12.95">
      <c r="A303" s="23"/>
      <c r="B303" s="23"/>
      <c r="C303" s="23"/>
      <c r="D303" s="23"/>
      <c r="E303" s="23"/>
      <c r="F303" s="23"/>
      <c r="G303" s="23"/>
      <c r="H303" s="24"/>
      <c r="I303" s="23"/>
      <c r="J303" s="23"/>
      <c r="K303" s="24"/>
    </row>
    <row r="304" spans="1:11" ht="12.95">
      <c r="A304" s="23"/>
      <c r="B304" s="23"/>
      <c r="C304" s="23"/>
      <c r="D304" s="23"/>
      <c r="E304" s="23"/>
      <c r="F304" s="23"/>
      <c r="G304" s="23"/>
      <c r="H304" s="24"/>
      <c r="I304" s="23"/>
      <c r="J304" s="23"/>
      <c r="K304" s="24"/>
    </row>
    <row r="305" spans="1:11" ht="12.95">
      <c r="A305" s="23"/>
      <c r="B305" s="23"/>
      <c r="C305" s="23"/>
      <c r="D305" s="23"/>
      <c r="E305" s="23"/>
      <c r="F305" s="23"/>
      <c r="G305" s="23"/>
      <c r="H305" s="24"/>
      <c r="I305" s="23"/>
      <c r="J305" s="23"/>
      <c r="K305" s="24"/>
    </row>
    <row r="306" spans="1:11" ht="12.95">
      <c r="A306" s="23"/>
      <c r="B306" s="23"/>
      <c r="C306" s="23"/>
      <c r="D306" s="23"/>
      <c r="E306" s="23"/>
      <c r="F306" s="23"/>
      <c r="G306" s="23"/>
      <c r="H306" s="24"/>
      <c r="I306" s="23"/>
      <c r="J306" s="23"/>
      <c r="K306" s="24"/>
    </row>
    <row r="307" spans="1:11" ht="12.95">
      <c r="A307" s="23"/>
      <c r="B307" s="23"/>
      <c r="C307" s="23"/>
      <c r="D307" s="23"/>
      <c r="E307" s="23"/>
      <c r="F307" s="23"/>
      <c r="G307" s="23"/>
      <c r="H307" s="24"/>
      <c r="I307" s="23"/>
      <c r="J307" s="23"/>
      <c r="K307" s="24"/>
    </row>
    <row r="308" spans="1:11" ht="12.95">
      <c r="A308" s="23"/>
      <c r="B308" s="23"/>
      <c r="C308" s="23"/>
      <c r="D308" s="23"/>
      <c r="E308" s="23"/>
      <c r="F308" s="23"/>
      <c r="G308" s="23"/>
      <c r="H308" s="24"/>
      <c r="I308" s="23"/>
      <c r="J308" s="23"/>
      <c r="K308" s="24"/>
    </row>
    <row r="309" spans="1:11" ht="12.95">
      <c r="A309" s="23"/>
      <c r="B309" s="23"/>
      <c r="C309" s="23"/>
      <c r="D309" s="23"/>
      <c r="E309" s="23"/>
      <c r="F309" s="23"/>
      <c r="G309" s="23"/>
      <c r="H309" s="24"/>
      <c r="I309" s="23"/>
      <c r="J309" s="23"/>
      <c r="K309" s="24"/>
    </row>
    <row r="310" spans="1:11" ht="12.95">
      <c r="A310" s="23"/>
      <c r="B310" s="23"/>
      <c r="C310" s="23"/>
      <c r="D310" s="23"/>
      <c r="E310" s="23"/>
      <c r="F310" s="23"/>
      <c r="G310" s="23"/>
      <c r="H310" s="24"/>
      <c r="I310" s="23"/>
      <c r="J310" s="23"/>
      <c r="K310" s="24"/>
    </row>
    <row r="311" spans="1:11" ht="12.95">
      <c r="A311" s="23"/>
      <c r="B311" s="23"/>
      <c r="C311" s="23"/>
      <c r="D311" s="23"/>
      <c r="E311" s="23"/>
      <c r="F311" s="23"/>
      <c r="G311" s="23"/>
      <c r="H311" s="24"/>
      <c r="I311" s="23"/>
      <c r="J311" s="23"/>
      <c r="K311" s="24"/>
    </row>
    <row r="312" spans="1:11" ht="12.95">
      <c r="A312" s="23"/>
      <c r="B312" s="23"/>
      <c r="C312" s="23"/>
      <c r="D312" s="23"/>
      <c r="E312" s="23"/>
      <c r="F312" s="23"/>
      <c r="G312" s="23"/>
      <c r="H312" s="24"/>
      <c r="I312" s="23"/>
      <c r="J312" s="23"/>
      <c r="K312" s="24"/>
    </row>
    <row r="313" spans="1:11" ht="12.95">
      <c r="A313" s="23"/>
      <c r="B313" s="23"/>
      <c r="C313" s="23"/>
      <c r="D313" s="23"/>
      <c r="E313" s="23"/>
      <c r="F313" s="23"/>
      <c r="G313" s="23"/>
      <c r="H313" s="24"/>
      <c r="I313" s="23"/>
      <c r="J313" s="23"/>
      <c r="K313" s="24"/>
    </row>
    <row r="314" spans="1:11" ht="12.95">
      <c r="A314" s="23"/>
      <c r="B314" s="23"/>
      <c r="C314" s="23"/>
      <c r="D314" s="23"/>
      <c r="E314" s="23"/>
      <c r="F314" s="23"/>
      <c r="G314" s="23"/>
      <c r="H314" s="24"/>
      <c r="I314" s="23"/>
      <c r="J314" s="23"/>
      <c r="K314" s="24"/>
    </row>
    <row r="315" spans="1:11" ht="12.95">
      <c r="A315" s="23"/>
      <c r="B315" s="23"/>
      <c r="C315" s="23"/>
      <c r="D315" s="23"/>
      <c r="E315" s="23"/>
      <c r="F315" s="23"/>
      <c r="G315" s="23"/>
      <c r="H315" s="24"/>
      <c r="I315" s="23"/>
      <c r="J315" s="23"/>
      <c r="K315" s="24"/>
    </row>
    <row r="316" spans="1:11" ht="12.95">
      <c r="A316" s="23"/>
      <c r="B316" s="23"/>
      <c r="C316" s="23"/>
      <c r="D316" s="23"/>
      <c r="E316" s="23"/>
      <c r="F316" s="23"/>
      <c r="G316" s="23"/>
      <c r="H316" s="24"/>
      <c r="I316" s="23"/>
      <c r="J316" s="23"/>
      <c r="K316" s="24"/>
    </row>
    <row r="317" spans="1:11" ht="12.95">
      <c r="A317" s="23"/>
      <c r="B317" s="23"/>
      <c r="C317" s="23"/>
      <c r="D317" s="23"/>
      <c r="E317" s="23"/>
      <c r="F317" s="23"/>
      <c r="G317" s="23"/>
      <c r="H317" s="24"/>
      <c r="I317" s="23"/>
      <c r="J317" s="23"/>
      <c r="K317" s="24"/>
    </row>
    <row r="318" spans="1:11" ht="12.95">
      <c r="A318" s="23"/>
      <c r="B318" s="23"/>
      <c r="C318" s="23"/>
      <c r="D318" s="23"/>
      <c r="E318" s="23"/>
      <c r="F318" s="23"/>
      <c r="G318" s="23"/>
      <c r="H318" s="24"/>
      <c r="I318" s="23"/>
      <c r="J318" s="23"/>
      <c r="K318" s="24"/>
    </row>
    <row r="319" spans="1:11" ht="12.95">
      <c r="A319" s="23"/>
      <c r="B319" s="23"/>
      <c r="C319" s="23"/>
      <c r="D319" s="23"/>
      <c r="E319" s="23"/>
      <c r="F319" s="23"/>
      <c r="G319" s="23"/>
      <c r="H319" s="24"/>
      <c r="I319" s="23"/>
      <c r="J319" s="23"/>
      <c r="K319" s="24"/>
    </row>
    <row r="320" spans="1:11" ht="12.95">
      <c r="A320" s="23"/>
      <c r="B320" s="23"/>
      <c r="C320" s="23"/>
      <c r="D320" s="23"/>
      <c r="E320" s="23"/>
      <c r="F320" s="23"/>
      <c r="G320" s="23"/>
      <c r="H320" s="24"/>
      <c r="I320" s="23"/>
      <c r="J320" s="23"/>
      <c r="K320" s="24"/>
    </row>
    <row r="321" spans="1:11" ht="12.95">
      <c r="A321" s="23"/>
      <c r="B321" s="23"/>
      <c r="C321" s="23"/>
      <c r="D321" s="23"/>
      <c r="E321" s="23"/>
      <c r="F321" s="23"/>
      <c r="G321" s="23"/>
      <c r="H321" s="24"/>
      <c r="I321" s="23"/>
      <c r="J321" s="23"/>
      <c r="K321" s="24"/>
    </row>
    <row r="322" spans="1:11" ht="12.95">
      <c r="A322" s="23"/>
      <c r="B322" s="23"/>
      <c r="C322" s="23"/>
      <c r="D322" s="23"/>
      <c r="E322" s="23"/>
      <c r="F322" s="23"/>
      <c r="G322" s="23"/>
      <c r="H322" s="24"/>
      <c r="I322" s="23"/>
      <c r="J322" s="23"/>
      <c r="K322" s="24"/>
    </row>
    <row r="323" spans="1:11" ht="12.95">
      <c r="A323" s="23"/>
      <c r="B323" s="23"/>
      <c r="C323" s="23"/>
      <c r="D323" s="23"/>
      <c r="E323" s="23"/>
      <c r="F323" s="23"/>
      <c r="G323" s="23"/>
      <c r="H323" s="24"/>
      <c r="I323" s="23"/>
      <c r="J323" s="23"/>
      <c r="K323" s="24"/>
    </row>
    <row r="324" spans="1:11" ht="12.95">
      <c r="A324" s="23"/>
      <c r="B324" s="23"/>
      <c r="C324" s="23"/>
      <c r="D324" s="23"/>
      <c r="E324" s="23"/>
      <c r="F324" s="23"/>
      <c r="G324" s="23"/>
      <c r="H324" s="24"/>
      <c r="I324" s="23"/>
      <c r="J324" s="23"/>
      <c r="K324" s="24"/>
    </row>
    <row r="325" spans="1:11" ht="12.95">
      <c r="A325" s="23"/>
      <c r="B325" s="23"/>
      <c r="C325" s="23"/>
      <c r="D325" s="23"/>
      <c r="E325" s="23"/>
      <c r="F325" s="23"/>
      <c r="G325" s="23"/>
      <c r="H325" s="24"/>
      <c r="I325" s="23"/>
      <c r="J325" s="23"/>
      <c r="K325" s="24"/>
    </row>
    <row r="326" spans="1:11" ht="12.95">
      <c r="A326" s="23"/>
      <c r="B326" s="23"/>
      <c r="C326" s="23"/>
      <c r="D326" s="23"/>
      <c r="E326" s="23"/>
      <c r="F326" s="23"/>
      <c r="G326" s="23"/>
      <c r="H326" s="24"/>
      <c r="I326" s="23"/>
      <c r="J326" s="23"/>
      <c r="K326" s="24"/>
    </row>
    <row r="327" spans="1:11" ht="12.95">
      <c r="A327" s="23"/>
      <c r="B327" s="23"/>
      <c r="C327" s="23"/>
      <c r="D327" s="23"/>
      <c r="E327" s="23"/>
      <c r="F327" s="23"/>
      <c r="G327" s="23"/>
      <c r="H327" s="24"/>
      <c r="I327" s="23"/>
      <c r="J327" s="23"/>
      <c r="K327" s="24"/>
    </row>
    <row r="328" spans="1:11" ht="12.95">
      <c r="A328" s="23"/>
      <c r="B328" s="23"/>
      <c r="C328" s="23"/>
      <c r="D328" s="23"/>
      <c r="E328" s="23"/>
      <c r="F328" s="23"/>
      <c r="G328" s="23"/>
      <c r="H328" s="24"/>
      <c r="I328" s="23"/>
      <c r="J328" s="23"/>
      <c r="K328" s="24"/>
    </row>
    <row r="329" spans="1:11" ht="12.95">
      <c r="A329" s="23"/>
      <c r="B329" s="23"/>
      <c r="C329" s="23"/>
      <c r="D329" s="23"/>
      <c r="E329" s="23"/>
      <c r="F329" s="23"/>
      <c r="G329" s="23"/>
      <c r="H329" s="24"/>
      <c r="I329" s="23"/>
      <c r="J329" s="23"/>
      <c r="K329" s="24"/>
    </row>
    <row r="330" spans="1:11" ht="12.95">
      <c r="A330" s="23"/>
      <c r="B330" s="23"/>
      <c r="C330" s="23"/>
      <c r="D330" s="23"/>
      <c r="E330" s="23"/>
      <c r="F330" s="23"/>
      <c r="G330" s="23"/>
      <c r="H330" s="24"/>
      <c r="I330" s="23"/>
      <c r="J330" s="23"/>
      <c r="K330" s="24"/>
    </row>
    <row r="331" spans="1:11" ht="12.95">
      <c r="A331" s="23"/>
      <c r="B331" s="23"/>
      <c r="C331" s="23"/>
      <c r="D331" s="23"/>
      <c r="E331" s="23"/>
      <c r="F331" s="23"/>
      <c r="G331" s="23"/>
      <c r="H331" s="24"/>
      <c r="I331" s="23"/>
      <c r="J331" s="23"/>
      <c r="K331" s="24"/>
    </row>
    <row r="332" spans="1:11" ht="12.95">
      <c r="A332" s="23"/>
      <c r="B332" s="23"/>
      <c r="C332" s="23"/>
      <c r="D332" s="23"/>
      <c r="E332" s="23"/>
      <c r="F332" s="23"/>
      <c r="G332" s="23"/>
      <c r="H332" s="24"/>
      <c r="I332" s="23"/>
      <c r="J332" s="23"/>
      <c r="K332" s="24"/>
    </row>
    <row r="333" spans="1:11" ht="12.95">
      <c r="A333" s="23"/>
      <c r="B333" s="23"/>
      <c r="C333" s="23"/>
      <c r="D333" s="23"/>
      <c r="E333" s="23"/>
      <c r="F333" s="23"/>
      <c r="G333" s="23"/>
      <c r="H333" s="24"/>
      <c r="I333" s="23"/>
      <c r="J333" s="23"/>
      <c r="K333" s="24"/>
    </row>
    <row r="334" spans="1:11" ht="12.95">
      <c r="A334" s="23"/>
      <c r="B334" s="23"/>
      <c r="C334" s="23"/>
      <c r="D334" s="23"/>
      <c r="E334" s="23"/>
      <c r="F334" s="23"/>
      <c r="G334" s="23"/>
      <c r="H334" s="24"/>
      <c r="I334" s="23"/>
      <c r="J334" s="23"/>
      <c r="K334" s="24"/>
    </row>
    <row r="335" spans="1:11" ht="12.95">
      <c r="A335" s="23"/>
      <c r="B335" s="23"/>
      <c r="C335" s="23"/>
      <c r="D335" s="23"/>
      <c r="E335" s="23"/>
      <c r="F335" s="23"/>
      <c r="G335" s="23"/>
      <c r="H335" s="24"/>
      <c r="I335" s="23"/>
      <c r="J335" s="23"/>
      <c r="K335" s="24"/>
    </row>
    <row r="336" spans="1:11" ht="12.95">
      <c r="A336" s="23"/>
      <c r="B336" s="23"/>
      <c r="C336" s="23"/>
      <c r="D336" s="23"/>
      <c r="E336" s="23"/>
      <c r="F336" s="23"/>
      <c r="G336" s="23"/>
      <c r="H336" s="24"/>
      <c r="I336" s="23"/>
      <c r="J336" s="23"/>
      <c r="K336" s="24"/>
    </row>
    <row r="337" spans="1:11" ht="12.95">
      <c r="A337" s="23"/>
      <c r="B337" s="23"/>
      <c r="C337" s="23"/>
      <c r="D337" s="23"/>
      <c r="E337" s="23"/>
      <c r="F337" s="23"/>
      <c r="G337" s="23"/>
      <c r="H337" s="24"/>
      <c r="I337" s="23"/>
      <c r="J337" s="23"/>
      <c r="K337" s="24"/>
    </row>
    <row r="338" spans="1:11" ht="12.95">
      <c r="A338" s="23"/>
      <c r="B338" s="23"/>
      <c r="C338" s="23"/>
      <c r="D338" s="23"/>
      <c r="E338" s="23"/>
      <c r="F338" s="23"/>
      <c r="G338" s="23"/>
      <c r="H338" s="24"/>
      <c r="I338" s="23"/>
      <c r="J338" s="23"/>
      <c r="K338" s="24"/>
    </row>
    <row r="339" spans="1:11" ht="12.95">
      <c r="A339" s="23"/>
      <c r="B339" s="23"/>
      <c r="C339" s="23"/>
      <c r="D339" s="23"/>
      <c r="E339" s="23"/>
      <c r="F339" s="23"/>
      <c r="G339" s="23"/>
      <c r="H339" s="24"/>
      <c r="I339" s="23"/>
      <c r="J339" s="23"/>
      <c r="K339" s="24"/>
    </row>
    <row r="340" spans="1:11" ht="12.95">
      <c r="A340" s="23"/>
      <c r="B340" s="23"/>
      <c r="C340" s="23"/>
      <c r="D340" s="23"/>
      <c r="E340" s="23"/>
      <c r="F340" s="23"/>
      <c r="G340" s="23"/>
      <c r="H340" s="24"/>
      <c r="I340" s="23"/>
      <c r="J340" s="23"/>
      <c r="K340" s="24"/>
    </row>
    <row r="341" spans="1:11" ht="12.95">
      <c r="A341" s="23"/>
      <c r="B341" s="23"/>
      <c r="C341" s="23"/>
      <c r="D341" s="23"/>
      <c r="E341" s="23"/>
      <c r="F341" s="23"/>
      <c r="G341" s="23"/>
      <c r="H341" s="24"/>
      <c r="I341" s="23"/>
      <c r="J341" s="23"/>
      <c r="K341" s="24"/>
    </row>
    <row r="342" spans="1:11" ht="12.95">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36" priority="1" stopIfTrue="1" operator="lessThanOrEqual">
      <formula>-0.1</formula>
    </cfRule>
    <cfRule type="expression" dxfId="35"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E24" sqref="E24"/>
    </sheetView>
  </sheetViews>
  <sheetFormatPr defaultRowHeight="12.6"/>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32" t="str" cm="1">
        <f t="array" ref="A1">portfolio</f>
        <v>CITI</v>
      </c>
      <c r="B1" s="132"/>
      <c r="C1" s="132"/>
      <c r="D1" s="76" t="s">
        <v>0</v>
      </c>
      <c r="E1" s="76" t="s">
        <v>1</v>
      </c>
      <c r="F1" s="133" t="s">
        <v>12</v>
      </c>
      <c r="G1" s="133"/>
      <c r="H1" s="133"/>
      <c r="I1" s="131" t="s">
        <v>13</v>
      </c>
      <c r="J1" s="131"/>
      <c r="K1" s="131"/>
    </row>
    <row r="2" spans="1:11" ht="19.5" customHeight="1">
      <c r="A2" s="134" t="s">
        <v>4</v>
      </c>
      <c r="B2" s="134"/>
      <c r="C2" s="6">
        <f>SUM(C4:C100)</f>
        <v>4011350.76</v>
      </c>
      <c r="D2" s="6">
        <f>SUM(D4:D22)</f>
        <v>4010868.1399999997</v>
      </c>
      <c r="E2" s="7">
        <f>C2/D2</f>
        <v>1.0001203280644375</v>
      </c>
      <c r="F2" s="6">
        <f>SUM(F4:F100)</f>
        <v>3987723.821</v>
      </c>
      <c r="G2" s="6">
        <f>C2-F2</f>
        <v>23626.93899999978</v>
      </c>
      <c r="H2" s="7">
        <f>IFERROR(G2/F2, 0)</f>
        <v>5.9249185902936633E-3</v>
      </c>
      <c r="I2" s="6">
        <f>SUM(I4:I100)</f>
        <v>4290441.3270000005</v>
      </c>
      <c r="J2" s="8">
        <f>C2-I2</f>
        <v>-279090.56700000074</v>
      </c>
      <c r="K2" s="7">
        <f>IFERROR(J2/I2, 0)</f>
        <v>-6.5049384370709687E-2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2"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162762.5</v>
      </c>
      <c r="D13" s="12">
        <f>SUM(Jan!D13,Feb!D13,Mar!D13)</f>
        <v>180900.23</v>
      </c>
      <c r="E13" s="80">
        <f t="shared" si="0"/>
        <v>0.89973628004784734</v>
      </c>
      <c r="F13" s="20">
        <f>SUM(Jan!F13, Feb!F13, Mar!G13)</f>
        <v>174082</v>
      </c>
      <c r="G13" s="20">
        <f t="shared" si="1"/>
        <v>-11319.5</v>
      </c>
      <c r="H13" s="21">
        <f t="shared" si="2"/>
        <v>-6.5023954228467046E-2</v>
      </c>
      <c r="I13" s="22">
        <f>SUM(Jan!I13, Feb!I13, Mar!J13)</f>
        <v>174722.89</v>
      </c>
      <c r="J13" s="22">
        <f>SUM(Jan!J13, Feb!J13, Mar!K13)</f>
        <v>-11960.39</v>
      </c>
      <c r="K13" s="21">
        <f t="shared" si="3"/>
        <v>-6.8453480823262469E-2</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2" si="4">IF(AND(ISNUMBER(C16),ISNUMBER(F16)), C16-F16, "")</f>
        <v>2597</v>
      </c>
      <c r="H16" s="38">
        <f t="shared" ref="H16:H21"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c r="I22" s="39">
        <f>SUM(Jan!I22, Feb!I22, Mar!J22)</f>
        <v>191954.66399999999</v>
      </c>
      <c r="J22" s="39">
        <f>SUM(Jan!J22, Feb!J22, Mar!K22)</f>
        <v>-6367.1640000000116</v>
      </c>
      <c r="K22" s="40">
        <f>IFERROR(J22/I22, "")</f>
        <v>-3.3170144800441066E-2</v>
      </c>
    </row>
    <row r="23" spans="1:11" ht="15.6">
      <c r="A23" s="19" t="str">
        <v>Sacramento - KP South Sacramento HSP</v>
      </c>
      <c r="B23" s="11" t="str">
        <v>CA</v>
      </c>
      <c r="C23" s="42"/>
      <c r="D23" s="42"/>
      <c r="E23" s="117"/>
      <c r="F23" s="20"/>
      <c r="G23" s="20"/>
      <c r="H23" s="43"/>
      <c r="I23" s="44"/>
      <c r="J23" s="44"/>
      <c r="K23" s="40"/>
    </row>
    <row r="24" spans="1:11" ht="12.95">
      <c r="A24" s="23"/>
      <c r="B24" s="23"/>
      <c r="C24" s="23"/>
      <c r="D24" s="23"/>
      <c r="E24" s="23"/>
      <c r="F24" s="23"/>
      <c r="G24" s="23"/>
      <c r="H24" s="23"/>
      <c r="I24" s="23"/>
      <c r="J24" s="23"/>
      <c r="K24" s="23"/>
    </row>
    <row r="25" spans="1:11" ht="12.95">
      <c r="A25" s="23"/>
      <c r="B25" s="23"/>
      <c r="C25" s="23"/>
      <c r="F25" s="23"/>
      <c r="G25" s="23"/>
      <c r="H25" s="23"/>
      <c r="I25" s="23"/>
      <c r="J25" s="23"/>
      <c r="K25" s="23"/>
    </row>
    <row r="26" spans="1:11" ht="12.95">
      <c r="A26" s="23"/>
      <c r="B26" s="23"/>
      <c r="C26" s="23"/>
      <c r="F26" s="23"/>
      <c r="G26" s="23"/>
      <c r="H26" s="23"/>
      <c r="I26" s="23"/>
      <c r="J26" s="23"/>
      <c r="K26" s="23"/>
    </row>
    <row r="27" spans="1:11" ht="12.95">
      <c r="A27" s="23"/>
      <c r="B27" s="23"/>
      <c r="C27" s="23"/>
      <c r="D27" s="23"/>
      <c r="E27" s="23"/>
      <c r="F27" s="23"/>
      <c r="G27" s="23"/>
      <c r="H27" s="23"/>
      <c r="I27" s="23"/>
      <c r="J27" s="23"/>
      <c r="K27" s="23"/>
    </row>
    <row r="28" spans="1:11" ht="12.95">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2.95">
      <c r="A31" s="23"/>
      <c r="B31" s="23"/>
      <c r="C31" s="23"/>
      <c r="D31" s="23"/>
      <c r="E31" s="23"/>
      <c r="F31" s="23"/>
      <c r="G31" s="23"/>
      <c r="H31" s="23"/>
      <c r="I31" s="23"/>
      <c r="J31" s="23"/>
      <c r="K31" s="23"/>
    </row>
    <row r="32" spans="1:11" ht="12.95">
      <c r="A32" s="23"/>
      <c r="B32" s="23"/>
      <c r="C32" s="23"/>
      <c r="D32" s="23"/>
      <c r="E32" s="23"/>
      <c r="F32" s="23"/>
      <c r="G32" s="23"/>
      <c r="H32" s="23"/>
      <c r="I32" s="23"/>
      <c r="J32" s="23"/>
      <c r="K32" s="23"/>
    </row>
    <row r="33" spans="1:11" ht="12.95">
      <c r="A33" s="23"/>
      <c r="B33" s="23"/>
      <c r="C33" s="23"/>
      <c r="D33" s="23"/>
      <c r="E33" s="23"/>
      <c r="F33" s="23"/>
      <c r="G33" s="23"/>
      <c r="H33" s="24"/>
      <c r="I33" s="23"/>
      <c r="J33" s="23"/>
      <c r="K33" s="24"/>
    </row>
    <row r="34" spans="1:11" ht="12.95">
      <c r="A34" s="23"/>
      <c r="B34" s="23"/>
      <c r="C34" s="23"/>
      <c r="D34" s="23"/>
      <c r="E34" s="23"/>
      <c r="F34" s="23"/>
      <c r="G34" s="23"/>
      <c r="H34" s="24"/>
      <c r="I34" s="23"/>
      <c r="J34" s="23"/>
      <c r="K34" s="24"/>
    </row>
    <row r="35" spans="1:11" ht="12.95">
      <c r="A35" s="23"/>
      <c r="B35" s="23"/>
      <c r="C35" s="23"/>
      <c r="D35" s="23"/>
      <c r="E35" s="23"/>
      <c r="F35" s="23"/>
      <c r="G35" s="23"/>
      <c r="H35" s="24"/>
      <c r="I35" s="23"/>
      <c r="J35" s="23"/>
      <c r="K35" s="24"/>
    </row>
    <row r="36" spans="1:11" ht="12.95">
      <c r="A36" s="23"/>
      <c r="B36" s="23"/>
      <c r="C36" s="23"/>
      <c r="D36" s="23"/>
      <c r="E36" s="23"/>
      <c r="F36" s="23"/>
      <c r="G36" s="23"/>
      <c r="H36" s="24"/>
      <c r="I36" s="23"/>
      <c r="J36" s="23"/>
      <c r="K36" s="24"/>
    </row>
    <row r="37" spans="1:11" ht="12.95">
      <c r="A37" s="23"/>
      <c r="B37" s="23"/>
      <c r="C37" s="23"/>
      <c r="D37" s="23"/>
      <c r="E37" s="23"/>
      <c r="F37" s="23"/>
      <c r="G37" s="23"/>
      <c r="H37" s="24"/>
      <c r="I37" s="23"/>
      <c r="J37" s="23"/>
      <c r="K37" s="24"/>
    </row>
    <row r="38" spans="1:11" ht="12.95">
      <c r="A38" s="23"/>
      <c r="B38" s="23"/>
      <c r="C38" s="23"/>
      <c r="D38" s="23"/>
      <c r="E38" s="23"/>
      <c r="F38" s="23"/>
      <c r="G38" s="23"/>
      <c r="H38" s="24"/>
      <c r="I38" s="23"/>
      <c r="J38" s="23"/>
      <c r="K38" s="24"/>
    </row>
    <row r="39" spans="1:11" ht="12.95">
      <c r="A39" s="23"/>
      <c r="B39" s="23"/>
      <c r="C39" s="23"/>
      <c r="D39" s="23"/>
      <c r="E39" s="23"/>
      <c r="F39" s="23"/>
      <c r="G39" s="23"/>
      <c r="H39" s="24"/>
      <c r="I39" s="23"/>
      <c r="J39" s="23"/>
      <c r="K39" s="24"/>
    </row>
    <row r="40" spans="1:11" ht="12.95">
      <c r="A40" s="23"/>
      <c r="B40" s="23"/>
      <c r="C40" s="23"/>
      <c r="D40" s="23"/>
      <c r="E40" s="23"/>
      <c r="F40" s="23"/>
      <c r="G40" s="23"/>
      <c r="H40" s="24"/>
      <c r="I40" s="23"/>
      <c r="J40" s="23"/>
      <c r="K40" s="24"/>
    </row>
    <row r="41" spans="1:11" ht="12.95">
      <c r="A41" s="23"/>
      <c r="B41" s="23"/>
      <c r="C41" s="23"/>
      <c r="D41" s="23"/>
      <c r="E41" s="23"/>
      <c r="F41" s="23"/>
      <c r="G41" s="23"/>
      <c r="H41" s="24"/>
      <c r="I41" s="23"/>
      <c r="J41" s="23"/>
      <c r="K41" s="24"/>
    </row>
    <row r="42" spans="1:11" ht="12.95">
      <c r="A42" s="23"/>
      <c r="B42" s="23"/>
      <c r="C42" s="23"/>
      <c r="D42" s="23"/>
      <c r="E42" s="23"/>
      <c r="F42" s="23"/>
      <c r="G42" s="23"/>
      <c r="H42" s="24"/>
      <c r="I42" s="23"/>
      <c r="J42" s="23"/>
      <c r="K42" s="24"/>
    </row>
    <row r="43" spans="1:11" ht="12.95">
      <c r="A43" s="23"/>
      <c r="B43" s="23"/>
      <c r="C43" s="23"/>
      <c r="D43" s="23"/>
      <c r="E43" s="23"/>
      <c r="F43" s="23"/>
      <c r="G43" s="23"/>
      <c r="H43" s="24"/>
      <c r="I43" s="23"/>
      <c r="J43" s="23"/>
      <c r="K43" s="24"/>
    </row>
    <row r="44" spans="1:11" ht="12.95">
      <c r="A44" s="23"/>
      <c r="B44" s="23"/>
      <c r="C44" s="23"/>
      <c r="D44" s="23"/>
      <c r="E44" s="23"/>
      <c r="F44" s="23"/>
      <c r="G44" s="23"/>
      <c r="H44" s="24"/>
      <c r="I44" s="23"/>
      <c r="J44" s="23"/>
      <c r="K44" s="24"/>
    </row>
    <row r="45" spans="1:11" ht="12.95">
      <c r="A45" s="23"/>
      <c r="B45" s="23"/>
      <c r="C45" s="23"/>
      <c r="D45" s="23"/>
      <c r="E45" s="23"/>
      <c r="F45" s="23"/>
      <c r="G45" s="23"/>
      <c r="H45" s="24"/>
      <c r="I45" s="23"/>
      <c r="J45" s="23"/>
      <c r="K45" s="24"/>
    </row>
    <row r="46" spans="1:11" ht="12.95">
      <c r="A46" s="23"/>
      <c r="B46" s="23"/>
      <c r="C46" s="23"/>
      <c r="D46" s="23"/>
      <c r="E46" s="23"/>
      <c r="F46" s="23"/>
      <c r="G46" s="23"/>
      <c r="H46" s="24"/>
      <c r="I46" s="23"/>
      <c r="J46" s="23"/>
      <c r="K46" s="24"/>
    </row>
    <row r="47" spans="1:11" ht="12.95">
      <c r="A47" s="23"/>
      <c r="B47" s="23"/>
      <c r="C47" s="23"/>
      <c r="D47" s="23"/>
      <c r="E47" s="23"/>
      <c r="F47" s="23"/>
      <c r="G47" s="23"/>
      <c r="H47" s="24"/>
      <c r="I47" s="23"/>
      <c r="J47" s="23"/>
      <c r="K47" s="24"/>
    </row>
    <row r="48" spans="1:11" ht="12.95">
      <c r="A48" s="23"/>
      <c r="B48" s="23"/>
      <c r="C48" s="23"/>
      <c r="D48" s="23"/>
      <c r="E48" s="23"/>
      <c r="F48" s="23"/>
      <c r="G48" s="23"/>
      <c r="H48" s="24"/>
      <c r="I48" s="23"/>
      <c r="J48" s="23"/>
      <c r="K48" s="24"/>
    </row>
    <row r="49" spans="1:11" ht="12.95">
      <c r="A49" s="23"/>
      <c r="B49" s="23"/>
      <c r="C49" s="23"/>
      <c r="D49" s="23"/>
      <c r="E49" s="23"/>
      <c r="F49" s="23"/>
      <c r="G49" s="23"/>
      <c r="H49" s="24"/>
      <c r="I49" s="23"/>
      <c r="J49" s="23"/>
      <c r="K49" s="24"/>
    </row>
    <row r="50" spans="1:11" ht="12.95">
      <c r="A50" s="23"/>
      <c r="B50" s="23"/>
      <c r="C50" s="23"/>
      <c r="D50" s="23"/>
      <c r="E50" s="23"/>
      <c r="F50" s="23"/>
      <c r="G50" s="23"/>
      <c r="H50" s="24"/>
      <c r="I50" s="23"/>
      <c r="J50" s="23"/>
      <c r="K50" s="24"/>
    </row>
    <row r="51" spans="1:11" ht="12.95">
      <c r="A51" s="23"/>
      <c r="B51" s="23"/>
      <c r="C51" s="23"/>
      <c r="D51" s="23"/>
      <c r="E51" s="23"/>
      <c r="F51" s="23"/>
      <c r="G51" s="23"/>
      <c r="H51" s="24"/>
      <c r="I51" s="23"/>
      <c r="J51" s="23"/>
      <c r="K51" s="24"/>
    </row>
    <row r="52" spans="1:11" ht="12.95">
      <c r="A52" s="23"/>
      <c r="B52" s="23"/>
      <c r="C52" s="23"/>
      <c r="D52" s="23"/>
      <c r="E52" s="23"/>
      <c r="F52" s="23"/>
      <c r="G52" s="23"/>
      <c r="H52" s="24"/>
      <c r="I52" s="23"/>
      <c r="J52" s="23"/>
      <c r="K52" s="24"/>
    </row>
    <row r="53" spans="1:11" ht="12.95">
      <c r="A53" s="23"/>
      <c r="B53" s="23"/>
      <c r="C53" s="23"/>
      <c r="D53" s="23"/>
      <c r="E53" s="23"/>
      <c r="F53" s="23"/>
      <c r="G53" s="23"/>
      <c r="H53" s="24"/>
      <c r="I53" s="23"/>
      <c r="J53" s="23"/>
      <c r="K53" s="24"/>
    </row>
    <row r="54" spans="1:11" ht="12.95">
      <c r="A54" s="23"/>
      <c r="B54" s="23"/>
      <c r="C54" s="23"/>
      <c r="D54" s="23"/>
      <c r="E54" s="23"/>
      <c r="F54" s="23"/>
      <c r="G54" s="23"/>
      <c r="H54" s="24"/>
      <c r="I54" s="23"/>
      <c r="J54" s="23"/>
      <c r="K54" s="24"/>
    </row>
    <row r="55" spans="1:11" ht="12.95">
      <c r="A55" s="23"/>
      <c r="B55" s="23"/>
      <c r="C55" s="23"/>
      <c r="D55" s="23"/>
      <c r="E55" s="23"/>
      <c r="F55" s="23"/>
      <c r="G55" s="23"/>
      <c r="H55" s="24"/>
      <c r="I55" s="23"/>
      <c r="J55" s="23"/>
      <c r="K55" s="24"/>
    </row>
    <row r="56" spans="1:11" ht="12.95">
      <c r="A56" s="23"/>
      <c r="B56" s="23"/>
      <c r="C56" s="23"/>
      <c r="D56" s="23"/>
      <c r="E56" s="23"/>
      <c r="F56" s="23"/>
      <c r="G56" s="23"/>
      <c r="H56" s="24"/>
      <c r="I56" s="23"/>
      <c r="J56" s="23"/>
      <c r="K56" s="24"/>
    </row>
    <row r="57" spans="1:11" ht="12.95">
      <c r="A57" s="23"/>
      <c r="B57" s="23"/>
      <c r="C57" s="23"/>
      <c r="D57" s="23"/>
      <c r="E57" s="23"/>
      <c r="F57" s="23"/>
      <c r="G57" s="23"/>
      <c r="H57" s="24"/>
      <c r="I57" s="23"/>
      <c r="J57" s="23"/>
      <c r="K57" s="24"/>
    </row>
    <row r="58" spans="1:11" ht="12.95">
      <c r="A58" s="23"/>
      <c r="B58" s="23"/>
      <c r="C58" s="23"/>
      <c r="D58" s="23"/>
      <c r="E58" s="23"/>
      <c r="F58" s="23"/>
      <c r="G58" s="23"/>
      <c r="H58" s="24"/>
      <c r="I58" s="23"/>
      <c r="J58" s="23"/>
      <c r="K58" s="24"/>
    </row>
    <row r="59" spans="1:11" ht="12.95">
      <c r="A59" s="23"/>
      <c r="B59" s="23"/>
      <c r="C59" s="23"/>
      <c r="D59" s="23"/>
      <c r="E59" s="23"/>
      <c r="F59" s="23"/>
      <c r="G59" s="23"/>
      <c r="H59" s="24"/>
      <c r="I59" s="23"/>
      <c r="J59" s="23"/>
      <c r="K59" s="24"/>
    </row>
    <row r="60" spans="1:11" ht="12.95">
      <c r="A60" s="23"/>
      <c r="B60" s="23"/>
      <c r="C60" s="23"/>
      <c r="D60" s="23"/>
      <c r="E60" s="23"/>
      <c r="F60" s="23"/>
      <c r="G60" s="23"/>
      <c r="H60" s="24"/>
      <c r="I60" s="23"/>
      <c r="J60" s="23"/>
      <c r="K60" s="24"/>
    </row>
    <row r="61" spans="1:11" ht="12.95">
      <c r="A61" s="23"/>
      <c r="B61" s="23"/>
      <c r="C61" s="23"/>
      <c r="D61" s="23"/>
      <c r="E61" s="23"/>
      <c r="F61" s="23"/>
      <c r="G61" s="23"/>
      <c r="H61" s="24"/>
      <c r="I61" s="23"/>
      <c r="J61" s="23"/>
      <c r="K61" s="24"/>
    </row>
    <row r="62" spans="1:11" ht="12.95">
      <c r="A62" s="23"/>
      <c r="B62" s="23"/>
      <c r="C62" s="23"/>
      <c r="D62" s="23"/>
      <c r="E62" s="23"/>
      <c r="F62" s="23"/>
      <c r="G62" s="23"/>
      <c r="H62" s="24"/>
      <c r="I62" s="23"/>
      <c r="J62" s="23"/>
      <c r="K62" s="24"/>
    </row>
    <row r="63" spans="1:11" ht="12.95">
      <c r="A63" s="23"/>
      <c r="B63" s="23"/>
      <c r="C63" s="23"/>
      <c r="D63" s="23"/>
      <c r="E63" s="23"/>
      <c r="F63" s="23"/>
      <c r="G63" s="23"/>
      <c r="H63" s="24"/>
      <c r="I63" s="23"/>
      <c r="J63" s="23"/>
      <c r="K63" s="24"/>
    </row>
    <row r="64" spans="1:11" ht="12.95">
      <c r="A64" s="23"/>
      <c r="B64" s="23"/>
      <c r="C64" s="23"/>
      <c r="D64" s="23"/>
      <c r="E64" s="23"/>
      <c r="F64" s="23"/>
      <c r="G64" s="23"/>
      <c r="H64" s="24"/>
      <c r="I64" s="23"/>
      <c r="J64" s="23"/>
      <c r="K64" s="24"/>
    </row>
    <row r="65" spans="1:11" ht="12.95">
      <c r="A65" s="23"/>
      <c r="B65" s="23"/>
      <c r="C65" s="23"/>
      <c r="D65" s="23"/>
      <c r="E65" s="23"/>
      <c r="F65" s="23"/>
      <c r="G65" s="23"/>
      <c r="H65" s="24"/>
      <c r="I65" s="23"/>
      <c r="J65" s="23"/>
      <c r="K65" s="24"/>
    </row>
    <row r="66" spans="1:11" ht="12.95">
      <c r="A66" s="23"/>
      <c r="B66" s="23"/>
      <c r="C66" s="23"/>
      <c r="D66" s="23"/>
      <c r="E66" s="23"/>
      <c r="F66" s="23"/>
      <c r="G66" s="23"/>
      <c r="H66" s="24"/>
      <c r="I66" s="23"/>
      <c r="J66" s="23"/>
      <c r="K66" s="24"/>
    </row>
    <row r="67" spans="1:11" ht="12.95">
      <c r="A67" s="23"/>
      <c r="B67" s="23"/>
      <c r="C67" s="23"/>
      <c r="D67" s="23"/>
      <c r="E67" s="23"/>
      <c r="F67" s="23"/>
      <c r="G67" s="23"/>
      <c r="H67" s="24"/>
      <c r="I67" s="23"/>
      <c r="J67" s="23"/>
      <c r="K67" s="24"/>
    </row>
    <row r="68" spans="1:11" ht="12.95">
      <c r="A68" s="23"/>
      <c r="B68" s="23"/>
      <c r="C68" s="23"/>
      <c r="D68" s="23"/>
      <c r="E68" s="23"/>
      <c r="F68" s="23"/>
      <c r="G68" s="23"/>
      <c r="H68" s="24"/>
      <c r="I68" s="23"/>
      <c r="J68" s="23"/>
      <c r="K68" s="24"/>
    </row>
    <row r="69" spans="1:11" ht="12.95">
      <c r="A69" s="23"/>
      <c r="B69" s="23"/>
      <c r="C69" s="23"/>
      <c r="D69" s="23"/>
      <c r="E69" s="23"/>
      <c r="F69" s="23"/>
      <c r="G69" s="23"/>
      <c r="H69" s="24"/>
      <c r="I69" s="23"/>
      <c r="J69" s="23"/>
      <c r="K69" s="24"/>
    </row>
    <row r="70" spans="1:11" ht="12.95">
      <c r="A70" s="23"/>
      <c r="B70" s="23"/>
      <c r="C70" s="23"/>
      <c r="D70" s="23"/>
      <c r="E70" s="23"/>
      <c r="F70" s="23"/>
      <c r="G70" s="23"/>
      <c r="H70" s="24"/>
      <c r="I70" s="23"/>
      <c r="J70" s="23"/>
      <c r="K70" s="24"/>
    </row>
    <row r="71" spans="1:11" ht="12.95">
      <c r="A71" s="23"/>
      <c r="B71" s="23"/>
      <c r="C71" s="23"/>
      <c r="D71" s="23"/>
      <c r="E71" s="23"/>
      <c r="F71" s="23"/>
      <c r="G71" s="23"/>
      <c r="H71" s="24"/>
      <c r="I71" s="23"/>
      <c r="J71" s="23"/>
      <c r="K71" s="24"/>
    </row>
    <row r="72" spans="1:11" ht="12.95">
      <c r="A72" s="23"/>
      <c r="B72" s="23"/>
      <c r="C72" s="23"/>
      <c r="D72" s="23"/>
      <c r="E72" s="23"/>
      <c r="F72" s="23"/>
      <c r="G72" s="23"/>
      <c r="H72" s="24"/>
      <c r="I72" s="23"/>
      <c r="J72" s="23"/>
      <c r="K72" s="24"/>
    </row>
    <row r="73" spans="1:11" ht="12.95">
      <c r="A73" s="23"/>
      <c r="B73" s="23"/>
      <c r="C73" s="23"/>
      <c r="D73" s="23"/>
      <c r="E73" s="23"/>
      <c r="F73" s="23"/>
      <c r="G73" s="23"/>
      <c r="H73" s="24"/>
      <c r="I73" s="23"/>
      <c r="J73" s="23"/>
      <c r="K73" s="24"/>
    </row>
    <row r="74" spans="1:11" ht="12.95">
      <c r="A74" s="23"/>
      <c r="B74" s="23"/>
      <c r="C74" s="23"/>
      <c r="D74" s="23"/>
      <c r="E74" s="23"/>
      <c r="F74" s="23"/>
      <c r="G74" s="23"/>
      <c r="H74" s="24"/>
      <c r="I74" s="23"/>
      <c r="J74" s="23"/>
      <c r="K74" s="24"/>
    </row>
    <row r="75" spans="1:11" ht="12.95">
      <c r="A75" s="23"/>
      <c r="B75" s="23"/>
      <c r="C75" s="23"/>
      <c r="D75" s="23"/>
      <c r="E75" s="23"/>
      <c r="F75" s="23"/>
      <c r="G75" s="23"/>
      <c r="H75" s="24"/>
      <c r="I75" s="23"/>
      <c r="J75" s="23"/>
      <c r="K75" s="24"/>
    </row>
    <row r="76" spans="1:11" ht="12.95">
      <c r="A76" s="23"/>
      <c r="B76" s="23"/>
      <c r="C76" s="23"/>
      <c r="D76" s="23"/>
      <c r="E76" s="23"/>
      <c r="F76" s="23"/>
      <c r="G76" s="23"/>
      <c r="H76" s="24"/>
      <c r="I76" s="23"/>
      <c r="J76" s="23"/>
      <c r="K76" s="24"/>
    </row>
    <row r="77" spans="1:11" ht="12.95">
      <c r="A77" s="23"/>
      <c r="B77" s="23"/>
      <c r="C77" s="23"/>
      <c r="D77" s="23"/>
      <c r="E77" s="23"/>
      <c r="F77" s="23"/>
      <c r="G77" s="23"/>
      <c r="H77" s="24"/>
      <c r="I77" s="23"/>
      <c r="J77" s="23"/>
      <c r="K77" s="24"/>
    </row>
    <row r="78" spans="1:11" ht="12.95">
      <c r="A78" s="23"/>
      <c r="B78" s="23"/>
      <c r="C78" s="23"/>
      <c r="D78" s="23"/>
      <c r="E78" s="23"/>
      <c r="F78" s="23"/>
      <c r="G78" s="23"/>
      <c r="H78" s="24"/>
      <c r="I78" s="23"/>
      <c r="J78" s="23"/>
      <c r="K78" s="24"/>
    </row>
    <row r="79" spans="1:11" ht="12.95">
      <c r="A79" s="23"/>
      <c r="B79" s="23"/>
      <c r="C79" s="23"/>
      <c r="D79" s="23"/>
      <c r="E79" s="23"/>
      <c r="F79" s="23"/>
      <c r="G79" s="23"/>
      <c r="H79" s="24"/>
      <c r="I79" s="23"/>
      <c r="J79" s="23"/>
      <c r="K79" s="24"/>
    </row>
    <row r="80" spans="1:11" ht="12.95">
      <c r="A80" s="23"/>
      <c r="B80" s="23"/>
      <c r="C80" s="23"/>
      <c r="D80" s="23"/>
      <c r="E80" s="23"/>
      <c r="F80" s="23"/>
      <c r="G80" s="23"/>
      <c r="H80" s="24"/>
      <c r="I80" s="23"/>
      <c r="J80" s="23"/>
      <c r="K80" s="24"/>
    </row>
    <row r="81" spans="1:11" ht="12.95">
      <c r="A81" s="23"/>
      <c r="B81" s="23"/>
      <c r="C81" s="23"/>
      <c r="D81" s="23"/>
      <c r="E81" s="23"/>
      <c r="F81" s="23"/>
      <c r="G81" s="23"/>
      <c r="H81" s="24"/>
      <c r="I81" s="23"/>
      <c r="J81" s="23"/>
      <c r="K81" s="24"/>
    </row>
    <row r="82" spans="1:11" ht="12.95">
      <c r="A82" s="23"/>
      <c r="B82" s="23"/>
      <c r="C82" s="23"/>
      <c r="D82" s="23"/>
      <c r="E82" s="23"/>
      <c r="F82" s="23"/>
      <c r="G82" s="23"/>
      <c r="H82" s="24"/>
      <c r="I82" s="23"/>
      <c r="J82" s="23"/>
      <c r="K82" s="24"/>
    </row>
    <row r="83" spans="1:11" ht="12.95">
      <c r="A83" s="23"/>
      <c r="B83" s="23"/>
      <c r="C83" s="23"/>
      <c r="D83" s="23"/>
      <c r="E83" s="23"/>
      <c r="F83" s="23"/>
      <c r="G83" s="23"/>
      <c r="H83" s="24"/>
      <c r="I83" s="23"/>
      <c r="J83" s="23"/>
      <c r="K83" s="24"/>
    </row>
    <row r="84" spans="1:11" ht="12.95">
      <c r="A84" s="23"/>
      <c r="B84" s="23"/>
      <c r="C84" s="23"/>
      <c r="D84" s="23"/>
      <c r="E84" s="23"/>
      <c r="F84" s="23"/>
      <c r="G84" s="23"/>
      <c r="H84" s="24"/>
      <c r="I84" s="23"/>
      <c r="J84" s="23"/>
      <c r="K84" s="24"/>
    </row>
    <row r="85" spans="1:11" ht="12.95">
      <c r="A85" s="23"/>
      <c r="B85" s="23"/>
      <c r="C85" s="23"/>
      <c r="D85" s="23"/>
      <c r="E85" s="23"/>
      <c r="F85" s="23"/>
      <c r="G85" s="23"/>
      <c r="H85" s="24"/>
      <c r="I85" s="23"/>
      <c r="J85" s="23"/>
      <c r="K85" s="24"/>
    </row>
    <row r="86" spans="1:11" ht="12.95">
      <c r="A86" s="23"/>
      <c r="B86" s="23"/>
      <c r="C86" s="23"/>
      <c r="D86" s="23"/>
      <c r="E86" s="23"/>
      <c r="F86" s="23"/>
      <c r="G86" s="23"/>
      <c r="H86" s="24"/>
      <c r="I86" s="23"/>
      <c r="J86" s="23"/>
      <c r="K86" s="24"/>
    </row>
    <row r="87" spans="1:11" ht="12.95">
      <c r="A87" s="23"/>
      <c r="B87" s="23"/>
      <c r="C87" s="23"/>
      <c r="D87" s="23"/>
      <c r="E87" s="23"/>
      <c r="F87" s="23"/>
      <c r="G87" s="23"/>
      <c r="H87" s="24"/>
      <c r="I87" s="23"/>
      <c r="J87" s="23"/>
      <c r="K87" s="24"/>
    </row>
    <row r="88" spans="1:11" ht="12.95">
      <c r="A88" s="23"/>
      <c r="B88" s="23"/>
      <c r="C88" s="23"/>
      <c r="D88" s="23"/>
      <c r="E88" s="23"/>
      <c r="F88" s="23"/>
      <c r="G88" s="23"/>
      <c r="H88" s="24"/>
      <c r="I88" s="23"/>
      <c r="J88" s="23"/>
      <c r="K88" s="24"/>
    </row>
    <row r="89" spans="1:11" ht="12.95">
      <c r="A89" s="23"/>
      <c r="B89" s="23"/>
      <c r="C89" s="23"/>
      <c r="D89" s="23"/>
      <c r="E89" s="23"/>
      <c r="F89" s="23"/>
      <c r="G89" s="23"/>
      <c r="H89" s="24"/>
      <c r="I89" s="23"/>
      <c r="J89" s="23"/>
      <c r="K89" s="24"/>
    </row>
    <row r="90" spans="1:11" ht="12.95">
      <c r="A90" s="23"/>
      <c r="B90" s="23"/>
      <c r="C90" s="23"/>
      <c r="D90" s="23"/>
      <c r="E90" s="23"/>
      <c r="F90" s="23"/>
      <c r="G90" s="23"/>
      <c r="H90" s="24"/>
      <c r="I90" s="23"/>
      <c r="J90" s="23"/>
      <c r="K90" s="24"/>
    </row>
    <row r="91" spans="1:11" ht="12.95">
      <c r="A91" s="23"/>
      <c r="B91" s="23"/>
      <c r="C91" s="23"/>
      <c r="D91" s="23"/>
      <c r="E91" s="23"/>
      <c r="F91" s="23"/>
      <c r="G91" s="23"/>
      <c r="H91" s="24"/>
      <c r="I91" s="23"/>
      <c r="J91" s="23"/>
      <c r="K91" s="24"/>
    </row>
    <row r="92" spans="1:11" ht="12.95">
      <c r="A92" s="23"/>
      <c r="B92" s="23"/>
      <c r="C92" s="23"/>
      <c r="D92" s="23"/>
      <c r="E92" s="23"/>
      <c r="F92" s="23"/>
      <c r="G92" s="23"/>
      <c r="H92" s="24"/>
      <c r="I92" s="23"/>
      <c r="J92" s="23"/>
      <c r="K92" s="24"/>
    </row>
    <row r="93" spans="1:11" ht="12.95">
      <c r="A93" s="23"/>
      <c r="B93" s="23"/>
      <c r="C93" s="23"/>
      <c r="D93" s="23"/>
      <c r="E93" s="23"/>
      <c r="F93" s="23"/>
      <c r="G93" s="23"/>
      <c r="H93" s="24"/>
      <c r="I93" s="23"/>
      <c r="J93" s="23"/>
      <c r="K93" s="24"/>
    </row>
    <row r="94" spans="1:11" ht="12.95">
      <c r="A94" s="23"/>
      <c r="B94" s="23"/>
      <c r="C94" s="23"/>
      <c r="D94" s="23"/>
      <c r="E94" s="23"/>
      <c r="F94" s="23"/>
      <c r="G94" s="23"/>
      <c r="H94" s="24"/>
      <c r="I94" s="23"/>
      <c r="J94" s="23"/>
      <c r="K94" s="24"/>
    </row>
    <row r="95" spans="1:11" ht="12.95">
      <c r="A95" s="23"/>
      <c r="B95" s="23"/>
      <c r="C95" s="23"/>
      <c r="D95" s="23"/>
      <c r="E95" s="23"/>
      <c r="F95" s="23"/>
      <c r="G95" s="23"/>
      <c r="H95" s="24"/>
      <c r="I95" s="23"/>
      <c r="J95" s="23"/>
      <c r="K95" s="24"/>
    </row>
    <row r="96" spans="1:11" ht="12.95">
      <c r="A96" s="23"/>
      <c r="B96" s="23"/>
      <c r="C96" s="23"/>
      <c r="D96" s="23"/>
      <c r="E96" s="23"/>
      <c r="F96" s="23"/>
      <c r="G96" s="23"/>
      <c r="H96" s="24"/>
      <c r="I96" s="23"/>
      <c r="J96" s="23"/>
      <c r="K96" s="24"/>
    </row>
    <row r="97" spans="1:11" ht="12.95">
      <c r="A97" s="23"/>
      <c r="B97" s="23"/>
      <c r="C97" s="23"/>
      <c r="D97" s="23"/>
      <c r="E97" s="23"/>
      <c r="F97" s="23"/>
      <c r="G97" s="23"/>
      <c r="H97" s="24"/>
      <c r="I97" s="23"/>
      <c r="J97" s="23"/>
      <c r="K97" s="24"/>
    </row>
    <row r="98" spans="1:11" ht="12.95">
      <c r="A98" s="23"/>
      <c r="B98" s="23"/>
      <c r="C98" s="23"/>
      <c r="D98" s="23"/>
      <c r="E98" s="23"/>
      <c r="F98" s="23"/>
      <c r="G98" s="23"/>
      <c r="H98" s="24"/>
      <c r="I98" s="23"/>
      <c r="J98" s="23"/>
      <c r="K98" s="24"/>
    </row>
    <row r="99" spans="1:11" ht="12.95">
      <c r="A99" s="23"/>
      <c r="B99" s="23"/>
      <c r="C99" s="23"/>
      <c r="D99" s="23"/>
      <c r="E99" s="23"/>
      <c r="F99" s="23"/>
      <c r="G99" s="23"/>
      <c r="H99" s="24"/>
      <c r="I99" s="23"/>
      <c r="J99" s="23"/>
      <c r="K99" s="24"/>
    </row>
    <row r="100" spans="1:11" ht="12.95">
      <c r="A100" s="23"/>
      <c r="B100" s="23"/>
      <c r="C100" s="23"/>
      <c r="D100" s="23"/>
      <c r="E100" s="23"/>
      <c r="F100" s="23"/>
      <c r="G100" s="23"/>
      <c r="H100" s="24"/>
      <c r="I100" s="23"/>
      <c r="J100" s="23"/>
      <c r="K100" s="24"/>
    </row>
    <row r="101" spans="1:11" ht="12.95">
      <c r="A101" s="23"/>
      <c r="B101" s="23"/>
      <c r="C101" s="23"/>
      <c r="D101" s="23"/>
      <c r="E101" s="23"/>
      <c r="F101" s="23"/>
      <c r="G101" s="23"/>
      <c r="H101" s="24"/>
      <c r="I101" s="23"/>
      <c r="J101" s="23"/>
      <c r="K101" s="24"/>
    </row>
    <row r="102" spans="1:11" ht="12.95">
      <c r="A102" s="23"/>
      <c r="B102" s="23"/>
      <c r="C102" s="23"/>
      <c r="D102" s="23"/>
      <c r="E102" s="23"/>
      <c r="F102" s="23"/>
      <c r="G102" s="23"/>
      <c r="H102" s="24"/>
      <c r="I102" s="23"/>
      <c r="J102" s="23"/>
      <c r="K102" s="24"/>
    </row>
    <row r="103" spans="1:11" ht="12.95">
      <c r="A103" s="23"/>
      <c r="B103" s="23"/>
      <c r="C103" s="23"/>
      <c r="D103" s="23"/>
      <c r="E103" s="23"/>
      <c r="F103" s="23"/>
      <c r="G103" s="23"/>
      <c r="H103" s="24"/>
      <c r="I103" s="23"/>
      <c r="J103" s="23"/>
      <c r="K103" s="24"/>
    </row>
    <row r="104" spans="1:11" ht="12.95">
      <c r="A104" s="23"/>
      <c r="B104" s="23"/>
      <c r="C104" s="23"/>
      <c r="D104" s="23"/>
      <c r="E104" s="23"/>
      <c r="F104" s="23"/>
      <c r="G104" s="23"/>
      <c r="H104" s="24"/>
      <c r="I104" s="23"/>
      <c r="J104" s="23"/>
      <c r="K104" s="24"/>
    </row>
    <row r="105" spans="1:11" ht="12.95">
      <c r="A105" s="23"/>
      <c r="B105" s="23"/>
      <c r="C105" s="23"/>
      <c r="D105" s="23"/>
      <c r="E105" s="23"/>
      <c r="F105" s="23"/>
      <c r="G105" s="23"/>
      <c r="H105" s="24"/>
      <c r="I105" s="23"/>
      <c r="J105" s="23"/>
      <c r="K105" s="24"/>
    </row>
    <row r="106" spans="1:11" ht="12.95">
      <c r="A106" s="23"/>
      <c r="B106" s="23"/>
      <c r="C106" s="23"/>
      <c r="D106" s="23"/>
      <c r="E106" s="23"/>
      <c r="F106" s="23"/>
      <c r="G106" s="23"/>
      <c r="H106" s="24"/>
      <c r="I106" s="23"/>
      <c r="J106" s="23"/>
      <c r="K106" s="24"/>
    </row>
    <row r="107" spans="1:11" ht="12.95">
      <c r="A107" s="23"/>
      <c r="B107" s="23"/>
      <c r="C107" s="23"/>
      <c r="D107" s="23"/>
      <c r="E107" s="23"/>
      <c r="F107" s="23"/>
      <c r="G107" s="23"/>
      <c r="H107" s="24"/>
      <c r="I107" s="23"/>
      <c r="J107" s="23"/>
      <c r="K107" s="24"/>
    </row>
    <row r="108" spans="1:11" ht="12.95">
      <c r="A108" s="23"/>
      <c r="B108" s="23"/>
      <c r="C108" s="23"/>
      <c r="D108" s="23"/>
      <c r="E108" s="23"/>
      <c r="F108" s="23"/>
      <c r="G108" s="23"/>
      <c r="H108" s="24"/>
      <c r="I108" s="23"/>
      <c r="J108" s="23"/>
      <c r="K108" s="24"/>
    </row>
    <row r="109" spans="1:11" ht="12.95">
      <c r="A109" s="23"/>
      <c r="B109" s="23"/>
      <c r="C109" s="23"/>
      <c r="D109" s="23"/>
      <c r="E109" s="23"/>
      <c r="F109" s="23"/>
      <c r="G109" s="23"/>
      <c r="H109" s="24"/>
      <c r="I109" s="23"/>
      <c r="J109" s="23"/>
      <c r="K109" s="24"/>
    </row>
    <row r="110" spans="1:11" ht="12.95">
      <c r="A110" s="23"/>
      <c r="B110" s="23"/>
      <c r="C110" s="23"/>
      <c r="D110" s="23"/>
      <c r="E110" s="23"/>
      <c r="F110" s="23"/>
      <c r="G110" s="23"/>
      <c r="H110" s="24"/>
      <c r="I110" s="23"/>
      <c r="J110" s="23"/>
      <c r="K110" s="24"/>
    </row>
    <row r="111" spans="1:11" ht="12.95">
      <c r="A111" s="23"/>
      <c r="B111" s="23"/>
      <c r="C111" s="23"/>
      <c r="D111" s="23"/>
      <c r="E111" s="23"/>
      <c r="F111" s="23"/>
      <c r="G111" s="23"/>
      <c r="H111" s="24"/>
      <c r="I111" s="23"/>
      <c r="J111" s="23"/>
      <c r="K111" s="24"/>
    </row>
    <row r="112" spans="1:11" ht="12.95">
      <c r="A112" s="23"/>
      <c r="B112" s="23"/>
      <c r="C112" s="23"/>
      <c r="D112" s="23"/>
      <c r="E112" s="23"/>
      <c r="F112" s="23"/>
      <c r="G112" s="23"/>
      <c r="H112" s="24"/>
      <c r="I112" s="23"/>
      <c r="J112" s="23"/>
      <c r="K112" s="24"/>
    </row>
    <row r="113" spans="1:11" ht="12.95">
      <c r="A113" s="23"/>
      <c r="B113" s="23"/>
      <c r="C113" s="23"/>
      <c r="D113" s="23"/>
      <c r="E113" s="23"/>
      <c r="F113" s="23"/>
      <c r="G113" s="23"/>
      <c r="H113" s="24"/>
      <c r="I113" s="23"/>
      <c r="J113" s="23"/>
      <c r="K113" s="24"/>
    </row>
    <row r="114" spans="1:11" ht="12.95">
      <c r="A114" s="23"/>
      <c r="B114" s="23"/>
      <c r="C114" s="23"/>
      <c r="D114" s="23"/>
      <c r="E114" s="23"/>
      <c r="F114" s="23"/>
      <c r="G114" s="23"/>
      <c r="H114" s="24"/>
      <c r="I114" s="23"/>
      <c r="J114" s="23"/>
      <c r="K114" s="24"/>
    </row>
    <row r="115" spans="1:11" ht="12.95">
      <c r="A115" s="23"/>
      <c r="B115" s="23"/>
      <c r="C115" s="23"/>
      <c r="D115" s="23"/>
      <c r="E115" s="23"/>
      <c r="F115" s="23"/>
      <c r="G115" s="23"/>
      <c r="H115" s="24"/>
      <c r="I115" s="23"/>
      <c r="J115" s="23"/>
      <c r="K115" s="24"/>
    </row>
    <row r="116" spans="1:11" ht="12.95">
      <c r="A116" s="23"/>
      <c r="B116" s="23"/>
      <c r="C116" s="23"/>
      <c r="D116" s="23"/>
      <c r="E116" s="23"/>
      <c r="F116" s="23"/>
      <c r="G116" s="23"/>
      <c r="H116" s="24"/>
      <c r="I116" s="23"/>
      <c r="J116" s="23"/>
      <c r="K116" s="24"/>
    </row>
    <row r="117" spans="1:11" ht="12.95">
      <c r="A117" s="23"/>
      <c r="B117" s="23"/>
      <c r="C117" s="23"/>
      <c r="D117" s="23"/>
      <c r="E117" s="23"/>
      <c r="F117" s="23"/>
      <c r="G117" s="23"/>
      <c r="H117" s="24"/>
      <c r="I117" s="23"/>
      <c r="J117" s="23"/>
      <c r="K117" s="24"/>
    </row>
    <row r="118" spans="1:11" ht="12.95">
      <c r="A118" s="23"/>
      <c r="B118" s="23"/>
      <c r="C118" s="23"/>
      <c r="D118" s="23"/>
      <c r="E118" s="23"/>
      <c r="F118" s="23"/>
      <c r="G118" s="23"/>
      <c r="H118" s="24"/>
      <c r="I118" s="23"/>
      <c r="J118" s="23"/>
      <c r="K118" s="24"/>
    </row>
    <row r="119" spans="1:11" ht="12.95">
      <c r="A119" s="23"/>
      <c r="B119" s="23"/>
      <c r="C119" s="23"/>
      <c r="D119" s="23"/>
      <c r="E119" s="23"/>
      <c r="F119" s="23"/>
      <c r="G119" s="23"/>
      <c r="H119" s="24"/>
      <c r="I119" s="23"/>
      <c r="J119" s="23"/>
      <c r="K119" s="24"/>
    </row>
    <row r="120" spans="1:11" ht="12.95">
      <c r="A120" s="23"/>
      <c r="B120" s="23"/>
      <c r="C120" s="23"/>
      <c r="D120" s="23"/>
      <c r="E120" s="23"/>
      <c r="F120" s="23"/>
      <c r="G120" s="23"/>
      <c r="H120" s="24"/>
      <c r="I120" s="23"/>
      <c r="J120" s="23"/>
      <c r="K120" s="24"/>
    </row>
    <row r="121" spans="1:11" ht="12.95">
      <c r="A121" s="23"/>
      <c r="B121" s="23"/>
      <c r="C121" s="23"/>
      <c r="D121" s="23"/>
      <c r="E121" s="23"/>
      <c r="F121" s="23"/>
      <c r="G121" s="23"/>
      <c r="H121" s="24"/>
      <c r="I121" s="23"/>
      <c r="J121" s="23"/>
      <c r="K121" s="24"/>
    </row>
    <row r="122" spans="1:11" ht="12.95">
      <c r="A122" s="23"/>
      <c r="B122" s="23"/>
      <c r="C122" s="23"/>
      <c r="D122" s="23"/>
      <c r="E122" s="23"/>
      <c r="F122" s="23"/>
      <c r="G122" s="23"/>
      <c r="H122" s="24"/>
      <c r="I122" s="23"/>
      <c r="J122" s="23"/>
      <c r="K122" s="24"/>
    </row>
    <row r="123" spans="1:11" ht="12.95">
      <c r="A123" s="23"/>
      <c r="B123" s="23"/>
      <c r="C123" s="23"/>
      <c r="D123" s="23"/>
      <c r="E123" s="23"/>
      <c r="F123" s="23"/>
      <c r="G123" s="23"/>
      <c r="H123" s="24"/>
      <c r="I123" s="23"/>
      <c r="J123" s="23"/>
      <c r="K123" s="24"/>
    </row>
    <row r="124" spans="1:11" ht="12.95">
      <c r="A124" s="23"/>
      <c r="B124" s="23"/>
      <c r="C124" s="23"/>
      <c r="D124" s="23"/>
      <c r="E124" s="23"/>
      <c r="F124" s="23"/>
      <c r="G124" s="23"/>
      <c r="H124" s="24"/>
      <c r="I124" s="23"/>
      <c r="J124" s="23"/>
      <c r="K124" s="24"/>
    </row>
    <row r="125" spans="1:11" ht="12.95">
      <c r="A125" s="23"/>
      <c r="B125" s="23"/>
      <c r="C125" s="23"/>
      <c r="D125" s="23"/>
      <c r="E125" s="23"/>
      <c r="F125" s="23"/>
      <c r="G125" s="23"/>
      <c r="H125" s="24"/>
      <c r="I125" s="23"/>
      <c r="J125" s="23"/>
      <c r="K125" s="24"/>
    </row>
    <row r="126" spans="1:11" ht="12.95">
      <c r="A126" s="23"/>
      <c r="B126" s="23"/>
      <c r="C126" s="23"/>
      <c r="D126" s="23"/>
      <c r="E126" s="23"/>
      <c r="F126" s="23"/>
      <c r="G126" s="23"/>
      <c r="H126" s="24"/>
      <c r="I126" s="23"/>
      <c r="J126" s="23"/>
      <c r="K126" s="24"/>
    </row>
    <row r="127" spans="1:11" ht="12.95">
      <c r="A127" s="23"/>
      <c r="B127" s="23"/>
      <c r="C127" s="23"/>
      <c r="D127" s="23"/>
      <c r="E127" s="23"/>
      <c r="F127" s="23"/>
      <c r="G127" s="23"/>
      <c r="H127" s="24"/>
      <c r="I127" s="23"/>
      <c r="J127" s="23"/>
      <c r="K127" s="24"/>
    </row>
    <row r="128" spans="1:11" ht="12.95">
      <c r="A128" s="23"/>
      <c r="B128" s="23"/>
      <c r="C128" s="23"/>
      <c r="D128" s="23"/>
      <c r="E128" s="23"/>
      <c r="F128" s="23"/>
      <c r="G128" s="23"/>
      <c r="H128" s="24"/>
      <c r="I128" s="23"/>
      <c r="J128" s="23"/>
      <c r="K128" s="24"/>
    </row>
    <row r="129" spans="1:11" ht="12.95">
      <c r="A129" s="23"/>
      <c r="B129" s="23"/>
      <c r="C129" s="23"/>
      <c r="D129" s="23"/>
      <c r="E129" s="23"/>
      <c r="F129" s="23"/>
      <c r="G129" s="23"/>
      <c r="H129" s="24"/>
      <c r="I129" s="23"/>
      <c r="J129" s="23"/>
      <c r="K129" s="24"/>
    </row>
    <row r="130" spans="1:11" ht="12.95">
      <c r="A130" s="23"/>
      <c r="B130" s="23"/>
      <c r="C130" s="23"/>
      <c r="D130" s="23"/>
      <c r="E130" s="23"/>
      <c r="F130" s="23"/>
      <c r="G130" s="23"/>
      <c r="H130" s="24"/>
      <c r="I130" s="23"/>
      <c r="J130" s="23"/>
      <c r="K130" s="24"/>
    </row>
    <row r="131" spans="1:11" ht="12.95">
      <c r="A131" s="23"/>
      <c r="B131" s="23"/>
      <c r="C131" s="23"/>
      <c r="D131" s="23"/>
      <c r="E131" s="23"/>
      <c r="F131" s="23"/>
      <c r="G131" s="23"/>
      <c r="H131" s="24"/>
      <c r="I131" s="23"/>
      <c r="J131" s="23"/>
      <c r="K131" s="24"/>
    </row>
    <row r="132" spans="1:11" ht="12.95">
      <c r="A132" s="23"/>
      <c r="B132" s="23"/>
      <c r="C132" s="23"/>
      <c r="D132" s="23"/>
      <c r="E132" s="23"/>
      <c r="F132" s="23"/>
      <c r="G132" s="23"/>
      <c r="H132" s="24"/>
      <c r="I132" s="23"/>
      <c r="J132" s="23"/>
      <c r="K132" s="24"/>
    </row>
    <row r="133" spans="1:11" ht="12.95">
      <c r="A133" s="23"/>
      <c r="B133" s="23"/>
      <c r="C133" s="23"/>
      <c r="D133" s="23"/>
      <c r="E133" s="23"/>
      <c r="F133" s="23"/>
      <c r="G133" s="23"/>
      <c r="H133" s="24"/>
      <c r="I133" s="23"/>
      <c r="J133" s="23"/>
      <c r="K133" s="24"/>
    </row>
    <row r="134" spans="1:11" ht="12.95">
      <c r="A134" s="23"/>
      <c r="B134" s="23"/>
      <c r="C134" s="23"/>
      <c r="D134" s="23"/>
      <c r="E134" s="23"/>
      <c r="F134" s="23"/>
      <c r="G134" s="23"/>
      <c r="H134" s="24"/>
      <c r="I134" s="23"/>
      <c r="J134" s="23"/>
      <c r="K134" s="24"/>
    </row>
    <row r="135" spans="1:11" ht="12.95">
      <c r="A135" s="23"/>
      <c r="B135" s="23"/>
      <c r="C135" s="23"/>
      <c r="D135" s="23"/>
      <c r="E135" s="23"/>
      <c r="F135" s="23"/>
      <c r="G135" s="23"/>
      <c r="H135" s="24"/>
      <c r="I135" s="23"/>
      <c r="J135" s="23"/>
      <c r="K135" s="24"/>
    </row>
    <row r="136" spans="1:11" ht="12.95">
      <c r="A136" s="23"/>
      <c r="B136" s="23"/>
      <c r="C136" s="23"/>
      <c r="D136" s="23"/>
      <c r="E136" s="23"/>
      <c r="F136" s="23"/>
      <c r="G136" s="23"/>
      <c r="H136" s="24"/>
      <c r="I136" s="23"/>
      <c r="J136" s="23"/>
      <c r="K136" s="24"/>
    </row>
    <row r="137" spans="1:11" ht="12.95">
      <c r="A137" s="23"/>
      <c r="B137" s="23"/>
      <c r="C137" s="23"/>
      <c r="D137" s="23"/>
      <c r="E137" s="23"/>
      <c r="F137" s="23"/>
      <c r="G137" s="23"/>
      <c r="H137" s="24"/>
      <c r="I137" s="23"/>
      <c r="J137" s="23"/>
      <c r="K137" s="24"/>
    </row>
    <row r="138" spans="1:11" ht="12.95">
      <c r="A138" s="23"/>
      <c r="B138" s="23"/>
      <c r="C138" s="23"/>
      <c r="D138" s="23"/>
      <c r="E138" s="23"/>
      <c r="F138" s="23"/>
      <c r="G138" s="23"/>
      <c r="H138" s="24"/>
      <c r="I138" s="23"/>
      <c r="J138" s="23"/>
      <c r="K138" s="24"/>
    </row>
    <row r="139" spans="1:11" ht="12.95">
      <c r="A139" s="23"/>
      <c r="B139" s="23"/>
      <c r="C139" s="23"/>
      <c r="D139" s="23"/>
      <c r="E139" s="23"/>
      <c r="F139" s="23"/>
      <c r="G139" s="23"/>
      <c r="H139" s="24"/>
      <c r="I139" s="23"/>
      <c r="J139" s="23"/>
      <c r="K139" s="24"/>
    </row>
    <row r="140" spans="1:11" ht="12.95">
      <c r="A140" s="23"/>
      <c r="B140" s="23"/>
      <c r="C140" s="23"/>
      <c r="D140" s="23"/>
      <c r="E140" s="23"/>
      <c r="F140" s="23"/>
      <c r="G140" s="23"/>
      <c r="H140" s="24"/>
      <c r="I140" s="23"/>
      <c r="J140" s="23"/>
      <c r="K140" s="24"/>
    </row>
    <row r="141" spans="1:11" ht="12.95">
      <c r="A141" s="23"/>
      <c r="B141" s="23"/>
      <c r="C141" s="23"/>
      <c r="D141" s="23"/>
      <c r="E141" s="23"/>
      <c r="F141" s="23"/>
      <c r="G141" s="23"/>
      <c r="H141" s="24"/>
      <c r="I141" s="23"/>
      <c r="J141" s="23"/>
      <c r="K141" s="24"/>
    </row>
    <row r="142" spans="1:11" ht="12.95">
      <c r="A142" s="23"/>
      <c r="B142" s="23"/>
      <c r="C142" s="23"/>
      <c r="D142" s="23"/>
      <c r="E142" s="23"/>
      <c r="F142" s="23"/>
      <c r="G142" s="23"/>
      <c r="H142" s="24"/>
      <c r="I142" s="23"/>
      <c r="J142" s="23"/>
      <c r="K142" s="24"/>
    </row>
    <row r="143" spans="1:11" ht="12.95">
      <c r="A143" s="23"/>
      <c r="B143" s="23"/>
      <c r="C143" s="23"/>
      <c r="D143" s="23"/>
      <c r="E143" s="23"/>
      <c r="F143" s="23"/>
      <c r="G143" s="23"/>
      <c r="H143" s="24"/>
      <c r="I143" s="23"/>
      <c r="J143" s="23"/>
      <c r="K143" s="24"/>
    </row>
    <row r="144" spans="1:11" ht="12.95">
      <c r="A144" s="23"/>
      <c r="B144" s="23"/>
      <c r="C144" s="23"/>
      <c r="D144" s="23"/>
      <c r="E144" s="23"/>
      <c r="F144" s="23"/>
      <c r="G144" s="23"/>
      <c r="H144" s="24"/>
      <c r="I144" s="23"/>
      <c r="J144" s="23"/>
      <c r="K144" s="24"/>
    </row>
    <row r="145" spans="1:11" ht="12.95">
      <c r="A145" s="23"/>
      <c r="B145" s="23"/>
      <c r="C145" s="23"/>
      <c r="D145" s="23"/>
      <c r="E145" s="23"/>
      <c r="F145" s="23"/>
      <c r="G145" s="23"/>
      <c r="H145" s="24"/>
      <c r="I145" s="23"/>
      <c r="J145" s="23"/>
      <c r="K145" s="24"/>
    </row>
    <row r="146" spans="1:11" ht="12.95">
      <c r="A146" s="23"/>
      <c r="B146" s="23"/>
      <c r="C146" s="23"/>
      <c r="D146" s="23"/>
      <c r="E146" s="23"/>
      <c r="F146" s="23"/>
      <c r="G146" s="23"/>
      <c r="H146" s="24"/>
      <c r="I146" s="23"/>
      <c r="J146" s="23"/>
      <c r="K146" s="24"/>
    </row>
    <row r="147" spans="1:11" ht="12.95">
      <c r="A147" s="23"/>
      <c r="B147" s="23"/>
      <c r="C147" s="23"/>
      <c r="D147" s="23"/>
      <c r="E147" s="23"/>
      <c r="F147" s="23"/>
      <c r="G147" s="23"/>
      <c r="H147" s="24"/>
      <c r="I147" s="23"/>
      <c r="J147" s="23"/>
      <c r="K147" s="24"/>
    </row>
    <row r="148" spans="1:11" ht="12.95">
      <c r="A148" s="23"/>
      <c r="B148" s="23"/>
      <c r="C148" s="23"/>
      <c r="D148" s="23"/>
      <c r="E148" s="23"/>
      <c r="F148" s="23"/>
      <c r="G148" s="23"/>
      <c r="H148" s="24"/>
      <c r="I148" s="23"/>
      <c r="J148" s="23"/>
      <c r="K148" s="24"/>
    </row>
    <row r="149" spans="1:11" ht="12.95">
      <c r="A149" s="23"/>
      <c r="B149" s="23"/>
      <c r="C149" s="23"/>
      <c r="D149" s="23"/>
      <c r="E149" s="23"/>
      <c r="F149" s="23"/>
      <c r="G149" s="23"/>
      <c r="H149" s="24"/>
      <c r="I149" s="23"/>
      <c r="J149" s="23"/>
      <c r="K149" s="24"/>
    </row>
    <row r="150" spans="1:11" ht="12.95">
      <c r="A150" s="23"/>
      <c r="B150" s="23"/>
      <c r="C150" s="23"/>
      <c r="D150" s="23"/>
      <c r="E150" s="23"/>
      <c r="F150" s="23"/>
      <c r="G150" s="23"/>
      <c r="H150" s="24"/>
      <c r="I150" s="23"/>
      <c r="J150" s="23"/>
      <c r="K150" s="24"/>
    </row>
    <row r="151" spans="1:11" ht="12.95">
      <c r="A151" s="23"/>
      <c r="B151" s="23"/>
      <c r="C151" s="23"/>
      <c r="D151" s="23"/>
      <c r="E151" s="23"/>
      <c r="F151" s="23"/>
      <c r="G151" s="23"/>
      <c r="H151" s="24"/>
      <c r="I151" s="23"/>
      <c r="J151" s="23"/>
      <c r="K151" s="24"/>
    </row>
    <row r="152" spans="1:11" ht="12.95">
      <c r="A152" s="23"/>
      <c r="B152" s="23"/>
      <c r="C152" s="23"/>
      <c r="D152" s="23"/>
      <c r="E152" s="23"/>
      <c r="F152" s="23"/>
      <c r="G152" s="23"/>
      <c r="H152" s="24"/>
      <c r="I152" s="23"/>
      <c r="J152" s="23"/>
      <c r="K152" s="24"/>
    </row>
    <row r="153" spans="1:11" ht="12.95">
      <c r="A153" s="23"/>
      <c r="B153" s="23"/>
      <c r="C153" s="23"/>
      <c r="D153" s="23"/>
      <c r="E153" s="23"/>
      <c r="F153" s="23"/>
      <c r="G153" s="23"/>
      <c r="H153" s="24"/>
      <c r="I153" s="23"/>
      <c r="J153" s="23"/>
      <c r="K153" s="24"/>
    </row>
    <row r="154" spans="1:11" ht="12.95">
      <c r="A154" s="23"/>
      <c r="B154" s="23"/>
      <c r="C154" s="23"/>
      <c r="D154" s="23"/>
      <c r="E154" s="23"/>
      <c r="F154" s="23"/>
      <c r="G154" s="23"/>
      <c r="H154" s="24"/>
      <c r="I154" s="23"/>
      <c r="J154" s="23"/>
      <c r="K154" s="24"/>
    </row>
    <row r="155" spans="1:11" ht="12.95">
      <c r="A155" s="23"/>
      <c r="B155" s="23"/>
      <c r="C155" s="23"/>
      <c r="D155" s="23"/>
      <c r="E155" s="23"/>
      <c r="F155" s="23"/>
      <c r="G155" s="23"/>
      <c r="H155" s="24"/>
      <c r="I155" s="23"/>
      <c r="J155" s="23"/>
      <c r="K155" s="24"/>
    </row>
    <row r="156" spans="1:11" ht="12.95">
      <c r="A156" s="23"/>
      <c r="B156" s="23"/>
      <c r="C156" s="23"/>
      <c r="D156" s="23"/>
      <c r="E156" s="23"/>
      <c r="F156" s="23"/>
      <c r="G156" s="23"/>
      <c r="H156" s="24"/>
      <c r="I156" s="23"/>
      <c r="J156" s="23"/>
      <c r="K156" s="24"/>
    </row>
    <row r="157" spans="1:11" ht="12.95">
      <c r="A157" s="23"/>
      <c r="B157" s="23"/>
      <c r="C157" s="23"/>
      <c r="D157" s="23"/>
      <c r="E157" s="23"/>
      <c r="F157" s="23"/>
      <c r="G157" s="23"/>
      <c r="H157" s="24"/>
      <c r="I157" s="23"/>
      <c r="J157" s="23"/>
      <c r="K157" s="24"/>
    </row>
    <row r="158" spans="1:11" ht="12.95">
      <c r="A158" s="23"/>
      <c r="B158" s="23"/>
      <c r="C158" s="23"/>
      <c r="D158" s="23"/>
      <c r="E158" s="23"/>
      <c r="F158" s="23"/>
      <c r="G158" s="23"/>
      <c r="H158" s="24"/>
      <c r="I158" s="23"/>
      <c r="J158" s="23"/>
      <c r="K158" s="24"/>
    </row>
    <row r="159" spans="1:11" ht="12.95">
      <c r="A159" s="23"/>
      <c r="B159" s="23"/>
      <c r="C159" s="23"/>
      <c r="D159" s="23"/>
      <c r="E159" s="23"/>
      <c r="F159" s="23"/>
      <c r="G159" s="23"/>
      <c r="H159" s="24"/>
      <c r="I159" s="23"/>
      <c r="J159" s="23"/>
      <c r="K159" s="24"/>
    </row>
    <row r="160" spans="1:11" ht="12.95">
      <c r="A160" s="23"/>
      <c r="B160" s="23"/>
      <c r="C160" s="23"/>
      <c r="D160" s="23"/>
      <c r="E160" s="23"/>
      <c r="F160" s="23"/>
      <c r="G160" s="23"/>
      <c r="H160" s="24"/>
      <c r="I160" s="23"/>
      <c r="J160" s="23"/>
      <c r="K160" s="24"/>
    </row>
    <row r="161" spans="1:11" ht="12.95">
      <c r="A161" s="23"/>
      <c r="B161" s="23"/>
      <c r="C161" s="23"/>
      <c r="D161" s="23"/>
      <c r="E161" s="23"/>
      <c r="F161" s="23"/>
      <c r="G161" s="23"/>
      <c r="H161" s="24"/>
      <c r="I161" s="23"/>
      <c r="J161" s="23"/>
      <c r="K161" s="24"/>
    </row>
    <row r="162" spans="1:11" ht="12.95">
      <c r="A162" s="23"/>
      <c r="B162" s="23"/>
      <c r="C162" s="23"/>
      <c r="D162" s="23"/>
      <c r="E162" s="23"/>
      <c r="F162" s="23"/>
      <c r="G162" s="23"/>
      <c r="H162" s="24"/>
      <c r="I162" s="23"/>
      <c r="J162" s="23"/>
      <c r="K162" s="24"/>
    </row>
    <row r="163" spans="1:11" ht="12.95">
      <c r="A163" s="23"/>
      <c r="B163" s="23"/>
      <c r="C163" s="23"/>
      <c r="D163" s="23"/>
      <c r="E163" s="23"/>
      <c r="F163" s="23"/>
      <c r="G163" s="23"/>
      <c r="H163" s="24"/>
      <c r="I163" s="23"/>
      <c r="J163" s="23"/>
      <c r="K163" s="24"/>
    </row>
    <row r="164" spans="1:11" ht="12.95">
      <c r="A164" s="23"/>
      <c r="B164" s="23"/>
      <c r="C164" s="23"/>
      <c r="D164" s="23"/>
      <c r="E164" s="23"/>
      <c r="F164" s="23"/>
      <c r="G164" s="23"/>
      <c r="H164" s="24"/>
      <c r="I164" s="23"/>
      <c r="J164" s="23"/>
      <c r="K164" s="24"/>
    </row>
    <row r="165" spans="1:11" ht="12.95">
      <c r="A165" s="23"/>
      <c r="B165" s="23"/>
      <c r="C165" s="23"/>
      <c r="D165" s="23"/>
      <c r="E165" s="23"/>
      <c r="F165" s="23"/>
      <c r="G165" s="23"/>
      <c r="H165" s="24"/>
      <c r="I165" s="23"/>
      <c r="J165" s="23"/>
      <c r="K165" s="24"/>
    </row>
    <row r="166" spans="1:11" ht="12.95">
      <c r="A166" s="23"/>
      <c r="B166" s="23"/>
      <c r="C166" s="23"/>
      <c r="D166" s="23"/>
      <c r="E166" s="23"/>
      <c r="F166" s="23"/>
      <c r="G166" s="23"/>
      <c r="H166" s="24"/>
      <c r="I166" s="23"/>
      <c r="J166" s="23"/>
      <c r="K166" s="24"/>
    </row>
    <row r="167" spans="1:11" ht="12.95">
      <c r="A167" s="23"/>
      <c r="B167" s="23"/>
      <c r="C167" s="23"/>
      <c r="D167" s="23"/>
      <c r="E167" s="23"/>
      <c r="F167" s="23"/>
      <c r="G167" s="23"/>
      <c r="H167" s="24"/>
      <c r="I167" s="23"/>
      <c r="J167" s="23"/>
      <c r="K167" s="24"/>
    </row>
    <row r="168" spans="1:11" ht="12.95">
      <c r="A168" s="23"/>
      <c r="B168" s="23"/>
      <c r="C168" s="23"/>
      <c r="D168" s="23"/>
      <c r="E168" s="23"/>
      <c r="F168" s="23"/>
      <c r="G168" s="23"/>
      <c r="H168" s="24"/>
      <c r="I168" s="23"/>
      <c r="J168" s="23"/>
      <c r="K168" s="24"/>
    </row>
    <row r="169" spans="1:11" ht="12.95">
      <c r="A169" s="23"/>
      <c r="B169" s="23"/>
      <c r="C169" s="23"/>
      <c r="D169" s="23"/>
      <c r="E169" s="23"/>
      <c r="F169" s="23"/>
      <c r="G169" s="23"/>
      <c r="H169" s="24"/>
      <c r="I169" s="23"/>
      <c r="J169" s="23"/>
      <c r="K169" s="24"/>
    </row>
    <row r="170" spans="1:11" ht="12.95">
      <c r="A170" s="23"/>
      <c r="B170" s="23"/>
      <c r="C170" s="23"/>
      <c r="D170" s="23"/>
      <c r="E170" s="23"/>
      <c r="F170" s="23"/>
      <c r="G170" s="23"/>
      <c r="H170" s="24"/>
      <c r="I170" s="23"/>
      <c r="J170" s="23"/>
      <c r="K170" s="24"/>
    </row>
    <row r="171" spans="1:11" ht="12.95">
      <c r="A171" s="23"/>
      <c r="B171" s="23"/>
      <c r="C171" s="23"/>
      <c r="D171" s="23"/>
      <c r="E171" s="23"/>
      <c r="F171" s="23"/>
      <c r="G171" s="23"/>
      <c r="H171" s="24"/>
      <c r="I171" s="23"/>
      <c r="J171" s="23"/>
      <c r="K171" s="24"/>
    </row>
    <row r="172" spans="1:11" ht="12.95">
      <c r="A172" s="23"/>
      <c r="B172" s="23"/>
      <c r="C172" s="23"/>
      <c r="D172" s="23"/>
      <c r="E172" s="23"/>
      <c r="F172" s="23"/>
      <c r="G172" s="23"/>
      <c r="H172" s="24"/>
      <c r="I172" s="23"/>
      <c r="J172" s="23"/>
      <c r="K172" s="24"/>
    </row>
    <row r="173" spans="1:11" ht="12.95">
      <c r="A173" s="23"/>
      <c r="B173" s="23"/>
      <c r="C173" s="23"/>
      <c r="D173" s="23"/>
      <c r="E173" s="23"/>
      <c r="F173" s="23"/>
      <c r="G173" s="23"/>
      <c r="H173" s="24"/>
      <c r="I173" s="23"/>
      <c r="J173" s="23"/>
      <c r="K173" s="24"/>
    </row>
    <row r="174" spans="1:11" ht="12.95">
      <c r="A174" s="23"/>
      <c r="B174" s="23"/>
      <c r="C174" s="23"/>
      <c r="D174" s="23"/>
      <c r="E174" s="23"/>
      <c r="F174" s="23"/>
      <c r="G174" s="23"/>
      <c r="H174" s="24"/>
      <c r="I174" s="23"/>
      <c r="J174" s="23"/>
      <c r="K174" s="24"/>
    </row>
    <row r="175" spans="1:11" ht="12.95">
      <c r="A175" s="23"/>
      <c r="B175" s="23"/>
      <c r="C175" s="23"/>
      <c r="D175" s="23"/>
      <c r="E175" s="23"/>
      <c r="F175" s="23"/>
      <c r="G175" s="23"/>
      <c r="H175" s="24"/>
      <c r="I175" s="23"/>
      <c r="J175" s="23"/>
      <c r="K175" s="24"/>
    </row>
    <row r="176" spans="1:11" ht="12.95">
      <c r="A176" s="23"/>
      <c r="B176" s="23"/>
      <c r="C176" s="23"/>
      <c r="D176" s="23"/>
      <c r="E176" s="23"/>
      <c r="F176" s="23"/>
      <c r="G176" s="23"/>
      <c r="H176" s="24"/>
      <c r="I176" s="23"/>
      <c r="J176" s="23"/>
      <c r="K176" s="24"/>
    </row>
    <row r="177" spans="1:11" ht="12.95">
      <c r="A177" s="23"/>
      <c r="B177" s="23"/>
      <c r="C177" s="23"/>
      <c r="D177" s="23"/>
      <c r="E177" s="23"/>
      <c r="F177" s="23"/>
      <c r="G177" s="23"/>
      <c r="H177" s="24"/>
      <c r="I177" s="23"/>
      <c r="J177" s="23"/>
      <c r="K177" s="24"/>
    </row>
    <row r="178" spans="1:11" ht="12.95">
      <c r="A178" s="23"/>
      <c r="B178" s="23"/>
      <c r="C178" s="23"/>
      <c r="D178" s="23"/>
      <c r="E178" s="23"/>
      <c r="F178" s="23"/>
      <c r="G178" s="23"/>
      <c r="H178" s="24"/>
      <c r="I178" s="23"/>
      <c r="J178" s="23"/>
      <c r="K178" s="24"/>
    </row>
    <row r="179" spans="1:11" ht="12.95">
      <c r="A179" s="23"/>
      <c r="B179" s="23"/>
      <c r="C179" s="23"/>
      <c r="D179" s="23"/>
      <c r="E179" s="23"/>
      <c r="F179" s="23"/>
      <c r="G179" s="23"/>
      <c r="H179" s="24"/>
      <c r="I179" s="23"/>
      <c r="J179" s="23"/>
      <c r="K179" s="24"/>
    </row>
    <row r="180" spans="1:11" ht="12.95">
      <c r="A180" s="23"/>
      <c r="B180" s="23"/>
      <c r="C180" s="23"/>
      <c r="D180" s="23"/>
      <c r="E180" s="23"/>
      <c r="F180" s="23"/>
      <c r="G180" s="23"/>
      <c r="H180" s="24"/>
      <c r="I180" s="23"/>
      <c r="J180" s="23"/>
      <c r="K180" s="24"/>
    </row>
    <row r="181" spans="1:11" ht="12.95">
      <c r="A181" s="23"/>
      <c r="B181" s="23"/>
      <c r="C181" s="23"/>
      <c r="D181" s="23"/>
      <c r="E181" s="23"/>
      <c r="F181" s="23"/>
      <c r="G181" s="23"/>
      <c r="H181" s="24"/>
      <c r="I181" s="23"/>
      <c r="J181" s="23"/>
      <c r="K181" s="24"/>
    </row>
    <row r="182" spans="1:11" ht="12.95">
      <c r="A182" s="23"/>
      <c r="B182" s="23"/>
      <c r="C182" s="23"/>
      <c r="D182" s="23"/>
      <c r="E182" s="23"/>
      <c r="F182" s="23"/>
      <c r="G182" s="23"/>
      <c r="H182" s="24"/>
      <c r="I182" s="23"/>
      <c r="J182" s="23"/>
      <c r="K182" s="24"/>
    </row>
    <row r="183" spans="1:11" ht="12.95">
      <c r="A183" s="23"/>
      <c r="B183" s="23"/>
      <c r="C183" s="23"/>
      <c r="D183" s="23"/>
      <c r="E183" s="23"/>
      <c r="F183" s="23"/>
      <c r="G183" s="23"/>
      <c r="H183" s="24"/>
      <c r="I183" s="23"/>
      <c r="J183" s="23"/>
      <c r="K183" s="24"/>
    </row>
    <row r="184" spans="1:11" ht="12.95">
      <c r="A184" s="23"/>
      <c r="B184" s="23"/>
      <c r="C184" s="23"/>
      <c r="D184" s="23"/>
      <c r="E184" s="23"/>
      <c r="F184" s="23"/>
      <c r="G184" s="23"/>
      <c r="H184" s="24"/>
      <c r="I184" s="23"/>
      <c r="J184" s="23"/>
      <c r="K184" s="24"/>
    </row>
    <row r="185" spans="1:11" ht="12.95">
      <c r="A185" s="23"/>
      <c r="B185" s="23"/>
      <c r="C185" s="23"/>
      <c r="D185" s="23"/>
      <c r="E185" s="23"/>
      <c r="F185" s="23"/>
      <c r="G185" s="23"/>
      <c r="H185" s="24"/>
      <c r="I185" s="23"/>
      <c r="J185" s="23"/>
      <c r="K185" s="24"/>
    </row>
    <row r="186" spans="1:11" ht="12.95">
      <c r="A186" s="23"/>
      <c r="B186" s="23"/>
      <c r="C186" s="23"/>
      <c r="D186" s="23"/>
      <c r="E186" s="23"/>
      <c r="F186" s="23"/>
      <c r="G186" s="23"/>
      <c r="H186" s="24"/>
      <c r="I186" s="23"/>
      <c r="J186" s="23"/>
      <c r="K186" s="24"/>
    </row>
    <row r="187" spans="1:11" ht="12.95">
      <c r="A187" s="23"/>
      <c r="B187" s="23"/>
      <c r="C187" s="23"/>
      <c r="D187" s="23"/>
      <c r="E187" s="23"/>
      <c r="F187" s="23"/>
      <c r="G187" s="23"/>
      <c r="H187" s="24"/>
      <c r="I187" s="23"/>
      <c r="J187" s="23"/>
      <c r="K187" s="24"/>
    </row>
    <row r="188" spans="1:11" ht="12.95">
      <c r="A188" s="23"/>
      <c r="B188" s="23"/>
      <c r="C188" s="23"/>
      <c r="D188" s="23"/>
      <c r="E188" s="23"/>
      <c r="F188" s="23"/>
      <c r="G188" s="23"/>
      <c r="H188" s="24"/>
      <c r="I188" s="23"/>
      <c r="J188" s="23"/>
      <c r="K188" s="24"/>
    </row>
    <row r="189" spans="1:11" ht="12.95">
      <c r="A189" s="23"/>
      <c r="B189" s="23"/>
      <c r="C189" s="23"/>
      <c r="D189" s="23"/>
      <c r="E189" s="23"/>
      <c r="F189" s="23"/>
      <c r="G189" s="23"/>
      <c r="H189" s="24"/>
      <c r="I189" s="23"/>
      <c r="J189" s="23"/>
      <c r="K189" s="24"/>
    </row>
    <row r="190" spans="1:11" ht="12.95">
      <c r="A190" s="23"/>
      <c r="B190" s="23"/>
      <c r="C190" s="23"/>
      <c r="D190" s="23"/>
      <c r="E190" s="23"/>
      <c r="F190" s="23"/>
      <c r="G190" s="23"/>
      <c r="H190" s="24"/>
      <c r="I190" s="23"/>
      <c r="J190" s="23"/>
      <c r="K190" s="24"/>
    </row>
    <row r="191" spans="1:11" ht="12.95">
      <c r="A191" s="23"/>
      <c r="B191" s="23"/>
      <c r="C191" s="23"/>
      <c r="D191" s="23"/>
      <c r="E191" s="23"/>
      <c r="F191" s="23"/>
      <c r="G191" s="23"/>
      <c r="H191" s="24"/>
      <c r="I191" s="23"/>
      <c r="J191" s="23"/>
      <c r="K191" s="24"/>
    </row>
    <row r="192" spans="1:11" ht="12.95">
      <c r="A192" s="23"/>
      <c r="B192" s="23"/>
      <c r="C192" s="23"/>
      <c r="D192" s="23"/>
      <c r="E192" s="23"/>
      <c r="F192" s="23"/>
      <c r="G192" s="23"/>
      <c r="H192" s="24"/>
      <c r="I192" s="23"/>
      <c r="J192" s="23"/>
      <c r="K192" s="24"/>
    </row>
    <row r="193" spans="1:11" ht="12.95">
      <c r="A193" s="23"/>
      <c r="B193" s="23"/>
      <c r="C193" s="23"/>
      <c r="D193" s="23"/>
      <c r="E193" s="23"/>
      <c r="F193" s="23"/>
      <c r="G193" s="23"/>
      <c r="H193" s="24"/>
      <c r="I193" s="23"/>
      <c r="J193" s="23"/>
      <c r="K193" s="24"/>
    </row>
    <row r="194" spans="1:11" ht="12.95">
      <c r="A194" s="23"/>
      <c r="B194" s="23"/>
      <c r="C194" s="23"/>
      <c r="D194" s="23"/>
      <c r="E194" s="23"/>
      <c r="F194" s="23"/>
      <c r="G194" s="23"/>
      <c r="H194" s="24"/>
      <c r="I194" s="23"/>
      <c r="J194" s="23"/>
      <c r="K194" s="24"/>
    </row>
    <row r="195" spans="1:11" ht="12.95">
      <c r="A195" s="23"/>
      <c r="B195" s="23"/>
      <c r="C195" s="23"/>
      <c r="D195" s="23"/>
      <c r="E195" s="23"/>
      <c r="F195" s="23"/>
      <c r="G195" s="23"/>
      <c r="H195" s="24"/>
      <c r="I195" s="23"/>
      <c r="J195" s="23"/>
      <c r="K195" s="24"/>
    </row>
    <row r="196" spans="1:11" ht="12.95">
      <c r="A196" s="23"/>
      <c r="B196" s="23"/>
      <c r="C196" s="23"/>
      <c r="D196" s="23"/>
      <c r="E196" s="23"/>
      <c r="F196" s="23"/>
      <c r="G196" s="23"/>
      <c r="H196" s="24"/>
      <c r="I196" s="23"/>
      <c r="J196" s="23"/>
      <c r="K196" s="24"/>
    </row>
    <row r="197" spans="1:11" ht="12.95">
      <c r="A197" s="23"/>
      <c r="B197" s="23"/>
      <c r="C197" s="23"/>
      <c r="D197" s="23"/>
      <c r="E197" s="23"/>
      <c r="F197" s="23"/>
      <c r="G197" s="23"/>
      <c r="H197" s="24"/>
      <c r="I197" s="23"/>
      <c r="J197" s="23"/>
      <c r="K197" s="24"/>
    </row>
    <row r="198" spans="1:11" ht="12.95">
      <c r="A198" s="23"/>
      <c r="B198" s="23"/>
      <c r="C198" s="23"/>
      <c r="D198" s="23"/>
      <c r="E198" s="23"/>
      <c r="F198" s="23"/>
      <c r="G198" s="23"/>
      <c r="H198" s="24"/>
      <c r="I198" s="23"/>
      <c r="J198" s="23"/>
      <c r="K198" s="24"/>
    </row>
    <row r="199" spans="1:11" ht="12.95">
      <c r="A199" s="23"/>
      <c r="B199" s="23"/>
      <c r="C199" s="23"/>
      <c r="D199" s="23"/>
      <c r="E199" s="23"/>
      <c r="F199" s="23"/>
      <c r="G199" s="23"/>
      <c r="H199" s="24"/>
      <c r="I199" s="23"/>
      <c r="J199" s="23"/>
      <c r="K199" s="24"/>
    </row>
    <row r="200" spans="1:11" ht="12.95">
      <c r="A200" s="23"/>
      <c r="B200" s="23"/>
      <c r="C200" s="23"/>
      <c r="D200" s="23"/>
      <c r="E200" s="23"/>
      <c r="F200" s="23"/>
      <c r="G200" s="23"/>
      <c r="H200" s="24"/>
      <c r="I200" s="23"/>
      <c r="J200" s="23"/>
      <c r="K200" s="24"/>
    </row>
    <row r="201" spans="1:11" ht="12.95">
      <c r="A201" s="23"/>
      <c r="B201" s="23"/>
      <c r="C201" s="23"/>
      <c r="D201" s="23"/>
      <c r="E201" s="23"/>
      <c r="F201" s="23"/>
      <c r="G201" s="23"/>
      <c r="H201" s="24"/>
      <c r="I201" s="23"/>
      <c r="J201" s="23"/>
      <c r="K201" s="24"/>
    </row>
    <row r="202" spans="1:11" ht="12.95">
      <c r="A202" s="23"/>
      <c r="B202" s="23"/>
      <c r="C202" s="23"/>
      <c r="D202" s="23"/>
      <c r="E202" s="23"/>
      <c r="F202" s="23"/>
      <c r="G202" s="23"/>
      <c r="H202" s="24"/>
      <c r="I202" s="23"/>
      <c r="J202" s="23"/>
      <c r="K202" s="24"/>
    </row>
    <row r="203" spans="1:11" ht="12.95">
      <c r="A203" s="23"/>
      <c r="B203" s="23"/>
      <c r="C203" s="23"/>
      <c r="D203" s="23"/>
      <c r="E203" s="23"/>
      <c r="F203" s="23"/>
      <c r="G203" s="23"/>
      <c r="H203" s="24"/>
      <c r="I203" s="23"/>
      <c r="J203" s="23"/>
      <c r="K203" s="24"/>
    </row>
    <row r="204" spans="1:11" ht="12.95">
      <c r="A204" s="23"/>
      <c r="B204" s="23"/>
      <c r="C204" s="23"/>
      <c r="D204" s="23"/>
      <c r="E204" s="23"/>
      <c r="F204" s="23"/>
      <c r="G204" s="23"/>
      <c r="H204" s="24"/>
      <c r="I204" s="23"/>
      <c r="J204" s="23"/>
      <c r="K204" s="24"/>
    </row>
    <row r="205" spans="1:11" ht="12.95">
      <c r="A205" s="23"/>
      <c r="B205" s="23"/>
      <c r="C205" s="23"/>
      <c r="D205" s="23"/>
      <c r="E205" s="23"/>
      <c r="F205" s="23"/>
      <c r="G205" s="23"/>
      <c r="H205" s="24"/>
      <c r="I205" s="23"/>
      <c r="J205" s="23"/>
      <c r="K205" s="24"/>
    </row>
    <row r="206" spans="1:11" ht="12.95">
      <c r="A206" s="23"/>
      <c r="B206" s="23"/>
      <c r="C206" s="23"/>
      <c r="D206" s="23"/>
      <c r="E206" s="23"/>
      <c r="F206" s="23"/>
      <c r="G206" s="23"/>
      <c r="H206" s="24"/>
      <c r="I206" s="23"/>
      <c r="J206" s="23"/>
      <c r="K206" s="24"/>
    </row>
    <row r="207" spans="1:11" ht="12.95">
      <c r="A207" s="23"/>
      <c r="B207" s="23"/>
      <c r="C207" s="23"/>
      <c r="D207" s="23"/>
      <c r="E207" s="23"/>
      <c r="F207" s="23"/>
      <c r="G207" s="23"/>
      <c r="H207" s="24"/>
      <c r="I207" s="23"/>
      <c r="J207" s="23"/>
      <c r="K207" s="24"/>
    </row>
    <row r="208" spans="1:11" ht="12.95">
      <c r="A208" s="23"/>
      <c r="B208" s="23"/>
      <c r="C208" s="23"/>
      <c r="D208" s="23"/>
      <c r="E208" s="23"/>
      <c r="F208" s="23"/>
      <c r="G208" s="23"/>
      <c r="H208" s="24"/>
      <c r="I208" s="23"/>
      <c r="J208" s="23"/>
      <c r="K208" s="24"/>
    </row>
    <row r="209" spans="1:11" ht="12.95">
      <c r="A209" s="23"/>
      <c r="B209" s="23"/>
      <c r="C209" s="23"/>
      <c r="D209" s="23"/>
      <c r="E209" s="23"/>
      <c r="F209" s="23"/>
      <c r="G209" s="23"/>
      <c r="H209" s="24"/>
      <c r="I209" s="23"/>
      <c r="J209" s="23"/>
      <c r="K209" s="24"/>
    </row>
    <row r="210" spans="1:11" ht="12.95">
      <c r="A210" s="23"/>
      <c r="B210" s="23"/>
      <c r="C210" s="23"/>
      <c r="D210" s="23"/>
      <c r="E210" s="23"/>
      <c r="F210" s="23"/>
      <c r="G210" s="23"/>
      <c r="H210" s="24"/>
      <c r="I210" s="23"/>
      <c r="J210" s="23"/>
      <c r="K210" s="24"/>
    </row>
    <row r="211" spans="1:11" ht="12.95">
      <c r="A211" s="23"/>
      <c r="B211" s="23"/>
      <c r="C211" s="23"/>
      <c r="D211" s="23"/>
      <c r="E211" s="23"/>
      <c r="F211" s="23"/>
      <c r="G211" s="23"/>
      <c r="H211" s="24"/>
      <c r="I211" s="23"/>
      <c r="J211" s="23"/>
      <c r="K211" s="24"/>
    </row>
    <row r="212" spans="1:11" ht="12.95">
      <c r="A212" s="23"/>
      <c r="B212" s="23"/>
      <c r="C212" s="23"/>
      <c r="D212" s="23"/>
      <c r="E212" s="23"/>
      <c r="F212" s="23"/>
      <c r="G212" s="23"/>
      <c r="H212" s="24"/>
      <c r="I212" s="23"/>
      <c r="J212" s="23"/>
      <c r="K212" s="24"/>
    </row>
    <row r="213" spans="1:11" ht="12.95">
      <c r="A213" s="23"/>
      <c r="B213" s="23"/>
      <c r="C213" s="23"/>
      <c r="D213" s="23"/>
      <c r="E213" s="23"/>
      <c r="F213" s="23"/>
      <c r="G213" s="23"/>
      <c r="H213" s="24"/>
      <c r="I213" s="23"/>
      <c r="J213" s="23"/>
      <c r="K213" s="24"/>
    </row>
    <row r="214" spans="1:11" ht="12.95">
      <c r="A214" s="23"/>
      <c r="B214" s="23"/>
      <c r="C214" s="23"/>
      <c r="D214" s="23"/>
      <c r="E214" s="23"/>
      <c r="F214" s="23"/>
      <c r="G214" s="23"/>
      <c r="H214" s="24"/>
      <c r="I214" s="23"/>
      <c r="J214" s="23"/>
      <c r="K214" s="24"/>
    </row>
    <row r="215" spans="1:11" ht="12.95">
      <c r="A215" s="23"/>
      <c r="B215" s="23"/>
      <c r="C215" s="23"/>
      <c r="D215" s="23"/>
      <c r="E215" s="23"/>
      <c r="F215" s="23"/>
      <c r="G215" s="23"/>
      <c r="H215" s="24"/>
      <c r="I215" s="23"/>
      <c r="J215" s="23"/>
      <c r="K215" s="24"/>
    </row>
    <row r="216" spans="1:11" ht="12.95">
      <c r="A216" s="23"/>
      <c r="B216" s="23"/>
      <c r="C216" s="23"/>
      <c r="D216" s="23"/>
      <c r="E216" s="23"/>
      <c r="F216" s="23"/>
      <c r="G216" s="23"/>
      <c r="H216" s="24"/>
      <c r="I216" s="23"/>
      <c r="J216" s="23"/>
      <c r="K216" s="24"/>
    </row>
    <row r="217" spans="1:11" ht="12.95">
      <c r="A217" s="23"/>
      <c r="B217" s="23"/>
      <c r="C217" s="23"/>
      <c r="D217" s="23"/>
      <c r="E217" s="23"/>
      <c r="F217" s="23"/>
      <c r="G217" s="23"/>
      <c r="H217" s="24"/>
      <c r="I217" s="23"/>
      <c r="J217" s="23"/>
      <c r="K217" s="24"/>
    </row>
    <row r="218" spans="1:11" ht="12.95">
      <c r="A218" s="23"/>
      <c r="B218" s="23"/>
      <c r="C218" s="23"/>
      <c r="D218" s="23"/>
      <c r="E218" s="23"/>
      <c r="F218" s="23"/>
      <c r="G218" s="23"/>
      <c r="H218" s="24"/>
      <c r="I218" s="23"/>
      <c r="J218" s="23"/>
      <c r="K218" s="24"/>
    </row>
    <row r="219" spans="1:11" ht="12.95">
      <c r="A219" s="23"/>
      <c r="B219" s="23"/>
      <c r="C219" s="23"/>
      <c r="D219" s="23"/>
      <c r="E219" s="23"/>
      <c r="F219" s="23"/>
      <c r="G219" s="23"/>
      <c r="H219" s="24"/>
      <c r="I219" s="23"/>
      <c r="J219" s="23"/>
      <c r="K219" s="24"/>
    </row>
    <row r="220" spans="1:11" ht="12.95">
      <c r="A220" s="23"/>
      <c r="B220" s="23"/>
      <c r="C220" s="23"/>
      <c r="D220" s="23"/>
      <c r="E220" s="23"/>
      <c r="F220" s="23"/>
      <c r="G220" s="23"/>
      <c r="H220" s="24"/>
      <c r="I220" s="23"/>
      <c r="J220" s="23"/>
      <c r="K220" s="24"/>
    </row>
    <row r="221" spans="1:11" ht="12.95">
      <c r="A221" s="23"/>
      <c r="B221" s="23"/>
      <c r="C221" s="23"/>
      <c r="D221" s="23"/>
      <c r="E221" s="23"/>
      <c r="F221" s="23"/>
      <c r="G221" s="23"/>
      <c r="H221" s="24"/>
      <c r="I221" s="23"/>
      <c r="J221" s="23"/>
      <c r="K221" s="24"/>
    </row>
    <row r="222" spans="1:11" ht="12.95">
      <c r="A222" s="23"/>
      <c r="B222" s="23"/>
      <c r="C222" s="23"/>
      <c r="D222" s="23"/>
      <c r="E222" s="23"/>
      <c r="F222" s="23"/>
      <c r="G222" s="23"/>
      <c r="H222" s="24"/>
      <c r="I222" s="23"/>
      <c r="J222" s="23"/>
      <c r="K222" s="24"/>
    </row>
    <row r="223" spans="1:11" ht="12.95">
      <c r="A223" s="23"/>
      <c r="B223" s="23"/>
      <c r="C223" s="23"/>
      <c r="D223" s="23"/>
      <c r="E223" s="23"/>
      <c r="F223" s="23"/>
      <c r="G223" s="23"/>
      <c r="H223" s="24"/>
      <c r="I223" s="23"/>
      <c r="J223" s="23"/>
      <c r="K223" s="24"/>
    </row>
    <row r="224" spans="1:11" ht="12.95">
      <c r="A224" s="23"/>
      <c r="B224" s="23"/>
      <c r="C224" s="23"/>
      <c r="D224" s="23"/>
      <c r="E224" s="23"/>
      <c r="F224" s="23"/>
      <c r="G224" s="23"/>
      <c r="H224" s="24"/>
      <c r="I224" s="23"/>
      <c r="J224" s="23"/>
      <c r="K224" s="24"/>
    </row>
    <row r="225" spans="1:11" ht="12.95">
      <c r="A225" s="23"/>
      <c r="B225" s="23"/>
      <c r="C225" s="23"/>
      <c r="D225" s="23"/>
      <c r="E225" s="23"/>
      <c r="F225" s="23"/>
      <c r="G225" s="23"/>
      <c r="H225" s="24"/>
      <c r="I225" s="23"/>
      <c r="J225" s="23"/>
      <c r="K225" s="24"/>
    </row>
    <row r="226" spans="1:11" ht="12.95">
      <c r="A226" s="23"/>
      <c r="B226" s="23"/>
      <c r="C226" s="23"/>
      <c r="D226" s="23"/>
      <c r="E226" s="23"/>
      <c r="F226" s="23"/>
      <c r="G226" s="23"/>
      <c r="H226" s="24"/>
      <c r="I226" s="23"/>
      <c r="J226" s="23"/>
      <c r="K226" s="24"/>
    </row>
    <row r="227" spans="1:11" ht="12.95">
      <c r="A227" s="23"/>
      <c r="B227" s="23"/>
      <c r="C227" s="23"/>
      <c r="D227" s="23"/>
      <c r="E227" s="23"/>
      <c r="F227" s="23"/>
      <c r="G227" s="23"/>
      <c r="H227" s="24"/>
      <c r="I227" s="23"/>
      <c r="J227" s="23"/>
      <c r="K227" s="24"/>
    </row>
    <row r="228" spans="1:11" ht="12.95">
      <c r="A228" s="23"/>
      <c r="B228" s="23"/>
      <c r="C228" s="23"/>
      <c r="D228" s="23"/>
      <c r="E228" s="23"/>
      <c r="F228" s="23"/>
      <c r="G228" s="23"/>
      <c r="H228" s="24"/>
      <c r="I228" s="23"/>
      <c r="J228" s="23"/>
      <c r="K228" s="24"/>
    </row>
    <row r="229" spans="1:11" ht="12.95">
      <c r="A229" s="23"/>
      <c r="B229" s="23"/>
      <c r="C229" s="23"/>
      <c r="D229" s="23"/>
      <c r="E229" s="23"/>
      <c r="F229" s="23"/>
      <c r="G229" s="23"/>
      <c r="H229" s="24"/>
      <c r="I229" s="23"/>
      <c r="J229" s="23"/>
      <c r="K229" s="24"/>
    </row>
    <row r="230" spans="1:11" ht="12.95">
      <c r="A230" s="23"/>
      <c r="B230" s="23"/>
      <c r="C230" s="23"/>
      <c r="D230" s="23"/>
      <c r="E230" s="23"/>
      <c r="F230" s="23"/>
      <c r="G230" s="23"/>
      <c r="H230" s="24"/>
      <c r="I230" s="23"/>
      <c r="J230" s="23"/>
      <c r="K230" s="24"/>
    </row>
    <row r="231" spans="1:11" ht="12.95">
      <c r="A231" s="23"/>
      <c r="B231" s="23"/>
      <c r="C231" s="23"/>
      <c r="D231" s="23"/>
      <c r="E231" s="23"/>
      <c r="F231" s="23"/>
      <c r="G231" s="23"/>
      <c r="H231" s="24"/>
      <c r="I231" s="23"/>
      <c r="J231" s="23"/>
      <c r="K231" s="24"/>
    </row>
    <row r="232" spans="1:11" ht="12.95">
      <c r="A232" s="23"/>
      <c r="B232" s="23"/>
      <c r="C232" s="23"/>
      <c r="D232" s="23"/>
      <c r="E232" s="23"/>
      <c r="F232" s="23"/>
      <c r="G232" s="23"/>
      <c r="H232" s="24"/>
      <c r="I232" s="23"/>
      <c r="J232" s="23"/>
      <c r="K232" s="24"/>
    </row>
    <row r="233" spans="1:11" ht="12.95">
      <c r="A233" s="23"/>
      <c r="B233" s="23"/>
      <c r="C233" s="23"/>
      <c r="D233" s="23"/>
      <c r="E233" s="23"/>
      <c r="F233" s="23"/>
      <c r="G233" s="23"/>
      <c r="H233" s="24"/>
      <c r="I233" s="23"/>
      <c r="J233" s="23"/>
      <c r="K233" s="24"/>
    </row>
    <row r="234" spans="1:11" ht="12.95">
      <c r="A234" s="23"/>
      <c r="B234" s="23"/>
      <c r="C234" s="23"/>
      <c r="D234" s="23"/>
      <c r="E234" s="23"/>
      <c r="F234" s="23"/>
      <c r="G234" s="23"/>
      <c r="H234" s="24"/>
      <c r="I234" s="23"/>
      <c r="J234" s="23"/>
      <c r="K234" s="24"/>
    </row>
    <row r="235" spans="1:11" ht="12.95">
      <c r="A235" s="23"/>
      <c r="B235" s="23"/>
      <c r="C235" s="23"/>
      <c r="D235" s="23"/>
      <c r="E235" s="23"/>
      <c r="F235" s="23"/>
      <c r="G235" s="23"/>
      <c r="H235" s="24"/>
      <c r="I235" s="23"/>
      <c r="J235" s="23"/>
      <c r="K235" s="24"/>
    </row>
    <row r="236" spans="1:11" ht="12.95">
      <c r="A236" s="23"/>
      <c r="B236" s="23"/>
      <c r="C236" s="23"/>
      <c r="D236" s="23"/>
      <c r="E236" s="23"/>
      <c r="F236" s="23"/>
      <c r="G236" s="23"/>
      <c r="H236" s="24"/>
      <c r="I236" s="23"/>
      <c r="J236" s="23"/>
      <c r="K236" s="24"/>
    </row>
    <row r="237" spans="1:11" ht="12.95">
      <c r="A237" s="23"/>
      <c r="B237" s="23"/>
      <c r="C237" s="23"/>
      <c r="D237" s="23"/>
      <c r="E237" s="23"/>
      <c r="F237" s="23"/>
      <c r="G237" s="23"/>
      <c r="H237" s="24"/>
      <c r="I237" s="23"/>
      <c r="J237" s="23"/>
      <c r="K237" s="24"/>
    </row>
    <row r="238" spans="1:11" ht="12.95">
      <c r="A238" s="23"/>
      <c r="B238" s="23"/>
      <c r="C238" s="23"/>
      <c r="D238" s="23"/>
      <c r="E238" s="23"/>
      <c r="F238" s="23"/>
      <c r="G238" s="23"/>
      <c r="H238" s="24"/>
      <c r="I238" s="23"/>
      <c r="J238" s="23"/>
      <c r="K238" s="24"/>
    </row>
    <row r="239" spans="1:11" ht="12.95">
      <c r="A239" s="23"/>
      <c r="B239" s="23"/>
      <c r="C239" s="23"/>
      <c r="D239" s="23"/>
      <c r="E239" s="23"/>
      <c r="F239" s="23"/>
      <c r="G239" s="23"/>
      <c r="H239" s="24"/>
      <c r="I239" s="23"/>
      <c r="J239" s="23"/>
      <c r="K239" s="24"/>
    </row>
    <row r="240" spans="1:11" ht="12.95">
      <c r="A240" s="23"/>
      <c r="B240" s="23"/>
      <c r="C240" s="23"/>
      <c r="D240" s="23"/>
      <c r="E240" s="23"/>
      <c r="F240" s="23"/>
      <c r="G240" s="23"/>
      <c r="H240" s="24"/>
      <c r="I240" s="23"/>
      <c r="J240" s="23"/>
      <c r="K240" s="24"/>
    </row>
    <row r="241" spans="1:11" ht="12.95">
      <c r="A241" s="23"/>
      <c r="B241" s="23"/>
      <c r="C241" s="23"/>
      <c r="D241" s="23"/>
      <c r="E241" s="23"/>
      <c r="F241" s="23"/>
      <c r="G241" s="23"/>
      <c r="H241" s="24"/>
      <c r="I241" s="23"/>
      <c r="J241" s="23"/>
      <c r="K241" s="24"/>
    </row>
    <row r="242" spans="1:11" ht="12.95">
      <c r="A242" s="23"/>
      <c r="B242" s="23"/>
      <c r="C242" s="23"/>
      <c r="D242" s="23"/>
      <c r="E242" s="23"/>
      <c r="F242" s="23"/>
      <c r="G242" s="23"/>
      <c r="H242" s="24"/>
      <c r="I242" s="23"/>
      <c r="J242" s="23"/>
      <c r="K242" s="24"/>
    </row>
    <row r="243" spans="1:11" ht="12.95">
      <c r="A243" s="23"/>
      <c r="B243" s="23"/>
      <c r="C243" s="23"/>
      <c r="D243" s="23"/>
      <c r="E243" s="23"/>
      <c r="F243" s="23"/>
      <c r="G243" s="23"/>
      <c r="H243" s="24"/>
      <c r="I243" s="23"/>
      <c r="J243" s="23"/>
      <c r="K243" s="24"/>
    </row>
    <row r="244" spans="1:11" ht="12.95">
      <c r="A244" s="23"/>
      <c r="B244" s="23"/>
      <c r="C244" s="23"/>
      <c r="D244" s="23"/>
      <c r="E244" s="23"/>
      <c r="F244" s="23"/>
      <c r="G244" s="23"/>
      <c r="H244" s="24"/>
      <c r="I244" s="23"/>
      <c r="J244" s="23"/>
      <c r="K244" s="24"/>
    </row>
    <row r="245" spans="1:11" ht="12.95">
      <c r="A245" s="23"/>
      <c r="B245" s="23"/>
      <c r="C245" s="23"/>
      <c r="D245" s="23"/>
      <c r="E245" s="23"/>
      <c r="F245" s="23"/>
      <c r="G245" s="23"/>
      <c r="H245" s="24"/>
      <c r="I245" s="23"/>
      <c r="J245" s="23"/>
      <c r="K245" s="24"/>
    </row>
    <row r="246" spans="1:11" ht="12.95">
      <c r="A246" s="23"/>
      <c r="B246" s="23"/>
      <c r="C246" s="23"/>
      <c r="D246" s="23"/>
      <c r="E246" s="23"/>
      <c r="F246" s="23"/>
      <c r="G246" s="23"/>
      <c r="H246" s="24"/>
      <c r="I246" s="23"/>
      <c r="J246" s="23"/>
      <c r="K246" s="24"/>
    </row>
    <row r="247" spans="1:11" ht="12.95">
      <c r="A247" s="23"/>
      <c r="B247" s="23"/>
      <c r="C247" s="23"/>
      <c r="D247" s="23"/>
      <c r="E247" s="23"/>
      <c r="F247" s="23"/>
      <c r="G247" s="23"/>
      <c r="H247" s="24"/>
      <c r="I247" s="23"/>
      <c r="J247" s="23"/>
      <c r="K247" s="24"/>
    </row>
    <row r="248" spans="1:11" ht="12.95">
      <c r="A248" s="23"/>
      <c r="B248" s="23"/>
      <c r="C248" s="23"/>
      <c r="D248" s="23"/>
      <c r="E248" s="23"/>
      <c r="F248" s="23"/>
      <c r="G248" s="23"/>
      <c r="H248" s="24"/>
      <c r="I248" s="23"/>
      <c r="J248" s="23"/>
      <c r="K248" s="24"/>
    </row>
    <row r="249" spans="1:11" ht="12.95">
      <c r="A249" s="23"/>
      <c r="B249" s="23"/>
      <c r="C249" s="23"/>
      <c r="D249" s="23"/>
      <c r="E249" s="23"/>
      <c r="F249" s="23"/>
      <c r="G249" s="23"/>
      <c r="H249" s="24"/>
      <c r="I249" s="23"/>
      <c r="J249" s="23"/>
      <c r="K249" s="24"/>
    </row>
    <row r="250" spans="1:11" ht="12.95">
      <c r="A250" s="23"/>
      <c r="B250" s="23"/>
      <c r="C250" s="23"/>
      <c r="D250" s="23"/>
      <c r="E250" s="23"/>
      <c r="F250" s="23"/>
      <c r="G250" s="23"/>
      <c r="H250" s="24"/>
      <c r="I250" s="23"/>
      <c r="J250" s="23"/>
      <c r="K250" s="24"/>
    </row>
    <row r="251" spans="1:11" ht="12.95">
      <c r="A251" s="23"/>
      <c r="B251" s="23"/>
      <c r="C251" s="23"/>
      <c r="D251" s="23"/>
      <c r="E251" s="23"/>
      <c r="F251" s="23"/>
      <c r="G251" s="23"/>
      <c r="H251" s="24"/>
      <c r="I251" s="23"/>
      <c r="J251" s="23"/>
      <c r="K251" s="24"/>
    </row>
    <row r="252" spans="1:11" ht="12.95">
      <c r="A252" s="23"/>
      <c r="B252" s="23"/>
      <c r="C252" s="23"/>
      <c r="D252" s="23"/>
      <c r="E252" s="23"/>
      <c r="F252" s="23"/>
      <c r="G252" s="23"/>
      <c r="H252" s="24"/>
      <c r="I252" s="23"/>
      <c r="J252" s="23"/>
      <c r="K252" s="24"/>
    </row>
    <row r="253" spans="1:11" ht="12.95">
      <c r="A253" s="23"/>
      <c r="B253" s="23"/>
      <c r="C253" s="23"/>
      <c r="D253" s="23"/>
      <c r="E253" s="23"/>
      <c r="F253" s="23"/>
      <c r="G253" s="23"/>
      <c r="H253" s="24"/>
      <c r="I253" s="23"/>
      <c r="J253" s="23"/>
      <c r="K253" s="24"/>
    </row>
    <row r="254" spans="1:11" ht="12.95">
      <c r="A254" s="23"/>
      <c r="B254" s="23"/>
      <c r="C254" s="23"/>
      <c r="D254" s="23"/>
      <c r="E254" s="23"/>
      <c r="F254" s="23"/>
      <c r="G254" s="23"/>
      <c r="H254" s="24"/>
      <c r="I254" s="23"/>
      <c r="J254" s="23"/>
      <c r="K254" s="24"/>
    </row>
    <row r="255" spans="1:11" ht="12.95">
      <c r="A255" s="23"/>
      <c r="B255" s="23"/>
      <c r="C255" s="23"/>
      <c r="D255" s="23"/>
      <c r="E255" s="23"/>
      <c r="F255" s="23"/>
      <c r="G255" s="23"/>
      <c r="H255" s="24"/>
      <c r="I255" s="23"/>
      <c r="J255" s="23"/>
      <c r="K255" s="24"/>
    </row>
    <row r="256" spans="1:11" ht="12.95">
      <c r="A256" s="23"/>
      <c r="B256" s="23"/>
      <c r="C256" s="23"/>
      <c r="D256" s="23"/>
      <c r="E256" s="23"/>
      <c r="F256" s="23"/>
      <c r="G256" s="23"/>
      <c r="H256" s="24"/>
      <c r="I256" s="23"/>
      <c r="J256" s="23"/>
      <c r="K256" s="24"/>
    </row>
    <row r="257" spans="1:11" ht="12.95">
      <c r="A257" s="23"/>
      <c r="B257" s="23"/>
      <c r="C257" s="23"/>
      <c r="D257" s="23"/>
      <c r="E257" s="23"/>
      <c r="F257" s="23"/>
      <c r="G257" s="23"/>
      <c r="H257" s="24"/>
      <c r="I257" s="23"/>
      <c r="J257" s="23"/>
      <c r="K257" s="24"/>
    </row>
    <row r="258" spans="1:11" ht="12.95">
      <c r="A258" s="23"/>
      <c r="B258" s="23"/>
      <c r="C258" s="23"/>
      <c r="D258" s="23"/>
      <c r="E258" s="23"/>
      <c r="F258" s="23"/>
      <c r="G258" s="23"/>
      <c r="H258" s="24"/>
      <c r="I258" s="23"/>
      <c r="J258" s="23"/>
      <c r="K258" s="24"/>
    </row>
    <row r="259" spans="1:11" ht="12.95">
      <c r="A259" s="23"/>
      <c r="B259" s="23"/>
      <c r="C259" s="23"/>
      <c r="D259" s="23"/>
      <c r="E259" s="23"/>
      <c r="F259" s="23"/>
      <c r="G259" s="23"/>
      <c r="H259" s="24"/>
      <c r="I259" s="23"/>
      <c r="J259" s="23"/>
      <c r="K259" s="24"/>
    </row>
    <row r="260" spans="1:11" ht="12.95">
      <c r="A260" s="23"/>
      <c r="B260" s="23"/>
      <c r="C260" s="23"/>
      <c r="D260" s="23"/>
      <c r="E260" s="23"/>
      <c r="F260" s="23"/>
      <c r="G260" s="23"/>
      <c r="H260" s="24"/>
      <c r="I260" s="23"/>
      <c r="J260" s="23"/>
      <c r="K260" s="24"/>
    </row>
    <row r="261" spans="1:11" ht="12.95">
      <c r="A261" s="23"/>
      <c r="B261" s="23"/>
      <c r="C261" s="23"/>
      <c r="D261" s="23"/>
      <c r="E261" s="23"/>
      <c r="F261" s="23"/>
      <c r="G261" s="23"/>
      <c r="H261" s="24"/>
      <c r="I261" s="23"/>
      <c r="J261" s="23"/>
      <c r="K261" s="24"/>
    </row>
    <row r="262" spans="1:11" ht="12.95">
      <c r="A262" s="23"/>
      <c r="B262" s="23"/>
      <c r="C262" s="23"/>
      <c r="D262" s="23"/>
      <c r="E262" s="23"/>
      <c r="F262" s="23"/>
      <c r="G262" s="23"/>
      <c r="H262" s="24"/>
      <c r="I262" s="23"/>
      <c r="J262" s="23"/>
      <c r="K262" s="24"/>
    </row>
    <row r="263" spans="1:11" ht="12.95">
      <c r="A263" s="23"/>
      <c r="B263" s="23"/>
      <c r="C263" s="23"/>
      <c r="D263" s="23"/>
      <c r="E263" s="23"/>
      <c r="F263" s="23"/>
      <c r="G263" s="23"/>
      <c r="H263" s="24"/>
      <c r="I263" s="23"/>
      <c r="J263" s="23"/>
      <c r="K263" s="24"/>
    </row>
    <row r="264" spans="1:11" ht="12.95">
      <c r="A264" s="23"/>
      <c r="B264" s="23"/>
      <c r="C264" s="23"/>
      <c r="D264" s="23"/>
      <c r="E264" s="23"/>
      <c r="F264" s="23"/>
      <c r="G264" s="23"/>
      <c r="H264" s="24"/>
      <c r="I264" s="23"/>
      <c r="J264" s="23"/>
      <c r="K264" s="24"/>
    </row>
    <row r="265" spans="1:11" ht="12.95">
      <c r="A265" s="23"/>
      <c r="B265" s="23"/>
      <c r="C265" s="23"/>
      <c r="D265" s="23"/>
      <c r="E265" s="23"/>
      <c r="F265" s="23"/>
      <c r="G265" s="23"/>
      <c r="H265" s="24"/>
      <c r="I265" s="23"/>
      <c r="J265" s="23"/>
      <c r="K265" s="24"/>
    </row>
    <row r="266" spans="1:11" ht="12.95">
      <c r="A266" s="23"/>
      <c r="B266" s="23"/>
      <c r="C266" s="23"/>
      <c r="D266" s="23"/>
      <c r="E266" s="23"/>
      <c r="F266" s="23"/>
      <c r="G266" s="23"/>
      <c r="H266" s="24"/>
      <c r="I266" s="23"/>
      <c r="J266" s="23"/>
      <c r="K266" s="24"/>
    </row>
    <row r="267" spans="1:11" ht="12.95">
      <c r="A267" s="23"/>
      <c r="B267" s="23"/>
      <c r="C267" s="23"/>
      <c r="D267" s="23"/>
      <c r="E267" s="23"/>
      <c r="F267" s="23"/>
      <c r="G267" s="23"/>
      <c r="H267" s="24"/>
      <c r="I267" s="23"/>
      <c r="J267" s="23"/>
      <c r="K267" s="24"/>
    </row>
    <row r="268" spans="1:11" ht="12.95">
      <c r="A268" s="23"/>
      <c r="B268" s="23"/>
      <c r="C268" s="23"/>
      <c r="D268" s="23"/>
      <c r="E268" s="23"/>
      <c r="F268" s="23"/>
      <c r="G268" s="23"/>
      <c r="H268" s="24"/>
      <c r="I268" s="23"/>
      <c r="J268" s="23"/>
      <c r="K268" s="24"/>
    </row>
    <row r="269" spans="1:11" ht="12.95">
      <c r="A269" s="23"/>
      <c r="B269" s="23"/>
      <c r="C269" s="23"/>
      <c r="D269" s="23"/>
      <c r="E269" s="23"/>
      <c r="F269" s="23"/>
      <c r="G269" s="23"/>
      <c r="H269" s="24"/>
      <c r="I269" s="23"/>
      <c r="J269" s="23"/>
      <c r="K269" s="24"/>
    </row>
    <row r="270" spans="1:11" ht="12.95">
      <c r="A270" s="23"/>
      <c r="B270" s="23"/>
      <c r="C270" s="23"/>
      <c r="D270" s="23"/>
      <c r="E270" s="23"/>
      <c r="F270" s="23"/>
      <c r="G270" s="23"/>
      <c r="H270" s="24"/>
      <c r="I270" s="23"/>
      <c r="J270" s="23"/>
      <c r="K270" s="24"/>
    </row>
    <row r="271" spans="1:11" ht="12.95">
      <c r="A271" s="23"/>
      <c r="B271" s="23"/>
      <c r="C271" s="23"/>
      <c r="D271" s="23"/>
      <c r="E271" s="23"/>
      <c r="F271" s="23"/>
      <c r="G271" s="23"/>
      <c r="H271" s="24"/>
      <c r="I271" s="23"/>
      <c r="J271" s="23"/>
      <c r="K271" s="24"/>
    </row>
    <row r="272" spans="1:11" ht="12.95">
      <c r="A272" s="23"/>
      <c r="B272" s="23"/>
      <c r="C272" s="23"/>
      <c r="D272" s="23"/>
      <c r="E272" s="23"/>
      <c r="F272" s="23"/>
      <c r="G272" s="23"/>
      <c r="H272" s="24"/>
      <c r="I272" s="23"/>
      <c r="J272" s="23"/>
      <c r="K272" s="24"/>
    </row>
    <row r="273" spans="1:11" ht="12.95">
      <c r="A273" s="23"/>
      <c r="B273" s="23"/>
      <c r="C273" s="23"/>
      <c r="D273" s="23"/>
      <c r="E273" s="23"/>
      <c r="F273" s="23"/>
      <c r="G273" s="23"/>
      <c r="H273" s="24"/>
      <c r="I273" s="23"/>
      <c r="J273" s="23"/>
      <c r="K273" s="24"/>
    </row>
    <row r="274" spans="1:11" ht="12.95">
      <c r="A274" s="23"/>
      <c r="B274" s="23"/>
      <c r="C274" s="23"/>
      <c r="D274" s="23"/>
      <c r="E274" s="23"/>
      <c r="F274" s="23"/>
      <c r="G274" s="23"/>
      <c r="H274" s="24"/>
      <c r="I274" s="23"/>
      <c r="J274" s="23"/>
      <c r="K274" s="24"/>
    </row>
    <row r="275" spans="1:11" ht="12.95">
      <c r="A275" s="23"/>
      <c r="B275" s="23"/>
      <c r="C275" s="23"/>
      <c r="D275" s="23"/>
      <c r="E275" s="23"/>
      <c r="F275" s="23"/>
      <c r="G275" s="23"/>
      <c r="H275" s="24"/>
      <c r="I275" s="23"/>
      <c r="J275" s="23"/>
      <c r="K275" s="24"/>
    </row>
    <row r="276" spans="1:11" ht="12.95">
      <c r="A276" s="23"/>
      <c r="B276" s="23"/>
      <c r="C276" s="23"/>
      <c r="D276" s="23"/>
      <c r="E276" s="23"/>
      <c r="F276" s="23"/>
      <c r="G276" s="23"/>
      <c r="H276" s="24"/>
      <c r="I276" s="23"/>
      <c r="J276" s="23"/>
      <c r="K276" s="24"/>
    </row>
    <row r="277" spans="1:11" ht="12.95">
      <c r="A277" s="23"/>
      <c r="B277" s="23"/>
      <c r="C277" s="23"/>
      <c r="D277" s="23"/>
      <c r="E277" s="23"/>
      <c r="F277" s="23"/>
      <c r="G277" s="23"/>
      <c r="H277" s="24"/>
      <c r="I277" s="23"/>
      <c r="J277" s="23"/>
      <c r="K277" s="24"/>
    </row>
    <row r="278" spans="1:11" ht="12.95">
      <c r="A278" s="23"/>
      <c r="B278" s="23"/>
      <c r="C278" s="23"/>
      <c r="D278" s="23"/>
      <c r="E278" s="23"/>
      <c r="F278" s="23"/>
      <c r="G278" s="23"/>
      <c r="H278" s="24"/>
      <c r="I278" s="23"/>
      <c r="J278" s="23"/>
      <c r="K278" s="24"/>
    </row>
    <row r="279" spans="1:11" ht="12.95">
      <c r="A279" s="23"/>
      <c r="B279" s="23"/>
      <c r="C279" s="23"/>
      <c r="D279" s="23"/>
      <c r="E279" s="23"/>
      <c r="F279" s="23"/>
      <c r="G279" s="23"/>
      <c r="H279" s="24"/>
      <c r="I279" s="23"/>
      <c r="J279" s="23"/>
      <c r="K279" s="24"/>
    </row>
    <row r="280" spans="1:11" ht="12.95">
      <c r="A280" s="23"/>
      <c r="B280" s="23"/>
      <c r="C280" s="23"/>
      <c r="D280" s="23"/>
      <c r="E280" s="23"/>
      <c r="F280" s="23"/>
      <c r="G280" s="23"/>
      <c r="H280" s="24"/>
      <c r="I280" s="23"/>
      <c r="J280" s="23"/>
      <c r="K280" s="24"/>
    </row>
    <row r="281" spans="1:11" ht="12.95">
      <c r="A281" s="23"/>
      <c r="B281" s="23"/>
      <c r="C281" s="23"/>
      <c r="D281" s="23"/>
      <c r="E281" s="23"/>
      <c r="F281" s="23"/>
      <c r="G281" s="23"/>
      <c r="H281" s="24"/>
      <c r="I281" s="23"/>
      <c r="J281" s="23"/>
      <c r="K281" s="24"/>
    </row>
    <row r="282" spans="1:11" ht="12.95">
      <c r="A282" s="23"/>
      <c r="B282" s="23"/>
      <c r="C282" s="23"/>
      <c r="D282" s="23"/>
      <c r="E282" s="23"/>
      <c r="F282" s="23"/>
      <c r="G282" s="23"/>
      <c r="H282" s="24"/>
      <c r="I282" s="23"/>
      <c r="J282" s="23"/>
      <c r="K282" s="24"/>
    </row>
    <row r="283" spans="1:11" ht="12.95">
      <c r="A283" s="23"/>
      <c r="B283" s="23"/>
      <c r="C283" s="23"/>
      <c r="D283" s="23"/>
      <c r="E283" s="23"/>
      <c r="F283" s="23"/>
      <c r="G283" s="23"/>
      <c r="H283" s="24"/>
      <c r="I283" s="23"/>
      <c r="J283" s="23"/>
      <c r="K283" s="24"/>
    </row>
    <row r="284" spans="1:11" ht="12.95">
      <c r="A284" s="23"/>
      <c r="B284" s="23"/>
      <c r="C284" s="23"/>
      <c r="D284" s="23"/>
      <c r="E284" s="23"/>
      <c r="F284" s="23"/>
      <c r="G284" s="23"/>
      <c r="H284" s="24"/>
      <c r="I284" s="23"/>
      <c r="J284" s="23"/>
      <c r="K284" s="24"/>
    </row>
    <row r="285" spans="1:11" ht="12.95">
      <c r="A285" s="23"/>
      <c r="B285" s="23"/>
      <c r="C285" s="23"/>
      <c r="D285" s="23"/>
      <c r="E285" s="23"/>
      <c r="F285" s="23"/>
      <c r="G285" s="23"/>
      <c r="H285" s="24"/>
      <c r="I285" s="23"/>
      <c r="J285" s="23"/>
      <c r="K285" s="24"/>
    </row>
    <row r="286" spans="1:11" ht="12.95">
      <c r="A286" s="23"/>
      <c r="B286" s="23"/>
      <c r="C286" s="23"/>
      <c r="D286" s="23"/>
      <c r="E286" s="23"/>
      <c r="F286" s="23"/>
      <c r="G286" s="23"/>
      <c r="H286" s="24"/>
      <c r="I286" s="23"/>
      <c r="J286" s="23"/>
      <c r="K286" s="24"/>
    </row>
    <row r="287" spans="1:11" ht="12.95">
      <c r="A287" s="23"/>
      <c r="B287" s="23"/>
      <c r="C287" s="23"/>
      <c r="D287" s="23"/>
      <c r="E287" s="23"/>
      <c r="F287" s="23"/>
      <c r="G287" s="23"/>
      <c r="H287" s="24"/>
      <c r="I287" s="23"/>
      <c r="J287" s="23"/>
      <c r="K287" s="24"/>
    </row>
    <row r="288" spans="1:11" ht="12.95">
      <c r="A288" s="23"/>
      <c r="B288" s="23"/>
      <c r="C288" s="23"/>
      <c r="D288" s="23"/>
      <c r="E288" s="23"/>
      <c r="F288" s="23"/>
      <c r="G288" s="23"/>
      <c r="H288" s="24"/>
      <c r="I288" s="23"/>
      <c r="J288" s="23"/>
      <c r="K288" s="24"/>
    </row>
    <row r="289" spans="1:11" ht="12.95">
      <c r="A289" s="23"/>
      <c r="B289" s="23"/>
      <c r="C289" s="23"/>
      <c r="D289" s="23"/>
      <c r="E289" s="23"/>
      <c r="F289" s="23"/>
      <c r="G289" s="23"/>
      <c r="H289" s="24"/>
      <c r="I289" s="23"/>
      <c r="J289" s="23"/>
      <c r="K289" s="24"/>
    </row>
    <row r="290" spans="1:11" ht="12.95">
      <c r="A290" s="23"/>
      <c r="B290" s="23"/>
      <c r="C290" s="23"/>
      <c r="D290" s="23"/>
      <c r="E290" s="23"/>
      <c r="F290" s="23"/>
      <c r="G290" s="23"/>
      <c r="H290" s="24"/>
      <c r="I290" s="23"/>
      <c r="J290" s="23"/>
      <c r="K290" s="24"/>
    </row>
    <row r="291" spans="1:11" ht="12.95">
      <c r="A291" s="23"/>
      <c r="B291" s="23"/>
      <c r="C291" s="23"/>
      <c r="D291" s="23"/>
      <c r="E291" s="23"/>
      <c r="F291" s="23"/>
      <c r="G291" s="23"/>
      <c r="H291" s="24"/>
      <c r="I291" s="23"/>
      <c r="J291" s="23"/>
      <c r="K291" s="24"/>
    </row>
    <row r="292" spans="1:11" ht="12.95">
      <c r="A292" s="23"/>
      <c r="B292" s="23"/>
      <c r="C292" s="23"/>
      <c r="D292" s="23"/>
      <c r="E292" s="23"/>
      <c r="F292" s="23"/>
      <c r="G292" s="23"/>
      <c r="H292" s="24"/>
      <c r="I292" s="23"/>
      <c r="J292" s="23"/>
      <c r="K292" s="24"/>
    </row>
    <row r="293" spans="1:11" ht="12.95">
      <c r="A293" s="23"/>
      <c r="B293" s="23"/>
      <c r="C293" s="23"/>
      <c r="D293" s="23"/>
      <c r="E293" s="23"/>
      <c r="F293" s="23"/>
      <c r="G293" s="23"/>
      <c r="H293" s="24"/>
      <c r="I293" s="23"/>
      <c r="J293" s="23"/>
      <c r="K293" s="24"/>
    </row>
    <row r="294" spans="1:11" ht="12.95">
      <c r="A294" s="23"/>
      <c r="B294" s="23"/>
      <c r="C294" s="23"/>
      <c r="D294" s="23"/>
      <c r="E294" s="23"/>
      <c r="F294" s="23"/>
      <c r="G294" s="23"/>
      <c r="H294" s="24"/>
      <c r="I294" s="23"/>
      <c r="J294" s="23"/>
      <c r="K294" s="24"/>
    </row>
    <row r="295" spans="1:11" ht="12.95">
      <c r="A295" s="23"/>
      <c r="B295" s="23"/>
      <c r="C295" s="23"/>
      <c r="D295" s="23"/>
      <c r="E295" s="23"/>
      <c r="F295" s="23"/>
      <c r="G295" s="23"/>
      <c r="H295" s="24"/>
      <c r="I295" s="23"/>
      <c r="J295" s="23"/>
      <c r="K295" s="24"/>
    </row>
    <row r="296" spans="1:11" ht="12.95">
      <c r="A296" s="23"/>
      <c r="B296" s="23"/>
      <c r="C296" s="23"/>
      <c r="D296" s="23"/>
      <c r="E296" s="23"/>
      <c r="F296" s="23"/>
      <c r="G296" s="23"/>
      <c r="H296" s="24"/>
      <c r="I296" s="23"/>
      <c r="J296" s="23"/>
      <c r="K296" s="24"/>
    </row>
    <row r="297" spans="1:11" ht="12.95">
      <c r="A297" s="23"/>
      <c r="B297" s="23"/>
      <c r="C297" s="23"/>
      <c r="D297" s="23"/>
      <c r="E297" s="23"/>
      <c r="F297" s="23"/>
      <c r="G297" s="23"/>
      <c r="H297" s="24"/>
      <c r="I297" s="23"/>
      <c r="J297" s="23"/>
      <c r="K297" s="24"/>
    </row>
    <row r="298" spans="1:11" ht="12.95">
      <c r="A298" s="23"/>
      <c r="B298" s="23"/>
      <c r="C298" s="23"/>
      <c r="D298" s="23"/>
      <c r="E298" s="23"/>
      <c r="F298" s="23"/>
      <c r="G298" s="23"/>
      <c r="H298" s="24"/>
      <c r="I298" s="23"/>
      <c r="J298" s="23"/>
      <c r="K298" s="24"/>
    </row>
    <row r="299" spans="1:11" ht="12.95">
      <c r="A299" s="23"/>
      <c r="B299" s="23"/>
      <c r="C299" s="23"/>
      <c r="D299" s="23"/>
      <c r="E299" s="23"/>
      <c r="F299" s="23"/>
      <c r="G299" s="23"/>
      <c r="H299" s="24"/>
      <c r="I299" s="23"/>
      <c r="J299" s="23"/>
      <c r="K299" s="24"/>
    </row>
    <row r="300" spans="1:11" ht="12.95">
      <c r="A300" s="23"/>
      <c r="B300" s="23"/>
      <c r="C300" s="23"/>
      <c r="D300" s="23"/>
      <c r="E300" s="23"/>
      <c r="F300" s="23"/>
      <c r="G300" s="23"/>
      <c r="H300" s="24"/>
      <c r="I300" s="23"/>
      <c r="J300" s="23"/>
      <c r="K300" s="24"/>
    </row>
    <row r="301" spans="1:11" ht="12.95">
      <c r="A301" s="23"/>
      <c r="B301" s="23"/>
      <c r="C301" s="23"/>
      <c r="D301" s="23"/>
      <c r="E301" s="23"/>
      <c r="F301" s="23"/>
      <c r="G301" s="23"/>
      <c r="H301" s="24"/>
      <c r="I301" s="23"/>
      <c r="J301" s="23"/>
      <c r="K301" s="24"/>
    </row>
    <row r="302" spans="1:11" ht="12.95">
      <c r="A302" s="23"/>
      <c r="B302" s="23"/>
      <c r="C302" s="23"/>
      <c r="D302" s="23"/>
      <c r="E302" s="23"/>
      <c r="F302" s="23"/>
      <c r="G302" s="23"/>
      <c r="H302" s="24"/>
      <c r="I302" s="23"/>
      <c r="J302" s="23"/>
      <c r="K302" s="24"/>
    </row>
    <row r="303" spans="1:11" ht="12.95">
      <c r="A303" s="23"/>
      <c r="B303" s="23"/>
      <c r="C303" s="23"/>
      <c r="D303" s="23"/>
      <c r="E303" s="23"/>
      <c r="F303" s="23"/>
      <c r="G303" s="23"/>
      <c r="H303" s="24"/>
      <c r="I303" s="23"/>
      <c r="J303" s="23"/>
      <c r="K303" s="24"/>
    </row>
    <row r="304" spans="1:11" ht="12.95">
      <c r="A304" s="23"/>
      <c r="B304" s="23"/>
      <c r="C304" s="23"/>
      <c r="D304" s="23"/>
      <c r="E304" s="23"/>
      <c r="F304" s="23"/>
      <c r="G304" s="23"/>
      <c r="H304" s="24"/>
      <c r="I304" s="23"/>
      <c r="J304" s="23"/>
      <c r="K304" s="24"/>
    </row>
    <row r="305" spans="1:11" ht="12.95">
      <c r="A305" s="23"/>
      <c r="B305" s="23"/>
      <c r="C305" s="23"/>
      <c r="D305" s="23"/>
      <c r="E305" s="23"/>
      <c r="F305" s="23"/>
      <c r="G305" s="23"/>
      <c r="H305" s="24"/>
      <c r="I305" s="23"/>
      <c r="J305" s="23"/>
      <c r="K305" s="24"/>
    </row>
    <row r="306" spans="1:11" ht="12.95">
      <c r="A306" s="23"/>
      <c r="B306" s="23"/>
      <c r="C306" s="23"/>
      <c r="D306" s="23"/>
      <c r="E306" s="23"/>
      <c r="F306" s="23"/>
      <c r="G306" s="23"/>
      <c r="H306" s="24"/>
      <c r="I306" s="23"/>
      <c r="J306" s="23"/>
      <c r="K306" s="24"/>
    </row>
    <row r="307" spans="1:11" ht="12.95">
      <c r="A307" s="23"/>
      <c r="B307" s="23"/>
      <c r="C307" s="23"/>
      <c r="D307" s="23"/>
      <c r="E307" s="23"/>
      <c r="F307" s="23"/>
      <c r="G307" s="23"/>
      <c r="H307" s="24"/>
      <c r="I307" s="23"/>
      <c r="J307" s="23"/>
      <c r="K307" s="24"/>
    </row>
    <row r="308" spans="1:11" ht="12.95">
      <c r="A308" s="23"/>
      <c r="B308" s="23"/>
      <c r="C308" s="23"/>
      <c r="D308" s="23"/>
      <c r="E308" s="23"/>
      <c r="F308" s="23"/>
      <c r="G308" s="23"/>
      <c r="H308" s="24"/>
      <c r="I308" s="23"/>
      <c r="J308" s="23"/>
      <c r="K308" s="24"/>
    </row>
    <row r="309" spans="1:11" ht="12.95">
      <c r="A309" s="23"/>
      <c r="B309" s="23"/>
      <c r="C309" s="23"/>
      <c r="D309" s="23"/>
      <c r="E309" s="23"/>
      <c r="F309" s="23"/>
      <c r="G309" s="23"/>
      <c r="H309" s="24"/>
      <c r="I309" s="23"/>
      <c r="J309" s="23"/>
      <c r="K309" s="24"/>
    </row>
    <row r="310" spans="1:11" ht="12.95">
      <c r="A310" s="23"/>
      <c r="B310" s="23"/>
      <c r="C310" s="23"/>
      <c r="D310" s="23"/>
      <c r="E310" s="23"/>
      <c r="F310" s="23"/>
      <c r="G310" s="23"/>
      <c r="H310" s="24"/>
      <c r="I310" s="23"/>
      <c r="J310" s="23"/>
      <c r="K310" s="24"/>
    </row>
    <row r="311" spans="1:11" ht="12.95">
      <c r="A311" s="23"/>
      <c r="B311" s="23"/>
      <c r="C311" s="23"/>
      <c r="D311" s="23"/>
      <c r="E311" s="23"/>
      <c r="F311" s="23"/>
      <c r="G311" s="23"/>
      <c r="H311" s="24"/>
      <c r="I311" s="23"/>
      <c r="J311" s="23"/>
      <c r="K311" s="24"/>
    </row>
    <row r="312" spans="1:11" ht="12.95">
      <c r="A312" s="23"/>
      <c r="B312" s="23"/>
      <c r="C312" s="23"/>
      <c r="D312" s="23"/>
      <c r="E312" s="23"/>
      <c r="F312" s="23"/>
      <c r="G312" s="23"/>
      <c r="H312" s="24"/>
      <c r="I312" s="23"/>
      <c r="J312" s="23"/>
      <c r="K312" s="24"/>
    </row>
    <row r="313" spans="1:11" ht="12.95">
      <c r="A313" s="23"/>
      <c r="B313" s="23"/>
      <c r="C313" s="23"/>
      <c r="D313" s="23"/>
      <c r="E313" s="23"/>
      <c r="F313" s="23"/>
      <c r="G313" s="23"/>
      <c r="H313" s="24"/>
      <c r="I313" s="23"/>
      <c r="J313" s="23"/>
      <c r="K313" s="24"/>
    </row>
    <row r="314" spans="1:11" ht="12.95">
      <c r="A314" s="23"/>
      <c r="B314" s="23"/>
      <c r="C314" s="23"/>
      <c r="D314" s="23"/>
      <c r="E314" s="23"/>
      <c r="F314" s="23"/>
      <c r="G314" s="23"/>
      <c r="H314" s="24"/>
      <c r="I314" s="23"/>
      <c r="J314" s="23"/>
      <c r="K314" s="24"/>
    </row>
    <row r="315" spans="1:11" ht="12.95">
      <c r="A315" s="23"/>
      <c r="B315" s="23"/>
      <c r="C315" s="23"/>
      <c r="D315" s="23"/>
      <c r="E315" s="23"/>
      <c r="F315" s="23"/>
      <c r="G315" s="23"/>
      <c r="H315" s="24"/>
      <c r="I315" s="23"/>
      <c r="J315" s="23"/>
      <c r="K315" s="24"/>
    </row>
    <row r="316" spans="1:11" ht="12.95">
      <c r="A316" s="23"/>
      <c r="B316" s="23"/>
      <c r="C316" s="23"/>
      <c r="D316" s="23"/>
      <c r="E316" s="23"/>
      <c r="F316" s="23"/>
      <c r="G316" s="23"/>
      <c r="H316" s="24"/>
      <c r="I316" s="23"/>
      <c r="J316" s="23"/>
      <c r="K316" s="24"/>
    </row>
    <row r="317" spans="1:11" ht="12.95">
      <c r="A317" s="23"/>
      <c r="B317" s="23"/>
      <c r="C317" s="23"/>
      <c r="D317" s="23"/>
      <c r="E317" s="23"/>
      <c r="F317" s="23"/>
      <c r="G317" s="23"/>
      <c r="H317" s="24"/>
      <c r="I317" s="23"/>
      <c r="J317" s="23"/>
      <c r="K317" s="24"/>
    </row>
    <row r="318" spans="1:11" ht="12.95">
      <c r="A318" s="23"/>
      <c r="B318" s="23"/>
      <c r="C318" s="23"/>
      <c r="D318" s="23"/>
      <c r="E318" s="23"/>
      <c r="F318" s="23"/>
      <c r="G318" s="23"/>
      <c r="H318" s="24"/>
      <c r="I318" s="23"/>
      <c r="J318" s="23"/>
      <c r="K318" s="24"/>
    </row>
    <row r="319" spans="1:11" ht="12.95">
      <c r="A319" s="23"/>
      <c r="B319" s="23"/>
      <c r="C319" s="23"/>
      <c r="D319" s="23"/>
      <c r="E319" s="23"/>
      <c r="F319" s="23"/>
      <c r="G319" s="23"/>
      <c r="H319" s="24"/>
      <c r="I319" s="23"/>
      <c r="J319" s="23"/>
      <c r="K319" s="24"/>
    </row>
    <row r="320" spans="1:11" ht="12.95">
      <c r="A320" s="23"/>
      <c r="B320" s="23"/>
      <c r="C320" s="23"/>
      <c r="D320" s="23"/>
      <c r="E320" s="23"/>
      <c r="F320" s="23"/>
      <c r="G320" s="23"/>
      <c r="H320" s="24"/>
      <c r="I320" s="23"/>
      <c r="J320" s="23"/>
      <c r="K320" s="24"/>
    </row>
    <row r="321" spans="1:11" ht="12.95">
      <c r="A321" s="23"/>
      <c r="B321" s="23"/>
      <c r="C321" s="23"/>
      <c r="D321" s="23"/>
      <c r="E321" s="23"/>
      <c r="F321" s="23"/>
      <c r="G321" s="23"/>
      <c r="H321" s="24"/>
      <c r="I321" s="23"/>
      <c r="J321" s="23"/>
      <c r="K321" s="24"/>
    </row>
    <row r="322" spans="1:11" ht="12.95">
      <c r="A322" s="23"/>
      <c r="B322" s="23"/>
      <c r="C322" s="23"/>
      <c r="D322" s="23"/>
      <c r="E322" s="23"/>
      <c r="F322" s="23"/>
      <c r="G322" s="23"/>
      <c r="H322" s="24"/>
      <c r="I322" s="23"/>
      <c r="J322" s="23"/>
      <c r="K322" s="24"/>
    </row>
    <row r="323" spans="1:11" ht="12.95">
      <c r="A323" s="23"/>
      <c r="B323" s="23"/>
      <c r="C323" s="23"/>
      <c r="D323" s="23"/>
      <c r="E323" s="23"/>
      <c r="F323" s="23"/>
      <c r="G323" s="23"/>
      <c r="H323" s="24"/>
      <c r="I323" s="23"/>
      <c r="J323" s="23"/>
      <c r="K323" s="24"/>
    </row>
    <row r="324" spans="1:11" ht="12.95">
      <c r="A324" s="23"/>
      <c r="B324" s="23"/>
      <c r="C324" s="23"/>
      <c r="D324" s="23"/>
      <c r="E324" s="23"/>
      <c r="F324" s="23"/>
      <c r="G324" s="23"/>
      <c r="H324" s="24"/>
      <c r="I324" s="23"/>
      <c r="J324" s="23"/>
      <c r="K324" s="24"/>
    </row>
    <row r="325" spans="1:11" ht="12.95">
      <c r="A325" s="23"/>
      <c r="B325" s="23"/>
      <c r="C325" s="23"/>
      <c r="D325" s="23"/>
      <c r="E325" s="23"/>
      <c r="F325" s="23"/>
      <c r="G325" s="23"/>
      <c r="H325" s="24"/>
      <c r="I325" s="23"/>
      <c r="J325" s="23"/>
      <c r="K325" s="24"/>
    </row>
    <row r="326" spans="1:11" ht="12.95">
      <c r="A326" s="23"/>
      <c r="B326" s="23"/>
      <c r="C326" s="23"/>
      <c r="D326" s="23"/>
      <c r="E326" s="23"/>
      <c r="F326" s="23"/>
      <c r="G326" s="23"/>
      <c r="H326" s="24"/>
      <c r="I326" s="23"/>
      <c r="J326" s="23"/>
      <c r="K326" s="24"/>
    </row>
    <row r="327" spans="1:11" ht="12.95">
      <c r="A327" s="23"/>
      <c r="B327" s="23"/>
      <c r="C327" s="23"/>
      <c r="D327" s="23"/>
      <c r="E327" s="23"/>
      <c r="F327" s="23"/>
      <c r="G327" s="23"/>
      <c r="H327" s="24"/>
      <c r="I327" s="23"/>
      <c r="J327" s="23"/>
      <c r="K327" s="24"/>
    </row>
    <row r="328" spans="1:11" ht="12.95">
      <c r="A328" s="23"/>
      <c r="B328" s="23"/>
      <c r="C328" s="23"/>
      <c r="D328" s="23"/>
      <c r="E328" s="23"/>
      <c r="F328" s="23"/>
      <c r="G328" s="23"/>
      <c r="H328" s="24"/>
      <c r="I328" s="23"/>
      <c r="J328" s="23"/>
      <c r="K328" s="24"/>
    </row>
    <row r="329" spans="1:11" ht="12.95">
      <c r="A329" s="23"/>
      <c r="B329" s="23"/>
      <c r="C329" s="23"/>
      <c r="D329" s="23"/>
      <c r="E329" s="23"/>
      <c r="F329" s="23"/>
      <c r="G329" s="23"/>
      <c r="H329" s="24"/>
      <c r="I329" s="23"/>
      <c r="J329" s="23"/>
      <c r="K329" s="24"/>
    </row>
    <row r="330" spans="1:11" ht="12.95">
      <c r="A330" s="23"/>
      <c r="B330" s="23"/>
      <c r="C330" s="23"/>
      <c r="D330" s="23"/>
      <c r="E330" s="23"/>
      <c r="F330" s="23"/>
      <c r="G330" s="23"/>
      <c r="H330" s="24"/>
      <c r="I330" s="23"/>
      <c r="J330" s="23"/>
      <c r="K330" s="24"/>
    </row>
    <row r="331" spans="1:11" ht="12.95">
      <c r="A331" s="23"/>
      <c r="B331" s="23"/>
      <c r="C331" s="23"/>
      <c r="D331" s="23"/>
      <c r="E331" s="23"/>
      <c r="F331" s="23"/>
      <c r="G331" s="23"/>
      <c r="H331" s="24"/>
      <c r="I331" s="23"/>
      <c r="J331" s="23"/>
      <c r="K331" s="24"/>
    </row>
    <row r="332" spans="1:11" ht="12.95">
      <c r="A332" s="23"/>
      <c r="B332" s="23"/>
      <c r="C332" s="23"/>
      <c r="D332" s="23"/>
      <c r="E332" s="23"/>
      <c r="F332" s="23"/>
      <c r="G332" s="23"/>
      <c r="H332" s="24"/>
      <c r="I332" s="23"/>
      <c r="J332" s="23"/>
      <c r="K332" s="24"/>
    </row>
    <row r="333" spans="1:11" ht="12.95">
      <c r="A333" s="23"/>
      <c r="B333" s="23"/>
      <c r="C333" s="23"/>
      <c r="D333" s="23"/>
      <c r="E333" s="23"/>
      <c r="F333" s="23"/>
      <c r="G333" s="23"/>
      <c r="H333" s="24"/>
      <c r="I333" s="23"/>
      <c r="J333" s="23"/>
      <c r="K333" s="24"/>
    </row>
    <row r="334" spans="1:11" ht="12.95">
      <c r="A334" s="23"/>
      <c r="B334" s="23"/>
      <c r="C334" s="23"/>
      <c r="D334" s="23"/>
      <c r="E334" s="23"/>
      <c r="F334" s="23"/>
      <c r="G334" s="23"/>
      <c r="H334" s="24"/>
      <c r="I334" s="23"/>
      <c r="J334" s="23"/>
      <c r="K334" s="24"/>
    </row>
    <row r="335" spans="1:11" ht="12.95">
      <c r="A335" s="23"/>
      <c r="B335" s="23"/>
      <c r="C335" s="23"/>
      <c r="D335" s="23"/>
      <c r="E335" s="23"/>
      <c r="F335" s="23"/>
      <c r="G335" s="23"/>
      <c r="H335" s="24"/>
      <c r="I335" s="23"/>
      <c r="J335" s="23"/>
      <c r="K335" s="24"/>
    </row>
    <row r="336" spans="1:11" ht="12.95">
      <c r="A336" s="23"/>
      <c r="B336" s="23"/>
      <c r="C336" s="23"/>
      <c r="D336" s="23"/>
      <c r="E336" s="23"/>
      <c r="F336" s="23"/>
      <c r="G336" s="23"/>
      <c r="H336" s="24"/>
      <c r="I336" s="23"/>
      <c r="J336" s="23"/>
      <c r="K336" s="24"/>
    </row>
    <row r="337" spans="1:11" ht="12.95">
      <c r="A337" s="23"/>
      <c r="B337" s="23"/>
      <c r="C337" s="23"/>
      <c r="D337" s="23"/>
      <c r="E337" s="23"/>
      <c r="F337" s="23"/>
      <c r="G337" s="23"/>
      <c r="H337" s="24"/>
      <c r="I337" s="23"/>
      <c r="J337" s="23"/>
      <c r="K337" s="24"/>
    </row>
    <row r="338" spans="1:11" ht="12.95">
      <c r="A338" s="23"/>
      <c r="B338" s="23"/>
      <c r="C338" s="23"/>
      <c r="D338" s="23"/>
      <c r="E338" s="23"/>
      <c r="F338" s="23"/>
      <c r="G338" s="23"/>
      <c r="H338" s="24"/>
      <c r="I338" s="23"/>
      <c r="J338" s="23"/>
      <c r="K338" s="24"/>
    </row>
    <row r="339" spans="1:11" ht="12.95">
      <c r="A339" s="23"/>
      <c r="B339" s="23"/>
      <c r="C339" s="23"/>
      <c r="D339" s="23"/>
      <c r="E339" s="23"/>
      <c r="F339" s="23"/>
      <c r="G339" s="23"/>
      <c r="H339" s="24"/>
      <c r="I339" s="23"/>
      <c r="J339" s="23"/>
      <c r="K339" s="24"/>
    </row>
    <row r="340" spans="1:11" ht="12.95">
      <c r="A340" s="23"/>
      <c r="B340" s="23"/>
      <c r="C340" s="23"/>
      <c r="D340" s="23"/>
      <c r="E340" s="23"/>
      <c r="F340" s="23"/>
      <c r="G340" s="23"/>
      <c r="H340" s="24"/>
      <c r="I340" s="23"/>
      <c r="J340" s="23"/>
      <c r="K340" s="24"/>
    </row>
    <row r="341" spans="1:11" ht="12.95">
      <c r="A341" s="23"/>
      <c r="B341" s="23"/>
      <c r="C341" s="23"/>
      <c r="D341" s="23"/>
      <c r="E341" s="23"/>
      <c r="F341" s="23"/>
      <c r="G341" s="23"/>
      <c r="H341" s="24"/>
      <c r="I341" s="23"/>
      <c r="J341" s="23"/>
      <c r="K341" s="24"/>
    </row>
    <row r="342" spans="1:11" ht="12.95">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4" priority="1" stopIfTrue="1" operator="lessThanOrEqual">
      <formula>-0.1</formula>
    </cfRule>
    <cfRule type="expression" dxfId="33"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3" activePane="bottomLeft" state="frozen"/>
      <selection pane="bottomLeft" activeCell="E26" sqref="E26"/>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32" t="str" cm="1">
        <f t="array" ref="A1">portfolio</f>
        <v>CITI</v>
      </c>
      <c r="B1" s="132"/>
      <c r="C1" s="132"/>
      <c r="D1" s="76" t="s">
        <v>0</v>
      </c>
      <c r="E1" s="76" t="s">
        <v>1</v>
      </c>
      <c r="F1" s="133" t="s">
        <v>14</v>
      </c>
      <c r="G1" s="133"/>
      <c r="H1" s="133"/>
      <c r="I1" s="131" t="s">
        <v>15</v>
      </c>
      <c r="J1" s="131"/>
      <c r="K1" s="131"/>
    </row>
    <row r="2" spans="1:14" ht="19.5" customHeight="1">
      <c r="A2" s="134" t="s">
        <v>4</v>
      </c>
      <c r="B2" s="134"/>
      <c r="C2" s="6">
        <f>SUM(C4:C99)</f>
        <v>8281607.71</v>
      </c>
      <c r="D2" s="6">
        <f>SUM(D4:D22)</f>
        <v>7975892.5499999989</v>
      </c>
      <c r="E2" s="7">
        <f>C2/D2</f>
        <v>1.038329899517014</v>
      </c>
      <c r="F2" s="6">
        <f>SUM(D4:D99)</f>
        <v>7975892.5499999989</v>
      </c>
      <c r="G2" s="6">
        <f>C2-F2</f>
        <v>305715.16000000108</v>
      </c>
      <c r="H2" s="7">
        <f>IFERROR(G2/F2, 0)</f>
        <v>3.8329899517014071E-2</v>
      </c>
      <c r="I2" s="6">
        <f>SUM(G4:G99)</f>
        <v>615985.16199999978</v>
      </c>
      <c r="J2" s="8">
        <f>C2-I2</f>
        <v>7665622.5480000004</v>
      </c>
      <c r="K2" s="7">
        <f>IFERROR(J2/I2, 0)</f>
        <v>12.444492206778193</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231100.75</v>
      </c>
      <c r="D4" s="123">
        <f>SUM(Apr!D4,May!D4,Jun!D4)</f>
        <v>216346.11</v>
      </c>
      <c r="E4" s="79">
        <f>C4/D4</f>
        <v>1.0681992387106014</v>
      </c>
      <c r="F4" s="14">
        <f>SUM(Apr!F4, May!F4, Jun!G4)</f>
        <v>220131</v>
      </c>
      <c r="G4" s="14">
        <f t="shared" ref="G4:G22" si="0">IF(AND(ISNUMBER(C4),ISNUMBER(F4)), C4-F4, "")</f>
        <v>10969.75</v>
      </c>
      <c r="H4" s="15">
        <f>IFERROR(G4/F4, "")</f>
        <v>4.9832826816759108E-2</v>
      </c>
      <c r="I4" s="16">
        <f>SUM(Apr!I4+May!I4+Jun!J4)</f>
        <v>229737.815</v>
      </c>
      <c r="J4" s="16">
        <f>SUM(Apr!J4, May!J4, Jun!K4)</f>
        <v>1362.9349999999977</v>
      </c>
      <c r="K4" s="17">
        <f>IFERROR(J4/I4, "")</f>
        <v>5.9325670873991623E-3</v>
      </c>
    </row>
    <row r="5" spans="1:14" ht="15.6">
      <c r="A5" s="19" t="str">
        <v>CA: Antioch MC CUP - Citi</v>
      </c>
      <c r="B5" s="11" t="str">
        <v>CA</v>
      </c>
      <c r="C5" s="12">
        <f>SUM(Apr!C5, May!C5, Jun!C5)</f>
        <v>759648</v>
      </c>
      <c r="D5" s="12">
        <f>SUM(Apr!D5,May!D5,Jun!D5)</f>
        <v>737990.88</v>
      </c>
      <c r="E5" s="80">
        <f t="shared" ref="E5:E22" si="1">C5/D5</f>
        <v>1.0293460537073305</v>
      </c>
      <c r="F5" s="20">
        <f>SUM(Apr!F5, May!F5, Jun!G5)</f>
        <v>753268</v>
      </c>
      <c r="G5" s="20">
        <f t="shared" si="0"/>
        <v>6380</v>
      </c>
      <c r="H5" s="21">
        <f>IFERROR(G5/F5, "")</f>
        <v>8.469761094324995E-3</v>
      </c>
      <c r="I5" s="22">
        <f>SUM(Apr!I5+May!I5+Jun!J5)</f>
        <v>771667.68400000001</v>
      </c>
      <c r="J5" s="22">
        <f>SUM(Apr!J5, May!J5, Jun!K5)</f>
        <v>-12019.683999999979</v>
      </c>
      <c r="K5" s="21">
        <f>IFERROR(J5/I5, "")</f>
        <v>-1.5576243827777008E-2</v>
      </c>
    </row>
    <row r="6" spans="1:14" ht="15.6">
      <c r="A6" s="13" t="str">
        <v>CA: Clovis - Citi</v>
      </c>
      <c r="B6" s="10" t="str">
        <v>CA</v>
      </c>
      <c r="C6" s="26">
        <f>SUM(Apr!C6, May!C6, Jun!C6)</f>
        <v>314798.25</v>
      </c>
      <c r="D6" s="123">
        <f>SUM(Apr!D6,May!D6,Jun!D6)</f>
        <v>319928.5</v>
      </c>
      <c r="E6" s="79">
        <f t="shared" si="1"/>
        <v>0.98396438579245049</v>
      </c>
      <c r="F6" s="14">
        <f>SUM(Apr!F6, May!F6, Jun!G6)</f>
        <v>201995</v>
      </c>
      <c r="G6" s="14">
        <f t="shared" si="0"/>
        <v>112803.25</v>
      </c>
      <c r="H6" s="15">
        <f t="shared" ref="H6:H15" si="2">IFERROR(G6/F6, "")</f>
        <v>0.55844575360776261</v>
      </c>
      <c r="I6" s="16">
        <f>SUM(Apr!I6+May!I6+Jun!J6)</f>
        <v>134885.361</v>
      </c>
      <c r="J6" s="16">
        <f>SUM(Apr!J6, May!J6, Jun!K6)</f>
        <v>179912.889</v>
      </c>
      <c r="K6" s="17">
        <f t="shared" ref="K6:K15" si="3">IFERROR(J6/I6, "")</f>
        <v>1.3338207175795749</v>
      </c>
    </row>
    <row r="7" spans="1:14" ht="15.6">
      <c r="A7" s="19" t="str">
        <v>CA: Elk Grove MOB - Citi</v>
      </c>
      <c r="B7" s="11" t="str">
        <v>CA</v>
      </c>
      <c r="C7" s="12">
        <f>SUM(Apr!C7, May!C7, Jun!C7)</f>
        <v>488764.5</v>
      </c>
      <c r="D7" s="12">
        <f>SUM(Apr!D7,May!D7,Jun!D7)</f>
        <v>508752.5</v>
      </c>
      <c r="E7" s="80">
        <f t="shared" si="1"/>
        <v>0.96071174097424583</v>
      </c>
      <c r="F7" s="20">
        <f>SUM(Apr!F7, May!F7, Jun!G7)</f>
        <v>511707</v>
      </c>
      <c r="G7" s="20">
        <f t="shared" si="0"/>
        <v>-22942.5</v>
      </c>
      <c r="H7" s="21">
        <f t="shared" si="2"/>
        <v>-4.4835227972257564E-2</v>
      </c>
      <c r="I7" s="22">
        <f>SUM(Apr!I7+May!I7+Jun!J7)</f>
        <v>522169.20299999998</v>
      </c>
      <c r="J7" s="22">
        <f>SUM(Apr!J7, May!J7, Jun!K7)</f>
        <v>-33404.703000000009</v>
      </c>
      <c r="K7" s="21">
        <f t="shared" si="3"/>
        <v>-6.3972947481546527E-2</v>
      </c>
      <c r="N7" s="116"/>
    </row>
    <row r="8" spans="1:14" ht="15.6">
      <c r="A8" s="13" t="str">
        <v>CA: Elk Grove Promenade - Citi</v>
      </c>
      <c r="B8" s="10" t="str">
        <v>CA</v>
      </c>
      <c r="C8" s="26">
        <f>SUM(Apr!C8, May!C8, Jun!C8)</f>
        <v>264966</v>
      </c>
      <c r="D8" s="123">
        <f>SUM(Apr!D8,May!D8,Jun!D8)</f>
        <v>268413</v>
      </c>
      <c r="E8" s="79">
        <f t="shared" si="1"/>
        <v>0.98715785002961853</v>
      </c>
      <c r="F8" s="14">
        <f>SUM(Apr!F8, May!F8, Jun!G8)</f>
        <v>267177.63300000003</v>
      </c>
      <c r="G8" s="14">
        <f t="shared" si="0"/>
        <v>-2211.6330000000307</v>
      </c>
      <c r="H8" s="15">
        <f t="shared" si="2"/>
        <v>-8.2777625326145108E-3</v>
      </c>
      <c r="I8" s="16">
        <f>SUM(Apr!I8+May!I8+Jun!J8)</f>
        <v>273996.95500000002</v>
      </c>
      <c r="J8" s="16">
        <f>SUM(Apr!J8, May!J8, Jun!K8)</f>
        <v>-9030.9550000000017</v>
      </c>
      <c r="K8" s="17">
        <f t="shared" si="3"/>
        <v>-3.2960056070696117E-2</v>
      </c>
    </row>
    <row r="9" spans="1:14" ht="15.6">
      <c r="A9" s="19" t="str">
        <v>CA: Fresno Sequioa - Citi</v>
      </c>
      <c r="B9" s="11" t="str">
        <v>CA</v>
      </c>
      <c r="C9" s="12">
        <f>SUM(Apr!C9, May!C9, Jun!C9)</f>
        <v>516338</v>
      </c>
      <c r="D9" s="12">
        <f>SUM(Apr!D9,May!D9,Jun!D9)</f>
        <v>530010.35</v>
      </c>
      <c r="E9" s="80">
        <f t="shared" si="1"/>
        <v>0.97420361696710267</v>
      </c>
      <c r="F9" s="20">
        <f>SUM(Apr!F9, May!F9, Jun!G9)</f>
        <v>532329</v>
      </c>
      <c r="G9" s="20">
        <f t="shared" si="0"/>
        <v>-15991</v>
      </c>
      <c r="H9" s="21">
        <f t="shared" si="2"/>
        <v>-3.0039693497818078E-2</v>
      </c>
      <c r="I9" s="22">
        <f>SUM(Apr!I9+May!I9+Jun!J9)</f>
        <v>538945.80900000001</v>
      </c>
      <c r="J9" s="22">
        <f>SUM(Apr!J9, May!J9, Jun!K9)</f>
        <v>-22607.808999999979</v>
      </c>
      <c r="K9" s="21">
        <f t="shared" si="3"/>
        <v>-4.1948204480795913E-2</v>
      </c>
    </row>
    <row r="10" spans="1:14" ht="15.6">
      <c r="A10" s="13" t="str">
        <v>CA: Fresno MOB - Citi</v>
      </c>
      <c r="B10" s="10" t="str">
        <v>CA</v>
      </c>
      <c r="C10" s="26">
        <f>SUM(Apr!C10, May!C10, Jun!C10)</f>
        <v>188291.37</v>
      </c>
      <c r="D10" s="123">
        <f>SUM(Apr!D10,May!D10,Jun!D10)</f>
        <v>214895.16999999998</v>
      </c>
      <c r="E10" s="79">
        <f t="shared" si="1"/>
        <v>0.87620103327589915</v>
      </c>
      <c r="F10" s="14">
        <f>SUM(Apr!F10, May!F10, Jun!G10)</f>
        <v>214658</v>
      </c>
      <c r="G10" s="14">
        <f t="shared" si="0"/>
        <v>-26366.630000000005</v>
      </c>
      <c r="H10" s="15">
        <f t="shared" si="2"/>
        <v>-0.12283087515955615</v>
      </c>
      <c r="I10" s="16">
        <f>SUM(Apr!I10+May!I10+Jun!J10)</f>
        <v>200642.04800000001</v>
      </c>
      <c r="J10" s="16">
        <f>SUM(Apr!J10, May!J10, Jun!K10)</f>
        <v>-12350.678</v>
      </c>
      <c r="K10" s="17">
        <f t="shared" si="3"/>
        <v>-6.1555781169059832E-2</v>
      </c>
    </row>
    <row r="11" spans="1:14" ht="15.6">
      <c r="A11" s="19" t="str">
        <v>CA: Modesto Bangs - Citi</v>
      </c>
      <c r="B11" s="11" t="str">
        <v>CA</v>
      </c>
      <c r="C11" s="12">
        <f>SUM(Apr!C11, May!C11, Jun!C11)</f>
        <v>131376.88</v>
      </c>
      <c r="D11" s="12">
        <f>SUM(Apr!D11,May!D11,Jun!D11)</f>
        <v>153672.21</v>
      </c>
      <c r="E11" s="80">
        <f t="shared" si="1"/>
        <v>0.85491631831155424</v>
      </c>
      <c r="F11" s="20">
        <f>SUM(Apr!F11, May!F11, Jun!G11)</f>
        <v>98493</v>
      </c>
      <c r="G11" s="20">
        <f>IF(AND(ISNUMBER(C11),ISNUMBER(F11)), C11-F11, "")</f>
        <v>32883.880000000005</v>
      </c>
      <c r="H11" s="21">
        <f t="shared" si="2"/>
        <v>0.3338702242798981</v>
      </c>
      <c r="I11" s="22">
        <f>SUM(Apr!I11+May!I11+Jun!J11)</f>
        <v>62537.353000000003</v>
      </c>
      <c r="J11" s="22">
        <f>SUM(Apr!J11, May!J11, Jun!K11)</f>
        <v>68839.527000000002</v>
      </c>
      <c r="K11" s="21">
        <f t="shared" si="3"/>
        <v>1.1007745562879836</v>
      </c>
    </row>
    <row r="12" spans="1:14" ht="15.6">
      <c r="A12" s="13" t="str">
        <v>CA: Napa Data Center - Citi</v>
      </c>
      <c r="B12" s="10" t="str">
        <v>CA</v>
      </c>
      <c r="C12" s="26">
        <f>SUM(Apr!C12, May!C12, Jun!C12)</f>
        <v>135351.37</v>
      </c>
      <c r="D12" s="123">
        <f>SUM(Apr!D12,May!D12,Jun!D12)</f>
        <v>153580.82</v>
      </c>
      <c r="E12" s="79">
        <f t="shared" si="1"/>
        <v>0.88130386333397615</v>
      </c>
      <c r="F12" s="14">
        <f>SUM(Apr!F12, May!F12, Jun!G12)</f>
        <v>151677</v>
      </c>
      <c r="G12" s="14">
        <f t="shared" si="0"/>
        <v>-16325.630000000005</v>
      </c>
      <c r="H12" s="15">
        <f t="shared" si="2"/>
        <v>-0.1076341831655426</v>
      </c>
      <c r="I12" s="16">
        <f>SUM(Apr!I12+May!I12+Jun!J12)</f>
        <v>154637.39600000001</v>
      </c>
      <c r="J12" s="16">
        <f>SUM(Apr!J12, May!J12, Jun!K12)</f>
        <v>-19286.025999999998</v>
      </c>
      <c r="K12" s="17">
        <f t="shared" si="3"/>
        <v>-0.12471773645231324</v>
      </c>
    </row>
    <row r="13" spans="1:14" ht="15.6">
      <c r="A13" s="19" t="str">
        <v>CA: Petaluma MOB - Citi</v>
      </c>
      <c r="B13" s="11" t="str">
        <v>CA</v>
      </c>
      <c r="C13" s="12">
        <f>SUM(Apr!C13, May!C13, Jun!C13)</f>
        <v>305358.5</v>
      </c>
      <c r="D13" s="12">
        <f>SUM(Apr!D13,May!D13,Jun!D13)</f>
        <v>353186.27</v>
      </c>
      <c r="E13" s="80">
        <f t="shared" si="1"/>
        <v>0.86458202353109592</v>
      </c>
      <c r="F13" s="20">
        <f>SUM(Apr!F13, May!F13, Jun!G13)</f>
        <v>231715</v>
      </c>
      <c r="G13" s="20">
        <f t="shared" si="0"/>
        <v>73643.5</v>
      </c>
      <c r="H13" s="21">
        <f t="shared" si="2"/>
        <v>0.31781930388623958</v>
      </c>
      <c r="I13" s="22">
        <f>SUM(Apr!I13+May!I13+Jun!J13)</f>
        <v>174401.52600000001</v>
      </c>
      <c r="J13" s="22">
        <f>SUM(Apr!J13, May!J13, Jun!K13)</f>
        <v>130956.97399999999</v>
      </c>
      <c r="K13" s="21">
        <f t="shared" si="3"/>
        <v>0.75089350995701709</v>
      </c>
    </row>
    <row r="14" spans="1:14" ht="15.6">
      <c r="A14" s="13" t="str">
        <v>CA: Pleasanton Tec Ctr - Citi</v>
      </c>
      <c r="B14" s="10" t="str">
        <v>CA</v>
      </c>
      <c r="C14" s="26">
        <f>SUM(Apr!C14, May!C14, Jun!C14)</f>
        <v>414645.5</v>
      </c>
      <c r="D14" s="123">
        <f>SUM(Apr!D14,May!D14,Jun!D14)</f>
        <v>489521.72</v>
      </c>
      <c r="E14" s="79">
        <f t="shared" si="1"/>
        <v>0.84704208834696859</v>
      </c>
      <c r="F14" s="14">
        <f>SUM(Apr!F14, May!F14, Jun!G14)</f>
        <v>493407</v>
      </c>
      <c r="G14" s="14">
        <f t="shared" si="0"/>
        <v>-78761.5</v>
      </c>
      <c r="H14" s="15">
        <f t="shared" si="2"/>
        <v>-0.15962785286791634</v>
      </c>
      <c r="I14" s="16">
        <f>SUM(Apr!I14+May!I14+Jun!J14)</f>
        <v>495720.62800000003</v>
      </c>
      <c r="J14" s="16">
        <f>SUM(Apr!J14, May!J14, Jun!K14)</f>
        <v>-81075.127999999997</v>
      </c>
      <c r="K14" s="17">
        <f t="shared" si="3"/>
        <v>-0.16355003891425715</v>
      </c>
    </row>
    <row r="15" spans="1:14" ht="15.6">
      <c r="A15" s="19" t="str">
        <v>CA: Rancho Cordova - Citi</v>
      </c>
      <c r="B15" s="11" t="str">
        <v>CA</v>
      </c>
      <c r="C15" s="12">
        <f>SUM(Apr!C15, May!C15, Jun!C15)</f>
        <v>693218</v>
      </c>
      <c r="D15" s="12">
        <f>SUM(Apr!D15,May!D15,Jun!D15)</f>
        <v>678501.17</v>
      </c>
      <c r="E15" s="80">
        <f t="shared" si="1"/>
        <v>1.0216902057810746</v>
      </c>
      <c r="F15" s="20">
        <f>SUM(Apr!F15, May!F15, Jun!G15)</f>
        <v>691844</v>
      </c>
      <c r="G15" s="20">
        <f t="shared" si="0"/>
        <v>1374</v>
      </c>
      <c r="H15" s="21">
        <f t="shared" si="2"/>
        <v>1.9859968432189914E-3</v>
      </c>
      <c r="I15" s="22">
        <f>SUM(Apr!I15+May!I15+Jun!J15)</f>
        <v>712662.47699999996</v>
      </c>
      <c r="J15" s="22">
        <f>SUM(Apr!J15, May!J15, Jun!K15)</f>
        <v>-19444.477000000014</v>
      </c>
      <c r="K15" s="21">
        <f t="shared" si="3"/>
        <v>-2.7284272187098765E-2</v>
      </c>
    </row>
    <row r="16" spans="1:14" ht="15.6">
      <c r="A16" s="13" t="str">
        <v>CA: S Sacramento Wyndham - Citi</v>
      </c>
      <c r="B16" s="10" t="str">
        <v>CA</v>
      </c>
      <c r="C16" s="37">
        <f>SUM(Apr!C16, May!C16, Jun!C16)</f>
        <v>394459.5</v>
      </c>
      <c r="D16" s="123">
        <f>SUM(Apr!D16,May!D16,Jun!D16)</f>
        <v>441074.56</v>
      </c>
      <c r="E16" s="79">
        <f t="shared" si="1"/>
        <v>0.89431478433034084</v>
      </c>
      <c r="F16" s="14">
        <f>SUM(Apr!F16, May!F16, Jun!G16)</f>
        <v>428966</v>
      </c>
      <c r="G16" s="14">
        <f t="shared" si="0"/>
        <v>-34506.5</v>
      </c>
      <c r="H16" s="38">
        <f t="shared" ref="H16:H22" si="4">IFERROR(G16/F16, "")</f>
        <v>-8.0441107220618882E-2</v>
      </c>
      <c r="I16" s="16">
        <f>SUM(Apr!I16+May!I16+Jun!J16)</f>
        <v>432826.63399999996</v>
      </c>
      <c r="J16" s="39">
        <f>SUM(Apr!J16, May!J16, Jun!K16)</f>
        <v>-38367.133999999991</v>
      </c>
      <c r="K16" s="40">
        <f t="shared" ref="K16:K21" si="5">IFERROR(J16/I16, "")</f>
        <v>-8.8643191028766485E-2</v>
      </c>
    </row>
    <row r="17" spans="1:11" ht="15.6">
      <c r="A17" s="19" t="str">
        <v>CA: Sacramento Point West - Citi</v>
      </c>
      <c r="B17" s="11" t="str">
        <v>CA</v>
      </c>
      <c r="C17" s="42">
        <f>SUM(Apr!C17, May!C17, Jun!C17)</f>
        <v>802124</v>
      </c>
      <c r="D17" s="12">
        <f>SUM(Apr!D17,May!D17,Jun!D17)</f>
        <v>842401.5</v>
      </c>
      <c r="E17" s="80">
        <f t="shared" si="1"/>
        <v>0.95218728836546473</v>
      </c>
      <c r="F17" s="20">
        <f>SUM(Apr!F17, May!F17, Jun!G17)</f>
        <v>844998</v>
      </c>
      <c r="G17" s="20">
        <f t="shared" si="0"/>
        <v>-42874</v>
      </c>
      <c r="H17" s="43">
        <f t="shared" si="4"/>
        <v>-5.0738581629779005E-2</v>
      </c>
      <c r="I17" s="22">
        <f>SUM(Apr!I17+May!I17+Jun!J17)</f>
        <v>868540.30099999998</v>
      </c>
      <c r="J17" s="44">
        <f>SUM(Apr!J17, May!J17, Jun!K17)</f>
        <v>-66416.301000000007</v>
      </c>
      <c r="K17" s="43">
        <f t="shared" si="5"/>
        <v>-7.6468876485675019E-2</v>
      </c>
    </row>
    <row r="18" spans="1:11" ht="12.75" customHeight="1">
      <c r="A18" s="13" t="str">
        <v>CA: San Jose FHC - Citi</v>
      </c>
      <c r="B18" s="10" t="str">
        <v>CA</v>
      </c>
      <c r="C18" s="37">
        <f>SUM(Apr!C18, May!C18, Jun!C18)</f>
        <v>151713.5</v>
      </c>
      <c r="D18" s="123">
        <f>SUM(Apr!D18,May!D18,Jun!D18)</f>
        <v>167415.96</v>
      </c>
      <c r="E18" s="79">
        <f t="shared" si="1"/>
        <v>0.90620691121682784</v>
      </c>
      <c r="F18" s="14">
        <f>SUM(Apr!F18, May!F18, Jun!G18)</f>
        <v>169629</v>
      </c>
      <c r="G18" s="14">
        <f t="shared" si="0"/>
        <v>-17915.5</v>
      </c>
      <c r="H18" s="38">
        <f t="shared" si="4"/>
        <v>-0.10561578503675668</v>
      </c>
      <c r="I18" s="16">
        <f>SUM(Apr!I18+May!I18+Jun!J18)</f>
        <v>170017.24799999999</v>
      </c>
      <c r="J18" s="39">
        <f>SUM(Apr!J18, May!J18, Jun!K18)</f>
        <v>-18303.748</v>
      </c>
      <c r="K18" s="40">
        <f t="shared" si="5"/>
        <v>-0.10765818300976146</v>
      </c>
    </row>
    <row r="19" spans="1:11" ht="15.6">
      <c r="A19" s="19" t="str">
        <v>CA: San Jose MOB - Citi</v>
      </c>
      <c r="B19" s="11" t="str">
        <v>CA</v>
      </c>
      <c r="C19" s="42">
        <f>SUM(Apr!C19, May!C19, Jun!C19)</f>
        <v>234883</v>
      </c>
      <c r="D19" s="12">
        <f>SUM(Apr!D19,May!D19,Jun!D19)</f>
        <v>265727.78000000003</v>
      </c>
      <c r="E19" s="80">
        <f t="shared" si="1"/>
        <v>0.88392338956807592</v>
      </c>
      <c r="F19" s="20">
        <f>SUM(Apr!F19, May!F19, Jun!G19)</f>
        <v>271100</v>
      </c>
      <c r="G19" s="20">
        <f t="shared" si="0"/>
        <v>-36217</v>
      </c>
      <c r="H19" s="43">
        <f t="shared" si="4"/>
        <v>-0.13359277019549981</v>
      </c>
      <c r="I19" s="22">
        <f>SUM(Apr!I19+May!I19+Jun!J19)</f>
        <v>275756.74</v>
      </c>
      <c r="J19" s="44">
        <f>SUM(Apr!J19, May!J19, Jun!K19)</f>
        <v>-40873.739999999991</v>
      </c>
      <c r="K19" s="43">
        <f t="shared" si="5"/>
        <v>-0.14822390197969409</v>
      </c>
    </row>
    <row r="20" spans="1:11" ht="15.6">
      <c r="A20" s="13" t="str">
        <v>CA: Selma - Citi</v>
      </c>
      <c r="B20" s="10" t="str">
        <v>CA</v>
      </c>
      <c r="C20" s="37">
        <f>SUM(Apr!C20, May!C20, Jun!C20)</f>
        <v>148096.5</v>
      </c>
      <c r="D20" s="123">
        <f>SUM(Apr!D20,May!D20,Jun!D20)</f>
        <v>162742.39000000001</v>
      </c>
      <c r="E20" s="79">
        <f t="shared" si="1"/>
        <v>0.91000568444398533</v>
      </c>
      <c r="F20" s="14">
        <f>SUM(Apr!F20, May!F20, Jun!G20)</f>
        <v>163395</v>
      </c>
      <c r="G20" s="14">
        <f t="shared" si="0"/>
        <v>-15298.5</v>
      </c>
      <c r="H20" s="38">
        <f t="shared" si="4"/>
        <v>-9.3628936013953917E-2</v>
      </c>
      <c r="I20" s="16">
        <f>SUM(Apr!I20+May!I20+Jun!J20)</f>
        <v>164229.568</v>
      </c>
      <c r="J20" s="39">
        <f>SUM(Apr!J20, May!J20, Jun!K20)</f>
        <v>-16133.067999999999</v>
      </c>
      <c r="K20" s="40">
        <f t="shared" si="5"/>
        <v>-9.8234856222723543E-2</v>
      </c>
    </row>
    <row r="21" spans="1:11" ht="15.6">
      <c r="A21" s="19" t="str">
        <v>CA: Vacaville Hospital</v>
      </c>
      <c r="B21" s="11" t="str">
        <v>CA</v>
      </c>
      <c r="C21" s="42">
        <f>SUM(Apr!C21, May!C21, Jun!C21)</f>
        <v>926498.25</v>
      </c>
      <c r="D21" s="12">
        <f>SUM(Apr!D21,May!D21,Jun!D21)</f>
        <v>1109686.6600000001</v>
      </c>
      <c r="E21" s="80">
        <f t="shared" si="1"/>
        <v>0.83491879590586393</v>
      </c>
      <c r="F21" s="20">
        <f>SUM(Apr!F21, May!F21, Jun!G21)</f>
        <v>1153144</v>
      </c>
      <c r="G21" s="20">
        <f t="shared" si="0"/>
        <v>-226645.75</v>
      </c>
      <c r="H21" s="43">
        <f t="shared" si="4"/>
        <v>-0.1965459214113762</v>
      </c>
      <c r="I21" s="22">
        <f>SUM(Apr!I21+May!I21+Jun!J21)</f>
        <v>1203220.8810000001</v>
      </c>
      <c r="J21" s="44">
        <f>SUM(Apr!J21, May!J21, Jun!K21)</f>
        <v>-276722.63099999999</v>
      </c>
      <c r="K21" s="43">
        <f t="shared" si="5"/>
        <v>-0.2299848975110996</v>
      </c>
    </row>
    <row r="22" spans="1:11" ht="15.6">
      <c r="A22" s="13" t="str">
        <v>CA: Manteca - KP Manteca Hospital</v>
      </c>
      <c r="B22" s="10" t="str">
        <v>CA</v>
      </c>
      <c r="C22" s="37">
        <f>SUM(Apr!C22, May!C22, Jun!C22)</f>
        <v>225844.25</v>
      </c>
      <c r="D22" s="123">
        <f>SUM(Apr!D22,May!D22,Jun!D22)</f>
        <v>362045</v>
      </c>
      <c r="E22" s="79">
        <f t="shared" si="1"/>
        <v>0.62380159924871215</v>
      </c>
      <c r="F22" s="14">
        <f>SUM(Apr!F22, May!F22, Jun!G22)</f>
        <v>265988.91499999998</v>
      </c>
      <c r="G22" s="14">
        <f t="shared" si="0"/>
        <v>-40144.664999999979</v>
      </c>
      <c r="H22" s="38">
        <f t="shared" si="4"/>
        <v>-0.15092608276551669</v>
      </c>
      <c r="I22" s="16">
        <f>SUM(Apr!I22+May!I22+Jun!J22)</f>
        <v>301048.853</v>
      </c>
      <c r="J22" s="39">
        <f>SUM(Apr!J22, May!J22, Jun!K22)</f>
        <v>-75204.603000000003</v>
      </c>
      <c r="K22" s="40">
        <f>IFERROR(J22/I22, "")</f>
        <v>-0.24980863487960209</v>
      </c>
    </row>
    <row r="23" spans="1:11" ht="15.6">
      <c r="A23" s="19" t="str">
        <v>Sacramento - KP South Sacramento HSP</v>
      </c>
      <c r="B23" s="11" t="str">
        <v>CA</v>
      </c>
      <c r="C23" s="42">
        <f>SUM(Apr!C23, May!C23, Jun!C23)</f>
        <v>954131.58999999985</v>
      </c>
      <c r="D23" s="12">
        <f>SUM(Apr!D23,May!D23,Jun!D23)</f>
        <v>0</v>
      </c>
      <c r="E23" s="80" t="str">
        <f>IFERROR(C23/D23, "")</f>
        <v/>
      </c>
      <c r="F23" s="20">
        <f>SUM(Apr!F23, May!F23, Jun!G23)</f>
        <v>0</v>
      </c>
      <c r="G23" s="20">
        <f t="shared" ref="G23" si="6">IF(AND(ISNUMBER(C23),ISNUMBER(F23)), C23-F23, "")</f>
        <v>954131.58999999985</v>
      </c>
      <c r="H23" s="43" t="str">
        <f t="shared" ref="H23" si="7">IFERROR(G23/F23, "")</f>
        <v/>
      </c>
      <c r="I23" s="22">
        <f>SUM(Apr!I23+May!I23+Jun!J23)</f>
        <v>1138845</v>
      </c>
      <c r="J23" s="44">
        <f>SUM(Apr!J23, May!J23, Jun!K23)</f>
        <v>-184713.41000000003</v>
      </c>
      <c r="K23" s="43">
        <f>IFERROR(J23/I23, "")</f>
        <v>-0.1621936347790964</v>
      </c>
    </row>
    <row r="24" spans="1:11" ht="12.95">
      <c r="A24" s="23"/>
      <c r="B24" s="23"/>
      <c r="C24" s="23"/>
      <c r="D24" s="23"/>
      <c r="E24" s="23"/>
      <c r="F24" s="23"/>
      <c r="G24" s="23"/>
      <c r="H24" s="23"/>
      <c r="I24" s="23"/>
    </row>
    <row r="25" spans="1:11" ht="12.95">
      <c r="A25" s="23"/>
      <c r="B25" s="23"/>
      <c r="C25" s="23"/>
      <c r="D25" s="23"/>
      <c r="E25" s="23"/>
      <c r="F25" s="23"/>
      <c r="G25" s="23"/>
      <c r="H25" s="23"/>
      <c r="I25" s="23"/>
    </row>
    <row r="26" spans="1:11" ht="12.95">
      <c r="A26" s="23"/>
      <c r="B26" s="23"/>
      <c r="C26" s="23"/>
      <c r="D26" s="23"/>
      <c r="E26" s="23"/>
      <c r="F26" s="23"/>
      <c r="G26" s="23"/>
      <c r="H26" s="23"/>
      <c r="I26" s="23"/>
    </row>
    <row r="27" spans="1:11" ht="12.95">
      <c r="A27" s="23"/>
      <c r="B27" s="23"/>
      <c r="C27" s="23"/>
      <c r="D27" s="23"/>
      <c r="E27" s="23"/>
      <c r="F27" s="23"/>
      <c r="G27" s="23"/>
      <c r="H27" s="23"/>
      <c r="I27" s="23"/>
    </row>
    <row r="28" spans="1:11" ht="12.95">
      <c r="A28" s="23"/>
      <c r="B28" s="23"/>
      <c r="C28" s="23"/>
      <c r="D28" s="23"/>
      <c r="E28" s="23"/>
      <c r="F28" s="23"/>
      <c r="G28" s="23"/>
      <c r="H28" s="23"/>
      <c r="I28" s="23"/>
    </row>
    <row r="29" spans="1:11" ht="12.95">
      <c r="A29" s="23"/>
      <c r="B29" s="23"/>
      <c r="C29" s="23"/>
      <c r="D29" s="23"/>
      <c r="E29" s="23"/>
      <c r="F29" s="23"/>
      <c r="G29" s="23"/>
      <c r="H29" s="23"/>
      <c r="I29" s="23"/>
    </row>
    <row r="30" spans="1:11" ht="12.95">
      <c r="A30" s="23"/>
      <c r="B30" s="23"/>
      <c r="C30" s="23"/>
      <c r="D30" s="23"/>
      <c r="E30" s="23"/>
      <c r="F30" s="23"/>
      <c r="G30" s="23"/>
      <c r="H30" s="23"/>
      <c r="I30" s="23"/>
    </row>
    <row r="31" spans="1:11" ht="12.95">
      <c r="A31" s="23"/>
      <c r="B31" s="23"/>
      <c r="C31" s="23"/>
      <c r="D31" s="23"/>
      <c r="E31" s="23"/>
      <c r="F31" s="23"/>
      <c r="G31" s="23"/>
      <c r="H31" s="23"/>
      <c r="I31" s="23"/>
    </row>
    <row r="32" spans="1:11" ht="12.95">
      <c r="A32" s="23"/>
      <c r="B32" s="23"/>
      <c r="C32" s="23"/>
      <c r="D32" s="23"/>
      <c r="E32" s="23"/>
      <c r="F32" s="24"/>
      <c r="G32" s="23"/>
      <c r="H32" s="23"/>
      <c r="I32" s="24"/>
    </row>
    <row r="33" spans="1:9" ht="12.95">
      <c r="A33" s="23"/>
      <c r="B33" s="23"/>
      <c r="C33" s="23"/>
      <c r="D33" s="23"/>
      <c r="E33" s="23"/>
      <c r="F33" s="24"/>
      <c r="G33" s="23"/>
      <c r="H33" s="23"/>
      <c r="I33" s="24"/>
    </row>
    <row r="34" spans="1:9" ht="12.95">
      <c r="A34" s="23"/>
      <c r="B34" s="23"/>
      <c r="C34" s="23"/>
      <c r="D34" s="23"/>
      <c r="E34" s="23"/>
      <c r="F34" s="24"/>
      <c r="G34" s="23"/>
      <c r="H34" s="23"/>
      <c r="I34" s="24"/>
    </row>
    <row r="35" spans="1:9" ht="12.95">
      <c r="A35" s="23"/>
      <c r="B35" s="23"/>
      <c r="C35" s="23"/>
      <c r="D35" s="23"/>
      <c r="E35" s="23"/>
      <c r="F35" s="24"/>
      <c r="G35" s="23"/>
      <c r="H35" s="23"/>
      <c r="I35" s="24"/>
    </row>
    <row r="36" spans="1:9" ht="12.95">
      <c r="A36" s="23"/>
      <c r="B36" s="23"/>
      <c r="C36" s="23"/>
      <c r="D36" s="23"/>
      <c r="E36" s="23"/>
      <c r="F36" s="24"/>
      <c r="G36" s="23"/>
      <c r="H36" s="23"/>
      <c r="I36" s="24"/>
    </row>
    <row r="37" spans="1:9" ht="12.95">
      <c r="A37" s="23"/>
      <c r="B37" s="23"/>
      <c r="C37" s="23"/>
      <c r="D37" s="23"/>
      <c r="E37" s="23"/>
      <c r="F37" s="24"/>
      <c r="G37" s="23"/>
      <c r="H37" s="23"/>
      <c r="I37" s="24"/>
    </row>
    <row r="38" spans="1:9" ht="12.95">
      <c r="A38" s="23"/>
      <c r="B38" s="23"/>
      <c r="C38" s="23"/>
      <c r="D38" s="23"/>
      <c r="E38" s="23"/>
      <c r="F38" s="24"/>
      <c r="G38" s="23"/>
      <c r="H38" s="23"/>
      <c r="I38" s="24"/>
    </row>
    <row r="39" spans="1:9" ht="12.95">
      <c r="A39" s="23"/>
      <c r="B39" s="23"/>
      <c r="C39" s="23"/>
      <c r="D39" s="23"/>
      <c r="E39" s="23"/>
      <c r="F39" s="24"/>
      <c r="G39" s="23"/>
      <c r="H39" s="23"/>
      <c r="I39" s="24"/>
    </row>
    <row r="40" spans="1:9" ht="12.95">
      <c r="A40" s="23"/>
      <c r="B40" s="23"/>
      <c r="C40" s="23"/>
      <c r="D40" s="23"/>
      <c r="E40" s="23"/>
      <c r="F40" s="24"/>
      <c r="G40" s="23"/>
      <c r="H40" s="23"/>
      <c r="I40" s="24"/>
    </row>
    <row r="41" spans="1:9" ht="12.95">
      <c r="A41" s="23"/>
      <c r="B41" s="23"/>
      <c r="C41" s="23"/>
      <c r="D41" s="23"/>
      <c r="E41" s="23"/>
      <c r="F41" s="24"/>
      <c r="G41" s="23"/>
      <c r="H41" s="23"/>
      <c r="I41" s="24"/>
    </row>
    <row r="42" spans="1:9" ht="12.95">
      <c r="A42" s="23"/>
      <c r="B42" s="23"/>
      <c r="C42" s="23"/>
      <c r="D42" s="23"/>
      <c r="E42" s="23"/>
      <c r="F42" s="24"/>
      <c r="G42" s="23"/>
      <c r="H42" s="23"/>
      <c r="I42" s="24"/>
    </row>
    <row r="43" spans="1:9" ht="12.95">
      <c r="A43" s="23"/>
      <c r="B43" s="23"/>
      <c r="C43" s="23"/>
      <c r="D43" s="23"/>
      <c r="E43" s="23"/>
      <c r="F43" s="24"/>
      <c r="G43" s="23"/>
      <c r="H43" s="23"/>
      <c r="I43" s="24"/>
    </row>
    <row r="44" spans="1:9" ht="12.95">
      <c r="A44" s="23"/>
      <c r="B44" s="23"/>
      <c r="C44" s="23"/>
      <c r="D44" s="23"/>
      <c r="E44" s="23"/>
      <c r="F44" s="24"/>
      <c r="G44" s="23"/>
      <c r="H44" s="23"/>
      <c r="I44" s="24"/>
    </row>
    <row r="45" spans="1:9" ht="12.95">
      <c r="A45" s="23"/>
      <c r="B45" s="23"/>
      <c r="C45" s="23"/>
      <c r="D45" s="23"/>
      <c r="E45" s="23"/>
      <c r="F45" s="24"/>
      <c r="G45" s="23"/>
      <c r="H45" s="23"/>
      <c r="I45" s="24"/>
    </row>
    <row r="46" spans="1:9" ht="12.95">
      <c r="A46" s="23"/>
      <c r="B46" s="23"/>
      <c r="C46" s="23"/>
      <c r="D46" s="23"/>
      <c r="E46" s="23"/>
      <c r="F46" s="24"/>
      <c r="G46" s="23"/>
      <c r="H46" s="23"/>
      <c r="I46" s="24"/>
    </row>
    <row r="47" spans="1:9" ht="12.95">
      <c r="A47" s="23"/>
      <c r="B47" s="23"/>
      <c r="C47" s="23"/>
      <c r="D47" s="23"/>
      <c r="E47" s="23"/>
      <c r="F47" s="24"/>
      <c r="G47" s="23"/>
      <c r="H47" s="23"/>
      <c r="I47" s="24"/>
    </row>
    <row r="48" spans="1:9" ht="12.95">
      <c r="A48" s="23"/>
      <c r="B48" s="23"/>
      <c r="C48" s="23"/>
      <c r="D48" s="23"/>
      <c r="E48" s="23"/>
      <c r="F48" s="24"/>
      <c r="G48" s="23"/>
      <c r="H48" s="23"/>
      <c r="I48" s="24"/>
    </row>
    <row r="49" spans="1:9" ht="12.95">
      <c r="A49" s="23"/>
      <c r="B49" s="23"/>
      <c r="C49" s="23"/>
      <c r="D49" s="23"/>
      <c r="E49" s="23"/>
      <c r="F49" s="24"/>
      <c r="G49" s="23"/>
      <c r="H49" s="23"/>
      <c r="I49" s="24"/>
    </row>
    <row r="50" spans="1:9" ht="12.95">
      <c r="A50" s="23"/>
      <c r="B50" s="23"/>
      <c r="C50" s="23"/>
      <c r="D50" s="23"/>
      <c r="E50" s="23"/>
      <c r="F50" s="24"/>
      <c r="G50" s="23"/>
      <c r="H50" s="23"/>
      <c r="I50" s="24"/>
    </row>
    <row r="51" spans="1:9" ht="12.95">
      <c r="A51" s="23"/>
      <c r="B51" s="23"/>
      <c r="C51" s="23"/>
      <c r="D51" s="23"/>
      <c r="E51" s="23"/>
      <c r="F51" s="24"/>
      <c r="G51" s="23"/>
      <c r="H51" s="23"/>
      <c r="I51" s="24"/>
    </row>
    <row r="52" spans="1:9" ht="12.95">
      <c r="A52" s="23"/>
      <c r="B52" s="23"/>
      <c r="C52" s="23"/>
      <c r="D52" s="23"/>
      <c r="E52" s="23"/>
      <c r="F52" s="24"/>
      <c r="G52" s="23"/>
      <c r="H52" s="23"/>
      <c r="I52" s="24"/>
    </row>
    <row r="53" spans="1:9" ht="12.95">
      <c r="A53" s="23"/>
      <c r="B53" s="23"/>
      <c r="C53" s="23"/>
      <c r="D53" s="23"/>
      <c r="E53" s="23"/>
      <c r="F53" s="24"/>
      <c r="G53" s="23"/>
      <c r="H53" s="23"/>
      <c r="I53" s="24"/>
    </row>
    <row r="54" spans="1:9" ht="12.95">
      <c r="A54" s="23"/>
      <c r="B54" s="23"/>
      <c r="C54" s="23"/>
      <c r="D54" s="23"/>
      <c r="E54" s="23"/>
      <c r="F54" s="24"/>
      <c r="G54" s="23"/>
      <c r="H54" s="23"/>
      <c r="I54" s="24"/>
    </row>
    <row r="55" spans="1:9" ht="12.95">
      <c r="A55" s="23"/>
      <c r="B55" s="23"/>
      <c r="C55" s="23"/>
      <c r="D55" s="23"/>
      <c r="E55" s="23"/>
      <c r="F55" s="24"/>
      <c r="G55" s="23"/>
      <c r="H55" s="23"/>
      <c r="I55" s="24"/>
    </row>
    <row r="56" spans="1:9" ht="12.95">
      <c r="A56" s="23"/>
      <c r="B56" s="23"/>
      <c r="C56" s="23"/>
      <c r="D56" s="23"/>
      <c r="E56" s="23"/>
      <c r="F56" s="24"/>
      <c r="G56" s="23"/>
      <c r="H56" s="23"/>
      <c r="I56" s="24"/>
    </row>
    <row r="57" spans="1:9" ht="12.95">
      <c r="A57" s="23"/>
      <c r="B57" s="23"/>
      <c r="C57" s="23"/>
      <c r="D57" s="23"/>
      <c r="E57" s="23"/>
      <c r="F57" s="24"/>
      <c r="G57" s="23"/>
      <c r="H57" s="23"/>
      <c r="I57" s="24"/>
    </row>
    <row r="58" spans="1:9" ht="12.95">
      <c r="A58" s="23"/>
      <c r="B58" s="23"/>
      <c r="C58" s="23"/>
      <c r="D58" s="23"/>
      <c r="E58" s="23"/>
      <c r="F58" s="24"/>
      <c r="G58" s="23"/>
      <c r="H58" s="23"/>
      <c r="I58" s="24"/>
    </row>
    <row r="59" spans="1:9" ht="12.95">
      <c r="A59" s="23"/>
      <c r="B59" s="23"/>
      <c r="C59" s="23"/>
      <c r="D59" s="23"/>
      <c r="E59" s="23"/>
      <c r="F59" s="24"/>
      <c r="G59" s="23"/>
      <c r="H59" s="23"/>
      <c r="I59" s="24"/>
    </row>
    <row r="60" spans="1:9" ht="12.95">
      <c r="A60" s="23"/>
      <c r="B60" s="23"/>
      <c r="C60" s="23"/>
      <c r="D60" s="23"/>
      <c r="E60" s="23"/>
      <c r="F60" s="24"/>
      <c r="G60" s="23"/>
      <c r="H60" s="23"/>
      <c r="I60" s="24"/>
    </row>
    <row r="61" spans="1:9" ht="12.95">
      <c r="A61" s="23"/>
      <c r="B61" s="23"/>
      <c r="C61" s="23"/>
      <c r="D61" s="23"/>
      <c r="E61" s="23"/>
      <c r="F61" s="24"/>
      <c r="G61" s="23"/>
      <c r="H61" s="23"/>
      <c r="I61" s="24"/>
    </row>
    <row r="62" spans="1:9" ht="12.95">
      <c r="A62" s="23"/>
      <c r="B62" s="23"/>
      <c r="C62" s="23"/>
      <c r="D62" s="23"/>
      <c r="E62" s="23"/>
      <c r="F62" s="24"/>
      <c r="G62" s="23"/>
      <c r="H62" s="23"/>
      <c r="I62" s="24"/>
    </row>
    <row r="63" spans="1:9" ht="12.95">
      <c r="A63" s="23"/>
      <c r="B63" s="23"/>
      <c r="C63" s="23"/>
      <c r="D63" s="23"/>
      <c r="E63" s="23"/>
      <c r="F63" s="24"/>
      <c r="G63" s="23"/>
      <c r="H63" s="23"/>
      <c r="I63" s="24"/>
    </row>
    <row r="64" spans="1:9" ht="12.95">
      <c r="A64" s="23"/>
      <c r="B64" s="23"/>
      <c r="C64" s="23"/>
      <c r="D64" s="23"/>
      <c r="E64" s="23"/>
      <c r="F64" s="24"/>
      <c r="G64" s="23"/>
      <c r="H64" s="23"/>
      <c r="I64" s="24"/>
    </row>
    <row r="65" spans="1:9" ht="12.95">
      <c r="A65" s="23"/>
      <c r="B65" s="23"/>
      <c r="C65" s="23"/>
      <c r="D65" s="23"/>
      <c r="E65" s="23"/>
      <c r="F65" s="24"/>
      <c r="G65" s="23"/>
      <c r="H65" s="23"/>
      <c r="I65" s="24"/>
    </row>
    <row r="66" spans="1:9" ht="12.95">
      <c r="A66" s="23"/>
      <c r="B66" s="23"/>
      <c r="C66" s="23"/>
      <c r="D66" s="23"/>
      <c r="E66" s="23"/>
      <c r="F66" s="24"/>
      <c r="G66" s="23"/>
      <c r="H66" s="23"/>
      <c r="I66" s="24"/>
    </row>
    <row r="67" spans="1:9" ht="12.95">
      <c r="A67" s="23"/>
      <c r="B67" s="23"/>
      <c r="C67" s="23"/>
      <c r="D67" s="23"/>
      <c r="E67" s="23"/>
      <c r="F67" s="24"/>
      <c r="G67" s="23"/>
      <c r="H67" s="23"/>
      <c r="I67" s="24"/>
    </row>
    <row r="68" spans="1:9" ht="12.95">
      <c r="A68" s="23"/>
      <c r="B68" s="23"/>
      <c r="C68" s="23"/>
      <c r="D68" s="23"/>
      <c r="E68" s="23"/>
      <c r="F68" s="24"/>
      <c r="G68" s="23"/>
      <c r="H68" s="23"/>
      <c r="I68" s="24"/>
    </row>
    <row r="69" spans="1:9" ht="12.95">
      <c r="A69" s="23"/>
      <c r="B69" s="23"/>
      <c r="C69" s="23"/>
      <c r="D69" s="23"/>
      <c r="E69" s="23"/>
      <c r="F69" s="24"/>
      <c r="G69" s="23"/>
      <c r="H69" s="23"/>
      <c r="I69" s="24"/>
    </row>
    <row r="70" spans="1:9" ht="12.95">
      <c r="A70" s="23"/>
      <c r="B70" s="23"/>
      <c r="C70" s="23"/>
      <c r="D70" s="23"/>
      <c r="E70" s="23"/>
      <c r="F70" s="24"/>
      <c r="G70" s="23"/>
      <c r="H70" s="23"/>
      <c r="I70" s="24"/>
    </row>
    <row r="71" spans="1:9" ht="12.95">
      <c r="A71" s="23"/>
      <c r="B71" s="23"/>
      <c r="C71" s="23"/>
      <c r="D71" s="23"/>
      <c r="E71" s="23"/>
      <c r="F71" s="24"/>
      <c r="G71" s="23"/>
      <c r="H71" s="23"/>
      <c r="I71" s="24"/>
    </row>
    <row r="72" spans="1:9" ht="12.95">
      <c r="A72" s="23"/>
      <c r="B72" s="23"/>
      <c r="C72" s="23"/>
      <c r="D72" s="23"/>
      <c r="E72" s="23"/>
      <c r="F72" s="24"/>
      <c r="G72" s="23"/>
      <c r="H72" s="23"/>
      <c r="I72" s="24"/>
    </row>
    <row r="73" spans="1:9" ht="12.95">
      <c r="A73" s="23"/>
      <c r="B73" s="23"/>
      <c r="C73" s="23"/>
      <c r="D73" s="23"/>
      <c r="E73" s="23"/>
      <c r="F73" s="24"/>
      <c r="G73" s="23"/>
      <c r="H73" s="23"/>
      <c r="I73" s="24"/>
    </row>
    <row r="74" spans="1:9" ht="12.95">
      <c r="A74" s="23"/>
      <c r="B74" s="23"/>
      <c r="C74" s="23"/>
      <c r="D74" s="23"/>
      <c r="E74" s="23"/>
      <c r="F74" s="24"/>
      <c r="G74" s="23"/>
      <c r="H74" s="23"/>
      <c r="I74" s="24"/>
    </row>
    <row r="75" spans="1:9" ht="12.95">
      <c r="A75" s="23"/>
      <c r="B75" s="23"/>
      <c r="C75" s="23"/>
      <c r="D75" s="23"/>
      <c r="E75" s="23"/>
      <c r="F75" s="24"/>
      <c r="G75" s="23"/>
      <c r="H75" s="23"/>
      <c r="I75" s="24"/>
    </row>
    <row r="76" spans="1:9" ht="12.95">
      <c r="A76" s="23"/>
      <c r="B76" s="23"/>
      <c r="C76" s="23"/>
      <c r="D76" s="23"/>
      <c r="E76" s="23"/>
      <c r="F76" s="24"/>
      <c r="G76" s="23"/>
      <c r="H76" s="23"/>
      <c r="I76" s="24"/>
    </row>
    <row r="77" spans="1:9" ht="12.95">
      <c r="A77" s="23"/>
      <c r="B77" s="23"/>
      <c r="C77" s="23"/>
      <c r="D77" s="23"/>
      <c r="E77" s="23"/>
      <c r="F77" s="24"/>
      <c r="G77" s="23"/>
      <c r="H77" s="23"/>
      <c r="I77" s="24"/>
    </row>
    <row r="78" spans="1:9" ht="12.95">
      <c r="A78" s="23"/>
      <c r="B78" s="23"/>
      <c r="C78" s="23"/>
      <c r="D78" s="23"/>
      <c r="E78" s="23"/>
      <c r="F78" s="24"/>
      <c r="G78" s="23"/>
      <c r="H78" s="23"/>
      <c r="I78" s="24"/>
    </row>
    <row r="79" spans="1:9" ht="12.95">
      <c r="A79" s="23"/>
      <c r="B79" s="23"/>
      <c r="C79" s="23"/>
      <c r="D79" s="23"/>
      <c r="E79" s="23"/>
      <c r="F79" s="24"/>
      <c r="G79" s="23"/>
      <c r="H79" s="23"/>
      <c r="I79" s="24"/>
    </row>
    <row r="80" spans="1:9" ht="12.95">
      <c r="A80" s="23"/>
      <c r="B80" s="23"/>
      <c r="C80" s="23"/>
      <c r="D80" s="23"/>
      <c r="E80" s="23"/>
      <c r="F80" s="24"/>
      <c r="G80" s="23"/>
      <c r="H80" s="23"/>
      <c r="I80" s="24"/>
    </row>
    <row r="81" spans="1:9" ht="12.95">
      <c r="A81" s="23"/>
      <c r="B81" s="23"/>
      <c r="C81" s="23"/>
      <c r="D81" s="23"/>
      <c r="E81" s="23"/>
      <c r="F81" s="24"/>
      <c r="G81" s="23"/>
      <c r="H81" s="23"/>
      <c r="I81" s="24"/>
    </row>
    <row r="82" spans="1:9" ht="12.95">
      <c r="A82" s="23"/>
      <c r="B82" s="23"/>
      <c r="C82" s="23"/>
      <c r="D82" s="23"/>
      <c r="E82" s="23"/>
      <c r="F82" s="24"/>
      <c r="G82" s="23"/>
      <c r="H82" s="23"/>
      <c r="I82" s="24"/>
    </row>
    <row r="83" spans="1:9" ht="12.95">
      <c r="A83" s="23"/>
      <c r="B83" s="23"/>
      <c r="C83" s="23"/>
      <c r="D83" s="23"/>
      <c r="E83" s="23"/>
      <c r="F83" s="24"/>
      <c r="G83" s="23"/>
      <c r="H83" s="23"/>
      <c r="I83" s="24"/>
    </row>
    <row r="84" spans="1:9" ht="12.95">
      <c r="A84" s="23"/>
      <c r="B84" s="23"/>
      <c r="C84" s="23"/>
      <c r="D84" s="23"/>
      <c r="E84" s="23"/>
      <c r="F84" s="24"/>
      <c r="G84" s="23"/>
      <c r="H84" s="23"/>
      <c r="I84" s="24"/>
    </row>
    <row r="85" spans="1:9" ht="12.95">
      <c r="A85" s="23"/>
      <c r="B85" s="23"/>
      <c r="C85" s="23"/>
      <c r="D85" s="23"/>
      <c r="E85" s="23"/>
      <c r="F85" s="24"/>
      <c r="G85" s="23"/>
      <c r="H85" s="23"/>
      <c r="I85" s="24"/>
    </row>
    <row r="86" spans="1:9" ht="12.95">
      <c r="A86" s="23"/>
      <c r="B86" s="23"/>
      <c r="C86" s="23"/>
      <c r="D86" s="23"/>
      <c r="E86" s="23"/>
      <c r="F86" s="24"/>
      <c r="G86" s="23"/>
      <c r="H86" s="23"/>
      <c r="I86" s="24"/>
    </row>
    <row r="87" spans="1:9" ht="12.95">
      <c r="A87" s="23"/>
      <c r="B87" s="23"/>
      <c r="C87" s="23"/>
      <c r="D87" s="23"/>
      <c r="E87" s="23"/>
      <c r="F87" s="24"/>
      <c r="G87" s="23"/>
      <c r="H87" s="23"/>
      <c r="I87" s="24"/>
    </row>
    <row r="88" spans="1:9" ht="12.95">
      <c r="A88" s="23"/>
      <c r="B88" s="23"/>
      <c r="C88" s="23"/>
      <c r="D88" s="23"/>
      <c r="E88" s="23"/>
      <c r="F88" s="24"/>
      <c r="G88" s="23"/>
      <c r="H88" s="23"/>
      <c r="I88" s="24"/>
    </row>
    <row r="89" spans="1:9" ht="12.95">
      <c r="A89" s="23"/>
      <c r="B89" s="23"/>
      <c r="C89" s="23"/>
      <c r="D89" s="23"/>
      <c r="E89" s="23"/>
      <c r="F89" s="24"/>
      <c r="G89" s="23"/>
      <c r="H89" s="23"/>
      <c r="I89" s="24"/>
    </row>
    <row r="90" spans="1:9" ht="12.95">
      <c r="A90" s="23"/>
      <c r="B90" s="23"/>
      <c r="C90" s="23"/>
      <c r="D90" s="23"/>
      <c r="E90" s="23"/>
      <c r="F90" s="24"/>
      <c r="G90" s="23"/>
      <c r="H90" s="23"/>
      <c r="I90" s="24"/>
    </row>
    <row r="91" spans="1:9" ht="12.95">
      <c r="A91" s="23"/>
      <c r="B91" s="23"/>
      <c r="C91" s="23"/>
      <c r="D91" s="23"/>
      <c r="E91" s="23"/>
      <c r="F91" s="24"/>
      <c r="G91" s="23"/>
      <c r="H91" s="23"/>
      <c r="I91" s="24"/>
    </row>
    <row r="92" spans="1:9" ht="12.95">
      <c r="A92" s="23"/>
      <c r="B92" s="23"/>
      <c r="C92" s="23"/>
      <c r="D92" s="23"/>
      <c r="E92" s="23"/>
      <c r="F92" s="24"/>
      <c r="G92" s="23"/>
      <c r="H92" s="23"/>
      <c r="I92" s="24"/>
    </row>
    <row r="93" spans="1:9" ht="12.95">
      <c r="A93" s="23"/>
      <c r="B93" s="23"/>
      <c r="C93" s="23"/>
      <c r="D93" s="23"/>
      <c r="E93" s="23"/>
      <c r="F93" s="24"/>
      <c r="G93" s="23"/>
      <c r="H93" s="23"/>
      <c r="I93" s="24"/>
    </row>
    <row r="94" spans="1:9" ht="12.95">
      <c r="A94" s="23"/>
      <c r="B94" s="23"/>
      <c r="C94" s="23"/>
      <c r="D94" s="23"/>
      <c r="E94" s="23"/>
      <c r="F94" s="24"/>
      <c r="G94" s="23"/>
      <c r="H94" s="23"/>
      <c r="I94" s="24"/>
    </row>
    <row r="95" spans="1:9" ht="12.95">
      <c r="A95" s="23"/>
      <c r="B95" s="23"/>
      <c r="C95" s="23"/>
      <c r="D95" s="23"/>
      <c r="E95" s="23"/>
      <c r="F95" s="24"/>
      <c r="G95" s="23"/>
      <c r="H95" s="23"/>
      <c r="I95" s="24"/>
    </row>
    <row r="96" spans="1:9" ht="12.95">
      <c r="A96" s="23"/>
      <c r="B96" s="23"/>
      <c r="C96" s="23"/>
      <c r="D96" s="23"/>
      <c r="E96" s="23"/>
      <c r="F96" s="24"/>
      <c r="G96" s="23"/>
      <c r="H96" s="23"/>
      <c r="I96" s="24"/>
    </row>
    <row r="97" spans="1:9" ht="12.95">
      <c r="A97" s="23"/>
      <c r="B97" s="23"/>
      <c r="C97" s="23"/>
      <c r="D97" s="23"/>
      <c r="E97" s="23"/>
      <c r="F97" s="24"/>
      <c r="G97" s="23"/>
      <c r="H97" s="23"/>
      <c r="I97" s="24"/>
    </row>
    <row r="98" spans="1:9" ht="12.95">
      <c r="A98" s="23"/>
      <c r="B98" s="23"/>
      <c r="C98" s="23"/>
      <c r="D98" s="23"/>
      <c r="E98" s="23"/>
      <c r="F98" s="24"/>
      <c r="G98" s="23"/>
      <c r="H98" s="23"/>
      <c r="I98" s="24"/>
    </row>
    <row r="99" spans="1:9" ht="12.95">
      <c r="A99" s="23"/>
      <c r="B99" s="23"/>
      <c r="C99" s="23"/>
      <c r="D99" s="23"/>
      <c r="E99" s="23"/>
      <c r="F99" s="24"/>
      <c r="G99" s="23"/>
      <c r="H99" s="23"/>
      <c r="I99" s="24"/>
    </row>
    <row r="100" spans="1:9" ht="12.95">
      <c r="A100" s="23"/>
      <c r="B100" s="23"/>
      <c r="C100" s="23"/>
      <c r="D100" s="23"/>
      <c r="E100" s="23"/>
      <c r="F100" s="24"/>
      <c r="G100" s="23"/>
      <c r="H100" s="23"/>
      <c r="I100" s="24"/>
    </row>
    <row r="101" spans="1:9" ht="12.95">
      <c r="A101" s="23"/>
      <c r="B101" s="23"/>
      <c r="C101" s="23"/>
      <c r="D101" s="23"/>
      <c r="E101" s="23"/>
      <c r="F101" s="24"/>
      <c r="G101" s="23"/>
      <c r="H101" s="23"/>
      <c r="I101" s="24"/>
    </row>
    <row r="102" spans="1:9" ht="12.95">
      <c r="A102" s="23"/>
      <c r="B102" s="23"/>
      <c r="C102" s="23"/>
      <c r="D102" s="23"/>
      <c r="E102" s="23"/>
      <c r="F102" s="24"/>
      <c r="G102" s="23"/>
      <c r="H102" s="23"/>
      <c r="I102" s="24"/>
    </row>
    <row r="103" spans="1:9" ht="12.95">
      <c r="A103" s="23"/>
      <c r="B103" s="23"/>
      <c r="C103" s="23"/>
      <c r="D103" s="23"/>
      <c r="E103" s="23"/>
      <c r="F103" s="24"/>
      <c r="G103" s="23"/>
      <c r="H103" s="23"/>
      <c r="I103" s="24"/>
    </row>
    <row r="104" spans="1:9" ht="12.95">
      <c r="A104" s="23"/>
      <c r="B104" s="23"/>
      <c r="C104" s="23"/>
      <c r="D104" s="23"/>
      <c r="E104" s="23"/>
      <c r="F104" s="24"/>
      <c r="G104" s="23"/>
      <c r="H104" s="23"/>
      <c r="I104" s="24"/>
    </row>
    <row r="105" spans="1:9" ht="12.95">
      <c r="A105" s="23"/>
      <c r="B105" s="23"/>
      <c r="C105" s="23"/>
      <c r="D105" s="23"/>
      <c r="E105" s="23"/>
      <c r="F105" s="24"/>
      <c r="G105" s="23"/>
      <c r="H105" s="23"/>
      <c r="I105" s="24"/>
    </row>
    <row r="106" spans="1:9" ht="12.95">
      <c r="A106" s="23"/>
      <c r="B106" s="23"/>
      <c r="C106" s="23"/>
      <c r="D106" s="23"/>
      <c r="E106" s="23"/>
      <c r="F106" s="24"/>
      <c r="G106" s="23"/>
      <c r="H106" s="23"/>
      <c r="I106" s="24"/>
    </row>
    <row r="107" spans="1:9" ht="12.95">
      <c r="A107" s="23"/>
      <c r="B107" s="23"/>
      <c r="C107" s="23"/>
      <c r="D107" s="23"/>
      <c r="E107" s="23"/>
      <c r="F107" s="24"/>
      <c r="G107" s="23"/>
      <c r="H107" s="23"/>
      <c r="I107" s="24"/>
    </row>
    <row r="108" spans="1:9" ht="12.95">
      <c r="A108" s="23"/>
      <c r="B108" s="23"/>
      <c r="C108" s="23"/>
      <c r="D108" s="23"/>
      <c r="E108" s="23"/>
      <c r="F108" s="24"/>
      <c r="G108" s="23"/>
      <c r="H108" s="23"/>
      <c r="I108" s="24"/>
    </row>
    <row r="109" spans="1:9" ht="12.95">
      <c r="A109" s="23"/>
      <c r="B109" s="23"/>
      <c r="C109" s="23"/>
      <c r="D109" s="23"/>
      <c r="E109" s="23"/>
      <c r="F109" s="24"/>
      <c r="G109" s="23"/>
      <c r="H109" s="23"/>
      <c r="I109" s="24"/>
    </row>
    <row r="110" spans="1:9" ht="12.95">
      <c r="A110" s="23"/>
      <c r="B110" s="23"/>
      <c r="C110" s="23"/>
      <c r="D110" s="23"/>
      <c r="E110" s="23"/>
      <c r="F110" s="24"/>
      <c r="G110" s="23"/>
      <c r="H110" s="23"/>
      <c r="I110" s="24"/>
    </row>
    <row r="111" spans="1:9" ht="12.95">
      <c r="A111" s="23"/>
      <c r="B111" s="23"/>
      <c r="C111" s="23"/>
      <c r="D111" s="23"/>
      <c r="E111" s="23"/>
      <c r="F111" s="24"/>
      <c r="G111" s="23"/>
      <c r="H111" s="23"/>
      <c r="I111" s="24"/>
    </row>
    <row r="112" spans="1:9" ht="12.95">
      <c r="A112" s="23"/>
      <c r="B112" s="23"/>
      <c r="C112" s="23"/>
      <c r="D112" s="23"/>
      <c r="E112" s="23"/>
      <c r="F112" s="24"/>
      <c r="G112" s="23"/>
      <c r="H112" s="23"/>
      <c r="I112" s="24"/>
    </row>
    <row r="113" spans="1:9" ht="12.95">
      <c r="A113" s="23"/>
      <c r="B113" s="23"/>
      <c r="C113" s="23"/>
      <c r="D113" s="23"/>
      <c r="E113" s="23"/>
      <c r="F113" s="24"/>
      <c r="G113" s="23"/>
      <c r="H113" s="23"/>
      <c r="I113" s="24"/>
    </row>
    <row r="114" spans="1:9" ht="12.95">
      <c r="A114" s="23"/>
      <c r="B114" s="23"/>
      <c r="C114" s="23"/>
      <c r="D114" s="23"/>
      <c r="E114" s="23"/>
      <c r="F114" s="24"/>
      <c r="G114" s="23"/>
      <c r="H114" s="23"/>
      <c r="I114" s="24"/>
    </row>
    <row r="115" spans="1:9" ht="12.95">
      <c r="A115" s="23"/>
      <c r="B115" s="23"/>
      <c r="C115" s="23"/>
      <c r="D115" s="23"/>
      <c r="E115" s="23"/>
      <c r="F115" s="24"/>
      <c r="G115" s="23"/>
      <c r="H115" s="23"/>
      <c r="I115" s="24"/>
    </row>
    <row r="116" spans="1:9" ht="12.95">
      <c r="A116" s="23"/>
      <c r="B116" s="23"/>
      <c r="C116" s="23"/>
      <c r="D116" s="23"/>
      <c r="E116" s="23"/>
      <c r="F116" s="24"/>
      <c r="G116" s="23"/>
      <c r="H116" s="23"/>
      <c r="I116" s="24"/>
    </row>
    <row r="117" spans="1:9" ht="12.95">
      <c r="A117" s="23"/>
      <c r="B117" s="23"/>
      <c r="C117" s="23"/>
      <c r="D117" s="23"/>
      <c r="E117" s="23"/>
      <c r="F117" s="24"/>
      <c r="G117" s="23"/>
      <c r="H117" s="23"/>
      <c r="I117" s="24"/>
    </row>
    <row r="118" spans="1:9" ht="12.95">
      <c r="A118" s="23"/>
      <c r="B118" s="23"/>
      <c r="C118" s="23"/>
      <c r="D118" s="23"/>
      <c r="E118" s="23"/>
      <c r="F118" s="24"/>
      <c r="G118" s="23"/>
      <c r="H118" s="23"/>
      <c r="I118" s="24"/>
    </row>
    <row r="119" spans="1:9" ht="12.95">
      <c r="A119" s="23"/>
      <c r="B119" s="23"/>
      <c r="C119" s="23"/>
      <c r="D119" s="23"/>
      <c r="E119" s="23"/>
      <c r="F119" s="24"/>
      <c r="G119" s="23"/>
      <c r="H119" s="23"/>
      <c r="I119" s="24"/>
    </row>
    <row r="120" spans="1:9" ht="12.95">
      <c r="A120" s="23"/>
      <c r="B120" s="23"/>
      <c r="C120" s="23"/>
      <c r="D120" s="23"/>
      <c r="E120" s="23"/>
      <c r="F120" s="24"/>
      <c r="G120" s="23"/>
      <c r="H120" s="23"/>
      <c r="I120" s="24"/>
    </row>
    <row r="121" spans="1:9" ht="12.95">
      <c r="A121" s="23"/>
      <c r="B121" s="23"/>
      <c r="C121" s="23"/>
      <c r="D121" s="23"/>
      <c r="E121" s="23"/>
      <c r="F121" s="24"/>
      <c r="G121" s="23"/>
      <c r="H121" s="23"/>
      <c r="I121" s="24"/>
    </row>
    <row r="122" spans="1:9" ht="12.95">
      <c r="A122" s="23"/>
      <c r="B122" s="23"/>
      <c r="C122" s="23"/>
      <c r="D122" s="23"/>
      <c r="E122" s="23"/>
      <c r="F122" s="24"/>
      <c r="G122" s="23"/>
      <c r="H122" s="23"/>
      <c r="I122" s="24"/>
    </row>
    <row r="123" spans="1:9" ht="12.95">
      <c r="A123" s="23"/>
      <c r="B123" s="23"/>
      <c r="C123" s="23"/>
      <c r="D123" s="23"/>
      <c r="E123" s="23"/>
      <c r="F123" s="24"/>
      <c r="G123" s="23"/>
      <c r="H123" s="23"/>
      <c r="I123" s="24"/>
    </row>
    <row r="124" spans="1:9" ht="12.95">
      <c r="A124" s="23"/>
      <c r="B124" s="23"/>
      <c r="C124" s="23"/>
      <c r="D124" s="23"/>
      <c r="E124" s="23"/>
      <c r="F124" s="24"/>
      <c r="G124" s="23"/>
      <c r="H124" s="23"/>
      <c r="I124" s="24"/>
    </row>
    <row r="125" spans="1:9" ht="12.95">
      <c r="A125" s="23"/>
      <c r="B125" s="23"/>
      <c r="C125" s="23"/>
      <c r="D125" s="23"/>
      <c r="E125" s="23"/>
      <c r="F125" s="24"/>
      <c r="G125" s="23"/>
      <c r="H125" s="23"/>
      <c r="I125" s="24"/>
    </row>
    <row r="126" spans="1:9" ht="12.95">
      <c r="A126" s="23"/>
      <c r="B126" s="23"/>
      <c r="C126" s="23"/>
      <c r="D126" s="23"/>
      <c r="E126" s="23"/>
      <c r="F126" s="24"/>
      <c r="G126" s="23"/>
      <c r="H126" s="23"/>
      <c r="I126" s="24"/>
    </row>
    <row r="127" spans="1:9" ht="12.95">
      <c r="A127" s="23"/>
      <c r="B127" s="23"/>
      <c r="C127" s="23"/>
      <c r="D127" s="23"/>
      <c r="E127" s="23"/>
      <c r="F127" s="24"/>
      <c r="G127" s="23"/>
      <c r="H127" s="23"/>
      <c r="I127" s="24"/>
    </row>
    <row r="128" spans="1:9" ht="12.95">
      <c r="A128" s="23"/>
      <c r="B128" s="23"/>
      <c r="C128" s="23"/>
      <c r="D128" s="23"/>
      <c r="E128" s="23"/>
      <c r="F128" s="24"/>
      <c r="G128" s="23"/>
      <c r="H128" s="23"/>
      <c r="I128" s="24"/>
    </row>
    <row r="129" spans="1:9" ht="12.95">
      <c r="A129" s="23"/>
      <c r="B129" s="23"/>
      <c r="C129" s="23"/>
      <c r="D129" s="23"/>
      <c r="E129" s="23"/>
      <c r="F129" s="24"/>
      <c r="G129" s="23"/>
      <c r="H129" s="23"/>
      <c r="I129" s="24"/>
    </row>
    <row r="130" spans="1:9" ht="12.95">
      <c r="A130" s="23"/>
      <c r="B130" s="23"/>
      <c r="C130" s="23"/>
      <c r="D130" s="23"/>
      <c r="E130" s="23"/>
      <c r="F130" s="24"/>
      <c r="G130" s="23"/>
      <c r="H130" s="23"/>
      <c r="I130" s="24"/>
    </row>
    <row r="131" spans="1:9" ht="12.95">
      <c r="A131" s="23"/>
      <c r="B131" s="23"/>
      <c r="C131" s="23"/>
      <c r="D131" s="23"/>
      <c r="E131" s="23"/>
      <c r="F131" s="24"/>
      <c r="G131" s="23"/>
      <c r="H131" s="23"/>
      <c r="I131" s="24"/>
    </row>
    <row r="132" spans="1:9" ht="12.95">
      <c r="A132" s="23"/>
      <c r="B132" s="23"/>
      <c r="C132" s="23"/>
      <c r="D132" s="23"/>
      <c r="E132" s="23"/>
      <c r="F132" s="24"/>
      <c r="G132" s="23"/>
      <c r="H132" s="23"/>
      <c r="I132" s="24"/>
    </row>
    <row r="133" spans="1:9" ht="12.95">
      <c r="A133" s="23"/>
      <c r="B133" s="23"/>
      <c r="C133" s="23"/>
      <c r="D133" s="23"/>
      <c r="E133" s="23"/>
      <c r="F133" s="24"/>
      <c r="G133" s="23"/>
      <c r="H133" s="23"/>
      <c r="I133" s="24"/>
    </row>
    <row r="134" spans="1:9" ht="12.95">
      <c r="A134" s="23"/>
      <c r="B134" s="23"/>
      <c r="C134" s="23"/>
      <c r="D134" s="23"/>
      <c r="E134" s="23"/>
      <c r="F134" s="24"/>
      <c r="G134" s="23"/>
      <c r="H134" s="23"/>
      <c r="I134" s="24"/>
    </row>
    <row r="135" spans="1:9" ht="12.95">
      <c r="A135" s="23"/>
      <c r="B135" s="23"/>
      <c r="C135" s="23"/>
      <c r="D135" s="23"/>
      <c r="E135" s="23"/>
      <c r="F135" s="24"/>
      <c r="G135" s="23"/>
      <c r="H135" s="23"/>
      <c r="I135" s="24"/>
    </row>
    <row r="136" spans="1:9" ht="12.95">
      <c r="A136" s="23"/>
      <c r="B136" s="23"/>
      <c r="C136" s="23"/>
      <c r="D136" s="23"/>
      <c r="E136" s="23"/>
      <c r="F136" s="24"/>
      <c r="G136" s="23"/>
      <c r="H136" s="23"/>
      <c r="I136" s="24"/>
    </row>
    <row r="137" spans="1:9" ht="12.95">
      <c r="A137" s="23"/>
      <c r="B137" s="23"/>
      <c r="C137" s="23"/>
      <c r="D137" s="23"/>
      <c r="E137" s="23"/>
      <c r="F137" s="24"/>
      <c r="G137" s="23"/>
      <c r="H137" s="23"/>
      <c r="I137" s="24"/>
    </row>
    <row r="138" spans="1:9" ht="12.95">
      <c r="A138" s="23"/>
      <c r="B138" s="23"/>
      <c r="C138" s="23"/>
      <c r="D138" s="23"/>
      <c r="E138" s="23"/>
      <c r="F138" s="24"/>
      <c r="G138" s="23"/>
      <c r="H138" s="23"/>
      <c r="I138" s="24"/>
    </row>
    <row r="139" spans="1:9" ht="12.95">
      <c r="A139" s="23"/>
      <c r="B139" s="23"/>
      <c r="C139" s="23"/>
      <c r="D139" s="23"/>
      <c r="E139" s="23"/>
      <c r="F139" s="24"/>
      <c r="G139" s="23"/>
      <c r="H139" s="23"/>
      <c r="I139" s="24"/>
    </row>
    <row r="140" spans="1:9" ht="12.95">
      <c r="A140" s="23"/>
      <c r="B140" s="23"/>
      <c r="C140" s="23"/>
      <c r="D140" s="23"/>
      <c r="E140" s="23"/>
      <c r="F140" s="24"/>
      <c r="G140" s="23"/>
      <c r="H140" s="23"/>
      <c r="I140" s="24"/>
    </row>
    <row r="141" spans="1:9" ht="12.95">
      <c r="A141" s="23"/>
      <c r="B141" s="23"/>
      <c r="C141" s="23"/>
      <c r="D141" s="23"/>
      <c r="E141" s="23"/>
      <c r="F141" s="24"/>
      <c r="G141" s="23"/>
      <c r="H141" s="23"/>
      <c r="I141" s="24"/>
    </row>
    <row r="142" spans="1:9" ht="12.95">
      <c r="A142" s="23"/>
      <c r="B142" s="23"/>
      <c r="C142" s="23"/>
      <c r="D142" s="23"/>
      <c r="E142" s="23"/>
      <c r="F142" s="24"/>
      <c r="G142" s="23"/>
      <c r="H142" s="23"/>
      <c r="I142" s="24"/>
    </row>
    <row r="143" spans="1:9" ht="12.95">
      <c r="A143" s="23"/>
      <c r="B143" s="23"/>
      <c r="C143" s="23"/>
      <c r="D143" s="23"/>
      <c r="E143" s="23"/>
      <c r="F143" s="24"/>
      <c r="G143" s="23"/>
      <c r="H143" s="23"/>
      <c r="I143" s="24"/>
    </row>
    <row r="144" spans="1:9" ht="12.95">
      <c r="A144" s="23"/>
      <c r="B144" s="23"/>
      <c r="C144" s="23"/>
      <c r="D144" s="23"/>
      <c r="E144" s="23"/>
      <c r="F144" s="24"/>
      <c r="G144" s="23"/>
      <c r="H144" s="23"/>
      <c r="I144" s="24"/>
    </row>
    <row r="145" spans="1:9" ht="12.95">
      <c r="A145" s="23"/>
      <c r="B145" s="23"/>
      <c r="C145" s="23"/>
      <c r="D145" s="23"/>
      <c r="E145" s="23"/>
      <c r="F145" s="24"/>
      <c r="G145" s="23"/>
      <c r="H145" s="23"/>
      <c r="I145" s="24"/>
    </row>
    <row r="146" spans="1:9" ht="12.95">
      <c r="A146" s="23"/>
      <c r="B146" s="23"/>
      <c r="C146" s="23"/>
      <c r="D146" s="23"/>
      <c r="E146" s="23"/>
      <c r="F146" s="24"/>
      <c r="G146" s="23"/>
      <c r="H146" s="23"/>
      <c r="I146" s="24"/>
    </row>
    <row r="147" spans="1:9" ht="12.95">
      <c r="A147" s="23"/>
      <c r="B147" s="23"/>
      <c r="C147" s="23"/>
      <c r="D147" s="23"/>
      <c r="E147" s="23"/>
      <c r="F147" s="24"/>
      <c r="G147" s="23"/>
      <c r="H147" s="23"/>
      <c r="I147" s="24"/>
    </row>
    <row r="148" spans="1:9" ht="12.95">
      <c r="A148" s="23"/>
      <c r="B148" s="23"/>
      <c r="C148" s="23"/>
      <c r="D148" s="23"/>
      <c r="E148" s="23"/>
      <c r="F148" s="24"/>
      <c r="G148" s="23"/>
      <c r="H148" s="23"/>
      <c r="I148" s="24"/>
    </row>
    <row r="149" spans="1:9" ht="12.95">
      <c r="A149" s="23"/>
      <c r="B149" s="23"/>
      <c r="C149" s="23"/>
      <c r="D149" s="23"/>
      <c r="E149" s="23"/>
      <c r="F149" s="24"/>
      <c r="G149" s="23"/>
      <c r="H149" s="23"/>
      <c r="I149" s="24"/>
    </row>
    <row r="150" spans="1:9" ht="12.95">
      <c r="A150" s="23"/>
      <c r="B150" s="23"/>
      <c r="C150" s="23"/>
      <c r="D150" s="23"/>
      <c r="E150" s="23"/>
      <c r="F150" s="24"/>
      <c r="G150" s="23"/>
      <c r="H150" s="23"/>
      <c r="I150" s="24"/>
    </row>
    <row r="151" spans="1:9" ht="12.95">
      <c r="A151" s="23"/>
      <c r="B151" s="23"/>
      <c r="C151" s="23"/>
      <c r="D151" s="23"/>
      <c r="E151" s="23"/>
      <c r="F151" s="24"/>
      <c r="G151" s="23"/>
      <c r="H151" s="23"/>
      <c r="I151" s="24"/>
    </row>
    <row r="152" spans="1:9" ht="12.95">
      <c r="A152" s="23"/>
      <c r="B152" s="23"/>
      <c r="C152" s="23"/>
      <c r="D152" s="23"/>
      <c r="E152" s="23"/>
      <c r="F152" s="24"/>
      <c r="G152" s="23"/>
      <c r="H152" s="23"/>
      <c r="I152" s="24"/>
    </row>
    <row r="153" spans="1:9" ht="12.95">
      <c r="A153" s="23"/>
      <c r="B153" s="23"/>
      <c r="C153" s="23"/>
      <c r="D153" s="23"/>
      <c r="E153" s="23"/>
      <c r="F153" s="24"/>
      <c r="G153" s="23"/>
      <c r="H153" s="23"/>
      <c r="I153" s="24"/>
    </row>
    <row r="154" spans="1:9" ht="12.95">
      <c r="A154" s="23"/>
      <c r="B154" s="23"/>
      <c r="C154" s="23"/>
      <c r="D154" s="23"/>
      <c r="E154" s="23"/>
      <c r="F154" s="24"/>
      <c r="G154" s="23"/>
      <c r="H154" s="23"/>
      <c r="I154" s="24"/>
    </row>
    <row r="155" spans="1:9" ht="12.95">
      <c r="A155" s="23"/>
      <c r="B155" s="23"/>
      <c r="C155" s="23"/>
      <c r="D155" s="23"/>
      <c r="E155" s="23"/>
      <c r="F155" s="24"/>
      <c r="G155" s="23"/>
      <c r="H155" s="23"/>
      <c r="I155" s="24"/>
    </row>
    <row r="156" spans="1:9" ht="12.95">
      <c r="A156" s="23"/>
      <c r="B156" s="23"/>
      <c r="C156" s="23"/>
      <c r="D156" s="23"/>
      <c r="E156" s="23"/>
      <c r="F156" s="24"/>
      <c r="G156" s="23"/>
      <c r="H156" s="23"/>
      <c r="I156" s="24"/>
    </row>
    <row r="157" spans="1:9" ht="12.95">
      <c r="A157" s="23"/>
      <c r="B157" s="23"/>
      <c r="C157" s="23"/>
      <c r="D157" s="23"/>
      <c r="E157" s="23"/>
      <c r="F157" s="24"/>
      <c r="G157" s="23"/>
      <c r="H157" s="23"/>
      <c r="I157" s="24"/>
    </row>
    <row r="158" spans="1:9" ht="12.95">
      <c r="A158" s="23"/>
      <c r="B158" s="23"/>
      <c r="C158" s="23"/>
      <c r="D158" s="23"/>
      <c r="E158" s="23"/>
      <c r="F158" s="24"/>
      <c r="G158" s="23"/>
      <c r="H158" s="23"/>
      <c r="I158" s="24"/>
    </row>
    <row r="159" spans="1:9" ht="12.95">
      <c r="A159" s="23"/>
      <c r="B159" s="23"/>
      <c r="C159" s="23"/>
      <c r="D159" s="23"/>
      <c r="E159" s="23"/>
      <c r="F159" s="24"/>
      <c r="G159" s="23"/>
      <c r="H159" s="23"/>
      <c r="I159" s="24"/>
    </row>
    <row r="160" spans="1:9" ht="12.95">
      <c r="A160" s="23"/>
      <c r="B160" s="23"/>
      <c r="C160" s="23"/>
      <c r="D160" s="23"/>
      <c r="E160" s="23"/>
      <c r="F160" s="24"/>
      <c r="G160" s="23"/>
      <c r="H160" s="23"/>
      <c r="I160" s="24"/>
    </row>
    <row r="161" spans="1:9" ht="12.95">
      <c r="A161" s="23"/>
      <c r="B161" s="23"/>
      <c r="C161" s="23"/>
      <c r="D161" s="23"/>
      <c r="E161" s="23"/>
      <c r="F161" s="24"/>
      <c r="G161" s="23"/>
      <c r="H161" s="23"/>
      <c r="I161" s="24"/>
    </row>
    <row r="162" spans="1:9" ht="12.95">
      <c r="A162" s="23"/>
      <c r="B162" s="23"/>
      <c r="C162" s="23"/>
      <c r="D162" s="23"/>
      <c r="E162" s="23"/>
      <c r="F162" s="24"/>
      <c r="G162" s="23"/>
      <c r="H162" s="23"/>
      <c r="I162" s="24"/>
    </row>
    <row r="163" spans="1:9" ht="12.95">
      <c r="A163" s="23"/>
      <c r="B163" s="23"/>
      <c r="C163" s="23"/>
      <c r="D163" s="23"/>
      <c r="E163" s="23"/>
      <c r="F163" s="24"/>
      <c r="G163" s="23"/>
      <c r="H163" s="23"/>
      <c r="I163" s="24"/>
    </row>
    <row r="164" spans="1:9" ht="12.95">
      <c r="A164" s="23"/>
      <c r="B164" s="23"/>
      <c r="C164" s="23"/>
      <c r="D164" s="23"/>
      <c r="E164" s="23"/>
      <c r="F164" s="24"/>
      <c r="G164" s="23"/>
      <c r="H164" s="23"/>
      <c r="I164" s="24"/>
    </row>
    <row r="165" spans="1:9" ht="12.95">
      <c r="A165" s="23"/>
      <c r="B165" s="23"/>
      <c r="C165" s="23"/>
      <c r="D165" s="23"/>
      <c r="E165" s="23"/>
      <c r="F165" s="24"/>
      <c r="G165" s="23"/>
      <c r="H165" s="23"/>
      <c r="I165" s="24"/>
    </row>
    <row r="166" spans="1:9" ht="12.95">
      <c r="A166" s="23"/>
      <c r="B166" s="23"/>
      <c r="C166" s="23"/>
      <c r="D166" s="23"/>
      <c r="E166" s="23"/>
      <c r="F166" s="24"/>
      <c r="G166" s="23"/>
      <c r="H166" s="23"/>
      <c r="I166" s="24"/>
    </row>
    <row r="167" spans="1:9" ht="12.95">
      <c r="A167" s="23"/>
      <c r="B167" s="23"/>
      <c r="C167" s="23"/>
      <c r="D167" s="23"/>
      <c r="E167" s="23"/>
      <c r="F167" s="24"/>
      <c r="G167" s="23"/>
      <c r="H167" s="23"/>
      <c r="I167" s="24"/>
    </row>
    <row r="168" spans="1:9" ht="12.95">
      <c r="A168" s="23"/>
      <c r="B168" s="23"/>
      <c r="C168" s="23"/>
      <c r="D168" s="23"/>
      <c r="E168" s="23"/>
      <c r="F168" s="24"/>
      <c r="G168" s="23"/>
      <c r="H168" s="23"/>
      <c r="I168" s="24"/>
    </row>
    <row r="169" spans="1:9" ht="12.95">
      <c r="A169" s="23"/>
      <c r="B169" s="23"/>
      <c r="C169" s="23"/>
      <c r="D169" s="23"/>
      <c r="E169" s="23"/>
      <c r="F169" s="24"/>
      <c r="G169" s="23"/>
      <c r="H169" s="23"/>
      <c r="I169" s="24"/>
    </row>
    <row r="170" spans="1:9" ht="12.95">
      <c r="A170" s="23"/>
      <c r="B170" s="23"/>
      <c r="C170" s="23"/>
      <c r="D170" s="23"/>
      <c r="E170" s="23"/>
      <c r="F170" s="24"/>
      <c r="G170" s="23"/>
      <c r="H170" s="23"/>
      <c r="I170" s="24"/>
    </row>
    <row r="171" spans="1:9" ht="12.95">
      <c r="A171" s="23"/>
      <c r="B171" s="23"/>
      <c r="C171" s="23"/>
      <c r="D171" s="23"/>
      <c r="E171" s="23"/>
      <c r="F171" s="24"/>
      <c r="G171" s="23"/>
      <c r="H171" s="23"/>
      <c r="I171" s="24"/>
    </row>
    <row r="172" spans="1:9" ht="12.95">
      <c r="A172" s="23"/>
      <c r="B172" s="23"/>
      <c r="C172" s="23"/>
      <c r="D172" s="23"/>
      <c r="E172" s="23"/>
      <c r="F172" s="24"/>
      <c r="G172" s="23"/>
      <c r="H172" s="23"/>
      <c r="I172" s="24"/>
    </row>
    <row r="173" spans="1:9" ht="12.95">
      <c r="A173" s="23"/>
      <c r="B173" s="23"/>
      <c r="C173" s="23"/>
      <c r="D173" s="23"/>
      <c r="E173" s="23"/>
      <c r="F173" s="24"/>
      <c r="G173" s="23"/>
      <c r="H173" s="23"/>
      <c r="I173" s="24"/>
    </row>
    <row r="174" spans="1:9" ht="12.95">
      <c r="A174" s="23"/>
      <c r="B174" s="23"/>
      <c r="C174" s="23"/>
      <c r="D174" s="23"/>
      <c r="E174" s="23"/>
      <c r="F174" s="24"/>
      <c r="G174" s="23"/>
      <c r="H174" s="23"/>
      <c r="I174" s="24"/>
    </row>
    <row r="175" spans="1:9" ht="12.95">
      <c r="A175" s="23"/>
      <c r="B175" s="23"/>
      <c r="C175" s="23"/>
      <c r="D175" s="23"/>
      <c r="E175" s="23"/>
      <c r="F175" s="24"/>
      <c r="G175" s="23"/>
      <c r="H175" s="23"/>
      <c r="I175" s="24"/>
    </row>
    <row r="176" spans="1:9" ht="12.95">
      <c r="A176" s="23"/>
      <c r="B176" s="23"/>
      <c r="C176" s="23"/>
      <c r="D176" s="23"/>
      <c r="E176" s="23"/>
      <c r="F176" s="24"/>
      <c r="G176" s="23"/>
      <c r="H176" s="23"/>
      <c r="I176" s="24"/>
    </row>
    <row r="177" spans="1:9" ht="12.95">
      <c r="A177" s="23"/>
      <c r="B177" s="23"/>
      <c r="C177" s="23"/>
      <c r="D177" s="23"/>
      <c r="E177" s="23"/>
      <c r="F177" s="24"/>
      <c r="G177" s="23"/>
      <c r="H177" s="23"/>
      <c r="I177" s="24"/>
    </row>
    <row r="178" spans="1:9" ht="12.95">
      <c r="A178" s="23"/>
      <c r="B178" s="23"/>
      <c r="C178" s="23"/>
      <c r="D178" s="23"/>
      <c r="E178" s="23"/>
      <c r="F178" s="24"/>
      <c r="G178" s="23"/>
      <c r="H178" s="23"/>
      <c r="I178" s="24"/>
    </row>
    <row r="179" spans="1:9" ht="12.95">
      <c r="A179" s="23"/>
      <c r="B179" s="23"/>
      <c r="C179" s="23"/>
      <c r="D179" s="23"/>
      <c r="E179" s="23"/>
      <c r="F179" s="24"/>
      <c r="G179" s="23"/>
      <c r="H179" s="23"/>
      <c r="I179" s="24"/>
    </row>
    <row r="180" spans="1:9" ht="12.95">
      <c r="A180" s="23"/>
      <c r="B180" s="23"/>
      <c r="C180" s="23"/>
      <c r="D180" s="23"/>
      <c r="E180" s="23"/>
      <c r="F180" s="24"/>
      <c r="G180" s="23"/>
      <c r="H180" s="23"/>
      <c r="I180" s="24"/>
    </row>
    <row r="181" spans="1:9" ht="12.95">
      <c r="A181" s="23"/>
      <c r="B181" s="23"/>
      <c r="C181" s="23"/>
      <c r="D181" s="23"/>
      <c r="E181" s="23"/>
      <c r="F181" s="24"/>
      <c r="G181" s="23"/>
      <c r="H181" s="23"/>
      <c r="I181" s="24"/>
    </row>
    <row r="182" spans="1:9" ht="12.95">
      <c r="A182" s="23"/>
      <c r="B182" s="23"/>
      <c r="C182" s="23"/>
      <c r="D182" s="23"/>
      <c r="E182" s="23"/>
      <c r="F182" s="24"/>
      <c r="G182" s="23"/>
      <c r="H182" s="23"/>
      <c r="I182" s="24"/>
    </row>
    <row r="183" spans="1:9" ht="12.95">
      <c r="A183" s="23"/>
      <c r="B183" s="23"/>
      <c r="C183" s="23"/>
      <c r="D183" s="23"/>
      <c r="E183" s="23"/>
      <c r="F183" s="24"/>
      <c r="G183" s="23"/>
      <c r="H183" s="23"/>
      <c r="I183" s="24"/>
    </row>
    <row r="184" spans="1:9" ht="12.95">
      <c r="A184" s="23"/>
      <c r="B184" s="23"/>
      <c r="C184" s="23"/>
      <c r="D184" s="23"/>
      <c r="E184" s="23"/>
      <c r="F184" s="24"/>
      <c r="G184" s="23"/>
      <c r="H184" s="23"/>
      <c r="I184" s="24"/>
    </row>
    <row r="185" spans="1:9" ht="12.95">
      <c r="A185" s="23"/>
      <c r="B185" s="23"/>
      <c r="C185" s="23"/>
      <c r="D185" s="23"/>
      <c r="E185" s="23"/>
      <c r="F185" s="24"/>
      <c r="G185" s="23"/>
      <c r="H185" s="23"/>
      <c r="I185" s="24"/>
    </row>
    <row r="186" spans="1:9" ht="12.95">
      <c r="A186" s="23"/>
      <c r="B186" s="23"/>
      <c r="C186" s="23"/>
      <c r="D186" s="23"/>
      <c r="E186" s="23"/>
      <c r="F186" s="24"/>
      <c r="G186" s="23"/>
      <c r="H186" s="23"/>
      <c r="I186" s="24"/>
    </row>
    <row r="187" spans="1:9" ht="12.95">
      <c r="A187" s="23"/>
      <c r="B187" s="23"/>
      <c r="C187" s="23"/>
      <c r="D187" s="23"/>
      <c r="E187" s="23"/>
      <c r="F187" s="24"/>
      <c r="G187" s="23"/>
      <c r="H187" s="23"/>
      <c r="I187" s="24"/>
    </row>
    <row r="188" spans="1:9" ht="12.95">
      <c r="A188" s="23"/>
      <c r="B188" s="23"/>
      <c r="C188" s="23"/>
      <c r="D188" s="23"/>
      <c r="E188" s="23"/>
      <c r="F188" s="24"/>
      <c r="G188" s="23"/>
      <c r="H188" s="23"/>
      <c r="I188" s="24"/>
    </row>
    <row r="189" spans="1:9" ht="12.95">
      <c r="A189" s="23"/>
      <c r="B189" s="23"/>
      <c r="C189" s="23"/>
      <c r="D189" s="23"/>
      <c r="E189" s="23"/>
      <c r="F189" s="24"/>
      <c r="G189" s="23"/>
      <c r="H189" s="23"/>
      <c r="I189" s="24"/>
    </row>
    <row r="190" spans="1:9" ht="12.95">
      <c r="A190" s="23"/>
      <c r="B190" s="23"/>
      <c r="C190" s="23"/>
      <c r="D190" s="23"/>
      <c r="E190" s="23"/>
      <c r="F190" s="24"/>
      <c r="G190" s="23"/>
      <c r="H190" s="23"/>
      <c r="I190" s="24"/>
    </row>
    <row r="191" spans="1:9" ht="12.95">
      <c r="A191" s="23"/>
      <c r="B191" s="23"/>
      <c r="C191" s="23"/>
      <c r="D191" s="23"/>
      <c r="E191" s="23"/>
      <c r="F191" s="24"/>
      <c r="G191" s="23"/>
      <c r="H191" s="23"/>
      <c r="I191" s="24"/>
    </row>
    <row r="192" spans="1:9" ht="12.95">
      <c r="A192" s="23"/>
      <c r="B192" s="23"/>
      <c r="C192" s="23"/>
      <c r="D192" s="23"/>
      <c r="E192" s="23"/>
      <c r="F192" s="24"/>
      <c r="G192" s="23"/>
      <c r="H192" s="23"/>
      <c r="I192" s="24"/>
    </row>
    <row r="193" spans="1:9" ht="12.95">
      <c r="A193" s="23"/>
      <c r="B193" s="23"/>
      <c r="C193" s="23"/>
      <c r="D193" s="23"/>
      <c r="E193" s="23"/>
      <c r="F193" s="24"/>
      <c r="G193" s="23"/>
      <c r="H193" s="23"/>
      <c r="I193" s="24"/>
    </row>
    <row r="194" spans="1:9" ht="12.95">
      <c r="A194" s="23"/>
      <c r="B194" s="23"/>
      <c r="C194" s="23"/>
      <c r="D194" s="23"/>
      <c r="E194" s="23"/>
      <c r="F194" s="24"/>
      <c r="G194" s="23"/>
      <c r="H194" s="23"/>
      <c r="I194" s="24"/>
    </row>
    <row r="195" spans="1:9" ht="12.95">
      <c r="A195" s="23"/>
      <c r="B195" s="23"/>
      <c r="C195" s="23"/>
      <c r="D195" s="23"/>
      <c r="E195" s="23"/>
      <c r="F195" s="24"/>
      <c r="G195" s="23"/>
      <c r="H195" s="23"/>
      <c r="I195" s="24"/>
    </row>
    <row r="196" spans="1:9" ht="12.95">
      <c r="A196" s="23"/>
      <c r="B196" s="23"/>
      <c r="C196" s="23"/>
      <c r="D196" s="23"/>
      <c r="E196" s="23"/>
      <c r="F196" s="24"/>
      <c r="G196" s="23"/>
      <c r="H196" s="23"/>
      <c r="I196" s="24"/>
    </row>
    <row r="197" spans="1:9" ht="12.95">
      <c r="A197" s="23"/>
      <c r="B197" s="23"/>
      <c r="C197" s="23"/>
      <c r="D197" s="23"/>
      <c r="E197" s="23"/>
      <c r="F197" s="24"/>
      <c r="G197" s="23"/>
      <c r="H197" s="23"/>
      <c r="I197" s="24"/>
    </row>
    <row r="198" spans="1:9" ht="12.95">
      <c r="A198" s="23"/>
      <c r="B198" s="23"/>
      <c r="C198" s="23"/>
      <c r="D198" s="23"/>
      <c r="E198" s="23"/>
      <c r="F198" s="24"/>
      <c r="G198" s="23"/>
      <c r="H198" s="23"/>
      <c r="I198" s="24"/>
    </row>
    <row r="199" spans="1:9" ht="12.95">
      <c r="A199" s="23"/>
      <c r="B199" s="23"/>
      <c r="C199" s="23"/>
      <c r="D199" s="23"/>
      <c r="E199" s="23"/>
      <c r="F199" s="24"/>
      <c r="G199" s="23"/>
      <c r="H199" s="23"/>
      <c r="I199" s="24"/>
    </row>
    <row r="200" spans="1:9" ht="12.95">
      <c r="A200" s="23"/>
      <c r="B200" s="23"/>
      <c r="C200" s="23"/>
      <c r="D200" s="23"/>
      <c r="E200" s="23"/>
      <c r="F200" s="24"/>
      <c r="G200" s="23"/>
      <c r="H200" s="23"/>
      <c r="I200" s="24"/>
    </row>
    <row r="201" spans="1:9" ht="12.95">
      <c r="A201" s="23"/>
      <c r="B201" s="23"/>
      <c r="C201" s="23"/>
      <c r="D201" s="23"/>
      <c r="E201" s="23"/>
      <c r="F201" s="24"/>
      <c r="G201" s="23"/>
      <c r="H201" s="23"/>
      <c r="I201" s="24"/>
    </row>
    <row r="202" spans="1:9" ht="12.95">
      <c r="A202" s="23"/>
      <c r="B202" s="23"/>
      <c r="C202" s="23"/>
      <c r="D202" s="23"/>
      <c r="E202" s="23"/>
      <c r="F202" s="24"/>
      <c r="G202" s="23"/>
      <c r="H202" s="23"/>
      <c r="I202" s="24"/>
    </row>
    <row r="203" spans="1:9" ht="12.95">
      <c r="A203" s="23"/>
      <c r="B203" s="23"/>
      <c r="C203" s="23"/>
      <c r="D203" s="23"/>
      <c r="E203" s="23"/>
      <c r="F203" s="24"/>
      <c r="G203" s="23"/>
      <c r="H203" s="23"/>
      <c r="I203" s="24"/>
    </row>
    <row r="204" spans="1:9" ht="12.95">
      <c r="A204" s="23"/>
      <c r="B204" s="23"/>
      <c r="C204" s="23"/>
      <c r="D204" s="23"/>
      <c r="E204" s="23"/>
      <c r="F204" s="24"/>
      <c r="G204" s="23"/>
      <c r="H204" s="23"/>
      <c r="I204" s="24"/>
    </row>
    <row r="205" spans="1:9" ht="12.95">
      <c r="A205" s="23"/>
      <c r="B205" s="23"/>
      <c r="C205" s="23"/>
      <c r="D205" s="23"/>
      <c r="E205" s="23"/>
      <c r="F205" s="24"/>
      <c r="G205" s="23"/>
      <c r="H205" s="23"/>
      <c r="I205" s="24"/>
    </row>
    <row r="206" spans="1:9" ht="12.95">
      <c r="A206" s="23"/>
      <c r="B206" s="23"/>
      <c r="C206" s="23"/>
      <c r="D206" s="23"/>
      <c r="E206" s="23"/>
      <c r="F206" s="24"/>
      <c r="G206" s="23"/>
      <c r="H206" s="23"/>
      <c r="I206" s="24"/>
    </row>
    <row r="207" spans="1:9" ht="12.95">
      <c r="A207" s="23"/>
      <c r="B207" s="23"/>
      <c r="C207" s="23"/>
      <c r="D207" s="23"/>
      <c r="E207" s="23"/>
      <c r="F207" s="24"/>
      <c r="G207" s="23"/>
      <c r="H207" s="23"/>
      <c r="I207" s="24"/>
    </row>
    <row r="208" spans="1:9" ht="12.95">
      <c r="A208" s="23"/>
      <c r="B208" s="23"/>
      <c r="C208" s="23"/>
      <c r="D208" s="23"/>
      <c r="E208" s="23"/>
      <c r="F208" s="24"/>
      <c r="G208" s="23"/>
      <c r="H208" s="23"/>
      <c r="I208" s="24"/>
    </row>
    <row r="209" spans="1:9" ht="12.95">
      <c r="A209" s="23"/>
      <c r="B209" s="23"/>
      <c r="C209" s="23"/>
      <c r="D209" s="23"/>
      <c r="E209" s="23"/>
      <c r="F209" s="24"/>
      <c r="G209" s="23"/>
      <c r="H209" s="23"/>
      <c r="I209" s="24"/>
    </row>
    <row r="210" spans="1:9" ht="12.95">
      <c r="A210" s="23"/>
      <c r="B210" s="23"/>
      <c r="C210" s="23"/>
      <c r="D210" s="23"/>
      <c r="E210" s="23"/>
      <c r="F210" s="24"/>
      <c r="G210" s="23"/>
      <c r="H210" s="23"/>
      <c r="I210" s="24"/>
    </row>
    <row r="211" spans="1:9" ht="12.95">
      <c r="A211" s="23"/>
      <c r="B211" s="23"/>
      <c r="C211" s="23"/>
      <c r="D211" s="23"/>
      <c r="E211" s="23"/>
      <c r="F211" s="24"/>
      <c r="G211" s="23"/>
      <c r="H211" s="23"/>
      <c r="I211" s="24"/>
    </row>
    <row r="212" spans="1:9" ht="12.95">
      <c r="A212" s="23"/>
      <c r="B212" s="23"/>
      <c r="C212" s="23"/>
      <c r="D212" s="23"/>
      <c r="E212" s="23"/>
      <c r="F212" s="24"/>
      <c r="G212" s="23"/>
      <c r="H212" s="23"/>
      <c r="I212" s="24"/>
    </row>
    <row r="213" spans="1:9" ht="12.95">
      <c r="A213" s="23"/>
      <c r="B213" s="23"/>
      <c r="C213" s="23"/>
      <c r="D213" s="23"/>
      <c r="E213" s="23"/>
      <c r="F213" s="24"/>
      <c r="G213" s="23"/>
      <c r="H213" s="23"/>
      <c r="I213" s="24"/>
    </row>
    <row r="214" spans="1:9" ht="12.95">
      <c r="A214" s="23"/>
      <c r="B214" s="23"/>
      <c r="C214" s="23"/>
      <c r="D214" s="23"/>
      <c r="E214" s="23"/>
      <c r="F214" s="24"/>
      <c r="G214" s="23"/>
      <c r="H214" s="23"/>
      <c r="I214" s="24"/>
    </row>
    <row r="215" spans="1:9" ht="12.95">
      <c r="A215" s="23"/>
      <c r="B215" s="23"/>
      <c r="C215" s="23"/>
      <c r="D215" s="23"/>
      <c r="E215" s="23"/>
      <c r="F215" s="24"/>
      <c r="G215" s="23"/>
      <c r="H215" s="23"/>
      <c r="I215" s="24"/>
    </row>
    <row r="216" spans="1:9" ht="12.95">
      <c r="A216" s="23"/>
      <c r="B216" s="23"/>
      <c r="C216" s="23"/>
      <c r="D216" s="23"/>
      <c r="E216" s="23"/>
      <c r="F216" s="24"/>
      <c r="G216" s="23"/>
      <c r="H216" s="23"/>
      <c r="I216" s="24"/>
    </row>
    <row r="217" spans="1:9" ht="12.95">
      <c r="A217" s="23"/>
      <c r="B217" s="23"/>
      <c r="C217" s="23"/>
      <c r="D217" s="23"/>
      <c r="E217" s="23"/>
      <c r="F217" s="24"/>
      <c r="G217" s="23"/>
      <c r="H217" s="23"/>
      <c r="I217" s="24"/>
    </row>
    <row r="218" spans="1:9" ht="12.95">
      <c r="A218" s="23"/>
      <c r="B218" s="23"/>
      <c r="C218" s="23"/>
      <c r="D218" s="23"/>
      <c r="E218" s="23"/>
      <c r="F218" s="24"/>
      <c r="G218" s="23"/>
      <c r="H218" s="23"/>
      <c r="I218" s="24"/>
    </row>
    <row r="219" spans="1:9" ht="12.95">
      <c r="A219" s="23"/>
      <c r="B219" s="23"/>
      <c r="C219" s="23"/>
      <c r="D219" s="23"/>
      <c r="E219" s="23"/>
      <c r="F219" s="24"/>
      <c r="G219" s="23"/>
      <c r="H219" s="23"/>
      <c r="I219" s="24"/>
    </row>
    <row r="220" spans="1:9" ht="12.95">
      <c r="A220" s="23"/>
      <c r="B220" s="23"/>
      <c r="C220" s="23"/>
      <c r="D220" s="23"/>
      <c r="E220" s="23"/>
      <c r="F220" s="24"/>
      <c r="G220" s="23"/>
      <c r="H220" s="23"/>
      <c r="I220" s="24"/>
    </row>
    <row r="221" spans="1:9" ht="12.95">
      <c r="A221" s="23"/>
      <c r="B221" s="23"/>
      <c r="C221" s="23"/>
      <c r="D221" s="23"/>
      <c r="E221" s="23"/>
      <c r="F221" s="24"/>
      <c r="G221" s="23"/>
      <c r="H221" s="23"/>
      <c r="I221" s="24"/>
    </row>
    <row r="222" spans="1:9" ht="12.95">
      <c r="A222" s="23"/>
      <c r="B222" s="23"/>
      <c r="C222" s="23"/>
      <c r="D222" s="23"/>
      <c r="E222" s="23"/>
      <c r="F222" s="24"/>
      <c r="G222" s="23"/>
      <c r="H222" s="23"/>
      <c r="I222" s="24"/>
    </row>
    <row r="223" spans="1:9" ht="12.95">
      <c r="A223" s="23"/>
      <c r="B223" s="23"/>
      <c r="C223" s="23"/>
      <c r="D223" s="23"/>
      <c r="E223" s="23"/>
      <c r="F223" s="24"/>
      <c r="G223" s="23"/>
      <c r="H223" s="23"/>
      <c r="I223" s="24"/>
    </row>
    <row r="224" spans="1:9" ht="12.95">
      <c r="A224" s="23"/>
      <c r="B224" s="23"/>
      <c r="C224" s="23"/>
      <c r="D224" s="23"/>
      <c r="E224" s="23"/>
      <c r="F224" s="24"/>
      <c r="G224" s="23"/>
      <c r="H224" s="23"/>
      <c r="I224" s="24"/>
    </row>
    <row r="225" spans="1:9" ht="12.95">
      <c r="A225" s="23"/>
      <c r="B225" s="23"/>
      <c r="C225" s="23"/>
      <c r="D225" s="23"/>
      <c r="E225" s="23"/>
      <c r="F225" s="24"/>
      <c r="G225" s="23"/>
      <c r="H225" s="23"/>
      <c r="I225" s="24"/>
    </row>
    <row r="226" spans="1:9" ht="12.95">
      <c r="A226" s="23"/>
      <c r="B226" s="23"/>
      <c r="C226" s="23"/>
      <c r="D226" s="23"/>
      <c r="E226" s="23"/>
      <c r="F226" s="24"/>
      <c r="G226" s="23"/>
      <c r="H226" s="23"/>
      <c r="I226" s="24"/>
    </row>
    <row r="227" spans="1:9" ht="12.95">
      <c r="A227" s="23"/>
      <c r="B227" s="23"/>
      <c r="C227" s="23"/>
      <c r="D227" s="23"/>
      <c r="E227" s="23"/>
      <c r="F227" s="24"/>
      <c r="G227" s="23"/>
      <c r="H227" s="23"/>
      <c r="I227" s="24"/>
    </row>
    <row r="228" spans="1:9" ht="12.95">
      <c r="A228" s="23"/>
      <c r="B228" s="23"/>
      <c r="C228" s="23"/>
      <c r="D228" s="23"/>
      <c r="E228" s="23"/>
      <c r="F228" s="24"/>
      <c r="G228" s="23"/>
      <c r="H228" s="23"/>
      <c r="I228" s="24"/>
    </row>
    <row r="229" spans="1:9" ht="12.95">
      <c r="A229" s="23"/>
      <c r="B229" s="23"/>
      <c r="C229" s="23"/>
      <c r="D229" s="23"/>
      <c r="E229" s="23"/>
      <c r="F229" s="24"/>
      <c r="G229" s="23"/>
      <c r="H229" s="23"/>
      <c r="I229" s="24"/>
    </row>
    <row r="230" spans="1:9" ht="12.95">
      <c r="A230" s="23"/>
      <c r="B230" s="23"/>
      <c r="C230" s="23"/>
      <c r="D230" s="23"/>
      <c r="E230" s="23"/>
      <c r="F230" s="24"/>
      <c r="G230" s="23"/>
      <c r="H230" s="23"/>
      <c r="I230" s="24"/>
    </row>
    <row r="231" spans="1:9" ht="12.95">
      <c r="A231" s="23"/>
      <c r="B231" s="23"/>
      <c r="C231" s="23"/>
      <c r="D231" s="23"/>
      <c r="E231" s="23"/>
      <c r="F231" s="24"/>
      <c r="G231" s="23"/>
      <c r="H231" s="23"/>
      <c r="I231" s="24"/>
    </row>
    <row r="232" spans="1:9" ht="12.95">
      <c r="A232" s="23"/>
      <c r="B232" s="23"/>
      <c r="C232" s="23"/>
      <c r="D232" s="23"/>
      <c r="E232" s="23"/>
      <c r="F232" s="24"/>
      <c r="G232" s="23"/>
      <c r="H232" s="23"/>
      <c r="I232" s="24"/>
    </row>
    <row r="233" spans="1:9" ht="12.95">
      <c r="A233" s="23"/>
      <c r="B233" s="23"/>
      <c r="C233" s="23"/>
      <c r="D233" s="23"/>
      <c r="E233" s="23"/>
      <c r="F233" s="24"/>
      <c r="G233" s="23"/>
      <c r="H233" s="23"/>
      <c r="I233" s="24"/>
    </row>
    <row r="234" spans="1:9" ht="12.95">
      <c r="A234" s="23"/>
      <c r="B234" s="23"/>
      <c r="C234" s="23"/>
      <c r="D234" s="23"/>
      <c r="E234" s="23"/>
      <c r="F234" s="24"/>
      <c r="G234" s="23"/>
      <c r="H234" s="23"/>
      <c r="I234" s="24"/>
    </row>
    <row r="235" spans="1:9" ht="12.95">
      <c r="A235" s="23"/>
      <c r="B235" s="23"/>
      <c r="C235" s="23"/>
      <c r="D235" s="23"/>
      <c r="E235" s="23"/>
      <c r="F235" s="24"/>
      <c r="G235" s="23"/>
      <c r="H235" s="23"/>
      <c r="I235" s="24"/>
    </row>
    <row r="236" spans="1:9" ht="12.95">
      <c r="A236" s="23"/>
      <c r="B236" s="23"/>
      <c r="C236" s="23"/>
      <c r="D236" s="23"/>
      <c r="E236" s="23"/>
      <c r="F236" s="24"/>
      <c r="G236" s="23"/>
      <c r="H236" s="23"/>
      <c r="I236" s="24"/>
    </row>
    <row r="237" spans="1:9" ht="12.95">
      <c r="A237" s="23"/>
      <c r="B237" s="23"/>
      <c r="C237" s="23"/>
      <c r="D237" s="23"/>
      <c r="E237" s="23"/>
      <c r="F237" s="24"/>
      <c r="G237" s="23"/>
      <c r="H237" s="23"/>
      <c r="I237" s="24"/>
    </row>
    <row r="238" spans="1:9" ht="12.95">
      <c r="A238" s="23"/>
      <c r="B238" s="23"/>
      <c r="C238" s="23"/>
      <c r="D238" s="23"/>
      <c r="E238" s="23"/>
      <c r="F238" s="24"/>
      <c r="G238" s="23"/>
      <c r="H238" s="23"/>
      <c r="I238" s="24"/>
    </row>
    <row r="239" spans="1:9" ht="12.95">
      <c r="A239" s="23"/>
      <c r="B239" s="23"/>
      <c r="C239" s="23"/>
      <c r="D239" s="23"/>
      <c r="E239" s="23"/>
      <c r="F239" s="24"/>
      <c r="G239" s="23"/>
      <c r="H239" s="23"/>
      <c r="I239" s="24"/>
    </row>
    <row r="240" spans="1:9" ht="12.95">
      <c r="A240" s="23"/>
      <c r="B240" s="23"/>
      <c r="C240" s="23"/>
      <c r="D240" s="23"/>
      <c r="E240" s="23"/>
      <c r="F240" s="24"/>
      <c r="G240" s="23"/>
      <c r="H240" s="23"/>
      <c r="I240" s="24"/>
    </row>
    <row r="241" spans="1:9" ht="12.95">
      <c r="A241" s="23"/>
      <c r="B241" s="23"/>
      <c r="C241" s="23"/>
      <c r="D241" s="23"/>
      <c r="E241" s="23"/>
      <c r="F241" s="24"/>
      <c r="G241" s="23"/>
      <c r="H241" s="23"/>
      <c r="I241" s="24"/>
    </row>
    <row r="242" spans="1:9" ht="12.95">
      <c r="A242" s="23"/>
      <c r="B242" s="23"/>
      <c r="C242" s="23"/>
      <c r="D242" s="23"/>
      <c r="E242" s="23"/>
      <c r="F242" s="24"/>
      <c r="G242" s="23"/>
      <c r="H242" s="23"/>
      <c r="I242" s="24"/>
    </row>
    <row r="243" spans="1:9" ht="12.95">
      <c r="A243" s="23"/>
      <c r="B243" s="23"/>
      <c r="C243" s="23"/>
      <c r="D243" s="23"/>
      <c r="E243" s="23"/>
      <c r="F243" s="24"/>
      <c r="G243" s="23"/>
      <c r="H243" s="23"/>
      <c r="I243" s="24"/>
    </row>
    <row r="244" spans="1:9" ht="12.95">
      <c r="A244" s="23"/>
      <c r="B244" s="23"/>
      <c r="C244" s="23"/>
      <c r="D244" s="23"/>
      <c r="E244" s="23"/>
      <c r="F244" s="24"/>
      <c r="G244" s="23"/>
      <c r="H244" s="23"/>
      <c r="I244" s="24"/>
    </row>
    <row r="245" spans="1:9" ht="12.95">
      <c r="A245" s="23"/>
      <c r="B245" s="23"/>
      <c r="C245" s="23"/>
      <c r="D245" s="23"/>
      <c r="E245" s="23"/>
      <c r="F245" s="24"/>
      <c r="G245" s="23"/>
      <c r="H245" s="23"/>
      <c r="I245" s="24"/>
    </row>
    <row r="246" spans="1:9" ht="12.95">
      <c r="A246" s="23"/>
      <c r="B246" s="23"/>
      <c r="C246" s="23"/>
      <c r="D246" s="23"/>
      <c r="E246" s="23"/>
      <c r="F246" s="24"/>
      <c r="G246" s="23"/>
      <c r="H246" s="23"/>
      <c r="I246" s="24"/>
    </row>
    <row r="247" spans="1:9" ht="12.95">
      <c r="A247" s="23"/>
      <c r="B247" s="23"/>
      <c r="C247" s="23"/>
      <c r="D247" s="23"/>
      <c r="E247" s="23"/>
      <c r="F247" s="24"/>
      <c r="G247" s="23"/>
      <c r="H247" s="23"/>
      <c r="I247" s="24"/>
    </row>
    <row r="248" spans="1:9" ht="12.95">
      <c r="A248" s="23"/>
      <c r="B248" s="23"/>
      <c r="C248" s="23"/>
      <c r="D248" s="23"/>
      <c r="E248" s="23"/>
      <c r="F248" s="24"/>
      <c r="G248" s="23"/>
      <c r="H248" s="23"/>
      <c r="I248" s="24"/>
    </row>
    <row r="249" spans="1:9" ht="12.95">
      <c r="A249" s="23"/>
      <c r="B249" s="23"/>
      <c r="C249" s="23"/>
      <c r="D249" s="23"/>
      <c r="E249" s="23"/>
      <c r="F249" s="24"/>
      <c r="G249" s="23"/>
      <c r="H249" s="23"/>
      <c r="I249" s="24"/>
    </row>
    <row r="250" spans="1:9" ht="12.95">
      <c r="A250" s="23"/>
      <c r="B250" s="23"/>
      <c r="C250" s="23"/>
      <c r="D250" s="23"/>
      <c r="E250" s="23"/>
      <c r="F250" s="24"/>
      <c r="G250" s="23"/>
      <c r="H250" s="23"/>
      <c r="I250" s="24"/>
    </row>
    <row r="251" spans="1:9" ht="12.95">
      <c r="A251" s="23"/>
      <c r="B251" s="23"/>
      <c r="C251" s="23"/>
      <c r="D251" s="23"/>
      <c r="E251" s="23"/>
      <c r="F251" s="24"/>
      <c r="G251" s="23"/>
      <c r="H251" s="23"/>
      <c r="I251" s="24"/>
    </row>
    <row r="252" spans="1:9" ht="12.95">
      <c r="A252" s="23"/>
      <c r="B252" s="23"/>
      <c r="C252" s="23"/>
      <c r="D252" s="23"/>
      <c r="E252" s="23"/>
      <c r="F252" s="24"/>
      <c r="G252" s="23"/>
      <c r="H252" s="23"/>
      <c r="I252" s="24"/>
    </row>
    <row r="253" spans="1:9" ht="12.95">
      <c r="A253" s="23"/>
      <c r="B253" s="23"/>
      <c r="C253" s="23"/>
      <c r="D253" s="23"/>
      <c r="E253" s="23"/>
      <c r="F253" s="24"/>
      <c r="G253" s="23"/>
      <c r="H253" s="23"/>
      <c r="I253" s="24"/>
    </row>
    <row r="254" spans="1:9" ht="12.95">
      <c r="A254" s="23"/>
      <c r="B254" s="23"/>
      <c r="C254" s="23"/>
      <c r="D254" s="23"/>
      <c r="E254" s="23"/>
      <c r="F254" s="24"/>
      <c r="G254" s="23"/>
      <c r="H254" s="23"/>
      <c r="I254" s="24"/>
    </row>
    <row r="255" spans="1:9" ht="12.95">
      <c r="A255" s="23"/>
      <c r="B255" s="23"/>
      <c r="C255" s="23"/>
      <c r="D255" s="23"/>
      <c r="E255" s="23"/>
      <c r="F255" s="24"/>
      <c r="G255" s="23"/>
      <c r="H255" s="23"/>
      <c r="I255" s="24"/>
    </row>
    <row r="256" spans="1:9" ht="12.95">
      <c r="A256" s="23"/>
      <c r="B256" s="23"/>
      <c r="C256" s="23"/>
      <c r="D256" s="23"/>
      <c r="E256" s="23"/>
      <c r="F256" s="24"/>
      <c r="G256" s="23"/>
      <c r="H256" s="23"/>
      <c r="I256" s="24"/>
    </row>
    <row r="257" spans="1:9" ht="12.95">
      <c r="A257" s="23"/>
      <c r="B257" s="23"/>
      <c r="C257" s="23"/>
      <c r="D257" s="23"/>
      <c r="E257" s="23"/>
      <c r="F257" s="24"/>
      <c r="G257" s="23"/>
      <c r="H257" s="23"/>
      <c r="I257" s="24"/>
    </row>
    <row r="258" spans="1:9" ht="12.95">
      <c r="A258" s="23"/>
      <c r="B258" s="23"/>
      <c r="C258" s="23"/>
      <c r="D258" s="23"/>
      <c r="E258" s="23"/>
      <c r="F258" s="24"/>
      <c r="G258" s="23"/>
      <c r="H258" s="23"/>
      <c r="I258" s="24"/>
    </row>
    <row r="259" spans="1:9" ht="12.95">
      <c r="A259" s="23"/>
      <c r="B259" s="23"/>
      <c r="C259" s="23"/>
      <c r="D259" s="23"/>
      <c r="E259" s="23"/>
      <c r="F259" s="24"/>
      <c r="G259" s="23"/>
      <c r="H259" s="23"/>
      <c r="I259" s="24"/>
    </row>
    <row r="260" spans="1:9" ht="12.95">
      <c r="A260" s="23"/>
      <c r="B260" s="23"/>
      <c r="C260" s="23"/>
      <c r="D260" s="23"/>
      <c r="E260" s="23"/>
      <c r="F260" s="24"/>
      <c r="G260" s="23"/>
      <c r="H260" s="23"/>
      <c r="I260" s="24"/>
    </row>
    <row r="261" spans="1:9" ht="12.95">
      <c r="A261" s="23"/>
      <c r="B261" s="23"/>
      <c r="C261" s="23"/>
      <c r="D261" s="23"/>
      <c r="E261" s="23"/>
      <c r="F261" s="24"/>
      <c r="G261" s="23"/>
      <c r="H261" s="23"/>
      <c r="I261" s="24"/>
    </row>
    <row r="262" spans="1:9" ht="12.95">
      <c r="A262" s="23"/>
      <c r="B262" s="23"/>
      <c r="C262" s="23"/>
      <c r="D262" s="23"/>
      <c r="E262" s="23"/>
      <c r="F262" s="24"/>
      <c r="G262" s="23"/>
      <c r="H262" s="23"/>
      <c r="I262" s="24"/>
    </row>
    <row r="263" spans="1:9" ht="12.95">
      <c r="A263" s="23"/>
      <c r="B263" s="23"/>
      <c r="C263" s="23"/>
      <c r="D263" s="23"/>
      <c r="E263" s="23"/>
      <c r="F263" s="24"/>
      <c r="G263" s="23"/>
      <c r="H263" s="23"/>
      <c r="I263" s="24"/>
    </row>
    <row r="264" spans="1:9" ht="12.95">
      <c r="A264" s="23"/>
      <c r="B264" s="23"/>
      <c r="C264" s="23"/>
      <c r="D264" s="23"/>
      <c r="E264" s="23"/>
      <c r="F264" s="24"/>
      <c r="G264" s="23"/>
      <c r="H264" s="23"/>
      <c r="I264" s="24"/>
    </row>
    <row r="265" spans="1:9" ht="12.95">
      <c r="A265" s="23"/>
      <c r="B265" s="23"/>
      <c r="C265" s="23"/>
      <c r="D265" s="23"/>
      <c r="E265" s="23"/>
      <c r="F265" s="24"/>
      <c r="G265" s="23"/>
      <c r="H265" s="23"/>
      <c r="I265" s="24"/>
    </row>
    <row r="266" spans="1:9" ht="12.95">
      <c r="A266" s="23"/>
      <c r="B266" s="23"/>
      <c r="C266" s="23"/>
      <c r="D266" s="23"/>
      <c r="E266" s="23"/>
      <c r="F266" s="24"/>
      <c r="G266" s="23"/>
      <c r="H266" s="23"/>
      <c r="I266" s="24"/>
    </row>
    <row r="267" spans="1:9" ht="12.95">
      <c r="A267" s="23"/>
      <c r="B267" s="23"/>
      <c r="C267" s="23"/>
      <c r="D267" s="23"/>
      <c r="E267" s="23"/>
      <c r="F267" s="24"/>
      <c r="G267" s="23"/>
      <c r="H267" s="23"/>
      <c r="I267" s="24"/>
    </row>
    <row r="268" spans="1:9" ht="12.95">
      <c r="A268" s="23"/>
      <c r="B268" s="23"/>
      <c r="C268" s="23"/>
      <c r="D268" s="23"/>
      <c r="E268" s="23"/>
      <c r="F268" s="24"/>
      <c r="G268" s="23"/>
      <c r="H268" s="23"/>
      <c r="I268" s="24"/>
    </row>
    <row r="269" spans="1:9" ht="12.95">
      <c r="A269" s="23"/>
      <c r="B269" s="23"/>
      <c r="C269" s="23"/>
      <c r="D269" s="23"/>
      <c r="E269" s="23"/>
      <c r="F269" s="24"/>
      <c r="G269" s="23"/>
      <c r="H269" s="23"/>
      <c r="I269" s="24"/>
    </row>
    <row r="270" spans="1:9" ht="12.95">
      <c r="A270" s="23"/>
      <c r="B270" s="23"/>
      <c r="C270" s="23"/>
      <c r="D270" s="23"/>
      <c r="E270" s="23"/>
      <c r="F270" s="24"/>
      <c r="G270" s="23"/>
      <c r="H270" s="23"/>
      <c r="I270" s="24"/>
    </row>
    <row r="271" spans="1:9" ht="12.95">
      <c r="A271" s="23"/>
      <c r="B271" s="23"/>
      <c r="C271" s="23"/>
      <c r="D271" s="23"/>
      <c r="E271" s="23"/>
      <c r="F271" s="24"/>
      <c r="G271" s="23"/>
      <c r="H271" s="23"/>
      <c r="I271" s="24"/>
    </row>
    <row r="272" spans="1:9" ht="12.95">
      <c r="A272" s="23"/>
      <c r="B272" s="23"/>
      <c r="C272" s="23"/>
      <c r="D272" s="23"/>
      <c r="E272" s="23"/>
      <c r="F272" s="24"/>
      <c r="G272" s="23"/>
      <c r="H272" s="23"/>
      <c r="I272" s="24"/>
    </row>
    <row r="273" spans="1:9" ht="12.95">
      <c r="A273" s="23"/>
      <c r="B273" s="23"/>
      <c r="C273" s="23"/>
      <c r="D273" s="23"/>
      <c r="E273" s="23"/>
      <c r="F273" s="24"/>
      <c r="G273" s="23"/>
      <c r="H273" s="23"/>
      <c r="I273" s="24"/>
    </row>
    <row r="274" spans="1:9" ht="12.95">
      <c r="A274" s="23"/>
      <c r="B274" s="23"/>
      <c r="C274" s="23"/>
      <c r="D274" s="23"/>
      <c r="E274" s="23"/>
      <c r="F274" s="24"/>
      <c r="G274" s="23"/>
      <c r="H274" s="23"/>
      <c r="I274" s="24"/>
    </row>
    <row r="275" spans="1:9" ht="12.95">
      <c r="A275" s="23"/>
      <c r="B275" s="23"/>
      <c r="C275" s="23"/>
      <c r="D275" s="23"/>
      <c r="E275" s="23"/>
      <c r="F275" s="24"/>
      <c r="G275" s="23"/>
      <c r="H275" s="23"/>
      <c r="I275" s="24"/>
    </row>
    <row r="276" spans="1:9" ht="12.95">
      <c r="A276" s="23"/>
      <c r="B276" s="23"/>
      <c r="C276" s="23"/>
      <c r="D276" s="23"/>
      <c r="E276" s="23"/>
      <c r="F276" s="24"/>
      <c r="G276" s="23"/>
      <c r="H276" s="23"/>
      <c r="I276" s="24"/>
    </row>
    <row r="277" spans="1:9" ht="12.95">
      <c r="A277" s="23"/>
      <c r="B277" s="23"/>
      <c r="C277" s="23"/>
      <c r="D277" s="23"/>
      <c r="E277" s="23"/>
      <c r="F277" s="24"/>
      <c r="G277" s="23"/>
      <c r="H277" s="23"/>
      <c r="I277" s="24"/>
    </row>
    <row r="278" spans="1:9" ht="12.95">
      <c r="A278" s="23"/>
      <c r="B278" s="23"/>
      <c r="C278" s="23"/>
      <c r="D278" s="23"/>
      <c r="E278" s="23"/>
      <c r="F278" s="24"/>
      <c r="G278" s="23"/>
      <c r="H278" s="23"/>
      <c r="I278" s="24"/>
    </row>
    <row r="279" spans="1:9" ht="12.95">
      <c r="A279" s="23"/>
      <c r="B279" s="23"/>
      <c r="C279" s="23"/>
      <c r="D279" s="23"/>
      <c r="E279" s="23"/>
      <c r="F279" s="24"/>
      <c r="G279" s="23"/>
      <c r="H279" s="23"/>
      <c r="I279" s="24"/>
    </row>
    <row r="280" spans="1:9" ht="12.95">
      <c r="A280" s="23"/>
      <c r="B280" s="23"/>
      <c r="C280" s="23"/>
      <c r="D280" s="23"/>
      <c r="E280" s="23"/>
      <c r="F280" s="24"/>
      <c r="G280" s="23"/>
      <c r="H280" s="23"/>
      <c r="I280" s="24"/>
    </row>
    <row r="281" spans="1:9" ht="12.95">
      <c r="A281" s="23"/>
      <c r="B281" s="23"/>
      <c r="C281" s="23"/>
      <c r="D281" s="23"/>
      <c r="E281" s="23"/>
      <c r="F281" s="24"/>
      <c r="G281" s="23"/>
      <c r="H281" s="23"/>
      <c r="I281" s="24"/>
    </row>
    <row r="282" spans="1:9" ht="12.95">
      <c r="A282" s="23"/>
      <c r="B282" s="23"/>
      <c r="C282" s="23"/>
      <c r="D282" s="23"/>
      <c r="E282" s="23"/>
      <c r="F282" s="24"/>
      <c r="G282" s="23"/>
      <c r="H282" s="23"/>
      <c r="I282" s="24"/>
    </row>
    <row r="283" spans="1:9" ht="12.95">
      <c r="A283" s="23"/>
      <c r="B283" s="23"/>
      <c r="C283" s="23"/>
      <c r="D283" s="23"/>
      <c r="E283" s="23"/>
      <c r="F283" s="24"/>
      <c r="G283" s="23"/>
      <c r="H283" s="23"/>
      <c r="I283" s="24"/>
    </row>
    <row r="284" spans="1:9" ht="12.95">
      <c r="A284" s="23"/>
      <c r="B284" s="23"/>
      <c r="C284" s="23"/>
      <c r="D284" s="23"/>
      <c r="E284" s="23"/>
      <c r="F284" s="24"/>
      <c r="G284" s="23"/>
      <c r="H284" s="23"/>
      <c r="I284" s="24"/>
    </row>
    <row r="285" spans="1:9" ht="12.95">
      <c r="A285" s="23"/>
      <c r="B285" s="23"/>
      <c r="C285" s="23"/>
      <c r="D285" s="23"/>
      <c r="E285" s="23"/>
      <c r="F285" s="24"/>
      <c r="G285" s="23"/>
      <c r="H285" s="23"/>
      <c r="I285" s="24"/>
    </row>
    <row r="286" spans="1:9" ht="12.95">
      <c r="A286" s="23"/>
      <c r="B286" s="23"/>
      <c r="C286" s="23"/>
      <c r="D286" s="23"/>
      <c r="E286" s="23"/>
      <c r="F286" s="24"/>
      <c r="G286" s="23"/>
      <c r="H286" s="23"/>
      <c r="I286" s="24"/>
    </row>
    <row r="287" spans="1:9" ht="12.95">
      <c r="A287" s="23"/>
      <c r="B287" s="23"/>
      <c r="C287" s="23"/>
      <c r="D287" s="23"/>
      <c r="E287" s="23"/>
      <c r="F287" s="24"/>
      <c r="G287" s="23"/>
      <c r="H287" s="23"/>
      <c r="I287" s="24"/>
    </row>
    <row r="288" spans="1:9" ht="12.95">
      <c r="A288" s="23"/>
      <c r="B288" s="23"/>
      <c r="C288" s="23"/>
      <c r="D288" s="23"/>
      <c r="E288" s="23"/>
      <c r="F288" s="24"/>
      <c r="G288" s="23"/>
      <c r="H288" s="23"/>
      <c r="I288" s="24"/>
    </row>
    <row r="289" spans="1:9" ht="12.95">
      <c r="A289" s="23"/>
      <c r="B289" s="23"/>
      <c r="C289" s="23"/>
      <c r="D289" s="23"/>
      <c r="E289" s="23"/>
      <c r="F289" s="24"/>
      <c r="G289" s="23"/>
      <c r="H289" s="23"/>
      <c r="I289" s="24"/>
    </row>
    <row r="290" spans="1:9" ht="12.95">
      <c r="A290" s="23"/>
      <c r="B290" s="23"/>
      <c r="C290" s="23"/>
      <c r="D290" s="23"/>
      <c r="E290" s="23"/>
      <c r="F290" s="24"/>
      <c r="G290" s="23"/>
      <c r="H290" s="23"/>
      <c r="I290" s="24"/>
    </row>
    <row r="291" spans="1:9" ht="12.95">
      <c r="A291" s="23"/>
      <c r="B291" s="23"/>
      <c r="C291" s="23"/>
      <c r="D291" s="23"/>
      <c r="E291" s="23"/>
      <c r="F291" s="24"/>
      <c r="G291" s="23"/>
      <c r="H291" s="23"/>
      <c r="I291" s="24"/>
    </row>
    <row r="292" spans="1:9" ht="12.95">
      <c r="A292" s="23"/>
      <c r="B292" s="23"/>
      <c r="C292" s="23"/>
      <c r="D292" s="23"/>
      <c r="E292" s="23"/>
      <c r="F292" s="24"/>
      <c r="G292" s="23"/>
      <c r="H292" s="23"/>
      <c r="I292" s="24"/>
    </row>
    <row r="293" spans="1:9" ht="12.95">
      <c r="A293" s="23"/>
      <c r="B293" s="23"/>
      <c r="C293" s="23"/>
      <c r="D293" s="23"/>
      <c r="E293" s="23"/>
      <c r="F293" s="24"/>
      <c r="G293" s="23"/>
      <c r="H293" s="23"/>
      <c r="I293" s="24"/>
    </row>
    <row r="294" spans="1:9" ht="12.95">
      <c r="A294" s="23"/>
      <c r="B294" s="23"/>
      <c r="C294" s="23"/>
      <c r="D294" s="23"/>
      <c r="E294" s="23"/>
      <c r="F294" s="24"/>
      <c r="G294" s="23"/>
      <c r="H294" s="23"/>
      <c r="I294" s="24"/>
    </row>
    <row r="295" spans="1:9" ht="12.95">
      <c r="A295" s="23"/>
      <c r="B295" s="23"/>
      <c r="C295" s="23"/>
      <c r="D295" s="23"/>
      <c r="E295" s="23"/>
      <c r="F295" s="24"/>
      <c r="G295" s="23"/>
      <c r="H295" s="23"/>
      <c r="I295" s="24"/>
    </row>
    <row r="296" spans="1:9" ht="12.95">
      <c r="A296" s="23"/>
      <c r="B296" s="23"/>
      <c r="C296" s="23"/>
      <c r="D296" s="23"/>
      <c r="E296" s="23"/>
      <c r="F296" s="24"/>
      <c r="G296" s="23"/>
      <c r="H296" s="23"/>
      <c r="I296" s="24"/>
    </row>
    <row r="297" spans="1:9" ht="12.95">
      <c r="A297" s="23"/>
      <c r="B297" s="23"/>
      <c r="C297" s="23"/>
      <c r="D297" s="23"/>
      <c r="E297" s="23"/>
      <c r="F297" s="24"/>
      <c r="G297" s="23"/>
      <c r="H297" s="23"/>
      <c r="I297" s="24"/>
    </row>
    <row r="298" spans="1:9" ht="12.95">
      <c r="A298" s="23"/>
      <c r="B298" s="23"/>
      <c r="C298" s="23"/>
      <c r="D298" s="23"/>
      <c r="E298" s="23"/>
      <c r="F298" s="24"/>
      <c r="G298" s="23"/>
      <c r="H298" s="23"/>
      <c r="I298" s="24"/>
    </row>
    <row r="299" spans="1:9" ht="12.95">
      <c r="A299" s="23"/>
      <c r="B299" s="23"/>
      <c r="C299" s="23"/>
      <c r="D299" s="23"/>
      <c r="E299" s="23"/>
      <c r="F299" s="24"/>
      <c r="G299" s="23"/>
      <c r="H299" s="23"/>
      <c r="I299" s="24"/>
    </row>
    <row r="300" spans="1:9" ht="12.95">
      <c r="A300" s="23"/>
      <c r="B300" s="23"/>
      <c r="C300" s="23"/>
      <c r="D300" s="23"/>
      <c r="E300" s="23"/>
      <c r="F300" s="24"/>
      <c r="G300" s="23"/>
      <c r="H300" s="23"/>
      <c r="I300" s="24"/>
    </row>
    <row r="301" spans="1:9" ht="12.95">
      <c r="A301" s="23"/>
      <c r="B301" s="23"/>
      <c r="C301" s="23"/>
      <c r="D301" s="23"/>
      <c r="E301" s="23"/>
      <c r="F301" s="24"/>
      <c r="G301" s="23"/>
      <c r="H301" s="23"/>
      <c r="I301" s="24"/>
    </row>
    <row r="302" spans="1:9" ht="12.95">
      <c r="A302" s="23"/>
      <c r="B302" s="23"/>
      <c r="C302" s="23"/>
      <c r="D302" s="23"/>
      <c r="E302" s="23"/>
      <c r="F302" s="24"/>
      <c r="G302" s="23"/>
      <c r="H302" s="23"/>
      <c r="I302" s="24"/>
    </row>
    <row r="303" spans="1:9" ht="12.95">
      <c r="A303" s="23"/>
      <c r="B303" s="23"/>
      <c r="C303" s="23"/>
      <c r="D303" s="23"/>
      <c r="E303" s="23"/>
      <c r="F303" s="24"/>
      <c r="G303" s="23"/>
      <c r="H303" s="23"/>
      <c r="I303" s="24"/>
    </row>
    <row r="304" spans="1:9" ht="12.95">
      <c r="A304" s="23"/>
      <c r="B304" s="23"/>
      <c r="C304" s="23"/>
      <c r="D304" s="23"/>
      <c r="E304" s="23"/>
      <c r="F304" s="24"/>
      <c r="G304" s="23"/>
      <c r="H304" s="23"/>
      <c r="I304" s="24"/>
    </row>
    <row r="305" spans="1:9" ht="12.95">
      <c r="A305" s="23"/>
      <c r="B305" s="23"/>
      <c r="C305" s="23"/>
      <c r="D305" s="23"/>
      <c r="E305" s="23"/>
      <c r="F305" s="24"/>
      <c r="G305" s="23"/>
      <c r="H305" s="23"/>
      <c r="I305" s="24"/>
    </row>
    <row r="306" spans="1:9" ht="12.95">
      <c r="A306" s="23"/>
      <c r="B306" s="23"/>
      <c r="C306" s="23"/>
      <c r="D306" s="23"/>
      <c r="E306" s="23"/>
      <c r="F306" s="24"/>
      <c r="G306" s="23"/>
      <c r="H306" s="23"/>
      <c r="I306" s="24"/>
    </row>
    <row r="307" spans="1:9" ht="12.95">
      <c r="A307" s="23"/>
      <c r="B307" s="23"/>
      <c r="C307" s="23"/>
      <c r="D307" s="23"/>
      <c r="E307" s="23"/>
      <c r="F307" s="24"/>
      <c r="G307" s="23"/>
      <c r="H307" s="23"/>
      <c r="I307" s="24"/>
    </row>
    <row r="308" spans="1:9" ht="12.95">
      <c r="A308" s="23"/>
      <c r="B308" s="23"/>
      <c r="C308" s="23"/>
      <c r="D308" s="23"/>
      <c r="E308" s="23"/>
      <c r="F308" s="24"/>
      <c r="G308" s="23"/>
      <c r="H308" s="23"/>
      <c r="I308" s="24"/>
    </row>
    <row r="309" spans="1:9" ht="12.95">
      <c r="A309" s="23"/>
      <c r="B309" s="23"/>
      <c r="C309" s="23"/>
      <c r="D309" s="23"/>
      <c r="E309" s="23"/>
      <c r="F309" s="24"/>
      <c r="G309" s="23"/>
      <c r="H309" s="23"/>
      <c r="I309" s="24"/>
    </row>
    <row r="310" spans="1:9" ht="12.95">
      <c r="A310" s="23"/>
      <c r="B310" s="23"/>
      <c r="C310" s="23"/>
      <c r="D310" s="23"/>
      <c r="E310" s="23"/>
      <c r="F310" s="24"/>
      <c r="G310" s="23"/>
      <c r="H310" s="23"/>
      <c r="I310" s="24"/>
    </row>
    <row r="311" spans="1:9" ht="12.95">
      <c r="A311" s="23"/>
      <c r="B311" s="23"/>
      <c r="C311" s="23"/>
      <c r="D311" s="23"/>
      <c r="E311" s="23"/>
      <c r="F311" s="24"/>
      <c r="G311" s="23"/>
      <c r="H311" s="23"/>
      <c r="I311" s="24"/>
    </row>
    <row r="312" spans="1:9" ht="12.95">
      <c r="A312" s="23"/>
      <c r="B312" s="23"/>
      <c r="C312" s="23"/>
      <c r="D312" s="23"/>
      <c r="E312" s="23"/>
      <c r="F312" s="24"/>
      <c r="G312" s="23"/>
      <c r="H312" s="23"/>
      <c r="I312" s="24"/>
    </row>
    <row r="313" spans="1:9" ht="12.95">
      <c r="A313" s="23"/>
      <c r="B313" s="23"/>
      <c r="C313" s="23"/>
      <c r="D313" s="23"/>
      <c r="E313" s="23"/>
      <c r="F313" s="24"/>
      <c r="G313" s="23"/>
      <c r="H313" s="23"/>
      <c r="I313" s="24"/>
    </row>
    <row r="314" spans="1:9" ht="12.95">
      <c r="A314" s="23"/>
      <c r="B314" s="23"/>
      <c r="C314" s="23"/>
      <c r="D314" s="23"/>
      <c r="E314" s="23"/>
      <c r="F314" s="24"/>
      <c r="G314" s="23"/>
      <c r="H314" s="23"/>
      <c r="I314" s="24"/>
    </row>
    <row r="315" spans="1:9" ht="12.95">
      <c r="A315" s="23"/>
      <c r="B315" s="23"/>
      <c r="C315" s="23"/>
      <c r="D315" s="23"/>
      <c r="E315" s="23"/>
      <c r="F315" s="24"/>
      <c r="G315" s="23"/>
      <c r="H315" s="23"/>
      <c r="I315" s="24"/>
    </row>
    <row r="316" spans="1:9" ht="12.95">
      <c r="A316" s="23"/>
      <c r="B316" s="23"/>
      <c r="C316" s="23"/>
      <c r="D316" s="23"/>
      <c r="E316" s="23"/>
      <c r="F316" s="24"/>
      <c r="G316" s="23"/>
      <c r="H316" s="23"/>
      <c r="I316" s="24"/>
    </row>
    <row r="317" spans="1:9" ht="12.95">
      <c r="A317" s="23"/>
      <c r="B317" s="23"/>
      <c r="C317" s="23"/>
      <c r="D317" s="23"/>
      <c r="E317" s="23"/>
      <c r="F317" s="24"/>
      <c r="G317" s="23"/>
      <c r="H317" s="23"/>
      <c r="I317" s="24"/>
    </row>
    <row r="318" spans="1:9" ht="12.95">
      <c r="A318" s="23"/>
      <c r="B318" s="23"/>
      <c r="C318" s="23"/>
      <c r="D318" s="23"/>
      <c r="E318" s="23"/>
      <c r="F318" s="24"/>
      <c r="G318" s="23"/>
      <c r="H318" s="23"/>
      <c r="I318" s="24"/>
    </row>
    <row r="319" spans="1:9" ht="12.95">
      <c r="A319" s="23"/>
      <c r="B319" s="23"/>
      <c r="C319" s="23"/>
      <c r="D319" s="23"/>
      <c r="E319" s="23"/>
      <c r="F319" s="24"/>
      <c r="G319" s="23"/>
      <c r="H319" s="23"/>
      <c r="I319" s="24"/>
    </row>
    <row r="320" spans="1:9" ht="12.95">
      <c r="A320" s="23"/>
      <c r="B320" s="23"/>
      <c r="C320" s="23"/>
      <c r="D320" s="23"/>
      <c r="E320" s="23"/>
      <c r="F320" s="24"/>
      <c r="G320" s="23"/>
      <c r="H320" s="23"/>
      <c r="I320" s="24"/>
    </row>
    <row r="321" spans="1:9" ht="12.95">
      <c r="A321" s="23"/>
      <c r="B321" s="23"/>
      <c r="C321" s="23"/>
      <c r="D321" s="23"/>
      <c r="E321" s="23"/>
      <c r="F321" s="24"/>
      <c r="G321" s="23"/>
      <c r="H321" s="23"/>
      <c r="I321" s="24"/>
    </row>
    <row r="322" spans="1:9" ht="12.95">
      <c r="A322" s="23"/>
      <c r="B322" s="23"/>
      <c r="C322" s="23"/>
      <c r="D322" s="23"/>
      <c r="E322" s="23"/>
      <c r="F322" s="24"/>
      <c r="G322" s="23"/>
      <c r="H322" s="23"/>
      <c r="I322" s="24"/>
    </row>
    <row r="323" spans="1:9" ht="12.95">
      <c r="A323" s="23"/>
      <c r="B323" s="23"/>
      <c r="C323" s="23"/>
      <c r="D323" s="23"/>
      <c r="E323" s="23"/>
      <c r="F323" s="24"/>
      <c r="G323" s="23"/>
      <c r="H323" s="23"/>
      <c r="I323" s="24"/>
    </row>
    <row r="324" spans="1:9" ht="12.95">
      <c r="A324" s="23"/>
      <c r="B324" s="23"/>
      <c r="C324" s="23"/>
      <c r="D324" s="23"/>
      <c r="E324" s="23"/>
      <c r="F324" s="24"/>
      <c r="G324" s="23"/>
      <c r="H324" s="23"/>
      <c r="I324" s="24"/>
    </row>
    <row r="325" spans="1:9" ht="12.95">
      <c r="A325" s="23"/>
      <c r="B325" s="23"/>
      <c r="C325" s="23"/>
      <c r="D325" s="23"/>
      <c r="E325" s="23"/>
      <c r="F325" s="24"/>
      <c r="G325" s="23"/>
      <c r="H325" s="23"/>
      <c r="I325" s="24"/>
    </row>
    <row r="326" spans="1:9" ht="12.95">
      <c r="A326" s="23"/>
      <c r="B326" s="23"/>
      <c r="C326" s="23"/>
      <c r="D326" s="23"/>
      <c r="E326" s="23"/>
      <c r="F326" s="24"/>
      <c r="G326" s="23"/>
      <c r="H326" s="23"/>
      <c r="I326" s="24"/>
    </row>
    <row r="327" spans="1:9" ht="12.95">
      <c r="A327" s="23"/>
      <c r="B327" s="23"/>
      <c r="C327" s="23"/>
      <c r="D327" s="23"/>
      <c r="E327" s="23"/>
      <c r="F327" s="24"/>
      <c r="G327" s="23"/>
      <c r="H327" s="23"/>
      <c r="I327" s="24"/>
    </row>
    <row r="328" spans="1:9" ht="12.95">
      <c r="A328" s="23"/>
      <c r="B328" s="23"/>
      <c r="C328" s="23"/>
      <c r="D328" s="23"/>
      <c r="E328" s="23"/>
      <c r="F328" s="24"/>
      <c r="G328" s="23"/>
      <c r="H328" s="23"/>
      <c r="I328" s="24"/>
    </row>
    <row r="329" spans="1:9" ht="12.95">
      <c r="A329" s="23"/>
      <c r="B329" s="23"/>
      <c r="C329" s="23"/>
      <c r="D329" s="23"/>
      <c r="E329" s="23"/>
      <c r="F329" s="24"/>
      <c r="G329" s="23"/>
      <c r="H329" s="23"/>
      <c r="I329" s="24"/>
    </row>
    <row r="330" spans="1:9" ht="12.95">
      <c r="A330" s="23"/>
      <c r="B330" s="23"/>
      <c r="C330" s="23"/>
      <c r="D330" s="23"/>
      <c r="E330" s="23"/>
      <c r="F330" s="24"/>
      <c r="G330" s="23"/>
      <c r="H330" s="23"/>
      <c r="I330" s="24"/>
    </row>
    <row r="331" spans="1:9" ht="12.95">
      <c r="A331" s="23"/>
      <c r="B331" s="23"/>
      <c r="C331" s="23"/>
      <c r="D331" s="23"/>
      <c r="E331" s="23"/>
      <c r="F331" s="24"/>
      <c r="G331" s="23"/>
      <c r="H331" s="23"/>
      <c r="I331" s="24"/>
    </row>
    <row r="332" spans="1:9" ht="12.95">
      <c r="A332" s="23"/>
      <c r="B332" s="23"/>
      <c r="C332" s="23"/>
      <c r="D332" s="23"/>
      <c r="E332" s="23"/>
      <c r="F332" s="24"/>
      <c r="G332" s="23"/>
      <c r="H332" s="23"/>
      <c r="I332" s="24"/>
    </row>
    <row r="333" spans="1:9" ht="12.95">
      <c r="A333" s="23"/>
      <c r="B333" s="23"/>
      <c r="C333" s="23"/>
      <c r="D333" s="23"/>
      <c r="E333" s="23"/>
      <c r="F333" s="24"/>
      <c r="G333" s="23"/>
      <c r="H333" s="23"/>
      <c r="I333" s="24"/>
    </row>
    <row r="334" spans="1:9" ht="12.95">
      <c r="A334" s="23"/>
      <c r="B334" s="23"/>
      <c r="C334" s="23"/>
      <c r="D334" s="23"/>
      <c r="E334" s="23"/>
      <c r="F334" s="24"/>
      <c r="G334" s="23"/>
      <c r="H334" s="23"/>
      <c r="I334" s="24"/>
    </row>
    <row r="335" spans="1:9" ht="12.95">
      <c r="A335" s="23"/>
      <c r="B335" s="23"/>
      <c r="C335" s="23"/>
      <c r="D335" s="23"/>
      <c r="E335" s="23"/>
      <c r="F335" s="24"/>
      <c r="G335" s="23"/>
      <c r="H335" s="23"/>
      <c r="I335" s="24"/>
    </row>
    <row r="336" spans="1:9" ht="12.95">
      <c r="A336" s="23"/>
      <c r="B336" s="23"/>
      <c r="C336" s="23"/>
      <c r="D336" s="23"/>
      <c r="E336" s="23"/>
      <c r="F336" s="24"/>
      <c r="G336" s="23"/>
      <c r="H336" s="23"/>
      <c r="I336" s="24"/>
    </row>
    <row r="337" spans="1:9" ht="12.95">
      <c r="A337" s="23"/>
      <c r="B337" s="23"/>
      <c r="C337" s="23"/>
      <c r="D337" s="23"/>
      <c r="E337" s="23"/>
      <c r="F337" s="24"/>
      <c r="G337" s="23"/>
      <c r="H337" s="23"/>
      <c r="I337" s="24"/>
    </row>
    <row r="338" spans="1:9" ht="12.95">
      <c r="A338" s="23"/>
      <c r="B338" s="23"/>
      <c r="C338" s="23"/>
      <c r="D338" s="23"/>
      <c r="E338" s="23"/>
      <c r="F338" s="24"/>
      <c r="G338" s="23"/>
      <c r="H338" s="23"/>
      <c r="I338" s="24"/>
    </row>
    <row r="339" spans="1:9" ht="12.95">
      <c r="A339" s="23"/>
      <c r="B339" s="23"/>
      <c r="C339" s="23"/>
      <c r="D339" s="23"/>
      <c r="E339" s="23"/>
      <c r="F339" s="24"/>
      <c r="G339" s="23"/>
      <c r="H339" s="23"/>
      <c r="I339" s="24"/>
    </row>
    <row r="340" spans="1:9" ht="12.95">
      <c r="A340" s="23"/>
      <c r="B340" s="23"/>
      <c r="C340" s="23"/>
      <c r="D340" s="23"/>
      <c r="E340" s="23"/>
      <c r="F340" s="24"/>
      <c r="G340" s="23"/>
      <c r="H340" s="23"/>
      <c r="I340" s="24"/>
    </row>
    <row r="341" spans="1:9" ht="12.95">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42"/>
  <sheetViews>
    <sheetView workbookViewId="0">
      <pane ySplit="2" topLeftCell="A15" activePane="bottomLeft" state="frozen"/>
      <selection pane="bottomLeft" activeCell="E23" sqref="E23"/>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9.85546875" customWidth="1"/>
  </cols>
  <sheetData>
    <row r="1" spans="1:13" ht="19.5" customHeight="1" thickBot="1">
      <c r="A1" s="132" t="str" cm="1">
        <f t="array" ref="A1">portfolio</f>
        <v>CITI</v>
      </c>
      <c r="B1" s="132"/>
      <c r="C1" s="132"/>
      <c r="D1" s="74" t="s">
        <v>0</v>
      </c>
      <c r="E1" s="75" t="s">
        <v>1</v>
      </c>
      <c r="F1" s="133" t="s">
        <v>16</v>
      </c>
      <c r="G1" s="133"/>
      <c r="H1" s="133"/>
      <c r="I1" s="131" t="s">
        <v>17</v>
      </c>
      <c r="J1" s="131"/>
      <c r="K1" s="131"/>
    </row>
    <row r="2" spans="1:13" ht="19.5" customHeight="1">
      <c r="A2" s="134" t="s">
        <v>4</v>
      </c>
      <c r="B2" s="134"/>
      <c r="C2" s="6">
        <f>SUM(C4:C100)</f>
        <v>2742771.0500000003</v>
      </c>
      <c r="D2" s="6">
        <f>SUM(D3:D22)</f>
        <v>2915075</v>
      </c>
      <c r="E2" s="68">
        <f>C2/D2</f>
        <v>0.94089210397674172</v>
      </c>
      <c r="F2" s="6">
        <f>SUM(D4:D100)</f>
        <v>2915075</v>
      </c>
      <c r="G2" s="6">
        <f>C2-F2</f>
        <v>-172303.94999999972</v>
      </c>
      <c r="H2" s="7">
        <f>IFERROR(G2/F2, 0)</f>
        <v>-5.9107896023258312E-2</v>
      </c>
      <c r="I2" s="6">
        <f>SUM(G4:G100)</f>
        <v>59947.049999999988</v>
      </c>
      <c r="J2" s="8">
        <f>C2-I2</f>
        <v>2682824.0000000005</v>
      </c>
      <c r="K2" s="7">
        <f>IFERROR(J2/I2, 0)</f>
        <v>44.753228057093736</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82623</v>
      </c>
      <c r="D4" s="128">
        <f>SUM(Jul!D4,Aug!D4,Sep!D4)</f>
        <v>80328</v>
      </c>
      <c r="E4" s="82">
        <f>C4/D4</f>
        <v>1.028570361517777</v>
      </c>
      <c r="F4" s="14">
        <f>SUM(Jul!F4, Aug!F4, Sep!F4)</f>
        <v>80915</v>
      </c>
      <c r="G4" s="14">
        <f>IF(AND(ISNUMBER(C4),ISNUMBER(F4)), C4-F4, "")</f>
        <v>1708</v>
      </c>
      <c r="H4" s="15">
        <f>IFERROR(G4/F4, "")</f>
        <v>2.1108570722362975E-2</v>
      </c>
      <c r="I4" s="16">
        <f>SUM(Jul!I4, Aug!L4, Sep!L4)</f>
        <v>79533</v>
      </c>
      <c r="J4" s="16">
        <f>IF(AND(ISNUMBER(C4),ISNUMBER(I4)), C4-I4, "")</f>
        <v>3090</v>
      </c>
      <c r="K4" s="17">
        <f>IFERROR(J4/I4, "")</f>
        <v>3.8851797367130625E-2</v>
      </c>
    </row>
    <row r="5" spans="1:13" ht="15.6">
      <c r="A5" s="19" t="str">
        <v>CA: Antioch MC CUP - Citi</v>
      </c>
      <c r="B5" s="11" t="str">
        <v>CA</v>
      </c>
      <c r="C5" s="12">
        <f>SUM(Jul!C5, Aug!C5, Sep!C5)</f>
        <v>264875</v>
      </c>
      <c r="D5" s="12">
        <f>SUM(Jul!D5,Aug!D5,Sep!D5)</f>
        <v>274546</v>
      </c>
      <c r="E5" s="80">
        <f t="shared" ref="E5:E6" si="0">C5/D5</f>
        <v>0.96477457329554972</v>
      </c>
      <c r="F5" s="20">
        <f>SUM(Jul!F5, Aug!F5, Sep!F5)</f>
        <v>276467</v>
      </c>
      <c r="G5" s="20">
        <f t="shared" ref="G5:G6" si="1">IF(AND(ISNUMBER(C5),ISNUMBER(F5)), C5-F5, "")</f>
        <v>-11592</v>
      </c>
      <c r="H5" s="21">
        <f>IFERROR(G5/F5, "")</f>
        <v>-4.1929054823903036E-2</v>
      </c>
      <c r="I5" s="22">
        <f>SUM(Jul!I5, Aug!L5, Sep!L5)</f>
        <v>271804</v>
      </c>
      <c r="J5" s="20">
        <f>IF(AND(ISNUMBER(C5),ISNUMBER(I5)), C5-I5, "")</f>
        <v>-6929</v>
      </c>
      <c r="K5" s="21">
        <f>IFERROR(J5/I5, "")</f>
        <v>-2.5492634398316436E-2</v>
      </c>
    </row>
    <row r="6" spans="1:13" ht="15.6">
      <c r="A6" s="13" t="str">
        <v>CA: Clovis - Citi</v>
      </c>
      <c r="B6" s="10" t="str">
        <v>CA</v>
      </c>
      <c r="C6" s="26">
        <f>SUM(Jul!C6, Aug!C6, Sep!C6)</f>
        <v>112136</v>
      </c>
      <c r="D6" s="128">
        <f>SUM(Jul!D6,Aug!D6,Sep!D6)</f>
        <v>112980</v>
      </c>
      <c r="E6" s="82">
        <f t="shared" si="0"/>
        <v>0.9925296512657108</v>
      </c>
      <c r="F6" s="14">
        <f>SUM(Jul!F6, Aug!F6, Sep!F6)</f>
        <v>2035</v>
      </c>
      <c r="G6" s="14">
        <f t="shared" si="1"/>
        <v>110101</v>
      </c>
      <c r="H6" s="15">
        <f t="shared" ref="H6:H23" si="2">IFERROR(G6/F6, "")</f>
        <v>54.103685503685504</v>
      </c>
      <c r="I6" s="16">
        <f>SUM(Jul!I6, Aug!L6, Sep!L6)</f>
        <v>109079</v>
      </c>
      <c r="J6" s="16">
        <f t="shared" ref="J6:J23" si="3">IF(AND(ISNUMBER(C6),ISNUMBER(I6)), C6-I6, "")</f>
        <v>3057</v>
      </c>
      <c r="K6" s="17">
        <f t="shared" ref="K6:K23" si="4">IFERROR(J6/I6, "")</f>
        <v>2.8025559456907378E-2</v>
      </c>
    </row>
    <row r="7" spans="1:13" ht="15.6">
      <c r="A7" s="19" t="str">
        <v>CA: Elk Grove MOB - Citi</v>
      </c>
      <c r="B7" s="11" t="str">
        <v>CA</v>
      </c>
      <c r="C7" s="12">
        <f>SUM(Jul!C7, Aug!C7, Sep!C7)</f>
        <v>167796</v>
      </c>
      <c r="D7" s="12">
        <f>SUM(Jul!D7,Aug!D7,Sep!D7)</f>
        <v>188726</v>
      </c>
      <c r="E7" s="80">
        <f t="shared" ref="E7:E22" si="5">C7/D7</f>
        <v>0.88909848139630998</v>
      </c>
      <c r="F7" s="20">
        <f>SUM(Jul!F7, Aug!F7, Sep!F7)</f>
        <v>195536</v>
      </c>
      <c r="G7" s="20">
        <f t="shared" ref="G7:G23" si="6">IF(AND(ISNUMBER(C7),ISNUMBER(F7)), C7-F7, "")</f>
        <v>-27740</v>
      </c>
      <c r="H7" s="21">
        <f t="shared" si="2"/>
        <v>-0.14186645937321005</v>
      </c>
      <c r="I7" s="22">
        <f>SUM(Jul!I7, Aug!L7, Sep!L7)</f>
        <v>187053</v>
      </c>
      <c r="J7" s="20">
        <f t="shared" si="3"/>
        <v>-19257</v>
      </c>
      <c r="K7" s="21">
        <f t="shared" si="4"/>
        <v>-0.10294943144456384</v>
      </c>
    </row>
    <row r="8" spans="1:13" ht="15.6">
      <c r="A8" s="13" t="str">
        <v>CA: Elk Grove Promenade - Citi</v>
      </c>
      <c r="B8" s="10" t="str">
        <v>CA</v>
      </c>
      <c r="C8" s="26">
        <f>SUM(Jul!C8, Aug!C8, Sep!C8)</f>
        <v>94955.25</v>
      </c>
      <c r="D8" s="128">
        <f>SUM(Jul!D8,Aug!D8,Sep!D8)</f>
        <v>99091</v>
      </c>
      <c r="E8" s="82">
        <f t="shared" si="5"/>
        <v>0.9582631116852186</v>
      </c>
      <c r="F8" s="14">
        <f>SUM(Jul!F8, Aug!F8, Sep!F8)</f>
        <v>98303</v>
      </c>
      <c r="G8" s="14">
        <f t="shared" si="6"/>
        <v>-3347.75</v>
      </c>
      <c r="H8" s="15">
        <f t="shared" si="2"/>
        <v>-3.4055420485641336E-2</v>
      </c>
      <c r="I8" s="16">
        <f>SUM(Jul!I8, Aug!L8, Sep!L8)</f>
        <v>98305</v>
      </c>
      <c r="J8" s="16">
        <f t="shared" si="3"/>
        <v>-3349.75</v>
      </c>
      <c r="K8" s="17">
        <f t="shared" si="4"/>
        <v>-3.4075072478510757E-2</v>
      </c>
    </row>
    <row r="9" spans="1:13" ht="15.6">
      <c r="A9" s="19" t="str">
        <v>CA: Fresno Sequioa - Citi</v>
      </c>
      <c r="B9" s="11" t="str">
        <v>CA</v>
      </c>
      <c r="C9" s="12">
        <f>SUM(Jul!C9, Aug!C9, Sep!C9)</f>
        <v>183905</v>
      </c>
      <c r="D9" s="12">
        <f>SUM(Jul!D9,Aug!D9,Sep!D9)</f>
        <v>186172</v>
      </c>
      <c r="E9" s="80">
        <f t="shared" si="5"/>
        <v>0.98782308832692345</v>
      </c>
      <c r="F9" s="20">
        <f>SUM(Jul!F9, Aug!F9, Sep!F9)</f>
        <v>192052</v>
      </c>
      <c r="G9" s="20">
        <f t="shared" si="6"/>
        <v>-8147</v>
      </c>
      <c r="H9" s="21">
        <f t="shared" si="2"/>
        <v>-4.2420802699268949E-2</v>
      </c>
      <c r="I9" s="22">
        <f>SUM(Jul!I9, Aug!L9, Sep!L9)</f>
        <v>184366</v>
      </c>
      <c r="J9" s="20">
        <f t="shared" si="3"/>
        <v>-461</v>
      </c>
      <c r="K9" s="21">
        <f t="shared" si="4"/>
        <v>-2.5004610394541295E-3</v>
      </c>
    </row>
    <row r="10" spans="1:13" ht="15.6">
      <c r="A10" s="13" t="str">
        <v>CA: Fresno MOB - Citi</v>
      </c>
      <c r="B10" s="10" t="str">
        <v>CA</v>
      </c>
      <c r="C10" s="26">
        <f>SUM(Jul!C10, Aug!C10, Sep!C10)</f>
        <v>67107.5</v>
      </c>
      <c r="D10" s="128">
        <f>SUM(Jul!D10,Aug!D10,Sep!D10)</f>
        <v>74907</v>
      </c>
      <c r="E10" s="82">
        <f t="shared" si="5"/>
        <v>0.89587755483466169</v>
      </c>
      <c r="F10" s="14">
        <f>SUM(Jul!F10, Aug!F10, Sep!F10)</f>
        <v>70535</v>
      </c>
      <c r="G10" s="14">
        <f t="shared" si="6"/>
        <v>-3427.5</v>
      </c>
      <c r="H10" s="15">
        <f t="shared" si="2"/>
        <v>-4.8592897143262211E-2</v>
      </c>
      <c r="I10" s="16">
        <f>SUM(Jul!I10, Aug!L10, Sep!L10)</f>
        <v>75021</v>
      </c>
      <c r="J10" s="16">
        <f t="shared" si="3"/>
        <v>-7913.5</v>
      </c>
      <c r="K10" s="17">
        <f t="shared" si="4"/>
        <v>-0.10548379786992976</v>
      </c>
    </row>
    <row r="11" spans="1:13" ht="15.6">
      <c r="A11" s="19" t="str">
        <v>CA: Modesto Bangs - Citi</v>
      </c>
      <c r="B11" s="11" t="str">
        <v>CA</v>
      </c>
      <c r="C11" s="12">
        <f>SUM(Jul!C11, Aug!C11, Sep!C11)</f>
        <v>45314.12</v>
      </c>
      <c r="D11" s="12">
        <f>SUM(Jul!D11,Aug!D11,Sep!D11)</f>
        <v>53493</v>
      </c>
      <c r="E11" s="80">
        <f t="shared" si="5"/>
        <v>0.84710373319873633</v>
      </c>
      <c r="F11" s="20">
        <f>SUM(Jul!F11, Aug!F11, Sep!F11)</f>
        <v>124</v>
      </c>
      <c r="G11" s="20">
        <f t="shared" si="6"/>
        <v>45190.12</v>
      </c>
      <c r="H11" s="21">
        <f t="shared" si="2"/>
        <v>364.43645161290323</v>
      </c>
      <c r="I11" s="22">
        <f>SUM(Jul!I11, Aug!L11, Sep!L11)</f>
        <v>53232</v>
      </c>
      <c r="J11" s="20">
        <f t="shared" si="3"/>
        <v>-7917.8799999999974</v>
      </c>
      <c r="K11" s="21">
        <f t="shared" si="4"/>
        <v>-0.14874286143672974</v>
      </c>
      <c r="M11" s="20"/>
    </row>
    <row r="12" spans="1:13" ht="15.6">
      <c r="A12" s="13" t="str">
        <v>CA: Napa Data Center - Citi</v>
      </c>
      <c r="B12" s="10" t="str">
        <v>CA</v>
      </c>
      <c r="C12" s="26">
        <f>SUM(Jul!C12, Aug!C12, Sep!C12)</f>
        <v>45435</v>
      </c>
      <c r="D12" s="128">
        <f>SUM(Jul!D12,Aug!D12,Sep!D12)</f>
        <v>55306</v>
      </c>
      <c r="E12" s="82">
        <f t="shared" si="5"/>
        <v>0.82152026904856612</v>
      </c>
      <c r="F12" s="14">
        <f>SUM(Jul!F12, Aug!F12, Sep!F12)</f>
        <v>67180</v>
      </c>
      <c r="G12" s="14">
        <f t="shared" si="6"/>
        <v>-21745</v>
      </c>
      <c r="H12" s="15">
        <f t="shared" si="2"/>
        <v>-0.32368264364394167</v>
      </c>
      <c r="I12" s="16">
        <f>SUM(Jul!I12, Aug!L12, Sep!L12)</f>
        <v>53188</v>
      </c>
      <c r="J12" s="16">
        <f t="shared" si="3"/>
        <v>-7753</v>
      </c>
      <c r="K12" s="17">
        <f t="shared" si="4"/>
        <v>-0.1457659622471234</v>
      </c>
    </row>
    <row r="13" spans="1:13" ht="15.6">
      <c r="A13" s="19" t="str">
        <v>CA: Petaluma MOB - Citi</v>
      </c>
      <c r="B13" s="11" t="str">
        <v>CA</v>
      </c>
      <c r="C13" s="12">
        <f>SUM(Jul!C13, Aug!C13, Sep!C13)</f>
        <v>99381.5</v>
      </c>
      <c r="D13" s="12">
        <f>SUM(Jul!D13,Aug!D13,Sep!D13)</f>
        <v>129113</v>
      </c>
      <c r="E13" s="80">
        <f t="shared" si="5"/>
        <v>0.76972496960027259</v>
      </c>
      <c r="F13" s="20">
        <f>SUM(Jul!F13, Aug!F13, Sep!F13)</f>
        <v>37993</v>
      </c>
      <c r="G13" s="20">
        <f t="shared" si="6"/>
        <v>61388.5</v>
      </c>
      <c r="H13" s="21">
        <f t="shared" si="2"/>
        <v>1.6157844866159556</v>
      </c>
      <c r="I13" s="22">
        <f>SUM(Jul!I13, Aug!L13, Sep!L13)</f>
        <v>124247</v>
      </c>
      <c r="J13" s="20">
        <f t="shared" si="3"/>
        <v>-24865.5</v>
      </c>
      <c r="K13" s="21">
        <f t="shared" si="4"/>
        <v>-0.20012958059349523</v>
      </c>
    </row>
    <row r="14" spans="1:13" ht="15.6">
      <c r="A14" s="13" t="str">
        <v>CA: Pleasanton Tec Ctr - Citi</v>
      </c>
      <c r="B14" s="10" t="str">
        <v>CA</v>
      </c>
      <c r="C14" s="26">
        <f>SUM(Jul!C14, Aug!C14, Sep!C14)</f>
        <v>148392.5</v>
      </c>
      <c r="D14" s="128">
        <f>SUM(Jul!D14,Aug!D14,Sep!D14)</f>
        <v>182148</v>
      </c>
      <c r="E14" s="82">
        <f t="shared" si="5"/>
        <v>0.81468091881327276</v>
      </c>
      <c r="F14" s="14">
        <f>SUM(Jul!F14, Aug!F14, Sep!F14)</f>
        <v>181107</v>
      </c>
      <c r="G14" s="14">
        <f t="shared" si="6"/>
        <v>-32714.5</v>
      </c>
      <c r="H14" s="15">
        <f t="shared" si="2"/>
        <v>-0.18063630892234978</v>
      </c>
      <c r="I14" s="16">
        <f>SUM(Jul!I14, Aug!L14, Sep!L14)</f>
        <v>180446</v>
      </c>
      <c r="J14" s="16">
        <f t="shared" si="3"/>
        <v>-32053.5</v>
      </c>
      <c r="K14" s="17">
        <f t="shared" si="4"/>
        <v>-0.17763486029061326</v>
      </c>
    </row>
    <row r="15" spans="1:13" ht="15.6">
      <c r="A15" s="19" t="str">
        <v>CA: Rancho Cordova - Citi</v>
      </c>
      <c r="B15" s="11" t="str">
        <v>CA</v>
      </c>
      <c r="C15" s="12">
        <f>SUM(Jul!C15, Aug!C15, Sep!C15)</f>
        <v>236028</v>
      </c>
      <c r="D15" s="12">
        <f>SUM(Jul!D15,Aug!D15,Sep!D15)</f>
        <v>247104</v>
      </c>
      <c r="E15" s="80">
        <f t="shared" si="5"/>
        <v>0.95517676767676762</v>
      </c>
      <c r="F15" s="20">
        <f>SUM(Jul!F15, Aug!F15, Sep!F15)</f>
        <v>258638</v>
      </c>
      <c r="G15" s="20">
        <f t="shared" si="6"/>
        <v>-22610</v>
      </c>
      <c r="H15" s="21">
        <f t="shared" si="2"/>
        <v>-8.7419482056001058E-2</v>
      </c>
      <c r="I15" s="22">
        <f>SUM(Jul!I15, Aug!L15, Sep!L15)</f>
        <v>245625</v>
      </c>
      <c r="J15" s="20">
        <f t="shared" si="3"/>
        <v>-9597</v>
      </c>
      <c r="K15" s="21">
        <f t="shared" si="4"/>
        <v>-3.9071755725190838E-2</v>
      </c>
    </row>
    <row r="16" spans="1:13" ht="15.6">
      <c r="A16" s="13" t="str">
        <v>CA: S Sacramento Wyndham - Citi</v>
      </c>
      <c r="B16" s="10" t="str">
        <v>CA</v>
      </c>
      <c r="C16" s="26">
        <f>SUM(Jul!C16, Aug!C16, Sep!C16)</f>
        <v>141774.5</v>
      </c>
      <c r="D16" s="128">
        <f>SUM(Jul!D16,Aug!D16,Sep!D16)</f>
        <v>163639</v>
      </c>
      <c r="E16" s="82">
        <f t="shared" si="5"/>
        <v>0.86638576378491683</v>
      </c>
      <c r="F16" s="14">
        <f>SUM(Jul!F16, Aug!F16, Sep!F16)</f>
        <v>152231</v>
      </c>
      <c r="G16" s="14">
        <f t="shared" si="6"/>
        <v>-10456.5</v>
      </c>
      <c r="H16" s="15">
        <f t="shared" si="2"/>
        <v>-6.86883749039289E-2</v>
      </c>
      <c r="I16" s="16">
        <f>SUM(Jul!I16, Aug!L16, Sep!L16)</f>
        <v>162509</v>
      </c>
      <c r="J16" s="16">
        <f t="shared" si="3"/>
        <v>-20734.5</v>
      </c>
      <c r="K16" s="17">
        <f t="shared" si="4"/>
        <v>-0.12758985656179042</v>
      </c>
    </row>
    <row r="17" spans="1:11" ht="15.6">
      <c r="A17" s="19" t="str">
        <v>CA: Sacramento Point West - Citi</v>
      </c>
      <c r="B17" s="11" t="str">
        <v>CA</v>
      </c>
      <c r="C17" s="12">
        <f>SUM(Jul!C17, Aug!C17, Sep!C17)</f>
        <v>283101</v>
      </c>
      <c r="D17" s="12">
        <f>SUM(Jul!D17,Aug!D17,Sep!D17)</f>
        <v>313299</v>
      </c>
      <c r="E17" s="80">
        <f t="shared" si="5"/>
        <v>0.90361284268382602</v>
      </c>
      <c r="F17" s="20">
        <f>SUM(Jul!F17, Aug!F17, Sep!F17)</f>
        <v>312724</v>
      </c>
      <c r="G17" s="20">
        <f t="shared" si="6"/>
        <v>-29623</v>
      </c>
      <c r="H17" s="21">
        <f t="shared" si="2"/>
        <v>-9.4725700617797157E-2</v>
      </c>
      <c r="I17" s="22">
        <f>SUM(Jul!I17, Aug!L17, Sep!L17)</f>
        <v>310558</v>
      </c>
      <c r="J17" s="20">
        <f t="shared" si="3"/>
        <v>-27457</v>
      </c>
      <c r="K17" s="21">
        <f t="shared" si="4"/>
        <v>-8.8411826454317707E-2</v>
      </c>
    </row>
    <row r="18" spans="1:11" ht="12.75" customHeight="1">
      <c r="A18" s="13" t="str">
        <v>CA: San Jose FHC - Citi</v>
      </c>
      <c r="B18" s="10" t="str">
        <v>CA</v>
      </c>
      <c r="C18" s="26">
        <f>SUM(Jul!C18, Aug!C18, Sep!C18)</f>
        <v>56028</v>
      </c>
      <c r="D18" s="128">
        <f>SUM(Jul!D18,Aug!D18,Sep!D18)</f>
        <v>62467</v>
      </c>
      <c r="E18" s="82">
        <f t="shared" si="5"/>
        <v>0.89692157459138422</v>
      </c>
      <c r="F18" s="14">
        <f>SUM(Jul!F18, Aug!F18, Sep!F18)</f>
        <v>59279</v>
      </c>
      <c r="G18" s="14">
        <f t="shared" si="6"/>
        <v>-3251</v>
      </c>
      <c r="H18" s="15">
        <f t="shared" si="2"/>
        <v>-5.4842355640277334E-2</v>
      </c>
      <c r="I18" s="16">
        <f>SUM(Jul!I18, Aug!L18, Sep!L18)</f>
        <v>64025</v>
      </c>
      <c r="J18" s="16">
        <f t="shared" si="3"/>
        <v>-7997</v>
      </c>
      <c r="K18" s="17">
        <f t="shared" si="4"/>
        <v>-0.12490433424443577</v>
      </c>
    </row>
    <row r="19" spans="1:11" ht="15.6">
      <c r="A19" s="19" t="str">
        <v>CA: San Jose MOB - Citi</v>
      </c>
      <c r="B19" s="11" t="str">
        <v>CA</v>
      </c>
      <c r="C19" s="12">
        <f>SUM(Jul!C19, Aug!C19, Sep!C19)</f>
        <v>86948</v>
      </c>
      <c r="D19" s="12">
        <f>SUM(Jul!D19,Aug!D19,Sep!D19)</f>
        <v>99033</v>
      </c>
      <c r="E19" s="80">
        <f t="shared" si="5"/>
        <v>0.87796996960609086</v>
      </c>
      <c r="F19" s="20">
        <f>SUM(Jul!F19, Aug!F19, Sep!F19)</f>
        <v>93614</v>
      </c>
      <c r="G19" s="20">
        <f t="shared" si="6"/>
        <v>-6666</v>
      </c>
      <c r="H19" s="21">
        <f t="shared" si="2"/>
        <v>-7.1207298053709914E-2</v>
      </c>
      <c r="I19" s="22">
        <f>SUM(Jul!I19, Aug!L19, Sep!L19)</f>
        <v>99878</v>
      </c>
      <c r="J19" s="20">
        <f t="shared" si="3"/>
        <v>-12930</v>
      </c>
      <c r="K19" s="21">
        <f t="shared" si="4"/>
        <v>-0.12945793868519595</v>
      </c>
    </row>
    <row r="20" spans="1:11" ht="15.6">
      <c r="A20" s="13" t="str">
        <v>CA: Selma - Citi</v>
      </c>
      <c r="B20" s="10" t="str">
        <v>CA</v>
      </c>
      <c r="C20" s="26">
        <f>SUM(Jul!C20, Aug!C20, Sep!C20)</f>
        <v>52288.87</v>
      </c>
      <c r="D20" s="128">
        <f>SUM(Jul!D20,Aug!D20,Sep!D20)</f>
        <v>57267</v>
      </c>
      <c r="E20" s="82">
        <f t="shared" si="5"/>
        <v>0.91307157699896979</v>
      </c>
      <c r="F20" s="14">
        <f>SUM(Jul!F20, Aug!F20, Sep!F20)</f>
        <v>59835</v>
      </c>
      <c r="G20" s="14">
        <f t="shared" si="6"/>
        <v>-7546.1299999999974</v>
      </c>
      <c r="H20" s="15">
        <f t="shared" si="2"/>
        <v>-0.12611565137461347</v>
      </c>
      <c r="I20" s="16">
        <f>SUM(Jul!I20, Aug!L20, Sep!L20)</f>
        <v>56789</v>
      </c>
      <c r="J20" s="16">
        <f t="shared" si="3"/>
        <v>-4500.1299999999974</v>
      </c>
      <c r="K20" s="17">
        <f t="shared" si="4"/>
        <v>-7.9242987198224965E-2</v>
      </c>
    </row>
    <row r="21" spans="1:11" ht="15.6">
      <c r="A21" s="19" t="str">
        <v>CA: Vacaville Hospital</v>
      </c>
      <c r="B21" s="11" t="str">
        <v>CA</v>
      </c>
      <c r="C21" s="12">
        <f>SUM(Jul!C21, Aug!C21, Sep!C21)</f>
        <v>183603.5</v>
      </c>
      <c r="D21" s="12">
        <f>SUM(Jul!D21,Aug!D21,Sep!D21)</f>
        <v>405264</v>
      </c>
      <c r="E21" s="80">
        <f t="shared" si="5"/>
        <v>0.45304665600694854</v>
      </c>
      <c r="F21" s="20">
        <f>SUM(Jul!F21, Aug!F21, Sep!F21)</f>
        <v>438855</v>
      </c>
      <c r="G21" s="20">
        <f t="shared" si="6"/>
        <v>-255251.5</v>
      </c>
      <c r="H21" s="21">
        <f t="shared" si="2"/>
        <v>-0.58163060692028123</v>
      </c>
      <c r="I21" s="22">
        <f>SUM(Jul!I21, Aug!L21, Sep!L21)</f>
        <v>399689</v>
      </c>
      <c r="J21" s="20">
        <f t="shared" si="3"/>
        <v>-216085.5</v>
      </c>
      <c r="K21" s="21">
        <f t="shared" si="4"/>
        <v>-0.54063409300731313</v>
      </c>
    </row>
    <row r="22" spans="1:11" ht="15.6">
      <c r="A22" s="13" t="str">
        <v>CA: Manteca - KP Manteca Hospital</v>
      </c>
      <c r="B22" s="10" t="str">
        <v>CA</v>
      </c>
      <c r="C22" s="26">
        <f>SUM(Jul!C22, Aug!C22, Sep!C22)</f>
        <v>116336</v>
      </c>
      <c r="D22" s="128">
        <f>SUM(Jul!D22,Aug!D22,Sep!D22)</f>
        <v>130192</v>
      </c>
      <c r="E22" s="82">
        <f t="shared" si="5"/>
        <v>0.89357256974314858</v>
      </c>
      <c r="F22" s="14">
        <f>SUM(Jul!F22, Aug!F22, Sep!F22)</f>
        <v>105401</v>
      </c>
      <c r="G22" s="14">
        <f t="shared" si="6"/>
        <v>10935</v>
      </c>
      <c r="H22" s="15">
        <f t="shared" si="2"/>
        <v>0.1037466437699832</v>
      </c>
      <c r="I22" s="16">
        <f>SUM(Jul!I22, Aug!L22, Sep!L22)</f>
        <v>126640</v>
      </c>
      <c r="J22" s="16">
        <f t="shared" si="3"/>
        <v>-10304</v>
      </c>
      <c r="K22" s="17">
        <f t="shared" si="4"/>
        <v>-8.1364497789008214E-2</v>
      </c>
    </row>
    <row r="23" spans="1:11" ht="15.6">
      <c r="A23" s="19" t="str">
        <v>Sacramento - KP South Sacramento HSP</v>
      </c>
      <c r="B23" s="11" t="str">
        <v>CA</v>
      </c>
      <c r="C23" s="12">
        <f>SUM(Jul!C23, Aug!C23, Sep!C23)</f>
        <v>274742.31</v>
      </c>
      <c r="D23" s="12">
        <f>SUM(Jul!D23,Aug!D23,Sep!D23)</f>
        <v>0</v>
      </c>
      <c r="E23" s="80" t="str">
        <f>IFERROR(C23/D23, "")</f>
        <v/>
      </c>
      <c r="F23" s="20">
        <f>SUM(Jul!F23, Aug!F23, Sep!F23)</f>
        <v>0</v>
      </c>
      <c r="G23" s="20">
        <f t="shared" si="6"/>
        <v>274742.31</v>
      </c>
      <c r="H23" s="21" t="str">
        <f t="shared" si="2"/>
        <v/>
      </c>
      <c r="I23" s="22">
        <f>SUM(Jul!I23, Aug!L23, Sep!L23)</f>
        <v>421317</v>
      </c>
      <c r="J23" s="20">
        <f t="shared" si="3"/>
        <v>-146574.69</v>
      </c>
      <c r="K23" s="21">
        <f t="shared" si="4"/>
        <v>-0.3478964532644066</v>
      </c>
    </row>
    <row r="24" spans="1:11" ht="12.95">
      <c r="A24" s="23"/>
      <c r="B24" s="23"/>
      <c r="C24" s="23"/>
      <c r="D24" s="23"/>
      <c r="E24" s="23"/>
      <c r="F24" s="23"/>
      <c r="G24" s="23"/>
      <c r="H24" s="23"/>
      <c r="I24" s="23"/>
    </row>
    <row r="25" spans="1:11" ht="12.95">
      <c r="A25" s="23"/>
      <c r="B25" s="23"/>
      <c r="C25" s="23"/>
      <c r="D25" s="23"/>
      <c r="E25" s="23"/>
      <c r="F25" s="23"/>
      <c r="G25" s="23"/>
      <c r="H25" s="23"/>
      <c r="I25" s="23"/>
    </row>
    <row r="26" spans="1:11" ht="12.95">
      <c r="A26" s="23"/>
      <c r="B26" s="23"/>
      <c r="C26" s="23"/>
      <c r="D26" s="23"/>
      <c r="E26" s="23"/>
      <c r="F26" s="23"/>
      <c r="G26" s="23"/>
      <c r="H26" s="23"/>
      <c r="I26" s="23"/>
    </row>
    <row r="27" spans="1:11" ht="12.95">
      <c r="A27" s="23"/>
      <c r="B27" s="23"/>
      <c r="C27" s="23"/>
      <c r="D27" s="23"/>
      <c r="E27" s="23"/>
      <c r="F27" s="23"/>
      <c r="G27" s="23"/>
      <c r="H27" s="23"/>
      <c r="I27" s="23"/>
    </row>
    <row r="28" spans="1:11" ht="12.95">
      <c r="A28" s="23"/>
      <c r="B28" s="23"/>
      <c r="C28" s="23"/>
      <c r="D28" s="23"/>
      <c r="E28" s="23"/>
      <c r="F28" s="23"/>
      <c r="G28" s="23"/>
      <c r="H28" s="23"/>
      <c r="I28" s="23"/>
    </row>
    <row r="29" spans="1:11" ht="12.95">
      <c r="A29" s="23"/>
      <c r="B29" s="23"/>
      <c r="C29" s="23"/>
      <c r="D29" s="23"/>
      <c r="E29" s="23"/>
      <c r="F29" s="23"/>
      <c r="G29" s="23"/>
      <c r="H29" s="23"/>
      <c r="I29" s="23"/>
    </row>
    <row r="30" spans="1:11" ht="12.95">
      <c r="A30" s="23"/>
      <c r="B30" s="23"/>
      <c r="C30" s="23"/>
      <c r="D30" s="23"/>
      <c r="E30" s="23"/>
      <c r="F30" s="23"/>
      <c r="G30" s="23"/>
      <c r="H30" s="23"/>
      <c r="I30" s="23"/>
    </row>
    <row r="31" spans="1:11" ht="12.95">
      <c r="A31" s="23"/>
      <c r="B31" s="23"/>
      <c r="C31" s="23"/>
      <c r="D31" s="23"/>
      <c r="E31" s="23"/>
      <c r="F31" s="23"/>
      <c r="G31" s="23"/>
      <c r="H31" s="23"/>
      <c r="I31" s="23"/>
    </row>
    <row r="32" spans="1:11" ht="12.95">
      <c r="A32" s="23"/>
      <c r="B32" s="23"/>
      <c r="C32" s="23"/>
      <c r="D32" s="23"/>
      <c r="E32" s="23"/>
      <c r="F32" s="23"/>
      <c r="G32" s="23"/>
      <c r="H32" s="23"/>
      <c r="I32" s="23"/>
    </row>
    <row r="33" spans="1:9" ht="12.95">
      <c r="A33" s="23"/>
      <c r="B33" s="23"/>
      <c r="C33" s="23"/>
      <c r="D33" s="23"/>
      <c r="E33" s="23"/>
      <c r="F33" s="24"/>
      <c r="G33" s="23"/>
      <c r="H33" s="23"/>
      <c r="I33" s="24"/>
    </row>
    <row r="34" spans="1:9" ht="12.95">
      <c r="A34" s="23"/>
      <c r="B34" s="23"/>
      <c r="C34" s="23"/>
      <c r="D34" s="23"/>
      <c r="E34" s="23"/>
      <c r="F34" s="24"/>
      <c r="G34" s="23"/>
      <c r="H34" s="23"/>
      <c r="I34" s="24"/>
    </row>
    <row r="35" spans="1:9" ht="12.95">
      <c r="A35" s="23"/>
      <c r="B35" s="23"/>
      <c r="C35" s="23"/>
      <c r="D35" s="23"/>
      <c r="E35" s="23"/>
      <c r="F35" s="24"/>
      <c r="G35" s="23"/>
      <c r="H35" s="23"/>
      <c r="I35" s="24"/>
    </row>
    <row r="36" spans="1:9" ht="12.95">
      <c r="A36" s="23"/>
      <c r="B36" s="23"/>
      <c r="C36" s="23"/>
      <c r="D36" s="23"/>
      <c r="E36" s="23"/>
      <c r="F36" s="24"/>
      <c r="G36" s="23"/>
      <c r="H36" s="23"/>
      <c r="I36" s="24"/>
    </row>
    <row r="37" spans="1:9" ht="12.95">
      <c r="A37" s="23"/>
      <c r="B37" s="23"/>
      <c r="C37" s="23"/>
      <c r="D37" s="23"/>
      <c r="E37" s="23"/>
      <c r="F37" s="24"/>
      <c r="G37" s="23"/>
      <c r="H37" s="23"/>
      <c r="I37" s="24"/>
    </row>
    <row r="38" spans="1:9" ht="12.95">
      <c r="A38" s="23"/>
      <c r="B38" s="23"/>
      <c r="C38" s="23"/>
      <c r="D38" s="23"/>
      <c r="E38" s="23"/>
      <c r="F38" s="24"/>
      <c r="G38" s="23"/>
      <c r="H38" s="23"/>
      <c r="I38" s="24"/>
    </row>
    <row r="39" spans="1:9" ht="12.95">
      <c r="A39" s="23"/>
      <c r="B39" s="23"/>
      <c r="C39" s="23"/>
      <c r="D39" s="23"/>
      <c r="E39" s="23"/>
      <c r="F39" s="24"/>
      <c r="G39" s="23"/>
      <c r="H39" s="23"/>
      <c r="I39" s="24"/>
    </row>
    <row r="40" spans="1:9" ht="12.95">
      <c r="A40" s="23"/>
      <c r="B40" s="23"/>
      <c r="C40" s="23"/>
      <c r="D40" s="23"/>
      <c r="E40" s="23"/>
      <c r="F40" s="24"/>
      <c r="G40" s="23"/>
      <c r="H40" s="23"/>
      <c r="I40" s="24"/>
    </row>
    <row r="41" spans="1:9" ht="12.95">
      <c r="A41" s="23"/>
      <c r="B41" s="23"/>
      <c r="C41" s="23"/>
      <c r="D41" s="23"/>
      <c r="E41" s="23"/>
      <c r="F41" s="24"/>
      <c r="G41" s="23"/>
      <c r="H41" s="23"/>
      <c r="I41" s="24"/>
    </row>
    <row r="42" spans="1:9" ht="12.95">
      <c r="A42" s="23"/>
      <c r="B42" s="23"/>
      <c r="C42" s="23"/>
      <c r="D42" s="23"/>
      <c r="E42" s="23"/>
      <c r="F42" s="24"/>
      <c r="G42" s="23"/>
      <c r="H42" s="23"/>
      <c r="I42" s="24"/>
    </row>
    <row r="43" spans="1:9" ht="12.95">
      <c r="A43" s="23"/>
      <c r="B43" s="23"/>
      <c r="C43" s="23"/>
      <c r="D43" s="23"/>
      <c r="E43" s="23"/>
      <c r="F43" s="24"/>
      <c r="G43" s="23"/>
      <c r="H43" s="23"/>
      <c r="I43" s="24"/>
    </row>
    <row r="44" spans="1:9" ht="12.95">
      <c r="A44" s="23"/>
      <c r="B44" s="23"/>
      <c r="C44" s="23"/>
      <c r="D44" s="23"/>
      <c r="E44" s="23"/>
      <c r="F44" s="24"/>
      <c r="G44" s="23"/>
      <c r="H44" s="23"/>
      <c r="I44" s="24"/>
    </row>
    <row r="45" spans="1:9" ht="12.95">
      <c r="A45" s="23"/>
      <c r="B45" s="23"/>
      <c r="C45" s="23"/>
      <c r="D45" s="23"/>
      <c r="E45" s="23"/>
      <c r="F45" s="24"/>
      <c r="G45" s="23"/>
      <c r="H45" s="23"/>
      <c r="I45" s="24"/>
    </row>
    <row r="46" spans="1:9" ht="12.95">
      <c r="A46" s="23"/>
      <c r="B46" s="23"/>
      <c r="C46" s="23"/>
      <c r="D46" s="23"/>
      <c r="E46" s="23"/>
      <c r="F46" s="24"/>
      <c r="G46" s="23"/>
      <c r="H46" s="23"/>
      <c r="I46" s="24"/>
    </row>
    <row r="47" spans="1:9" ht="12.95">
      <c r="A47" s="23"/>
      <c r="B47" s="23"/>
      <c r="C47" s="23"/>
      <c r="D47" s="23"/>
      <c r="E47" s="23"/>
      <c r="F47" s="24"/>
      <c r="G47" s="23"/>
      <c r="H47" s="23"/>
      <c r="I47" s="24"/>
    </row>
    <row r="48" spans="1:9" ht="12.95">
      <c r="A48" s="23"/>
      <c r="B48" s="23"/>
      <c r="C48" s="23"/>
      <c r="D48" s="23"/>
      <c r="E48" s="23"/>
      <c r="F48" s="24"/>
      <c r="G48" s="23"/>
      <c r="H48" s="23"/>
      <c r="I48" s="24"/>
    </row>
    <row r="49" spans="1:9" ht="12.95">
      <c r="A49" s="23"/>
      <c r="B49" s="23"/>
      <c r="C49" s="23"/>
      <c r="D49" s="23"/>
      <c r="E49" s="23"/>
      <c r="F49" s="24"/>
      <c r="G49" s="23"/>
      <c r="H49" s="23"/>
      <c r="I49" s="24"/>
    </row>
    <row r="50" spans="1:9" ht="12.95">
      <c r="A50" s="23"/>
      <c r="B50" s="23"/>
      <c r="C50" s="23"/>
      <c r="D50" s="23"/>
      <c r="E50" s="23"/>
      <c r="F50" s="24"/>
      <c r="G50" s="23"/>
      <c r="H50" s="23"/>
      <c r="I50" s="24"/>
    </row>
    <row r="51" spans="1:9" ht="12.95">
      <c r="A51" s="23"/>
      <c r="B51" s="23"/>
      <c r="C51" s="23"/>
      <c r="D51" s="23"/>
      <c r="E51" s="23"/>
      <c r="F51" s="24"/>
      <c r="G51" s="23"/>
      <c r="H51" s="23"/>
      <c r="I51" s="24"/>
    </row>
    <row r="52" spans="1:9" ht="12.95">
      <c r="A52" s="23"/>
      <c r="B52" s="23"/>
      <c r="C52" s="23"/>
      <c r="D52" s="23"/>
      <c r="E52" s="23"/>
      <c r="F52" s="24"/>
      <c r="G52" s="23"/>
      <c r="H52" s="23"/>
      <c r="I52" s="24"/>
    </row>
    <row r="53" spans="1:9" ht="12.95">
      <c r="A53" s="23"/>
      <c r="B53" s="23"/>
      <c r="C53" s="23"/>
      <c r="D53" s="23"/>
      <c r="E53" s="23"/>
      <c r="F53" s="24"/>
      <c r="G53" s="23"/>
      <c r="H53" s="23"/>
      <c r="I53" s="24"/>
    </row>
    <row r="54" spans="1:9" ht="12.95">
      <c r="A54" s="23"/>
      <c r="B54" s="23"/>
      <c r="C54" s="23"/>
      <c r="D54" s="23"/>
      <c r="E54" s="23"/>
      <c r="F54" s="24"/>
      <c r="G54" s="23"/>
      <c r="H54" s="23"/>
      <c r="I54" s="24"/>
    </row>
    <row r="55" spans="1:9" ht="12.95">
      <c r="A55" s="23"/>
      <c r="B55" s="23"/>
      <c r="C55" s="23"/>
      <c r="D55" s="23"/>
      <c r="E55" s="23"/>
      <c r="F55" s="24"/>
      <c r="G55" s="23"/>
      <c r="H55" s="23"/>
      <c r="I55" s="24"/>
    </row>
    <row r="56" spans="1:9" ht="12.95">
      <c r="A56" s="23"/>
      <c r="B56" s="23"/>
      <c r="C56" s="23"/>
      <c r="D56" s="23"/>
      <c r="E56" s="23"/>
      <c r="F56" s="24"/>
      <c r="G56" s="23"/>
      <c r="H56" s="23"/>
      <c r="I56" s="24"/>
    </row>
    <row r="57" spans="1:9" ht="12.95">
      <c r="A57" s="23"/>
      <c r="B57" s="23"/>
      <c r="C57" s="23"/>
      <c r="D57" s="23"/>
      <c r="E57" s="23"/>
      <c r="F57" s="24"/>
      <c r="G57" s="23"/>
      <c r="H57" s="23"/>
      <c r="I57" s="24"/>
    </row>
    <row r="58" spans="1:9" ht="12.95">
      <c r="A58" s="23"/>
      <c r="B58" s="23"/>
      <c r="C58" s="23"/>
      <c r="D58" s="23"/>
      <c r="E58" s="23"/>
      <c r="F58" s="24"/>
      <c r="G58" s="23"/>
      <c r="H58" s="23"/>
      <c r="I58" s="24"/>
    </row>
    <row r="59" spans="1:9" ht="12.95">
      <c r="A59" s="23"/>
      <c r="B59" s="23"/>
      <c r="C59" s="23"/>
      <c r="D59" s="23"/>
      <c r="E59" s="23"/>
      <c r="F59" s="24"/>
      <c r="G59" s="23"/>
      <c r="H59" s="23"/>
      <c r="I59" s="24"/>
    </row>
    <row r="60" spans="1:9" ht="12.95">
      <c r="A60" s="23"/>
      <c r="B60" s="23"/>
      <c r="C60" s="23"/>
      <c r="D60" s="23"/>
      <c r="E60" s="23"/>
      <c r="F60" s="24"/>
      <c r="G60" s="23"/>
      <c r="H60" s="23"/>
      <c r="I60" s="24"/>
    </row>
    <row r="61" spans="1:9" ht="12.95">
      <c r="A61" s="23"/>
      <c r="B61" s="23"/>
      <c r="C61" s="23"/>
      <c r="D61" s="23"/>
      <c r="E61" s="23"/>
      <c r="F61" s="24"/>
      <c r="G61" s="23"/>
      <c r="H61" s="23"/>
      <c r="I61" s="24"/>
    </row>
    <row r="62" spans="1:9" ht="12.95">
      <c r="A62" s="23"/>
      <c r="B62" s="23"/>
      <c r="C62" s="23"/>
      <c r="D62" s="23"/>
      <c r="E62" s="23"/>
      <c r="F62" s="24"/>
      <c r="G62" s="23"/>
      <c r="H62" s="23"/>
      <c r="I62" s="24"/>
    </row>
    <row r="63" spans="1:9" ht="12.95">
      <c r="A63" s="23"/>
      <c r="B63" s="23"/>
      <c r="C63" s="23"/>
      <c r="D63" s="23"/>
      <c r="E63" s="23"/>
      <c r="F63" s="24"/>
      <c r="G63" s="23"/>
      <c r="H63" s="23"/>
      <c r="I63" s="24"/>
    </row>
    <row r="64" spans="1:9" ht="12.95">
      <c r="A64" s="23"/>
      <c r="B64" s="23"/>
      <c r="C64" s="23"/>
      <c r="D64" s="23"/>
      <c r="E64" s="23"/>
      <c r="F64" s="24"/>
      <c r="G64" s="23"/>
      <c r="H64" s="23"/>
      <c r="I64" s="24"/>
    </row>
    <row r="65" spans="1:9" ht="12.95">
      <c r="A65" s="23"/>
      <c r="B65" s="23"/>
      <c r="C65" s="23"/>
      <c r="D65" s="23"/>
      <c r="E65" s="23"/>
      <c r="F65" s="24"/>
      <c r="G65" s="23"/>
      <c r="H65" s="23"/>
      <c r="I65" s="24"/>
    </row>
    <row r="66" spans="1:9" ht="12.95">
      <c r="A66" s="23"/>
      <c r="B66" s="23"/>
      <c r="C66" s="23"/>
      <c r="D66" s="23"/>
      <c r="E66" s="23"/>
      <c r="F66" s="24"/>
      <c r="G66" s="23"/>
      <c r="H66" s="23"/>
      <c r="I66" s="24"/>
    </row>
    <row r="67" spans="1:9" ht="12.95">
      <c r="A67" s="23"/>
      <c r="B67" s="23"/>
      <c r="C67" s="23"/>
      <c r="D67" s="23"/>
      <c r="E67" s="23"/>
      <c r="F67" s="24"/>
      <c r="G67" s="23"/>
      <c r="H67" s="23"/>
      <c r="I67" s="24"/>
    </row>
    <row r="68" spans="1:9" ht="12.95">
      <c r="A68" s="23"/>
      <c r="B68" s="23"/>
      <c r="C68" s="23"/>
      <c r="D68" s="23"/>
      <c r="E68" s="23"/>
      <c r="F68" s="24"/>
      <c r="G68" s="23"/>
      <c r="H68" s="23"/>
      <c r="I68" s="24"/>
    </row>
    <row r="69" spans="1:9" ht="12.95">
      <c r="A69" s="23"/>
      <c r="B69" s="23"/>
      <c r="C69" s="23"/>
      <c r="D69" s="23"/>
      <c r="E69" s="23"/>
      <c r="F69" s="24"/>
      <c r="G69" s="23"/>
      <c r="H69" s="23"/>
      <c r="I69" s="24"/>
    </row>
    <row r="70" spans="1:9" ht="12.95">
      <c r="A70" s="23"/>
      <c r="B70" s="23"/>
      <c r="C70" s="23"/>
      <c r="D70" s="23"/>
      <c r="E70" s="23"/>
      <c r="F70" s="24"/>
      <c r="G70" s="23"/>
      <c r="H70" s="23"/>
      <c r="I70" s="24"/>
    </row>
    <row r="71" spans="1:9" ht="12.95">
      <c r="A71" s="23"/>
      <c r="B71" s="23"/>
      <c r="C71" s="23"/>
      <c r="D71" s="23"/>
      <c r="E71" s="23"/>
      <c r="F71" s="24"/>
      <c r="G71" s="23"/>
      <c r="H71" s="23"/>
      <c r="I71" s="24"/>
    </row>
    <row r="72" spans="1:9" ht="12.95">
      <c r="A72" s="23"/>
      <c r="B72" s="23"/>
      <c r="C72" s="23"/>
      <c r="D72" s="23"/>
      <c r="E72" s="23"/>
      <c r="F72" s="24"/>
      <c r="G72" s="23"/>
      <c r="H72" s="23"/>
      <c r="I72" s="24"/>
    </row>
    <row r="73" spans="1:9" ht="12.95">
      <c r="A73" s="23"/>
      <c r="B73" s="23"/>
      <c r="C73" s="23"/>
      <c r="D73" s="23"/>
      <c r="E73" s="23"/>
      <c r="F73" s="24"/>
      <c r="G73" s="23"/>
      <c r="H73" s="23"/>
      <c r="I73" s="24"/>
    </row>
    <row r="74" spans="1:9" ht="12.95">
      <c r="A74" s="23"/>
      <c r="B74" s="23"/>
      <c r="C74" s="23"/>
      <c r="D74" s="23"/>
      <c r="E74" s="23"/>
      <c r="F74" s="24"/>
      <c r="G74" s="23"/>
      <c r="H74" s="23"/>
      <c r="I74" s="24"/>
    </row>
    <row r="75" spans="1:9" ht="12.95">
      <c r="A75" s="23"/>
      <c r="B75" s="23"/>
      <c r="C75" s="23"/>
      <c r="D75" s="23"/>
      <c r="E75" s="23"/>
      <c r="F75" s="24"/>
      <c r="G75" s="23"/>
      <c r="H75" s="23"/>
      <c r="I75" s="24"/>
    </row>
    <row r="76" spans="1:9" ht="12.95">
      <c r="A76" s="23"/>
      <c r="B76" s="23"/>
      <c r="C76" s="23"/>
      <c r="D76" s="23"/>
      <c r="E76" s="23"/>
      <c r="F76" s="24"/>
      <c r="G76" s="23"/>
      <c r="H76" s="23"/>
      <c r="I76" s="24"/>
    </row>
    <row r="77" spans="1:9" ht="12.95">
      <c r="A77" s="23"/>
      <c r="B77" s="23"/>
      <c r="C77" s="23"/>
      <c r="D77" s="23"/>
      <c r="E77" s="23"/>
      <c r="F77" s="24"/>
      <c r="G77" s="23"/>
      <c r="H77" s="23"/>
      <c r="I77" s="24"/>
    </row>
    <row r="78" spans="1:9" ht="12.95">
      <c r="A78" s="23"/>
      <c r="B78" s="23"/>
      <c r="C78" s="23"/>
      <c r="D78" s="23"/>
      <c r="E78" s="23"/>
      <c r="F78" s="24"/>
      <c r="G78" s="23"/>
      <c r="H78" s="23"/>
      <c r="I78" s="24"/>
    </row>
    <row r="79" spans="1:9" ht="12.95">
      <c r="A79" s="23"/>
      <c r="B79" s="23"/>
      <c r="C79" s="23"/>
      <c r="D79" s="23"/>
      <c r="E79" s="23"/>
      <c r="F79" s="24"/>
      <c r="G79" s="23"/>
      <c r="H79" s="23"/>
      <c r="I79" s="24"/>
    </row>
    <row r="80" spans="1:9" ht="12.95">
      <c r="A80" s="23"/>
      <c r="B80" s="23"/>
      <c r="C80" s="23"/>
      <c r="D80" s="23"/>
      <c r="E80" s="23"/>
      <c r="F80" s="24"/>
      <c r="G80" s="23"/>
      <c r="H80" s="23"/>
      <c r="I80" s="24"/>
    </row>
    <row r="81" spans="1:9" ht="12.95">
      <c r="A81" s="23"/>
      <c r="B81" s="23"/>
      <c r="C81" s="23"/>
      <c r="D81" s="23"/>
      <c r="E81" s="23"/>
      <c r="F81" s="24"/>
      <c r="G81" s="23"/>
      <c r="H81" s="23"/>
      <c r="I81" s="24"/>
    </row>
    <row r="82" spans="1:9" ht="12.95">
      <c r="A82" s="23"/>
      <c r="B82" s="23"/>
      <c r="C82" s="23"/>
      <c r="D82" s="23"/>
      <c r="E82" s="23"/>
      <c r="F82" s="24"/>
      <c r="G82" s="23"/>
      <c r="H82" s="23"/>
      <c r="I82" s="24"/>
    </row>
    <row r="83" spans="1:9" ht="12.95">
      <c r="A83" s="23"/>
      <c r="B83" s="23"/>
      <c r="C83" s="23"/>
      <c r="D83" s="23"/>
      <c r="E83" s="23"/>
      <c r="F83" s="24"/>
      <c r="G83" s="23"/>
      <c r="H83" s="23"/>
      <c r="I83" s="24"/>
    </row>
    <row r="84" spans="1:9" ht="12.95">
      <c r="A84" s="23"/>
      <c r="B84" s="23"/>
      <c r="C84" s="23"/>
      <c r="D84" s="23"/>
      <c r="E84" s="23"/>
      <c r="F84" s="24"/>
      <c r="G84" s="23"/>
      <c r="H84" s="23"/>
      <c r="I84" s="24"/>
    </row>
    <row r="85" spans="1:9" ht="12.95">
      <c r="A85" s="23"/>
      <c r="B85" s="23"/>
      <c r="C85" s="23"/>
      <c r="D85" s="23"/>
      <c r="E85" s="23"/>
      <c r="F85" s="24"/>
      <c r="G85" s="23"/>
      <c r="H85" s="23"/>
      <c r="I85" s="24"/>
    </row>
    <row r="86" spans="1:9" ht="12.95">
      <c r="A86" s="23"/>
      <c r="B86" s="23"/>
      <c r="C86" s="23"/>
      <c r="D86" s="23"/>
      <c r="E86" s="23"/>
      <c r="F86" s="24"/>
      <c r="G86" s="23"/>
      <c r="H86" s="23"/>
      <c r="I86" s="24"/>
    </row>
    <row r="87" spans="1:9" ht="12.95">
      <c r="A87" s="23"/>
      <c r="B87" s="23"/>
      <c r="C87" s="23"/>
      <c r="D87" s="23"/>
      <c r="E87" s="23"/>
      <c r="F87" s="24"/>
      <c r="G87" s="23"/>
      <c r="H87" s="23"/>
      <c r="I87" s="24"/>
    </row>
    <row r="88" spans="1:9" ht="12.95">
      <c r="A88" s="23"/>
      <c r="B88" s="23"/>
      <c r="C88" s="23"/>
      <c r="D88" s="23"/>
      <c r="E88" s="23"/>
      <c r="F88" s="24"/>
      <c r="G88" s="23"/>
      <c r="H88" s="23"/>
      <c r="I88" s="24"/>
    </row>
    <row r="89" spans="1:9" ht="12.95">
      <c r="A89" s="23"/>
      <c r="B89" s="23"/>
      <c r="C89" s="23"/>
      <c r="D89" s="23"/>
      <c r="E89" s="23"/>
      <c r="F89" s="24"/>
      <c r="G89" s="23"/>
      <c r="H89" s="23"/>
      <c r="I89" s="24"/>
    </row>
    <row r="90" spans="1:9" ht="12.95">
      <c r="A90" s="23"/>
      <c r="B90" s="23"/>
      <c r="C90" s="23"/>
      <c r="D90" s="23"/>
      <c r="E90" s="23"/>
      <c r="F90" s="24"/>
      <c r="G90" s="23"/>
      <c r="H90" s="23"/>
      <c r="I90" s="24"/>
    </row>
    <row r="91" spans="1:9" ht="12.95">
      <c r="A91" s="23"/>
      <c r="B91" s="23"/>
      <c r="C91" s="23"/>
      <c r="D91" s="23"/>
      <c r="E91" s="23"/>
      <c r="F91" s="24"/>
      <c r="G91" s="23"/>
      <c r="H91" s="23"/>
      <c r="I91" s="24"/>
    </row>
    <row r="92" spans="1:9" ht="12.95">
      <c r="A92" s="23"/>
      <c r="B92" s="23"/>
      <c r="C92" s="23"/>
      <c r="D92" s="23"/>
      <c r="E92" s="23"/>
      <c r="F92" s="24"/>
      <c r="G92" s="23"/>
      <c r="H92" s="23"/>
      <c r="I92" s="24"/>
    </row>
    <row r="93" spans="1:9" ht="12.95">
      <c r="A93" s="23"/>
      <c r="B93" s="23"/>
      <c r="C93" s="23"/>
      <c r="D93" s="23"/>
      <c r="E93" s="23"/>
      <c r="F93" s="24"/>
      <c r="G93" s="23"/>
      <c r="H93" s="23"/>
      <c r="I93" s="24"/>
    </row>
    <row r="94" spans="1:9" ht="12.95">
      <c r="A94" s="23"/>
      <c r="B94" s="23"/>
      <c r="C94" s="23"/>
      <c r="D94" s="23"/>
      <c r="E94" s="23"/>
      <c r="F94" s="24"/>
      <c r="G94" s="23"/>
      <c r="H94" s="23"/>
      <c r="I94" s="24"/>
    </row>
    <row r="95" spans="1:9" ht="12.95">
      <c r="A95" s="23"/>
      <c r="B95" s="23"/>
      <c r="C95" s="23"/>
      <c r="D95" s="23"/>
      <c r="E95" s="23"/>
      <c r="F95" s="24"/>
      <c r="G95" s="23"/>
      <c r="H95" s="23"/>
      <c r="I95" s="24"/>
    </row>
    <row r="96" spans="1:9" ht="12.95">
      <c r="A96" s="23"/>
      <c r="B96" s="23"/>
      <c r="C96" s="23"/>
      <c r="D96" s="23"/>
      <c r="E96" s="23"/>
      <c r="F96" s="24"/>
      <c r="G96" s="23"/>
      <c r="H96" s="23"/>
      <c r="I96" s="24"/>
    </row>
    <row r="97" spans="1:9" ht="12.95">
      <c r="A97" s="23"/>
      <c r="B97" s="23"/>
      <c r="C97" s="23"/>
      <c r="D97" s="23"/>
      <c r="E97" s="23"/>
      <c r="F97" s="24"/>
      <c r="G97" s="23"/>
      <c r="H97" s="23"/>
      <c r="I97" s="24"/>
    </row>
    <row r="98" spans="1:9" ht="12.95">
      <c r="A98" s="23"/>
      <c r="B98" s="23"/>
      <c r="C98" s="23"/>
      <c r="D98" s="23"/>
      <c r="E98" s="23"/>
      <c r="F98" s="24"/>
      <c r="G98" s="23"/>
      <c r="H98" s="23"/>
      <c r="I98" s="24"/>
    </row>
    <row r="99" spans="1:9" ht="12.95">
      <c r="A99" s="23"/>
      <c r="B99" s="23"/>
      <c r="C99" s="23"/>
      <c r="D99" s="23"/>
      <c r="E99" s="23"/>
      <c r="F99" s="24"/>
      <c r="G99" s="23"/>
      <c r="H99" s="23"/>
      <c r="I99" s="24"/>
    </row>
    <row r="100" spans="1:9" ht="12.95">
      <c r="A100" s="23"/>
      <c r="B100" s="23"/>
      <c r="C100" s="23"/>
      <c r="D100" s="23"/>
      <c r="E100" s="23"/>
      <c r="F100" s="24"/>
      <c r="G100" s="23"/>
      <c r="H100" s="23"/>
      <c r="I100" s="24"/>
    </row>
    <row r="101" spans="1:9" ht="12.95">
      <c r="A101" s="23"/>
      <c r="B101" s="23"/>
      <c r="C101" s="23"/>
      <c r="D101" s="23"/>
      <c r="E101" s="23"/>
      <c r="F101" s="24"/>
      <c r="G101" s="23"/>
      <c r="H101" s="23"/>
      <c r="I101" s="24"/>
    </row>
    <row r="102" spans="1:9" ht="12.95">
      <c r="A102" s="23"/>
      <c r="B102" s="23"/>
      <c r="C102" s="23"/>
      <c r="D102" s="23"/>
      <c r="E102" s="23"/>
      <c r="F102" s="24"/>
      <c r="G102" s="23"/>
      <c r="H102" s="23"/>
      <c r="I102" s="24"/>
    </row>
    <row r="103" spans="1:9" ht="12.95">
      <c r="A103" s="23"/>
      <c r="B103" s="23"/>
      <c r="C103" s="23"/>
      <c r="D103" s="23"/>
      <c r="E103" s="23"/>
      <c r="F103" s="24"/>
      <c r="G103" s="23"/>
      <c r="H103" s="23"/>
      <c r="I103" s="24"/>
    </row>
    <row r="104" spans="1:9" ht="12.95">
      <c r="A104" s="23"/>
      <c r="B104" s="23"/>
      <c r="C104" s="23"/>
      <c r="D104" s="23"/>
      <c r="E104" s="23"/>
      <c r="F104" s="24"/>
      <c r="G104" s="23"/>
      <c r="H104" s="23"/>
      <c r="I104" s="24"/>
    </row>
    <row r="105" spans="1:9" ht="12.95">
      <c r="A105" s="23"/>
      <c r="B105" s="23"/>
      <c r="C105" s="23"/>
      <c r="D105" s="23"/>
      <c r="E105" s="23"/>
      <c r="F105" s="24"/>
      <c r="G105" s="23"/>
      <c r="H105" s="23"/>
      <c r="I105" s="24"/>
    </row>
    <row r="106" spans="1:9" ht="12.95">
      <c r="A106" s="23"/>
      <c r="B106" s="23"/>
      <c r="C106" s="23"/>
      <c r="D106" s="23"/>
      <c r="E106" s="23"/>
      <c r="F106" s="24"/>
      <c r="G106" s="23"/>
      <c r="H106" s="23"/>
      <c r="I106" s="24"/>
    </row>
    <row r="107" spans="1:9" ht="12.95">
      <c r="A107" s="23"/>
      <c r="B107" s="23"/>
      <c r="C107" s="23"/>
      <c r="D107" s="23"/>
      <c r="E107" s="23"/>
      <c r="F107" s="24"/>
      <c r="G107" s="23"/>
      <c r="H107" s="23"/>
      <c r="I107" s="24"/>
    </row>
    <row r="108" spans="1:9" ht="12.95">
      <c r="A108" s="23"/>
      <c r="B108" s="23"/>
      <c r="C108" s="23"/>
      <c r="D108" s="23"/>
      <c r="E108" s="23"/>
      <c r="F108" s="24"/>
      <c r="G108" s="23"/>
      <c r="H108" s="23"/>
      <c r="I108" s="24"/>
    </row>
    <row r="109" spans="1:9" ht="12.95">
      <c r="A109" s="23"/>
      <c r="B109" s="23"/>
      <c r="C109" s="23"/>
      <c r="D109" s="23"/>
      <c r="E109" s="23"/>
      <c r="F109" s="24"/>
      <c r="G109" s="23"/>
      <c r="H109" s="23"/>
      <c r="I109" s="24"/>
    </row>
    <row r="110" spans="1:9" ht="12.95">
      <c r="A110" s="23"/>
      <c r="B110" s="23"/>
      <c r="C110" s="23"/>
      <c r="D110" s="23"/>
      <c r="E110" s="23"/>
      <c r="F110" s="24"/>
      <c r="G110" s="23"/>
      <c r="H110" s="23"/>
      <c r="I110" s="24"/>
    </row>
    <row r="111" spans="1:9" ht="12.95">
      <c r="A111" s="23"/>
      <c r="B111" s="23"/>
      <c r="C111" s="23"/>
      <c r="D111" s="23"/>
      <c r="E111" s="23"/>
      <c r="F111" s="24"/>
      <c r="G111" s="23"/>
      <c r="H111" s="23"/>
      <c r="I111" s="24"/>
    </row>
    <row r="112" spans="1:9" ht="12.95">
      <c r="A112" s="23"/>
      <c r="B112" s="23"/>
      <c r="C112" s="23"/>
      <c r="D112" s="23"/>
      <c r="E112" s="23"/>
      <c r="F112" s="24"/>
      <c r="G112" s="23"/>
      <c r="H112" s="23"/>
      <c r="I112" s="24"/>
    </row>
    <row r="113" spans="1:9" ht="12.95">
      <c r="A113" s="23"/>
      <c r="B113" s="23"/>
      <c r="C113" s="23"/>
      <c r="D113" s="23"/>
      <c r="E113" s="23"/>
      <c r="F113" s="24"/>
      <c r="G113" s="23"/>
      <c r="H113" s="23"/>
      <c r="I113" s="24"/>
    </row>
    <row r="114" spans="1:9" ht="12.95">
      <c r="A114" s="23"/>
      <c r="B114" s="23"/>
      <c r="C114" s="23"/>
      <c r="D114" s="23"/>
      <c r="E114" s="23"/>
      <c r="F114" s="24"/>
      <c r="G114" s="23"/>
      <c r="H114" s="23"/>
      <c r="I114" s="24"/>
    </row>
    <row r="115" spans="1:9" ht="12.95">
      <c r="A115" s="23"/>
      <c r="B115" s="23"/>
      <c r="C115" s="23"/>
      <c r="D115" s="23"/>
      <c r="E115" s="23"/>
      <c r="F115" s="24"/>
      <c r="G115" s="23"/>
      <c r="H115" s="23"/>
      <c r="I115" s="24"/>
    </row>
    <row r="116" spans="1:9" ht="12.95">
      <c r="A116" s="23"/>
      <c r="B116" s="23"/>
      <c r="C116" s="23"/>
      <c r="D116" s="23"/>
      <c r="E116" s="23"/>
      <c r="F116" s="24"/>
      <c r="G116" s="23"/>
      <c r="H116" s="23"/>
      <c r="I116" s="24"/>
    </row>
    <row r="117" spans="1:9" ht="12.95">
      <c r="A117" s="23"/>
      <c r="B117" s="23"/>
      <c r="C117" s="23"/>
      <c r="D117" s="23"/>
      <c r="E117" s="23"/>
      <c r="F117" s="24"/>
      <c r="G117" s="23"/>
      <c r="H117" s="23"/>
      <c r="I117" s="24"/>
    </row>
    <row r="118" spans="1:9" ht="12.95">
      <c r="A118" s="23"/>
      <c r="B118" s="23"/>
      <c r="C118" s="23"/>
      <c r="D118" s="23"/>
      <c r="E118" s="23"/>
      <c r="F118" s="24"/>
      <c r="G118" s="23"/>
      <c r="H118" s="23"/>
      <c r="I118" s="24"/>
    </row>
    <row r="119" spans="1:9" ht="12.95">
      <c r="A119" s="23"/>
      <c r="B119" s="23"/>
      <c r="C119" s="23"/>
      <c r="D119" s="23"/>
      <c r="E119" s="23"/>
      <c r="F119" s="24"/>
      <c r="G119" s="23"/>
      <c r="H119" s="23"/>
      <c r="I119" s="24"/>
    </row>
    <row r="120" spans="1:9" ht="12.95">
      <c r="A120" s="23"/>
      <c r="B120" s="23"/>
      <c r="C120" s="23"/>
      <c r="D120" s="23"/>
      <c r="E120" s="23"/>
      <c r="F120" s="24"/>
      <c r="G120" s="23"/>
      <c r="H120" s="23"/>
      <c r="I120" s="24"/>
    </row>
    <row r="121" spans="1:9" ht="12.95">
      <c r="A121" s="23"/>
      <c r="B121" s="23"/>
      <c r="C121" s="23"/>
      <c r="D121" s="23"/>
      <c r="E121" s="23"/>
      <c r="F121" s="24"/>
      <c r="G121" s="23"/>
      <c r="H121" s="23"/>
      <c r="I121" s="24"/>
    </row>
    <row r="122" spans="1:9" ht="12.95">
      <c r="A122" s="23"/>
      <c r="B122" s="23"/>
      <c r="C122" s="23"/>
      <c r="D122" s="23"/>
      <c r="E122" s="23"/>
      <c r="F122" s="24"/>
      <c r="G122" s="23"/>
      <c r="H122" s="23"/>
      <c r="I122" s="24"/>
    </row>
    <row r="123" spans="1:9" ht="12.95">
      <c r="A123" s="23"/>
      <c r="B123" s="23"/>
      <c r="C123" s="23"/>
      <c r="D123" s="23"/>
      <c r="E123" s="23"/>
      <c r="F123" s="24"/>
      <c r="G123" s="23"/>
      <c r="H123" s="23"/>
      <c r="I123" s="24"/>
    </row>
    <row r="124" spans="1:9" ht="12.95">
      <c r="A124" s="23"/>
      <c r="B124" s="23"/>
      <c r="C124" s="23"/>
      <c r="D124" s="23"/>
      <c r="E124" s="23"/>
      <c r="F124" s="24"/>
      <c r="G124" s="23"/>
      <c r="H124" s="23"/>
      <c r="I124" s="24"/>
    </row>
    <row r="125" spans="1:9" ht="12.95">
      <c r="A125" s="23"/>
      <c r="B125" s="23"/>
      <c r="C125" s="23"/>
      <c r="D125" s="23"/>
      <c r="E125" s="23"/>
      <c r="F125" s="24"/>
      <c r="G125" s="23"/>
      <c r="H125" s="23"/>
      <c r="I125" s="24"/>
    </row>
    <row r="126" spans="1:9" ht="12.95">
      <c r="A126" s="23"/>
      <c r="B126" s="23"/>
      <c r="C126" s="23"/>
      <c r="D126" s="23"/>
      <c r="E126" s="23"/>
      <c r="F126" s="24"/>
      <c r="G126" s="23"/>
      <c r="H126" s="23"/>
      <c r="I126" s="24"/>
    </row>
    <row r="127" spans="1:9" ht="12.95">
      <c r="A127" s="23"/>
      <c r="B127" s="23"/>
      <c r="C127" s="23"/>
      <c r="D127" s="23"/>
      <c r="E127" s="23"/>
      <c r="F127" s="24"/>
      <c r="G127" s="23"/>
      <c r="H127" s="23"/>
      <c r="I127" s="24"/>
    </row>
    <row r="128" spans="1:9" ht="12.95">
      <c r="A128" s="23"/>
      <c r="B128" s="23"/>
      <c r="C128" s="23"/>
      <c r="D128" s="23"/>
      <c r="E128" s="23"/>
      <c r="F128" s="24"/>
      <c r="G128" s="23"/>
      <c r="H128" s="23"/>
      <c r="I128" s="24"/>
    </row>
    <row r="129" spans="1:9" ht="12.95">
      <c r="A129" s="23"/>
      <c r="B129" s="23"/>
      <c r="C129" s="23"/>
      <c r="D129" s="23"/>
      <c r="E129" s="23"/>
      <c r="F129" s="24"/>
      <c r="G129" s="23"/>
      <c r="H129" s="23"/>
      <c r="I129" s="24"/>
    </row>
    <row r="130" spans="1:9" ht="12.95">
      <c r="A130" s="23"/>
      <c r="B130" s="23"/>
      <c r="C130" s="23"/>
      <c r="D130" s="23"/>
      <c r="E130" s="23"/>
      <c r="F130" s="24"/>
      <c r="G130" s="23"/>
      <c r="H130" s="23"/>
      <c r="I130" s="24"/>
    </row>
    <row r="131" spans="1:9" ht="12.95">
      <c r="A131" s="23"/>
      <c r="B131" s="23"/>
      <c r="C131" s="23"/>
      <c r="D131" s="23"/>
      <c r="E131" s="23"/>
      <c r="F131" s="24"/>
      <c r="G131" s="23"/>
      <c r="H131" s="23"/>
      <c r="I131" s="24"/>
    </row>
    <row r="132" spans="1:9" ht="12.95">
      <c r="A132" s="23"/>
      <c r="B132" s="23"/>
      <c r="C132" s="23"/>
      <c r="D132" s="23"/>
      <c r="E132" s="23"/>
      <c r="F132" s="24"/>
      <c r="G132" s="23"/>
      <c r="H132" s="23"/>
      <c r="I132" s="24"/>
    </row>
    <row r="133" spans="1:9" ht="12.95">
      <c r="A133" s="23"/>
      <c r="B133" s="23"/>
      <c r="C133" s="23"/>
      <c r="D133" s="23"/>
      <c r="E133" s="23"/>
      <c r="F133" s="24"/>
      <c r="G133" s="23"/>
      <c r="H133" s="23"/>
      <c r="I133" s="24"/>
    </row>
    <row r="134" spans="1:9" ht="12.95">
      <c r="A134" s="23"/>
      <c r="B134" s="23"/>
      <c r="C134" s="23"/>
      <c r="D134" s="23"/>
      <c r="E134" s="23"/>
      <c r="F134" s="24"/>
      <c r="G134" s="23"/>
      <c r="H134" s="23"/>
      <c r="I134" s="24"/>
    </row>
    <row r="135" spans="1:9" ht="12.95">
      <c r="A135" s="23"/>
      <c r="B135" s="23"/>
      <c r="C135" s="23"/>
      <c r="D135" s="23"/>
      <c r="E135" s="23"/>
      <c r="F135" s="24"/>
      <c r="G135" s="23"/>
      <c r="H135" s="23"/>
      <c r="I135" s="24"/>
    </row>
    <row r="136" spans="1:9" ht="12.95">
      <c r="A136" s="23"/>
      <c r="B136" s="23"/>
      <c r="C136" s="23"/>
      <c r="D136" s="23"/>
      <c r="E136" s="23"/>
      <c r="F136" s="24"/>
      <c r="G136" s="23"/>
      <c r="H136" s="23"/>
      <c r="I136" s="24"/>
    </row>
    <row r="137" spans="1:9" ht="12.95">
      <c r="A137" s="23"/>
      <c r="B137" s="23"/>
      <c r="C137" s="23"/>
      <c r="D137" s="23"/>
      <c r="E137" s="23"/>
      <c r="F137" s="24"/>
      <c r="G137" s="23"/>
      <c r="H137" s="23"/>
      <c r="I137" s="24"/>
    </row>
    <row r="138" spans="1:9" ht="12.95">
      <c r="A138" s="23"/>
      <c r="B138" s="23"/>
      <c r="C138" s="23"/>
      <c r="D138" s="23"/>
      <c r="E138" s="23"/>
      <c r="F138" s="24"/>
      <c r="G138" s="23"/>
      <c r="H138" s="23"/>
      <c r="I138" s="24"/>
    </row>
    <row r="139" spans="1:9" ht="12.95">
      <c r="A139" s="23"/>
      <c r="B139" s="23"/>
      <c r="C139" s="23"/>
      <c r="D139" s="23"/>
      <c r="E139" s="23"/>
      <c r="F139" s="24"/>
      <c r="G139" s="23"/>
      <c r="H139" s="23"/>
      <c r="I139" s="24"/>
    </row>
    <row r="140" spans="1:9" ht="12.95">
      <c r="A140" s="23"/>
      <c r="B140" s="23"/>
      <c r="C140" s="23"/>
      <c r="D140" s="23"/>
      <c r="E140" s="23"/>
      <c r="F140" s="24"/>
      <c r="G140" s="23"/>
      <c r="H140" s="23"/>
      <c r="I140" s="24"/>
    </row>
    <row r="141" spans="1:9" ht="12.95">
      <c r="A141" s="23"/>
      <c r="B141" s="23"/>
      <c r="C141" s="23"/>
      <c r="D141" s="23"/>
      <c r="E141" s="23"/>
      <c r="F141" s="24"/>
      <c r="G141" s="23"/>
      <c r="H141" s="23"/>
      <c r="I141" s="24"/>
    </row>
    <row r="142" spans="1:9" ht="12.95">
      <c r="A142" s="23"/>
      <c r="B142" s="23"/>
      <c r="C142" s="23"/>
      <c r="D142" s="23"/>
      <c r="E142" s="23"/>
      <c r="F142" s="24"/>
      <c r="G142" s="23"/>
      <c r="H142" s="23"/>
      <c r="I142" s="24"/>
    </row>
    <row r="143" spans="1:9" ht="12.95">
      <c r="A143" s="23"/>
      <c r="B143" s="23"/>
      <c r="C143" s="23"/>
      <c r="D143" s="23"/>
      <c r="E143" s="23"/>
      <c r="F143" s="24"/>
      <c r="G143" s="23"/>
      <c r="H143" s="23"/>
      <c r="I143" s="24"/>
    </row>
    <row r="144" spans="1:9" ht="12.95">
      <c r="A144" s="23"/>
      <c r="B144" s="23"/>
      <c r="C144" s="23"/>
      <c r="D144" s="23"/>
      <c r="E144" s="23"/>
      <c r="F144" s="24"/>
      <c r="G144" s="23"/>
      <c r="H144" s="23"/>
      <c r="I144" s="24"/>
    </row>
    <row r="145" spans="1:9" ht="12.95">
      <c r="A145" s="23"/>
      <c r="B145" s="23"/>
      <c r="C145" s="23"/>
      <c r="D145" s="23"/>
      <c r="E145" s="23"/>
      <c r="F145" s="24"/>
      <c r="G145" s="23"/>
      <c r="H145" s="23"/>
      <c r="I145" s="24"/>
    </row>
    <row r="146" spans="1:9" ht="12.95">
      <c r="A146" s="23"/>
      <c r="B146" s="23"/>
      <c r="C146" s="23"/>
      <c r="D146" s="23"/>
      <c r="E146" s="23"/>
      <c r="F146" s="24"/>
      <c r="G146" s="23"/>
      <c r="H146" s="23"/>
      <c r="I146" s="24"/>
    </row>
    <row r="147" spans="1:9" ht="12.95">
      <c r="A147" s="23"/>
      <c r="B147" s="23"/>
      <c r="C147" s="23"/>
      <c r="D147" s="23"/>
      <c r="E147" s="23"/>
      <c r="F147" s="24"/>
      <c r="G147" s="23"/>
      <c r="H147" s="23"/>
      <c r="I147" s="24"/>
    </row>
    <row r="148" spans="1:9" ht="12.95">
      <c r="A148" s="23"/>
      <c r="B148" s="23"/>
      <c r="C148" s="23"/>
      <c r="D148" s="23"/>
      <c r="E148" s="23"/>
      <c r="F148" s="24"/>
      <c r="G148" s="23"/>
      <c r="H148" s="23"/>
      <c r="I148" s="24"/>
    </row>
    <row r="149" spans="1:9" ht="12.95">
      <c r="A149" s="23"/>
      <c r="B149" s="23"/>
      <c r="C149" s="23"/>
      <c r="D149" s="23"/>
      <c r="E149" s="23"/>
      <c r="F149" s="24"/>
      <c r="G149" s="23"/>
      <c r="H149" s="23"/>
      <c r="I149" s="24"/>
    </row>
    <row r="150" spans="1:9" ht="12.95">
      <c r="A150" s="23"/>
      <c r="B150" s="23"/>
      <c r="C150" s="23"/>
      <c r="D150" s="23"/>
      <c r="E150" s="23"/>
      <c r="F150" s="24"/>
      <c r="G150" s="23"/>
      <c r="H150" s="23"/>
      <c r="I150" s="24"/>
    </row>
    <row r="151" spans="1:9" ht="12.95">
      <c r="A151" s="23"/>
      <c r="B151" s="23"/>
      <c r="C151" s="23"/>
      <c r="D151" s="23"/>
      <c r="E151" s="23"/>
      <c r="F151" s="24"/>
      <c r="G151" s="23"/>
      <c r="H151" s="23"/>
      <c r="I151" s="24"/>
    </row>
    <row r="152" spans="1:9" ht="12.95">
      <c r="A152" s="23"/>
      <c r="B152" s="23"/>
      <c r="C152" s="23"/>
      <c r="D152" s="23"/>
      <c r="E152" s="23"/>
      <c r="F152" s="24"/>
      <c r="G152" s="23"/>
      <c r="H152" s="23"/>
      <c r="I152" s="24"/>
    </row>
    <row r="153" spans="1:9" ht="12.95">
      <c r="A153" s="23"/>
      <c r="B153" s="23"/>
      <c r="C153" s="23"/>
      <c r="D153" s="23"/>
      <c r="E153" s="23"/>
      <c r="F153" s="24"/>
      <c r="G153" s="23"/>
      <c r="H153" s="23"/>
      <c r="I153" s="24"/>
    </row>
    <row r="154" spans="1:9" ht="12.95">
      <c r="A154" s="23"/>
      <c r="B154" s="23"/>
      <c r="C154" s="23"/>
      <c r="D154" s="23"/>
      <c r="E154" s="23"/>
      <c r="F154" s="24"/>
      <c r="G154" s="23"/>
      <c r="H154" s="23"/>
      <c r="I154" s="24"/>
    </row>
    <row r="155" spans="1:9" ht="12.95">
      <c r="A155" s="23"/>
      <c r="B155" s="23"/>
      <c r="C155" s="23"/>
      <c r="D155" s="23"/>
      <c r="E155" s="23"/>
      <c r="F155" s="24"/>
      <c r="G155" s="23"/>
      <c r="H155" s="23"/>
      <c r="I155" s="24"/>
    </row>
    <row r="156" spans="1:9" ht="12.95">
      <c r="A156" s="23"/>
      <c r="B156" s="23"/>
      <c r="C156" s="23"/>
      <c r="D156" s="23"/>
      <c r="E156" s="23"/>
      <c r="F156" s="24"/>
      <c r="G156" s="23"/>
      <c r="H156" s="23"/>
      <c r="I156" s="24"/>
    </row>
    <row r="157" spans="1:9" ht="12.95">
      <c r="A157" s="23"/>
      <c r="B157" s="23"/>
      <c r="C157" s="23"/>
      <c r="D157" s="23"/>
      <c r="E157" s="23"/>
      <c r="F157" s="24"/>
      <c r="G157" s="23"/>
      <c r="H157" s="23"/>
      <c r="I157" s="24"/>
    </row>
    <row r="158" spans="1:9" ht="12.95">
      <c r="A158" s="23"/>
      <c r="B158" s="23"/>
      <c r="C158" s="23"/>
      <c r="D158" s="23"/>
      <c r="E158" s="23"/>
      <c r="F158" s="24"/>
      <c r="G158" s="23"/>
      <c r="H158" s="23"/>
      <c r="I158" s="24"/>
    </row>
    <row r="159" spans="1:9" ht="12.95">
      <c r="A159" s="23"/>
      <c r="B159" s="23"/>
      <c r="C159" s="23"/>
      <c r="D159" s="23"/>
      <c r="E159" s="23"/>
      <c r="F159" s="24"/>
      <c r="G159" s="23"/>
      <c r="H159" s="23"/>
      <c r="I159" s="24"/>
    </row>
    <row r="160" spans="1:9" ht="12.95">
      <c r="A160" s="23"/>
      <c r="B160" s="23"/>
      <c r="C160" s="23"/>
      <c r="D160" s="23"/>
      <c r="E160" s="23"/>
      <c r="F160" s="24"/>
      <c r="G160" s="23"/>
      <c r="H160" s="23"/>
      <c r="I160" s="24"/>
    </row>
    <row r="161" spans="1:9" ht="12.95">
      <c r="A161" s="23"/>
      <c r="B161" s="23"/>
      <c r="C161" s="23"/>
      <c r="D161" s="23"/>
      <c r="E161" s="23"/>
      <c r="F161" s="24"/>
      <c r="G161" s="23"/>
      <c r="H161" s="23"/>
      <c r="I161" s="24"/>
    </row>
    <row r="162" spans="1:9" ht="12.95">
      <c r="A162" s="23"/>
      <c r="B162" s="23"/>
      <c r="C162" s="23"/>
      <c r="D162" s="23"/>
      <c r="E162" s="23"/>
      <c r="F162" s="24"/>
      <c r="G162" s="23"/>
      <c r="H162" s="23"/>
      <c r="I162" s="24"/>
    </row>
    <row r="163" spans="1:9" ht="12.95">
      <c r="A163" s="23"/>
      <c r="B163" s="23"/>
      <c r="C163" s="23"/>
      <c r="D163" s="23"/>
      <c r="E163" s="23"/>
      <c r="F163" s="24"/>
      <c r="G163" s="23"/>
      <c r="H163" s="23"/>
      <c r="I163" s="24"/>
    </row>
    <row r="164" spans="1:9" ht="12.95">
      <c r="A164" s="23"/>
      <c r="B164" s="23"/>
      <c r="C164" s="23"/>
      <c r="D164" s="23"/>
      <c r="E164" s="23"/>
      <c r="F164" s="24"/>
      <c r="G164" s="23"/>
      <c r="H164" s="23"/>
      <c r="I164" s="24"/>
    </row>
    <row r="165" spans="1:9" ht="12.95">
      <c r="A165" s="23"/>
      <c r="B165" s="23"/>
      <c r="C165" s="23"/>
      <c r="D165" s="23"/>
      <c r="E165" s="23"/>
      <c r="F165" s="24"/>
      <c r="G165" s="23"/>
      <c r="H165" s="23"/>
      <c r="I165" s="24"/>
    </row>
    <row r="166" spans="1:9" ht="12.95">
      <c r="A166" s="23"/>
      <c r="B166" s="23"/>
      <c r="C166" s="23"/>
      <c r="D166" s="23"/>
      <c r="E166" s="23"/>
      <c r="F166" s="24"/>
      <c r="G166" s="23"/>
      <c r="H166" s="23"/>
      <c r="I166" s="24"/>
    </row>
    <row r="167" spans="1:9" ht="12.95">
      <c r="A167" s="23"/>
      <c r="B167" s="23"/>
      <c r="C167" s="23"/>
      <c r="D167" s="23"/>
      <c r="E167" s="23"/>
      <c r="F167" s="24"/>
      <c r="G167" s="23"/>
      <c r="H167" s="23"/>
      <c r="I167" s="24"/>
    </row>
    <row r="168" spans="1:9" ht="12.95">
      <c r="A168" s="23"/>
      <c r="B168" s="23"/>
      <c r="C168" s="23"/>
      <c r="D168" s="23"/>
      <c r="E168" s="23"/>
      <c r="F168" s="24"/>
      <c r="G168" s="23"/>
      <c r="H168" s="23"/>
      <c r="I168" s="24"/>
    </row>
    <row r="169" spans="1:9" ht="12.95">
      <c r="A169" s="23"/>
      <c r="B169" s="23"/>
      <c r="C169" s="23"/>
      <c r="D169" s="23"/>
      <c r="E169" s="23"/>
      <c r="F169" s="24"/>
      <c r="G169" s="23"/>
      <c r="H169" s="23"/>
      <c r="I169" s="24"/>
    </row>
    <row r="170" spans="1:9" ht="12.95">
      <c r="A170" s="23"/>
      <c r="B170" s="23"/>
      <c r="C170" s="23"/>
      <c r="D170" s="23"/>
      <c r="E170" s="23"/>
      <c r="F170" s="24"/>
      <c r="G170" s="23"/>
      <c r="H170" s="23"/>
      <c r="I170" s="24"/>
    </row>
    <row r="171" spans="1:9" ht="12.95">
      <c r="A171" s="23"/>
      <c r="B171" s="23"/>
      <c r="C171" s="23"/>
      <c r="D171" s="23"/>
      <c r="E171" s="23"/>
      <c r="F171" s="24"/>
      <c r="G171" s="23"/>
      <c r="H171" s="23"/>
      <c r="I171" s="24"/>
    </row>
    <row r="172" spans="1:9" ht="12.95">
      <c r="A172" s="23"/>
      <c r="B172" s="23"/>
      <c r="C172" s="23"/>
      <c r="D172" s="23"/>
      <c r="E172" s="23"/>
      <c r="F172" s="24"/>
      <c r="G172" s="23"/>
      <c r="H172" s="23"/>
      <c r="I172" s="24"/>
    </row>
    <row r="173" spans="1:9" ht="12.95">
      <c r="A173" s="23"/>
      <c r="B173" s="23"/>
      <c r="C173" s="23"/>
      <c r="D173" s="23"/>
      <c r="E173" s="23"/>
      <c r="F173" s="24"/>
      <c r="G173" s="23"/>
      <c r="H173" s="23"/>
      <c r="I173" s="24"/>
    </row>
    <row r="174" spans="1:9" ht="12.95">
      <c r="A174" s="23"/>
      <c r="B174" s="23"/>
      <c r="C174" s="23"/>
      <c r="D174" s="23"/>
      <c r="E174" s="23"/>
      <c r="F174" s="24"/>
      <c r="G174" s="23"/>
      <c r="H174" s="23"/>
      <c r="I174" s="24"/>
    </row>
    <row r="175" spans="1:9" ht="12.95">
      <c r="A175" s="23"/>
      <c r="B175" s="23"/>
      <c r="C175" s="23"/>
      <c r="D175" s="23"/>
      <c r="E175" s="23"/>
      <c r="F175" s="24"/>
      <c r="G175" s="23"/>
      <c r="H175" s="23"/>
      <c r="I175" s="24"/>
    </row>
    <row r="176" spans="1:9" ht="12.95">
      <c r="A176" s="23"/>
      <c r="B176" s="23"/>
      <c r="C176" s="23"/>
      <c r="D176" s="23"/>
      <c r="E176" s="23"/>
      <c r="F176" s="24"/>
      <c r="G176" s="23"/>
      <c r="H176" s="23"/>
      <c r="I176" s="24"/>
    </row>
    <row r="177" spans="1:9" ht="12.95">
      <c r="A177" s="23"/>
      <c r="B177" s="23"/>
      <c r="C177" s="23"/>
      <c r="D177" s="23"/>
      <c r="E177" s="23"/>
      <c r="F177" s="24"/>
      <c r="G177" s="23"/>
      <c r="H177" s="23"/>
      <c r="I177" s="24"/>
    </row>
    <row r="178" spans="1:9" ht="12.95">
      <c r="A178" s="23"/>
      <c r="B178" s="23"/>
      <c r="C178" s="23"/>
      <c r="D178" s="23"/>
      <c r="E178" s="23"/>
      <c r="F178" s="24"/>
      <c r="G178" s="23"/>
      <c r="H178" s="23"/>
      <c r="I178" s="24"/>
    </row>
    <row r="179" spans="1:9" ht="12.95">
      <c r="A179" s="23"/>
      <c r="B179" s="23"/>
      <c r="C179" s="23"/>
      <c r="D179" s="23"/>
      <c r="E179" s="23"/>
      <c r="F179" s="24"/>
      <c r="G179" s="23"/>
      <c r="H179" s="23"/>
      <c r="I179" s="24"/>
    </row>
    <row r="180" spans="1:9" ht="12.95">
      <c r="A180" s="23"/>
      <c r="B180" s="23"/>
      <c r="C180" s="23"/>
      <c r="D180" s="23"/>
      <c r="E180" s="23"/>
      <c r="F180" s="24"/>
      <c r="G180" s="23"/>
      <c r="H180" s="23"/>
      <c r="I180" s="24"/>
    </row>
    <row r="181" spans="1:9" ht="12.95">
      <c r="A181" s="23"/>
      <c r="B181" s="23"/>
      <c r="C181" s="23"/>
      <c r="D181" s="23"/>
      <c r="E181" s="23"/>
      <c r="F181" s="24"/>
      <c r="G181" s="23"/>
      <c r="H181" s="23"/>
      <c r="I181" s="24"/>
    </row>
    <row r="182" spans="1:9" ht="12.95">
      <c r="A182" s="23"/>
      <c r="B182" s="23"/>
      <c r="C182" s="23"/>
      <c r="D182" s="23"/>
      <c r="E182" s="23"/>
      <c r="F182" s="24"/>
      <c r="G182" s="23"/>
      <c r="H182" s="23"/>
      <c r="I182" s="24"/>
    </row>
    <row r="183" spans="1:9" ht="12.95">
      <c r="A183" s="23"/>
      <c r="B183" s="23"/>
      <c r="C183" s="23"/>
      <c r="D183" s="23"/>
      <c r="E183" s="23"/>
      <c r="F183" s="24"/>
      <c r="G183" s="23"/>
      <c r="H183" s="23"/>
      <c r="I183" s="24"/>
    </row>
    <row r="184" spans="1:9" ht="12.95">
      <c r="A184" s="23"/>
      <c r="B184" s="23"/>
      <c r="C184" s="23"/>
      <c r="D184" s="23"/>
      <c r="E184" s="23"/>
      <c r="F184" s="24"/>
      <c r="G184" s="23"/>
      <c r="H184" s="23"/>
      <c r="I184" s="24"/>
    </row>
    <row r="185" spans="1:9" ht="12.95">
      <c r="A185" s="23"/>
      <c r="B185" s="23"/>
      <c r="C185" s="23"/>
      <c r="D185" s="23"/>
      <c r="E185" s="23"/>
      <c r="F185" s="24"/>
      <c r="G185" s="23"/>
      <c r="H185" s="23"/>
      <c r="I185" s="24"/>
    </row>
    <row r="186" spans="1:9" ht="12.95">
      <c r="A186" s="23"/>
      <c r="B186" s="23"/>
      <c r="C186" s="23"/>
      <c r="D186" s="23"/>
      <c r="E186" s="23"/>
      <c r="F186" s="24"/>
      <c r="G186" s="23"/>
      <c r="H186" s="23"/>
      <c r="I186" s="24"/>
    </row>
    <row r="187" spans="1:9" ht="12.95">
      <c r="A187" s="23"/>
      <c r="B187" s="23"/>
      <c r="C187" s="23"/>
      <c r="D187" s="23"/>
      <c r="E187" s="23"/>
      <c r="F187" s="24"/>
      <c r="G187" s="23"/>
      <c r="H187" s="23"/>
      <c r="I187" s="24"/>
    </row>
    <row r="188" spans="1:9" ht="12.95">
      <c r="A188" s="23"/>
      <c r="B188" s="23"/>
      <c r="C188" s="23"/>
      <c r="D188" s="23"/>
      <c r="E188" s="23"/>
      <c r="F188" s="24"/>
      <c r="G188" s="23"/>
      <c r="H188" s="23"/>
      <c r="I188" s="24"/>
    </row>
    <row r="189" spans="1:9" ht="12.95">
      <c r="A189" s="23"/>
      <c r="B189" s="23"/>
      <c r="C189" s="23"/>
      <c r="D189" s="23"/>
      <c r="E189" s="23"/>
      <c r="F189" s="24"/>
      <c r="G189" s="23"/>
      <c r="H189" s="23"/>
      <c r="I189" s="24"/>
    </row>
    <row r="190" spans="1:9" ht="12.95">
      <c r="A190" s="23"/>
      <c r="B190" s="23"/>
      <c r="C190" s="23"/>
      <c r="D190" s="23"/>
      <c r="E190" s="23"/>
      <c r="F190" s="24"/>
      <c r="G190" s="23"/>
      <c r="H190" s="23"/>
      <c r="I190" s="24"/>
    </row>
    <row r="191" spans="1:9" ht="12.95">
      <c r="A191" s="23"/>
      <c r="B191" s="23"/>
      <c r="C191" s="23"/>
      <c r="D191" s="23"/>
      <c r="E191" s="23"/>
      <c r="F191" s="24"/>
      <c r="G191" s="23"/>
      <c r="H191" s="23"/>
      <c r="I191" s="24"/>
    </row>
    <row r="192" spans="1:9" ht="12.95">
      <c r="A192" s="23"/>
      <c r="B192" s="23"/>
      <c r="C192" s="23"/>
      <c r="D192" s="23"/>
      <c r="E192" s="23"/>
      <c r="F192" s="24"/>
      <c r="G192" s="23"/>
      <c r="H192" s="23"/>
      <c r="I192" s="24"/>
    </row>
    <row r="193" spans="1:9" ht="12.95">
      <c r="A193" s="23"/>
      <c r="B193" s="23"/>
      <c r="C193" s="23"/>
      <c r="D193" s="23"/>
      <c r="E193" s="23"/>
      <c r="F193" s="24"/>
      <c r="G193" s="23"/>
      <c r="H193" s="23"/>
      <c r="I193" s="24"/>
    </row>
    <row r="194" spans="1:9" ht="12.95">
      <c r="A194" s="23"/>
      <c r="B194" s="23"/>
      <c r="C194" s="23"/>
      <c r="D194" s="23"/>
      <c r="E194" s="23"/>
      <c r="F194" s="24"/>
      <c r="G194" s="23"/>
      <c r="H194" s="23"/>
      <c r="I194" s="24"/>
    </row>
    <row r="195" spans="1:9" ht="12.95">
      <c r="A195" s="23"/>
      <c r="B195" s="23"/>
      <c r="C195" s="23"/>
      <c r="D195" s="23"/>
      <c r="E195" s="23"/>
      <c r="F195" s="24"/>
      <c r="G195" s="23"/>
      <c r="H195" s="23"/>
      <c r="I195" s="24"/>
    </row>
    <row r="196" spans="1:9" ht="12.95">
      <c r="A196" s="23"/>
      <c r="B196" s="23"/>
      <c r="C196" s="23"/>
      <c r="D196" s="23"/>
      <c r="E196" s="23"/>
      <c r="F196" s="24"/>
      <c r="G196" s="23"/>
      <c r="H196" s="23"/>
      <c r="I196" s="24"/>
    </row>
    <row r="197" spans="1:9" ht="12.95">
      <c r="A197" s="23"/>
      <c r="B197" s="23"/>
      <c r="C197" s="23"/>
      <c r="D197" s="23"/>
      <c r="E197" s="23"/>
      <c r="F197" s="24"/>
      <c r="G197" s="23"/>
      <c r="H197" s="23"/>
      <c r="I197" s="24"/>
    </row>
    <row r="198" spans="1:9" ht="12.95">
      <c r="A198" s="23"/>
      <c r="B198" s="23"/>
      <c r="C198" s="23"/>
      <c r="D198" s="23"/>
      <c r="E198" s="23"/>
      <c r="F198" s="24"/>
      <c r="G198" s="23"/>
      <c r="H198" s="23"/>
      <c r="I198" s="24"/>
    </row>
    <row r="199" spans="1:9" ht="12.95">
      <c r="A199" s="23"/>
      <c r="B199" s="23"/>
      <c r="C199" s="23"/>
      <c r="D199" s="23"/>
      <c r="E199" s="23"/>
      <c r="F199" s="24"/>
      <c r="G199" s="23"/>
      <c r="H199" s="23"/>
      <c r="I199" s="24"/>
    </row>
    <row r="200" spans="1:9" ht="12.95">
      <c r="A200" s="23"/>
      <c r="B200" s="23"/>
      <c r="C200" s="23"/>
      <c r="D200" s="23"/>
      <c r="E200" s="23"/>
      <c r="F200" s="24"/>
      <c r="G200" s="23"/>
      <c r="H200" s="23"/>
      <c r="I200" s="24"/>
    </row>
    <row r="201" spans="1:9" ht="12.95">
      <c r="A201" s="23"/>
      <c r="B201" s="23"/>
      <c r="C201" s="23"/>
      <c r="D201" s="23"/>
      <c r="E201" s="23"/>
      <c r="F201" s="24"/>
      <c r="G201" s="23"/>
      <c r="H201" s="23"/>
      <c r="I201" s="24"/>
    </row>
    <row r="202" spans="1:9" ht="12.95">
      <c r="A202" s="23"/>
      <c r="B202" s="23"/>
      <c r="C202" s="23"/>
      <c r="D202" s="23"/>
      <c r="E202" s="23"/>
      <c r="F202" s="24"/>
      <c r="G202" s="23"/>
      <c r="H202" s="23"/>
      <c r="I202" s="24"/>
    </row>
    <row r="203" spans="1:9" ht="12.95">
      <c r="A203" s="23"/>
      <c r="B203" s="23"/>
      <c r="C203" s="23"/>
      <c r="D203" s="23"/>
      <c r="E203" s="23"/>
      <c r="F203" s="24"/>
      <c r="G203" s="23"/>
      <c r="H203" s="23"/>
      <c r="I203" s="24"/>
    </row>
    <row r="204" spans="1:9" ht="12.95">
      <c r="A204" s="23"/>
      <c r="B204" s="23"/>
      <c r="C204" s="23"/>
      <c r="D204" s="23"/>
      <c r="E204" s="23"/>
      <c r="F204" s="24"/>
      <c r="G204" s="23"/>
      <c r="H204" s="23"/>
      <c r="I204" s="24"/>
    </row>
    <row r="205" spans="1:9" ht="12.95">
      <c r="A205" s="23"/>
      <c r="B205" s="23"/>
      <c r="C205" s="23"/>
      <c r="D205" s="23"/>
      <c r="E205" s="23"/>
      <c r="F205" s="24"/>
      <c r="G205" s="23"/>
      <c r="H205" s="23"/>
      <c r="I205" s="24"/>
    </row>
    <row r="206" spans="1:9" ht="12.95">
      <c r="A206" s="23"/>
      <c r="B206" s="23"/>
      <c r="C206" s="23"/>
      <c r="D206" s="23"/>
      <c r="E206" s="23"/>
      <c r="F206" s="24"/>
      <c r="G206" s="23"/>
      <c r="H206" s="23"/>
      <c r="I206" s="24"/>
    </row>
    <row r="207" spans="1:9" ht="12.95">
      <c r="A207" s="23"/>
      <c r="B207" s="23"/>
      <c r="C207" s="23"/>
      <c r="D207" s="23"/>
      <c r="E207" s="23"/>
      <c r="F207" s="24"/>
      <c r="G207" s="23"/>
      <c r="H207" s="23"/>
      <c r="I207" s="24"/>
    </row>
    <row r="208" spans="1:9" ht="12.95">
      <c r="A208" s="23"/>
      <c r="B208" s="23"/>
      <c r="C208" s="23"/>
      <c r="D208" s="23"/>
      <c r="E208" s="23"/>
      <c r="F208" s="24"/>
      <c r="G208" s="23"/>
      <c r="H208" s="23"/>
      <c r="I208" s="24"/>
    </row>
    <row r="209" spans="1:9" ht="12.95">
      <c r="A209" s="23"/>
      <c r="B209" s="23"/>
      <c r="C209" s="23"/>
      <c r="D209" s="23"/>
      <c r="E209" s="23"/>
      <c r="F209" s="24"/>
      <c r="G209" s="23"/>
      <c r="H209" s="23"/>
      <c r="I209" s="24"/>
    </row>
    <row r="210" spans="1:9" ht="12.95">
      <c r="A210" s="23"/>
      <c r="B210" s="23"/>
      <c r="C210" s="23"/>
      <c r="D210" s="23"/>
      <c r="E210" s="23"/>
      <c r="F210" s="24"/>
      <c r="G210" s="23"/>
      <c r="H210" s="23"/>
      <c r="I210" s="24"/>
    </row>
    <row r="211" spans="1:9" ht="12.95">
      <c r="A211" s="23"/>
      <c r="B211" s="23"/>
      <c r="C211" s="23"/>
      <c r="D211" s="23"/>
      <c r="E211" s="23"/>
      <c r="F211" s="24"/>
      <c r="G211" s="23"/>
      <c r="H211" s="23"/>
      <c r="I211" s="24"/>
    </row>
    <row r="212" spans="1:9" ht="12.95">
      <c r="A212" s="23"/>
      <c r="B212" s="23"/>
      <c r="C212" s="23"/>
      <c r="D212" s="23"/>
      <c r="E212" s="23"/>
      <c r="F212" s="24"/>
      <c r="G212" s="23"/>
      <c r="H212" s="23"/>
      <c r="I212" s="24"/>
    </row>
    <row r="213" spans="1:9" ht="12.95">
      <c r="A213" s="23"/>
      <c r="B213" s="23"/>
      <c r="C213" s="23"/>
      <c r="D213" s="23"/>
      <c r="E213" s="23"/>
      <c r="F213" s="24"/>
      <c r="G213" s="23"/>
      <c r="H213" s="23"/>
      <c r="I213" s="24"/>
    </row>
    <row r="214" spans="1:9" ht="12.95">
      <c r="A214" s="23"/>
      <c r="B214" s="23"/>
      <c r="C214" s="23"/>
      <c r="D214" s="23"/>
      <c r="E214" s="23"/>
      <c r="F214" s="24"/>
      <c r="G214" s="23"/>
      <c r="H214" s="23"/>
      <c r="I214" s="24"/>
    </row>
    <row r="215" spans="1:9" ht="12.95">
      <c r="A215" s="23"/>
      <c r="B215" s="23"/>
      <c r="C215" s="23"/>
      <c r="D215" s="23"/>
      <c r="E215" s="23"/>
      <c r="F215" s="24"/>
      <c r="G215" s="23"/>
      <c r="H215" s="23"/>
      <c r="I215" s="24"/>
    </row>
    <row r="216" spans="1:9" ht="12.95">
      <c r="A216" s="23"/>
      <c r="B216" s="23"/>
      <c r="C216" s="23"/>
      <c r="D216" s="23"/>
      <c r="E216" s="23"/>
      <c r="F216" s="24"/>
      <c r="G216" s="23"/>
      <c r="H216" s="23"/>
      <c r="I216" s="24"/>
    </row>
    <row r="217" spans="1:9" ht="12.95">
      <c r="A217" s="23"/>
      <c r="B217" s="23"/>
      <c r="C217" s="23"/>
      <c r="D217" s="23"/>
      <c r="E217" s="23"/>
      <c r="F217" s="24"/>
      <c r="G217" s="23"/>
      <c r="H217" s="23"/>
      <c r="I217" s="24"/>
    </row>
    <row r="218" spans="1:9" ht="12.95">
      <c r="A218" s="23"/>
      <c r="B218" s="23"/>
      <c r="C218" s="23"/>
      <c r="D218" s="23"/>
      <c r="E218" s="23"/>
      <c r="F218" s="24"/>
      <c r="G218" s="23"/>
      <c r="H218" s="23"/>
      <c r="I218" s="24"/>
    </row>
    <row r="219" spans="1:9" ht="12.95">
      <c r="A219" s="23"/>
      <c r="B219" s="23"/>
      <c r="C219" s="23"/>
      <c r="D219" s="23"/>
      <c r="E219" s="23"/>
      <c r="F219" s="24"/>
      <c r="G219" s="23"/>
      <c r="H219" s="23"/>
      <c r="I219" s="24"/>
    </row>
    <row r="220" spans="1:9" ht="12.95">
      <c r="A220" s="23"/>
      <c r="B220" s="23"/>
      <c r="C220" s="23"/>
      <c r="D220" s="23"/>
      <c r="E220" s="23"/>
      <c r="F220" s="24"/>
      <c r="G220" s="23"/>
      <c r="H220" s="23"/>
      <c r="I220" s="24"/>
    </row>
    <row r="221" spans="1:9" ht="12.95">
      <c r="A221" s="23"/>
      <c r="B221" s="23"/>
      <c r="C221" s="23"/>
      <c r="D221" s="23"/>
      <c r="E221" s="23"/>
      <c r="F221" s="24"/>
      <c r="G221" s="23"/>
      <c r="H221" s="23"/>
      <c r="I221" s="24"/>
    </row>
    <row r="222" spans="1:9" ht="12.95">
      <c r="A222" s="23"/>
      <c r="B222" s="23"/>
      <c r="C222" s="23"/>
      <c r="D222" s="23"/>
      <c r="E222" s="23"/>
      <c r="F222" s="24"/>
      <c r="G222" s="23"/>
      <c r="H222" s="23"/>
      <c r="I222" s="24"/>
    </row>
    <row r="223" spans="1:9" ht="12.95">
      <c r="A223" s="23"/>
      <c r="B223" s="23"/>
      <c r="C223" s="23"/>
      <c r="D223" s="23"/>
      <c r="E223" s="23"/>
      <c r="F223" s="24"/>
      <c r="G223" s="23"/>
      <c r="H223" s="23"/>
      <c r="I223" s="24"/>
    </row>
    <row r="224" spans="1:9" ht="12.95">
      <c r="A224" s="23"/>
      <c r="B224" s="23"/>
      <c r="C224" s="23"/>
      <c r="D224" s="23"/>
      <c r="E224" s="23"/>
      <c r="F224" s="24"/>
      <c r="G224" s="23"/>
      <c r="H224" s="23"/>
      <c r="I224" s="24"/>
    </row>
    <row r="225" spans="1:9" ht="12.95">
      <c r="A225" s="23"/>
      <c r="B225" s="23"/>
      <c r="C225" s="23"/>
      <c r="D225" s="23"/>
      <c r="E225" s="23"/>
      <c r="F225" s="24"/>
      <c r="G225" s="23"/>
      <c r="H225" s="23"/>
      <c r="I225" s="24"/>
    </row>
    <row r="226" spans="1:9" ht="12.95">
      <c r="A226" s="23"/>
      <c r="B226" s="23"/>
      <c r="C226" s="23"/>
      <c r="D226" s="23"/>
      <c r="E226" s="23"/>
      <c r="F226" s="24"/>
      <c r="G226" s="23"/>
      <c r="H226" s="23"/>
      <c r="I226" s="24"/>
    </row>
    <row r="227" spans="1:9" ht="12.95">
      <c r="A227" s="23"/>
      <c r="B227" s="23"/>
      <c r="C227" s="23"/>
      <c r="D227" s="23"/>
      <c r="E227" s="23"/>
      <c r="F227" s="24"/>
      <c r="G227" s="23"/>
      <c r="H227" s="23"/>
      <c r="I227" s="24"/>
    </row>
    <row r="228" spans="1:9" ht="12.95">
      <c r="A228" s="23"/>
      <c r="B228" s="23"/>
      <c r="C228" s="23"/>
      <c r="D228" s="23"/>
      <c r="E228" s="23"/>
      <c r="F228" s="24"/>
      <c r="G228" s="23"/>
      <c r="H228" s="23"/>
      <c r="I228" s="24"/>
    </row>
    <row r="229" spans="1:9" ht="12.95">
      <c r="A229" s="23"/>
      <c r="B229" s="23"/>
      <c r="C229" s="23"/>
      <c r="D229" s="23"/>
      <c r="E229" s="23"/>
      <c r="F229" s="24"/>
      <c r="G229" s="23"/>
      <c r="H229" s="23"/>
      <c r="I229" s="24"/>
    </row>
    <row r="230" spans="1:9" ht="12.95">
      <c r="A230" s="23"/>
      <c r="B230" s="23"/>
      <c r="C230" s="23"/>
      <c r="D230" s="23"/>
      <c r="E230" s="23"/>
      <c r="F230" s="24"/>
      <c r="G230" s="23"/>
      <c r="H230" s="23"/>
      <c r="I230" s="24"/>
    </row>
    <row r="231" spans="1:9" ht="12.95">
      <c r="A231" s="23"/>
      <c r="B231" s="23"/>
      <c r="C231" s="23"/>
      <c r="D231" s="23"/>
      <c r="E231" s="23"/>
      <c r="F231" s="24"/>
      <c r="G231" s="23"/>
      <c r="H231" s="23"/>
      <c r="I231" s="24"/>
    </row>
    <row r="232" spans="1:9" ht="12.95">
      <c r="A232" s="23"/>
      <c r="B232" s="23"/>
      <c r="C232" s="23"/>
      <c r="D232" s="23"/>
      <c r="E232" s="23"/>
      <c r="F232" s="24"/>
      <c r="G232" s="23"/>
      <c r="H232" s="23"/>
      <c r="I232" s="24"/>
    </row>
    <row r="233" spans="1:9" ht="12.95">
      <c r="A233" s="23"/>
      <c r="B233" s="23"/>
      <c r="C233" s="23"/>
      <c r="D233" s="23"/>
      <c r="E233" s="23"/>
      <c r="F233" s="24"/>
      <c r="G233" s="23"/>
      <c r="H233" s="23"/>
      <c r="I233" s="24"/>
    </row>
    <row r="234" spans="1:9" ht="12.95">
      <c r="A234" s="23"/>
      <c r="B234" s="23"/>
      <c r="C234" s="23"/>
      <c r="D234" s="23"/>
      <c r="E234" s="23"/>
      <c r="F234" s="24"/>
      <c r="G234" s="23"/>
      <c r="H234" s="23"/>
      <c r="I234" s="24"/>
    </row>
    <row r="235" spans="1:9" ht="12.95">
      <c r="A235" s="23"/>
      <c r="B235" s="23"/>
      <c r="C235" s="23"/>
      <c r="D235" s="23"/>
      <c r="E235" s="23"/>
      <c r="F235" s="24"/>
      <c r="G235" s="23"/>
      <c r="H235" s="23"/>
      <c r="I235" s="24"/>
    </row>
    <row r="236" spans="1:9" ht="12.95">
      <c r="A236" s="23"/>
      <c r="B236" s="23"/>
      <c r="C236" s="23"/>
      <c r="D236" s="23"/>
      <c r="E236" s="23"/>
      <c r="F236" s="24"/>
      <c r="G236" s="23"/>
      <c r="H236" s="23"/>
      <c r="I236" s="24"/>
    </row>
    <row r="237" spans="1:9" ht="12.95">
      <c r="A237" s="23"/>
      <c r="B237" s="23"/>
      <c r="C237" s="23"/>
      <c r="D237" s="23"/>
      <c r="E237" s="23"/>
      <c r="F237" s="24"/>
      <c r="G237" s="23"/>
      <c r="H237" s="23"/>
      <c r="I237" s="24"/>
    </row>
    <row r="238" spans="1:9" ht="12.95">
      <c r="A238" s="23"/>
      <c r="B238" s="23"/>
      <c r="C238" s="23"/>
      <c r="D238" s="23"/>
      <c r="E238" s="23"/>
      <c r="F238" s="24"/>
      <c r="G238" s="23"/>
      <c r="H238" s="23"/>
      <c r="I238" s="24"/>
    </row>
    <row r="239" spans="1:9" ht="12.95">
      <c r="A239" s="23"/>
      <c r="B239" s="23"/>
      <c r="C239" s="23"/>
      <c r="D239" s="23"/>
      <c r="E239" s="23"/>
      <c r="F239" s="24"/>
      <c r="G239" s="23"/>
      <c r="H239" s="23"/>
      <c r="I239" s="24"/>
    </row>
    <row r="240" spans="1:9" ht="12.95">
      <c r="A240" s="23"/>
      <c r="B240" s="23"/>
      <c r="C240" s="23"/>
      <c r="D240" s="23"/>
      <c r="E240" s="23"/>
      <c r="F240" s="24"/>
      <c r="G240" s="23"/>
      <c r="H240" s="23"/>
      <c r="I240" s="24"/>
    </row>
    <row r="241" spans="1:9" ht="12.95">
      <c r="A241" s="23"/>
      <c r="B241" s="23"/>
      <c r="C241" s="23"/>
      <c r="D241" s="23"/>
      <c r="E241" s="23"/>
      <c r="F241" s="24"/>
      <c r="G241" s="23"/>
      <c r="H241" s="23"/>
      <c r="I241" s="24"/>
    </row>
    <row r="242" spans="1:9" ht="12.95">
      <c r="A242" s="23"/>
      <c r="B242" s="23"/>
      <c r="C242" s="23"/>
      <c r="D242" s="23"/>
      <c r="E242" s="23"/>
      <c r="F242" s="24"/>
      <c r="G242" s="23"/>
      <c r="H242" s="23"/>
      <c r="I242" s="24"/>
    </row>
    <row r="243" spans="1:9" ht="12.95">
      <c r="A243" s="23"/>
      <c r="B243" s="23"/>
      <c r="C243" s="23"/>
      <c r="D243" s="23"/>
      <c r="E243" s="23"/>
      <c r="F243" s="24"/>
      <c r="G243" s="23"/>
      <c r="H243" s="23"/>
      <c r="I243" s="24"/>
    </row>
    <row r="244" spans="1:9" ht="12.95">
      <c r="A244" s="23"/>
      <c r="B244" s="23"/>
      <c r="C244" s="23"/>
      <c r="D244" s="23"/>
      <c r="E244" s="23"/>
      <c r="F244" s="24"/>
      <c r="G244" s="23"/>
      <c r="H244" s="23"/>
      <c r="I244" s="24"/>
    </row>
    <row r="245" spans="1:9" ht="12.95">
      <c r="A245" s="23"/>
      <c r="B245" s="23"/>
      <c r="C245" s="23"/>
      <c r="D245" s="23"/>
      <c r="E245" s="23"/>
      <c r="F245" s="24"/>
      <c r="G245" s="23"/>
      <c r="H245" s="23"/>
      <c r="I245" s="24"/>
    </row>
    <row r="246" spans="1:9" ht="12.95">
      <c r="A246" s="23"/>
      <c r="B246" s="23"/>
      <c r="C246" s="23"/>
      <c r="D246" s="23"/>
      <c r="E246" s="23"/>
      <c r="F246" s="24"/>
      <c r="G246" s="23"/>
      <c r="H246" s="23"/>
      <c r="I246" s="24"/>
    </row>
    <row r="247" spans="1:9" ht="12.95">
      <c r="A247" s="23"/>
      <c r="B247" s="23"/>
      <c r="C247" s="23"/>
      <c r="D247" s="23"/>
      <c r="E247" s="23"/>
      <c r="F247" s="24"/>
      <c r="G247" s="23"/>
      <c r="H247" s="23"/>
      <c r="I247" s="24"/>
    </row>
    <row r="248" spans="1:9" ht="12.95">
      <c r="A248" s="23"/>
      <c r="B248" s="23"/>
      <c r="C248" s="23"/>
      <c r="D248" s="23"/>
      <c r="E248" s="23"/>
      <c r="F248" s="24"/>
      <c r="G248" s="23"/>
      <c r="H248" s="23"/>
      <c r="I248" s="24"/>
    </row>
    <row r="249" spans="1:9" ht="12.95">
      <c r="A249" s="23"/>
      <c r="B249" s="23"/>
      <c r="C249" s="23"/>
      <c r="D249" s="23"/>
      <c r="E249" s="23"/>
      <c r="F249" s="24"/>
      <c r="G249" s="23"/>
      <c r="H249" s="23"/>
      <c r="I249" s="24"/>
    </row>
    <row r="250" spans="1:9" ht="12.95">
      <c r="A250" s="23"/>
      <c r="B250" s="23"/>
      <c r="C250" s="23"/>
      <c r="D250" s="23"/>
      <c r="E250" s="23"/>
      <c r="F250" s="24"/>
      <c r="G250" s="23"/>
      <c r="H250" s="23"/>
      <c r="I250" s="24"/>
    </row>
    <row r="251" spans="1:9" ht="12.95">
      <c r="A251" s="23"/>
      <c r="B251" s="23"/>
      <c r="C251" s="23"/>
      <c r="D251" s="23"/>
      <c r="E251" s="23"/>
      <c r="F251" s="24"/>
      <c r="G251" s="23"/>
      <c r="H251" s="23"/>
      <c r="I251" s="24"/>
    </row>
    <row r="252" spans="1:9" ht="12.95">
      <c r="A252" s="23"/>
      <c r="B252" s="23"/>
      <c r="C252" s="23"/>
      <c r="D252" s="23"/>
      <c r="E252" s="23"/>
      <c r="F252" s="24"/>
      <c r="G252" s="23"/>
      <c r="H252" s="23"/>
      <c r="I252" s="24"/>
    </row>
    <row r="253" spans="1:9" ht="12.95">
      <c r="A253" s="23"/>
      <c r="B253" s="23"/>
      <c r="C253" s="23"/>
      <c r="D253" s="23"/>
      <c r="E253" s="23"/>
      <c r="F253" s="24"/>
      <c r="G253" s="23"/>
      <c r="H253" s="23"/>
      <c r="I253" s="24"/>
    </row>
    <row r="254" spans="1:9" ht="12.95">
      <c r="A254" s="23"/>
      <c r="B254" s="23"/>
      <c r="C254" s="23"/>
      <c r="D254" s="23"/>
      <c r="E254" s="23"/>
      <c r="F254" s="24"/>
      <c r="G254" s="23"/>
      <c r="H254" s="23"/>
      <c r="I254" s="24"/>
    </row>
    <row r="255" spans="1:9" ht="12.95">
      <c r="A255" s="23"/>
      <c r="B255" s="23"/>
      <c r="C255" s="23"/>
      <c r="D255" s="23"/>
      <c r="E255" s="23"/>
      <c r="F255" s="24"/>
      <c r="G255" s="23"/>
      <c r="H255" s="23"/>
      <c r="I255" s="24"/>
    </row>
    <row r="256" spans="1:9" ht="12.95">
      <c r="A256" s="23"/>
      <c r="B256" s="23"/>
      <c r="C256" s="23"/>
      <c r="D256" s="23"/>
      <c r="E256" s="23"/>
      <c r="F256" s="24"/>
      <c r="G256" s="23"/>
      <c r="H256" s="23"/>
      <c r="I256" s="24"/>
    </row>
    <row r="257" spans="1:9" ht="12.95">
      <c r="A257" s="23"/>
      <c r="B257" s="23"/>
      <c r="C257" s="23"/>
      <c r="D257" s="23"/>
      <c r="E257" s="23"/>
      <c r="F257" s="24"/>
      <c r="G257" s="23"/>
      <c r="H257" s="23"/>
      <c r="I257" s="24"/>
    </row>
    <row r="258" spans="1:9" ht="12.95">
      <c r="A258" s="23"/>
      <c r="B258" s="23"/>
      <c r="C258" s="23"/>
      <c r="D258" s="23"/>
      <c r="E258" s="23"/>
      <c r="F258" s="24"/>
      <c r="G258" s="23"/>
      <c r="H258" s="23"/>
      <c r="I258" s="24"/>
    </row>
    <row r="259" spans="1:9" ht="12.95">
      <c r="A259" s="23"/>
      <c r="B259" s="23"/>
      <c r="C259" s="23"/>
      <c r="D259" s="23"/>
      <c r="E259" s="23"/>
      <c r="F259" s="24"/>
      <c r="G259" s="23"/>
      <c r="H259" s="23"/>
      <c r="I259" s="24"/>
    </row>
    <row r="260" spans="1:9" ht="12.95">
      <c r="A260" s="23"/>
      <c r="B260" s="23"/>
      <c r="C260" s="23"/>
      <c r="D260" s="23"/>
      <c r="E260" s="23"/>
      <c r="F260" s="24"/>
      <c r="G260" s="23"/>
      <c r="H260" s="23"/>
      <c r="I260" s="24"/>
    </row>
    <row r="261" spans="1:9" ht="12.95">
      <c r="A261" s="23"/>
      <c r="B261" s="23"/>
      <c r="C261" s="23"/>
      <c r="D261" s="23"/>
      <c r="E261" s="23"/>
      <c r="F261" s="24"/>
      <c r="G261" s="23"/>
      <c r="H261" s="23"/>
      <c r="I261" s="24"/>
    </row>
    <row r="262" spans="1:9" ht="12.95">
      <c r="A262" s="23"/>
      <c r="B262" s="23"/>
      <c r="C262" s="23"/>
      <c r="D262" s="23"/>
      <c r="E262" s="23"/>
      <c r="F262" s="24"/>
      <c r="G262" s="23"/>
      <c r="H262" s="23"/>
      <c r="I262" s="24"/>
    </row>
    <row r="263" spans="1:9" ht="12.95">
      <c r="A263" s="23"/>
      <c r="B263" s="23"/>
      <c r="C263" s="23"/>
      <c r="D263" s="23"/>
      <c r="E263" s="23"/>
      <c r="F263" s="24"/>
      <c r="G263" s="23"/>
      <c r="H263" s="23"/>
      <c r="I263" s="24"/>
    </row>
    <row r="264" spans="1:9" ht="12.95">
      <c r="A264" s="23"/>
      <c r="B264" s="23"/>
      <c r="C264" s="23"/>
      <c r="D264" s="23"/>
      <c r="E264" s="23"/>
      <c r="F264" s="24"/>
      <c r="G264" s="23"/>
      <c r="H264" s="23"/>
      <c r="I264" s="24"/>
    </row>
    <row r="265" spans="1:9" ht="12.95">
      <c r="A265" s="23"/>
      <c r="B265" s="23"/>
      <c r="C265" s="23"/>
      <c r="D265" s="23"/>
      <c r="E265" s="23"/>
      <c r="F265" s="24"/>
      <c r="G265" s="23"/>
      <c r="H265" s="23"/>
      <c r="I265" s="24"/>
    </row>
    <row r="266" spans="1:9" ht="12.95">
      <c r="A266" s="23"/>
      <c r="B266" s="23"/>
      <c r="C266" s="23"/>
      <c r="D266" s="23"/>
      <c r="E266" s="23"/>
      <c r="F266" s="24"/>
      <c r="G266" s="23"/>
      <c r="H266" s="23"/>
      <c r="I266" s="24"/>
    </row>
    <row r="267" spans="1:9" ht="12.95">
      <c r="A267" s="23"/>
      <c r="B267" s="23"/>
      <c r="C267" s="23"/>
      <c r="D267" s="23"/>
      <c r="E267" s="23"/>
      <c r="F267" s="24"/>
      <c r="G267" s="23"/>
      <c r="H267" s="23"/>
      <c r="I267" s="24"/>
    </row>
    <row r="268" spans="1:9" ht="12.95">
      <c r="A268" s="23"/>
      <c r="B268" s="23"/>
      <c r="C268" s="23"/>
      <c r="D268" s="23"/>
      <c r="E268" s="23"/>
      <c r="F268" s="24"/>
      <c r="G268" s="23"/>
      <c r="H268" s="23"/>
      <c r="I268" s="24"/>
    </row>
    <row r="269" spans="1:9" ht="12.95">
      <c r="A269" s="23"/>
      <c r="B269" s="23"/>
      <c r="C269" s="23"/>
      <c r="D269" s="23"/>
      <c r="E269" s="23"/>
      <c r="F269" s="24"/>
      <c r="G269" s="23"/>
      <c r="H269" s="23"/>
      <c r="I269" s="24"/>
    </row>
    <row r="270" spans="1:9" ht="12.95">
      <c r="A270" s="23"/>
      <c r="B270" s="23"/>
      <c r="C270" s="23"/>
      <c r="D270" s="23"/>
      <c r="E270" s="23"/>
      <c r="F270" s="24"/>
      <c r="G270" s="23"/>
      <c r="H270" s="23"/>
      <c r="I270" s="24"/>
    </row>
    <row r="271" spans="1:9" ht="12.95">
      <c r="A271" s="23"/>
      <c r="B271" s="23"/>
      <c r="C271" s="23"/>
      <c r="D271" s="23"/>
      <c r="E271" s="23"/>
      <c r="F271" s="24"/>
      <c r="G271" s="23"/>
      <c r="H271" s="23"/>
      <c r="I271" s="24"/>
    </row>
    <row r="272" spans="1:9" ht="12.95">
      <c r="A272" s="23"/>
      <c r="B272" s="23"/>
      <c r="C272" s="23"/>
      <c r="D272" s="23"/>
      <c r="E272" s="23"/>
      <c r="F272" s="24"/>
      <c r="G272" s="23"/>
      <c r="H272" s="23"/>
      <c r="I272" s="24"/>
    </row>
    <row r="273" spans="1:9" ht="12.95">
      <c r="A273" s="23"/>
      <c r="B273" s="23"/>
      <c r="C273" s="23"/>
      <c r="D273" s="23"/>
      <c r="E273" s="23"/>
      <c r="F273" s="24"/>
      <c r="G273" s="23"/>
      <c r="H273" s="23"/>
      <c r="I273" s="24"/>
    </row>
    <row r="274" spans="1:9" ht="12.95">
      <c r="A274" s="23"/>
      <c r="B274" s="23"/>
      <c r="C274" s="23"/>
      <c r="D274" s="23"/>
      <c r="E274" s="23"/>
      <c r="F274" s="24"/>
      <c r="G274" s="23"/>
      <c r="H274" s="23"/>
      <c r="I274" s="24"/>
    </row>
    <row r="275" spans="1:9" ht="12.95">
      <c r="A275" s="23"/>
      <c r="B275" s="23"/>
      <c r="C275" s="23"/>
      <c r="D275" s="23"/>
      <c r="E275" s="23"/>
      <c r="F275" s="24"/>
      <c r="G275" s="23"/>
      <c r="H275" s="23"/>
      <c r="I275" s="24"/>
    </row>
    <row r="276" spans="1:9" ht="12.95">
      <c r="A276" s="23"/>
      <c r="B276" s="23"/>
      <c r="C276" s="23"/>
      <c r="D276" s="23"/>
      <c r="E276" s="23"/>
      <c r="F276" s="24"/>
      <c r="G276" s="23"/>
      <c r="H276" s="23"/>
      <c r="I276" s="24"/>
    </row>
    <row r="277" spans="1:9" ht="12.95">
      <c r="A277" s="23"/>
      <c r="B277" s="23"/>
      <c r="C277" s="23"/>
      <c r="D277" s="23"/>
      <c r="E277" s="23"/>
      <c r="F277" s="24"/>
      <c r="G277" s="23"/>
      <c r="H277" s="23"/>
      <c r="I277" s="24"/>
    </row>
    <row r="278" spans="1:9" ht="12.95">
      <c r="A278" s="23"/>
      <c r="B278" s="23"/>
      <c r="C278" s="23"/>
      <c r="D278" s="23"/>
      <c r="E278" s="23"/>
      <c r="F278" s="24"/>
      <c r="G278" s="23"/>
      <c r="H278" s="23"/>
      <c r="I278" s="24"/>
    </row>
    <row r="279" spans="1:9" ht="12.95">
      <c r="A279" s="23"/>
      <c r="B279" s="23"/>
      <c r="C279" s="23"/>
      <c r="D279" s="23"/>
      <c r="E279" s="23"/>
      <c r="F279" s="24"/>
      <c r="G279" s="23"/>
      <c r="H279" s="23"/>
      <c r="I279" s="24"/>
    </row>
    <row r="280" spans="1:9" ht="12.95">
      <c r="A280" s="23"/>
      <c r="B280" s="23"/>
      <c r="C280" s="23"/>
      <c r="D280" s="23"/>
      <c r="E280" s="23"/>
      <c r="F280" s="24"/>
      <c r="G280" s="23"/>
      <c r="H280" s="23"/>
      <c r="I280" s="24"/>
    </row>
    <row r="281" spans="1:9" ht="12.95">
      <c r="A281" s="23"/>
      <c r="B281" s="23"/>
      <c r="C281" s="23"/>
      <c r="D281" s="23"/>
      <c r="E281" s="23"/>
      <c r="F281" s="24"/>
      <c r="G281" s="23"/>
      <c r="H281" s="23"/>
      <c r="I281" s="24"/>
    </row>
    <row r="282" spans="1:9" ht="12.95">
      <c r="A282" s="23"/>
      <c r="B282" s="23"/>
      <c r="C282" s="23"/>
      <c r="D282" s="23"/>
      <c r="E282" s="23"/>
      <c r="F282" s="24"/>
      <c r="G282" s="23"/>
      <c r="H282" s="23"/>
      <c r="I282" s="24"/>
    </row>
    <row r="283" spans="1:9" ht="12.95">
      <c r="A283" s="23"/>
      <c r="B283" s="23"/>
      <c r="C283" s="23"/>
      <c r="D283" s="23"/>
      <c r="E283" s="23"/>
      <c r="F283" s="24"/>
      <c r="G283" s="23"/>
      <c r="H283" s="23"/>
      <c r="I283" s="24"/>
    </row>
    <row r="284" spans="1:9" ht="12.95">
      <c r="A284" s="23"/>
      <c r="B284" s="23"/>
      <c r="C284" s="23"/>
      <c r="D284" s="23"/>
      <c r="E284" s="23"/>
      <c r="F284" s="24"/>
      <c r="G284" s="23"/>
      <c r="H284" s="23"/>
      <c r="I284" s="24"/>
    </row>
    <row r="285" spans="1:9" ht="12.95">
      <c r="A285" s="23"/>
      <c r="B285" s="23"/>
      <c r="C285" s="23"/>
      <c r="D285" s="23"/>
      <c r="E285" s="23"/>
      <c r="F285" s="24"/>
      <c r="G285" s="23"/>
      <c r="H285" s="23"/>
      <c r="I285" s="24"/>
    </row>
    <row r="286" spans="1:9" ht="12.95">
      <c r="A286" s="23"/>
      <c r="B286" s="23"/>
      <c r="C286" s="23"/>
      <c r="D286" s="23"/>
      <c r="E286" s="23"/>
      <c r="F286" s="24"/>
      <c r="G286" s="23"/>
      <c r="H286" s="23"/>
      <c r="I286" s="24"/>
    </row>
    <row r="287" spans="1:9" ht="12.95">
      <c r="A287" s="23"/>
      <c r="B287" s="23"/>
      <c r="C287" s="23"/>
      <c r="D287" s="23"/>
      <c r="E287" s="23"/>
      <c r="F287" s="24"/>
      <c r="G287" s="23"/>
      <c r="H287" s="23"/>
      <c r="I287" s="24"/>
    </row>
    <row r="288" spans="1:9" ht="12.95">
      <c r="A288" s="23"/>
      <c r="B288" s="23"/>
      <c r="C288" s="23"/>
      <c r="D288" s="23"/>
      <c r="E288" s="23"/>
      <c r="F288" s="24"/>
      <c r="G288" s="23"/>
      <c r="H288" s="23"/>
      <c r="I288" s="24"/>
    </row>
    <row r="289" spans="1:9" ht="12.95">
      <c r="A289" s="23"/>
      <c r="B289" s="23"/>
      <c r="C289" s="23"/>
      <c r="D289" s="23"/>
      <c r="E289" s="23"/>
      <c r="F289" s="24"/>
      <c r="G289" s="23"/>
      <c r="H289" s="23"/>
      <c r="I289" s="24"/>
    </row>
    <row r="290" spans="1:9" ht="12.95">
      <c r="A290" s="23"/>
      <c r="B290" s="23"/>
      <c r="C290" s="23"/>
      <c r="D290" s="23"/>
      <c r="E290" s="23"/>
      <c r="F290" s="24"/>
      <c r="G290" s="23"/>
      <c r="H290" s="23"/>
      <c r="I290" s="24"/>
    </row>
    <row r="291" spans="1:9" ht="12.95">
      <c r="A291" s="23"/>
      <c r="B291" s="23"/>
      <c r="C291" s="23"/>
      <c r="D291" s="23"/>
      <c r="E291" s="23"/>
      <c r="F291" s="24"/>
      <c r="G291" s="23"/>
      <c r="H291" s="23"/>
      <c r="I291" s="24"/>
    </row>
    <row r="292" spans="1:9" ht="12.95">
      <c r="A292" s="23"/>
      <c r="B292" s="23"/>
      <c r="C292" s="23"/>
      <c r="D292" s="23"/>
      <c r="E292" s="23"/>
      <c r="F292" s="24"/>
      <c r="G292" s="23"/>
      <c r="H292" s="23"/>
      <c r="I292" s="24"/>
    </row>
    <row r="293" spans="1:9" ht="12.95">
      <c r="A293" s="23"/>
      <c r="B293" s="23"/>
      <c r="C293" s="23"/>
      <c r="D293" s="23"/>
      <c r="E293" s="23"/>
      <c r="F293" s="24"/>
      <c r="G293" s="23"/>
      <c r="H293" s="23"/>
      <c r="I293" s="24"/>
    </row>
    <row r="294" spans="1:9" ht="12.95">
      <c r="A294" s="23"/>
      <c r="B294" s="23"/>
      <c r="C294" s="23"/>
      <c r="D294" s="23"/>
      <c r="E294" s="23"/>
      <c r="F294" s="24"/>
      <c r="G294" s="23"/>
      <c r="H294" s="23"/>
      <c r="I294" s="24"/>
    </row>
    <row r="295" spans="1:9" ht="12.95">
      <c r="A295" s="23"/>
      <c r="B295" s="23"/>
      <c r="C295" s="23"/>
      <c r="D295" s="23"/>
      <c r="E295" s="23"/>
      <c r="F295" s="24"/>
      <c r="G295" s="23"/>
      <c r="H295" s="23"/>
      <c r="I295" s="24"/>
    </row>
    <row r="296" spans="1:9" ht="12.95">
      <c r="A296" s="23"/>
      <c r="B296" s="23"/>
      <c r="C296" s="23"/>
      <c r="D296" s="23"/>
      <c r="E296" s="23"/>
      <c r="F296" s="24"/>
      <c r="G296" s="23"/>
      <c r="H296" s="23"/>
      <c r="I296" s="24"/>
    </row>
    <row r="297" spans="1:9" ht="12.95">
      <c r="A297" s="23"/>
      <c r="B297" s="23"/>
      <c r="C297" s="23"/>
      <c r="D297" s="23"/>
      <c r="E297" s="23"/>
      <c r="F297" s="24"/>
      <c r="G297" s="23"/>
      <c r="H297" s="23"/>
      <c r="I297" s="24"/>
    </row>
    <row r="298" spans="1:9" ht="12.95">
      <c r="A298" s="23"/>
      <c r="B298" s="23"/>
      <c r="C298" s="23"/>
      <c r="D298" s="23"/>
      <c r="E298" s="23"/>
      <c r="F298" s="24"/>
      <c r="G298" s="23"/>
      <c r="H298" s="23"/>
      <c r="I298" s="24"/>
    </row>
    <row r="299" spans="1:9" ht="12.95">
      <c r="A299" s="23"/>
      <c r="B299" s="23"/>
      <c r="C299" s="23"/>
      <c r="D299" s="23"/>
      <c r="E299" s="23"/>
      <c r="F299" s="24"/>
      <c r="G299" s="23"/>
      <c r="H299" s="23"/>
      <c r="I299" s="24"/>
    </row>
    <row r="300" spans="1:9" ht="12.95">
      <c r="A300" s="23"/>
      <c r="B300" s="23"/>
      <c r="C300" s="23"/>
      <c r="D300" s="23"/>
      <c r="E300" s="23"/>
      <c r="F300" s="24"/>
      <c r="G300" s="23"/>
      <c r="H300" s="23"/>
      <c r="I300" s="24"/>
    </row>
    <row r="301" spans="1:9" ht="12.95">
      <c r="A301" s="23"/>
      <c r="B301" s="23"/>
      <c r="C301" s="23"/>
      <c r="D301" s="23"/>
      <c r="E301" s="23"/>
      <c r="F301" s="24"/>
      <c r="G301" s="23"/>
      <c r="H301" s="23"/>
      <c r="I301" s="24"/>
    </row>
    <row r="302" spans="1:9" ht="12.95">
      <c r="A302" s="23"/>
      <c r="B302" s="23"/>
      <c r="C302" s="23"/>
      <c r="D302" s="23"/>
      <c r="E302" s="23"/>
      <c r="F302" s="24"/>
      <c r="G302" s="23"/>
      <c r="H302" s="23"/>
      <c r="I302" s="24"/>
    </row>
    <row r="303" spans="1:9" ht="12.95">
      <c r="A303" s="23"/>
      <c r="B303" s="23"/>
      <c r="C303" s="23"/>
      <c r="D303" s="23"/>
      <c r="E303" s="23"/>
      <c r="F303" s="24"/>
      <c r="G303" s="23"/>
      <c r="H303" s="23"/>
      <c r="I303" s="24"/>
    </row>
    <row r="304" spans="1:9" ht="12.95">
      <c r="A304" s="23"/>
      <c r="B304" s="23"/>
      <c r="C304" s="23"/>
      <c r="D304" s="23"/>
      <c r="E304" s="23"/>
      <c r="F304" s="24"/>
      <c r="G304" s="23"/>
      <c r="H304" s="23"/>
      <c r="I304" s="24"/>
    </row>
    <row r="305" spans="1:9" ht="12.95">
      <c r="A305" s="23"/>
      <c r="B305" s="23"/>
      <c r="C305" s="23"/>
      <c r="D305" s="23"/>
      <c r="E305" s="23"/>
      <c r="F305" s="24"/>
      <c r="G305" s="23"/>
      <c r="H305" s="23"/>
      <c r="I305" s="24"/>
    </row>
    <row r="306" spans="1:9" ht="12.95">
      <c r="A306" s="23"/>
      <c r="B306" s="23"/>
      <c r="C306" s="23"/>
      <c r="D306" s="23"/>
      <c r="E306" s="23"/>
      <c r="F306" s="24"/>
      <c r="G306" s="23"/>
      <c r="H306" s="23"/>
      <c r="I306" s="24"/>
    </row>
    <row r="307" spans="1:9" ht="12.95">
      <c r="A307" s="23"/>
      <c r="B307" s="23"/>
      <c r="C307" s="23"/>
      <c r="D307" s="23"/>
      <c r="E307" s="23"/>
      <c r="F307" s="24"/>
      <c r="G307" s="23"/>
      <c r="H307" s="23"/>
      <c r="I307" s="24"/>
    </row>
    <row r="308" spans="1:9" ht="12.95">
      <c r="A308" s="23"/>
      <c r="B308" s="23"/>
      <c r="C308" s="23"/>
      <c r="D308" s="23"/>
      <c r="E308" s="23"/>
      <c r="F308" s="24"/>
      <c r="G308" s="23"/>
      <c r="H308" s="23"/>
      <c r="I308" s="24"/>
    </row>
    <row r="309" spans="1:9" ht="12.95">
      <c r="A309" s="23"/>
      <c r="B309" s="23"/>
      <c r="C309" s="23"/>
      <c r="D309" s="23"/>
      <c r="E309" s="23"/>
      <c r="F309" s="24"/>
      <c r="G309" s="23"/>
      <c r="H309" s="23"/>
      <c r="I309" s="24"/>
    </row>
    <row r="310" spans="1:9" ht="12.95">
      <c r="A310" s="23"/>
      <c r="B310" s="23"/>
      <c r="C310" s="23"/>
      <c r="D310" s="23"/>
      <c r="E310" s="23"/>
      <c r="F310" s="24"/>
      <c r="G310" s="23"/>
      <c r="H310" s="23"/>
      <c r="I310" s="24"/>
    </row>
    <row r="311" spans="1:9" ht="12.95">
      <c r="A311" s="23"/>
      <c r="B311" s="23"/>
      <c r="C311" s="23"/>
      <c r="D311" s="23"/>
      <c r="E311" s="23"/>
      <c r="F311" s="24"/>
      <c r="G311" s="23"/>
      <c r="H311" s="23"/>
      <c r="I311" s="24"/>
    </row>
    <row r="312" spans="1:9" ht="12.95">
      <c r="A312" s="23"/>
      <c r="B312" s="23"/>
      <c r="C312" s="23"/>
      <c r="D312" s="23"/>
      <c r="E312" s="23"/>
      <c r="F312" s="24"/>
      <c r="G312" s="23"/>
      <c r="H312" s="23"/>
      <c r="I312" s="24"/>
    </row>
    <row r="313" spans="1:9" ht="12.95">
      <c r="A313" s="23"/>
      <c r="B313" s="23"/>
      <c r="C313" s="23"/>
      <c r="D313" s="23"/>
      <c r="E313" s="23"/>
      <c r="F313" s="24"/>
      <c r="G313" s="23"/>
      <c r="H313" s="23"/>
      <c r="I313" s="24"/>
    </row>
    <row r="314" spans="1:9" ht="12.95">
      <c r="A314" s="23"/>
      <c r="B314" s="23"/>
      <c r="C314" s="23"/>
      <c r="D314" s="23"/>
      <c r="E314" s="23"/>
      <c r="F314" s="24"/>
      <c r="G314" s="23"/>
      <c r="H314" s="23"/>
      <c r="I314" s="24"/>
    </row>
    <row r="315" spans="1:9" ht="12.95">
      <c r="A315" s="23"/>
      <c r="B315" s="23"/>
      <c r="C315" s="23"/>
      <c r="D315" s="23"/>
      <c r="E315" s="23"/>
      <c r="F315" s="24"/>
      <c r="G315" s="23"/>
      <c r="H315" s="23"/>
      <c r="I315" s="24"/>
    </row>
    <row r="316" spans="1:9" ht="12.95">
      <c r="A316" s="23"/>
      <c r="B316" s="23"/>
      <c r="C316" s="23"/>
      <c r="D316" s="23"/>
      <c r="E316" s="23"/>
      <c r="F316" s="24"/>
      <c r="G316" s="23"/>
      <c r="H316" s="23"/>
      <c r="I316" s="24"/>
    </row>
    <row r="317" spans="1:9" ht="12.95">
      <c r="A317" s="23"/>
      <c r="B317" s="23"/>
      <c r="C317" s="23"/>
      <c r="D317" s="23"/>
      <c r="E317" s="23"/>
      <c r="F317" s="24"/>
      <c r="G317" s="23"/>
      <c r="H317" s="23"/>
      <c r="I317" s="24"/>
    </row>
    <row r="318" spans="1:9" ht="12.95">
      <c r="A318" s="23"/>
      <c r="B318" s="23"/>
      <c r="C318" s="23"/>
      <c r="D318" s="23"/>
      <c r="E318" s="23"/>
      <c r="F318" s="24"/>
      <c r="G318" s="23"/>
      <c r="H318" s="23"/>
      <c r="I318" s="24"/>
    </row>
    <row r="319" spans="1:9" ht="12.95">
      <c r="A319" s="23"/>
      <c r="B319" s="23"/>
      <c r="C319" s="23"/>
      <c r="D319" s="23"/>
      <c r="E319" s="23"/>
      <c r="F319" s="24"/>
      <c r="G319" s="23"/>
      <c r="H319" s="23"/>
      <c r="I319" s="24"/>
    </row>
    <row r="320" spans="1:9" ht="12.95">
      <c r="A320" s="23"/>
      <c r="B320" s="23"/>
      <c r="C320" s="23"/>
      <c r="D320" s="23"/>
      <c r="E320" s="23"/>
      <c r="F320" s="24"/>
      <c r="G320" s="23"/>
      <c r="H320" s="23"/>
      <c r="I320" s="24"/>
    </row>
    <row r="321" spans="1:9" ht="12.95">
      <c r="A321" s="23"/>
      <c r="B321" s="23"/>
      <c r="C321" s="23"/>
      <c r="D321" s="23"/>
      <c r="E321" s="23"/>
      <c r="F321" s="24"/>
      <c r="G321" s="23"/>
      <c r="H321" s="23"/>
      <c r="I321" s="24"/>
    </row>
    <row r="322" spans="1:9" ht="12.95">
      <c r="A322" s="23"/>
      <c r="B322" s="23"/>
      <c r="C322" s="23"/>
      <c r="D322" s="23"/>
      <c r="E322" s="23"/>
      <c r="F322" s="24"/>
      <c r="G322" s="23"/>
      <c r="H322" s="23"/>
      <c r="I322" s="24"/>
    </row>
    <row r="323" spans="1:9" ht="12.95">
      <c r="A323" s="23"/>
      <c r="B323" s="23"/>
      <c r="C323" s="23"/>
      <c r="D323" s="23"/>
      <c r="E323" s="23"/>
      <c r="F323" s="24"/>
      <c r="G323" s="23"/>
      <c r="H323" s="23"/>
      <c r="I323" s="24"/>
    </row>
    <row r="324" spans="1:9" ht="12.95">
      <c r="A324" s="23"/>
      <c r="B324" s="23"/>
      <c r="C324" s="23"/>
      <c r="D324" s="23"/>
      <c r="E324" s="23"/>
      <c r="F324" s="24"/>
      <c r="G324" s="23"/>
      <c r="H324" s="23"/>
      <c r="I324" s="24"/>
    </row>
    <row r="325" spans="1:9" ht="12.95">
      <c r="A325" s="23"/>
      <c r="B325" s="23"/>
      <c r="C325" s="23"/>
      <c r="D325" s="23"/>
      <c r="E325" s="23"/>
      <c r="F325" s="24"/>
      <c r="G325" s="23"/>
      <c r="H325" s="23"/>
      <c r="I325" s="24"/>
    </row>
    <row r="326" spans="1:9" ht="12.95">
      <c r="A326" s="23"/>
      <c r="B326" s="23"/>
      <c r="C326" s="23"/>
      <c r="D326" s="23"/>
      <c r="E326" s="23"/>
      <c r="F326" s="24"/>
      <c r="G326" s="23"/>
      <c r="H326" s="23"/>
      <c r="I326" s="24"/>
    </row>
    <row r="327" spans="1:9" ht="12.95">
      <c r="A327" s="23"/>
      <c r="B327" s="23"/>
      <c r="C327" s="23"/>
      <c r="D327" s="23"/>
      <c r="E327" s="23"/>
      <c r="F327" s="24"/>
      <c r="G327" s="23"/>
      <c r="H327" s="23"/>
      <c r="I327" s="24"/>
    </row>
    <row r="328" spans="1:9" ht="12.95">
      <c r="A328" s="23"/>
      <c r="B328" s="23"/>
      <c r="C328" s="23"/>
      <c r="D328" s="23"/>
      <c r="E328" s="23"/>
      <c r="F328" s="24"/>
      <c r="G328" s="23"/>
      <c r="H328" s="23"/>
      <c r="I328" s="24"/>
    </row>
    <row r="329" spans="1:9" ht="12.95">
      <c r="A329" s="23"/>
      <c r="B329" s="23"/>
      <c r="C329" s="23"/>
      <c r="D329" s="23"/>
      <c r="E329" s="23"/>
      <c r="F329" s="24"/>
      <c r="G329" s="23"/>
      <c r="H329" s="23"/>
      <c r="I329" s="24"/>
    </row>
    <row r="330" spans="1:9" ht="12.95">
      <c r="A330" s="23"/>
      <c r="B330" s="23"/>
      <c r="C330" s="23"/>
      <c r="D330" s="23"/>
      <c r="E330" s="23"/>
      <c r="F330" s="24"/>
      <c r="G330" s="23"/>
      <c r="H330" s="23"/>
      <c r="I330" s="24"/>
    </row>
    <row r="331" spans="1:9" ht="12.95">
      <c r="A331" s="23"/>
      <c r="B331" s="23"/>
      <c r="C331" s="23"/>
      <c r="D331" s="23"/>
      <c r="E331" s="23"/>
      <c r="F331" s="24"/>
      <c r="G331" s="23"/>
      <c r="H331" s="23"/>
      <c r="I331" s="24"/>
    </row>
    <row r="332" spans="1:9" ht="12.95">
      <c r="A332" s="23"/>
      <c r="B332" s="23"/>
      <c r="C332" s="23"/>
      <c r="D332" s="23"/>
      <c r="E332" s="23"/>
      <c r="F332" s="24"/>
      <c r="G332" s="23"/>
      <c r="H332" s="23"/>
      <c r="I332" s="24"/>
    </row>
    <row r="333" spans="1:9" ht="12.95">
      <c r="A333" s="23"/>
      <c r="B333" s="23"/>
      <c r="C333" s="23"/>
      <c r="D333" s="23"/>
      <c r="E333" s="23"/>
      <c r="F333" s="24"/>
      <c r="G333" s="23"/>
      <c r="H333" s="23"/>
      <c r="I333" s="24"/>
    </row>
    <row r="334" spans="1:9" ht="12.95">
      <c r="A334" s="23"/>
      <c r="B334" s="23"/>
      <c r="C334" s="23"/>
      <c r="D334" s="23"/>
      <c r="E334" s="23"/>
      <c r="F334" s="24"/>
      <c r="G334" s="23"/>
      <c r="H334" s="23"/>
      <c r="I334" s="24"/>
    </row>
    <row r="335" spans="1:9" ht="12.95">
      <c r="A335" s="23"/>
      <c r="B335" s="23"/>
      <c r="C335" s="23"/>
      <c r="D335" s="23"/>
      <c r="E335" s="23"/>
      <c r="F335" s="24"/>
      <c r="G335" s="23"/>
      <c r="H335" s="23"/>
      <c r="I335" s="24"/>
    </row>
    <row r="336" spans="1:9" ht="12.95">
      <c r="A336" s="23"/>
      <c r="B336" s="23"/>
      <c r="C336" s="23"/>
      <c r="D336" s="23"/>
      <c r="E336" s="23"/>
      <c r="F336" s="24"/>
      <c r="G336" s="23"/>
      <c r="H336" s="23"/>
      <c r="I336" s="24"/>
    </row>
    <row r="337" spans="1:9" ht="12.95">
      <c r="A337" s="23"/>
      <c r="B337" s="23"/>
      <c r="C337" s="23"/>
      <c r="D337" s="23"/>
      <c r="E337" s="23"/>
      <c r="F337" s="24"/>
      <c r="G337" s="23"/>
      <c r="H337" s="23"/>
      <c r="I337" s="24"/>
    </row>
    <row r="338" spans="1:9" ht="12.95">
      <c r="A338" s="23"/>
      <c r="B338" s="23"/>
      <c r="C338" s="23"/>
      <c r="D338" s="23"/>
      <c r="E338" s="23"/>
      <c r="F338" s="24"/>
      <c r="G338" s="23"/>
      <c r="H338" s="23"/>
      <c r="I338" s="24"/>
    </row>
    <row r="339" spans="1:9" ht="12.95">
      <c r="A339" s="23"/>
      <c r="B339" s="23"/>
      <c r="C339" s="23"/>
      <c r="D339" s="23"/>
      <c r="E339" s="23"/>
      <c r="F339" s="24"/>
      <c r="G339" s="23"/>
      <c r="H339" s="23"/>
      <c r="I339" s="24"/>
    </row>
    <row r="340" spans="1:9" ht="12.95">
      <c r="A340" s="23"/>
      <c r="B340" s="23"/>
      <c r="C340" s="23"/>
      <c r="D340" s="23"/>
      <c r="E340" s="23"/>
      <c r="F340" s="24"/>
      <c r="G340" s="23"/>
      <c r="H340" s="23"/>
      <c r="I340" s="24"/>
    </row>
    <row r="341" spans="1:9" ht="12.95">
      <c r="A341" s="23"/>
      <c r="B341" s="23"/>
      <c r="C341" s="23"/>
      <c r="D341" s="23"/>
      <c r="E341" s="23"/>
      <c r="F341" s="24"/>
      <c r="G341" s="23"/>
      <c r="H341" s="23"/>
      <c r="I341" s="24"/>
    </row>
    <row r="342" spans="1:9" ht="12.95">
      <c r="A342" s="23"/>
      <c r="B342" s="23"/>
      <c r="C342" s="23"/>
      <c r="D342" s="23"/>
      <c r="E342" s="23"/>
      <c r="F342" s="24"/>
      <c r="G342" s="23"/>
      <c r="H342" s="23"/>
      <c r="I342" s="24"/>
    </row>
  </sheetData>
  <mergeCells count="4">
    <mergeCell ref="I1:K1"/>
    <mergeCell ref="A1:C1"/>
    <mergeCell ref="F1:H1"/>
    <mergeCell ref="A2:B2"/>
  </mergeCells>
  <conditionalFormatting sqref="H2 K2 H4:H23 K4:K23 F24:F100 I24:I100">
    <cfRule type="cellIs" dxfId="30" priority="7" stopIfTrue="1" operator="lessThanOrEqual">
      <formula>-0.1</formula>
    </cfRule>
    <cfRule type="expression" dxfId="29"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I5" sqref="I5"/>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thickBot="1">
      <c r="A1" s="132" t="str" cm="1">
        <f t="array" ref="A1">portfolio</f>
        <v>CITI</v>
      </c>
      <c r="B1" s="132"/>
      <c r="C1" s="132"/>
      <c r="D1" s="74" t="s">
        <v>0</v>
      </c>
      <c r="E1" s="75" t="s">
        <v>1</v>
      </c>
      <c r="F1" s="133" t="s">
        <v>18</v>
      </c>
      <c r="G1" s="133"/>
      <c r="H1" s="133"/>
      <c r="I1" s="131" t="s">
        <v>19</v>
      </c>
      <c r="J1" s="131"/>
      <c r="K1" s="131"/>
    </row>
    <row r="2" spans="1:11" ht="19.5" customHeight="1">
      <c r="A2" s="134" t="s">
        <v>4</v>
      </c>
      <c r="B2" s="134"/>
      <c r="C2" s="6">
        <f>SUM(C4:C100)</f>
        <v>0</v>
      </c>
      <c r="D2" s="6">
        <f>SUM(D3:D22)</f>
        <v>0</v>
      </c>
      <c r="E2" s="68"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0</v>
      </c>
      <c r="D4" s="71">
        <f>SUM(Oct!D4,Nov!D4,Dec!D4)</f>
        <v>0</v>
      </c>
      <c r="E4" s="82" t="str">
        <f t="shared" ref="E4:E21" si="0">IFERROR(C4/D4, "")</f>
        <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c r="E5" s="23" t="str">
        <f t="shared" si="0"/>
        <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1">
        <f>SUM(Oct!D6,Nov!D6,Dec!D6)</f>
        <v>0</v>
      </c>
      <c r="E6" s="82" t="str">
        <f t="shared" si="0"/>
        <v/>
      </c>
      <c r="F6" s="14">
        <f>SUM(Oct!F6, Nov!F6, Dec!F6)</f>
        <v>0</v>
      </c>
      <c r="G6" s="14">
        <f t="shared" si="1"/>
        <v>0</v>
      </c>
      <c r="H6" s="15" t="str">
        <f t="shared" ref="H6:H15" si="2">IFERROR(G6/F6, "")</f>
        <v/>
      </c>
      <c r="I6" s="16">
        <f>SUM(Oct!I6,Nov!I6,Dec!J6)</f>
        <v>0</v>
      </c>
      <c r="J6" s="16">
        <f>SUM(Oct!J6, Nov!J6, Dec!J6)</f>
        <v>0</v>
      </c>
      <c r="K6" s="17" t="str">
        <f t="shared" ref="K6:K15" si="3">IFERROR(J6/I6, "")</f>
        <v/>
      </c>
    </row>
    <row r="7" spans="1:11" ht="15.6">
      <c r="A7" s="19" t="str">
        <v>CA: Elk Grove MOB - Citi</v>
      </c>
      <c r="B7" s="11" t="str">
        <v>CA</v>
      </c>
      <c r="C7" s="12">
        <f>SUM(Oct!C7, Nov!C7, Dec!C7)</f>
        <v>0</v>
      </c>
      <c r="D7" s="12"/>
      <c r="E7" s="23" t="str">
        <f t="shared" si="0"/>
        <v/>
      </c>
      <c r="F7" s="20">
        <f>SUM(Oct!F7, Nov!F7, Dec!F7)</f>
        <v>0</v>
      </c>
      <c r="G7" s="20">
        <f t="shared" si="1"/>
        <v>0</v>
      </c>
      <c r="H7" s="21" t="str">
        <f t="shared" si="2"/>
        <v/>
      </c>
      <c r="I7" s="22">
        <f>SUM(Oct!I7,Nov!I7,Dec!J7)</f>
        <v>0</v>
      </c>
      <c r="J7" s="22">
        <f>SUM(Oct!J7, Nov!J7, Dec!J7)</f>
        <v>0</v>
      </c>
      <c r="K7" s="21" t="str">
        <f t="shared" si="3"/>
        <v/>
      </c>
    </row>
    <row r="8" spans="1:11" ht="15.6">
      <c r="A8" s="13" t="str">
        <v>CA: Elk Grove Promenade - Citi</v>
      </c>
      <c r="B8" s="10" t="str">
        <v>CA</v>
      </c>
      <c r="C8" s="26">
        <f>SUM(Oct!C8, Nov!C8, Dec!C8)</f>
        <v>0</v>
      </c>
      <c r="D8" s="71">
        <f>SUM(Oct!D8,Nov!D8,Dec!D8)</f>
        <v>0</v>
      </c>
      <c r="E8" s="82" t="str">
        <f t="shared" si="0"/>
        <v/>
      </c>
      <c r="F8" s="14">
        <f>SUM(Oct!F8, Nov!F8, Dec!F8)</f>
        <v>0</v>
      </c>
      <c r="G8" s="14">
        <f t="shared" si="1"/>
        <v>0</v>
      </c>
      <c r="H8" s="15" t="str">
        <f t="shared" si="2"/>
        <v/>
      </c>
      <c r="I8" s="16">
        <f>SUM(Oct!I8,Nov!I8,Dec!J8)</f>
        <v>0</v>
      </c>
      <c r="J8" s="16">
        <f>SUM(Oct!J8, Nov!J8, Dec!J8)</f>
        <v>0</v>
      </c>
      <c r="K8" s="17" t="str">
        <f t="shared" si="3"/>
        <v/>
      </c>
    </row>
    <row r="9" spans="1:11" ht="15.6">
      <c r="A9" s="19" t="str">
        <v>CA: Fresno Sequioa - Citi</v>
      </c>
      <c r="B9" s="11" t="str">
        <v>CA</v>
      </c>
      <c r="C9" s="12">
        <f>SUM(Oct!C9, Nov!C9, Dec!C9)</f>
        <v>0</v>
      </c>
      <c r="D9" s="12"/>
      <c r="E9" s="23" t="str">
        <f t="shared" si="0"/>
        <v/>
      </c>
      <c r="F9" s="20">
        <f>SUM(Oct!F9, Nov!F9, Dec!F9)</f>
        <v>0</v>
      </c>
      <c r="G9" s="20">
        <f t="shared" si="1"/>
        <v>0</v>
      </c>
      <c r="H9" s="21" t="str">
        <f t="shared" si="2"/>
        <v/>
      </c>
      <c r="I9" s="22">
        <f>SUM(Oct!I9,Nov!I9,Dec!J9)</f>
        <v>0</v>
      </c>
      <c r="J9" s="22">
        <f>SUM(Oct!J9, Nov!J9, Dec!J9)</f>
        <v>0</v>
      </c>
      <c r="K9" s="21" t="str">
        <f t="shared" si="3"/>
        <v/>
      </c>
    </row>
    <row r="10" spans="1:11" ht="15.6">
      <c r="A10" s="13" t="str">
        <v>CA: Fresno MOB - Citi</v>
      </c>
      <c r="B10" s="10" t="str">
        <v>CA</v>
      </c>
      <c r="C10" s="26">
        <f>SUM(Oct!C10, Nov!C10, Dec!C10)</f>
        <v>0</v>
      </c>
      <c r="D10" s="71">
        <f>SUM(Oct!D10,Nov!D10,Dec!D10)</f>
        <v>0</v>
      </c>
      <c r="E10" s="82" t="str">
        <f t="shared" si="0"/>
        <v/>
      </c>
      <c r="F10" s="14">
        <f>SUM(Oct!F10, Nov!F10, Dec!F10)</f>
        <v>0</v>
      </c>
      <c r="G10" s="14">
        <f t="shared" si="1"/>
        <v>0</v>
      </c>
      <c r="H10" s="15" t="str">
        <f t="shared" si="2"/>
        <v/>
      </c>
      <c r="I10" s="16">
        <f>SUM(Oct!I10,Nov!I10,Dec!J10)</f>
        <v>0</v>
      </c>
      <c r="J10" s="16">
        <f>SUM(Oct!J10, Nov!J10, Dec!J10)</f>
        <v>0</v>
      </c>
      <c r="K10" s="17" t="str">
        <f t="shared" si="3"/>
        <v/>
      </c>
    </row>
    <row r="11" spans="1:11" ht="15.6">
      <c r="A11" s="19" t="str">
        <v>CA: Modesto Bangs - Citi</v>
      </c>
      <c r="B11" s="11" t="str">
        <v>CA</v>
      </c>
      <c r="C11" s="12">
        <f>SUM(Oct!C11, Nov!C11, Dec!C11)</f>
        <v>0</v>
      </c>
      <c r="D11" s="12"/>
      <c r="E11" s="23" t="str">
        <f t="shared" si="0"/>
        <v/>
      </c>
      <c r="F11" s="20">
        <f>SUM(Oct!F11, Nov!F11, Dec!F11)</f>
        <v>0</v>
      </c>
      <c r="G11" s="20">
        <f t="shared" si="1"/>
        <v>0</v>
      </c>
      <c r="H11" s="21" t="str">
        <f t="shared" si="2"/>
        <v/>
      </c>
      <c r="I11" s="22">
        <f>SUM(Oct!I11,Nov!I11,Dec!J11)</f>
        <v>0</v>
      </c>
      <c r="J11" s="22">
        <f>SUM(Oct!J11, Nov!J11, Dec!J11)</f>
        <v>0</v>
      </c>
      <c r="K11" s="21" t="str">
        <f t="shared" si="3"/>
        <v/>
      </c>
    </row>
    <row r="12" spans="1:11" ht="15.6">
      <c r="A12" s="13" t="str">
        <v>CA: Napa Data Center - Citi</v>
      </c>
      <c r="B12" s="10" t="str">
        <v>CA</v>
      </c>
      <c r="C12" s="26">
        <f>SUM(Oct!C12, Nov!C12, Dec!C12)</f>
        <v>0</v>
      </c>
      <c r="D12" s="71">
        <f>SUM(Oct!D12,Nov!D12,Dec!D12)</f>
        <v>0</v>
      </c>
      <c r="E12" s="82" t="str">
        <f t="shared" si="0"/>
        <v/>
      </c>
      <c r="F12" s="14">
        <f>SUM(Oct!F12, Nov!F12, Dec!F12)</f>
        <v>0</v>
      </c>
      <c r="G12" s="14">
        <f t="shared" si="1"/>
        <v>0</v>
      </c>
      <c r="H12" s="15" t="str">
        <f t="shared" si="2"/>
        <v/>
      </c>
      <c r="I12" s="16">
        <f>SUM(Oct!I12,Nov!I12,Dec!J12)</f>
        <v>0</v>
      </c>
      <c r="J12" s="16">
        <f>SUM(Oct!J12, Nov!J12, Dec!J12)</f>
        <v>0</v>
      </c>
      <c r="K12" s="17" t="str">
        <f t="shared" si="3"/>
        <v/>
      </c>
    </row>
    <row r="13" spans="1:11" ht="15.6">
      <c r="A13" s="19" t="str">
        <v>CA: Petaluma MOB - Citi</v>
      </c>
      <c r="B13" s="11" t="str">
        <v>CA</v>
      </c>
      <c r="C13" s="12">
        <f>SUM(Oct!C13, Nov!C13, Dec!C13)</f>
        <v>0</v>
      </c>
      <c r="D13" s="12"/>
      <c r="E13" s="23" t="str">
        <f t="shared" si="0"/>
        <v/>
      </c>
      <c r="F13" s="20">
        <f>SUM(Oct!F13, Nov!F13, Dec!F13)</f>
        <v>0</v>
      </c>
      <c r="G13" s="20">
        <f t="shared" si="1"/>
        <v>0</v>
      </c>
      <c r="H13" s="21" t="str">
        <f t="shared" si="2"/>
        <v/>
      </c>
      <c r="I13" s="22">
        <f>SUM(Oct!I13,Nov!I13,Dec!J13)</f>
        <v>0</v>
      </c>
      <c r="J13" s="22">
        <f>SUM(Oct!J13, Nov!J13, Dec!J13)</f>
        <v>0</v>
      </c>
      <c r="K13" s="21" t="str">
        <f t="shared" si="3"/>
        <v/>
      </c>
    </row>
    <row r="14" spans="1:11" ht="15.6">
      <c r="A14" s="13" t="str">
        <v>CA: Pleasanton Tec Ctr - Citi</v>
      </c>
      <c r="B14" s="10" t="str">
        <v>CA</v>
      </c>
      <c r="C14" s="26">
        <f>SUM(Oct!C14, Nov!C14, Dec!C14)</f>
        <v>0</v>
      </c>
      <c r="D14" s="71">
        <f>SUM(Oct!D14,Nov!D14,Dec!D14)</f>
        <v>0</v>
      </c>
      <c r="E14" s="82" t="str">
        <f t="shared" si="0"/>
        <v/>
      </c>
      <c r="F14" s="14">
        <f>SUM(Oct!F14, Nov!F14, Dec!F14)</f>
        <v>0</v>
      </c>
      <c r="G14" s="14">
        <f t="shared" si="1"/>
        <v>0</v>
      </c>
      <c r="H14" s="15" t="str">
        <f t="shared" si="2"/>
        <v/>
      </c>
      <c r="I14" s="16">
        <f>SUM(Oct!I14,Nov!I14,Dec!J14)</f>
        <v>0</v>
      </c>
      <c r="J14" s="16">
        <f>SUM(Oct!J14, Nov!J14, Dec!J14)</f>
        <v>0</v>
      </c>
      <c r="K14" s="17" t="str">
        <f t="shared" si="3"/>
        <v/>
      </c>
    </row>
    <row r="15" spans="1:11" ht="15.6">
      <c r="A15" s="19" t="str">
        <v>CA: Rancho Cordova - Citi</v>
      </c>
      <c r="B15" s="11" t="str">
        <v>CA</v>
      </c>
      <c r="C15" s="12">
        <f>SUM(Oct!C15, Nov!C15, Dec!C15)</f>
        <v>0</v>
      </c>
      <c r="D15" s="12"/>
      <c r="E15" s="23" t="str">
        <f t="shared" si="0"/>
        <v/>
      </c>
      <c r="F15" s="20">
        <f>SUM(Oct!F15, Nov!F15, Dec!F15)</f>
        <v>0</v>
      </c>
      <c r="G15" s="20">
        <f t="shared" si="1"/>
        <v>0</v>
      </c>
      <c r="H15" s="21" t="str">
        <f t="shared" si="2"/>
        <v/>
      </c>
      <c r="I15" s="22">
        <f>SUM(Oct!I15,Nov!I15,Dec!J15)</f>
        <v>0</v>
      </c>
      <c r="J15" s="22">
        <f>SUM(Oct!J15, Nov!J15, Dec!J15)</f>
        <v>0</v>
      </c>
      <c r="K15" s="21" t="str">
        <f t="shared" si="3"/>
        <v/>
      </c>
    </row>
    <row r="16" spans="1:11" ht="15.6">
      <c r="A16" s="13" t="str">
        <v>CA: S Sacramento Wyndham - Citi</v>
      </c>
      <c r="B16" s="10" t="str">
        <v>CA</v>
      </c>
      <c r="C16" s="37">
        <f>SUM(Oct!C16, Nov!C16, Dec!C16)</f>
        <v>0</v>
      </c>
      <c r="D16" s="71">
        <f>SUM(Oct!D16,Nov!D16,Dec!D16)</f>
        <v>0</v>
      </c>
      <c r="E16" s="82" t="str">
        <f t="shared" si="0"/>
        <v/>
      </c>
      <c r="F16" s="14">
        <f>SUM(Oct!F16, Nov!F16, Dec!F16)</f>
        <v>0</v>
      </c>
      <c r="G16" s="14">
        <f t="shared" si="1"/>
        <v>0</v>
      </c>
      <c r="H16" s="38" t="str">
        <f t="shared" ref="H16:H21" si="4">IFERROR(G16/F16, "")</f>
        <v/>
      </c>
      <c r="I16" s="39">
        <f>SUM(Oct!I16,Nov!I16,Dec!J16)</f>
        <v>0</v>
      </c>
      <c r="J16" s="39">
        <f>SUM(Oct!J16, Nov!J16, Dec!J16)</f>
        <v>0</v>
      </c>
      <c r="K16" s="40" t="str">
        <f t="shared" ref="K16:K21" si="5">IFERROR(J16/I16, "")</f>
        <v/>
      </c>
    </row>
    <row r="17" spans="1:11" ht="15.6">
      <c r="A17" s="19" t="str">
        <v>CA: Sacramento Point West - Citi</v>
      </c>
      <c r="B17" s="11" t="str">
        <v>CA</v>
      </c>
      <c r="C17" s="42">
        <f>SUM(Oct!C17, Nov!C17, Dec!C17)</f>
        <v>0</v>
      </c>
      <c r="D17" s="12"/>
      <c r="E17" s="23" t="str">
        <f t="shared" si="0"/>
        <v/>
      </c>
      <c r="F17" s="20">
        <f>SUM(Oct!F17, Nov!F17, Dec!F17)</f>
        <v>0</v>
      </c>
      <c r="G17" s="20">
        <f t="shared" si="1"/>
        <v>0</v>
      </c>
      <c r="H17" s="43" t="str">
        <f t="shared" si="4"/>
        <v/>
      </c>
      <c r="I17" s="44">
        <f>SUM(Oct!I17,Nov!I17,Dec!J17)</f>
        <v>0</v>
      </c>
      <c r="J17" s="44">
        <f>SUM(Oct!J17, Nov!J17, Dec!J17)</f>
        <v>0</v>
      </c>
      <c r="K17" s="43" t="str">
        <f t="shared" si="5"/>
        <v/>
      </c>
    </row>
    <row r="18" spans="1:11" ht="12.75" customHeight="1">
      <c r="A18" s="13" t="str">
        <v>CA: San Jose FHC - Citi</v>
      </c>
      <c r="B18" s="10" t="str">
        <v>CA</v>
      </c>
      <c r="C18" s="37">
        <f>SUM(Oct!C18, Nov!C18, Dec!C18)</f>
        <v>0</v>
      </c>
      <c r="D18" s="71">
        <f>SUM(Oct!D18,Nov!D18,Dec!D18)</f>
        <v>0</v>
      </c>
      <c r="E18" s="82" t="str">
        <f t="shared" si="0"/>
        <v/>
      </c>
      <c r="F18" s="14">
        <f>SUM(Oct!F18, Nov!F18, Dec!F18)</f>
        <v>0</v>
      </c>
      <c r="G18" s="14">
        <f t="shared" si="1"/>
        <v>0</v>
      </c>
      <c r="H18" s="38" t="str">
        <f t="shared" si="4"/>
        <v/>
      </c>
      <c r="I18" s="39">
        <f>SUM(Oct!I18,Nov!I18,Dec!J18)</f>
        <v>0</v>
      </c>
      <c r="J18" s="39">
        <f>SUM(Oct!J18, Nov!J18, Dec!J18)</f>
        <v>0</v>
      </c>
      <c r="K18" s="40" t="str">
        <f t="shared" si="5"/>
        <v/>
      </c>
    </row>
    <row r="19" spans="1:11" ht="15.6">
      <c r="A19" s="19" t="str">
        <v>CA: San Jose MOB - Citi</v>
      </c>
      <c r="B19" s="11" t="str">
        <v>CA</v>
      </c>
      <c r="C19" s="42">
        <f>SUM(Oct!C19, Nov!C19, Dec!C19)</f>
        <v>0</v>
      </c>
      <c r="D19" s="12"/>
      <c r="E19" s="23" t="str">
        <f t="shared" si="0"/>
        <v/>
      </c>
      <c r="F19" s="20">
        <f>SUM(Oct!F19, Nov!F19, Dec!F19)</f>
        <v>0</v>
      </c>
      <c r="G19" s="20">
        <f t="shared" si="1"/>
        <v>0</v>
      </c>
      <c r="H19" s="43" t="str">
        <f t="shared" si="4"/>
        <v/>
      </c>
      <c r="I19" s="44">
        <f>SUM(Oct!I19,Nov!I19,Dec!J19)</f>
        <v>0</v>
      </c>
      <c r="J19" s="44">
        <f>SUM(Oct!J19, Nov!J19, Dec!J19)</f>
        <v>0</v>
      </c>
      <c r="K19" s="43" t="str">
        <f t="shared" si="5"/>
        <v/>
      </c>
    </row>
    <row r="20" spans="1:11" ht="15.6">
      <c r="A20" s="13" t="str">
        <v>CA: Selma - Citi</v>
      </c>
      <c r="B20" s="10" t="str">
        <v>CA</v>
      </c>
      <c r="C20" s="37">
        <f>SUM(Oct!C20, Nov!C20, Dec!C20)</f>
        <v>0</v>
      </c>
      <c r="D20" s="71">
        <f>SUM(Oct!D20,Nov!D20,Dec!D20)</f>
        <v>0</v>
      </c>
      <c r="E20" s="82" t="str">
        <f t="shared" si="0"/>
        <v/>
      </c>
      <c r="F20" s="14">
        <f>SUM(Oct!F20, Nov!F20, Dec!F20)</f>
        <v>0</v>
      </c>
      <c r="G20" s="14">
        <f>SUM(Oct!G20, Nov!G20, Dec!G20)</f>
        <v>0</v>
      </c>
      <c r="H20" s="38" t="str">
        <f t="shared" si="4"/>
        <v/>
      </c>
      <c r="I20" s="39">
        <f>SUM(Oct!I20,Nov!I20,Dec!J20)</f>
        <v>0</v>
      </c>
      <c r="J20" s="39">
        <f>SUM(Oct!J20, Nov!J20, Dec!J20)</f>
        <v>0</v>
      </c>
      <c r="K20" s="40" t="str">
        <f t="shared" si="5"/>
        <v/>
      </c>
    </row>
    <row r="21" spans="1:11" ht="15.6">
      <c r="A21" s="19" t="str">
        <v>CA: Vacaville Hospital</v>
      </c>
      <c r="B21" s="11" t="str">
        <v>CA</v>
      </c>
      <c r="C21" s="42">
        <f>SUM(Oct!C21, Nov!C21, Dec!C21)</f>
        <v>0</v>
      </c>
      <c r="D21" s="12"/>
      <c r="E21" s="23" t="str">
        <f t="shared" si="0"/>
        <v/>
      </c>
      <c r="F21" s="20">
        <f>SUM(Oct!F21, Nov!F21, Dec!F21)</f>
        <v>0</v>
      </c>
      <c r="G21" s="20">
        <f>SUM(Oct!G21, Nov!G21, Dec!G21)</f>
        <v>0</v>
      </c>
      <c r="H21" s="43" t="str">
        <f t="shared" si="4"/>
        <v/>
      </c>
      <c r="I21" s="44">
        <f>SUM(Oct!I21,Nov!I21,Dec!J21)</f>
        <v>0</v>
      </c>
      <c r="J21" s="44">
        <f>SUM(Oct!J21, Nov!J21, Dec!J21)</f>
        <v>0</v>
      </c>
      <c r="K21" s="43" t="str">
        <f t="shared" si="5"/>
        <v/>
      </c>
    </row>
    <row r="22" spans="1:11" ht="15.6">
      <c r="A22" s="13" t="str">
        <v>CA: Manteca - KP Manteca Hospital</v>
      </c>
      <c r="B22" s="10" t="str">
        <v>CA</v>
      </c>
      <c r="C22" s="37">
        <f>SUM(Oct!C22, Nov!C22, Dec!C22)</f>
        <v>0</v>
      </c>
      <c r="D22" s="71">
        <f>SUM(Oct!D22,Nov!D22,Dec!D22)</f>
        <v>0</v>
      </c>
      <c r="E22" s="82" t="str">
        <f>IFERROR(C22/D22, "")</f>
        <v/>
      </c>
      <c r="F22" s="14">
        <f>SUM(Oct!F22, Nov!F22, Dec!F22)</f>
        <v>0</v>
      </c>
      <c r="G22" s="14">
        <f>SUM(Oct!G22, Nov!G22, Dec!G22)</f>
        <v>0</v>
      </c>
      <c r="H22" s="38" t="str">
        <f>IFERROR(G22/F22, "")</f>
        <v/>
      </c>
      <c r="I22" s="39">
        <f>SUM(Oct!I22,Nov!I22,Dec!J22)</f>
        <v>0</v>
      </c>
      <c r="J22" s="39">
        <f>SUM(Oct!J22, Nov!J22, Dec!J22)</f>
        <v>0</v>
      </c>
      <c r="K22" s="40" t="str">
        <f>IFERROR(J22/I22, "")</f>
        <v/>
      </c>
    </row>
    <row r="23" spans="1:11" ht="12.95">
      <c r="A23" s="23" t="str">
        <v>Sacramento - KP South Sacramento HSP</v>
      </c>
      <c r="B23" s="23" t="str">
        <v>CA</v>
      </c>
      <c r="C23" s="23"/>
      <c r="D23" s="23"/>
      <c r="E23" s="23" t="str">
        <f>IFERROR(C23/D23, "")</f>
        <v/>
      </c>
      <c r="F23" s="23"/>
      <c r="G23" s="23"/>
      <c r="H23" s="23"/>
      <c r="I23" s="23"/>
    </row>
    <row r="24" spans="1:11" ht="12.95">
      <c r="A24" s="23"/>
      <c r="B24" s="23"/>
      <c r="C24" s="23"/>
      <c r="D24" s="23"/>
      <c r="E24" s="23"/>
      <c r="F24" s="23"/>
      <c r="G24" s="23"/>
      <c r="H24" s="23"/>
      <c r="I24" s="23"/>
    </row>
    <row r="25" spans="1:11" ht="12.95">
      <c r="A25" s="23"/>
      <c r="B25" s="23"/>
      <c r="C25" s="23"/>
      <c r="D25" s="23"/>
      <c r="E25" s="23"/>
      <c r="F25" s="23"/>
      <c r="G25" s="23"/>
      <c r="H25" s="23"/>
      <c r="I25" s="23"/>
    </row>
    <row r="26" spans="1:11" ht="12.95">
      <c r="A26" s="23"/>
      <c r="B26" s="23"/>
      <c r="C26" s="23"/>
      <c r="D26" s="23"/>
      <c r="E26" s="23"/>
      <c r="F26" s="23"/>
      <c r="G26" s="23"/>
      <c r="H26" s="23"/>
      <c r="I26" s="23"/>
    </row>
    <row r="27" spans="1:11" ht="12.95">
      <c r="A27" s="23"/>
      <c r="B27" s="23"/>
      <c r="C27" s="23"/>
      <c r="D27" s="23"/>
      <c r="E27" s="23"/>
      <c r="F27" s="23"/>
      <c r="G27" s="23"/>
      <c r="H27" s="23"/>
      <c r="I27" s="23"/>
    </row>
    <row r="28" spans="1:11" ht="12.95">
      <c r="A28" s="23"/>
      <c r="B28" s="23"/>
      <c r="C28" s="23"/>
      <c r="D28" s="23"/>
      <c r="E28" s="23"/>
      <c r="F28" s="23"/>
      <c r="G28" s="23"/>
      <c r="H28" s="23"/>
      <c r="I28" s="23"/>
    </row>
    <row r="29" spans="1:11" ht="12.95">
      <c r="A29" s="23"/>
      <c r="B29" s="23"/>
      <c r="C29" s="23"/>
      <c r="D29" s="23"/>
      <c r="E29" s="23"/>
      <c r="F29" s="23"/>
      <c r="G29" s="23"/>
      <c r="H29" s="23"/>
      <c r="I29" s="23"/>
    </row>
    <row r="30" spans="1:11" ht="12.95">
      <c r="A30" s="23"/>
      <c r="B30" s="23"/>
      <c r="C30" s="23"/>
      <c r="D30" s="23"/>
      <c r="E30" s="23"/>
      <c r="F30" s="23"/>
      <c r="G30" s="23"/>
      <c r="H30" s="23"/>
      <c r="I30" s="23"/>
    </row>
    <row r="31" spans="1:11" ht="12.95">
      <c r="A31" s="23"/>
      <c r="B31" s="23"/>
      <c r="C31" s="23"/>
      <c r="D31" s="23"/>
      <c r="E31" s="23"/>
      <c r="F31" s="23"/>
      <c r="G31" s="23"/>
      <c r="H31" s="23"/>
      <c r="I31" s="23"/>
    </row>
    <row r="32" spans="1:11" ht="12.95">
      <c r="A32" s="23"/>
      <c r="B32" s="23"/>
      <c r="C32" s="23"/>
      <c r="D32" s="23"/>
      <c r="E32" s="23"/>
      <c r="F32" s="23"/>
      <c r="G32" s="23"/>
      <c r="H32" s="23"/>
      <c r="I32" s="23"/>
    </row>
    <row r="33" spans="1:9" ht="12.95">
      <c r="A33" s="23"/>
      <c r="B33" s="23"/>
      <c r="C33" s="23"/>
      <c r="D33" s="23"/>
      <c r="E33" s="23"/>
      <c r="F33" s="24"/>
      <c r="G33" s="23"/>
      <c r="H33" s="23"/>
      <c r="I33" s="24"/>
    </row>
    <row r="34" spans="1:9" ht="12.95">
      <c r="A34" s="23"/>
      <c r="B34" s="23"/>
      <c r="C34" s="23"/>
      <c r="D34" s="23"/>
      <c r="E34" s="23"/>
      <c r="F34" s="24"/>
      <c r="G34" s="23"/>
      <c r="H34" s="23"/>
      <c r="I34" s="24"/>
    </row>
    <row r="35" spans="1:9" ht="12.95">
      <c r="A35" s="23"/>
      <c r="B35" s="23"/>
      <c r="C35" s="23"/>
      <c r="D35" s="23"/>
      <c r="E35" s="23"/>
      <c r="F35" s="24"/>
      <c r="G35" s="23"/>
      <c r="H35" s="23"/>
      <c r="I35" s="24"/>
    </row>
    <row r="36" spans="1:9" ht="12.95">
      <c r="A36" s="23"/>
      <c r="B36" s="23"/>
      <c r="C36" s="23"/>
      <c r="D36" s="23"/>
      <c r="E36" s="23"/>
      <c r="F36" s="24"/>
      <c r="G36" s="23"/>
      <c r="H36" s="23"/>
      <c r="I36" s="24"/>
    </row>
    <row r="37" spans="1:9" ht="12.95">
      <c r="A37" s="23"/>
      <c r="B37" s="23"/>
      <c r="C37" s="23"/>
      <c r="D37" s="23"/>
      <c r="E37" s="23"/>
      <c r="F37" s="24"/>
      <c r="G37" s="23"/>
      <c r="H37" s="23"/>
      <c r="I37" s="24"/>
    </row>
    <row r="38" spans="1:9" ht="12.95">
      <c r="A38" s="23"/>
      <c r="B38" s="23"/>
      <c r="C38" s="23"/>
      <c r="D38" s="23"/>
      <c r="E38" s="23"/>
      <c r="F38" s="24"/>
      <c r="G38" s="23"/>
      <c r="H38" s="23"/>
      <c r="I38" s="24"/>
    </row>
    <row r="39" spans="1:9" ht="12.95">
      <c r="A39" s="23"/>
      <c r="B39" s="23"/>
      <c r="C39" s="23"/>
      <c r="D39" s="23"/>
      <c r="E39" s="23"/>
      <c r="F39" s="24"/>
      <c r="G39" s="23"/>
      <c r="H39" s="23"/>
      <c r="I39" s="24"/>
    </row>
    <row r="40" spans="1:9" ht="12.95">
      <c r="A40" s="23"/>
      <c r="B40" s="23"/>
      <c r="C40" s="23"/>
      <c r="D40" s="23"/>
      <c r="E40" s="23"/>
      <c r="F40" s="24"/>
      <c r="G40" s="23"/>
      <c r="H40" s="23"/>
      <c r="I40" s="24"/>
    </row>
    <row r="41" spans="1:9" ht="12.95">
      <c r="A41" s="23"/>
      <c r="B41" s="23"/>
      <c r="C41" s="23"/>
      <c r="D41" s="23"/>
      <c r="E41" s="23"/>
      <c r="F41" s="24"/>
      <c r="G41" s="23"/>
      <c r="H41" s="23"/>
      <c r="I41" s="24"/>
    </row>
    <row r="42" spans="1:9" ht="12.95">
      <c r="A42" s="23"/>
      <c r="B42" s="23"/>
      <c r="C42" s="23"/>
      <c r="D42" s="23"/>
      <c r="E42" s="23"/>
      <c r="F42" s="24"/>
      <c r="G42" s="23"/>
      <c r="H42" s="23"/>
      <c r="I42" s="24"/>
    </row>
    <row r="43" spans="1:9" ht="12.95">
      <c r="A43" s="23"/>
      <c r="B43" s="23"/>
      <c r="C43" s="23"/>
      <c r="D43" s="23"/>
      <c r="E43" s="23"/>
      <c r="F43" s="24"/>
      <c r="G43" s="23"/>
      <c r="H43" s="23"/>
      <c r="I43" s="24"/>
    </row>
    <row r="44" spans="1:9" ht="12.95">
      <c r="A44" s="23"/>
      <c r="B44" s="23"/>
      <c r="C44" s="23"/>
      <c r="D44" s="23"/>
      <c r="E44" s="23"/>
      <c r="F44" s="24"/>
      <c r="G44" s="23"/>
      <c r="H44" s="23"/>
      <c r="I44" s="24"/>
    </row>
    <row r="45" spans="1:9" ht="12.95">
      <c r="A45" s="23"/>
      <c r="B45" s="23"/>
      <c r="C45" s="23"/>
      <c r="D45" s="23"/>
      <c r="E45" s="23"/>
      <c r="F45" s="24"/>
      <c r="G45" s="23"/>
      <c r="H45" s="23"/>
      <c r="I45" s="24"/>
    </row>
    <row r="46" spans="1:9" ht="12.95">
      <c r="A46" s="23"/>
      <c r="B46" s="23"/>
      <c r="C46" s="23"/>
      <c r="D46" s="23"/>
      <c r="E46" s="23"/>
      <c r="F46" s="24"/>
      <c r="G46" s="23"/>
      <c r="H46" s="23"/>
      <c r="I46" s="24"/>
    </row>
    <row r="47" spans="1:9" ht="12.95">
      <c r="A47" s="23"/>
      <c r="B47" s="23"/>
      <c r="C47" s="23"/>
      <c r="D47" s="23"/>
      <c r="E47" s="23"/>
      <c r="F47" s="24"/>
      <c r="G47" s="23"/>
      <c r="H47" s="23"/>
      <c r="I47" s="24"/>
    </row>
    <row r="48" spans="1:9" ht="12.95">
      <c r="A48" s="23"/>
      <c r="B48" s="23"/>
      <c r="C48" s="23"/>
      <c r="D48" s="23"/>
      <c r="E48" s="23"/>
      <c r="F48" s="24"/>
      <c r="G48" s="23"/>
      <c r="H48" s="23"/>
      <c r="I48" s="24"/>
    </row>
    <row r="49" spans="1:9" ht="12.95">
      <c r="A49" s="23"/>
      <c r="B49" s="23"/>
      <c r="C49" s="23"/>
      <c r="D49" s="23"/>
      <c r="E49" s="23"/>
      <c r="F49" s="24"/>
      <c r="G49" s="23"/>
      <c r="H49" s="23"/>
      <c r="I49" s="24"/>
    </row>
    <row r="50" spans="1:9" ht="12.95">
      <c r="A50" s="23"/>
      <c r="B50" s="23"/>
      <c r="C50" s="23"/>
      <c r="D50" s="23"/>
      <c r="E50" s="23"/>
      <c r="F50" s="24"/>
      <c r="G50" s="23"/>
      <c r="H50" s="23"/>
      <c r="I50" s="24"/>
    </row>
    <row r="51" spans="1:9" ht="12.95">
      <c r="A51" s="23"/>
      <c r="B51" s="23"/>
      <c r="C51" s="23"/>
      <c r="D51" s="23"/>
      <c r="E51" s="23"/>
      <c r="F51" s="24"/>
      <c r="G51" s="23"/>
      <c r="H51" s="23"/>
      <c r="I51" s="24"/>
    </row>
    <row r="52" spans="1:9" ht="12.95">
      <c r="A52" s="23"/>
      <c r="B52" s="23"/>
      <c r="C52" s="23"/>
      <c r="D52" s="23"/>
      <c r="E52" s="23"/>
      <c r="F52" s="24"/>
      <c r="G52" s="23"/>
      <c r="H52" s="23"/>
      <c r="I52" s="24"/>
    </row>
    <row r="53" spans="1:9" ht="12.95">
      <c r="A53" s="23"/>
      <c r="B53" s="23"/>
      <c r="C53" s="23"/>
      <c r="D53" s="23"/>
      <c r="E53" s="23"/>
      <c r="F53" s="24"/>
      <c r="G53" s="23"/>
      <c r="H53" s="23"/>
      <c r="I53" s="24"/>
    </row>
    <row r="54" spans="1:9" ht="12.95">
      <c r="A54" s="23"/>
      <c r="B54" s="23"/>
      <c r="C54" s="23"/>
      <c r="D54" s="23"/>
      <c r="E54" s="23"/>
      <c r="F54" s="24"/>
      <c r="G54" s="23"/>
      <c r="H54" s="23"/>
      <c r="I54" s="24"/>
    </row>
    <row r="55" spans="1:9" ht="12.95">
      <c r="A55" s="23"/>
      <c r="B55" s="23"/>
      <c r="C55" s="23"/>
      <c r="D55" s="23"/>
      <c r="E55" s="23"/>
      <c r="F55" s="24"/>
      <c r="G55" s="23"/>
      <c r="H55" s="23"/>
      <c r="I55" s="24"/>
    </row>
    <row r="56" spans="1:9" ht="12.95">
      <c r="A56" s="23"/>
      <c r="B56" s="23"/>
      <c r="C56" s="23"/>
      <c r="D56" s="23"/>
      <c r="E56" s="23"/>
      <c r="F56" s="24"/>
      <c r="G56" s="23"/>
      <c r="H56" s="23"/>
      <c r="I56" s="24"/>
    </row>
    <row r="57" spans="1:9" ht="12.95">
      <c r="A57" s="23"/>
      <c r="B57" s="23"/>
      <c r="C57" s="23"/>
      <c r="D57" s="23"/>
      <c r="E57" s="23"/>
      <c r="F57" s="24"/>
      <c r="G57" s="23"/>
      <c r="H57" s="23"/>
      <c r="I57" s="24"/>
    </row>
    <row r="58" spans="1:9" ht="12.95">
      <c r="A58" s="23"/>
      <c r="B58" s="23"/>
      <c r="C58" s="23"/>
      <c r="D58" s="23"/>
      <c r="E58" s="23"/>
      <c r="F58" s="24"/>
      <c r="G58" s="23"/>
      <c r="H58" s="23"/>
      <c r="I58" s="24"/>
    </row>
    <row r="59" spans="1:9" ht="12.95">
      <c r="A59" s="23"/>
      <c r="B59" s="23"/>
      <c r="C59" s="23"/>
      <c r="D59" s="23"/>
      <c r="E59" s="23"/>
      <c r="F59" s="24"/>
      <c r="G59" s="23"/>
      <c r="H59" s="23"/>
      <c r="I59" s="24"/>
    </row>
    <row r="60" spans="1:9" ht="12.95">
      <c r="A60" s="23"/>
      <c r="B60" s="23"/>
      <c r="C60" s="23"/>
      <c r="D60" s="23"/>
      <c r="E60" s="23"/>
      <c r="F60" s="24"/>
      <c r="G60" s="23"/>
      <c r="H60" s="23"/>
      <c r="I60" s="24"/>
    </row>
    <row r="61" spans="1:9" ht="12.95">
      <c r="A61" s="23"/>
      <c r="B61" s="23"/>
      <c r="C61" s="23"/>
      <c r="D61" s="23"/>
      <c r="E61" s="23"/>
      <c r="F61" s="24"/>
      <c r="G61" s="23"/>
      <c r="H61" s="23"/>
      <c r="I61" s="24"/>
    </row>
    <row r="62" spans="1:9" ht="12.95">
      <c r="A62" s="23"/>
      <c r="B62" s="23"/>
      <c r="C62" s="23"/>
      <c r="D62" s="23"/>
      <c r="E62" s="23"/>
      <c r="F62" s="24"/>
      <c r="G62" s="23"/>
      <c r="H62" s="23"/>
      <c r="I62" s="24"/>
    </row>
    <row r="63" spans="1:9" ht="12.95">
      <c r="A63" s="23"/>
      <c r="B63" s="23"/>
      <c r="C63" s="23"/>
      <c r="D63" s="23"/>
      <c r="E63" s="23"/>
      <c r="F63" s="24"/>
      <c r="G63" s="23"/>
      <c r="H63" s="23"/>
      <c r="I63" s="24"/>
    </row>
    <row r="64" spans="1:9" ht="12.95">
      <c r="A64" s="23"/>
      <c r="B64" s="23"/>
      <c r="C64" s="23"/>
      <c r="D64" s="23"/>
      <c r="E64" s="23"/>
      <c r="F64" s="24"/>
      <c r="G64" s="23"/>
      <c r="H64" s="23"/>
      <c r="I64" s="24"/>
    </row>
    <row r="65" spans="1:9" ht="12.95">
      <c r="A65" s="23"/>
      <c r="B65" s="23"/>
      <c r="C65" s="23"/>
      <c r="D65" s="23"/>
      <c r="E65" s="23"/>
      <c r="F65" s="24"/>
      <c r="G65" s="23"/>
      <c r="H65" s="23"/>
      <c r="I65" s="24"/>
    </row>
    <row r="66" spans="1:9" ht="12.95">
      <c r="A66" s="23"/>
      <c r="B66" s="23"/>
      <c r="C66" s="23"/>
      <c r="D66" s="23"/>
      <c r="E66" s="23"/>
      <c r="F66" s="24"/>
      <c r="G66" s="23"/>
      <c r="H66" s="23"/>
      <c r="I66" s="24"/>
    </row>
    <row r="67" spans="1:9" ht="12.95">
      <c r="A67" s="23"/>
      <c r="B67" s="23"/>
      <c r="C67" s="23"/>
      <c r="D67" s="23"/>
      <c r="E67" s="23"/>
      <c r="F67" s="24"/>
      <c r="G67" s="23"/>
      <c r="H67" s="23"/>
      <c r="I67" s="24"/>
    </row>
    <row r="68" spans="1:9" ht="12.95">
      <c r="A68" s="23"/>
      <c r="B68" s="23"/>
      <c r="C68" s="23"/>
      <c r="D68" s="23"/>
      <c r="E68" s="23"/>
      <c r="F68" s="24"/>
      <c r="G68" s="23"/>
      <c r="H68" s="23"/>
      <c r="I68" s="24"/>
    </row>
    <row r="69" spans="1:9" ht="12.95">
      <c r="A69" s="23"/>
      <c r="B69" s="23"/>
      <c r="C69" s="23"/>
      <c r="D69" s="23"/>
      <c r="E69" s="23"/>
      <c r="F69" s="24"/>
      <c r="G69" s="23"/>
      <c r="H69" s="23"/>
      <c r="I69" s="24"/>
    </row>
    <row r="70" spans="1:9" ht="12.95">
      <c r="A70" s="23"/>
      <c r="B70" s="23"/>
      <c r="C70" s="23"/>
      <c r="D70" s="23"/>
      <c r="E70" s="23"/>
      <c r="F70" s="24"/>
      <c r="G70" s="23"/>
      <c r="H70" s="23"/>
      <c r="I70" s="24"/>
    </row>
    <row r="71" spans="1:9" ht="12.95">
      <c r="A71" s="23"/>
      <c r="B71" s="23"/>
      <c r="C71" s="23"/>
      <c r="D71" s="23"/>
      <c r="E71" s="23"/>
      <c r="F71" s="24"/>
      <c r="G71" s="23"/>
      <c r="H71" s="23"/>
      <c r="I71" s="24"/>
    </row>
    <row r="72" spans="1:9" ht="12.95">
      <c r="A72" s="23"/>
      <c r="B72" s="23"/>
      <c r="C72" s="23"/>
      <c r="D72" s="23"/>
      <c r="E72" s="23"/>
      <c r="F72" s="24"/>
      <c r="G72" s="23"/>
      <c r="H72" s="23"/>
      <c r="I72" s="24"/>
    </row>
    <row r="73" spans="1:9" ht="12.95">
      <c r="A73" s="23"/>
      <c r="B73" s="23"/>
      <c r="C73" s="23"/>
      <c r="D73" s="23"/>
      <c r="E73" s="23"/>
      <c r="F73" s="24"/>
      <c r="G73" s="23"/>
      <c r="H73" s="23"/>
      <c r="I73" s="24"/>
    </row>
    <row r="74" spans="1:9" ht="12.95">
      <c r="A74" s="23"/>
      <c r="B74" s="23"/>
      <c r="C74" s="23"/>
      <c r="D74" s="23"/>
      <c r="E74" s="23"/>
      <c r="F74" s="24"/>
      <c r="G74" s="23"/>
      <c r="H74" s="23"/>
      <c r="I74" s="24"/>
    </row>
    <row r="75" spans="1:9" ht="12.95">
      <c r="A75" s="23"/>
      <c r="B75" s="23"/>
      <c r="C75" s="23"/>
      <c r="D75" s="23"/>
      <c r="E75" s="23"/>
      <c r="F75" s="24"/>
      <c r="G75" s="23"/>
      <c r="H75" s="23"/>
      <c r="I75" s="24"/>
    </row>
    <row r="76" spans="1:9" ht="12.95">
      <c r="A76" s="23"/>
      <c r="B76" s="23"/>
      <c r="C76" s="23"/>
      <c r="D76" s="23"/>
      <c r="E76" s="23"/>
      <c r="F76" s="24"/>
      <c r="G76" s="23"/>
      <c r="H76" s="23"/>
      <c r="I76" s="24"/>
    </row>
    <row r="77" spans="1:9" ht="12.95">
      <c r="A77" s="23"/>
      <c r="B77" s="23"/>
      <c r="C77" s="23"/>
      <c r="D77" s="23"/>
      <c r="E77" s="23"/>
      <c r="F77" s="24"/>
      <c r="G77" s="23"/>
      <c r="H77" s="23"/>
      <c r="I77" s="24"/>
    </row>
    <row r="78" spans="1:9" ht="12.95">
      <c r="A78" s="23"/>
      <c r="B78" s="23"/>
      <c r="C78" s="23"/>
      <c r="D78" s="23"/>
      <c r="E78" s="23"/>
      <c r="F78" s="24"/>
      <c r="G78" s="23"/>
      <c r="H78" s="23"/>
      <c r="I78" s="24"/>
    </row>
    <row r="79" spans="1:9" ht="12.95">
      <c r="A79" s="23"/>
      <c r="B79" s="23"/>
      <c r="C79" s="23"/>
      <c r="D79" s="23"/>
      <c r="E79" s="23"/>
      <c r="F79" s="24"/>
      <c r="G79" s="23"/>
      <c r="H79" s="23"/>
      <c r="I79" s="24"/>
    </row>
    <row r="80" spans="1:9" ht="12.95">
      <c r="A80" s="23"/>
      <c r="B80" s="23"/>
      <c r="C80" s="23"/>
      <c r="D80" s="23"/>
      <c r="E80" s="23"/>
      <c r="F80" s="24"/>
      <c r="G80" s="23"/>
      <c r="H80" s="23"/>
      <c r="I80" s="24"/>
    </row>
    <row r="81" spans="1:9" ht="12.95">
      <c r="A81" s="23"/>
      <c r="B81" s="23"/>
      <c r="C81" s="23"/>
      <c r="D81" s="23"/>
      <c r="E81" s="23"/>
      <c r="F81" s="24"/>
      <c r="G81" s="23"/>
      <c r="H81" s="23"/>
      <c r="I81" s="24"/>
    </row>
    <row r="82" spans="1:9" ht="12.95">
      <c r="A82" s="23"/>
      <c r="B82" s="23"/>
      <c r="C82" s="23"/>
      <c r="D82" s="23"/>
      <c r="E82" s="23"/>
      <c r="F82" s="24"/>
      <c r="G82" s="23"/>
      <c r="H82" s="23"/>
      <c r="I82" s="24"/>
    </row>
    <row r="83" spans="1:9" ht="12.95">
      <c r="A83" s="23"/>
      <c r="B83" s="23"/>
      <c r="C83" s="23"/>
      <c r="D83" s="23"/>
      <c r="E83" s="23"/>
      <c r="F83" s="24"/>
      <c r="G83" s="23"/>
      <c r="H83" s="23"/>
      <c r="I83" s="24"/>
    </row>
    <row r="84" spans="1:9" ht="12.95">
      <c r="A84" s="23"/>
      <c r="B84" s="23"/>
      <c r="C84" s="23"/>
      <c r="D84" s="23"/>
      <c r="E84" s="23"/>
      <c r="F84" s="24"/>
      <c r="G84" s="23"/>
      <c r="H84" s="23"/>
      <c r="I84" s="24"/>
    </row>
    <row r="85" spans="1:9" ht="12.95">
      <c r="A85" s="23"/>
      <c r="B85" s="23"/>
      <c r="C85" s="23"/>
      <c r="D85" s="23"/>
      <c r="E85" s="23"/>
      <c r="F85" s="24"/>
      <c r="G85" s="23"/>
      <c r="H85" s="23"/>
      <c r="I85" s="24"/>
    </row>
    <row r="86" spans="1:9" ht="12.95">
      <c r="A86" s="23"/>
      <c r="B86" s="23"/>
      <c r="C86" s="23"/>
      <c r="D86" s="23"/>
      <c r="E86" s="23"/>
      <c r="F86" s="24"/>
      <c r="G86" s="23"/>
      <c r="H86" s="23"/>
      <c r="I86" s="24"/>
    </row>
    <row r="87" spans="1:9" ht="12.95">
      <c r="A87" s="23"/>
      <c r="B87" s="23"/>
      <c r="C87" s="23"/>
      <c r="D87" s="23"/>
      <c r="E87" s="23"/>
      <c r="F87" s="24"/>
      <c r="G87" s="23"/>
      <c r="H87" s="23"/>
      <c r="I87" s="24"/>
    </row>
    <row r="88" spans="1:9" ht="12.95">
      <c r="A88" s="23"/>
      <c r="B88" s="23"/>
      <c r="C88" s="23"/>
      <c r="D88" s="23"/>
      <c r="E88" s="23"/>
      <c r="F88" s="24"/>
      <c r="G88" s="23"/>
      <c r="H88" s="23"/>
      <c r="I88" s="24"/>
    </row>
    <row r="89" spans="1:9" ht="12.95">
      <c r="A89" s="23"/>
      <c r="B89" s="23"/>
      <c r="C89" s="23"/>
      <c r="D89" s="23"/>
      <c r="E89" s="23"/>
      <c r="F89" s="24"/>
      <c r="G89" s="23"/>
      <c r="H89" s="23"/>
      <c r="I89" s="24"/>
    </row>
    <row r="90" spans="1:9" ht="12.95">
      <c r="A90" s="23"/>
      <c r="B90" s="23"/>
      <c r="C90" s="23"/>
      <c r="D90" s="23"/>
      <c r="E90" s="23"/>
      <c r="F90" s="24"/>
      <c r="G90" s="23"/>
      <c r="H90" s="23"/>
      <c r="I90" s="24"/>
    </row>
    <row r="91" spans="1:9" ht="12.95">
      <c r="A91" s="23"/>
      <c r="B91" s="23"/>
      <c r="C91" s="23"/>
      <c r="D91" s="23"/>
      <c r="E91" s="23"/>
      <c r="F91" s="24"/>
      <c r="G91" s="23"/>
      <c r="H91" s="23"/>
      <c r="I91" s="24"/>
    </row>
    <row r="92" spans="1:9" ht="12.95">
      <c r="A92" s="23"/>
      <c r="B92" s="23"/>
      <c r="C92" s="23"/>
      <c r="D92" s="23"/>
      <c r="E92" s="23"/>
      <c r="F92" s="24"/>
      <c r="G92" s="23"/>
      <c r="H92" s="23"/>
      <c r="I92" s="24"/>
    </row>
    <row r="93" spans="1:9" ht="12.95">
      <c r="A93" s="23"/>
      <c r="B93" s="23"/>
      <c r="C93" s="23"/>
      <c r="D93" s="23"/>
      <c r="E93" s="23"/>
      <c r="F93" s="24"/>
      <c r="G93" s="23"/>
      <c r="H93" s="23"/>
      <c r="I93" s="24"/>
    </row>
    <row r="94" spans="1:9" ht="12.95">
      <c r="A94" s="23"/>
      <c r="B94" s="23"/>
      <c r="C94" s="23"/>
      <c r="D94" s="23"/>
      <c r="E94" s="23"/>
      <c r="F94" s="24"/>
      <c r="G94" s="23"/>
      <c r="H94" s="23"/>
      <c r="I94" s="24"/>
    </row>
    <row r="95" spans="1:9" ht="12.95">
      <c r="A95" s="23"/>
      <c r="B95" s="23"/>
      <c r="C95" s="23"/>
      <c r="D95" s="23"/>
      <c r="E95" s="23"/>
      <c r="F95" s="24"/>
      <c r="G95" s="23"/>
      <c r="H95" s="23"/>
      <c r="I95" s="24"/>
    </row>
    <row r="96" spans="1:9" ht="12.95">
      <c r="A96" s="23"/>
      <c r="B96" s="23"/>
      <c r="C96" s="23"/>
      <c r="D96" s="23"/>
      <c r="E96" s="23"/>
      <c r="F96" s="24"/>
      <c r="G96" s="23"/>
      <c r="H96" s="23"/>
      <c r="I96" s="24"/>
    </row>
    <row r="97" spans="1:9" ht="12.95">
      <c r="A97" s="23"/>
      <c r="B97" s="23"/>
      <c r="C97" s="23"/>
      <c r="D97" s="23"/>
      <c r="E97" s="23"/>
      <c r="F97" s="24"/>
      <c r="G97" s="23"/>
      <c r="H97" s="23"/>
      <c r="I97" s="24"/>
    </row>
    <row r="98" spans="1:9" ht="12.95">
      <c r="A98" s="23"/>
      <c r="B98" s="23"/>
      <c r="C98" s="23"/>
      <c r="D98" s="23"/>
      <c r="E98" s="23"/>
      <c r="F98" s="24"/>
      <c r="G98" s="23"/>
      <c r="H98" s="23"/>
      <c r="I98" s="24"/>
    </row>
    <row r="99" spans="1:9" ht="12.95">
      <c r="A99" s="23"/>
      <c r="B99" s="23"/>
      <c r="C99" s="23"/>
      <c r="D99" s="23"/>
      <c r="E99" s="23"/>
      <c r="F99" s="24"/>
      <c r="G99" s="23"/>
      <c r="H99" s="23"/>
      <c r="I99" s="24"/>
    </row>
    <row r="100" spans="1:9" ht="12.95">
      <c r="A100" s="23"/>
      <c r="B100" s="23"/>
      <c r="C100" s="23"/>
      <c r="D100" s="23"/>
      <c r="E100" s="23"/>
      <c r="F100" s="24"/>
      <c r="G100" s="23"/>
      <c r="H100" s="23"/>
      <c r="I100" s="24"/>
    </row>
    <row r="101" spans="1:9" ht="12.95">
      <c r="A101" s="23"/>
      <c r="B101" s="23"/>
      <c r="C101" s="23"/>
      <c r="D101" s="23"/>
      <c r="E101" s="23"/>
      <c r="F101" s="24"/>
      <c r="G101" s="23"/>
      <c r="H101" s="23"/>
      <c r="I101" s="24"/>
    </row>
    <row r="102" spans="1:9" ht="12.95">
      <c r="A102" s="23"/>
      <c r="B102" s="23"/>
      <c r="C102" s="23"/>
      <c r="D102" s="23"/>
      <c r="E102" s="23"/>
      <c r="F102" s="24"/>
      <c r="G102" s="23"/>
      <c r="H102" s="23"/>
      <c r="I102" s="24"/>
    </row>
    <row r="103" spans="1:9" ht="12.95">
      <c r="A103" s="23"/>
      <c r="B103" s="23"/>
      <c r="C103" s="23"/>
      <c r="D103" s="23"/>
      <c r="E103" s="23"/>
      <c r="F103" s="24"/>
      <c r="G103" s="23"/>
      <c r="H103" s="23"/>
      <c r="I103" s="24"/>
    </row>
    <row r="104" spans="1:9" ht="12.95">
      <c r="A104" s="23"/>
      <c r="B104" s="23"/>
      <c r="C104" s="23"/>
      <c r="D104" s="23"/>
      <c r="E104" s="23"/>
      <c r="F104" s="24"/>
      <c r="G104" s="23"/>
      <c r="H104" s="23"/>
      <c r="I104" s="24"/>
    </row>
    <row r="105" spans="1:9" ht="12.95">
      <c r="A105" s="23"/>
      <c r="B105" s="23"/>
      <c r="C105" s="23"/>
      <c r="D105" s="23"/>
      <c r="E105" s="23"/>
      <c r="F105" s="24"/>
      <c r="G105" s="23"/>
      <c r="H105" s="23"/>
      <c r="I105" s="24"/>
    </row>
    <row r="106" spans="1:9" ht="12.95">
      <c r="A106" s="23"/>
      <c r="B106" s="23"/>
      <c r="C106" s="23"/>
      <c r="D106" s="23"/>
      <c r="E106" s="23"/>
      <c r="F106" s="24"/>
      <c r="G106" s="23"/>
      <c r="H106" s="23"/>
      <c r="I106" s="24"/>
    </row>
    <row r="107" spans="1:9" ht="12.95">
      <c r="A107" s="23"/>
      <c r="B107" s="23"/>
      <c r="C107" s="23"/>
      <c r="D107" s="23"/>
      <c r="E107" s="23"/>
      <c r="F107" s="24"/>
      <c r="G107" s="23"/>
      <c r="H107" s="23"/>
      <c r="I107" s="24"/>
    </row>
    <row r="108" spans="1:9" ht="12.95">
      <c r="A108" s="23"/>
      <c r="B108" s="23"/>
      <c r="C108" s="23"/>
      <c r="D108" s="23"/>
      <c r="E108" s="23"/>
      <c r="F108" s="24"/>
      <c r="G108" s="23"/>
      <c r="H108" s="23"/>
      <c r="I108" s="24"/>
    </row>
    <row r="109" spans="1:9" ht="12.95">
      <c r="A109" s="23"/>
      <c r="B109" s="23"/>
      <c r="C109" s="23"/>
      <c r="D109" s="23"/>
      <c r="E109" s="23"/>
      <c r="F109" s="24"/>
      <c r="G109" s="23"/>
      <c r="H109" s="23"/>
      <c r="I109" s="24"/>
    </row>
    <row r="110" spans="1:9" ht="12.95">
      <c r="A110" s="23"/>
      <c r="B110" s="23"/>
      <c r="C110" s="23"/>
      <c r="D110" s="23"/>
      <c r="E110" s="23"/>
      <c r="F110" s="24"/>
      <c r="G110" s="23"/>
      <c r="H110" s="23"/>
      <c r="I110" s="24"/>
    </row>
    <row r="111" spans="1:9" ht="12.95">
      <c r="A111" s="23"/>
      <c r="B111" s="23"/>
      <c r="C111" s="23"/>
      <c r="D111" s="23"/>
      <c r="E111" s="23"/>
      <c r="F111" s="24"/>
      <c r="G111" s="23"/>
      <c r="H111" s="23"/>
      <c r="I111" s="24"/>
    </row>
    <row r="112" spans="1:9" ht="12.95">
      <c r="A112" s="23"/>
      <c r="B112" s="23"/>
      <c r="C112" s="23"/>
      <c r="D112" s="23"/>
      <c r="E112" s="23"/>
      <c r="F112" s="24"/>
      <c r="G112" s="23"/>
      <c r="H112" s="23"/>
      <c r="I112" s="24"/>
    </row>
    <row r="113" spans="1:9" ht="12.95">
      <c r="A113" s="23"/>
      <c r="B113" s="23"/>
      <c r="C113" s="23"/>
      <c r="D113" s="23"/>
      <c r="E113" s="23"/>
      <c r="F113" s="24"/>
      <c r="G113" s="23"/>
      <c r="H113" s="23"/>
      <c r="I113" s="24"/>
    </row>
    <row r="114" spans="1:9" ht="12.95">
      <c r="A114" s="23"/>
      <c r="B114" s="23"/>
      <c r="C114" s="23"/>
      <c r="D114" s="23"/>
      <c r="E114" s="23"/>
      <c r="F114" s="24"/>
      <c r="G114" s="23"/>
      <c r="H114" s="23"/>
      <c r="I114" s="24"/>
    </row>
    <row r="115" spans="1:9" ht="12.95">
      <c r="A115" s="23"/>
      <c r="B115" s="23"/>
      <c r="C115" s="23"/>
      <c r="D115" s="23"/>
      <c r="E115" s="23"/>
      <c r="F115" s="24"/>
      <c r="G115" s="23"/>
      <c r="H115" s="23"/>
      <c r="I115" s="24"/>
    </row>
    <row r="116" spans="1:9" ht="12.95">
      <c r="A116" s="23"/>
      <c r="B116" s="23"/>
      <c r="C116" s="23"/>
      <c r="D116" s="23"/>
      <c r="E116" s="23"/>
      <c r="F116" s="24"/>
      <c r="G116" s="23"/>
      <c r="H116" s="23"/>
      <c r="I116" s="24"/>
    </row>
    <row r="117" spans="1:9" ht="12.95">
      <c r="A117" s="23"/>
      <c r="B117" s="23"/>
      <c r="C117" s="23"/>
      <c r="D117" s="23"/>
      <c r="E117" s="23"/>
      <c r="F117" s="24"/>
      <c r="G117" s="23"/>
      <c r="H117" s="23"/>
      <c r="I117" s="24"/>
    </row>
    <row r="118" spans="1:9" ht="12.95">
      <c r="A118" s="23"/>
      <c r="B118" s="23"/>
      <c r="C118" s="23"/>
      <c r="D118" s="23"/>
      <c r="E118" s="23"/>
      <c r="F118" s="24"/>
      <c r="G118" s="23"/>
      <c r="H118" s="23"/>
      <c r="I118" s="24"/>
    </row>
    <row r="119" spans="1:9" ht="12.95">
      <c r="A119" s="23"/>
      <c r="B119" s="23"/>
      <c r="C119" s="23"/>
      <c r="D119" s="23"/>
      <c r="E119" s="23"/>
      <c r="F119" s="24"/>
      <c r="G119" s="23"/>
      <c r="H119" s="23"/>
      <c r="I119" s="24"/>
    </row>
    <row r="120" spans="1:9" ht="12.95">
      <c r="A120" s="23"/>
      <c r="B120" s="23"/>
      <c r="C120" s="23"/>
      <c r="D120" s="23"/>
      <c r="E120" s="23"/>
      <c r="F120" s="24"/>
      <c r="G120" s="23"/>
      <c r="H120" s="23"/>
      <c r="I120" s="24"/>
    </row>
    <row r="121" spans="1:9" ht="12.95">
      <c r="A121" s="23"/>
      <c r="B121" s="23"/>
      <c r="C121" s="23"/>
      <c r="D121" s="23"/>
      <c r="E121" s="23"/>
      <c r="F121" s="24"/>
      <c r="G121" s="23"/>
      <c r="H121" s="23"/>
      <c r="I121" s="24"/>
    </row>
    <row r="122" spans="1:9" ht="12.95">
      <c r="A122" s="23"/>
      <c r="B122" s="23"/>
      <c r="C122" s="23"/>
      <c r="D122" s="23"/>
      <c r="E122" s="23"/>
      <c r="F122" s="24"/>
      <c r="G122" s="23"/>
      <c r="H122" s="23"/>
      <c r="I122" s="24"/>
    </row>
    <row r="123" spans="1:9" ht="12.95">
      <c r="A123" s="23"/>
      <c r="B123" s="23"/>
      <c r="C123" s="23"/>
      <c r="D123" s="23"/>
      <c r="E123" s="23"/>
      <c r="F123" s="24"/>
      <c r="G123" s="23"/>
      <c r="H123" s="23"/>
      <c r="I123" s="24"/>
    </row>
    <row r="124" spans="1:9" ht="12.95">
      <c r="A124" s="23"/>
      <c r="B124" s="23"/>
      <c r="C124" s="23"/>
      <c r="D124" s="23"/>
      <c r="E124" s="23"/>
      <c r="F124" s="24"/>
      <c r="G124" s="23"/>
      <c r="H124" s="23"/>
      <c r="I124" s="24"/>
    </row>
    <row r="125" spans="1:9" ht="12.95">
      <c r="A125" s="23"/>
      <c r="B125" s="23"/>
      <c r="C125" s="23"/>
      <c r="D125" s="23"/>
      <c r="E125" s="23"/>
      <c r="F125" s="24"/>
      <c r="G125" s="23"/>
      <c r="H125" s="23"/>
      <c r="I125" s="24"/>
    </row>
    <row r="126" spans="1:9" ht="12.95">
      <c r="A126" s="23"/>
      <c r="B126" s="23"/>
      <c r="C126" s="23"/>
      <c r="D126" s="23"/>
      <c r="E126" s="23"/>
      <c r="F126" s="24"/>
      <c r="G126" s="23"/>
      <c r="H126" s="23"/>
      <c r="I126" s="24"/>
    </row>
    <row r="127" spans="1:9" ht="12.95">
      <c r="A127" s="23"/>
      <c r="B127" s="23"/>
      <c r="C127" s="23"/>
      <c r="D127" s="23"/>
      <c r="E127" s="23"/>
      <c r="F127" s="24"/>
      <c r="G127" s="23"/>
      <c r="H127" s="23"/>
      <c r="I127" s="24"/>
    </row>
    <row r="128" spans="1:9" ht="12.95">
      <c r="A128" s="23"/>
      <c r="B128" s="23"/>
      <c r="C128" s="23"/>
      <c r="D128" s="23"/>
      <c r="E128" s="23"/>
      <c r="F128" s="24"/>
      <c r="G128" s="23"/>
      <c r="H128" s="23"/>
      <c r="I128" s="24"/>
    </row>
    <row r="129" spans="1:9" ht="12.95">
      <c r="A129" s="23"/>
      <c r="B129" s="23"/>
      <c r="C129" s="23"/>
      <c r="D129" s="23"/>
      <c r="E129" s="23"/>
      <c r="F129" s="24"/>
      <c r="G129" s="23"/>
      <c r="H129" s="23"/>
      <c r="I129" s="24"/>
    </row>
    <row r="130" spans="1:9" ht="12.95">
      <c r="A130" s="23"/>
      <c r="B130" s="23"/>
      <c r="C130" s="23"/>
      <c r="D130" s="23"/>
      <c r="E130" s="23"/>
      <c r="F130" s="24"/>
      <c r="G130" s="23"/>
      <c r="H130" s="23"/>
      <c r="I130" s="24"/>
    </row>
    <row r="131" spans="1:9" ht="12.95">
      <c r="A131" s="23"/>
      <c r="B131" s="23"/>
      <c r="C131" s="23"/>
      <c r="D131" s="23"/>
      <c r="E131" s="23"/>
      <c r="F131" s="24"/>
      <c r="G131" s="23"/>
      <c r="H131" s="23"/>
      <c r="I131" s="24"/>
    </row>
    <row r="132" spans="1:9" ht="12.95">
      <c r="A132" s="23"/>
      <c r="B132" s="23"/>
      <c r="C132" s="23"/>
      <c r="D132" s="23"/>
      <c r="E132" s="23"/>
      <c r="F132" s="24"/>
      <c r="G132" s="23"/>
      <c r="H132" s="23"/>
      <c r="I132" s="24"/>
    </row>
    <row r="133" spans="1:9" ht="12.95">
      <c r="A133" s="23"/>
      <c r="B133" s="23"/>
      <c r="C133" s="23"/>
      <c r="D133" s="23"/>
      <c r="E133" s="23"/>
      <c r="F133" s="24"/>
      <c r="G133" s="23"/>
      <c r="H133" s="23"/>
      <c r="I133" s="24"/>
    </row>
    <row r="134" spans="1:9" ht="12.95">
      <c r="A134" s="23"/>
      <c r="B134" s="23"/>
      <c r="C134" s="23"/>
      <c r="D134" s="23"/>
      <c r="E134" s="23"/>
      <c r="F134" s="24"/>
      <c r="G134" s="23"/>
      <c r="H134" s="23"/>
      <c r="I134" s="24"/>
    </row>
    <row r="135" spans="1:9" ht="12.95">
      <c r="A135" s="23"/>
      <c r="B135" s="23"/>
      <c r="C135" s="23"/>
      <c r="D135" s="23"/>
      <c r="E135" s="23"/>
      <c r="F135" s="24"/>
      <c r="G135" s="23"/>
      <c r="H135" s="23"/>
      <c r="I135" s="24"/>
    </row>
    <row r="136" spans="1:9" ht="12.95">
      <c r="A136" s="23"/>
      <c r="B136" s="23"/>
      <c r="C136" s="23"/>
      <c r="D136" s="23"/>
      <c r="E136" s="23"/>
      <c r="F136" s="24"/>
      <c r="G136" s="23"/>
      <c r="H136" s="23"/>
      <c r="I136" s="24"/>
    </row>
    <row r="137" spans="1:9" ht="12.95">
      <c r="A137" s="23"/>
      <c r="B137" s="23"/>
      <c r="C137" s="23"/>
      <c r="D137" s="23"/>
      <c r="E137" s="23"/>
      <c r="F137" s="24"/>
      <c r="G137" s="23"/>
      <c r="H137" s="23"/>
      <c r="I137" s="24"/>
    </row>
    <row r="138" spans="1:9" ht="12.95">
      <c r="A138" s="23"/>
      <c r="B138" s="23"/>
      <c r="C138" s="23"/>
      <c r="D138" s="23"/>
      <c r="E138" s="23"/>
      <c r="F138" s="24"/>
      <c r="G138" s="23"/>
      <c r="H138" s="23"/>
      <c r="I138" s="24"/>
    </row>
    <row r="139" spans="1:9" ht="12.95">
      <c r="A139" s="23"/>
      <c r="B139" s="23"/>
      <c r="C139" s="23"/>
      <c r="D139" s="23"/>
      <c r="E139" s="23"/>
      <c r="F139" s="24"/>
      <c r="G139" s="23"/>
      <c r="H139" s="23"/>
      <c r="I139" s="24"/>
    </row>
    <row r="140" spans="1:9" ht="12.95">
      <c r="A140" s="23"/>
      <c r="B140" s="23"/>
      <c r="C140" s="23"/>
      <c r="D140" s="23"/>
      <c r="E140" s="23"/>
      <c r="F140" s="24"/>
      <c r="G140" s="23"/>
      <c r="H140" s="23"/>
      <c r="I140" s="24"/>
    </row>
    <row r="141" spans="1:9" ht="12.95">
      <c r="A141" s="23"/>
      <c r="B141" s="23"/>
      <c r="C141" s="23"/>
      <c r="D141" s="23"/>
      <c r="E141" s="23"/>
      <c r="F141" s="24"/>
      <c r="G141" s="23"/>
      <c r="H141" s="23"/>
      <c r="I141" s="24"/>
    </row>
    <row r="142" spans="1:9" ht="12.95">
      <c r="A142" s="23"/>
      <c r="B142" s="23"/>
      <c r="C142" s="23"/>
      <c r="D142" s="23"/>
      <c r="E142" s="23"/>
      <c r="F142" s="24"/>
      <c r="G142" s="23"/>
      <c r="H142" s="23"/>
      <c r="I142" s="24"/>
    </row>
    <row r="143" spans="1:9" ht="12.95">
      <c r="A143" s="23"/>
      <c r="B143" s="23"/>
      <c r="C143" s="23"/>
      <c r="D143" s="23"/>
      <c r="E143" s="23"/>
      <c r="F143" s="24"/>
      <c r="G143" s="23"/>
      <c r="H143" s="23"/>
      <c r="I143" s="24"/>
    </row>
    <row r="144" spans="1:9" ht="12.95">
      <c r="A144" s="23"/>
      <c r="B144" s="23"/>
      <c r="C144" s="23"/>
      <c r="D144" s="23"/>
      <c r="E144" s="23"/>
      <c r="F144" s="24"/>
      <c r="G144" s="23"/>
      <c r="H144" s="23"/>
      <c r="I144" s="24"/>
    </row>
    <row r="145" spans="1:9" ht="12.95">
      <c r="A145" s="23"/>
      <c r="B145" s="23"/>
      <c r="C145" s="23"/>
      <c r="D145" s="23"/>
      <c r="E145" s="23"/>
      <c r="F145" s="24"/>
      <c r="G145" s="23"/>
      <c r="H145" s="23"/>
      <c r="I145" s="24"/>
    </row>
    <row r="146" spans="1:9" ht="12.95">
      <c r="A146" s="23"/>
      <c r="B146" s="23"/>
      <c r="C146" s="23"/>
      <c r="D146" s="23"/>
      <c r="E146" s="23"/>
      <c r="F146" s="24"/>
      <c r="G146" s="23"/>
      <c r="H146" s="23"/>
      <c r="I146" s="24"/>
    </row>
    <row r="147" spans="1:9" ht="12.95">
      <c r="A147" s="23"/>
      <c r="B147" s="23"/>
      <c r="C147" s="23"/>
      <c r="D147" s="23"/>
      <c r="E147" s="23"/>
      <c r="F147" s="24"/>
      <c r="G147" s="23"/>
      <c r="H147" s="23"/>
      <c r="I147" s="24"/>
    </row>
    <row r="148" spans="1:9" ht="12.95">
      <c r="A148" s="23"/>
      <c r="B148" s="23"/>
      <c r="C148" s="23"/>
      <c r="D148" s="23"/>
      <c r="E148" s="23"/>
      <c r="F148" s="24"/>
      <c r="G148" s="23"/>
      <c r="H148" s="23"/>
      <c r="I148" s="24"/>
    </row>
    <row r="149" spans="1:9" ht="12.95">
      <c r="A149" s="23"/>
      <c r="B149" s="23"/>
      <c r="C149" s="23"/>
      <c r="D149" s="23"/>
      <c r="E149" s="23"/>
      <c r="F149" s="24"/>
      <c r="G149" s="23"/>
      <c r="H149" s="23"/>
      <c r="I149" s="24"/>
    </row>
    <row r="150" spans="1:9" ht="12.95">
      <c r="A150" s="23"/>
      <c r="B150" s="23"/>
      <c r="C150" s="23"/>
      <c r="D150" s="23"/>
      <c r="E150" s="23"/>
      <c r="F150" s="24"/>
      <c r="G150" s="23"/>
      <c r="H150" s="23"/>
      <c r="I150" s="24"/>
    </row>
    <row r="151" spans="1:9" ht="12.95">
      <c r="A151" s="23"/>
      <c r="B151" s="23"/>
      <c r="C151" s="23"/>
      <c r="D151" s="23"/>
      <c r="E151" s="23"/>
      <c r="F151" s="24"/>
      <c r="G151" s="23"/>
      <c r="H151" s="23"/>
      <c r="I151" s="24"/>
    </row>
    <row r="152" spans="1:9" ht="12.95">
      <c r="A152" s="23"/>
      <c r="B152" s="23"/>
      <c r="C152" s="23"/>
      <c r="D152" s="23"/>
      <c r="E152" s="23"/>
      <c r="F152" s="24"/>
      <c r="G152" s="23"/>
      <c r="H152" s="23"/>
      <c r="I152" s="24"/>
    </row>
    <row r="153" spans="1:9" ht="12.95">
      <c r="A153" s="23"/>
      <c r="B153" s="23"/>
      <c r="C153" s="23"/>
      <c r="D153" s="23"/>
      <c r="E153" s="23"/>
      <c r="F153" s="24"/>
      <c r="G153" s="23"/>
      <c r="H153" s="23"/>
      <c r="I153" s="24"/>
    </row>
    <row r="154" spans="1:9" ht="12.95">
      <c r="A154" s="23"/>
      <c r="B154" s="23"/>
      <c r="C154" s="23"/>
      <c r="D154" s="23"/>
      <c r="E154" s="23"/>
      <c r="F154" s="24"/>
      <c r="G154" s="23"/>
      <c r="H154" s="23"/>
      <c r="I154" s="24"/>
    </row>
    <row r="155" spans="1:9" ht="12.95">
      <c r="A155" s="23"/>
      <c r="B155" s="23"/>
      <c r="C155" s="23"/>
      <c r="D155" s="23"/>
      <c r="E155" s="23"/>
      <c r="F155" s="24"/>
      <c r="G155" s="23"/>
      <c r="H155" s="23"/>
      <c r="I155" s="24"/>
    </row>
    <row r="156" spans="1:9" ht="12.95">
      <c r="A156" s="23"/>
      <c r="B156" s="23"/>
      <c r="C156" s="23"/>
      <c r="D156" s="23"/>
      <c r="E156" s="23"/>
      <c r="F156" s="24"/>
      <c r="G156" s="23"/>
      <c r="H156" s="23"/>
      <c r="I156" s="24"/>
    </row>
    <row r="157" spans="1:9" ht="12.95">
      <c r="A157" s="23"/>
      <c r="B157" s="23"/>
      <c r="C157" s="23"/>
      <c r="D157" s="23"/>
      <c r="E157" s="23"/>
      <c r="F157" s="24"/>
      <c r="G157" s="23"/>
      <c r="H157" s="23"/>
      <c r="I157" s="24"/>
    </row>
    <row r="158" spans="1:9" ht="12.95">
      <c r="A158" s="23"/>
      <c r="B158" s="23"/>
      <c r="C158" s="23"/>
      <c r="D158" s="23"/>
      <c r="E158" s="23"/>
      <c r="F158" s="24"/>
      <c r="G158" s="23"/>
      <c r="H158" s="23"/>
      <c r="I158" s="24"/>
    </row>
    <row r="159" spans="1:9" ht="12.95">
      <c r="A159" s="23"/>
      <c r="B159" s="23"/>
      <c r="C159" s="23"/>
      <c r="D159" s="23"/>
      <c r="E159" s="23"/>
      <c r="F159" s="24"/>
      <c r="G159" s="23"/>
      <c r="H159" s="23"/>
      <c r="I159" s="24"/>
    </row>
    <row r="160" spans="1:9" ht="12.95">
      <c r="A160" s="23"/>
      <c r="B160" s="23"/>
      <c r="C160" s="23"/>
      <c r="D160" s="23"/>
      <c r="E160" s="23"/>
      <c r="F160" s="24"/>
      <c r="G160" s="23"/>
      <c r="H160" s="23"/>
      <c r="I160" s="24"/>
    </row>
    <row r="161" spans="1:9" ht="12.95">
      <c r="A161" s="23"/>
      <c r="B161" s="23"/>
      <c r="C161" s="23"/>
      <c r="D161" s="23"/>
      <c r="E161" s="23"/>
      <c r="F161" s="24"/>
      <c r="G161" s="23"/>
      <c r="H161" s="23"/>
      <c r="I161" s="24"/>
    </row>
    <row r="162" spans="1:9" ht="12.95">
      <c r="A162" s="23"/>
      <c r="B162" s="23"/>
      <c r="C162" s="23"/>
      <c r="D162" s="23"/>
      <c r="E162" s="23"/>
      <c r="F162" s="24"/>
      <c r="G162" s="23"/>
      <c r="H162" s="23"/>
      <c r="I162" s="24"/>
    </row>
    <row r="163" spans="1:9" ht="12.95">
      <c r="A163" s="23"/>
      <c r="B163" s="23"/>
      <c r="C163" s="23"/>
      <c r="D163" s="23"/>
      <c r="E163" s="23"/>
      <c r="F163" s="24"/>
      <c r="G163" s="23"/>
      <c r="H163" s="23"/>
      <c r="I163" s="24"/>
    </row>
    <row r="164" spans="1:9" ht="12.95">
      <c r="A164" s="23"/>
      <c r="B164" s="23"/>
      <c r="C164" s="23"/>
      <c r="D164" s="23"/>
      <c r="E164" s="23"/>
      <c r="F164" s="24"/>
      <c r="G164" s="23"/>
      <c r="H164" s="23"/>
      <c r="I164" s="24"/>
    </row>
    <row r="165" spans="1:9" ht="12.95">
      <c r="A165" s="23"/>
      <c r="B165" s="23"/>
      <c r="C165" s="23"/>
      <c r="D165" s="23"/>
      <c r="E165" s="23"/>
      <c r="F165" s="24"/>
      <c r="G165" s="23"/>
      <c r="H165" s="23"/>
      <c r="I165" s="24"/>
    </row>
    <row r="166" spans="1:9" ht="12.95">
      <c r="A166" s="23"/>
      <c r="B166" s="23"/>
      <c r="C166" s="23"/>
      <c r="D166" s="23"/>
      <c r="E166" s="23"/>
      <c r="F166" s="24"/>
      <c r="G166" s="23"/>
      <c r="H166" s="23"/>
      <c r="I166" s="24"/>
    </row>
    <row r="167" spans="1:9" ht="12.95">
      <c r="A167" s="23"/>
      <c r="B167" s="23"/>
      <c r="C167" s="23"/>
      <c r="D167" s="23"/>
      <c r="E167" s="23"/>
      <c r="F167" s="24"/>
      <c r="G167" s="23"/>
      <c r="H167" s="23"/>
      <c r="I167" s="24"/>
    </row>
    <row r="168" spans="1:9" ht="12.95">
      <c r="A168" s="23"/>
      <c r="B168" s="23"/>
      <c r="C168" s="23"/>
      <c r="D168" s="23"/>
      <c r="E168" s="23"/>
      <c r="F168" s="24"/>
      <c r="G168" s="23"/>
      <c r="H168" s="23"/>
      <c r="I168" s="24"/>
    </row>
    <row r="169" spans="1:9" ht="12.95">
      <c r="A169" s="23"/>
      <c r="B169" s="23"/>
      <c r="C169" s="23"/>
      <c r="D169" s="23"/>
      <c r="E169" s="23"/>
      <c r="F169" s="24"/>
      <c r="G169" s="23"/>
      <c r="H169" s="23"/>
      <c r="I169" s="24"/>
    </row>
    <row r="170" spans="1:9" ht="12.95">
      <c r="A170" s="23"/>
      <c r="B170" s="23"/>
      <c r="C170" s="23"/>
      <c r="D170" s="23"/>
      <c r="E170" s="23"/>
      <c r="F170" s="24"/>
      <c r="G170" s="23"/>
      <c r="H170" s="23"/>
      <c r="I170" s="24"/>
    </row>
    <row r="171" spans="1:9" ht="12.95">
      <c r="A171" s="23"/>
      <c r="B171" s="23"/>
      <c r="C171" s="23"/>
      <c r="D171" s="23"/>
      <c r="E171" s="23"/>
      <c r="F171" s="24"/>
      <c r="G171" s="23"/>
      <c r="H171" s="23"/>
      <c r="I171" s="24"/>
    </row>
    <row r="172" spans="1:9" ht="12.95">
      <c r="A172" s="23"/>
      <c r="B172" s="23"/>
      <c r="C172" s="23"/>
      <c r="D172" s="23"/>
      <c r="E172" s="23"/>
      <c r="F172" s="24"/>
      <c r="G172" s="23"/>
      <c r="H172" s="23"/>
      <c r="I172" s="24"/>
    </row>
    <row r="173" spans="1:9" ht="12.95">
      <c r="A173" s="23"/>
      <c r="B173" s="23"/>
      <c r="C173" s="23"/>
      <c r="D173" s="23"/>
      <c r="E173" s="23"/>
      <c r="F173" s="24"/>
      <c r="G173" s="23"/>
      <c r="H173" s="23"/>
      <c r="I173" s="24"/>
    </row>
    <row r="174" spans="1:9" ht="12.95">
      <c r="A174" s="23"/>
      <c r="B174" s="23"/>
      <c r="C174" s="23"/>
      <c r="D174" s="23"/>
      <c r="E174" s="23"/>
      <c r="F174" s="24"/>
      <c r="G174" s="23"/>
      <c r="H174" s="23"/>
      <c r="I174" s="24"/>
    </row>
    <row r="175" spans="1:9" ht="12.95">
      <c r="A175" s="23"/>
      <c r="B175" s="23"/>
      <c r="C175" s="23"/>
      <c r="D175" s="23"/>
      <c r="E175" s="23"/>
      <c r="F175" s="24"/>
      <c r="G175" s="23"/>
      <c r="H175" s="23"/>
      <c r="I175" s="24"/>
    </row>
    <row r="176" spans="1:9" ht="12.95">
      <c r="A176" s="23"/>
      <c r="B176" s="23"/>
      <c r="C176" s="23"/>
      <c r="D176" s="23"/>
      <c r="E176" s="23"/>
      <c r="F176" s="24"/>
      <c r="G176" s="23"/>
      <c r="H176" s="23"/>
      <c r="I176" s="24"/>
    </row>
    <row r="177" spans="1:9" ht="12.95">
      <c r="A177" s="23"/>
      <c r="B177" s="23"/>
      <c r="C177" s="23"/>
      <c r="D177" s="23"/>
      <c r="E177" s="23"/>
      <c r="F177" s="24"/>
      <c r="G177" s="23"/>
      <c r="H177" s="23"/>
      <c r="I177" s="24"/>
    </row>
    <row r="178" spans="1:9" ht="12.95">
      <c r="A178" s="23"/>
      <c r="B178" s="23"/>
      <c r="C178" s="23"/>
      <c r="D178" s="23"/>
      <c r="E178" s="23"/>
      <c r="F178" s="24"/>
      <c r="G178" s="23"/>
      <c r="H178" s="23"/>
      <c r="I178" s="24"/>
    </row>
    <row r="179" spans="1:9" ht="12.95">
      <c r="A179" s="23"/>
      <c r="B179" s="23"/>
      <c r="C179" s="23"/>
      <c r="D179" s="23"/>
      <c r="E179" s="23"/>
      <c r="F179" s="24"/>
      <c r="G179" s="23"/>
      <c r="H179" s="23"/>
      <c r="I179" s="24"/>
    </row>
    <row r="180" spans="1:9" ht="12.95">
      <c r="A180" s="23"/>
      <c r="B180" s="23"/>
      <c r="C180" s="23"/>
      <c r="D180" s="23"/>
      <c r="E180" s="23"/>
      <c r="F180" s="24"/>
      <c r="G180" s="23"/>
      <c r="H180" s="23"/>
      <c r="I180" s="24"/>
    </row>
    <row r="181" spans="1:9" ht="12.95">
      <c r="A181" s="23"/>
      <c r="B181" s="23"/>
      <c r="C181" s="23"/>
      <c r="D181" s="23"/>
      <c r="E181" s="23"/>
      <c r="F181" s="24"/>
      <c r="G181" s="23"/>
      <c r="H181" s="23"/>
      <c r="I181" s="24"/>
    </row>
    <row r="182" spans="1:9" ht="12.95">
      <c r="A182" s="23"/>
      <c r="B182" s="23"/>
      <c r="C182" s="23"/>
      <c r="D182" s="23"/>
      <c r="E182" s="23"/>
      <c r="F182" s="24"/>
      <c r="G182" s="23"/>
      <c r="H182" s="23"/>
      <c r="I182" s="24"/>
    </row>
    <row r="183" spans="1:9" ht="12.95">
      <c r="A183" s="23"/>
      <c r="B183" s="23"/>
      <c r="C183" s="23"/>
      <c r="D183" s="23"/>
      <c r="E183" s="23"/>
      <c r="F183" s="24"/>
      <c r="G183" s="23"/>
      <c r="H183" s="23"/>
      <c r="I183" s="24"/>
    </row>
    <row r="184" spans="1:9" ht="12.95">
      <c r="A184" s="23"/>
      <c r="B184" s="23"/>
      <c r="C184" s="23"/>
      <c r="D184" s="23"/>
      <c r="E184" s="23"/>
      <c r="F184" s="24"/>
      <c r="G184" s="23"/>
      <c r="H184" s="23"/>
      <c r="I184" s="24"/>
    </row>
    <row r="185" spans="1:9" ht="12.95">
      <c r="A185" s="23"/>
      <c r="B185" s="23"/>
      <c r="C185" s="23"/>
      <c r="D185" s="23"/>
      <c r="E185" s="23"/>
      <c r="F185" s="24"/>
      <c r="G185" s="23"/>
      <c r="H185" s="23"/>
      <c r="I185" s="24"/>
    </row>
    <row r="186" spans="1:9" ht="12.95">
      <c r="A186" s="23"/>
      <c r="B186" s="23"/>
      <c r="C186" s="23"/>
      <c r="D186" s="23"/>
      <c r="E186" s="23"/>
      <c r="F186" s="24"/>
      <c r="G186" s="23"/>
      <c r="H186" s="23"/>
      <c r="I186" s="24"/>
    </row>
    <row r="187" spans="1:9" ht="12.95">
      <c r="A187" s="23"/>
      <c r="B187" s="23"/>
      <c r="C187" s="23"/>
      <c r="D187" s="23"/>
      <c r="E187" s="23"/>
      <c r="F187" s="24"/>
      <c r="G187" s="23"/>
      <c r="H187" s="23"/>
      <c r="I187" s="24"/>
    </row>
    <row r="188" spans="1:9" ht="12.95">
      <c r="A188" s="23"/>
      <c r="B188" s="23"/>
      <c r="C188" s="23"/>
      <c r="D188" s="23"/>
      <c r="E188" s="23"/>
      <c r="F188" s="24"/>
      <c r="G188" s="23"/>
      <c r="H188" s="23"/>
      <c r="I188" s="24"/>
    </row>
    <row r="189" spans="1:9" ht="12.95">
      <c r="A189" s="23"/>
      <c r="B189" s="23"/>
      <c r="C189" s="23"/>
      <c r="D189" s="23"/>
      <c r="E189" s="23"/>
      <c r="F189" s="24"/>
      <c r="G189" s="23"/>
      <c r="H189" s="23"/>
      <c r="I189" s="24"/>
    </row>
    <row r="190" spans="1:9" ht="12.95">
      <c r="A190" s="23"/>
      <c r="B190" s="23"/>
      <c r="C190" s="23"/>
      <c r="D190" s="23"/>
      <c r="E190" s="23"/>
      <c r="F190" s="24"/>
      <c r="G190" s="23"/>
      <c r="H190" s="23"/>
      <c r="I190" s="24"/>
    </row>
    <row r="191" spans="1:9" ht="12.95">
      <c r="A191" s="23"/>
      <c r="B191" s="23"/>
      <c r="C191" s="23"/>
      <c r="D191" s="23"/>
      <c r="E191" s="23"/>
      <c r="F191" s="24"/>
      <c r="G191" s="23"/>
      <c r="H191" s="23"/>
      <c r="I191" s="24"/>
    </row>
    <row r="192" spans="1:9" ht="12.95">
      <c r="A192" s="23"/>
      <c r="B192" s="23"/>
      <c r="C192" s="23"/>
      <c r="D192" s="23"/>
      <c r="E192" s="23"/>
      <c r="F192" s="24"/>
      <c r="G192" s="23"/>
      <c r="H192" s="23"/>
      <c r="I192" s="24"/>
    </row>
    <row r="193" spans="1:9" ht="12.95">
      <c r="A193" s="23"/>
      <c r="B193" s="23"/>
      <c r="C193" s="23"/>
      <c r="D193" s="23"/>
      <c r="E193" s="23"/>
      <c r="F193" s="24"/>
      <c r="G193" s="23"/>
      <c r="H193" s="23"/>
      <c r="I193" s="24"/>
    </row>
    <row r="194" spans="1:9" ht="12.95">
      <c r="A194" s="23"/>
      <c r="B194" s="23"/>
      <c r="C194" s="23"/>
      <c r="D194" s="23"/>
      <c r="E194" s="23"/>
      <c r="F194" s="24"/>
      <c r="G194" s="23"/>
      <c r="H194" s="23"/>
      <c r="I194" s="24"/>
    </row>
    <row r="195" spans="1:9" ht="12.95">
      <c r="A195" s="23"/>
      <c r="B195" s="23"/>
      <c r="C195" s="23"/>
      <c r="D195" s="23"/>
      <c r="E195" s="23"/>
      <c r="F195" s="24"/>
      <c r="G195" s="23"/>
      <c r="H195" s="23"/>
      <c r="I195" s="24"/>
    </row>
    <row r="196" spans="1:9" ht="12.95">
      <c r="A196" s="23"/>
      <c r="B196" s="23"/>
      <c r="C196" s="23"/>
      <c r="D196" s="23"/>
      <c r="E196" s="23"/>
      <c r="F196" s="24"/>
      <c r="G196" s="23"/>
      <c r="H196" s="23"/>
      <c r="I196" s="24"/>
    </row>
    <row r="197" spans="1:9" ht="12.95">
      <c r="A197" s="23"/>
      <c r="B197" s="23"/>
      <c r="C197" s="23"/>
      <c r="D197" s="23"/>
      <c r="E197" s="23"/>
      <c r="F197" s="24"/>
      <c r="G197" s="23"/>
      <c r="H197" s="23"/>
      <c r="I197" s="24"/>
    </row>
    <row r="198" spans="1:9" ht="12.95">
      <c r="A198" s="23"/>
      <c r="B198" s="23"/>
      <c r="C198" s="23"/>
      <c r="D198" s="23"/>
      <c r="E198" s="23"/>
      <c r="F198" s="24"/>
      <c r="G198" s="23"/>
      <c r="H198" s="23"/>
      <c r="I198" s="24"/>
    </row>
    <row r="199" spans="1:9" ht="12.95">
      <c r="A199" s="23"/>
      <c r="B199" s="23"/>
      <c r="C199" s="23"/>
      <c r="D199" s="23"/>
      <c r="E199" s="23"/>
      <c r="F199" s="24"/>
      <c r="G199" s="23"/>
      <c r="H199" s="23"/>
      <c r="I199" s="24"/>
    </row>
    <row r="200" spans="1:9" ht="12.95">
      <c r="A200" s="23"/>
      <c r="B200" s="23"/>
      <c r="C200" s="23"/>
      <c r="D200" s="23"/>
      <c r="E200" s="23"/>
      <c r="F200" s="24"/>
      <c r="G200" s="23"/>
      <c r="H200" s="23"/>
      <c r="I200" s="24"/>
    </row>
    <row r="201" spans="1:9" ht="12.95">
      <c r="A201" s="23"/>
      <c r="B201" s="23"/>
      <c r="C201" s="23"/>
      <c r="D201" s="23"/>
      <c r="E201" s="23"/>
      <c r="F201" s="24"/>
      <c r="G201" s="23"/>
      <c r="H201" s="23"/>
      <c r="I201" s="24"/>
    </row>
    <row r="202" spans="1:9" ht="12.95">
      <c r="A202" s="23"/>
      <c r="B202" s="23"/>
      <c r="C202" s="23"/>
      <c r="D202" s="23"/>
      <c r="E202" s="23"/>
      <c r="F202" s="24"/>
      <c r="G202" s="23"/>
      <c r="H202" s="23"/>
      <c r="I202" s="24"/>
    </row>
    <row r="203" spans="1:9" ht="12.95">
      <c r="A203" s="23"/>
      <c r="B203" s="23"/>
      <c r="C203" s="23"/>
      <c r="D203" s="23"/>
      <c r="E203" s="23"/>
      <c r="F203" s="24"/>
      <c r="G203" s="23"/>
      <c r="H203" s="23"/>
      <c r="I203" s="24"/>
    </row>
    <row r="204" spans="1:9" ht="12.95">
      <c r="A204" s="23"/>
      <c r="B204" s="23"/>
      <c r="C204" s="23"/>
      <c r="D204" s="23"/>
      <c r="E204" s="23"/>
      <c r="F204" s="24"/>
      <c r="G204" s="23"/>
      <c r="H204" s="23"/>
      <c r="I204" s="24"/>
    </row>
    <row r="205" spans="1:9" ht="12.95">
      <c r="A205" s="23"/>
      <c r="B205" s="23"/>
      <c r="C205" s="23"/>
      <c r="D205" s="23"/>
      <c r="E205" s="23"/>
      <c r="F205" s="24"/>
      <c r="G205" s="23"/>
      <c r="H205" s="23"/>
      <c r="I205" s="24"/>
    </row>
    <row r="206" spans="1:9" ht="12.95">
      <c r="A206" s="23"/>
      <c r="B206" s="23"/>
      <c r="C206" s="23"/>
      <c r="D206" s="23"/>
      <c r="E206" s="23"/>
      <c r="F206" s="24"/>
      <c r="G206" s="23"/>
      <c r="H206" s="23"/>
      <c r="I206" s="24"/>
    </row>
    <row r="207" spans="1:9" ht="12.95">
      <c r="A207" s="23"/>
      <c r="B207" s="23"/>
      <c r="C207" s="23"/>
      <c r="D207" s="23"/>
      <c r="E207" s="23"/>
      <c r="F207" s="24"/>
      <c r="G207" s="23"/>
      <c r="H207" s="23"/>
      <c r="I207" s="24"/>
    </row>
    <row r="208" spans="1:9" ht="12.95">
      <c r="A208" s="23"/>
      <c r="B208" s="23"/>
      <c r="C208" s="23"/>
      <c r="D208" s="23"/>
      <c r="E208" s="23"/>
      <c r="F208" s="24"/>
      <c r="G208" s="23"/>
      <c r="H208" s="23"/>
      <c r="I208" s="24"/>
    </row>
    <row r="209" spans="1:9" ht="12.95">
      <c r="A209" s="23"/>
      <c r="B209" s="23"/>
      <c r="C209" s="23"/>
      <c r="D209" s="23"/>
      <c r="E209" s="23"/>
      <c r="F209" s="24"/>
      <c r="G209" s="23"/>
      <c r="H209" s="23"/>
      <c r="I209" s="24"/>
    </row>
    <row r="210" spans="1:9" ht="12.95">
      <c r="A210" s="23"/>
      <c r="B210" s="23"/>
      <c r="C210" s="23"/>
      <c r="D210" s="23"/>
      <c r="E210" s="23"/>
      <c r="F210" s="24"/>
      <c r="G210" s="23"/>
      <c r="H210" s="23"/>
      <c r="I210" s="24"/>
    </row>
    <row r="211" spans="1:9" ht="12.95">
      <c r="A211" s="23"/>
      <c r="B211" s="23"/>
      <c r="C211" s="23"/>
      <c r="D211" s="23"/>
      <c r="E211" s="23"/>
      <c r="F211" s="24"/>
      <c r="G211" s="23"/>
      <c r="H211" s="23"/>
      <c r="I211" s="24"/>
    </row>
    <row r="212" spans="1:9" ht="12.95">
      <c r="A212" s="23"/>
      <c r="B212" s="23"/>
      <c r="C212" s="23"/>
      <c r="D212" s="23"/>
      <c r="E212" s="23"/>
      <c r="F212" s="24"/>
      <c r="G212" s="23"/>
      <c r="H212" s="23"/>
      <c r="I212" s="24"/>
    </row>
    <row r="213" spans="1:9" ht="12.95">
      <c r="A213" s="23"/>
      <c r="B213" s="23"/>
      <c r="C213" s="23"/>
      <c r="D213" s="23"/>
      <c r="E213" s="23"/>
      <c r="F213" s="24"/>
      <c r="G213" s="23"/>
      <c r="H213" s="23"/>
      <c r="I213" s="24"/>
    </row>
    <row r="214" spans="1:9" ht="12.95">
      <c r="A214" s="23"/>
      <c r="B214" s="23"/>
      <c r="C214" s="23"/>
      <c r="D214" s="23"/>
      <c r="E214" s="23"/>
      <c r="F214" s="24"/>
      <c r="G214" s="23"/>
      <c r="H214" s="23"/>
      <c r="I214" s="24"/>
    </row>
    <row r="215" spans="1:9" ht="12.95">
      <c r="A215" s="23"/>
      <c r="B215" s="23"/>
      <c r="C215" s="23"/>
      <c r="D215" s="23"/>
      <c r="E215" s="23"/>
      <c r="F215" s="24"/>
      <c r="G215" s="23"/>
      <c r="H215" s="23"/>
      <c r="I215" s="24"/>
    </row>
    <row r="216" spans="1:9" ht="12.95">
      <c r="A216" s="23"/>
      <c r="B216" s="23"/>
      <c r="C216" s="23"/>
      <c r="D216" s="23"/>
      <c r="E216" s="23"/>
      <c r="F216" s="24"/>
      <c r="G216" s="23"/>
      <c r="H216" s="23"/>
      <c r="I216" s="24"/>
    </row>
    <row r="217" spans="1:9" ht="12.95">
      <c r="A217" s="23"/>
      <c r="B217" s="23"/>
      <c r="C217" s="23"/>
      <c r="D217" s="23"/>
      <c r="E217" s="23"/>
      <c r="F217" s="24"/>
      <c r="G217" s="23"/>
      <c r="H217" s="23"/>
      <c r="I217" s="24"/>
    </row>
    <row r="218" spans="1:9" ht="12.95">
      <c r="A218" s="23"/>
      <c r="B218" s="23"/>
      <c r="C218" s="23"/>
      <c r="D218" s="23"/>
      <c r="E218" s="23"/>
      <c r="F218" s="24"/>
      <c r="G218" s="23"/>
      <c r="H218" s="23"/>
      <c r="I218" s="24"/>
    </row>
    <row r="219" spans="1:9" ht="12.95">
      <c r="A219" s="23"/>
      <c r="B219" s="23"/>
      <c r="C219" s="23"/>
      <c r="D219" s="23"/>
      <c r="E219" s="23"/>
      <c r="F219" s="24"/>
      <c r="G219" s="23"/>
      <c r="H219" s="23"/>
      <c r="I219" s="24"/>
    </row>
    <row r="220" spans="1:9" ht="12.95">
      <c r="A220" s="23"/>
      <c r="B220" s="23"/>
      <c r="C220" s="23"/>
      <c r="D220" s="23"/>
      <c r="E220" s="23"/>
      <c r="F220" s="24"/>
      <c r="G220" s="23"/>
      <c r="H220" s="23"/>
      <c r="I220" s="24"/>
    </row>
    <row r="221" spans="1:9" ht="12.95">
      <c r="A221" s="23"/>
      <c r="B221" s="23"/>
      <c r="C221" s="23"/>
      <c r="D221" s="23"/>
      <c r="E221" s="23"/>
      <c r="F221" s="24"/>
      <c r="G221" s="23"/>
      <c r="H221" s="23"/>
      <c r="I221" s="24"/>
    </row>
    <row r="222" spans="1:9" ht="12.95">
      <c r="A222" s="23"/>
      <c r="B222" s="23"/>
      <c r="C222" s="23"/>
      <c r="D222" s="23"/>
      <c r="E222" s="23"/>
      <c r="F222" s="24"/>
      <c r="G222" s="23"/>
      <c r="H222" s="23"/>
      <c r="I222" s="24"/>
    </row>
    <row r="223" spans="1:9" ht="12.95">
      <c r="A223" s="23"/>
      <c r="B223" s="23"/>
      <c r="C223" s="23"/>
      <c r="D223" s="23"/>
      <c r="E223" s="23"/>
      <c r="F223" s="24"/>
      <c r="G223" s="23"/>
      <c r="H223" s="23"/>
      <c r="I223" s="24"/>
    </row>
    <row r="224" spans="1:9" ht="12.95">
      <c r="A224" s="23"/>
      <c r="B224" s="23"/>
      <c r="C224" s="23"/>
      <c r="D224" s="23"/>
      <c r="E224" s="23"/>
      <c r="F224" s="24"/>
      <c r="G224" s="23"/>
      <c r="H224" s="23"/>
      <c r="I224" s="24"/>
    </row>
    <row r="225" spans="1:9" ht="12.95">
      <c r="A225" s="23"/>
      <c r="B225" s="23"/>
      <c r="C225" s="23"/>
      <c r="D225" s="23"/>
      <c r="E225" s="23"/>
      <c r="F225" s="24"/>
      <c r="G225" s="23"/>
      <c r="H225" s="23"/>
      <c r="I225" s="24"/>
    </row>
    <row r="226" spans="1:9" ht="12.95">
      <c r="A226" s="23"/>
      <c r="B226" s="23"/>
      <c r="C226" s="23"/>
      <c r="D226" s="23"/>
      <c r="E226" s="23"/>
      <c r="F226" s="24"/>
      <c r="G226" s="23"/>
      <c r="H226" s="23"/>
      <c r="I226" s="24"/>
    </row>
    <row r="227" spans="1:9" ht="12.95">
      <c r="A227" s="23"/>
      <c r="B227" s="23"/>
      <c r="C227" s="23"/>
      <c r="D227" s="23"/>
      <c r="E227" s="23"/>
      <c r="F227" s="24"/>
      <c r="G227" s="23"/>
      <c r="H227" s="23"/>
      <c r="I227" s="24"/>
    </row>
    <row r="228" spans="1:9" ht="12.95">
      <c r="A228" s="23"/>
      <c r="B228" s="23"/>
      <c r="C228" s="23"/>
      <c r="D228" s="23"/>
      <c r="E228" s="23"/>
      <c r="F228" s="24"/>
      <c r="G228" s="23"/>
      <c r="H228" s="23"/>
      <c r="I228" s="24"/>
    </row>
    <row r="229" spans="1:9" ht="12.95">
      <c r="A229" s="23"/>
      <c r="B229" s="23"/>
      <c r="C229" s="23"/>
      <c r="D229" s="23"/>
      <c r="E229" s="23"/>
      <c r="F229" s="24"/>
      <c r="G229" s="23"/>
      <c r="H229" s="23"/>
      <c r="I229" s="24"/>
    </row>
    <row r="230" spans="1:9" ht="12.95">
      <c r="A230" s="23"/>
      <c r="B230" s="23"/>
      <c r="C230" s="23"/>
      <c r="D230" s="23"/>
      <c r="E230" s="23"/>
      <c r="F230" s="24"/>
      <c r="G230" s="23"/>
      <c r="H230" s="23"/>
      <c r="I230" s="24"/>
    </row>
    <row r="231" spans="1:9" ht="12.95">
      <c r="A231" s="23"/>
      <c r="B231" s="23"/>
      <c r="C231" s="23"/>
      <c r="D231" s="23"/>
      <c r="E231" s="23"/>
      <c r="F231" s="24"/>
      <c r="G231" s="23"/>
      <c r="H231" s="23"/>
      <c r="I231" s="24"/>
    </row>
    <row r="232" spans="1:9" ht="12.95">
      <c r="A232" s="23"/>
      <c r="B232" s="23"/>
      <c r="C232" s="23"/>
      <c r="D232" s="23"/>
      <c r="E232" s="23"/>
      <c r="F232" s="24"/>
      <c r="G232" s="23"/>
      <c r="H232" s="23"/>
      <c r="I232" s="24"/>
    </row>
    <row r="233" spans="1:9" ht="12.95">
      <c r="A233" s="23"/>
      <c r="B233" s="23"/>
      <c r="C233" s="23"/>
      <c r="D233" s="23"/>
      <c r="E233" s="23"/>
      <c r="F233" s="24"/>
      <c r="G233" s="23"/>
      <c r="H233" s="23"/>
      <c r="I233" s="24"/>
    </row>
    <row r="234" spans="1:9" ht="12.95">
      <c r="A234" s="23"/>
      <c r="B234" s="23"/>
      <c r="C234" s="23"/>
      <c r="D234" s="23"/>
      <c r="E234" s="23"/>
      <c r="F234" s="24"/>
      <c r="G234" s="23"/>
      <c r="H234" s="23"/>
      <c r="I234" s="24"/>
    </row>
    <row r="235" spans="1:9" ht="12.95">
      <c r="A235" s="23"/>
      <c r="B235" s="23"/>
      <c r="C235" s="23"/>
      <c r="D235" s="23"/>
      <c r="E235" s="23"/>
      <c r="F235" s="24"/>
      <c r="G235" s="23"/>
      <c r="H235" s="23"/>
      <c r="I235" s="24"/>
    </row>
    <row r="236" spans="1:9" ht="12.95">
      <c r="A236" s="23"/>
      <c r="B236" s="23"/>
      <c r="C236" s="23"/>
      <c r="D236" s="23"/>
      <c r="E236" s="23"/>
      <c r="F236" s="24"/>
      <c r="G236" s="23"/>
      <c r="H236" s="23"/>
      <c r="I236" s="24"/>
    </row>
    <row r="237" spans="1:9" ht="12.95">
      <c r="A237" s="23"/>
      <c r="B237" s="23"/>
      <c r="C237" s="23"/>
      <c r="D237" s="23"/>
      <c r="E237" s="23"/>
      <c r="F237" s="24"/>
      <c r="G237" s="23"/>
      <c r="H237" s="23"/>
      <c r="I237" s="24"/>
    </row>
    <row r="238" spans="1:9" ht="12.95">
      <c r="A238" s="23"/>
      <c r="B238" s="23"/>
      <c r="C238" s="23"/>
      <c r="D238" s="23"/>
      <c r="E238" s="23"/>
      <c r="F238" s="24"/>
      <c r="G238" s="23"/>
      <c r="H238" s="23"/>
      <c r="I238" s="24"/>
    </row>
    <row r="239" spans="1:9" ht="12.95">
      <c r="A239" s="23"/>
      <c r="B239" s="23"/>
      <c r="C239" s="23"/>
      <c r="D239" s="23"/>
      <c r="E239" s="23"/>
      <c r="F239" s="24"/>
      <c r="G239" s="23"/>
      <c r="H239" s="23"/>
      <c r="I239" s="24"/>
    </row>
    <row r="240" spans="1:9" ht="12.95">
      <c r="A240" s="23"/>
      <c r="B240" s="23"/>
      <c r="C240" s="23"/>
      <c r="D240" s="23"/>
      <c r="E240" s="23"/>
      <c r="F240" s="24"/>
      <c r="G240" s="23"/>
      <c r="H240" s="23"/>
      <c r="I240" s="24"/>
    </row>
    <row r="241" spans="1:9" ht="12.95">
      <c r="A241" s="23"/>
      <c r="B241" s="23"/>
      <c r="C241" s="23"/>
      <c r="D241" s="23"/>
      <c r="E241" s="23"/>
      <c r="F241" s="24"/>
      <c r="G241" s="23"/>
      <c r="H241" s="23"/>
      <c r="I241" s="24"/>
    </row>
    <row r="242" spans="1:9" ht="12.95">
      <c r="A242" s="23"/>
      <c r="B242" s="23"/>
      <c r="C242" s="23"/>
      <c r="D242" s="23"/>
      <c r="E242" s="23"/>
      <c r="F242" s="24"/>
      <c r="G242" s="23"/>
      <c r="H242" s="23"/>
      <c r="I242" s="24"/>
    </row>
    <row r="243" spans="1:9" ht="12.95">
      <c r="A243" s="23"/>
      <c r="B243" s="23"/>
      <c r="C243" s="23"/>
      <c r="D243" s="23"/>
      <c r="E243" s="23"/>
      <c r="F243" s="24"/>
      <c r="G243" s="23"/>
      <c r="H243" s="23"/>
      <c r="I243" s="24"/>
    </row>
    <row r="244" spans="1:9" ht="12.95">
      <c r="A244" s="23"/>
      <c r="B244" s="23"/>
      <c r="C244" s="23"/>
      <c r="D244" s="23"/>
      <c r="E244" s="23"/>
      <c r="F244" s="24"/>
      <c r="G244" s="23"/>
      <c r="H244" s="23"/>
      <c r="I244" s="24"/>
    </row>
    <row r="245" spans="1:9" ht="12.95">
      <c r="A245" s="23"/>
      <c r="B245" s="23"/>
      <c r="C245" s="23"/>
      <c r="D245" s="23"/>
      <c r="E245" s="23"/>
      <c r="F245" s="24"/>
      <c r="G245" s="23"/>
      <c r="H245" s="23"/>
      <c r="I245" s="24"/>
    </row>
    <row r="246" spans="1:9" ht="12.95">
      <c r="A246" s="23"/>
      <c r="B246" s="23"/>
      <c r="C246" s="23"/>
      <c r="D246" s="23"/>
      <c r="E246" s="23"/>
      <c r="F246" s="24"/>
      <c r="G246" s="23"/>
      <c r="H246" s="23"/>
      <c r="I246" s="24"/>
    </row>
    <row r="247" spans="1:9" ht="12.95">
      <c r="A247" s="23"/>
      <c r="B247" s="23"/>
      <c r="C247" s="23"/>
      <c r="D247" s="23"/>
      <c r="E247" s="23"/>
      <c r="F247" s="24"/>
      <c r="G247" s="23"/>
      <c r="H247" s="23"/>
      <c r="I247" s="24"/>
    </row>
    <row r="248" spans="1:9" ht="12.95">
      <c r="A248" s="23"/>
      <c r="B248" s="23"/>
      <c r="C248" s="23"/>
      <c r="D248" s="23"/>
      <c r="E248" s="23"/>
      <c r="F248" s="24"/>
      <c r="G248" s="23"/>
      <c r="H248" s="23"/>
      <c r="I248" s="24"/>
    </row>
    <row r="249" spans="1:9" ht="12.95">
      <c r="A249" s="23"/>
      <c r="B249" s="23"/>
      <c r="C249" s="23"/>
      <c r="D249" s="23"/>
      <c r="E249" s="23"/>
      <c r="F249" s="24"/>
      <c r="G249" s="23"/>
      <c r="H249" s="23"/>
      <c r="I249" s="24"/>
    </row>
    <row r="250" spans="1:9" ht="12.95">
      <c r="A250" s="23"/>
      <c r="B250" s="23"/>
      <c r="C250" s="23"/>
      <c r="D250" s="23"/>
      <c r="E250" s="23"/>
      <c r="F250" s="24"/>
      <c r="G250" s="23"/>
      <c r="H250" s="23"/>
      <c r="I250" s="24"/>
    </row>
    <row r="251" spans="1:9" ht="12.95">
      <c r="A251" s="23"/>
      <c r="B251" s="23"/>
      <c r="C251" s="23"/>
      <c r="D251" s="23"/>
      <c r="E251" s="23"/>
      <c r="F251" s="24"/>
      <c r="G251" s="23"/>
      <c r="H251" s="23"/>
      <c r="I251" s="24"/>
    </row>
    <row r="252" spans="1:9" ht="12.95">
      <c r="A252" s="23"/>
      <c r="B252" s="23"/>
      <c r="C252" s="23"/>
      <c r="D252" s="23"/>
      <c r="E252" s="23"/>
      <c r="F252" s="24"/>
      <c r="G252" s="23"/>
      <c r="H252" s="23"/>
      <c r="I252" s="24"/>
    </row>
    <row r="253" spans="1:9" ht="12.95">
      <c r="A253" s="23"/>
      <c r="B253" s="23"/>
      <c r="C253" s="23"/>
      <c r="D253" s="23"/>
      <c r="E253" s="23"/>
      <c r="F253" s="24"/>
      <c r="G253" s="23"/>
      <c r="H253" s="23"/>
      <c r="I253" s="24"/>
    </row>
    <row r="254" spans="1:9" ht="12.95">
      <c r="A254" s="23"/>
      <c r="B254" s="23"/>
      <c r="C254" s="23"/>
      <c r="D254" s="23"/>
      <c r="E254" s="23"/>
      <c r="F254" s="24"/>
      <c r="G254" s="23"/>
      <c r="H254" s="23"/>
      <c r="I254" s="24"/>
    </row>
    <row r="255" spans="1:9" ht="12.95">
      <c r="A255" s="23"/>
      <c r="B255" s="23"/>
      <c r="C255" s="23"/>
      <c r="D255" s="23"/>
      <c r="E255" s="23"/>
      <c r="F255" s="24"/>
      <c r="G255" s="23"/>
      <c r="H255" s="23"/>
      <c r="I255" s="24"/>
    </row>
    <row r="256" spans="1:9" ht="12.95">
      <c r="A256" s="23"/>
      <c r="B256" s="23"/>
      <c r="C256" s="23"/>
      <c r="D256" s="23"/>
      <c r="E256" s="23"/>
      <c r="F256" s="24"/>
      <c r="G256" s="23"/>
      <c r="H256" s="23"/>
      <c r="I256" s="24"/>
    </row>
    <row r="257" spans="1:9" ht="12.95">
      <c r="A257" s="23"/>
      <c r="B257" s="23"/>
      <c r="C257" s="23"/>
      <c r="D257" s="23"/>
      <c r="E257" s="23"/>
      <c r="F257" s="24"/>
      <c r="G257" s="23"/>
      <c r="H257" s="23"/>
      <c r="I257" s="24"/>
    </row>
    <row r="258" spans="1:9" ht="12.95">
      <c r="A258" s="23"/>
      <c r="B258" s="23"/>
      <c r="C258" s="23"/>
      <c r="D258" s="23"/>
      <c r="E258" s="23"/>
      <c r="F258" s="24"/>
      <c r="G258" s="23"/>
      <c r="H258" s="23"/>
      <c r="I258" s="24"/>
    </row>
    <row r="259" spans="1:9" ht="12.95">
      <c r="A259" s="23"/>
      <c r="B259" s="23"/>
      <c r="C259" s="23"/>
      <c r="D259" s="23"/>
      <c r="E259" s="23"/>
      <c r="F259" s="24"/>
      <c r="G259" s="23"/>
      <c r="H259" s="23"/>
      <c r="I259" s="24"/>
    </row>
    <row r="260" spans="1:9" ht="12.95">
      <c r="A260" s="23"/>
      <c r="B260" s="23"/>
      <c r="C260" s="23"/>
      <c r="D260" s="23"/>
      <c r="E260" s="23"/>
      <c r="F260" s="24"/>
      <c r="G260" s="23"/>
      <c r="H260" s="23"/>
      <c r="I260" s="24"/>
    </row>
    <row r="261" spans="1:9" ht="12.95">
      <c r="A261" s="23"/>
      <c r="B261" s="23"/>
      <c r="C261" s="23"/>
      <c r="D261" s="23"/>
      <c r="E261" s="23"/>
      <c r="F261" s="24"/>
      <c r="G261" s="23"/>
      <c r="H261" s="23"/>
      <c r="I261" s="24"/>
    </row>
    <row r="262" spans="1:9" ht="12.95">
      <c r="A262" s="23"/>
      <c r="B262" s="23"/>
      <c r="C262" s="23"/>
      <c r="D262" s="23"/>
      <c r="E262" s="23"/>
      <c r="F262" s="24"/>
      <c r="G262" s="23"/>
      <c r="H262" s="23"/>
      <c r="I262" s="24"/>
    </row>
    <row r="263" spans="1:9" ht="12.95">
      <c r="A263" s="23"/>
      <c r="B263" s="23"/>
      <c r="C263" s="23"/>
      <c r="D263" s="23"/>
      <c r="E263" s="23"/>
      <c r="F263" s="24"/>
      <c r="G263" s="23"/>
      <c r="H263" s="23"/>
      <c r="I263" s="24"/>
    </row>
    <row r="264" spans="1:9" ht="12.95">
      <c r="A264" s="23"/>
      <c r="B264" s="23"/>
      <c r="C264" s="23"/>
      <c r="D264" s="23"/>
      <c r="E264" s="23"/>
      <c r="F264" s="24"/>
      <c r="G264" s="23"/>
      <c r="H264" s="23"/>
      <c r="I264" s="24"/>
    </row>
    <row r="265" spans="1:9" ht="12.95">
      <c r="A265" s="23"/>
      <c r="B265" s="23"/>
      <c r="C265" s="23"/>
      <c r="D265" s="23"/>
      <c r="E265" s="23"/>
      <c r="F265" s="24"/>
      <c r="G265" s="23"/>
      <c r="H265" s="23"/>
      <c r="I265" s="24"/>
    </row>
    <row r="266" spans="1:9" ht="12.95">
      <c r="A266" s="23"/>
      <c r="B266" s="23"/>
      <c r="C266" s="23"/>
      <c r="D266" s="23"/>
      <c r="E266" s="23"/>
      <c r="F266" s="24"/>
      <c r="G266" s="23"/>
      <c r="H266" s="23"/>
      <c r="I266" s="24"/>
    </row>
    <row r="267" spans="1:9" ht="12.95">
      <c r="A267" s="23"/>
      <c r="B267" s="23"/>
      <c r="C267" s="23"/>
      <c r="D267" s="23"/>
      <c r="E267" s="23"/>
      <c r="F267" s="24"/>
      <c r="G267" s="23"/>
      <c r="H267" s="23"/>
      <c r="I267" s="24"/>
    </row>
    <row r="268" spans="1:9" ht="12.95">
      <c r="A268" s="23"/>
      <c r="B268" s="23"/>
      <c r="C268" s="23"/>
      <c r="D268" s="23"/>
      <c r="E268" s="23"/>
      <c r="F268" s="24"/>
      <c r="G268" s="23"/>
      <c r="H268" s="23"/>
      <c r="I268" s="24"/>
    </row>
    <row r="269" spans="1:9" ht="12.95">
      <c r="A269" s="23"/>
      <c r="B269" s="23"/>
      <c r="C269" s="23"/>
      <c r="D269" s="23"/>
      <c r="E269" s="23"/>
      <c r="F269" s="24"/>
      <c r="G269" s="23"/>
      <c r="H269" s="23"/>
      <c r="I269" s="24"/>
    </row>
    <row r="270" spans="1:9" ht="12.95">
      <c r="A270" s="23"/>
      <c r="B270" s="23"/>
      <c r="C270" s="23"/>
      <c r="D270" s="23"/>
      <c r="E270" s="23"/>
      <c r="F270" s="24"/>
      <c r="G270" s="23"/>
      <c r="H270" s="23"/>
      <c r="I270" s="24"/>
    </row>
    <row r="271" spans="1:9" ht="12.95">
      <c r="A271" s="23"/>
      <c r="B271" s="23"/>
      <c r="C271" s="23"/>
      <c r="D271" s="23"/>
      <c r="E271" s="23"/>
      <c r="F271" s="24"/>
      <c r="G271" s="23"/>
      <c r="H271" s="23"/>
      <c r="I271" s="24"/>
    </row>
    <row r="272" spans="1:9" ht="12.95">
      <c r="A272" s="23"/>
      <c r="B272" s="23"/>
      <c r="C272" s="23"/>
      <c r="D272" s="23"/>
      <c r="E272" s="23"/>
      <c r="F272" s="24"/>
      <c r="G272" s="23"/>
      <c r="H272" s="23"/>
      <c r="I272" s="24"/>
    </row>
    <row r="273" spans="1:9" ht="12.95">
      <c r="A273" s="23"/>
      <c r="B273" s="23"/>
      <c r="C273" s="23"/>
      <c r="D273" s="23"/>
      <c r="E273" s="23"/>
      <c r="F273" s="24"/>
      <c r="G273" s="23"/>
      <c r="H273" s="23"/>
      <c r="I273" s="24"/>
    </row>
    <row r="274" spans="1:9" ht="12.95">
      <c r="A274" s="23"/>
      <c r="B274" s="23"/>
      <c r="C274" s="23"/>
      <c r="D274" s="23"/>
      <c r="E274" s="23"/>
      <c r="F274" s="24"/>
      <c r="G274" s="23"/>
      <c r="H274" s="23"/>
      <c r="I274" s="24"/>
    </row>
    <row r="275" spans="1:9" ht="12.95">
      <c r="A275" s="23"/>
      <c r="B275" s="23"/>
      <c r="C275" s="23"/>
      <c r="D275" s="23"/>
      <c r="E275" s="23"/>
      <c r="F275" s="24"/>
      <c r="G275" s="23"/>
      <c r="H275" s="23"/>
      <c r="I275" s="24"/>
    </row>
    <row r="276" spans="1:9" ht="12.95">
      <c r="A276" s="23"/>
      <c r="B276" s="23"/>
      <c r="C276" s="23"/>
      <c r="D276" s="23"/>
      <c r="E276" s="23"/>
      <c r="F276" s="24"/>
      <c r="G276" s="23"/>
      <c r="H276" s="23"/>
      <c r="I276" s="24"/>
    </row>
    <row r="277" spans="1:9" ht="12.95">
      <c r="A277" s="23"/>
      <c r="B277" s="23"/>
      <c r="C277" s="23"/>
      <c r="D277" s="23"/>
      <c r="E277" s="23"/>
      <c r="F277" s="24"/>
      <c r="G277" s="23"/>
      <c r="H277" s="23"/>
      <c r="I277" s="24"/>
    </row>
    <row r="278" spans="1:9" ht="12.95">
      <c r="A278" s="23"/>
      <c r="B278" s="23"/>
      <c r="C278" s="23"/>
      <c r="D278" s="23"/>
      <c r="E278" s="23"/>
      <c r="F278" s="24"/>
      <c r="G278" s="23"/>
      <c r="H278" s="23"/>
      <c r="I278" s="24"/>
    </row>
    <row r="279" spans="1:9" ht="12.95">
      <c r="A279" s="23"/>
      <c r="B279" s="23"/>
      <c r="C279" s="23"/>
      <c r="D279" s="23"/>
      <c r="E279" s="23"/>
      <c r="F279" s="24"/>
      <c r="G279" s="23"/>
      <c r="H279" s="23"/>
      <c r="I279" s="24"/>
    </row>
    <row r="280" spans="1:9" ht="12.95">
      <c r="A280" s="23"/>
      <c r="B280" s="23"/>
      <c r="C280" s="23"/>
      <c r="D280" s="23"/>
      <c r="E280" s="23"/>
      <c r="F280" s="24"/>
      <c r="G280" s="23"/>
      <c r="H280" s="23"/>
      <c r="I280" s="24"/>
    </row>
    <row r="281" spans="1:9" ht="12.95">
      <c r="A281" s="23"/>
      <c r="B281" s="23"/>
      <c r="C281" s="23"/>
      <c r="D281" s="23"/>
      <c r="E281" s="23"/>
      <c r="F281" s="24"/>
      <c r="G281" s="23"/>
      <c r="H281" s="23"/>
      <c r="I281" s="24"/>
    </row>
    <row r="282" spans="1:9" ht="12.95">
      <c r="A282" s="23"/>
      <c r="B282" s="23"/>
      <c r="C282" s="23"/>
      <c r="D282" s="23"/>
      <c r="E282" s="23"/>
      <c r="F282" s="24"/>
      <c r="G282" s="23"/>
      <c r="H282" s="23"/>
      <c r="I282" s="24"/>
    </row>
    <row r="283" spans="1:9" ht="12.95">
      <c r="A283" s="23"/>
      <c r="B283" s="23"/>
      <c r="C283" s="23"/>
      <c r="D283" s="23"/>
      <c r="E283" s="23"/>
      <c r="F283" s="24"/>
      <c r="G283" s="23"/>
      <c r="H283" s="23"/>
      <c r="I283" s="24"/>
    </row>
    <row r="284" spans="1:9" ht="12.95">
      <c r="A284" s="23"/>
      <c r="B284" s="23"/>
      <c r="C284" s="23"/>
      <c r="D284" s="23"/>
      <c r="E284" s="23"/>
      <c r="F284" s="24"/>
      <c r="G284" s="23"/>
      <c r="H284" s="23"/>
      <c r="I284" s="24"/>
    </row>
    <row r="285" spans="1:9" ht="12.95">
      <c r="A285" s="23"/>
      <c r="B285" s="23"/>
      <c r="C285" s="23"/>
      <c r="D285" s="23"/>
      <c r="E285" s="23"/>
      <c r="F285" s="24"/>
      <c r="G285" s="23"/>
      <c r="H285" s="23"/>
      <c r="I285" s="24"/>
    </row>
    <row r="286" spans="1:9" ht="12.95">
      <c r="A286" s="23"/>
      <c r="B286" s="23"/>
      <c r="C286" s="23"/>
      <c r="D286" s="23"/>
      <c r="E286" s="23"/>
      <c r="F286" s="24"/>
      <c r="G286" s="23"/>
      <c r="H286" s="23"/>
      <c r="I286" s="24"/>
    </row>
    <row r="287" spans="1:9" ht="12.95">
      <c r="A287" s="23"/>
      <c r="B287" s="23"/>
      <c r="C287" s="23"/>
      <c r="D287" s="23"/>
      <c r="E287" s="23"/>
      <c r="F287" s="24"/>
      <c r="G287" s="23"/>
      <c r="H287" s="23"/>
      <c r="I287" s="24"/>
    </row>
    <row r="288" spans="1:9" ht="12.95">
      <c r="A288" s="23"/>
      <c r="B288" s="23"/>
      <c r="C288" s="23"/>
      <c r="D288" s="23"/>
      <c r="E288" s="23"/>
      <c r="F288" s="24"/>
      <c r="G288" s="23"/>
      <c r="H288" s="23"/>
      <c r="I288" s="24"/>
    </row>
    <row r="289" spans="1:9" ht="12.95">
      <c r="A289" s="23"/>
      <c r="B289" s="23"/>
      <c r="C289" s="23"/>
      <c r="D289" s="23"/>
      <c r="E289" s="23"/>
      <c r="F289" s="24"/>
      <c r="G289" s="23"/>
      <c r="H289" s="23"/>
      <c r="I289" s="24"/>
    </row>
    <row r="290" spans="1:9" ht="12.95">
      <c r="A290" s="23"/>
      <c r="B290" s="23"/>
      <c r="C290" s="23"/>
      <c r="D290" s="23"/>
      <c r="E290" s="23"/>
      <c r="F290" s="24"/>
      <c r="G290" s="23"/>
      <c r="H290" s="23"/>
      <c r="I290" s="24"/>
    </row>
    <row r="291" spans="1:9" ht="12.95">
      <c r="A291" s="23"/>
      <c r="B291" s="23"/>
      <c r="C291" s="23"/>
      <c r="D291" s="23"/>
      <c r="E291" s="23"/>
      <c r="F291" s="24"/>
      <c r="G291" s="23"/>
      <c r="H291" s="23"/>
      <c r="I291" s="24"/>
    </row>
    <row r="292" spans="1:9" ht="12.95">
      <c r="A292" s="23"/>
      <c r="B292" s="23"/>
      <c r="C292" s="23"/>
      <c r="D292" s="23"/>
      <c r="E292" s="23"/>
      <c r="F292" s="24"/>
      <c r="G292" s="23"/>
      <c r="H292" s="23"/>
      <c r="I292" s="24"/>
    </row>
    <row r="293" spans="1:9" ht="12.95">
      <c r="A293" s="23"/>
      <c r="B293" s="23"/>
      <c r="C293" s="23"/>
      <c r="D293" s="23"/>
      <c r="E293" s="23"/>
      <c r="F293" s="24"/>
      <c r="G293" s="23"/>
      <c r="H293" s="23"/>
      <c r="I293" s="24"/>
    </row>
    <row r="294" spans="1:9" ht="12.95">
      <c r="A294" s="23"/>
      <c r="B294" s="23"/>
      <c r="C294" s="23"/>
      <c r="D294" s="23"/>
      <c r="E294" s="23"/>
      <c r="F294" s="24"/>
      <c r="G294" s="23"/>
      <c r="H294" s="23"/>
      <c r="I294" s="24"/>
    </row>
    <row r="295" spans="1:9" ht="12.95">
      <c r="A295" s="23"/>
      <c r="B295" s="23"/>
      <c r="C295" s="23"/>
      <c r="D295" s="23"/>
      <c r="E295" s="23"/>
      <c r="F295" s="24"/>
      <c r="G295" s="23"/>
      <c r="H295" s="23"/>
      <c r="I295" s="24"/>
    </row>
    <row r="296" spans="1:9" ht="12.95">
      <c r="A296" s="23"/>
      <c r="B296" s="23"/>
      <c r="C296" s="23"/>
      <c r="D296" s="23"/>
      <c r="E296" s="23"/>
      <c r="F296" s="24"/>
      <c r="G296" s="23"/>
      <c r="H296" s="23"/>
      <c r="I296" s="24"/>
    </row>
    <row r="297" spans="1:9" ht="12.95">
      <c r="A297" s="23"/>
      <c r="B297" s="23"/>
      <c r="C297" s="23"/>
      <c r="D297" s="23"/>
      <c r="E297" s="23"/>
      <c r="F297" s="24"/>
      <c r="G297" s="23"/>
      <c r="H297" s="23"/>
      <c r="I297" s="24"/>
    </row>
    <row r="298" spans="1:9" ht="12.95">
      <c r="A298" s="23"/>
      <c r="B298" s="23"/>
      <c r="C298" s="23"/>
      <c r="D298" s="23"/>
      <c r="E298" s="23"/>
      <c r="F298" s="24"/>
      <c r="G298" s="23"/>
      <c r="H298" s="23"/>
      <c r="I298" s="24"/>
    </row>
    <row r="299" spans="1:9" ht="12.95">
      <c r="A299" s="23"/>
      <c r="B299" s="23"/>
      <c r="C299" s="23"/>
      <c r="D299" s="23"/>
      <c r="E299" s="23"/>
      <c r="F299" s="24"/>
      <c r="G299" s="23"/>
      <c r="H299" s="23"/>
      <c r="I299" s="24"/>
    </row>
    <row r="300" spans="1:9" ht="12.95">
      <c r="A300" s="23"/>
      <c r="B300" s="23"/>
      <c r="C300" s="23"/>
      <c r="D300" s="23"/>
      <c r="E300" s="23"/>
      <c r="F300" s="24"/>
      <c r="G300" s="23"/>
      <c r="H300" s="23"/>
      <c r="I300" s="24"/>
    </row>
    <row r="301" spans="1:9" ht="12.95">
      <c r="A301" s="23"/>
      <c r="B301" s="23"/>
      <c r="C301" s="23"/>
      <c r="D301" s="23"/>
      <c r="E301" s="23"/>
      <c r="F301" s="24"/>
      <c r="G301" s="23"/>
      <c r="H301" s="23"/>
      <c r="I301" s="24"/>
    </row>
    <row r="302" spans="1:9" ht="12.95">
      <c r="A302" s="23"/>
      <c r="B302" s="23"/>
      <c r="C302" s="23"/>
      <c r="D302" s="23"/>
      <c r="E302" s="23"/>
      <c r="F302" s="24"/>
      <c r="G302" s="23"/>
      <c r="H302" s="23"/>
      <c r="I302" s="24"/>
    </row>
    <row r="303" spans="1:9" ht="12.95">
      <c r="A303" s="23"/>
      <c r="B303" s="23"/>
      <c r="C303" s="23"/>
      <c r="D303" s="23"/>
      <c r="E303" s="23"/>
      <c r="F303" s="24"/>
      <c r="G303" s="23"/>
      <c r="H303" s="23"/>
      <c r="I303" s="24"/>
    </row>
    <row r="304" spans="1:9" ht="12.95">
      <c r="A304" s="23"/>
      <c r="B304" s="23"/>
      <c r="C304" s="23"/>
      <c r="D304" s="23"/>
      <c r="E304" s="23"/>
      <c r="F304" s="24"/>
      <c r="G304" s="23"/>
      <c r="H304" s="23"/>
      <c r="I304" s="24"/>
    </row>
    <row r="305" spans="1:9" ht="12.95">
      <c r="A305" s="23"/>
      <c r="B305" s="23"/>
      <c r="C305" s="23"/>
      <c r="D305" s="23"/>
      <c r="E305" s="23"/>
      <c r="F305" s="24"/>
      <c r="G305" s="23"/>
      <c r="H305" s="23"/>
      <c r="I305" s="24"/>
    </row>
    <row r="306" spans="1:9" ht="12.95">
      <c r="A306" s="23"/>
      <c r="B306" s="23"/>
      <c r="C306" s="23"/>
      <c r="D306" s="23"/>
      <c r="E306" s="23"/>
      <c r="F306" s="24"/>
      <c r="G306" s="23"/>
      <c r="H306" s="23"/>
      <c r="I306" s="24"/>
    </row>
    <row r="307" spans="1:9" ht="12.95">
      <c r="A307" s="23"/>
      <c r="B307" s="23"/>
      <c r="C307" s="23"/>
      <c r="D307" s="23"/>
      <c r="E307" s="23"/>
      <c r="F307" s="24"/>
      <c r="G307" s="23"/>
      <c r="H307" s="23"/>
      <c r="I307" s="24"/>
    </row>
    <row r="308" spans="1:9" ht="12.95">
      <c r="A308" s="23"/>
      <c r="B308" s="23"/>
      <c r="C308" s="23"/>
      <c r="D308" s="23"/>
      <c r="E308" s="23"/>
      <c r="F308" s="24"/>
      <c r="G308" s="23"/>
      <c r="H308" s="23"/>
      <c r="I308" s="24"/>
    </row>
    <row r="309" spans="1:9" ht="12.95">
      <c r="A309" s="23"/>
      <c r="B309" s="23"/>
      <c r="C309" s="23"/>
      <c r="D309" s="23"/>
      <c r="E309" s="23"/>
      <c r="F309" s="24"/>
      <c r="G309" s="23"/>
      <c r="H309" s="23"/>
      <c r="I309" s="24"/>
    </row>
    <row r="310" spans="1:9" ht="12.95">
      <c r="A310" s="23"/>
      <c r="B310" s="23"/>
      <c r="C310" s="23"/>
      <c r="D310" s="23"/>
      <c r="E310" s="23"/>
      <c r="F310" s="24"/>
      <c r="G310" s="23"/>
      <c r="H310" s="23"/>
      <c r="I310" s="24"/>
    </row>
    <row r="311" spans="1:9" ht="12.95">
      <c r="A311" s="23"/>
      <c r="B311" s="23"/>
      <c r="C311" s="23"/>
      <c r="D311" s="23"/>
      <c r="E311" s="23"/>
      <c r="F311" s="24"/>
      <c r="G311" s="23"/>
      <c r="H311" s="23"/>
      <c r="I311" s="24"/>
    </row>
    <row r="312" spans="1:9" ht="12.95">
      <c r="A312" s="23"/>
      <c r="B312" s="23"/>
      <c r="C312" s="23"/>
      <c r="D312" s="23"/>
      <c r="E312" s="23"/>
      <c r="F312" s="24"/>
      <c r="G312" s="23"/>
      <c r="H312" s="23"/>
      <c r="I312" s="24"/>
    </row>
    <row r="313" spans="1:9" ht="12.95">
      <c r="A313" s="23"/>
      <c r="B313" s="23"/>
      <c r="C313" s="23"/>
      <c r="D313" s="23"/>
      <c r="E313" s="23"/>
      <c r="F313" s="24"/>
      <c r="G313" s="23"/>
      <c r="H313" s="23"/>
      <c r="I313" s="24"/>
    </row>
    <row r="314" spans="1:9" ht="12.95">
      <c r="A314" s="23"/>
      <c r="B314" s="23"/>
      <c r="C314" s="23"/>
      <c r="D314" s="23"/>
      <c r="E314" s="23"/>
      <c r="F314" s="24"/>
      <c r="G314" s="23"/>
      <c r="H314" s="23"/>
      <c r="I314" s="24"/>
    </row>
    <row r="315" spans="1:9" ht="12.95">
      <c r="A315" s="23"/>
      <c r="B315" s="23"/>
      <c r="C315" s="23"/>
      <c r="D315" s="23"/>
      <c r="E315" s="23"/>
      <c r="F315" s="24"/>
      <c r="G315" s="23"/>
      <c r="H315" s="23"/>
      <c r="I315" s="24"/>
    </row>
    <row r="316" spans="1:9" ht="12.95">
      <c r="A316" s="23"/>
      <c r="B316" s="23"/>
      <c r="C316" s="23"/>
      <c r="D316" s="23"/>
      <c r="E316" s="23"/>
      <c r="F316" s="24"/>
      <c r="G316" s="23"/>
      <c r="H316" s="23"/>
      <c r="I316" s="24"/>
    </row>
    <row r="317" spans="1:9" ht="12.95">
      <c r="A317" s="23"/>
      <c r="B317" s="23"/>
      <c r="C317" s="23"/>
      <c r="D317" s="23"/>
      <c r="E317" s="23"/>
      <c r="F317" s="24"/>
      <c r="G317" s="23"/>
      <c r="H317" s="23"/>
      <c r="I317" s="24"/>
    </row>
    <row r="318" spans="1:9" ht="12.95">
      <c r="A318" s="23"/>
      <c r="B318" s="23"/>
      <c r="C318" s="23"/>
      <c r="D318" s="23"/>
      <c r="E318" s="23"/>
      <c r="F318" s="24"/>
      <c r="G318" s="23"/>
      <c r="H318" s="23"/>
      <c r="I318" s="24"/>
    </row>
    <row r="319" spans="1:9" ht="12.95">
      <c r="A319" s="23"/>
      <c r="B319" s="23"/>
      <c r="C319" s="23"/>
      <c r="D319" s="23"/>
      <c r="E319" s="23"/>
      <c r="F319" s="24"/>
      <c r="G319" s="23"/>
      <c r="H319" s="23"/>
      <c r="I319" s="24"/>
    </row>
    <row r="320" spans="1:9" ht="12.95">
      <c r="A320" s="23"/>
      <c r="B320" s="23"/>
      <c r="C320" s="23"/>
      <c r="D320" s="23"/>
      <c r="E320" s="23"/>
      <c r="F320" s="24"/>
      <c r="G320" s="23"/>
      <c r="H320" s="23"/>
      <c r="I320" s="24"/>
    </row>
    <row r="321" spans="1:9" ht="12.95">
      <c r="A321" s="23"/>
      <c r="B321" s="23"/>
      <c r="C321" s="23"/>
      <c r="D321" s="23"/>
      <c r="E321" s="23"/>
      <c r="F321" s="24"/>
      <c r="G321" s="23"/>
      <c r="H321" s="23"/>
      <c r="I321" s="24"/>
    </row>
    <row r="322" spans="1:9" ht="12.95">
      <c r="A322" s="23"/>
      <c r="B322" s="23"/>
      <c r="C322" s="23"/>
      <c r="D322" s="23"/>
      <c r="E322" s="23"/>
      <c r="F322" s="24"/>
      <c r="G322" s="23"/>
      <c r="H322" s="23"/>
      <c r="I322" s="24"/>
    </row>
    <row r="323" spans="1:9" ht="12.95">
      <c r="A323" s="23"/>
      <c r="B323" s="23"/>
      <c r="C323" s="23"/>
      <c r="D323" s="23"/>
      <c r="E323" s="23"/>
      <c r="F323" s="24"/>
      <c r="G323" s="23"/>
      <c r="H323" s="23"/>
      <c r="I323" s="24"/>
    </row>
    <row r="324" spans="1:9" ht="12.95">
      <c r="A324" s="23"/>
      <c r="B324" s="23"/>
      <c r="C324" s="23"/>
      <c r="D324" s="23"/>
      <c r="E324" s="23"/>
      <c r="F324" s="24"/>
      <c r="G324" s="23"/>
      <c r="H324" s="23"/>
      <c r="I324" s="24"/>
    </row>
    <row r="325" spans="1:9" ht="12.95">
      <c r="A325" s="23"/>
      <c r="B325" s="23"/>
      <c r="C325" s="23"/>
      <c r="D325" s="23"/>
      <c r="E325" s="23"/>
      <c r="F325" s="24"/>
      <c r="G325" s="23"/>
      <c r="H325" s="23"/>
      <c r="I325" s="24"/>
    </row>
    <row r="326" spans="1:9" ht="12.95">
      <c r="A326" s="23"/>
      <c r="B326" s="23"/>
      <c r="C326" s="23"/>
      <c r="D326" s="23"/>
      <c r="E326" s="23"/>
      <c r="F326" s="24"/>
      <c r="G326" s="23"/>
      <c r="H326" s="23"/>
      <c r="I326" s="24"/>
    </row>
    <row r="327" spans="1:9" ht="12.95">
      <c r="A327" s="23"/>
      <c r="B327" s="23"/>
      <c r="C327" s="23"/>
      <c r="D327" s="23"/>
      <c r="E327" s="23"/>
      <c r="F327" s="24"/>
      <c r="G327" s="23"/>
      <c r="H327" s="23"/>
      <c r="I327" s="24"/>
    </row>
    <row r="328" spans="1:9" ht="12.95">
      <c r="A328" s="23"/>
      <c r="B328" s="23"/>
      <c r="C328" s="23"/>
      <c r="D328" s="23"/>
      <c r="E328" s="23"/>
      <c r="F328" s="24"/>
      <c r="G328" s="23"/>
      <c r="H328" s="23"/>
      <c r="I328" s="24"/>
    </row>
    <row r="329" spans="1:9" ht="12.95">
      <c r="A329" s="23"/>
      <c r="B329" s="23"/>
      <c r="C329" s="23"/>
      <c r="D329" s="23"/>
      <c r="E329" s="23"/>
      <c r="F329" s="24"/>
      <c r="G329" s="23"/>
      <c r="H329" s="23"/>
      <c r="I329" s="24"/>
    </row>
    <row r="330" spans="1:9" ht="12.95">
      <c r="A330" s="23"/>
      <c r="B330" s="23"/>
      <c r="C330" s="23"/>
      <c r="D330" s="23"/>
      <c r="E330" s="23"/>
      <c r="F330" s="24"/>
      <c r="G330" s="23"/>
      <c r="H330" s="23"/>
      <c r="I330" s="24"/>
    </row>
    <row r="331" spans="1:9" ht="12.95">
      <c r="A331" s="23"/>
      <c r="B331" s="23"/>
      <c r="C331" s="23"/>
      <c r="D331" s="23"/>
      <c r="E331" s="23"/>
      <c r="F331" s="24"/>
      <c r="G331" s="23"/>
      <c r="H331" s="23"/>
      <c r="I331" s="24"/>
    </row>
    <row r="332" spans="1:9" ht="12.95">
      <c r="A332" s="23"/>
      <c r="B332" s="23"/>
      <c r="C332" s="23"/>
      <c r="D332" s="23"/>
      <c r="E332" s="23"/>
      <c r="F332" s="24"/>
      <c r="G332" s="23"/>
      <c r="H332" s="23"/>
      <c r="I332" s="24"/>
    </row>
    <row r="333" spans="1:9" ht="12.95">
      <c r="A333" s="23"/>
      <c r="B333" s="23"/>
      <c r="C333" s="23"/>
      <c r="D333" s="23"/>
      <c r="E333" s="23"/>
      <c r="F333" s="24"/>
      <c r="G333" s="23"/>
      <c r="H333" s="23"/>
      <c r="I333" s="24"/>
    </row>
    <row r="334" spans="1:9" ht="12.95">
      <c r="A334" s="23"/>
      <c r="B334" s="23"/>
      <c r="C334" s="23"/>
      <c r="D334" s="23"/>
      <c r="E334" s="23"/>
      <c r="F334" s="24"/>
      <c r="G334" s="23"/>
      <c r="H334" s="23"/>
      <c r="I334" s="24"/>
    </row>
    <row r="335" spans="1:9" ht="12.95">
      <c r="A335" s="23"/>
      <c r="B335" s="23"/>
      <c r="C335" s="23"/>
      <c r="D335" s="23"/>
      <c r="E335" s="23"/>
      <c r="F335" s="24"/>
      <c r="G335" s="23"/>
      <c r="H335" s="23"/>
      <c r="I335" s="24"/>
    </row>
    <row r="336" spans="1:9" ht="12.95">
      <c r="A336" s="23"/>
      <c r="B336" s="23"/>
      <c r="C336" s="23"/>
      <c r="D336" s="23"/>
      <c r="E336" s="23"/>
      <c r="F336" s="24"/>
      <c r="G336" s="23"/>
      <c r="H336" s="23"/>
      <c r="I336" s="24"/>
    </row>
    <row r="337" spans="1:9" ht="12.95">
      <c r="A337" s="23"/>
      <c r="B337" s="23"/>
      <c r="C337" s="23"/>
      <c r="D337" s="23"/>
      <c r="E337" s="23"/>
      <c r="F337" s="24"/>
      <c r="G337" s="23"/>
      <c r="H337" s="23"/>
      <c r="I337" s="24"/>
    </row>
    <row r="338" spans="1:9" ht="12.95">
      <c r="A338" s="23"/>
      <c r="B338" s="23"/>
      <c r="C338" s="23"/>
      <c r="D338" s="23"/>
      <c r="E338" s="23"/>
      <c r="F338" s="24"/>
      <c r="G338" s="23"/>
      <c r="H338" s="23"/>
      <c r="I338" s="24"/>
    </row>
    <row r="339" spans="1:9" ht="12.95">
      <c r="A339" s="23"/>
      <c r="B339" s="23"/>
      <c r="C339" s="23"/>
      <c r="D339" s="23"/>
      <c r="E339" s="23"/>
      <c r="F339" s="24"/>
      <c r="G339" s="23"/>
      <c r="H339" s="23"/>
      <c r="I339" s="24"/>
    </row>
    <row r="340" spans="1:9" ht="12.95">
      <c r="A340" s="23"/>
      <c r="B340" s="23"/>
      <c r="C340" s="23"/>
      <c r="D340" s="23"/>
      <c r="E340" s="23"/>
      <c r="F340" s="24"/>
      <c r="G340" s="23"/>
      <c r="H340" s="23"/>
      <c r="I340" s="24"/>
    </row>
    <row r="341" spans="1:9" ht="12.95">
      <c r="A341" s="23"/>
      <c r="B341" s="23"/>
      <c r="C341" s="23"/>
      <c r="D341" s="23"/>
      <c r="E341" s="23"/>
      <c r="F341" s="24"/>
      <c r="G341" s="23"/>
      <c r="H341" s="23"/>
      <c r="I341" s="24"/>
    </row>
    <row r="342" spans="1:9" ht="12.95">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6" activePane="bottomLeft" state="frozen"/>
      <selection pane="bottomLeft" activeCell="L6" sqref="L6"/>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32" t="str" cm="1">
        <f t="array" ref="A1">portfolio</f>
        <v>CITI</v>
      </c>
      <c r="B1" s="132"/>
      <c r="C1" s="132"/>
      <c r="D1" s="76" t="s">
        <v>0</v>
      </c>
      <c r="E1" s="76" t="s">
        <v>1</v>
      </c>
      <c r="F1" s="133" t="s">
        <v>20</v>
      </c>
      <c r="G1" s="133"/>
      <c r="H1" s="133"/>
      <c r="I1" s="131" t="s">
        <v>21</v>
      </c>
      <c r="J1" s="131"/>
      <c r="K1" s="131"/>
      <c r="L1" s="5"/>
      <c r="M1" s="5"/>
    </row>
    <row r="2" spans="1:14" ht="19.5" customHeight="1">
      <c r="A2" s="134" t="s">
        <v>4</v>
      </c>
      <c r="B2" s="134"/>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9.1">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99"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95">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0" t="s">
        <v>27</v>
      </c>
      <c r="N9" s="105" t="s">
        <v>28</v>
      </c>
    </row>
    <row r="10" spans="1:14" ht="29.1">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99"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1" t="s">
        <v>32</v>
      </c>
      <c r="N12" s="105" t="s">
        <v>33</v>
      </c>
    </row>
    <row r="13" spans="1:14" ht="43.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2" t="s">
        <v>35</v>
      </c>
      <c r="N13" s="105" t="s">
        <v>36</v>
      </c>
    </row>
    <row r="14" spans="1:14" ht="29.1">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1"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9.1">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3" t="s">
        <v>40</v>
      </c>
      <c r="N18" s="104" t="s">
        <v>41</v>
      </c>
    </row>
    <row r="19" spans="1:14" ht="43.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2"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1">
      <c r="A25" s="23"/>
      <c r="M25" s="23"/>
    </row>
    <row r="26" spans="1:14" ht="14.1">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26" priority="2" stopIfTrue="1" operator="lessThanOrEqual">
      <formula>-0.1</formula>
    </cfRule>
    <cfRule type="expression" dxfId="25"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D4"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32" t="str" cm="1">
        <f t="array" ref="A1">portfolio</f>
        <v>CITI</v>
      </c>
      <c r="B1" s="132"/>
      <c r="C1" s="132"/>
      <c r="D1" s="76" t="s">
        <v>0</v>
      </c>
      <c r="E1" s="76" t="s">
        <v>1</v>
      </c>
      <c r="F1" s="133" t="s">
        <v>44</v>
      </c>
      <c r="G1" s="133"/>
      <c r="H1" s="133"/>
      <c r="I1" s="131" t="s">
        <v>45</v>
      </c>
      <c r="J1" s="131"/>
      <c r="K1" s="131"/>
      <c r="L1" s="5"/>
      <c r="M1" s="5"/>
    </row>
    <row r="2" spans="1:17" ht="19.5" customHeight="1">
      <c r="A2" s="134" t="s">
        <v>4</v>
      </c>
      <c r="B2" s="134"/>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9.1">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99"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9.1">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99"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2" t="s">
        <v>50</v>
      </c>
    </row>
    <row r="10" spans="1:17" ht="29.1">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99"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1" t="s">
        <v>54</v>
      </c>
      <c r="N12" s="106"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07" t="s">
        <v>57</v>
      </c>
      <c r="N13" s="106" t="s">
        <v>36</v>
      </c>
      <c r="O13" s="106" t="s">
        <v>58</v>
      </c>
      <c r="P13" s="106" t="s">
        <v>59</v>
      </c>
      <c r="Q13" s="106"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0"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08" t="s">
        <v>64</v>
      </c>
      <c r="N18" s="106" t="s">
        <v>41</v>
      </c>
      <c r="O18" s="106"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09" t="s">
        <v>66</v>
      </c>
      <c r="N19" s="106" t="s">
        <v>67</v>
      </c>
      <c r="O19" s="106"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1">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4" priority="1" stopIfTrue="1" operator="lessThanOrEqual">
      <formula>-0.1</formula>
    </cfRule>
    <cfRule type="expression" dxfId="23"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A3" activePane="bottomLeft" state="frozen"/>
      <selection pane="bottomLeft" activeCell="D4" sqref="D4"/>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32" t="str" cm="1">
        <f t="array" ref="A1">portfolio</f>
        <v>CITI</v>
      </c>
      <c r="B1" s="132"/>
      <c r="C1" s="132"/>
      <c r="D1" s="76" t="s">
        <v>0</v>
      </c>
      <c r="E1" s="76" t="s">
        <v>1</v>
      </c>
      <c r="F1" s="76" t="s">
        <v>69</v>
      </c>
      <c r="G1" s="133" t="s">
        <v>70</v>
      </c>
      <c r="H1" s="133"/>
      <c r="I1" s="133"/>
      <c r="J1" s="131" t="s">
        <v>71</v>
      </c>
      <c r="K1" s="131"/>
      <c r="L1" s="131"/>
      <c r="M1" s="5"/>
      <c r="N1" s="5"/>
    </row>
    <row r="2" spans="1:17" ht="19.5" customHeight="1">
      <c r="A2" s="134" t="s">
        <v>4</v>
      </c>
      <c r="B2" s="134"/>
      <c r="C2" s="6">
        <f>SUM(C4:C100)</f>
        <v>1707699</v>
      </c>
      <c r="D2" s="6">
        <f>SUM(D4:D22)</f>
        <v>1908969.8000000003</v>
      </c>
      <c r="E2" s="7">
        <f>C2/D2</f>
        <v>0.89456574954721635</v>
      </c>
      <c r="F2" s="7">
        <f>AVERAGE(F4:F22)</f>
        <v>0.99248507076122561</v>
      </c>
      <c r="G2" s="6">
        <f>SUM(G4:G100)</f>
        <v>1884049.973</v>
      </c>
      <c r="H2" s="6">
        <f>C2-G2</f>
        <v>-176350.973</v>
      </c>
      <c r="I2" s="7">
        <f>IFERROR(H2/G2, 0)</f>
        <v>-9.3602067634752706E-2</v>
      </c>
      <c r="J2" s="6">
        <f>SUM(J4:J100)</f>
        <v>1820418.8620000002</v>
      </c>
      <c r="K2" s="8">
        <f>C2-J2</f>
        <v>-112719.8620000002</v>
      </c>
      <c r="L2" s="7">
        <f>IFERROR(K2/J2, 0)</f>
        <v>-6.1919739656048557E-2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99" t="s">
        <v>47</v>
      </c>
      <c r="O4" s="113"/>
      <c r="P4" s="113"/>
      <c r="Q4" s="113"/>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0">
        <f>IFERROR(H5/G5, "")</f>
        <v>1.1303272261427515E-2</v>
      </c>
      <c r="J5" s="22">
        <v>188025.07199999999</v>
      </c>
      <c r="K5" s="22">
        <f t="shared" si="2"/>
        <v>-4880.0719999999856</v>
      </c>
      <c r="L5" s="21">
        <f>K5/J5</f>
        <v>-2.5954368468477363E-2</v>
      </c>
      <c r="M5" s="11"/>
      <c r="N5" s="60"/>
      <c r="O5" s="113"/>
      <c r="P5" s="113"/>
      <c r="Q5" s="113"/>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99" t="s">
        <v>74</v>
      </c>
      <c r="O6" s="105" t="s">
        <v>75</v>
      </c>
      <c r="P6" s="113"/>
      <c r="Q6" s="113"/>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0">
        <f t="shared" si="3"/>
        <v>-4.5596653647299278E-2</v>
      </c>
      <c r="J7" s="22">
        <v>116896.07</v>
      </c>
      <c r="K7" s="22">
        <f t="shared" si="2"/>
        <v>-6692.070000000007</v>
      </c>
      <c r="L7" s="21">
        <f t="shared" si="4"/>
        <v>-5.7248032376109877E-2</v>
      </c>
      <c r="M7" s="11"/>
      <c r="N7" s="60"/>
      <c r="O7" s="113"/>
      <c r="P7" s="113"/>
      <c r="Q7" s="113"/>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99" t="s">
        <v>77</v>
      </c>
      <c r="O8" s="113"/>
      <c r="P8" s="113"/>
      <c r="Q8" s="113"/>
    </row>
    <row r="9" spans="1:17" ht="43.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0">
        <f t="shared" si="3"/>
        <v>-7.6848332876229289E-2</v>
      </c>
      <c r="J9" s="22">
        <v>129295.12</v>
      </c>
      <c r="K9" s="22">
        <f t="shared" si="2"/>
        <v>-11487.119999999995</v>
      </c>
      <c r="L9" s="21">
        <f t="shared" si="4"/>
        <v>-8.884418839628283E-2</v>
      </c>
      <c r="M9" s="84" t="s">
        <v>78</v>
      </c>
      <c r="N9" s="100" t="s">
        <v>50</v>
      </c>
      <c r="O9" s="113"/>
      <c r="P9" s="113"/>
      <c r="Q9" s="113"/>
    </row>
    <row r="10" spans="1:17" ht="72.599999999999994">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99" t="s">
        <v>80</v>
      </c>
      <c r="O10" s="105" t="s">
        <v>81</v>
      </c>
      <c r="P10" s="113"/>
      <c r="Q10" s="113"/>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0">
        <f t="shared" si="3"/>
        <v>-1.3347223126505632E-2</v>
      </c>
      <c r="J11" s="22">
        <v>31137.784</v>
      </c>
      <c r="K11" s="22">
        <f t="shared" si="2"/>
        <v>-829.78399999999965</v>
      </c>
      <c r="L11" s="21">
        <f t="shared" si="4"/>
        <v>-2.6648781429018831E-2</v>
      </c>
      <c r="M11" s="11"/>
      <c r="N11" s="60"/>
      <c r="O11" s="113"/>
      <c r="P11" s="113"/>
      <c r="Q11" s="113"/>
    </row>
    <row r="12" spans="1:17" ht="57.95">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99" t="s">
        <v>83</v>
      </c>
      <c r="O12" s="105" t="s">
        <v>84</v>
      </c>
      <c r="P12" s="113"/>
      <c r="Q12" s="113"/>
    </row>
    <row r="13" spans="1:17" ht="77.25" customHeight="1">
      <c r="A13" s="32" t="str">
        <v>CA: Petaluma MOB - Citi</v>
      </c>
      <c r="B13" s="33" t="str">
        <v>CA</v>
      </c>
      <c r="C13" s="12">
        <v>74294.5</v>
      </c>
      <c r="D13" s="12">
        <v>82798.600000000006</v>
      </c>
      <c r="E13" s="80">
        <f t="shared" si="0"/>
        <v>0.89729174164780556</v>
      </c>
      <c r="F13" s="80">
        <f>(SUM(C13,Feb!C13,Jan!C13))/(SUM(Jan!D13,Feb!D13,Mar!D13))</f>
        <v>0.89973628004784734</v>
      </c>
      <c r="G13" s="20">
        <v>79678</v>
      </c>
      <c r="H13" s="20">
        <f t="shared" si="1"/>
        <v>-5383.5</v>
      </c>
      <c r="I13" s="15">
        <f t="shared" si="3"/>
        <v>-6.7565701950350165E-2</v>
      </c>
      <c r="J13" s="22">
        <v>80404.171000000002</v>
      </c>
      <c r="K13" s="22">
        <f t="shared" si="2"/>
        <v>-6109.6710000000021</v>
      </c>
      <c r="L13" s="21">
        <f t="shared" si="4"/>
        <v>-7.5986990774396537E-2</v>
      </c>
      <c r="M13" s="119" t="s">
        <v>85</v>
      </c>
      <c r="N13" s="100" t="s">
        <v>86</v>
      </c>
      <c r="O13" s="105" t="s">
        <v>87</v>
      </c>
      <c r="P13" s="113"/>
      <c r="Q13" s="113"/>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99" t="s">
        <v>89</v>
      </c>
      <c r="O14" s="113"/>
      <c r="P14" s="113"/>
      <c r="Q14" s="113"/>
    </row>
    <row r="15" spans="1:17" ht="29.1">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0">
        <f t="shared" si="3"/>
        <v>-1.8158818731010676E-2</v>
      </c>
      <c r="J15" s="22">
        <v>173208.522</v>
      </c>
      <c r="K15" s="22">
        <f t="shared" si="2"/>
        <v>-7106.5219999999972</v>
      </c>
      <c r="L15" s="21">
        <f t="shared" si="4"/>
        <v>-4.1028708737552745E-2</v>
      </c>
      <c r="M15" s="84" t="s">
        <v>90</v>
      </c>
      <c r="N15" s="100" t="s">
        <v>91</v>
      </c>
      <c r="O15" s="113"/>
      <c r="P15" s="113"/>
      <c r="Q15" s="113"/>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3"/>
      <c r="P16" s="113"/>
      <c r="Q16" s="113"/>
    </row>
    <row r="17" spans="1:17" ht="72.599999999999994">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0">
        <f t="shared" si="3"/>
        <v>-9.9178880405791328E-2</v>
      </c>
      <c r="J17" s="44">
        <v>190101.80499999999</v>
      </c>
      <c r="K17" s="44">
        <f t="shared" si="2"/>
        <v>-18191.804999999993</v>
      </c>
      <c r="L17" s="21">
        <f t="shared" si="4"/>
        <v>-9.5695067177294785E-2</v>
      </c>
      <c r="M17" s="84" t="s">
        <v>92</v>
      </c>
      <c r="N17" s="109" t="s">
        <v>93</v>
      </c>
      <c r="O17" s="105" t="s">
        <v>94</v>
      </c>
      <c r="P17" s="113"/>
      <c r="Q17" s="113"/>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08" t="s">
        <v>96</v>
      </c>
      <c r="O18" s="105" t="s">
        <v>97</v>
      </c>
      <c r="P18" s="113"/>
      <c r="Q18" s="113"/>
    </row>
    <row r="19" spans="1:17" ht="101.45">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09" t="s">
        <v>99</v>
      </c>
      <c r="O19" s="105" t="s">
        <v>67</v>
      </c>
      <c r="P19" s="105" t="s">
        <v>100</v>
      </c>
      <c r="Q19" s="113"/>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3"/>
      <c r="P20" s="113"/>
      <c r="Q20" s="113"/>
    </row>
    <row r="21" spans="1:17" ht="29.1">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0" t="s">
        <v>102</v>
      </c>
      <c r="O21" s="113"/>
      <c r="P21" s="113"/>
      <c r="Q21" s="113"/>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1">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2" priority="1" stopIfTrue="1" operator="lessThanOrEqual">
      <formula>-0.1</formula>
    </cfRule>
    <cfRule type="expression" dxfId="21"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60" zoomScaleNormal="60" workbookViewId="0">
      <pane ySplit="2" topLeftCell="A10" activePane="bottomLeft" state="frozen"/>
      <selection pane="bottomLeft" activeCell="I13" sqref="I13"/>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32" t="str" cm="1">
        <f t="array" ref="A1">portfolio</f>
        <v>CITI</v>
      </c>
      <c r="B1" s="132"/>
      <c r="C1" s="132"/>
      <c r="D1" s="76" t="s">
        <v>0</v>
      </c>
      <c r="E1" s="76" t="s">
        <v>1</v>
      </c>
      <c r="F1" s="133" t="s">
        <v>103</v>
      </c>
      <c r="G1" s="133"/>
      <c r="H1" s="133"/>
      <c r="I1" s="131" t="s">
        <v>104</v>
      </c>
      <c r="J1" s="131"/>
      <c r="K1" s="131"/>
      <c r="L1" s="5"/>
      <c r="M1" s="5"/>
    </row>
    <row r="2" spans="1:13" ht="19.5" customHeight="1">
      <c r="A2" s="134" t="s">
        <v>4</v>
      </c>
      <c r="B2" s="134"/>
      <c r="C2" s="6">
        <f>SUM(C4:C100)</f>
        <v>2445429.7199999997</v>
      </c>
      <c r="D2" s="6">
        <f>SUM(D4:D22)</f>
        <v>2349739.64</v>
      </c>
      <c r="E2" s="7">
        <f>C2/D2</f>
        <v>1.0407236948175245</v>
      </c>
      <c r="F2" s="6">
        <f>SUM(F4:F100)</f>
        <v>2318877.102</v>
      </c>
      <c r="G2" s="6">
        <f>C2-F2</f>
        <v>126552.61799999978</v>
      </c>
      <c r="H2" s="7">
        <f>IFERROR(G2/F2, 0)</f>
        <v>5.4574956943966489E-2</v>
      </c>
      <c r="I2" s="6">
        <f>SUM(I4:I100)</f>
        <v>2530994.8750000005</v>
      </c>
      <c r="J2" s="8">
        <f>C2-I2</f>
        <v>-85565.155000000726</v>
      </c>
      <c r="K2" s="7">
        <f>IFERROR(J2/I2, 0)</f>
        <v>-3.3806925428879309E-2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27"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9.1">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5"/>
    </row>
    <row r="10" spans="1:13" ht="57.95">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96"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20" t="s">
        <v>114</v>
      </c>
    </row>
    <row r="13" spans="1:13" ht="129" customHeight="1">
      <c r="A13" s="32" t="str">
        <v>CA: Petaluma MOB - Citi</v>
      </c>
      <c r="B13" s="33" t="str">
        <v>CA</v>
      </c>
      <c r="C13" s="12">
        <v>93558.5</v>
      </c>
      <c r="D13" s="12">
        <v>105601.15</v>
      </c>
      <c r="E13" s="80">
        <f t="shared" si="0"/>
        <v>0.88596099568991438</v>
      </c>
      <c r="F13" s="20">
        <v>101621</v>
      </c>
      <c r="G13" s="20">
        <f t="shared" si="2"/>
        <v>-8062.5</v>
      </c>
      <c r="H13" s="21">
        <f t="shared" si="3"/>
        <v>-7.9338916168902096E-2</v>
      </c>
      <c r="I13" s="22">
        <v>42822.349000000002</v>
      </c>
      <c r="J13" s="22">
        <f t="shared" si="4"/>
        <v>50736.150999999998</v>
      </c>
      <c r="K13" s="21">
        <f t="shared" si="1"/>
        <v>1.1848054155086167</v>
      </c>
      <c r="L13" s="85" t="s">
        <v>115</v>
      </c>
      <c r="M13" s="96" t="s">
        <v>116</v>
      </c>
    </row>
    <row r="14" spans="1:13" ht="72.599999999999994">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20" t="s">
        <v>118</v>
      </c>
    </row>
    <row r="15" spans="1:13" ht="57.95">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5"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96"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96" t="s">
        <v>126</v>
      </c>
    </row>
    <row r="20" spans="1:13" ht="29.1">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7">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96" t="s">
        <v>130</v>
      </c>
    </row>
    <row r="22" spans="1:13" ht="29.1">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15">
        <v>0</v>
      </c>
      <c r="E23" s="80" t="str">
        <f>IFERROR(C23/D23, "")</f>
        <v/>
      </c>
      <c r="F23" s="20">
        <v>0</v>
      </c>
      <c r="G23" s="20">
        <f t="shared" si="2"/>
        <v>295635.71999999997</v>
      </c>
      <c r="H23" s="43" t="str">
        <f t="shared" si="5"/>
        <v/>
      </c>
      <c r="I23" s="114">
        <v>325782</v>
      </c>
      <c r="J23" s="22">
        <f t="shared" si="4"/>
        <v>-30146.280000000028</v>
      </c>
      <c r="K23" s="43">
        <f t="shared" si="6"/>
        <v>-9.2535130854375092E-2</v>
      </c>
      <c r="L23" s="84" t="s">
        <v>133</v>
      </c>
      <c r="M23" s="96" t="s">
        <v>134</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1">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0" priority="1" stopIfTrue="1" operator="lessThanOrEqual">
      <formula>-0.1</formula>
    </cfRule>
    <cfRule type="expression" dxfId="19"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A11" activePane="bottomLeft" state="frozen"/>
      <selection pane="bottomLeft" activeCell="E22" sqref="E22"/>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32" t="str" cm="1">
        <f t="array" ref="A1">portfolio</f>
        <v>CITI</v>
      </c>
      <c r="B1" s="132"/>
      <c r="C1" s="132"/>
      <c r="D1" s="76" t="s">
        <v>0</v>
      </c>
      <c r="E1" s="76" t="s">
        <v>1</v>
      </c>
      <c r="F1" s="133" t="s">
        <v>135</v>
      </c>
      <c r="G1" s="133"/>
      <c r="H1" s="133"/>
      <c r="I1" s="131" t="s">
        <v>136</v>
      </c>
      <c r="J1" s="131"/>
      <c r="K1" s="131"/>
      <c r="L1" s="5"/>
      <c r="M1" s="64"/>
    </row>
    <row r="2" spans="1:15" ht="19.5" customHeight="1">
      <c r="A2" s="134" t="s">
        <v>4</v>
      </c>
      <c r="B2" s="134"/>
      <c r="C2" s="6">
        <f>SUM(C4:C100)</f>
        <v>2973920.0500000003</v>
      </c>
      <c r="D2" s="6">
        <f>SUM(D4:D22)</f>
        <v>2778688.91</v>
      </c>
      <c r="E2" s="7">
        <f>C2/D2</f>
        <v>1.0702601645320562</v>
      </c>
      <c r="F2" s="6">
        <f>SUM(F4:F100)</f>
        <v>2742135.446</v>
      </c>
      <c r="G2" s="6">
        <f>C2-F2</f>
        <v>231784.60400000028</v>
      </c>
      <c r="H2" s="7">
        <f>IFERROR(G2/F2, 0)</f>
        <v>8.4527044183068514E-2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IF(AND(ISNUMBER(C4),ISNUMBER(F4)), C4-F4, "")</f>
        <v>7780.5</v>
      </c>
      <c r="H4" s="15">
        <f>IFERROR(G4/F4, "")</f>
        <v>0.10555269155632732</v>
      </c>
      <c r="I4" s="16">
        <v>84914.724000000002</v>
      </c>
      <c r="J4" s="16">
        <f>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0">C5/D5</f>
        <v>1.0601582087088823</v>
      </c>
      <c r="F5" s="20">
        <v>251808</v>
      </c>
      <c r="G5" s="20">
        <f t="shared" ref="G5:G23" si="1">IF(AND(ISNUMBER(C5),ISNUMBER(F5)), C5-F5, "")</f>
        <v>17842</v>
      </c>
      <c r="H5" s="21">
        <f>IFERROR(G5/F5, "")</f>
        <v>7.0855572499682301E-2</v>
      </c>
      <c r="I5" s="22">
        <v>285700.70299999998</v>
      </c>
      <c r="J5" s="20">
        <f t="shared" ref="J5:J23" si="2">IF(AND(ISNUMBER(C5),ISNUMBER(I5)), C5-I5, "")</f>
        <v>-16050.70299999998</v>
      </c>
      <c r="K5" s="21">
        <f t="shared" ref="K5:K15" si="3">IFERROR(J5/I5, "")</f>
        <v>-5.6180131275350695E-2</v>
      </c>
      <c r="L5" s="11"/>
      <c r="M5" s="19"/>
    </row>
    <row r="6" spans="1:15" ht="87">
      <c r="A6" s="30" t="str">
        <v>CA: Clovis - Citi</v>
      </c>
      <c r="B6" s="31" t="str">
        <v>CA</v>
      </c>
      <c r="C6" s="26">
        <v>110990</v>
      </c>
      <c r="D6" s="78">
        <v>108547</v>
      </c>
      <c r="E6" s="79">
        <f t="shared" si="0"/>
        <v>1.0225063797249119</v>
      </c>
      <c r="F6" s="14">
        <v>104799</v>
      </c>
      <c r="G6" s="14">
        <f t="shared" si="1"/>
        <v>6191</v>
      </c>
      <c r="H6" s="15">
        <f t="shared" ref="H6:H15" si="4">IFERROR(G6/F6, "")</f>
        <v>5.9074991173579901E-2</v>
      </c>
      <c r="I6" s="16">
        <v>7792.7129999999997</v>
      </c>
      <c r="J6" s="16">
        <f t="shared" si="2"/>
        <v>103197.287</v>
      </c>
      <c r="K6" s="17">
        <f t="shared" si="3"/>
        <v>13.242793235167264</v>
      </c>
      <c r="L6" s="18" t="s">
        <v>137</v>
      </c>
      <c r="M6" s="99" t="s">
        <v>138</v>
      </c>
    </row>
    <row r="7" spans="1:15" ht="15.6">
      <c r="A7" s="32" t="str">
        <v>CA: Elk Grove MOB - Citi</v>
      </c>
      <c r="B7" s="33" t="str">
        <v>CA</v>
      </c>
      <c r="C7" s="12">
        <v>174908.5</v>
      </c>
      <c r="D7" s="12">
        <v>181338.5</v>
      </c>
      <c r="E7" s="80">
        <f t="shared" si="0"/>
        <v>0.96454145148437864</v>
      </c>
      <c r="F7" s="20">
        <v>179543</v>
      </c>
      <c r="G7" s="20">
        <f t="shared" si="1"/>
        <v>-4634.5</v>
      </c>
      <c r="H7" s="21">
        <f t="shared" si="4"/>
        <v>-2.5812757946564333E-2</v>
      </c>
      <c r="I7" s="22">
        <v>190114.87</v>
      </c>
      <c r="J7" s="20">
        <f t="shared" si="2"/>
        <v>-15206.369999999995</v>
      </c>
      <c r="K7" s="21">
        <f t="shared" si="3"/>
        <v>-7.9985168966530587E-2</v>
      </c>
      <c r="L7" s="11"/>
      <c r="M7" s="11"/>
    </row>
    <row r="8" spans="1:15" ht="15.6">
      <c r="A8" s="30" t="str">
        <v>CA: Elk Grove Promenade - Citi</v>
      </c>
      <c r="B8" s="31" t="str">
        <v>CA</v>
      </c>
      <c r="C8" s="26">
        <v>92961.75</v>
      </c>
      <c r="D8" s="78">
        <v>95545</v>
      </c>
      <c r="E8" s="79">
        <f t="shared" si="0"/>
        <v>0.97296300172693495</v>
      </c>
      <c r="F8" s="14">
        <v>94599.133000000002</v>
      </c>
      <c r="G8" s="14">
        <f t="shared" si="1"/>
        <v>-1637.3830000000016</v>
      </c>
      <c r="H8" s="15">
        <f t="shared" si="4"/>
        <v>-1.7308647004196133E-2</v>
      </c>
      <c r="I8" s="16">
        <v>99352.21</v>
      </c>
      <c r="J8" s="16">
        <f t="shared" si="2"/>
        <v>-6390.4600000000064</v>
      </c>
      <c r="K8" s="17">
        <f t="shared" si="3"/>
        <v>-6.4321266733774779E-2</v>
      </c>
      <c r="L8" s="18"/>
      <c r="M8" s="18"/>
    </row>
    <row r="9" spans="1:15" ht="15.6">
      <c r="A9" s="32" t="str">
        <v>CA: Fresno Sequioa - Citi</v>
      </c>
      <c r="B9" s="33" t="str">
        <v>CA</v>
      </c>
      <c r="C9" s="12">
        <v>177350.5</v>
      </c>
      <c r="D9" s="12">
        <v>179936.42</v>
      </c>
      <c r="E9" s="80">
        <f t="shared" si="0"/>
        <v>0.98562870151579085</v>
      </c>
      <c r="F9" s="20">
        <v>178191</v>
      </c>
      <c r="G9" s="20">
        <f t="shared" si="1"/>
        <v>-840.5</v>
      </c>
      <c r="H9" s="21">
        <f t="shared" si="4"/>
        <v>-4.7168487746294709E-3</v>
      </c>
      <c r="I9" s="22">
        <v>193380.11499999999</v>
      </c>
      <c r="J9" s="20">
        <f t="shared" si="2"/>
        <v>-16029.614999999991</v>
      </c>
      <c r="K9" s="21">
        <f t="shared" si="3"/>
        <v>-8.2891744065825959E-2</v>
      </c>
      <c r="L9" s="11"/>
      <c r="M9" s="11"/>
    </row>
    <row r="10" spans="1:15" ht="29.1">
      <c r="A10" s="30" t="str">
        <v>CA: Fresno MOB - Citi</v>
      </c>
      <c r="B10" s="31" t="str">
        <v>CA</v>
      </c>
      <c r="C10" s="26">
        <v>64388.87</v>
      </c>
      <c r="D10" s="78">
        <v>72873.039999999994</v>
      </c>
      <c r="E10" s="79">
        <f t="shared" si="0"/>
        <v>0.88357601110095052</v>
      </c>
      <c r="F10" s="14">
        <v>72791</v>
      </c>
      <c r="G10" s="14">
        <f t="shared" si="1"/>
        <v>-8402.1299999999974</v>
      </c>
      <c r="H10" s="15">
        <f t="shared" si="4"/>
        <v>-0.11542814358917995</v>
      </c>
      <c r="I10" s="16">
        <v>70583.370999999999</v>
      </c>
      <c r="J10" s="16">
        <f t="shared" si="2"/>
        <v>-6194.5009999999966</v>
      </c>
      <c r="K10" s="17">
        <f t="shared" si="3"/>
        <v>-8.7761478549954725E-2</v>
      </c>
      <c r="L10" s="18" t="s">
        <v>139</v>
      </c>
      <c r="M10" s="99" t="s">
        <v>140</v>
      </c>
    </row>
    <row r="11" spans="1:15" ht="57.95">
      <c r="A11" s="32" t="str">
        <v>CA: Modesto Bangs - Citi</v>
      </c>
      <c r="B11" s="33" t="str">
        <v>CA</v>
      </c>
      <c r="C11" s="12">
        <v>47080.25</v>
      </c>
      <c r="D11" s="12">
        <v>52921.57</v>
      </c>
      <c r="E11" s="80">
        <f t="shared" si="0"/>
        <v>0.88962307807572605</v>
      </c>
      <c r="F11" s="20">
        <v>52663</v>
      </c>
      <c r="G11" s="20">
        <f t="shared" si="1"/>
        <v>-5582.75</v>
      </c>
      <c r="H11" s="21">
        <f t="shared" si="4"/>
        <v>-0.10600896264929836</v>
      </c>
      <c r="I11" s="22">
        <v>183.56299999999999</v>
      </c>
      <c r="J11" s="20">
        <f t="shared" si="2"/>
        <v>46896.686999999998</v>
      </c>
      <c r="K11" s="21">
        <f t="shared" si="3"/>
        <v>255.48006406519832</v>
      </c>
      <c r="L11" s="84" t="s">
        <v>141</v>
      </c>
      <c r="M11" s="100" t="s">
        <v>142</v>
      </c>
    </row>
    <row r="12" spans="1:15" ht="43.5">
      <c r="A12" s="30" t="str">
        <v>CA: Napa Data Center - Citi</v>
      </c>
      <c r="B12" s="31" t="str">
        <v>CA</v>
      </c>
      <c r="C12" s="26">
        <v>48683.25</v>
      </c>
      <c r="D12" s="78">
        <v>53542.49</v>
      </c>
      <c r="E12" s="79">
        <f t="shared" si="0"/>
        <v>0.90924516211330486</v>
      </c>
      <c r="F12" s="14">
        <v>51546</v>
      </c>
      <c r="G12" s="14">
        <f t="shared" si="1"/>
        <v>-2862.75</v>
      </c>
      <c r="H12" s="15">
        <f t="shared" si="4"/>
        <v>-5.5537772087067859E-2</v>
      </c>
      <c r="I12" s="16">
        <v>56772.614999999998</v>
      </c>
      <c r="J12" s="16">
        <f t="shared" si="2"/>
        <v>-8089.364999999998</v>
      </c>
      <c r="K12" s="17">
        <f t="shared" si="3"/>
        <v>-0.1424870952306847</v>
      </c>
      <c r="L12" s="18" t="s">
        <v>143</v>
      </c>
      <c r="M12" s="99" t="s">
        <v>144</v>
      </c>
    </row>
    <row r="13" spans="1:15" ht="126.75" customHeight="1">
      <c r="A13" s="32" t="str">
        <v>CA: Petaluma MOB - Citi</v>
      </c>
      <c r="B13" s="33" t="str">
        <v>CA</v>
      </c>
      <c r="C13" s="12">
        <v>105493.5</v>
      </c>
      <c r="D13" s="12">
        <v>123235.12</v>
      </c>
      <c r="E13" s="80">
        <f t="shared" si="0"/>
        <v>0.85603438370490492</v>
      </c>
      <c r="F13" s="20">
        <v>118590</v>
      </c>
      <c r="G13" s="20">
        <f t="shared" si="1"/>
        <v>-13096.5</v>
      </c>
      <c r="H13" s="21">
        <f t="shared" si="4"/>
        <v>-0.11043511257272957</v>
      </c>
      <c r="I13" s="22">
        <v>11916.177</v>
      </c>
      <c r="J13" s="20">
        <f t="shared" si="2"/>
        <v>93577.323000000004</v>
      </c>
      <c r="K13" s="21">
        <f t="shared" si="3"/>
        <v>7.8529651749885891</v>
      </c>
      <c r="L13" s="84" t="s">
        <v>145</v>
      </c>
      <c r="M13" s="109" t="s">
        <v>146</v>
      </c>
      <c r="N13" s="104" t="s">
        <v>147</v>
      </c>
    </row>
    <row r="14" spans="1:15" ht="116.1">
      <c r="A14" s="30" t="str">
        <v>CA: Pleasanton Tec Ctr - Citi</v>
      </c>
      <c r="B14" s="31" t="str">
        <v>CA</v>
      </c>
      <c r="C14" s="26">
        <v>146888</v>
      </c>
      <c r="D14" s="78">
        <v>167397.62</v>
      </c>
      <c r="E14" s="79">
        <f t="shared" si="0"/>
        <v>0.87747962008062008</v>
      </c>
      <c r="F14" s="14">
        <v>165841</v>
      </c>
      <c r="G14" s="14">
        <f t="shared" si="1"/>
        <v>-18953</v>
      </c>
      <c r="H14" s="15">
        <f t="shared" si="4"/>
        <v>-0.11428416374720364</v>
      </c>
      <c r="I14" s="16">
        <v>179634.96799999999</v>
      </c>
      <c r="J14" s="16">
        <f t="shared" si="2"/>
        <v>-32746.967999999993</v>
      </c>
      <c r="K14" s="17">
        <f t="shared" si="3"/>
        <v>-0.18229729080364795</v>
      </c>
      <c r="L14" s="18" t="s">
        <v>148</v>
      </c>
      <c r="M14" s="99" t="s">
        <v>149</v>
      </c>
      <c r="N14" s="104" t="s">
        <v>150</v>
      </c>
      <c r="O14" s="104" t="s">
        <v>151</v>
      </c>
    </row>
    <row r="15" spans="1:15" ht="15.6">
      <c r="A15" s="32" t="str">
        <v>CA: Rancho Cordova - Citi</v>
      </c>
      <c r="B15" s="33" t="str">
        <v>CA</v>
      </c>
      <c r="C15" s="12">
        <v>248219</v>
      </c>
      <c r="D15" s="12">
        <v>241187.82</v>
      </c>
      <c r="E15" s="80">
        <f t="shared" si="0"/>
        <v>1.0291523013060941</v>
      </c>
      <c r="F15" s="20">
        <v>239745</v>
      </c>
      <c r="G15" s="20">
        <f t="shared" si="1"/>
        <v>8474</v>
      </c>
      <c r="H15" s="21">
        <f t="shared" si="4"/>
        <v>3.5345888339694258E-2</v>
      </c>
      <c r="I15" s="22">
        <v>261974.247</v>
      </c>
      <c r="J15" s="20">
        <f t="shared" si="2"/>
        <v>-13755.247000000003</v>
      </c>
      <c r="K15" s="21">
        <f t="shared" si="3"/>
        <v>-5.2506103777444975E-2</v>
      </c>
      <c r="L15" s="11"/>
      <c r="M15" s="11"/>
    </row>
    <row r="16" spans="1:15" ht="15.6">
      <c r="A16" s="30" t="str">
        <v>CA: S Sacramento Wyndham - Citi</v>
      </c>
      <c r="B16" s="31" t="str">
        <v>CA</v>
      </c>
      <c r="C16" s="37">
        <v>138356.5</v>
      </c>
      <c r="D16" s="78">
        <v>157421.01999999999</v>
      </c>
      <c r="E16" s="79">
        <f t="shared" si="0"/>
        <v>0.87889469906877749</v>
      </c>
      <c r="F16" s="14">
        <v>156334</v>
      </c>
      <c r="G16" s="14">
        <f t="shared" si="1"/>
        <v>-17977.5</v>
      </c>
      <c r="H16" s="38">
        <f t="shared" ref="H16:H22" si="5">IFERROR(G16/F16, "")</f>
        <v>-0.11499417912930009</v>
      </c>
      <c r="I16" s="39">
        <v>152454.64799999999</v>
      </c>
      <c r="J16" s="39">
        <f t="shared" si="2"/>
        <v>-14098.147999999986</v>
      </c>
      <c r="K16" s="40">
        <f t="shared" ref="K16:K22" si="6">IFERROR(J16/I16, "")</f>
        <v>-9.2474373100123436E-2</v>
      </c>
      <c r="L16" s="41" t="s">
        <v>152</v>
      </c>
      <c r="M16" s="41"/>
    </row>
    <row r="17" spans="1:15" ht="15.6">
      <c r="A17" s="32" t="str">
        <v>CA: Sacramento Point West - Citi</v>
      </c>
      <c r="B17" s="33" t="str">
        <v>CA</v>
      </c>
      <c r="C17" s="42">
        <v>285798</v>
      </c>
      <c r="D17" s="12">
        <v>300484.09999999998</v>
      </c>
      <c r="E17" s="80">
        <f t="shared" si="0"/>
        <v>0.95112520096737241</v>
      </c>
      <c r="F17" s="20">
        <v>298182</v>
      </c>
      <c r="G17" s="20">
        <f t="shared" si="1"/>
        <v>-12384</v>
      </c>
      <c r="H17" s="43">
        <f t="shared" si="5"/>
        <v>-4.153168199287683E-2</v>
      </c>
      <c r="I17" s="44">
        <v>317297.674</v>
      </c>
      <c r="J17" s="20">
        <f t="shared" si="2"/>
        <v>-31499.673999999999</v>
      </c>
      <c r="K17" s="43">
        <f t="shared" si="6"/>
        <v>-9.9274834268088585E-2</v>
      </c>
      <c r="L17" s="11"/>
      <c r="M17" s="11"/>
    </row>
    <row r="18" spans="1:15" ht="51.75" customHeight="1">
      <c r="A18" s="30" t="str">
        <v>CA: San Jose FHC - Citi</v>
      </c>
      <c r="B18" s="31" t="str">
        <v>CA</v>
      </c>
      <c r="C18" s="37">
        <v>53378.5</v>
      </c>
      <c r="D18" s="78">
        <v>57715.5</v>
      </c>
      <c r="E18" s="79">
        <f t="shared" si="0"/>
        <v>0.92485554140568826</v>
      </c>
      <c r="F18" s="14">
        <v>59155</v>
      </c>
      <c r="G18" s="14">
        <f t="shared" si="1"/>
        <v>-5776.5</v>
      </c>
      <c r="H18" s="38">
        <f t="shared" si="5"/>
        <v>-9.7650240892570364E-2</v>
      </c>
      <c r="I18" s="39">
        <v>60806.864000000001</v>
      </c>
      <c r="J18" s="39">
        <f t="shared" si="2"/>
        <v>-7428.3640000000014</v>
      </c>
      <c r="K18" s="40">
        <f t="shared" si="6"/>
        <v>-0.12216324788596236</v>
      </c>
      <c r="L18" s="41" t="s">
        <v>123</v>
      </c>
      <c r="M18" s="108" t="s">
        <v>153</v>
      </c>
      <c r="N18" s="104" t="s">
        <v>154</v>
      </c>
    </row>
    <row r="19" spans="1:15" ht="63.75" customHeight="1">
      <c r="A19" s="32" t="str">
        <v>CA: San Jose MOB - Citi</v>
      </c>
      <c r="B19" s="33" t="str">
        <v>CA</v>
      </c>
      <c r="C19" s="42">
        <v>81782.75</v>
      </c>
      <c r="D19" s="12">
        <v>91386</v>
      </c>
      <c r="E19" s="80">
        <f t="shared" si="0"/>
        <v>0.89491552316547396</v>
      </c>
      <c r="F19" s="20">
        <v>92166</v>
      </c>
      <c r="G19" s="20">
        <f t="shared" si="1"/>
        <v>-10383.25</v>
      </c>
      <c r="H19" s="43">
        <f t="shared" si="5"/>
        <v>-0.11265813857604756</v>
      </c>
      <c r="I19" s="44">
        <v>101706.77499999999</v>
      </c>
      <c r="J19" s="20">
        <f t="shared" si="2"/>
        <v>-19924.024999999994</v>
      </c>
      <c r="K19" s="43">
        <f t="shared" si="6"/>
        <v>-0.1958967335263555</v>
      </c>
      <c r="L19" s="84" t="s">
        <v>155</v>
      </c>
      <c r="M19" s="107" t="s">
        <v>126</v>
      </c>
      <c r="N19" s="104" t="s">
        <v>156</v>
      </c>
    </row>
    <row r="20" spans="1:15" ht="29.1">
      <c r="A20" s="30" t="str">
        <v>CA: Selma - Citi</v>
      </c>
      <c r="B20" s="31" t="str">
        <v>CA</v>
      </c>
      <c r="C20" s="37">
        <v>49911.5</v>
      </c>
      <c r="D20" s="78">
        <v>55270.29</v>
      </c>
      <c r="E20" s="79">
        <f t="shared" si="0"/>
        <v>0.90304393192074806</v>
      </c>
      <c r="F20" s="14">
        <v>54770</v>
      </c>
      <c r="G20" s="14">
        <f t="shared" si="1"/>
        <v>-4858.5</v>
      </c>
      <c r="H20" s="38">
        <f t="shared" si="5"/>
        <v>-8.8707321526383054E-2</v>
      </c>
      <c r="I20" s="39">
        <v>58466.923999999999</v>
      </c>
      <c r="J20" s="39">
        <f t="shared" si="2"/>
        <v>-8555.4239999999991</v>
      </c>
      <c r="K20" s="40">
        <f t="shared" si="6"/>
        <v>-0.14632929893831936</v>
      </c>
      <c r="L20" s="41" t="s">
        <v>157</v>
      </c>
      <c r="M20" s="108" t="s">
        <v>158</v>
      </c>
    </row>
    <row r="21" spans="1:15" ht="116.1">
      <c r="A21" s="32" t="str">
        <v>CA: Vacaville Hospital</v>
      </c>
      <c r="B21" s="33" t="str">
        <v>CA</v>
      </c>
      <c r="C21" s="42">
        <v>344789</v>
      </c>
      <c r="D21" s="12">
        <v>384708.33</v>
      </c>
      <c r="E21" s="80">
        <f t="shared" si="0"/>
        <v>0.89623481768642754</v>
      </c>
      <c r="F21" s="20">
        <v>379954</v>
      </c>
      <c r="G21" s="20">
        <f t="shared" si="1"/>
        <v>-35165</v>
      </c>
      <c r="H21" s="43">
        <f t="shared" si="5"/>
        <v>-9.2550677187238459E-2</v>
      </c>
      <c r="I21" s="44">
        <v>454280.38799999998</v>
      </c>
      <c r="J21" s="20">
        <f t="shared" si="2"/>
        <v>-109491.38799999998</v>
      </c>
      <c r="K21" s="43">
        <f t="shared" si="6"/>
        <v>-0.24102160448097526</v>
      </c>
      <c r="L21" s="85" t="s">
        <v>159</v>
      </c>
      <c r="M21" s="109" t="s">
        <v>160</v>
      </c>
      <c r="N21" s="104" t="s">
        <v>161</v>
      </c>
      <c r="O21" s="104" t="s">
        <v>161</v>
      </c>
    </row>
    <row r="22" spans="1:15" ht="116.1">
      <c r="A22" s="30" t="str">
        <v>CA: Manteca - KP Manteca Hospital</v>
      </c>
      <c r="B22" s="31" t="str">
        <v>CA</v>
      </c>
      <c r="C22" s="37">
        <v>75256.25</v>
      </c>
      <c r="D22" s="78">
        <v>126381</v>
      </c>
      <c r="E22" s="79">
        <f t="shared" si="0"/>
        <v>0.59547123380887945</v>
      </c>
      <c r="F22" s="14">
        <v>117746.31299999999</v>
      </c>
      <c r="G22" s="14">
        <f t="shared" si="1"/>
        <v>-42490.062999999995</v>
      </c>
      <c r="H22" s="38">
        <f t="shared" si="5"/>
        <v>-0.36086109125132432</v>
      </c>
      <c r="I22" s="39">
        <v>83101.055999999997</v>
      </c>
      <c r="J22" s="39">
        <f t="shared" si="2"/>
        <v>-7844.8059999999969</v>
      </c>
      <c r="K22" s="40">
        <f t="shared" si="6"/>
        <v>-9.4400797987452739E-2</v>
      </c>
      <c r="L22" s="41" t="s">
        <v>162</v>
      </c>
      <c r="M22" s="108" t="s">
        <v>163</v>
      </c>
      <c r="N22" s="104" t="s">
        <v>164</v>
      </c>
      <c r="O22" s="104" t="s">
        <v>165</v>
      </c>
    </row>
    <row r="23" spans="1:15" ht="108.75" customHeight="1">
      <c r="A23" s="32" t="str">
        <v>Sacramento - KP South Sacramento HSP</v>
      </c>
      <c r="B23" s="33" t="str">
        <v>CA</v>
      </c>
      <c r="C23" s="42">
        <v>376541.43</v>
      </c>
      <c r="D23" s="12">
        <v>0</v>
      </c>
      <c r="E23" s="80" t="str">
        <f>IFERROR(C23/D23, "")</f>
        <v/>
      </c>
      <c r="F23" s="20">
        <v>0</v>
      </c>
      <c r="G23" s="20">
        <f t="shared" si="1"/>
        <v>376541.43</v>
      </c>
      <c r="H23" s="38" t="str">
        <f>IFERROR(G23/F23, "")</f>
        <v/>
      </c>
      <c r="I23" s="44">
        <v>405860</v>
      </c>
      <c r="J23" s="20">
        <f t="shared" si="2"/>
        <v>-29318.570000000007</v>
      </c>
      <c r="K23" s="43">
        <f>IFERROR(J23/I23, "")</f>
        <v>-7.2238136303158743E-2</v>
      </c>
      <c r="L23" s="85" t="s">
        <v>166</v>
      </c>
      <c r="M23" s="109" t="s">
        <v>167</v>
      </c>
      <c r="N23" s="104" t="s">
        <v>168</v>
      </c>
      <c r="O23" s="104" t="s">
        <v>169</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1">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18" priority="1" stopIfTrue="1" operator="lessThanOrEqual">
      <formula>-0.1</formula>
    </cfRule>
    <cfRule type="expression" dxfId="17"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tabSelected="1" zoomScale="70" zoomScaleNormal="70" workbookViewId="0">
      <pane ySplit="2" topLeftCell="D6" activePane="bottomLeft" state="frozen"/>
      <selection pane="bottomLeft" activeCell="D6" sqref="D6"/>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32" t="str" cm="1">
        <f t="array" ref="A1">portfolio</f>
        <v>CITI</v>
      </c>
      <c r="B1" s="132"/>
      <c r="C1" s="132"/>
      <c r="D1" s="76" t="s">
        <v>0</v>
      </c>
      <c r="E1" s="76" t="s">
        <v>1</v>
      </c>
      <c r="F1" s="76" t="s">
        <v>170</v>
      </c>
      <c r="G1" s="133" t="s">
        <v>171</v>
      </c>
      <c r="H1" s="133"/>
      <c r="I1" s="133"/>
      <c r="J1" s="131" t="s">
        <v>172</v>
      </c>
      <c r="K1" s="131"/>
      <c r="L1" s="131"/>
      <c r="M1" s="5"/>
      <c r="N1" s="5"/>
    </row>
    <row r="2" spans="1:18" ht="19.5" customHeight="1">
      <c r="A2" s="134" t="s">
        <v>4</v>
      </c>
      <c r="B2" s="134"/>
      <c r="C2" s="6">
        <f>SUM(C4:C100)</f>
        <v>2862257.94</v>
      </c>
      <c r="D2" s="6">
        <f>SUM(D4:D22)</f>
        <v>2847464</v>
      </c>
      <c r="E2" s="7">
        <f>C2/D2</f>
        <v>1.0051954792053561</v>
      </c>
      <c r="F2" s="7">
        <f>AVERAGE(F4:F22)</f>
        <v>0.91340404588637836</v>
      </c>
      <c r="G2" s="6">
        <f>SUM(G4:G100)</f>
        <v>2604610</v>
      </c>
      <c r="H2" s="6">
        <f>C2-G2</f>
        <v>257647.93999999994</v>
      </c>
      <c r="I2" s="7">
        <f>IFERROR(H2/G2, 0)</f>
        <v>9.8919968824507293E-2</v>
      </c>
      <c r="J2" s="6">
        <f>SUM(J4:J100)</f>
        <v>3219200</v>
      </c>
      <c r="K2" s="8">
        <f>C2-J2</f>
        <v>-356942.06000000006</v>
      </c>
      <c r="L2" s="7">
        <f>IFERROR(K2/J2, 0)</f>
        <v>-0.1108791190357853</v>
      </c>
      <c r="M2" s="28" t="str">
        <f ca="1">IF(AND(TODAY()&gt;DATE(2024, 6, 1), COUNTA(Sites[Site])&lt;&gt;(COUNT(C:C)-1)), "Some sites are missing actual data; if new sites were added, make sure they are aligned correctly (including prior months!)", "")</f>
        <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82695.75</v>
      </c>
      <c r="D4" s="78">
        <v>76877</v>
      </c>
      <c r="E4" s="79">
        <f t="shared" ref="E4:E21" si="0">C4/D4</f>
        <v>1.0756890877635703</v>
      </c>
      <c r="F4" s="79">
        <f>(SUM(C4,May!C4,Apr!C4))/(SUM(Apr!D4,May!D4,Jun!D4))</f>
        <v>1.0681992387106014</v>
      </c>
      <c r="G4" s="14">
        <v>82043</v>
      </c>
      <c r="H4" s="14">
        <f>IF(AND(ISNUMBER(C4),ISNUMBER(G4)), C4-G4, "")</f>
        <v>652.75</v>
      </c>
      <c r="I4" s="15">
        <f>IFERROR(H4/G4, "")</f>
        <v>7.9561937033019274E-3</v>
      </c>
      <c r="J4" s="125">
        <v>76116</v>
      </c>
      <c r="K4" s="16">
        <f>IF(AND(ISNUMBER(C4),ISNUMBER(J4)), C4-J4, "")</f>
        <v>6579.75</v>
      </c>
      <c r="L4" s="17">
        <f>IFERROR(K4/J4, "")</f>
        <v>8.6443717483840457E-2</v>
      </c>
      <c r="M4" s="18"/>
      <c r="N4" s="18"/>
      <c r="O4" s="113"/>
      <c r="P4" s="113"/>
      <c r="Q4" s="113"/>
      <c r="R4" s="113"/>
    </row>
    <row r="5" spans="1:18" ht="15.6">
      <c r="A5" s="32" t="str">
        <v>CA: Antioch MC CUP - Citi</v>
      </c>
      <c r="B5" s="33" t="str">
        <v>CA</v>
      </c>
      <c r="C5" s="12">
        <v>268167</v>
      </c>
      <c r="D5" s="12">
        <v>262669</v>
      </c>
      <c r="E5" s="80">
        <f t="shared" si="0"/>
        <v>1.0209312861433972</v>
      </c>
      <c r="F5" s="80">
        <f>(SUM(C5,May!C5,Apr!C5))/(SUM(Apr!D5,May!D5,Jun!D5))</f>
        <v>1.0293460537073305</v>
      </c>
      <c r="G5" s="20">
        <v>282694</v>
      </c>
      <c r="H5" s="20">
        <f t="shared" ref="H5:H23" si="1">IF(AND(ISNUMBER(C5),ISNUMBER(G5)), C5-G5, "")</f>
        <v>-14527</v>
      </c>
      <c r="I5" s="21">
        <f>IFERROR(H5/G5, "")</f>
        <v>-5.1387719583719502E-2</v>
      </c>
      <c r="J5" s="126">
        <v>260045</v>
      </c>
      <c r="K5" s="22">
        <f t="shared" ref="K5:K22" si="2">IF(AND(ISNUMBER(C5),ISNUMBER(J5)), C5-J5, "")</f>
        <v>8122</v>
      </c>
      <c r="L5" s="21">
        <f>IFERROR(K5/J5, "")</f>
        <v>3.1233055817262396E-2</v>
      </c>
      <c r="M5" s="11"/>
      <c r="N5" s="19"/>
      <c r="O5" s="113"/>
      <c r="P5" s="113"/>
      <c r="Q5" s="113"/>
      <c r="R5" s="113"/>
    </row>
    <row r="6" spans="1:18" ht="72.599999999999994">
      <c r="A6" s="30" t="str">
        <v>CA: Clovis - Citi</v>
      </c>
      <c r="B6" s="31" t="str">
        <v>CA</v>
      </c>
      <c r="C6" s="26">
        <v>114614.5</v>
      </c>
      <c r="D6" s="78">
        <v>114359</v>
      </c>
      <c r="E6" s="79">
        <f t="shared" si="0"/>
        <v>1.0022341923241722</v>
      </c>
      <c r="F6" s="79">
        <f>(SUM(C6,May!C6,Apr!C6))/(SUM(Apr!D6,May!D6,Jun!D6))</f>
        <v>0.98396438579245049</v>
      </c>
      <c r="G6" s="14">
        <v>3523</v>
      </c>
      <c r="H6" s="14">
        <f t="shared" si="1"/>
        <v>111091.5</v>
      </c>
      <c r="I6" s="15">
        <f t="shared" ref="I6:I23" si="3">IFERROR(H6/G6, "")</f>
        <v>31.533210332103319</v>
      </c>
      <c r="J6" s="125">
        <v>110410</v>
      </c>
      <c r="K6" s="16">
        <f t="shared" si="2"/>
        <v>4204.5</v>
      </c>
      <c r="L6" s="17">
        <f t="shared" ref="L6:L23" si="4">IFERROR(K6/J6, "")</f>
        <v>3.8080789783534102E-2</v>
      </c>
      <c r="M6" s="18" t="s">
        <v>173</v>
      </c>
      <c r="N6" s="99" t="s">
        <v>138</v>
      </c>
      <c r="O6" s="113"/>
      <c r="P6" s="113"/>
      <c r="Q6" s="113"/>
      <c r="R6" s="113"/>
    </row>
    <row r="7" spans="1:18" ht="15.6">
      <c r="A7" s="32" t="str">
        <v>CA: Elk Grove MOB - Citi</v>
      </c>
      <c r="B7" s="33" t="str">
        <v>CA</v>
      </c>
      <c r="C7" s="12">
        <v>171629</v>
      </c>
      <c r="D7" s="12">
        <v>182422</v>
      </c>
      <c r="E7" s="80">
        <f t="shared" si="0"/>
        <v>0.94083498700814594</v>
      </c>
      <c r="F7" s="80">
        <f>(SUM(C7,May!C7,Apr!C7))/(SUM(Apr!D7,May!D7,Jun!D7))</f>
        <v>0.96071174097424583</v>
      </c>
      <c r="G7" s="20">
        <v>188607</v>
      </c>
      <c r="H7" s="20">
        <f t="shared" si="1"/>
        <v>-16978</v>
      </c>
      <c r="I7" s="21">
        <f t="shared" si="3"/>
        <v>-9.0017867841596544E-2</v>
      </c>
      <c r="J7" s="126">
        <v>180616</v>
      </c>
      <c r="K7" s="22">
        <f t="shared" si="2"/>
        <v>-8987</v>
      </c>
      <c r="L7" s="21">
        <f t="shared" si="4"/>
        <v>-4.9757496567303008E-2</v>
      </c>
      <c r="M7" s="66"/>
      <c r="N7" s="66"/>
      <c r="O7" s="113"/>
      <c r="P7" s="113"/>
      <c r="Q7" s="113"/>
      <c r="R7" s="113"/>
    </row>
    <row r="8" spans="1:18" ht="29.1">
      <c r="A8" s="30" t="str">
        <v>CA: Elk Grove Promenade - Citi</v>
      </c>
      <c r="B8" s="31" t="str">
        <v>CA</v>
      </c>
      <c r="C8" s="26">
        <v>97576.5</v>
      </c>
      <c r="D8" s="78">
        <v>95644</v>
      </c>
      <c r="E8" s="79">
        <f t="shared" si="0"/>
        <v>1.0202051357115971</v>
      </c>
      <c r="F8" s="79">
        <f>(SUM(C8,May!C8,Apr!C8))/(SUM(Apr!D8,May!D8,Jun!D8))</f>
        <v>0.98715785002961853</v>
      </c>
      <c r="G8" s="14">
        <v>96119</v>
      </c>
      <c r="H8" s="14">
        <f t="shared" si="1"/>
        <v>1457.5</v>
      </c>
      <c r="I8" s="15">
        <f t="shared" si="3"/>
        <v>1.5163495250678847E-2</v>
      </c>
      <c r="J8" s="125">
        <v>94697</v>
      </c>
      <c r="K8" s="16">
        <f t="shared" si="2"/>
        <v>2879.5</v>
      </c>
      <c r="L8" s="17">
        <f t="shared" si="4"/>
        <v>3.0407510269596715E-2</v>
      </c>
      <c r="M8" s="58" t="s">
        <v>107</v>
      </c>
      <c r="N8" s="101" t="s">
        <v>174</v>
      </c>
      <c r="O8" s="113"/>
      <c r="P8" s="113"/>
      <c r="Q8" s="113"/>
      <c r="R8" s="113"/>
    </row>
    <row r="9" spans="1:18" ht="15.6">
      <c r="A9" s="32" t="str">
        <v>CA: Fresno Sequioa - Citi</v>
      </c>
      <c r="B9" s="33" t="str">
        <v>CA</v>
      </c>
      <c r="C9" s="12">
        <v>188158.5</v>
      </c>
      <c r="D9" s="12">
        <v>187953</v>
      </c>
      <c r="E9" s="80">
        <f t="shared" si="0"/>
        <v>1.0010933584459945</v>
      </c>
      <c r="F9" s="80">
        <f>(SUM(C9,May!C9,Apr!C9))/(SUM(Apr!D9,May!D9,Jun!D9))</f>
        <v>0.97420361696710267</v>
      </c>
      <c r="G9" s="20">
        <v>193590</v>
      </c>
      <c r="H9" s="20">
        <f t="shared" si="1"/>
        <v>-5431.5</v>
      </c>
      <c r="I9" s="21">
        <f t="shared" si="3"/>
        <v>-2.8056717805671781E-2</v>
      </c>
      <c r="J9" s="126">
        <v>186130</v>
      </c>
      <c r="K9" s="22">
        <f t="shared" si="2"/>
        <v>2028.5</v>
      </c>
      <c r="L9" s="21">
        <f t="shared" si="4"/>
        <v>1.089829688927094E-2</v>
      </c>
      <c r="M9" s="59"/>
      <c r="N9" s="59"/>
      <c r="O9" s="113"/>
      <c r="P9" s="113"/>
      <c r="Q9" s="113"/>
      <c r="R9" s="113"/>
    </row>
    <row r="10" spans="1:18" ht="15.6">
      <c r="A10" s="30" t="str">
        <v>CA: Fresno MOB - Citi</v>
      </c>
      <c r="B10" s="31" t="str">
        <v>CA</v>
      </c>
      <c r="C10" s="26">
        <v>72933.75</v>
      </c>
      <c r="D10" s="78">
        <v>75912</v>
      </c>
      <c r="E10" s="79">
        <f t="shared" si="0"/>
        <v>0.96076707239962056</v>
      </c>
      <c r="F10" s="79">
        <f>(SUM(C10,May!C10,Apr!C10))/(SUM(Apr!D10,May!D10,Jun!D10))</f>
        <v>0.87620103327589915</v>
      </c>
      <c r="G10" s="14">
        <v>76017</v>
      </c>
      <c r="H10" s="14">
        <f t="shared" si="1"/>
        <v>-3083.25</v>
      </c>
      <c r="I10" s="15">
        <f t="shared" si="3"/>
        <v>-4.0560006314377048E-2</v>
      </c>
      <c r="J10" s="125">
        <v>76017</v>
      </c>
      <c r="K10" s="16">
        <f t="shared" si="2"/>
        <v>-3083.25</v>
      </c>
      <c r="L10" s="17">
        <f t="shared" si="4"/>
        <v>-4.0560006314377048E-2</v>
      </c>
      <c r="M10" s="58" t="s">
        <v>175</v>
      </c>
      <c r="N10" s="101" t="s">
        <v>176</v>
      </c>
      <c r="O10" s="113"/>
      <c r="P10" s="113"/>
      <c r="Q10" s="113"/>
      <c r="R10" s="113"/>
    </row>
    <row r="11" spans="1:18" ht="72.599999999999994">
      <c r="A11" s="32" t="str">
        <v>CA: Modesto Bangs - Citi</v>
      </c>
      <c r="B11" s="33" t="str">
        <v>CA</v>
      </c>
      <c r="C11" s="12">
        <v>46412.88</v>
      </c>
      <c r="D11" s="12">
        <v>54773</v>
      </c>
      <c r="E11" s="80">
        <f t="shared" si="0"/>
        <v>0.84736786372847928</v>
      </c>
      <c r="F11" s="80">
        <f>(SUM(C11,May!C11,Apr!C11))/(SUM(Apr!D11,May!D11,Jun!D11))</f>
        <v>0.85491631831155424</v>
      </c>
      <c r="G11" s="20">
        <v>77</v>
      </c>
      <c r="H11" s="20">
        <f t="shared" si="1"/>
        <v>46335.88</v>
      </c>
      <c r="I11" s="21">
        <f t="shared" si="3"/>
        <v>601.7646753246753</v>
      </c>
      <c r="J11" s="126">
        <v>54506</v>
      </c>
      <c r="K11" s="22">
        <f t="shared" si="2"/>
        <v>-8093.1200000000026</v>
      </c>
      <c r="L11" s="21">
        <f t="shared" si="4"/>
        <v>-0.14848126811727155</v>
      </c>
      <c r="M11" s="66" t="s">
        <v>177</v>
      </c>
      <c r="N11" s="102" t="s">
        <v>178</v>
      </c>
      <c r="O11" s="113"/>
      <c r="P11" s="113"/>
      <c r="Q11" s="113"/>
      <c r="R11" s="113"/>
    </row>
    <row r="12" spans="1:18" ht="57.95">
      <c r="A12" s="30" t="str">
        <v>CA: Napa Data Center - Citi</v>
      </c>
      <c r="B12" s="31" t="str">
        <v>CA</v>
      </c>
      <c r="C12" s="26">
        <v>48182.12</v>
      </c>
      <c r="D12" s="78">
        <v>54497</v>
      </c>
      <c r="E12" s="79">
        <f t="shared" si="0"/>
        <v>0.88412426372093877</v>
      </c>
      <c r="F12" s="79">
        <f>(SUM(C12,May!C12,Apr!C12))/(SUM(Apr!D12,May!D12,Jun!D12))</f>
        <v>0.88130386333397615</v>
      </c>
      <c r="G12" s="14">
        <v>56426</v>
      </c>
      <c r="H12" s="14">
        <f t="shared" si="1"/>
        <v>-8243.8799999999974</v>
      </c>
      <c r="I12" s="15">
        <f t="shared" si="3"/>
        <v>-0.14610073370432067</v>
      </c>
      <c r="J12" s="125">
        <v>52456</v>
      </c>
      <c r="K12" s="16">
        <f t="shared" si="2"/>
        <v>-4273.8799999999974</v>
      </c>
      <c r="L12" s="17">
        <f t="shared" si="4"/>
        <v>-8.1475522342534648E-2</v>
      </c>
      <c r="M12" s="58" t="s">
        <v>179</v>
      </c>
      <c r="N12" s="101" t="s">
        <v>180</v>
      </c>
      <c r="O12" s="113"/>
      <c r="P12" s="113"/>
      <c r="Q12" s="113"/>
      <c r="R12" s="113"/>
    </row>
    <row r="13" spans="1:18" ht="137.25" customHeight="1">
      <c r="A13" s="32" t="str">
        <v>CA: Petaluma MOB - Citi</v>
      </c>
      <c r="B13" s="33" t="str">
        <v>CA</v>
      </c>
      <c r="C13" s="12">
        <v>106306.5</v>
      </c>
      <c r="D13" s="12">
        <v>124350</v>
      </c>
      <c r="E13" s="80">
        <f t="shared" si="0"/>
        <v>0.85489746682750301</v>
      </c>
      <c r="F13" s="80">
        <f>(SUM(C13,May!C13,Apr!C13))/(SUM(Apr!D13,May!D13,Jun!D13))</f>
        <v>0.86458202353109592</v>
      </c>
      <c r="G13" s="20">
        <v>11504</v>
      </c>
      <c r="H13" s="20">
        <f t="shared" si="1"/>
        <v>94802.5</v>
      </c>
      <c r="I13" s="21">
        <f t="shared" si="3"/>
        <v>8.2408292767732956</v>
      </c>
      <c r="J13" s="126">
        <v>119663</v>
      </c>
      <c r="K13" s="22">
        <f t="shared" si="2"/>
        <v>-13356.5</v>
      </c>
      <c r="L13" s="21">
        <f t="shared" si="4"/>
        <v>-0.11161762616681849</v>
      </c>
      <c r="M13" s="66" t="s">
        <v>181</v>
      </c>
      <c r="N13" s="107" t="s">
        <v>182</v>
      </c>
      <c r="O13" s="105" t="s">
        <v>147</v>
      </c>
      <c r="P13" s="113"/>
      <c r="Q13" s="113"/>
      <c r="R13" s="113"/>
    </row>
    <row r="14" spans="1:18" ht="57.95">
      <c r="A14" s="30" t="str">
        <v>CA: Pleasanton Tec Ctr - Citi</v>
      </c>
      <c r="B14" s="31" t="str">
        <v>CA</v>
      </c>
      <c r="C14" s="26">
        <v>153379.5</v>
      </c>
      <c r="D14" s="78">
        <v>176505</v>
      </c>
      <c r="E14" s="79">
        <f t="shared" si="0"/>
        <v>0.86898104869550441</v>
      </c>
      <c r="F14" s="79">
        <f>(SUM(C14,May!C14,Apr!C14))/(SUM(Apr!D14,May!D14,Jun!D14))</f>
        <v>0.84704208834696859</v>
      </c>
      <c r="G14" s="14">
        <v>183386</v>
      </c>
      <c r="H14" s="14">
        <f t="shared" si="1"/>
        <v>-30006.5</v>
      </c>
      <c r="I14" s="15">
        <f t="shared" si="3"/>
        <v>-0.16362481323547054</v>
      </c>
      <c r="J14" s="125">
        <v>174859</v>
      </c>
      <c r="K14" s="16">
        <f t="shared" si="2"/>
        <v>-21479.5</v>
      </c>
      <c r="L14" s="17">
        <f t="shared" si="4"/>
        <v>-0.12283897311548161</v>
      </c>
      <c r="M14" s="58" t="s">
        <v>183</v>
      </c>
      <c r="N14" s="101" t="s">
        <v>184</v>
      </c>
      <c r="O14" s="105" t="s">
        <v>151</v>
      </c>
      <c r="P14" s="113"/>
      <c r="Q14" s="113"/>
      <c r="R14" s="113"/>
    </row>
    <row r="15" spans="1:18" ht="72.599999999999994">
      <c r="A15" s="32" t="str">
        <v>CA: Rancho Cordova - Citi</v>
      </c>
      <c r="B15" s="33" t="str">
        <v>CA</v>
      </c>
      <c r="C15" s="12">
        <v>238318</v>
      </c>
      <c r="D15" s="12">
        <v>236948</v>
      </c>
      <c r="E15" s="80">
        <f t="shared" si="0"/>
        <v>1.0057818593109036</v>
      </c>
      <c r="F15" s="80">
        <f>(SUM(C15,May!C15,Apr!C15))/(SUM(Apr!D15,May!D15,Jun!D15))</f>
        <v>1.0216902057810746</v>
      </c>
      <c r="G15" s="20">
        <v>252933</v>
      </c>
      <c r="H15" s="20">
        <f t="shared" si="1"/>
        <v>-14615</v>
      </c>
      <c r="I15" s="21">
        <f t="shared" si="3"/>
        <v>-5.7782100398129151E-2</v>
      </c>
      <c r="J15" s="126">
        <v>235530</v>
      </c>
      <c r="K15" s="22">
        <f t="shared" si="2"/>
        <v>2788</v>
      </c>
      <c r="L15" s="21">
        <f t="shared" si="4"/>
        <v>1.1837133273892922E-2</v>
      </c>
      <c r="M15" s="66" t="s">
        <v>185</v>
      </c>
      <c r="N15" s="107" t="s">
        <v>186</v>
      </c>
      <c r="O15" s="105" t="s">
        <v>187</v>
      </c>
      <c r="P15" s="113"/>
      <c r="Q15" s="113"/>
      <c r="R15" s="113"/>
    </row>
    <row r="16" spans="1:18" ht="15.6">
      <c r="A16" s="30" t="str">
        <v>CA: S Sacramento Wyndham - Citi</v>
      </c>
      <c r="B16" s="31" t="str">
        <v>CA</v>
      </c>
      <c r="C16" s="37">
        <v>142944</v>
      </c>
      <c r="D16" s="78">
        <v>158605</v>
      </c>
      <c r="E16" s="79">
        <f t="shared" si="0"/>
        <v>0.90125784180826585</v>
      </c>
      <c r="F16" s="79">
        <f>(SUM(C16,May!C16,Apr!C16))/(SUM(Apr!D16,May!D16,Jun!D16))</f>
        <v>0.89431478433034084</v>
      </c>
      <c r="G16" s="14">
        <v>151388</v>
      </c>
      <c r="H16" s="14">
        <f t="shared" si="1"/>
        <v>-8444</v>
      </c>
      <c r="I16" s="15">
        <f t="shared" si="3"/>
        <v>-5.5777208233149259E-2</v>
      </c>
      <c r="J16" s="125">
        <v>157510</v>
      </c>
      <c r="K16" s="39">
        <f t="shared" si="2"/>
        <v>-14566</v>
      </c>
      <c r="L16" s="17">
        <f t="shared" si="4"/>
        <v>-9.2476668148054095E-2</v>
      </c>
      <c r="M16" s="67" t="s">
        <v>152</v>
      </c>
      <c r="N16" s="67"/>
      <c r="O16" s="113"/>
      <c r="P16" s="113"/>
      <c r="Q16" s="113"/>
      <c r="R16" s="113"/>
    </row>
    <row r="17" spans="1:18" ht="101.45">
      <c r="A17" s="32" t="str">
        <v>CA: Sacramento Point West - Citi</v>
      </c>
      <c r="B17" s="33" t="str">
        <v>CA</v>
      </c>
      <c r="C17" s="42">
        <v>290056</v>
      </c>
      <c r="D17" s="12">
        <v>302720</v>
      </c>
      <c r="E17" s="80">
        <f t="shared" si="0"/>
        <v>0.95816596194503167</v>
      </c>
      <c r="F17" s="80">
        <f>(SUM(C17,May!C17,Apr!C17))/(SUM(Apr!D17,May!D17,Jun!D17))</f>
        <v>0.95218728836546473</v>
      </c>
      <c r="G17" s="20">
        <v>309080</v>
      </c>
      <c r="H17" s="20">
        <f t="shared" si="1"/>
        <v>-19024</v>
      </c>
      <c r="I17" s="21">
        <f t="shared" si="3"/>
        <v>-6.1550407661446878E-2</v>
      </c>
      <c r="J17" s="126">
        <v>300289</v>
      </c>
      <c r="K17" s="44">
        <f t="shared" si="2"/>
        <v>-10233</v>
      </c>
      <c r="L17" s="21">
        <f t="shared" si="4"/>
        <v>-3.4077172323994549E-2</v>
      </c>
      <c r="M17" s="66" t="s">
        <v>188</v>
      </c>
      <c r="N17" s="107" t="s">
        <v>189</v>
      </c>
      <c r="O17" s="105" t="s">
        <v>94</v>
      </c>
      <c r="P17" s="105" t="s">
        <v>190</v>
      </c>
      <c r="Q17" s="113"/>
      <c r="R17" s="113"/>
    </row>
    <row r="18" spans="1:18" ht="60.75" customHeight="1">
      <c r="A18" s="30" t="str">
        <v>CA: San Jose FHC - Citi</v>
      </c>
      <c r="B18" s="31" t="str">
        <v>CA</v>
      </c>
      <c r="C18" s="37">
        <v>54915.75</v>
      </c>
      <c r="D18" s="78">
        <v>60463</v>
      </c>
      <c r="E18" s="79">
        <f t="shared" si="0"/>
        <v>0.90825380811405321</v>
      </c>
      <c r="F18" s="79">
        <f>(SUM(C18,May!C18,Apr!C18))/(SUM(Apr!D18,May!D18,Jun!D18))</f>
        <v>0.90620691121682784</v>
      </c>
      <c r="G18" s="14">
        <v>60009</v>
      </c>
      <c r="H18" s="14">
        <f t="shared" si="1"/>
        <v>-5093.25</v>
      </c>
      <c r="I18" s="15">
        <f t="shared" si="3"/>
        <v>-8.4874768784682295E-2</v>
      </c>
      <c r="J18" s="125">
        <v>61970</v>
      </c>
      <c r="K18" s="39">
        <f t="shared" si="2"/>
        <v>-7054.25</v>
      </c>
      <c r="L18" s="17">
        <f t="shared" si="4"/>
        <v>-0.11383330643859932</v>
      </c>
      <c r="M18" s="41" t="s">
        <v>191</v>
      </c>
      <c r="N18" s="108" t="s">
        <v>192</v>
      </c>
      <c r="O18" s="105" t="s">
        <v>154</v>
      </c>
      <c r="P18" s="105" t="s">
        <v>154</v>
      </c>
      <c r="Q18" s="113"/>
      <c r="R18" s="113"/>
    </row>
    <row r="19" spans="1:18" ht="29.1">
      <c r="A19" s="32" t="str">
        <v>CA: San Jose MOB - Citi</v>
      </c>
      <c r="B19" s="33" t="str">
        <v>CA</v>
      </c>
      <c r="C19" s="65">
        <v>92353.5</v>
      </c>
      <c r="D19" s="12">
        <v>95898</v>
      </c>
      <c r="E19" s="80">
        <f t="shared" si="0"/>
        <v>0.96303885378214349</v>
      </c>
      <c r="F19" s="80">
        <f>(SUM(C19,May!C19,Apr!C19))/(SUM(Apr!D19,May!D19,Jun!D19))</f>
        <v>0.88392338956807592</v>
      </c>
      <c r="G19" s="20">
        <v>99821</v>
      </c>
      <c r="H19" s="20">
        <f t="shared" si="1"/>
        <v>-7467.5</v>
      </c>
      <c r="I19" s="21">
        <f t="shared" si="3"/>
        <v>-7.480890794522195E-2</v>
      </c>
      <c r="J19" s="126">
        <v>96716</v>
      </c>
      <c r="K19" s="44">
        <f t="shared" si="2"/>
        <v>-4362.5</v>
      </c>
      <c r="L19" s="21">
        <f t="shared" si="4"/>
        <v>-4.5106290582737088E-2</v>
      </c>
      <c r="M19" s="84" t="s">
        <v>193</v>
      </c>
      <c r="N19" s="100" t="s">
        <v>194</v>
      </c>
      <c r="O19" s="113"/>
      <c r="P19" s="113"/>
      <c r="Q19" s="113"/>
      <c r="R19" s="113"/>
    </row>
    <row r="20" spans="1:18" ht="15.6">
      <c r="A20" s="30" t="str">
        <v>CA: Selma - Citi</v>
      </c>
      <c r="B20" s="31" t="str">
        <v>CA</v>
      </c>
      <c r="C20" s="37">
        <v>55049.88</v>
      </c>
      <c r="D20" s="78">
        <v>58141</v>
      </c>
      <c r="E20" s="79">
        <f t="shared" si="0"/>
        <v>0.94683407578129031</v>
      </c>
      <c r="F20" s="79">
        <f>(SUM(C20,May!C20,Apr!C20))/(SUM(Apr!D20,May!D20,Jun!D20))</f>
        <v>0.91000568444398533</v>
      </c>
      <c r="G20" s="14">
        <v>59824</v>
      </c>
      <c r="H20" s="14">
        <f t="shared" si="1"/>
        <v>-4774.1200000000026</v>
      </c>
      <c r="I20" s="15">
        <f t="shared" si="3"/>
        <v>-7.9802754747258675E-2</v>
      </c>
      <c r="J20" s="125">
        <v>57686</v>
      </c>
      <c r="K20" s="39">
        <f t="shared" si="2"/>
        <v>-2636.1200000000026</v>
      </c>
      <c r="L20" s="17">
        <f t="shared" si="4"/>
        <v>-4.5697742953229599E-2</v>
      </c>
      <c r="M20" s="41"/>
      <c r="N20" s="41"/>
      <c r="O20" s="113"/>
      <c r="P20" s="113"/>
      <c r="Q20" s="113"/>
      <c r="R20" s="113"/>
    </row>
    <row r="21" spans="1:18" ht="87">
      <c r="A21" s="32" t="str">
        <v>CA: Vacaville Hospital</v>
      </c>
      <c r="B21" s="33" t="str">
        <v>CA</v>
      </c>
      <c r="C21" s="42">
        <v>305809.75</v>
      </c>
      <c r="D21" s="12">
        <v>398845</v>
      </c>
      <c r="E21" s="80">
        <f t="shared" si="0"/>
        <v>0.76673833193345786</v>
      </c>
      <c r="F21" s="80">
        <f>(SUM(C21,May!C21,Apr!C21))/(SUM(Apr!D21,May!D21,Jun!D21))</f>
        <v>0.83491879590586393</v>
      </c>
      <c r="G21" s="20">
        <v>450299</v>
      </c>
      <c r="H21" s="20">
        <f t="shared" si="1"/>
        <v>-144489.25</v>
      </c>
      <c r="I21" s="21">
        <f t="shared" si="3"/>
        <v>-0.32087401926275655</v>
      </c>
      <c r="J21" s="126">
        <v>394009</v>
      </c>
      <c r="K21" s="44">
        <f t="shared" si="2"/>
        <v>-88199.25</v>
      </c>
      <c r="L21" s="21">
        <f t="shared" si="4"/>
        <v>-0.2238508511226901</v>
      </c>
      <c r="M21" s="85" t="s">
        <v>195</v>
      </c>
      <c r="N21" s="100" t="s">
        <v>196</v>
      </c>
      <c r="O21" s="113"/>
      <c r="P21" s="113"/>
      <c r="Q21" s="113"/>
      <c r="R21" s="113"/>
    </row>
    <row r="22" spans="1:18" ht="72.599999999999994">
      <c r="A22" s="30" t="str">
        <v>CA: Manteca - KP Manteca Hospital</v>
      </c>
      <c r="B22" s="31" t="str">
        <v>CA</v>
      </c>
      <c r="C22" s="37">
        <v>50800.62</v>
      </c>
      <c r="D22" s="78">
        <v>129883</v>
      </c>
      <c r="E22" s="124">
        <f>C22/D22</f>
        <v>0.39112601341207087</v>
      </c>
      <c r="F22" s="79">
        <f>(SUM(C22,May!C22,Apr!C22))/(SUM(Apr!D22,May!D22,Jun!D22))</f>
        <v>0.62380159924871215</v>
      </c>
      <c r="G22" s="14">
        <v>47270</v>
      </c>
      <c r="H22" s="14">
        <f t="shared" si="1"/>
        <v>3530.6200000000026</v>
      </c>
      <c r="I22" s="15">
        <f t="shared" si="3"/>
        <v>7.4690501375079391E-2</v>
      </c>
      <c r="J22" s="125">
        <v>122772</v>
      </c>
      <c r="K22" s="39">
        <f t="shared" si="2"/>
        <v>-71971.38</v>
      </c>
      <c r="L22" s="17">
        <f t="shared" si="4"/>
        <v>-0.58621982210927581</v>
      </c>
      <c r="M22" s="41" t="s">
        <v>197</v>
      </c>
      <c r="N22" s="108" t="s">
        <v>198</v>
      </c>
      <c r="O22" s="105" t="s">
        <v>199</v>
      </c>
      <c r="P22" s="113"/>
      <c r="Q22" s="113"/>
      <c r="R22" s="113"/>
    </row>
    <row r="23" spans="1:18" ht="87">
      <c r="A23" s="32" t="str">
        <v>Sacramento - KP South Sacramento HSP</v>
      </c>
      <c r="B23" s="33" t="str">
        <v>CA</v>
      </c>
      <c r="C23" s="42">
        <v>281954.44</v>
      </c>
      <c r="D23" s="115">
        <v>0</v>
      </c>
      <c r="E23" s="80" t="str">
        <f>IFERROR(C23/D23, "")</f>
        <v/>
      </c>
      <c r="F23" s="117" t="str">
        <f>IFERROR((SUM(C23,May!C23,Apr!C23))/(SUM(Apr!D23,May!D23,Jun!D23)), "")</f>
        <v/>
      </c>
      <c r="G23" s="20">
        <v>0</v>
      </c>
      <c r="H23" s="20">
        <f t="shared" si="1"/>
        <v>281954.44</v>
      </c>
      <c r="I23" s="21" t="str">
        <f t="shared" si="3"/>
        <v/>
      </c>
      <c r="J23" s="126">
        <v>407203</v>
      </c>
      <c r="K23" s="44">
        <f>IF(AND(ISNUMBER(C23),ISNUMBER(J23)), C23-J23, "")</f>
        <v>-125248.56</v>
      </c>
      <c r="L23" s="21">
        <f t="shared" si="4"/>
        <v>-0.30758260621852002</v>
      </c>
      <c r="M23" s="85" t="s">
        <v>200</v>
      </c>
      <c r="N23" s="100" t="s">
        <v>201</v>
      </c>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1">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16" priority="1" stopIfTrue="1" operator="lessThanOrEqual">
      <formula>-0.1</formula>
    </cfRule>
    <cfRule type="expression" dxfId="15" priority="2">
      <formula>AND(ISNUMBER(I2), I2&gt;=0.1)</formula>
    </cfRule>
  </conditionalFormatting>
  <hyperlinks>
    <hyperlink ref="N6" r:id="rId1" display="https://us3.assetplanner.com/service_request?ID=099622" xr:uid="{D7451388-43BD-418C-8D55-50E703FE9243}"/>
    <hyperlink ref="N8" r:id="rId2" display="https://us3.assetplanner.com/service_request?ID=009943" xr:uid="{98B3C1CC-5CAE-4CA7-8040-836BC5CB4EEE}"/>
    <hyperlink ref="N10" r:id="rId3" display="https://us3.assetplanner.com/service_request?ID=103832" xr:uid="{D823A470-930D-474A-B1A9-F93C5D782171}"/>
    <hyperlink ref="N11" r:id="rId4" display="https://us3.assetplanner.com/service_request?ID=099861" xr:uid="{CFCB20B5-E6DF-4DC0-B069-034E0D7AB653}"/>
    <hyperlink ref="N12" r:id="rId5" display="https://us3.assetplanner.com/service_request?ID=098674" xr:uid="{D8B1EFC2-1EBB-4D82-891B-E44F8805C787}"/>
    <hyperlink ref="N13" r:id="rId6" display="https://us3.assetplanner.com/service_request?ID=099433" xr:uid="{7723A2F2-279D-4A23-8F59-4DDBAA66F154}"/>
    <hyperlink ref="O13" r:id="rId7" display="https://us3.assetplanner.com/service_request?ID=100933" xr:uid="{1285E3F4-5DC9-4157-B45A-7F5940546BE5}"/>
    <hyperlink ref="N14" r:id="rId8" display="https://us3.assetplanner.com/service_request?ID=099231" xr:uid="{E8A77865-F2B1-4E7A-B070-742F20E87276}"/>
    <hyperlink ref="O14" r:id="rId9" display="https://us3.assetplanner.com/service_request?ID=099339" xr:uid="{67FE9812-F997-43AD-B7EF-9A00E5DA8BD1}"/>
    <hyperlink ref="N15" r:id="rId10" display="https://us3.assetplanner.com/service_request?ID=102225" xr:uid="{2538227A-E954-469F-AD7A-2A45AE579C93}"/>
    <hyperlink ref="O15" r:id="rId11" display="https://us3.assetplanner.com/service_request?ID=103154" xr:uid="{7710B2A5-73A4-4811-97D0-96C1AD9479F1}"/>
    <hyperlink ref="N17" r:id="rId12" display="https://us3.assetplanner.com/service_request?ID=097653" xr:uid="{DDA1BA78-4DEB-4923-9E8B-F2AB940186EC}"/>
    <hyperlink ref="O17" r:id="rId13" display="https://us3.assetplanner.com/service_request?ID=098986" xr:uid="{293AEB4A-77DD-483A-87B2-08CC681F0335}"/>
    <hyperlink ref="P17" r:id="rId14" display="https://us3.assetplanner.com/service_request?ID=103688" xr:uid="{883D14FF-5F79-496B-B7FA-728E5B70CA8B}"/>
    <hyperlink ref="N18" r:id="rId15" display="https://us3.assetplanner.com/service_request?ID=098874" xr:uid="{81BECEB2-24C9-43C2-AD05-DA69B1C8FBBC}"/>
    <hyperlink ref="O18" r:id="rId16" display="https://us3.assetplanner.com/service_request?ID=101694" xr:uid="{47AFA4E8-F138-46F6-9190-9191C487FFC0}"/>
    <hyperlink ref="P18" r:id="rId17" display="https://us3.assetplanner.com/service_request?ID=101694" xr:uid="{70C6F762-E690-4F02-AA51-6D61F7AF3DCB}"/>
    <hyperlink ref="N19" r:id="rId18" display="https://us3.assetplanner.com/service_request?ID=099435" xr:uid="{C2EA4649-8D88-45BA-8FFB-41AF1625E79D}"/>
    <hyperlink ref="N21" r:id="rId19" display="https://us3.assetplanner.com/service_request?ID=100428" xr:uid="{9C4FC833-21A7-4F8F-9756-911F6FBCB598}"/>
    <hyperlink ref="N22" r:id="rId20" display="https://us3.assetplanner.com/service_request?ID=101695" xr:uid="{E4F4F36B-77CF-4698-A9D9-BF8B61E4888C}"/>
    <hyperlink ref="O22" r:id="rId21" display="https://us3.assetplanner.com/service_request?ID=099704" xr:uid="{422EB8B1-F915-4D53-A360-11FB207C482A}"/>
    <hyperlink ref="N23" r:id="rId22" display="https://us3.assetplanner.com/service_request?ID=102064" xr:uid="{CF745745-09E5-4DA5-93E9-BBB16670056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42"/>
  <sheetViews>
    <sheetView zoomScale="60" zoomScaleNormal="60" workbookViewId="0">
      <pane ySplit="2" topLeftCell="A3" activePane="bottomLeft" state="frozen"/>
      <selection pane="bottomLeft" activeCell="L13" sqref="L13"/>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 min="14" max="16" width="9.140625" style="130"/>
  </cols>
  <sheetData>
    <row r="1" spans="1:17" ht="19.5" customHeight="1">
      <c r="A1" s="132" t="str" cm="1">
        <f t="array" ref="A1">portfolio</f>
        <v>CITI</v>
      </c>
      <c r="B1" s="132"/>
      <c r="C1" s="132"/>
      <c r="D1" s="76" t="s">
        <v>0</v>
      </c>
      <c r="E1" s="76" t="s">
        <v>1</v>
      </c>
      <c r="F1" s="133" t="s">
        <v>202</v>
      </c>
      <c r="G1" s="133"/>
      <c r="H1" s="133"/>
      <c r="I1" s="131" t="s">
        <v>203</v>
      </c>
      <c r="J1" s="131"/>
      <c r="K1" s="131"/>
      <c r="L1" s="5"/>
      <c r="M1" s="5"/>
    </row>
    <row r="2" spans="1:17" ht="19.5" customHeight="1">
      <c r="A2" s="134" t="s">
        <v>4</v>
      </c>
      <c r="B2" s="134"/>
      <c r="C2" s="6">
        <f>SUM(C4:C100)</f>
        <v>2742771.0500000003</v>
      </c>
      <c r="D2" s="6">
        <f>SUM(D4:D22)</f>
        <v>2915075</v>
      </c>
      <c r="E2" s="7">
        <f>C2/D2</f>
        <v>0.94089210397674172</v>
      </c>
      <c r="F2" s="6">
        <f>SUM(F4:F100)</f>
        <v>2682824</v>
      </c>
      <c r="G2" s="6">
        <f>C2-F2</f>
        <v>59947.050000000279</v>
      </c>
      <c r="H2" s="7">
        <f>IFERROR(G2/F2, 0)</f>
        <v>2.2344756868136067E-2</v>
      </c>
      <c r="I2" s="6">
        <f>SUM(I4:I100)</f>
        <v>3303304</v>
      </c>
      <c r="J2" s="8">
        <f>C2-I2</f>
        <v>-560532.94999999972</v>
      </c>
      <c r="K2" s="7">
        <f>IFERROR(J2/I2, 0)</f>
        <v>-0.16968857543840946</v>
      </c>
      <c r="L2" s="28" t="str">
        <f ca="1">IF(AND(TODAY()&gt;DATE(2024, 7, 1), COUNTA(Sites[Site])&lt;&gt;(COUNT(C:C)-1)), "Some sites are missing actual data; if new sites were added, make sure they are aligned correctly (including prior months!)", "")</f>
        <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13"/>
      <c r="O3" s="113"/>
      <c r="P3" s="113"/>
      <c r="Q3" s="91"/>
    </row>
    <row r="4" spans="1:17" ht="15.6">
      <c r="A4" s="34" t="str" cm="1">
        <f t="array" ref="A4:A23">Sites[Site]</f>
        <v>CA: Antioch Deer Valley - Citi</v>
      </c>
      <c r="B4" s="31" t="str" cm="1">
        <f t="array" ref="B4:B23">Sites[State]</f>
        <v>CA</v>
      </c>
      <c r="C4" s="37">
        <v>82623</v>
      </c>
      <c r="D4" s="78">
        <v>80328</v>
      </c>
      <c r="E4" s="79">
        <f>C4/D4</f>
        <v>1.028570361517777</v>
      </c>
      <c r="F4" s="14">
        <v>80915</v>
      </c>
      <c r="G4" s="14">
        <f>IF(AND(ISNUMBER(C4),ISNUMBER(F4)), C4-F4, "")</f>
        <v>1708</v>
      </c>
      <c r="H4" s="15">
        <f t="shared" ref="H4:H23" si="0">IFERROR(G4/F4, "")</f>
        <v>2.1108570722362975E-2</v>
      </c>
      <c r="I4" s="16">
        <v>79533</v>
      </c>
      <c r="J4" s="16">
        <f>IF(AND(ISNUMBER(C4),ISNUMBER(I4)), C4-I4, "")</f>
        <v>3090</v>
      </c>
      <c r="K4" s="17">
        <f>IFERROR(J4/I4, "")</f>
        <v>3.8851797367130625E-2</v>
      </c>
      <c r="L4" s="18"/>
      <c r="M4" s="18"/>
      <c r="N4" s="113"/>
      <c r="O4" s="113"/>
      <c r="P4" s="113"/>
      <c r="Q4" s="91"/>
    </row>
    <row r="5" spans="1:17" ht="15.6">
      <c r="A5" s="32" t="str">
        <v>CA: Antioch MC CUP - Citi</v>
      </c>
      <c r="B5" s="33" t="str">
        <v>CA</v>
      </c>
      <c r="C5" s="12">
        <v>264875</v>
      </c>
      <c r="D5" s="12">
        <v>274546</v>
      </c>
      <c r="E5" s="80">
        <f t="shared" ref="E5:E22" si="1">C5/D5</f>
        <v>0.96477457329554972</v>
      </c>
      <c r="F5" s="20">
        <v>276467</v>
      </c>
      <c r="G5" s="20">
        <f>IF(AND(ISNUMBER(C5),ISNUMBER(F5)), C5-F5, "")</f>
        <v>-11592</v>
      </c>
      <c r="H5" s="21">
        <f t="shared" si="0"/>
        <v>-4.1929054823903036E-2</v>
      </c>
      <c r="I5" s="22">
        <v>271804</v>
      </c>
      <c r="J5" s="20">
        <f>IF(AND(ISNUMBER(C5),ISNUMBER(I5)), C5-I5, "")</f>
        <v>-6929</v>
      </c>
      <c r="K5" s="21">
        <f t="shared" ref="K5:K15" si="2">IFERROR(J5/I5, "")</f>
        <v>-2.5492634398316436E-2</v>
      </c>
      <c r="L5" s="57"/>
      <c r="M5" s="60"/>
      <c r="N5" s="113"/>
      <c r="O5" s="113"/>
      <c r="P5" s="113"/>
      <c r="Q5" s="91"/>
    </row>
    <row r="6" spans="1:17" ht="44.25" customHeight="1">
      <c r="A6" s="34" t="str">
        <v>CA: Clovis - Citi</v>
      </c>
      <c r="B6" s="31" t="str">
        <v>CA</v>
      </c>
      <c r="C6" s="37">
        <v>112136</v>
      </c>
      <c r="D6" s="78">
        <v>112980</v>
      </c>
      <c r="E6" s="79">
        <f t="shared" si="1"/>
        <v>0.9925296512657108</v>
      </c>
      <c r="F6" s="14">
        <v>2035</v>
      </c>
      <c r="G6" s="14">
        <f t="shared" ref="G6:G23" si="3">IF(AND(ISNUMBER(C6),ISNUMBER(F6)), C6-F6, "")</f>
        <v>110101</v>
      </c>
      <c r="H6" s="15">
        <f t="shared" si="0"/>
        <v>54.103685503685504</v>
      </c>
      <c r="I6" s="16">
        <v>109079</v>
      </c>
      <c r="J6" s="16">
        <f t="shared" ref="J6:J23" si="4">IF(AND(ISNUMBER(C6),ISNUMBER(I6)), C6-I6, "")</f>
        <v>3057</v>
      </c>
      <c r="K6" s="17">
        <f t="shared" si="2"/>
        <v>2.8025559456907378E-2</v>
      </c>
      <c r="L6" s="18" t="s">
        <v>204</v>
      </c>
      <c r="M6" s="99" t="s">
        <v>205</v>
      </c>
      <c r="N6" s="113"/>
      <c r="O6" s="113"/>
      <c r="P6" s="113"/>
      <c r="Q6" s="91"/>
    </row>
    <row r="7" spans="1:17" ht="29.1">
      <c r="A7" s="32" t="str">
        <v>CA: Elk Grove MOB - Citi</v>
      </c>
      <c r="B7" s="33" t="str">
        <v>CA</v>
      </c>
      <c r="C7" s="12">
        <v>167796</v>
      </c>
      <c r="D7" s="12">
        <v>188726</v>
      </c>
      <c r="E7" s="80">
        <f t="shared" si="1"/>
        <v>0.88909848139630998</v>
      </c>
      <c r="F7" s="20">
        <v>195536</v>
      </c>
      <c r="G7" s="20">
        <f t="shared" si="3"/>
        <v>-27740</v>
      </c>
      <c r="H7" s="21">
        <f t="shared" si="0"/>
        <v>-0.14186645937321005</v>
      </c>
      <c r="I7" s="22">
        <v>187053</v>
      </c>
      <c r="J7" s="20">
        <f t="shared" si="4"/>
        <v>-19257</v>
      </c>
      <c r="K7" s="21">
        <f t="shared" si="2"/>
        <v>-0.10294943144456384</v>
      </c>
      <c r="L7" s="84" t="s">
        <v>206</v>
      </c>
      <c r="M7" s="60"/>
      <c r="N7" s="113"/>
      <c r="O7" s="113"/>
      <c r="P7" s="113"/>
      <c r="Q7" s="91"/>
    </row>
    <row r="8" spans="1:17" ht="15.6">
      <c r="A8" s="34" t="str">
        <v>CA: Elk Grove Promenade - Citi</v>
      </c>
      <c r="B8" s="31" t="str">
        <v>CA</v>
      </c>
      <c r="C8" s="37">
        <v>94955.25</v>
      </c>
      <c r="D8" s="78">
        <v>99091</v>
      </c>
      <c r="E8" s="79">
        <f t="shared" si="1"/>
        <v>0.9582631116852186</v>
      </c>
      <c r="F8" s="14">
        <v>98303</v>
      </c>
      <c r="G8" s="14">
        <f t="shared" si="3"/>
        <v>-3347.75</v>
      </c>
      <c r="H8" s="15">
        <f t="shared" si="0"/>
        <v>-3.4055420485641336E-2</v>
      </c>
      <c r="I8" s="16">
        <v>98305</v>
      </c>
      <c r="J8" s="16">
        <f t="shared" si="4"/>
        <v>-3349.75</v>
      </c>
      <c r="K8" s="17">
        <f t="shared" si="2"/>
        <v>-3.4075072478510757E-2</v>
      </c>
      <c r="L8" s="18"/>
      <c r="M8" s="18"/>
      <c r="N8" s="113"/>
      <c r="O8" s="113"/>
      <c r="P8" s="113"/>
      <c r="Q8" s="91"/>
    </row>
    <row r="9" spans="1:17" ht="15.6">
      <c r="A9" s="32" t="str">
        <v>CA: Fresno Sequioa - Citi</v>
      </c>
      <c r="B9" s="33" t="str">
        <v>CA</v>
      </c>
      <c r="C9" s="12">
        <v>183905</v>
      </c>
      <c r="D9" s="12">
        <v>186172</v>
      </c>
      <c r="E9" s="80">
        <f t="shared" si="1"/>
        <v>0.98782308832692345</v>
      </c>
      <c r="F9" s="20">
        <v>192052</v>
      </c>
      <c r="G9" s="20">
        <f t="shared" si="3"/>
        <v>-8147</v>
      </c>
      <c r="H9" s="21">
        <f t="shared" si="0"/>
        <v>-4.2420802699268949E-2</v>
      </c>
      <c r="I9" s="22">
        <v>184366</v>
      </c>
      <c r="J9" s="20">
        <f t="shared" si="4"/>
        <v>-461</v>
      </c>
      <c r="K9" s="21">
        <f t="shared" si="2"/>
        <v>-2.5004610394541295E-3</v>
      </c>
      <c r="L9" s="57"/>
      <c r="M9" s="60"/>
      <c r="N9" s="113"/>
      <c r="O9" s="113"/>
      <c r="P9" s="113"/>
      <c r="Q9" s="91"/>
    </row>
    <row r="10" spans="1:17" ht="29.1">
      <c r="A10" s="34" t="str">
        <v>CA: Fresno MOB - Citi</v>
      </c>
      <c r="B10" s="31" t="str">
        <v>CA</v>
      </c>
      <c r="C10" s="37">
        <v>67107.5</v>
      </c>
      <c r="D10" s="78">
        <v>74907</v>
      </c>
      <c r="E10" s="79">
        <f t="shared" si="1"/>
        <v>0.89587755483466169</v>
      </c>
      <c r="F10" s="14">
        <v>70535</v>
      </c>
      <c r="G10" s="14">
        <f t="shared" si="3"/>
        <v>-3427.5</v>
      </c>
      <c r="H10" s="15">
        <f t="shared" si="0"/>
        <v>-4.8592897143262211E-2</v>
      </c>
      <c r="I10" s="16">
        <v>75021</v>
      </c>
      <c r="J10" s="16">
        <f t="shared" si="4"/>
        <v>-7913.5</v>
      </c>
      <c r="K10" s="17">
        <f t="shared" si="2"/>
        <v>-0.10548379786992976</v>
      </c>
      <c r="L10" s="18" t="s">
        <v>207</v>
      </c>
      <c r="M10" s="99" t="s">
        <v>208</v>
      </c>
      <c r="N10" s="105" t="s">
        <v>209</v>
      </c>
      <c r="O10" s="113"/>
      <c r="P10" s="113"/>
      <c r="Q10" s="91"/>
    </row>
    <row r="11" spans="1:17" ht="78" customHeight="1">
      <c r="A11" s="32" t="str">
        <v>CA: Modesto Bangs - Citi</v>
      </c>
      <c r="B11" s="33" t="str">
        <v>CA</v>
      </c>
      <c r="C11" s="12">
        <v>45314.12</v>
      </c>
      <c r="D11" s="12">
        <v>53493</v>
      </c>
      <c r="E11" s="80">
        <f t="shared" si="1"/>
        <v>0.84710373319873633</v>
      </c>
      <c r="F11" s="20">
        <v>124</v>
      </c>
      <c r="G11" s="20">
        <f t="shared" si="3"/>
        <v>45190.12</v>
      </c>
      <c r="H11" s="21">
        <f t="shared" si="0"/>
        <v>364.43645161290323</v>
      </c>
      <c r="I11" s="22">
        <v>53232</v>
      </c>
      <c r="J11" s="20">
        <f t="shared" si="4"/>
        <v>-7917.8799999999974</v>
      </c>
      <c r="K11" s="21">
        <f t="shared" si="2"/>
        <v>-0.14874286143672974</v>
      </c>
      <c r="L11" s="84" t="s">
        <v>210</v>
      </c>
      <c r="M11" s="100" t="s">
        <v>178</v>
      </c>
      <c r="N11" s="113"/>
      <c r="O11" s="113"/>
      <c r="P11" s="113"/>
      <c r="Q11" s="91"/>
    </row>
    <row r="12" spans="1:17" ht="15.6">
      <c r="A12" s="34" t="str">
        <v>CA: Napa Data Center - Citi</v>
      </c>
      <c r="B12" s="31" t="str">
        <v>CA</v>
      </c>
      <c r="C12" s="37">
        <v>45435</v>
      </c>
      <c r="D12" s="78">
        <v>55306</v>
      </c>
      <c r="E12" s="79">
        <f t="shared" si="1"/>
        <v>0.82152026904856612</v>
      </c>
      <c r="F12" s="14">
        <v>67180</v>
      </c>
      <c r="G12" s="14">
        <f t="shared" si="3"/>
        <v>-21745</v>
      </c>
      <c r="H12" s="15">
        <f t="shared" si="0"/>
        <v>-0.32368264364394167</v>
      </c>
      <c r="I12" s="16">
        <v>53188</v>
      </c>
      <c r="J12" s="16">
        <f t="shared" si="4"/>
        <v>-7753</v>
      </c>
      <c r="K12" s="17">
        <f t="shared" si="2"/>
        <v>-0.1457659622471234</v>
      </c>
      <c r="L12" s="18" t="s">
        <v>211</v>
      </c>
      <c r="M12" s="99" t="s">
        <v>212</v>
      </c>
      <c r="N12" s="113"/>
      <c r="O12" s="113"/>
      <c r="P12" s="113"/>
      <c r="Q12" s="91"/>
    </row>
    <row r="13" spans="1:17" ht="72.75" customHeight="1">
      <c r="A13" s="32" t="str">
        <v>CA: Petaluma MOB - Citi</v>
      </c>
      <c r="B13" s="33" t="str">
        <v>CA</v>
      </c>
      <c r="C13" s="12">
        <v>99381.5</v>
      </c>
      <c r="D13" s="12">
        <v>129113</v>
      </c>
      <c r="E13" s="80">
        <f t="shared" si="1"/>
        <v>0.76972496960027259</v>
      </c>
      <c r="F13" s="20">
        <v>37993</v>
      </c>
      <c r="G13" s="20">
        <f t="shared" si="3"/>
        <v>61388.5</v>
      </c>
      <c r="H13" s="21">
        <f t="shared" si="0"/>
        <v>1.6157844866159556</v>
      </c>
      <c r="I13" s="22">
        <v>124247</v>
      </c>
      <c r="J13" s="20">
        <f t="shared" si="4"/>
        <v>-24865.5</v>
      </c>
      <c r="K13" s="21">
        <f t="shared" si="2"/>
        <v>-0.20012958059349523</v>
      </c>
      <c r="L13" s="84" t="s">
        <v>213</v>
      </c>
      <c r="M13" s="109" t="s">
        <v>214</v>
      </c>
      <c r="N13" s="105" t="s">
        <v>215</v>
      </c>
      <c r="O13" s="105" t="s">
        <v>216</v>
      </c>
      <c r="P13" s="105" t="s">
        <v>217</v>
      </c>
      <c r="Q13" s="91"/>
    </row>
    <row r="14" spans="1:17" ht="29.1">
      <c r="A14" s="34" t="str">
        <v>CA: Pleasanton Tec Ctr - Citi</v>
      </c>
      <c r="B14" s="31" t="str">
        <v>CA</v>
      </c>
      <c r="C14" s="37">
        <v>148392.5</v>
      </c>
      <c r="D14" s="78">
        <v>182148</v>
      </c>
      <c r="E14" s="79">
        <f t="shared" si="1"/>
        <v>0.81468091881327276</v>
      </c>
      <c r="F14" s="14">
        <v>181107</v>
      </c>
      <c r="G14" s="14">
        <f t="shared" si="3"/>
        <v>-32714.5</v>
      </c>
      <c r="H14" s="15">
        <f t="shared" si="0"/>
        <v>-0.18063630892234978</v>
      </c>
      <c r="I14" s="16">
        <v>180446</v>
      </c>
      <c r="J14" s="16">
        <f t="shared" si="4"/>
        <v>-32053.5</v>
      </c>
      <c r="K14" s="17">
        <f t="shared" si="2"/>
        <v>-0.17763486029061326</v>
      </c>
      <c r="L14" s="18" t="s">
        <v>218</v>
      </c>
      <c r="M14" s="99" t="s">
        <v>219</v>
      </c>
      <c r="N14" s="113"/>
      <c r="O14" s="113"/>
      <c r="P14" s="113"/>
      <c r="Q14" s="91"/>
    </row>
    <row r="15" spans="1:17" ht="43.5">
      <c r="A15" s="32" t="str">
        <v>CA: Rancho Cordova - Citi</v>
      </c>
      <c r="B15" s="33" t="str">
        <v>CA</v>
      </c>
      <c r="C15" s="12">
        <v>236028</v>
      </c>
      <c r="D15" s="12">
        <v>247104</v>
      </c>
      <c r="E15" s="80">
        <f t="shared" si="1"/>
        <v>0.95517676767676762</v>
      </c>
      <c r="F15" s="20">
        <v>258638</v>
      </c>
      <c r="G15" s="20">
        <f t="shared" si="3"/>
        <v>-22610</v>
      </c>
      <c r="H15" s="21">
        <f t="shared" si="0"/>
        <v>-8.7419482056001058E-2</v>
      </c>
      <c r="I15" s="22">
        <v>245625</v>
      </c>
      <c r="J15" s="20">
        <f t="shared" si="4"/>
        <v>-9597</v>
      </c>
      <c r="K15" s="21">
        <f t="shared" si="2"/>
        <v>-3.9071755725190838E-2</v>
      </c>
      <c r="L15" s="84" t="s">
        <v>220</v>
      </c>
      <c r="M15" s="109" t="s">
        <v>221</v>
      </c>
      <c r="N15" s="105" t="s">
        <v>222</v>
      </c>
      <c r="O15" s="113"/>
      <c r="P15" s="113"/>
      <c r="Q15" s="91"/>
    </row>
    <row r="16" spans="1:17" ht="15.6">
      <c r="A16" s="34" t="str">
        <v>CA: S Sacramento Wyndham - Citi</v>
      </c>
      <c r="B16" s="31" t="str">
        <v>CA</v>
      </c>
      <c r="C16" s="37">
        <v>141774.5</v>
      </c>
      <c r="D16" s="78">
        <v>163639</v>
      </c>
      <c r="E16" s="79">
        <f t="shared" si="1"/>
        <v>0.86638576378491683</v>
      </c>
      <c r="F16" s="14">
        <v>152231</v>
      </c>
      <c r="G16" s="14">
        <f t="shared" si="3"/>
        <v>-10456.5</v>
      </c>
      <c r="H16" s="15">
        <f t="shared" si="0"/>
        <v>-6.86883749039289E-2</v>
      </c>
      <c r="I16" s="16">
        <v>162509</v>
      </c>
      <c r="J16" s="16">
        <f t="shared" si="4"/>
        <v>-20734.5</v>
      </c>
      <c r="K16" s="17">
        <f t="shared" ref="K16:K23" si="5">IFERROR(J16/I16, "")</f>
        <v>-0.12758985656179042</v>
      </c>
      <c r="L16" s="18" t="s">
        <v>223</v>
      </c>
      <c r="M16" s="18"/>
      <c r="N16" s="113"/>
      <c r="O16" s="113"/>
      <c r="P16" s="113"/>
      <c r="Q16" s="91"/>
    </row>
    <row r="17" spans="1:17" ht="15.6">
      <c r="A17" s="32" t="str">
        <v>CA: Sacramento Point West - Citi</v>
      </c>
      <c r="B17" s="33" t="str">
        <v>CA</v>
      </c>
      <c r="C17" s="12">
        <v>283101</v>
      </c>
      <c r="D17" s="12">
        <v>313299</v>
      </c>
      <c r="E17" s="80">
        <f t="shared" si="1"/>
        <v>0.90361284268382602</v>
      </c>
      <c r="F17" s="20">
        <v>312724</v>
      </c>
      <c r="G17" s="20">
        <f t="shared" si="3"/>
        <v>-29623</v>
      </c>
      <c r="H17" s="21">
        <f t="shared" si="0"/>
        <v>-9.4725700617797157E-2</v>
      </c>
      <c r="I17" s="22">
        <v>310558</v>
      </c>
      <c r="J17" s="20">
        <f t="shared" si="4"/>
        <v>-27457</v>
      </c>
      <c r="K17" s="21">
        <f t="shared" si="5"/>
        <v>-8.8411826454317707E-2</v>
      </c>
      <c r="L17" s="57"/>
      <c r="M17" s="60"/>
      <c r="N17" s="113"/>
      <c r="O17" s="113"/>
      <c r="P17" s="113"/>
      <c r="Q17" s="91"/>
    </row>
    <row r="18" spans="1:17" ht="63.6" customHeight="1">
      <c r="A18" s="34" t="str">
        <v>CA: San Jose FHC - Citi</v>
      </c>
      <c r="B18" s="31" t="str">
        <v>CA</v>
      </c>
      <c r="C18" s="37">
        <v>56028</v>
      </c>
      <c r="D18" s="78">
        <v>62467</v>
      </c>
      <c r="E18" s="79">
        <f t="shared" si="1"/>
        <v>0.89692157459138422</v>
      </c>
      <c r="F18" s="14">
        <v>59279</v>
      </c>
      <c r="G18" s="14">
        <f t="shared" si="3"/>
        <v>-3251</v>
      </c>
      <c r="H18" s="15">
        <f t="shared" si="0"/>
        <v>-5.4842355640277334E-2</v>
      </c>
      <c r="I18" s="16">
        <v>64025</v>
      </c>
      <c r="J18" s="16">
        <f t="shared" si="4"/>
        <v>-7997</v>
      </c>
      <c r="K18" s="17">
        <f t="shared" si="5"/>
        <v>-0.12490433424443577</v>
      </c>
      <c r="L18" s="18" t="s">
        <v>224</v>
      </c>
      <c r="M18" s="99" t="s">
        <v>225</v>
      </c>
      <c r="N18" s="113"/>
      <c r="O18" s="113"/>
      <c r="P18" s="113"/>
      <c r="Q18" s="91"/>
    </row>
    <row r="19" spans="1:17" ht="29.1">
      <c r="A19" s="32" t="str">
        <v>CA: San Jose MOB - Citi</v>
      </c>
      <c r="B19" s="33" t="str">
        <v>CA</v>
      </c>
      <c r="C19" s="12">
        <v>86948</v>
      </c>
      <c r="D19" s="12">
        <v>99033</v>
      </c>
      <c r="E19" s="80">
        <f t="shared" si="1"/>
        <v>0.87796996960609086</v>
      </c>
      <c r="F19" s="20">
        <v>93614</v>
      </c>
      <c r="G19" s="20">
        <f t="shared" si="3"/>
        <v>-6666</v>
      </c>
      <c r="H19" s="21">
        <f t="shared" si="0"/>
        <v>-7.1207298053709914E-2</v>
      </c>
      <c r="I19" s="22">
        <v>99878</v>
      </c>
      <c r="J19" s="20">
        <f t="shared" si="4"/>
        <v>-12930</v>
      </c>
      <c r="K19" s="21">
        <f t="shared" si="5"/>
        <v>-0.12945793868519595</v>
      </c>
      <c r="L19" s="84" t="s">
        <v>226</v>
      </c>
      <c r="M19" s="100" t="s">
        <v>227</v>
      </c>
      <c r="N19" s="105" t="s">
        <v>156</v>
      </c>
      <c r="O19" s="113"/>
      <c r="P19" s="113"/>
      <c r="Q19" s="91"/>
    </row>
    <row r="20" spans="1:17" ht="29.1">
      <c r="A20" s="34" t="str">
        <v>CA: Selma - Citi</v>
      </c>
      <c r="B20" s="31" t="str">
        <v>CA</v>
      </c>
      <c r="C20" s="37">
        <v>52288.87</v>
      </c>
      <c r="D20" s="78">
        <v>57267</v>
      </c>
      <c r="E20" s="79">
        <f t="shared" si="1"/>
        <v>0.91307157699896979</v>
      </c>
      <c r="F20" s="14">
        <v>59835</v>
      </c>
      <c r="G20" s="14">
        <f t="shared" si="3"/>
        <v>-7546.1299999999974</v>
      </c>
      <c r="H20" s="15">
        <f t="shared" si="0"/>
        <v>-0.12611565137461347</v>
      </c>
      <c r="I20" s="16">
        <v>56789</v>
      </c>
      <c r="J20" s="16">
        <f t="shared" si="4"/>
        <v>-4500.1299999999974</v>
      </c>
      <c r="K20" s="17">
        <f t="shared" si="5"/>
        <v>-7.9242987198224965E-2</v>
      </c>
      <c r="L20" s="18" t="s">
        <v>228</v>
      </c>
      <c r="M20" s="99" t="s">
        <v>128</v>
      </c>
      <c r="N20" s="113"/>
      <c r="O20" s="113"/>
      <c r="P20" s="113"/>
      <c r="Q20" s="91"/>
    </row>
    <row r="21" spans="1:17" ht="72.599999999999994">
      <c r="A21" s="32" t="str">
        <v>CA: Vacaville Hospital</v>
      </c>
      <c r="B21" s="33" t="str">
        <v>CA</v>
      </c>
      <c r="C21" s="12">
        <v>183603.5</v>
      </c>
      <c r="D21" s="12">
        <v>405264</v>
      </c>
      <c r="E21" s="80">
        <f t="shared" si="1"/>
        <v>0.45304665600694854</v>
      </c>
      <c r="F21" s="20">
        <v>438855</v>
      </c>
      <c r="G21" s="20">
        <f t="shared" si="3"/>
        <v>-255251.5</v>
      </c>
      <c r="H21" s="21">
        <f t="shared" si="0"/>
        <v>-0.58163060692028123</v>
      </c>
      <c r="I21" s="22">
        <v>399689</v>
      </c>
      <c r="J21" s="20">
        <f t="shared" si="4"/>
        <v>-216085.5</v>
      </c>
      <c r="K21" s="21">
        <f t="shared" si="5"/>
        <v>-0.54063409300731313</v>
      </c>
      <c r="L21" s="84" t="s">
        <v>229</v>
      </c>
      <c r="M21" s="100" t="s">
        <v>230</v>
      </c>
      <c r="N21" s="105" t="s">
        <v>161</v>
      </c>
      <c r="O21" s="113"/>
      <c r="P21" s="113"/>
      <c r="Q21" s="91"/>
    </row>
    <row r="22" spans="1:17" ht="15.6">
      <c r="A22" s="34" t="str">
        <v>CA: Manteca - KP Manteca Hospital</v>
      </c>
      <c r="B22" s="31" t="str">
        <v>CA</v>
      </c>
      <c r="C22" s="37">
        <v>116336</v>
      </c>
      <c r="D22" s="78">
        <v>130192</v>
      </c>
      <c r="E22" s="79">
        <f t="shared" si="1"/>
        <v>0.89357256974314858</v>
      </c>
      <c r="F22" s="14">
        <v>105401</v>
      </c>
      <c r="G22" s="14">
        <f t="shared" si="3"/>
        <v>10935</v>
      </c>
      <c r="H22" s="15">
        <f t="shared" si="0"/>
        <v>0.1037466437699832</v>
      </c>
      <c r="I22" s="16">
        <v>126640</v>
      </c>
      <c r="J22" s="16">
        <f t="shared" si="4"/>
        <v>-10304</v>
      </c>
      <c r="K22" s="17">
        <f t="shared" si="5"/>
        <v>-8.1364497789008214E-2</v>
      </c>
      <c r="L22" s="18" t="s">
        <v>231</v>
      </c>
      <c r="M22" s="99" t="s">
        <v>232</v>
      </c>
      <c r="N22" s="113"/>
      <c r="O22" s="113"/>
      <c r="P22" s="113"/>
      <c r="Q22" s="91"/>
    </row>
    <row r="23" spans="1:17" ht="43.5">
      <c r="A23" s="32" t="str">
        <v>Sacramento - KP South Sacramento HSP</v>
      </c>
      <c r="B23" s="33" t="str">
        <v>CA</v>
      </c>
      <c r="C23" s="12">
        <v>274742.31</v>
      </c>
      <c r="D23" s="42">
        <v>0</v>
      </c>
      <c r="E23" s="117" t="str">
        <f>IFERROR(C23/D23, "")</f>
        <v/>
      </c>
      <c r="F23" s="20">
        <v>0</v>
      </c>
      <c r="G23" s="20">
        <f t="shared" si="3"/>
        <v>274742.31</v>
      </c>
      <c r="H23" s="21" t="str">
        <f t="shared" si="0"/>
        <v/>
      </c>
      <c r="I23" s="22">
        <v>421317</v>
      </c>
      <c r="J23" s="20">
        <f t="shared" si="4"/>
        <v>-146574.69</v>
      </c>
      <c r="K23" s="21">
        <f t="shared" si="5"/>
        <v>-0.3478964532644066</v>
      </c>
      <c r="L23" s="84" t="s">
        <v>233</v>
      </c>
      <c r="M23" s="100" t="s">
        <v>201</v>
      </c>
      <c r="N23" s="105"/>
      <c r="O23" s="113"/>
      <c r="P23" s="113"/>
      <c r="Q23" s="91"/>
    </row>
    <row r="24" spans="1:17" ht="14.45">
      <c r="A24" s="23"/>
      <c r="B24" s="35"/>
      <c r="C24" s="23"/>
      <c r="D24" s="23"/>
      <c r="E24" s="23"/>
      <c r="F24" s="23"/>
      <c r="G24" s="23"/>
      <c r="H24" s="23"/>
      <c r="I24" s="23"/>
      <c r="J24" s="23"/>
      <c r="K24" s="23"/>
      <c r="L24" s="23"/>
      <c r="M24" s="23"/>
    </row>
    <row r="25" spans="1:17" ht="14.45">
      <c r="A25" s="23"/>
      <c r="B25" s="35"/>
      <c r="C25" s="23"/>
      <c r="D25" s="23"/>
      <c r="E25" s="23"/>
      <c r="F25" s="23"/>
      <c r="G25" s="23"/>
      <c r="H25" s="23"/>
      <c r="I25" s="23"/>
      <c r="J25" s="23"/>
      <c r="K25" s="23"/>
      <c r="L25" s="23"/>
      <c r="M25" s="23"/>
    </row>
    <row r="26" spans="1:17" ht="14.45">
      <c r="A26" s="23"/>
      <c r="B26" s="35"/>
      <c r="C26" s="23"/>
      <c r="D26" s="23"/>
      <c r="E26" s="23"/>
      <c r="F26" s="23"/>
      <c r="G26" s="23"/>
      <c r="H26" s="23"/>
      <c r="I26" s="23"/>
      <c r="J26" s="23"/>
      <c r="K26" s="23"/>
      <c r="L26" s="23"/>
      <c r="M26" s="23"/>
    </row>
    <row r="27" spans="1:17" ht="14.45">
      <c r="A27" s="23"/>
      <c r="B27" s="35"/>
      <c r="C27" s="23"/>
      <c r="D27" s="23"/>
      <c r="E27" s="23"/>
      <c r="F27" s="23"/>
      <c r="G27" s="23"/>
      <c r="H27" s="23"/>
      <c r="I27" s="23"/>
      <c r="J27" s="23"/>
      <c r="K27" s="23"/>
      <c r="L27" s="23"/>
      <c r="M27" s="23"/>
    </row>
    <row r="28" spans="1:17" ht="14.45">
      <c r="A28" s="23"/>
      <c r="B28" s="35"/>
      <c r="C28" s="23"/>
      <c r="D28" s="23"/>
      <c r="E28" s="23"/>
      <c r="F28" s="23"/>
      <c r="G28" s="23"/>
      <c r="H28" s="23"/>
      <c r="I28" s="23"/>
      <c r="J28" s="23"/>
      <c r="K28" s="23"/>
      <c r="L28" s="23"/>
      <c r="M28" s="23"/>
    </row>
    <row r="29" spans="1:17" ht="14.45">
      <c r="A29" s="23"/>
      <c r="B29" s="35"/>
      <c r="C29" s="23"/>
      <c r="D29" s="23"/>
      <c r="E29" s="23"/>
      <c r="F29" s="23"/>
      <c r="G29" s="23"/>
      <c r="H29" s="23"/>
      <c r="I29" s="23"/>
      <c r="J29" s="23"/>
      <c r="K29" s="23"/>
      <c r="L29" s="23"/>
      <c r="M29" s="23"/>
    </row>
    <row r="30" spans="1:17" ht="14.45">
      <c r="A30" s="23"/>
      <c r="B30" s="35"/>
      <c r="C30" s="23"/>
      <c r="D30" s="23"/>
      <c r="E30" s="23"/>
      <c r="F30" s="23"/>
      <c r="G30" s="23"/>
      <c r="H30" s="23"/>
      <c r="I30" s="23"/>
      <c r="J30" s="23"/>
      <c r="K30" s="23"/>
      <c r="L30" s="23"/>
      <c r="M30" s="23"/>
    </row>
    <row r="31" spans="1:17" ht="14.45">
      <c r="A31" s="23"/>
      <c r="B31" s="35"/>
      <c r="C31" s="23"/>
      <c r="D31" s="23"/>
      <c r="E31" s="23"/>
      <c r="F31" s="23"/>
      <c r="G31" s="23"/>
      <c r="H31" s="23"/>
      <c r="I31" s="23"/>
      <c r="J31" s="23"/>
      <c r="K31" s="23"/>
      <c r="L31" s="23"/>
      <c r="M31" s="23"/>
    </row>
    <row r="32" spans="1:17"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1">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cfRule type="cellIs" dxfId="14" priority="5" stopIfTrue="1" operator="lessThanOrEqual">
      <formula>-0.1</formula>
    </cfRule>
    <cfRule type="expression" dxfId="13" priority="6">
      <formula>AND(ISNUMBER(H2), H2&gt;=0.1)</formula>
    </cfRule>
  </conditionalFormatting>
  <conditionalFormatting sqref="H4:H100 K4:K100">
    <cfRule type="cellIs" dxfId="12" priority="1" stopIfTrue="1" operator="lessThanOrEqual">
      <formula>-0.1</formula>
    </cfRule>
    <cfRule type="expression" dxfId="11" priority="2">
      <formula>AND(ISNUMBER(H4), H4&gt;=0.1)</formula>
    </cfRule>
  </conditionalFormatting>
  <hyperlinks>
    <hyperlink ref="M6" r:id="rId1" display="https://us3.assetplanner.com/service_request?ID=099622" xr:uid="{7F7D9A0C-7477-4C60-9A20-68D51B1DBEC9}"/>
    <hyperlink ref="M10" r:id="rId2" display="https://us3.assetplanner.com/service_request?ID=103832" xr:uid="{4B3B5599-BF5E-4FE1-ADB9-3D3289CD9B9E}"/>
    <hyperlink ref="N10" r:id="rId3" display="https://us3.assetplanner.com/service_request?ID=104264" xr:uid="{3DDE8FBB-D46B-4C70-A893-3DABFBDD3E36}"/>
    <hyperlink ref="M11" r:id="rId4" display="https://us3.assetplanner.com/service_request?ID=099861" xr:uid="{8A6A58C2-5C71-42EC-AE17-3321CDE534EF}"/>
    <hyperlink ref="M12" r:id="rId5" display="https://us3.assetplanner.com/service_request?ID=105795" xr:uid="{A5F73A5F-BF9D-403A-9B2F-F451D70DBF1E}"/>
    <hyperlink ref="M13" r:id="rId6" display="https://us3.assetplanner.com/service_request?ID=100933" xr:uid="{F8CB9D0F-FEE2-40BC-BD95-0BE10CBA59F0}"/>
    <hyperlink ref="N13" r:id="rId7" display="https://us3.assetplanner.com/service_request?ID=099433" xr:uid="{D54C85C1-7070-48DD-88F0-84C39DC76201}"/>
    <hyperlink ref="O13" r:id="rId8" display="https://us3.assetplanner.com/service_request?ID=104106" xr:uid="{2E6C51F0-F9DA-4273-8298-A978148F2496}"/>
    <hyperlink ref="P13" r:id="rId9" display="https://us3.assetplanner.com/service_request?ID=105254" xr:uid="{8B93BD48-24C3-41C7-A3AF-091956DC87CF}"/>
    <hyperlink ref="M14" r:id="rId10" display="https://us3.assetplanner.com/service_request?ID=104774" xr:uid="{5C6ACBFD-7C3C-4953-B092-46EC36F949D1}"/>
    <hyperlink ref="M15" r:id="rId11" display="https://us3.assetplanner.com/service_request?ID=105142" xr:uid="{2A7E7F88-1791-4EE2-9FED-DDA2A6C3F5B5}"/>
    <hyperlink ref="N15" r:id="rId12" display="https://us3.assetplanner.com/service_request?ID=104189" xr:uid="{F004A56A-D713-4A24-827A-6CEFA1B4710B}"/>
    <hyperlink ref="M18" r:id="rId13" display="https://us3.assetplanner.com/service_request?ID=101694" xr:uid="{A4529F18-3DF3-44ED-995A-7FA9C431DC5A}"/>
    <hyperlink ref="M19" r:id="rId14" display="https://us3.assetplanner.com/service_request?ID=104095" xr:uid="{1E824C5B-2EBD-4866-99C5-E3585CFD795A}"/>
    <hyperlink ref="N19" r:id="rId15" display="https://us3.assetplanner.com/service_request?ID=099435" xr:uid="{54683171-11EB-4CDA-B00B-2738A0BDFE8B}"/>
    <hyperlink ref="M20" r:id="rId16" display="https://us3.assetplanner.com/service_request?ID=101090" xr:uid="{ED85B8D8-5594-4129-B913-37C65112A15F}"/>
    <hyperlink ref="M21" r:id="rId17" display="https://us3.assetplanner.com/service_request?ID=104704" xr:uid="{A13E7CBB-DD9E-456B-9E69-97FED4E070DF}"/>
    <hyperlink ref="N21" r:id="rId18" display="https://us3.assetplanner.com/service_request?ID=100428" xr:uid="{4BD5322D-D3E9-4801-9035-516093C77A5B}"/>
    <hyperlink ref="M22" r:id="rId19" display="https://us3.assetplanner.com/service_request?ID=099704" xr:uid="{D32BAF0E-8A23-4F59-BB98-A353A2046A4B}"/>
    <hyperlink ref="M23" r:id="rId20" display="https://us3.assetplanner.com/service_request?ID=102064" xr:uid="{CBABB968-490D-4B8B-A674-F973BDF43119}"/>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23"/>
  <sheetViews>
    <sheetView zoomScale="50" zoomScaleNormal="50" workbookViewId="0">
      <pane ySplit="2" topLeftCell="A3" activePane="bottomLeft" state="frozen"/>
      <selection pane="bottomLeft" activeCell="D3" sqref="D3"/>
      <selection activeCell="M45" sqref="M45"/>
    </sheetView>
  </sheetViews>
  <sheetFormatPr defaultRowHeight="14.25" customHeight="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1" style="1" customWidth="1"/>
    <col min="12" max="12" width="71.5703125" customWidth="1"/>
    <col min="13" max="13" width="20.5703125" bestFit="1" customWidth="1"/>
  </cols>
  <sheetData>
    <row r="1" spans="1:13" ht="28.5" customHeight="1">
      <c r="A1" s="132" t="str" cm="1">
        <f t="array" ref="A1">portfolio</f>
        <v>CITI</v>
      </c>
      <c r="B1" s="132"/>
      <c r="C1" s="132"/>
      <c r="D1" s="74" t="s">
        <v>0</v>
      </c>
      <c r="E1" s="75" t="s">
        <v>1</v>
      </c>
      <c r="F1" s="135" t="s">
        <v>234</v>
      </c>
      <c r="G1" s="136"/>
      <c r="H1" s="137"/>
      <c r="I1" s="131" t="s">
        <v>235</v>
      </c>
      <c r="J1" s="131"/>
      <c r="K1" s="131"/>
      <c r="L1" s="5"/>
      <c r="M1" s="5"/>
    </row>
    <row r="2" spans="1:13" ht="19.5" customHeight="1">
      <c r="A2" s="134" t="s">
        <v>4</v>
      </c>
      <c r="B2" s="134"/>
      <c r="C2" s="6">
        <f>SUM(C4:C81)</f>
        <v>0</v>
      </c>
      <c r="D2" s="6">
        <f>SUM(D3:D22)</f>
        <v>0</v>
      </c>
      <c r="E2" s="129" t="str">
        <f>IFERROR(C2/D2, "")</f>
        <v/>
      </c>
      <c r="F2" s="6">
        <f>SUM(F4:F81)</f>
        <v>0</v>
      </c>
      <c r="G2" s="6">
        <f>C2-F2</f>
        <v>0</v>
      </c>
      <c r="H2" s="7">
        <f>IFERROR(G2/F2, 0)</f>
        <v>0</v>
      </c>
      <c r="I2" s="6">
        <f>SUM(I4:I81)</f>
        <v>0</v>
      </c>
      <c r="J2" s="8">
        <f>C2-I2</f>
        <v>0</v>
      </c>
      <c r="K2" s="7">
        <f>IFERROR(J2/I2, 0)</f>
        <v>0</v>
      </c>
      <c r="L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ustomHeight="1">
      <c r="A4" s="34" t="str" cm="1">
        <f t="array" ref="A4:A23">Sites[Site]</f>
        <v>CA: Antioch Deer Valley - Citi</v>
      </c>
      <c r="B4" s="31" t="str" cm="1">
        <f t="array" ref="B4:B23">Sites[State]</f>
        <v>CA</v>
      </c>
      <c r="C4" s="26"/>
      <c r="D4" s="71"/>
      <c r="E4" s="82" t="str">
        <f>IFERROR(C4/D4, "")</f>
        <v/>
      </c>
      <c r="F4" s="14"/>
      <c r="G4" s="14"/>
      <c r="H4" s="15" t="str">
        <f>IFERROR(G4/F4, "")</f>
        <v/>
      </c>
      <c r="I4" s="16"/>
      <c r="J4" s="16"/>
      <c r="K4" s="17" t="str">
        <f>IFERROR(J4/I4, "")</f>
        <v/>
      </c>
      <c r="L4" s="18"/>
      <c r="M4" s="18"/>
    </row>
    <row r="5" spans="1:13" ht="15.6" customHeight="1">
      <c r="A5" s="32" t="str">
        <v>CA: Antioch MC CUP - Citi</v>
      </c>
      <c r="B5" s="33" t="str">
        <v>CA</v>
      </c>
      <c r="C5" s="12"/>
      <c r="D5" s="12"/>
      <c r="E5" s="23" t="str">
        <f t="shared" ref="E5:E21" si="0">IFERROR(C5/D5, "")</f>
        <v/>
      </c>
      <c r="F5" s="20"/>
      <c r="G5" s="20"/>
      <c r="H5" s="21" t="str">
        <f>IFERROR(G5/F5, "")</f>
        <v/>
      </c>
      <c r="I5" s="22"/>
      <c r="J5" s="22"/>
      <c r="K5" s="21" t="str">
        <f t="shared" ref="K5:K15" si="1">IFERROR(J5/I5, "")</f>
        <v/>
      </c>
      <c r="L5" s="11"/>
      <c r="M5" s="19"/>
    </row>
    <row r="6" spans="1:13" ht="15.6" customHeight="1">
      <c r="A6" s="30" t="str">
        <v>CA: Clovis - Citi</v>
      </c>
      <c r="B6" s="31" t="str">
        <v>CA</v>
      </c>
      <c r="C6" s="26"/>
      <c r="D6" s="71"/>
      <c r="E6" s="82" t="str">
        <f t="shared" si="0"/>
        <v/>
      </c>
      <c r="F6" s="14"/>
      <c r="G6" s="14"/>
      <c r="H6" s="15" t="str">
        <f t="shared" ref="H6:H15" si="2">IFERROR(G6/F6, "")</f>
        <v/>
      </c>
      <c r="I6" s="16"/>
      <c r="J6" s="16"/>
      <c r="K6" s="17" t="str">
        <f t="shared" si="1"/>
        <v/>
      </c>
      <c r="L6" s="18"/>
      <c r="M6" s="18"/>
    </row>
    <row r="7" spans="1:13" ht="39.75" customHeight="1">
      <c r="A7" s="32" t="str">
        <v>CA: Elk Grove MOB - Citi</v>
      </c>
      <c r="B7" s="33" t="str">
        <v>CA</v>
      </c>
      <c r="C7" s="12"/>
      <c r="D7" s="12"/>
      <c r="E7" s="23" t="str">
        <f t="shared" si="0"/>
        <v/>
      </c>
      <c r="F7" s="20"/>
      <c r="G7" s="20"/>
      <c r="H7" s="21" t="str">
        <f t="shared" si="2"/>
        <v/>
      </c>
      <c r="I7" s="22"/>
      <c r="J7" s="22"/>
      <c r="K7" s="21" t="str">
        <f t="shared" si="1"/>
        <v/>
      </c>
      <c r="L7" s="84"/>
      <c r="M7" s="84"/>
    </row>
    <row r="8" spans="1:13" ht="15.6" customHeight="1">
      <c r="A8" s="30" t="str">
        <v>CA: Elk Grove Promenade - Citi</v>
      </c>
      <c r="B8" s="31" t="str">
        <v>CA</v>
      </c>
      <c r="C8" s="26"/>
      <c r="D8" s="71"/>
      <c r="E8" s="82" t="str">
        <f t="shared" si="0"/>
        <v/>
      </c>
      <c r="F8" s="14"/>
      <c r="G8" s="14"/>
      <c r="H8" s="15" t="str">
        <f t="shared" si="2"/>
        <v/>
      </c>
      <c r="I8" s="16"/>
      <c r="J8" s="16"/>
      <c r="K8" s="17" t="str">
        <f t="shared" si="1"/>
        <v/>
      </c>
      <c r="L8" s="18"/>
      <c r="M8" s="18"/>
    </row>
    <row r="9" spans="1:13" ht="15.6" customHeight="1">
      <c r="A9" s="32" t="str">
        <v>CA: Fresno Sequioa - Citi</v>
      </c>
      <c r="B9" s="33" t="str">
        <v>CA</v>
      </c>
      <c r="C9" s="12"/>
      <c r="D9" s="12"/>
      <c r="E9" s="23" t="str">
        <f t="shared" si="0"/>
        <v/>
      </c>
      <c r="F9" s="20"/>
      <c r="G9" s="20"/>
      <c r="H9" s="21" t="str">
        <f t="shared" si="2"/>
        <v/>
      </c>
      <c r="I9" s="22"/>
      <c r="J9" s="22"/>
      <c r="K9" s="21" t="str">
        <f t="shared" si="1"/>
        <v/>
      </c>
      <c r="L9" s="11"/>
      <c r="M9" s="19"/>
    </row>
    <row r="10" spans="1:13" ht="15.6" customHeight="1">
      <c r="A10" s="30" t="str">
        <v>CA: Fresno MOB - Citi</v>
      </c>
      <c r="B10" s="31" t="str">
        <v>CA</v>
      </c>
      <c r="C10" s="26"/>
      <c r="D10" s="71"/>
      <c r="E10" s="82" t="str">
        <f t="shared" si="0"/>
        <v/>
      </c>
      <c r="F10" s="14"/>
      <c r="G10" s="14"/>
      <c r="H10" s="15" t="str">
        <f t="shared" si="2"/>
        <v/>
      </c>
      <c r="I10" s="16"/>
      <c r="J10" s="16"/>
      <c r="K10" s="17" t="str">
        <f t="shared" si="1"/>
        <v/>
      </c>
      <c r="L10" s="18"/>
      <c r="M10" s="18"/>
    </row>
    <row r="11" spans="1:13" ht="15.6" customHeight="1">
      <c r="A11" s="32" t="str">
        <v>CA: Modesto Bangs - Citi</v>
      </c>
      <c r="B11" s="33" t="str">
        <v>CA</v>
      </c>
      <c r="C11" s="12"/>
      <c r="D11" s="12"/>
      <c r="E11" s="23" t="str">
        <f t="shared" si="0"/>
        <v/>
      </c>
      <c r="F11" s="20"/>
      <c r="G11" s="20"/>
      <c r="H11" s="21" t="str">
        <f t="shared" si="2"/>
        <v/>
      </c>
      <c r="I11" s="22"/>
      <c r="J11" s="22"/>
      <c r="K11" s="21" t="str">
        <f t="shared" si="1"/>
        <v/>
      </c>
      <c r="L11" s="84"/>
      <c r="M11" s="57"/>
    </row>
    <row r="12" spans="1:13" ht="46.5" customHeight="1">
      <c r="A12" s="30" t="str">
        <v>CA: Napa Data Center - Citi</v>
      </c>
      <c r="B12" s="31" t="str">
        <v>CA</v>
      </c>
      <c r="C12" s="26"/>
      <c r="D12" s="71"/>
      <c r="E12" s="82" t="str">
        <f t="shared" si="0"/>
        <v/>
      </c>
      <c r="F12" s="14"/>
      <c r="G12" s="14"/>
      <c r="H12" s="15" t="str">
        <f t="shared" si="2"/>
        <v/>
      </c>
      <c r="I12" s="16"/>
      <c r="J12" s="16"/>
      <c r="K12" s="17" t="str">
        <f t="shared" si="1"/>
        <v/>
      </c>
      <c r="L12" s="18"/>
      <c r="M12" s="18"/>
    </row>
    <row r="13" spans="1:13" ht="15.6" customHeight="1">
      <c r="A13" s="32" t="str">
        <v>CA: Petaluma MOB - Citi</v>
      </c>
      <c r="B13" s="33" t="str">
        <v>CA</v>
      </c>
      <c r="C13" s="12"/>
      <c r="D13" s="12"/>
      <c r="E13" s="23" t="str">
        <f t="shared" si="0"/>
        <v/>
      </c>
      <c r="F13" s="20"/>
      <c r="G13" s="20"/>
      <c r="H13" s="21" t="str">
        <f t="shared" si="2"/>
        <v/>
      </c>
      <c r="I13" s="22"/>
      <c r="J13" s="22"/>
      <c r="K13" s="21" t="str">
        <f t="shared" si="1"/>
        <v/>
      </c>
      <c r="L13" s="57"/>
      <c r="M13" s="57"/>
    </row>
    <row r="14" spans="1:13" ht="15.6" customHeight="1">
      <c r="A14" s="30" t="str">
        <v>CA: Pleasanton Tec Ctr - Citi</v>
      </c>
      <c r="B14" s="31" t="str">
        <v>CA</v>
      </c>
      <c r="C14" s="26"/>
      <c r="D14" s="71"/>
      <c r="E14" s="82" t="str">
        <f t="shared" si="0"/>
        <v/>
      </c>
      <c r="F14" s="14"/>
      <c r="G14" s="14"/>
      <c r="H14" s="15" t="str">
        <f t="shared" si="2"/>
        <v/>
      </c>
      <c r="I14" s="16"/>
      <c r="J14" s="16"/>
      <c r="K14" s="17" t="str">
        <f t="shared" si="1"/>
        <v/>
      </c>
      <c r="L14" s="18"/>
      <c r="M14" s="18"/>
    </row>
    <row r="15" spans="1:13" ht="32.25" customHeight="1">
      <c r="A15" s="32" t="str">
        <v>CA: Rancho Cordova - Citi</v>
      </c>
      <c r="B15" s="33" t="str">
        <v>CA</v>
      </c>
      <c r="C15" s="12"/>
      <c r="D15" s="12"/>
      <c r="E15" s="23" t="str">
        <f t="shared" si="0"/>
        <v/>
      </c>
      <c r="F15" s="20"/>
      <c r="G15" s="20"/>
      <c r="H15" s="21" t="str">
        <f t="shared" si="2"/>
        <v/>
      </c>
      <c r="I15" s="22"/>
      <c r="J15" s="22"/>
      <c r="K15" s="21" t="str">
        <f t="shared" si="1"/>
        <v/>
      </c>
    </row>
    <row r="16" spans="1:13" ht="15.6" customHeight="1">
      <c r="A16" s="30" t="str">
        <v>CA: S Sacramento Wyndham - Citi</v>
      </c>
      <c r="B16" s="31" t="str">
        <v>CA</v>
      </c>
      <c r="C16" s="37"/>
      <c r="D16" s="72"/>
      <c r="E16" s="82" t="str">
        <f t="shared" si="0"/>
        <v/>
      </c>
      <c r="F16" s="14"/>
      <c r="G16" s="14"/>
      <c r="H16" s="38" t="str">
        <f t="shared" ref="H16:H22" si="3">IFERROR(G16/F16, "")</f>
        <v/>
      </c>
      <c r="I16" s="39"/>
      <c r="J16" s="39"/>
      <c r="K16" s="40" t="str">
        <f t="shared" ref="K16:K20" si="4">IFERROR(J16/I16, "")</f>
        <v/>
      </c>
      <c r="L16" s="41"/>
      <c r="M16" s="41"/>
    </row>
    <row r="17" spans="1:13" ht="52.5" customHeight="1">
      <c r="A17" s="32" t="str">
        <v>CA: Sacramento Point West - Citi</v>
      </c>
      <c r="B17" s="33" t="str">
        <v>CA</v>
      </c>
      <c r="C17" s="42"/>
      <c r="D17" s="42"/>
      <c r="E17" s="23" t="str">
        <f t="shared" si="0"/>
        <v/>
      </c>
      <c r="F17" s="20"/>
      <c r="G17" s="20"/>
      <c r="H17" s="43" t="str">
        <f t="shared" si="3"/>
        <v/>
      </c>
      <c r="I17" s="44"/>
      <c r="J17" s="44"/>
      <c r="K17" s="43" t="str">
        <f t="shared" si="4"/>
        <v/>
      </c>
      <c r="L17" s="84"/>
      <c r="M17" s="57"/>
    </row>
    <row r="18" spans="1:13" ht="12.75" customHeight="1">
      <c r="A18" s="30" t="str">
        <v>CA: San Jose FHC - Citi</v>
      </c>
      <c r="B18" s="31" t="str">
        <v>CA</v>
      </c>
      <c r="C18" s="37"/>
      <c r="D18" s="72"/>
      <c r="E18" s="82" t="str">
        <f t="shared" si="0"/>
        <v/>
      </c>
      <c r="F18" s="14"/>
      <c r="G18" s="14"/>
      <c r="H18" s="38" t="str">
        <f t="shared" si="3"/>
        <v/>
      </c>
      <c r="I18" s="39"/>
      <c r="J18" s="39"/>
      <c r="K18" s="40" t="str">
        <f t="shared" si="4"/>
        <v/>
      </c>
      <c r="L18" s="41"/>
      <c r="M18" s="41"/>
    </row>
    <row r="19" spans="1:13" ht="15.6" customHeight="1">
      <c r="A19" s="32" t="str">
        <v>CA: San Jose MOB - Citi</v>
      </c>
      <c r="B19" s="33" t="str">
        <v>CA</v>
      </c>
      <c r="C19" s="42"/>
      <c r="D19" s="42"/>
      <c r="E19" s="23" t="str">
        <f t="shared" si="0"/>
        <v/>
      </c>
      <c r="F19" s="20"/>
      <c r="G19" s="20"/>
      <c r="H19" s="43" t="str">
        <f t="shared" si="3"/>
        <v/>
      </c>
      <c r="I19" s="44"/>
      <c r="J19" s="44"/>
      <c r="K19" s="43" t="str">
        <f t="shared" si="4"/>
        <v/>
      </c>
      <c r="L19" s="11"/>
      <c r="M19" s="19"/>
    </row>
    <row r="20" spans="1:13" ht="15.6" customHeight="1">
      <c r="A20" s="30" t="str">
        <v>CA: Selma - Citi</v>
      </c>
      <c r="B20" s="31" t="str">
        <v>CA</v>
      </c>
      <c r="C20" s="37"/>
      <c r="D20" s="72"/>
      <c r="E20" s="82" t="str">
        <f t="shared" si="0"/>
        <v/>
      </c>
      <c r="F20" s="14"/>
      <c r="G20" s="14"/>
      <c r="H20" s="38" t="str">
        <f t="shared" si="3"/>
        <v/>
      </c>
      <c r="I20" s="39"/>
      <c r="J20" s="39"/>
      <c r="K20" s="40" t="str">
        <f t="shared" si="4"/>
        <v/>
      </c>
      <c r="L20" s="41"/>
      <c r="M20" s="41"/>
    </row>
    <row r="21" spans="1:13" ht="15.6" customHeight="1">
      <c r="A21" s="32" t="str">
        <v>CA: Vacaville Hospital</v>
      </c>
      <c r="B21" s="33" t="str">
        <v>CA</v>
      </c>
      <c r="C21" s="42"/>
      <c r="D21" s="42"/>
      <c r="E21" s="23" t="str">
        <f t="shared" si="0"/>
        <v/>
      </c>
      <c r="F21" s="20"/>
      <c r="G21" s="20"/>
      <c r="H21" s="43" t="str">
        <f t="shared" si="3"/>
        <v/>
      </c>
      <c r="I21" s="44"/>
      <c r="J21" s="44"/>
      <c r="K21" s="43" t="str">
        <f>IFERROR(J21/I21, "")</f>
        <v/>
      </c>
      <c r="L21" s="57"/>
      <c r="M21" s="57"/>
    </row>
    <row r="22" spans="1:13" ht="15.6" customHeight="1">
      <c r="A22" s="30" t="str">
        <v>CA: Manteca - KP Manteca Hospital</v>
      </c>
      <c r="B22" s="31" t="str">
        <v>CA</v>
      </c>
      <c r="C22" s="37"/>
      <c r="D22" s="72"/>
      <c r="E22" s="82" t="str">
        <f>IFERROR(C22/D22, "")</f>
        <v/>
      </c>
      <c r="F22" s="14"/>
      <c r="G22" s="14"/>
      <c r="H22" s="38" t="str">
        <f t="shared" si="3"/>
        <v/>
      </c>
      <c r="I22" s="39"/>
      <c r="J22" s="39"/>
      <c r="K22" s="40" t="str">
        <f>IFERROR(J22/I22, "")</f>
        <v/>
      </c>
      <c r="L22" s="41"/>
      <c r="M22" s="41"/>
    </row>
    <row r="23" spans="1:13" ht="14.45" customHeight="1">
      <c r="A23" s="23" t="str">
        <v>Sacramento - KP South Sacramento HSP</v>
      </c>
      <c r="B23" s="35" t="str">
        <v>CA</v>
      </c>
      <c r="C23" s="23"/>
      <c r="D23" s="23"/>
      <c r="E23" s="23" t="str">
        <f>IFERROR(C23/D23, "")</f>
        <v/>
      </c>
      <c r="F23" s="23"/>
      <c r="G23" s="23"/>
      <c r="H23" s="23"/>
      <c r="I23" s="23"/>
      <c r="J23" s="23"/>
      <c r="K23" s="23"/>
      <c r="L23" s="23"/>
      <c r="M23" s="23"/>
    </row>
    <row r="24" spans="1:13" ht="14.45" customHeight="1">
      <c r="A24" s="23"/>
      <c r="B24" s="35"/>
      <c r="C24" s="23"/>
      <c r="D24" s="23"/>
      <c r="E24" s="23"/>
      <c r="F24" s="23"/>
      <c r="G24" s="23"/>
      <c r="H24" s="23"/>
      <c r="I24" s="23"/>
      <c r="J24" s="23"/>
      <c r="K24" s="23"/>
      <c r="L24" s="23"/>
      <c r="M24" s="23"/>
    </row>
    <row r="25" spans="1:13" ht="14.45" customHeight="1">
      <c r="A25" s="23"/>
      <c r="B25" s="35"/>
      <c r="C25" s="23"/>
      <c r="D25" s="23"/>
      <c r="E25" s="73"/>
      <c r="F25" s="23"/>
      <c r="G25" s="23"/>
      <c r="H25" s="23"/>
      <c r="I25" s="23"/>
      <c r="J25" s="23"/>
      <c r="K25" s="23"/>
      <c r="L25" s="23"/>
      <c r="M25" s="23"/>
    </row>
    <row r="26" spans="1:13" ht="14.45" customHeight="1">
      <c r="A26" s="23"/>
      <c r="B26" s="35"/>
      <c r="C26" s="23"/>
      <c r="D26" s="23"/>
      <c r="E26" s="23"/>
      <c r="F26" s="23"/>
      <c r="G26" s="23"/>
      <c r="H26" s="23"/>
      <c r="I26" s="23"/>
      <c r="J26" s="23"/>
      <c r="K26" s="23"/>
      <c r="L26" s="23"/>
      <c r="M26" s="23"/>
    </row>
    <row r="27" spans="1:13" ht="14.45" customHeight="1">
      <c r="A27" s="23"/>
      <c r="B27" s="35"/>
      <c r="C27" s="23"/>
      <c r="D27" s="23"/>
      <c r="E27" s="23"/>
      <c r="F27" s="23"/>
      <c r="G27" s="23"/>
      <c r="H27" s="23"/>
      <c r="I27" s="23"/>
      <c r="J27" s="23"/>
      <c r="K27" s="23"/>
      <c r="L27" s="23"/>
      <c r="M27" s="23"/>
    </row>
    <row r="28" spans="1:13" ht="14.45" customHeight="1">
      <c r="A28" s="23"/>
      <c r="B28" s="35"/>
      <c r="C28" s="23"/>
      <c r="D28" s="23"/>
      <c r="E28" s="23"/>
      <c r="F28" s="23"/>
      <c r="G28" s="23"/>
      <c r="H28" s="23"/>
      <c r="I28" s="23"/>
      <c r="J28" s="23"/>
      <c r="K28" s="23"/>
      <c r="L28" s="23"/>
      <c r="M28" s="23"/>
    </row>
    <row r="29" spans="1:13" ht="14.45" customHeight="1">
      <c r="A29" s="23"/>
      <c r="B29" s="35"/>
      <c r="C29" s="23"/>
      <c r="D29" s="23"/>
      <c r="E29" s="23"/>
      <c r="F29" s="23"/>
      <c r="G29" s="23"/>
      <c r="H29" s="23"/>
      <c r="I29" s="23"/>
      <c r="J29" s="23"/>
      <c r="K29" s="23"/>
      <c r="L29" s="23"/>
      <c r="M29" s="23"/>
    </row>
    <row r="30" spans="1:13" ht="14.45" customHeight="1">
      <c r="A30" s="23"/>
      <c r="B30" s="35"/>
      <c r="C30" s="23"/>
      <c r="D30" s="23"/>
      <c r="E30" s="23"/>
      <c r="F30" s="23"/>
      <c r="G30" s="23"/>
      <c r="H30" s="23"/>
      <c r="I30" s="23"/>
      <c r="J30" s="23"/>
      <c r="K30" s="23"/>
      <c r="L30" s="23"/>
      <c r="M30" s="23"/>
    </row>
    <row r="31" spans="1:13" ht="14.45" customHeight="1">
      <c r="A31" s="23"/>
      <c r="B31" s="35"/>
      <c r="C31" s="23"/>
      <c r="D31" s="23"/>
      <c r="E31" s="23"/>
      <c r="F31" s="23"/>
      <c r="G31" s="23"/>
      <c r="H31" s="24"/>
      <c r="I31" s="23"/>
      <c r="J31" s="23"/>
      <c r="K31" s="24"/>
      <c r="L31" s="23"/>
      <c r="M31" s="23"/>
    </row>
    <row r="32" spans="1:13"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sheetData>
  <mergeCells count="4">
    <mergeCell ref="I1:K1"/>
    <mergeCell ref="A1:C1"/>
    <mergeCell ref="F1:H1"/>
    <mergeCell ref="A2:B2"/>
  </mergeCells>
  <conditionalFormatting sqref="H2 K2 H4:H81 K4:K81">
    <cfRule type="cellIs" dxfId="10" priority="1" stopIfTrue="1" operator="lessThanOrEqual">
      <formula>-0.1</formula>
    </cfRule>
    <cfRule type="expression" dxfId="9" priority="2">
      <formula>AND(ISNUMBER(H2), H2&gt;=0.1)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42"/>
  <sheetViews>
    <sheetView zoomScale="50" zoomScaleNormal="50" workbookViewId="0">
      <pane ySplit="2" topLeftCell="A3" activePane="bottomLeft" state="frozen"/>
      <selection pane="bottomLeft" activeCell="E23" sqref="E23"/>
      <selection activeCell="M45" sqref="M45"/>
    </sheetView>
  </sheetViews>
  <sheetFormatPr defaultRowHeight="14.1"/>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s>
  <sheetData>
    <row r="1" spans="1:14" ht="27.95">
      <c r="A1" s="132" t="str" cm="1">
        <f t="array" ref="A1">portfolio</f>
        <v>CITI</v>
      </c>
      <c r="B1" s="132"/>
      <c r="C1" s="132"/>
      <c r="D1" s="74" t="s">
        <v>0</v>
      </c>
      <c r="E1" s="75" t="s">
        <v>1</v>
      </c>
      <c r="F1" s="76" t="s">
        <v>236</v>
      </c>
      <c r="G1" s="133" t="s">
        <v>237</v>
      </c>
      <c r="H1" s="133"/>
      <c r="I1" s="133"/>
      <c r="J1" s="131" t="s">
        <v>238</v>
      </c>
      <c r="K1" s="131"/>
      <c r="L1" s="131"/>
      <c r="M1" s="5"/>
      <c r="N1" s="5"/>
    </row>
    <row r="2" spans="1:14" ht="19.5" customHeight="1">
      <c r="A2" s="134" t="s">
        <v>4</v>
      </c>
      <c r="B2" s="134"/>
      <c r="C2" s="6">
        <f>SUM(C4:C100)</f>
        <v>0</v>
      </c>
      <c r="D2" s="6">
        <f>SUM(D3:D22)</f>
        <v>0</v>
      </c>
      <c r="E2" s="68" t="str">
        <f>IFERROR(C2/D2, "")</f>
        <v/>
      </c>
      <c r="F2" s="7">
        <v>0.89</v>
      </c>
      <c r="G2" s="6">
        <f>SUM(G4:G100)</f>
        <v>0</v>
      </c>
      <c r="H2" s="6">
        <f>C2-G2</f>
        <v>0</v>
      </c>
      <c r="I2" s="7">
        <f>IFERROR(H2/G2, 0)</f>
        <v>0</v>
      </c>
      <c r="J2" s="6">
        <f>SUM(J4:J100)</f>
        <v>0</v>
      </c>
      <c r="K2" s="8">
        <f>C2-J2</f>
        <v>0</v>
      </c>
      <c r="L2" s="7">
        <f>IFERROR(K2/J2, 0)</f>
        <v>0</v>
      </c>
      <c r="M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4" ht="15.6">
      <c r="A4" s="34" t="str" cm="1">
        <f t="array" ref="A4:A23">Sites[Site]</f>
        <v>CA: Antioch Deer Valley - Citi</v>
      </c>
      <c r="B4" s="31" t="str" cm="1">
        <f t="array" ref="B4:B23">Sites[State]</f>
        <v>CA</v>
      </c>
      <c r="C4" s="26"/>
      <c r="D4" s="71"/>
      <c r="E4" s="82" t="str">
        <f>IFERROR(C4/D4, "")</f>
        <v/>
      </c>
      <c r="F4" s="79"/>
      <c r="G4" s="14"/>
      <c r="H4" s="14" t="str">
        <f t="shared" ref="H4:H22" si="0">IF(AND(ISNUMBER(C4),ISNUMBER(G4)), C4-G4, "")</f>
        <v/>
      </c>
      <c r="I4" s="15"/>
      <c r="J4" s="16"/>
      <c r="K4" s="16" t="str">
        <f t="shared" ref="K4:K22" si="1">IF(AND(ISNUMBER(C4),ISNUMBER(J4)), C4-J4, "")</f>
        <v/>
      </c>
      <c r="L4" s="17"/>
      <c r="M4" s="18"/>
      <c r="N4" s="18"/>
    </row>
    <row r="5" spans="1:14" ht="39.6" customHeight="1">
      <c r="A5" s="32" t="str">
        <v>CA: Antioch MC CUP - Citi</v>
      </c>
      <c r="B5" s="33" t="str">
        <v>CA</v>
      </c>
      <c r="C5" s="12"/>
      <c r="D5" s="12"/>
      <c r="E5" s="80" t="str">
        <f>IFERROR(C5/D5,"")</f>
        <v/>
      </c>
      <c r="F5" s="80"/>
      <c r="G5" s="20"/>
      <c r="H5" s="20" t="str">
        <f t="shared" si="0"/>
        <v/>
      </c>
      <c r="I5" s="21"/>
      <c r="J5" s="22"/>
      <c r="K5" s="22" t="str">
        <f t="shared" si="1"/>
        <v/>
      </c>
      <c r="L5" s="21"/>
      <c r="M5" s="84"/>
      <c r="N5" s="86"/>
    </row>
    <row r="6" spans="1:14" ht="15.6">
      <c r="A6" s="30" t="str">
        <v>CA: Clovis - Citi</v>
      </c>
      <c r="B6" s="31" t="str">
        <v>CA</v>
      </c>
      <c r="C6" s="26"/>
      <c r="D6" s="71"/>
      <c r="E6" s="82" t="str">
        <f t="shared" ref="E6" si="2">IFERROR(C6/D6, "")</f>
        <v/>
      </c>
      <c r="F6" s="79"/>
      <c r="G6" s="14"/>
      <c r="H6" s="14" t="str">
        <f t="shared" si="0"/>
        <v/>
      </c>
      <c r="I6" s="15"/>
      <c r="J6" s="16"/>
      <c r="K6" s="16" t="str">
        <f t="shared" si="1"/>
        <v/>
      </c>
      <c r="L6" s="17"/>
      <c r="M6" s="18"/>
      <c r="N6" s="18"/>
    </row>
    <row r="7" spans="1:14" ht="15.6">
      <c r="A7" s="32" t="str">
        <v>CA: Elk Grove MOB - Citi</v>
      </c>
      <c r="B7" s="33" t="str">
        <v>CA</v>
      </c>
      <c r="C7" s="12"/>
      <c r="D7" s="12"/>
      <c r="E7" s="80" t="str">
        <f t="shared" ref="E7" si="3">IFERROR(C7/D7,"")</f>
        <v/>
      </c>
      <c r="F7" s="80"/>
      <c r="G7" s="20"/>
      <c r="H7" s="20" t="str">
        <f t="shared" si="0"/>
        <v/>
      </c>
      <c r="I7" s="21"/>
      <c r="J7" s="22"/>
      <c r="K7" s="22" t="str">
        <f t="shared" si="1"/>
        <v/>
      </c>
      <c r="L7" s="21"/>
      <c r="M7" s="85"/>
      <c r="N7" s="94"/>
    </row>
    <row r="8" spans="1:14" ht="15.6">
      <c r="A8" s="30" t="str">
        <v>CA: Elk Grove Promenade - Citi</v>
      </c>
      <c r="B8" s="31" t="str">
        <v>CA</v>
      </c>
      <c r="C8" s="26"/>
      <c r="D8" s="71"/>
      <c r="E8" s="82" t="str">
        <f t="shared" ref="E8" si="4">IFERROR(C8/D8, "")</f>
        <v/>
      </c>
      <c r="F8" s="79"/>
      <c r="G8" s="14"/>
      <c r="H8" s="14" t="str">
        <f t="shared" si="0"/>
        <v/>
      </c>
      <c r="I8" s="15"/>
      <c r="J8" s="16"/>
      <c r="K8" s="16" t="str">
        <f t="shared" si="1"/>
        <v/>
      </c>
      <c r="L8" s="17"/>
      <c r="M8" s="18"/>
      <c r="N8" s="18"/>
    </row>
    <row r="9" spans="1:14" ht="15.6">
      <c r="A9" s="32" t="str">
        <v>CA: Fresno Sequioa - Citi</v>
      </c>
      <c r="B9" s="33" t="str">
        <v>CA</v>
      </c>
      <c r="C9" s="12"/>
      <c r="D9" s="12"/>
      <c r="E9" s="80" t="str">
        <f t="shared" ref="E9" si="5">IFERROR(C9/D9,"")</f>
        <v/>
      </c>
      <c r="F9" s="80"/>
      <c r="G9" s="20"/>
      <c r="H9" s="20" t="str">
        <f t="shared" si="0"/>
        <v/>
      </c>
      <c r="I9" s="21"/>
      <c r="J9" s="22"/>
      <c r="K9" s="22" t="str">
        <f t="shared" si="1"/>
        <v/>
      </c>
      <c r="L9" s="21"/>
      <c r="M9" s="61"/>
      <c r="N9" s="62"/>
    </row>
    <row r="10" spans="1:14" ht="15.6">
      <c r="A10" s="30" t="str">
        <v>CA: Fresno MOB - Citi</v>
      </c>
      <c r="B10" s="31" t="str">
        <v>CA</v>
      </c>
      <c r="C10" s="26"/>
      <c r="D10" s="71"/>
      <c r="E10" s="82" t="str">
        <f t="shared" ref="E10" si="6">IFERROR(C10/D10, "")</f>
        <v/>
      </c>
      <c r="F10" s="79"/>
      <c r="G10" s="14"/>
      <c r="H10" s="14" t="str">
        <f t="shared" si="0"/>
        <v/>
      </c>
      <c r="I10" s="15"/>
      <c r="J10" s="16"/>
      <c r="K10" s="16" t="str">
        <f t="shared" si="1"/>
        <v/>
      </c>
      <c r="L10" s="17"/>
      <c r="M10" s="18"/>
      <c r="N10" s="18"/>
    </row>
    <row r="11" spans="1:14" ht="15.6">
      <c r="A11" s="32" t="str">
        <v>CA: Modesto Bangs - Citi</v>
      </c>
      <c r="B11" s="33" t="str">
        <v>CA</v>
      </c>
      <c r="C11" s="12"/>
      <c r="D11" s="12"/>
      <c r="E11" s="80" t="str">
        <f t="shared" ref="E11" si="7">IFERROR(C11/D11,"")</f>
        <v/>
      </c>
      <c r="F11" s="80"/>
      <c r="G11" s="20"/>
      <c r="H11" s="20" t="str">
        <f t="shared" si="0"/>
        <v/>
      </c>
      <c r="I11" s="21"/>
      <c r="J11" s="22"/>
      <c r="K11" s="22" t="str">
        <f t="shared" si="1"/>
        <v/>
      </c>
      <c r="L11" s="21"/>
      <c r="M11" s="84"/>
      <c r="N11" s="87"/>
    </row>
    <row r="12" spans="1:14" ht="15.6">
      <c r="A12" s="30" t="str">
        <v>CA: Napa Data Center - Citi</v>
      </c>
      <c r="B12" s="31" t="str">
        <v>CA</v>
      </c>
      <c r="C12" s="26"/>
      <c r="D12" s="71"/>
      <c r="E12" s="82" t="str">
        <f t="shared" ref="E12" si="8">IFERROR(C12/D12, "")</f>
        <v/>
      </c>
      <c r="F12" s="79"/>
      <c r="G12" s="14"/>
      <c r="H12" s="14" t="str">
        <f t="shared" si="0"/>
        <v/>
      </c>
      <c r="I12" s="15"/>
      <c r="J12" s="16"/>
      <c r="K12" s="16" t="str">
        <f t="shared" si="1"/>
        <v/>
      </c>
      <c r="L12" s="17"/>
      <c r="M12" s="18"/>
      <c r="N12" s="18"/>
    </row>
    <row r="13" spans="1:14" ht="15.6">
      <c r="A13" s="32" t="str">
        <v>CA: Petaluma MOB - Citi</v>
      </c>
      <c r="B13" s="33" t="str">
        <v>CA</v>
      </c>
      <c r="C13" s="12"/>
      <c r="D13" s="12"/>
      <c r="E13" s="80" t="str">
        <f t="shared" ref="E13" si="9">IFERROR(C13/D13,"")</f>
        <v/>
      </c>
      <c r="F13" s="80"/>
      <c r="G13" s="20"/>
      <c r="H13" s="20" t="str">
        <f t="shared" si="0"/>
        <v/>
      </c>
      <c r="I13" s="21"/>
      <c r="J13" s="22"/>
      <c r="K13" s="22" t="str">
        <f t="shared" si="1"/>
        <v/>
      </c>
      <c r="L13" s="21"/>
      <c r="M13" s="61"/>
      <c r="N13" s="62"/>
    </row>
    <row r="14" spans="1:14" ht="15.6">
      <c r="A14" s="30" t="str">
        <v>CA: Pleasanton Tec Ctr - Citi</v>
      </c>
      <c r="B14" s="31" t="str">
        <v>CA</v>
      </c>
      <c r="C14" s="26"/>
      <c r="D14" s="71"/>
      <c r="E14" s="82" t="str">
        <f t="shared" ref="E14" si="10">IFERROR(C14/D14, "")</f>
        <v/>
      </c>
      <c r="F14" s="79"/>
      <c r="G14" s="14"/>
      <c r="H14" s="14" t="str">
        <f t="shared" si="0"/>
        <v/>
      </c>
      <c r="I14" s="15"/>
      <c r="J14" s="16"/>
      <c r="K14" s="16" t="str">
        <f t="shared" si="1"/>
        <v/>
      </c>
      <c r="L14" s="17"/>
      <c r="M14" s="18"/>
      <c r="N14" s="18"/>
    </row>
    <row r="15" spans="1:14" ht="15.6">
      <c r="A15" s="32" t="str">
        <v>CA: Rancho Cordova - Citi</v>
      </c>
      <c r="B15" s="33" t="str">
        <v>CA</v>
      </c>
      <c r="C15" s="12"/>
      <c r="D15" s="12"/>
      <c r="E15" s="80" t="str">
        <f t="shared" ref="E15" si="11">IFERROR(C15/D15,"")</f>
        <v/>
      </c>
      <c r="F15" s="80"/>
      <c r="G15" s="20"/>
      <c r="H15" s="20" t="str">
        <f t="shared" si="0"/>
        <v/>
      </c>
      <c r="I15" s="21"/>
      <c r="J15" s="22"/>
      <c r="K15" s="22" t="str">
        <f t="shared" si="1"/>
        <v/>
      </c>
      <c r="L15" s="21"/>
      <c r="M15" s="11"/>
      <c r="N15" s="19"/>
    </row>
    <row r="16" spans="1:14" ht="15.6">
      <c r="A16" s="30" t="str">
        <v>CA: S Sacramento Wyndham - Citi</v>
      </c>
      <c r="B16" s="31" t="str">
        <v>CA</v>
      </c>
      <c r="C16" s="37"/>
      <c r="D16" s="72"/>
      <c r="E16" s="82" t="str">
        <f t="shared" ref="E16" si="12">IFERROR(C16/D16, "")</f>
        <v/>
      </c>
      <c r="F16" s="79"/>
      <c r="G16" s="14"/>
      <c r="H16" s="14" t="str">
        <f t="shared" si="0"/>
        <v/>
      </c>
      <c r="I16" s="38"/>
      <c r="J16" s="39"/>
      <c r="K16" s="39" t="str">
        <f t="shared" si="1"/>
        <v/>
      </c>
      <c r="L16" s="40"/>
      <c r="M16" s="41"/>
      <c r="N16" s="41"/>
    </row>
    <row r="17" spans="1:14" ht="15.6">
      <c r="A17" s="32" t="str">
        <v>CA: Sacramento Point West - Citi</v>
      </c>
      <c r="B17" s="33" t="str">
        <v>CA</v>
      </c>
      <c r="C17" s="42"/>
      <c r="D17" s="42"/>
      <c r="E17" s="80" t="str">
        <f t="shared" ref="E17" si="13">IFERROR(C17/D17,"")</f>
        <v/>
      </c>
      <c r="F17" s="80"/>
      <c r="G17" s="20"/>
      <c r="H17" s="20" t="str">
        <f t="shared" si="0"/>
        <v/>
      </c>
      <c r="I17" s="43"/>
      <c r="J17" s="44"/>
      <c r="K17" s="44" t="str">
        <f t="shared" si="1"/>
        <v/>
      </c>
      <c r="L17" s="43"/>
      <c r="M17" s="85"/>
      <c r="N17" s="60"/>
    </row>
    <row r="18" spans="1:14" ht="12.75" customHeight="1">
      <c r="A18" s="30" t="str">
        <v>CA: San Jose FHC - Citi</v>
      </c>
      <c r="B18" s="31" t="str">
        <v>CA</v>
      </c>
      <c r="C18" s="37"/>
      <c r="D18" s="72"/>
      <c r="E18" s="82" t="str">
        <f t="shared" ref="E18" si="14">IFERROR(C18/D18, "")</f>
        <v/>
      </c>
      <c r="F18" s="79"/>
      <c r="G18" s="14"/>
      <c r="H18" s="14" t="str">
        <f t="shared" si="0"/>
        <v/>
      </c>
      <c r="I18" s="38"/>
      <c r="J18" s="39"/>
      <c r="K18" s="39" t="str">
        <f t="shared" si="1"/>
        <v/>
      </c>
      <c r="L18" s="40"/>
      <c r="M18" s="41"/>
      <c r="N18" s="41"/>
    </row>
    <row r="19" spans="1:14" ht="15.6">
      <c r="A19" s="32" t="str">
        <v>CA: San Jose MOB - Citi</v>
      </c>
      <c r="B19" s="33" t="str">
        <v>CA</v>
      </c>
      <c r="C19" s="42"/>
      <c r="D19" s="42"/>
      <c r="E19" s="80" t="str">
        <f t="shared" ref="E19" si="15">IFERROR(C19/D19,"")</f>
        <v/>
      </c>
      <c r="F19" s="80"/>
      <c r="G19" s="20"/>
      <c r="H19" s="20" t="str">
        <f t="shared" si="0"/>
        <v/>
      </c>
      <c r="I19" s="43"/>
      <c r="J19" s="44"/>
      <c r="K19" s="44" t="str">
        <f t="shared" si="1"/>
        <v/>
      </c>
      <c r="L19" s="43"/>
      <c r="M19" s="11"/>
      <c r="N19" s="19"/>
    </row>
    <row r="20" spans="1:14" ht="15.6">
      <c r="A20" s="30" t="str">
        <v>CA: Selma - Citi</v>
      </c>
      <c r="B20" s="31" t="str">
        <v>CA</v>
      </c>
      <c r="C20" s="37"/>
      <c r="D20" s="72"/>
      <c r="E20" s="82" t="str">
        <f t="shared" ref="E20" si="16">IFERROR(C20/D20, "")</f>
        <v/>
      </c>
      <c r="F20" s="79"/>
      <c r="G20" s="14"/>
      <c r="H20" s="14" t="str">
        <f t="shared" si="0"/>
        <v/>
      </c>
      <c r="I20" s="38"/>
      <c r="J20" s="39"/>
      <c r="K20" s="39" t="str">
        <f t="shared" si="1"/>
        <v/>
      </c>
      <c r="L20" s="40"/>
      <c r="M20" s="41"/>
      <c r="N20" s="41"/>
    </row>
    <row r="21" spans="1:14" ht="15.6">
      <c r="A21" s="32" t="str">
        <v>CA: Vacaville Hospital</v>
      </c>
      <c r="B21" s="33" t="str">
        <v>CA</v>
      </c>
      <c r="C21" s="42"/>
      <c r="D21" s="42"/>
      <c r="E21" s="80" t="str">
        <f t="shared" ref="E21" si="17">IFERROR(C21/D21,"")</f>
        <v/>
      </c>
      <c r="F21" s="80"/>
      <c r="G21" s="20"/>
      <c r="H21" s="20" t="str">
        <f t="shared" si="0"/>
        <v/>
      </c>
      <c r="I21" s="43"/>
      <c r="J21" s="44"/>
      <c r="K21" s="44" t="str">
        <f t="shared" si="1"/>
        <v/>
      </c>
      <c r="L21" s="43"/>
      <c r="M21" s="61"/>
      <c r="N21" s="62"/>
    </row>
    <row r="22" spans="1:14" ht="15.6">
      <c r="A22" s="30" t="str">
        <v>CA: Manteca - KP Manteca Hospital</v>
      </c>
      <c r="B22" s="31" t="str">
        <v>CA</v>
      </c>
      <c r="C22" s="37"/>
      <c r="D22" s="72"/>
      <c r="E22" s="82" t="str">
        <f t="shared" ref="E22" si="18">IFERROR(C22/D22, "")</f>
        <v/>
      </c>
      <c r="F22" s="79"/>
      <c r="G22" s="14"/>
      <c r="H22" s="14" t="str">
        <f t="shared" si="0"/>
        <v/>
      </c>
      <c r="I22" s="38"/>
      <c r="J22" s="39"/>
      <c r="K22" s="39" t="str">
        <f t="shared" si="1"/>
        <v/>
      </c>
      <c r="L22" s="40"/>
      <c r="M22" s="41"/>
      <c r="N22" s="41"/>
    </row>
    <row r="23" spans="1:14" ht="14.45">
      <c r="A23" s="23" t="str">
        <v>Sacramento - KP South Sacramento HSP</v>
      </c>
      <c r="B23" s="35" t="str">
        <v>CA</v>
      </c>
      <c r="C23" s="23"/>
      <c r="D23" s="23"/>
      <c r="E23" s="80" t="str">
        <f t="shared" ref="E23" si="19">IFERROR(C23/D23,"")</f>
        <v/>
      </c>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7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c r="C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8" priority="1" stopIfTrue="1" operator="lessThanOrEqual">
      <formula>-0.1</formula>
    </cfRule>
    <cfRule type="expression" dxfId="7" priority="2">
      <formula>AND(ISNUMBER(I2), I2&gt;=0.1)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60" zoomScaleNormal="60" workbookViewId="0">
      <pane ySplit="2" topLeftCell="A3" activePane="bottomLeft" state="frozen"/>
      <selection pane="bottomLeft" activeCell="L31" sqref="L31"/>
      <selection activeCell="M45" sqref="M45"/>
    </sheetView>
  </sheetViews>
  <sheetFormatPr defaultRowHeight="14.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s>
  <sheetData>
    <row r="1" spans="1:13" ht="19.5" customHeight="1" thickBot="1">
      <c r="A1" s="132" t="str" cm="1">
        <f t="array" ref="A1">portfolio</f>
        <v>CITI</v>
      </c>
      <c r="B1" s="132"/>
      <c r="C1" s="132"/>
      <c r="D1" s="74" t="s">
        <v>0</v>
      </c>
      <c r="E1" s="75" t="s">
        <v>1</v>
      </c>
      <c r="F1" s="133" t="s">
        <v>239</v>
      </c>
      <c r="G1" s="133"/>
      <c r="H1" s="133"/>
      <c r="I1" s="131" t="s">
        <v>240</v>
      </c>
      <c r="J1" s="131"/>
      <c r="K1" s="131"/>
      <c r="L1" s="88"/>
      <c r="M1" s="5"/>
    </row>
    <row r="2" spans="1:13" ht="19.5" customHeight="1">
      <c r="A2" s="134" t="s">
        <v>4</v>
      </c>
      <c r="B2" s="134"/>
      <c r="C2" s="6">
        <f>SUM(C4:C100)</f>
        <v>0</v>
      </c>
      <c r="D2" s="6">
        <f>SUM(D3:D22)</f>
        <v>0</v>
      </c>
      <c r="E2" s="68" t="e">
        <f>C2/D2</f>
        <v>#DIV/0!</v>
      </c>
      <c r="F2" s="6">
        <f>SUM(F4:F100)</f>
        <v>0</v>
      </c>
      <c r="G2" s="6">
        <f>C2-F2</f>
        <v>0</v>
      </c>
      <c r="H2" s="7">
        <f>IFERROR(G2/F2, 0)</f>
        <v>0</v>
      </c>
      <c r="I2" s="6">
        <f>SUM(I4:I100)</f>
        <v>0</v>
      </c>
      <c r="J2" s="8">
        <f>C2-I2</f>
        <v>0</v>
      </c>
      <c r="K2" s="7">
        <f>IFERROR(J2/I2, 0)</f>
        <v>0</v>
      </c>
      <c r="L2" s="89"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5"/>
      <c r="M5" s="92"/>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66"/>
      <c r="M7" s="93"/>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57"/>
      <c r="M11" s="60"/>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57"/>
      <c r="M13" s="95"/>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84"/>
      <c r="M15" s="96"/>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84"/>
      <c r="M17" s="95"/>
    </row>
    <row r="18" spans="1:13" ht="48.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57"/>
      <c r="M19" s="60"/>
    </row>
    <row r="20" spans="1:13" ht="20.45"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81" customHeight="1">
      <c r="A21" s="32" t="str">
        <v>CA: Vacaville Hospital</v>
      </c>
      <c r="B21" s="33" t="str">
        <v>CA</v>
      </c>
      <c r="C21" s="42"/>
      <c r="D21" s="42"/>
      <c r="E21" s="80" t="e">
        <f t="shared" si="0"/>
        <v>#DIV/0!</v>
      </c>
      <c r="F21" s="20"/>
      <c r="G21" s="20"/>
      <c r="H21" s="43" t="str">
        <f t="shared" si="3"/>
        <v/>
      </c>
      <c r="I21" s="44"/>
      <c r="J21" s="44"/>
      <c r="K21" s="43" t="str">
        <f t="shared" si="4"/>
        <v/>
      </c>
      <c r="L21" s="84"/>
      <c r="M21" s="96"/>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90"/>
      <c r="M23" s="23"/>
    </row>
    <row r="24" spans="1:13" ht="14.45">
      <c r="A24" s="23"/>
      <c r="B24" s="35"/>
      <c r="C24" s="23"/>
      <c r="D24" s="23"/>
      <c r="E24" s="23"/>
      <c r="F24" s="23"/>
      <c r="G24" s="23"/>
      <c r="H24" s="23"/>
      <c r="I24" s="23"/>
      <c r="J24" s="23"/>
      <c r="K24" s="23"/>
      <c r="L24" s="90"/>
      <c r="M24" s="23"/>
    </row>
    <row r="25" spans="1:13" ht="14.45">
      <c r="A25" s="23"/>
      <c r="B25" s="35"/>
      <c r="C25" s="23"/>
      <c r="D25" s="23"/>
      <c r="E25" s="73"/>
      <c r="F25" s="23"/>
      <c r="G25" s="23"/>
      <c r="H25" s="23"/>
      <c r="I25" s="23"/>
      <c r="J25" s="23"/>
      <c r="K25" s="23"/>
      <c r="L25" s="90"/>
      <c r="M25" s="23"/>
    </row>
    <row r="26" spans="1:13" ht="14.45">
      <c r="A26" s="23"/>
      <c r="B26" s="35"/>
      <c r="C26" s="23"/>
      <c r="D26" s="23"/>
      <c r="E26" s="23"/>
      <c r="F26" s="23"/>
      <c r="G26" s="23"/>
      <c r="H26" s="23"/>
      <c r="I26" s="23"/>
      <c r="J26" s="23"/>
      <c r="K26" s="23"/>
      <c r="L26" s="90"/>
      <c r="M26" s="23"/>
    </row>
    <row r="27" spans="1:13" ht="14.45">
      <c r="A27" s="23"/>
      <c r="B27" s="35"/>
      <c r="C27" s="23"/>
      <c r="D27" s="23"/>
      <c r="E27" s="23"/>
      <c r="F27" s="23"/>
      <c r="G27" s="23"/>
      <c r="H27" s="23"/>
      <c r="I27" s="23"/>
      <c r="J27" s="23"/>
      <c r="K27" s="23"/>
      <c r="L27" s="90"/>
      <c r="M27" s="23"/>
    </row>
    <row r="28" spans="1:13" ht="14.45">
      <c r="A28" s="23"/>
      <c r="B28" s="35"/>
      <c r="C28" s="23"/>
      <c r="D28" s="23"/>
      <c r="E28" s="23"/>
      <c r="F28" s="23"/>
      <c r="G28" s="23"/>
      <c r="H28" s="23"/>
      <c r="I28" s="23"/>
      <c r="J28" s="23"/>
      <c r="K28" s="23"/>
      <c r="L28" s="90"/>
      <c r="M28" s="23"/>
    </row>
    <row r="29" spans="1:13" ht="14.45">
      <c r="A29" s="23"/>
      <c r="B29" s="35"/>
      <c r="C29" s="23"/>
      <c r="D29" s="23"/>
      <c r="E29" s="23"/>
      <c r="F29" s="23"/>
      <c r="G29" s="23"/>
      <c r="H29" s="23"/>
      <c r="I29" s="23"/>
      <c r="J29" s="23"/>
      <c r="K29" s="23"/>
      <c r="L29" s="90"/>
      <c r="M29" s="23"/>
    </row>
    <row r="30" spans="1:13" ht="14.45">
      <c r="A30" s="23"/>
      <c r="B30" s="35"/>
      <c r="C30" s="23"/>
      <c r="D30" s="23"/>
      <c r="E30" s="23"/>
      <c r="F30" s="23"/>
      <c r="G30" s="23"/>
      <c r="H30" s="23"/>
      <c r="I30" s="23"/>
      <c r="J30" s="23"/>
      <c r="K30" s="23"/>
      <c r="L30" s="90"/>
      <c r="M30" s="23"/>
    </row>
    <row r="31" spans="1:13" ht="14.45">
      <c r="A31" s="23"/>
      <c r="B31" s="35"/>
      <c r="C31" s="23"/>
      <c r="D31" s="23"/>
      <c r="E31" s="23"/>
      <c r="F31" s="23"/>
      <c r="G31" s="23"/>
      <c r="H31" s="23"/>
      <c r="I31" s="23"/>
      <c r="J31" s="23"/>
      <c r="K31" s="23"/>
      <c r="L31" s="90"/>
      <c r="M31" s="23"/>
    </row>
    <row r="32" spans="1:13" ht="14.45">
      <c r="A32" s="23"/>
      <c r="B32" s="35"/>
      <c r="C32" s="23"/>
      <c r="D32" s="23"/>
      <c r="E32" s="23"/>
      <c r="F32" s="23"/>
      <c r="G32" s="23"/>
      <c r="H32" s="23"/>
      <c r="I32" s="23"/>
      <c r="J32" s="23"/>
      <c r="K32" s="23"/>
      <c r="L32" s="90"/>
      <c r="M32" s="23"/>
    </row>
    <row r="33" spans="1:13" ht="14.45">
      <c r="A33" s="23"/>
      <c r="B33" s="35"/>
      <c r="C33" s="23"/>
      <c r="D33" s="23"/>
      <c r="E33" s="23"/>
      <c r="F33" s="23"/>
      <c r="G33" s="23"/>
      <c r="H33" s="24"/>
      <c r="I33" s="23"/>
      <c r="J33" s="23"/>
      <c r="K33" s="24"/>
      <c r="L33" s="90"/>
      <c r="M33" s="23"/>
    </row>
    <row r="34" spans="1:13" ht="14.45">
      <c r="A34" s="23"/>
      <c r="B34" s="35"/>
      <c r="C34" s="23"/>
      <c r="D34" s="23"/>
      <c r="E34" s="23"/>
      <c r="F34" s="23"/>
      <c r="G34" s="23"/>
      <c r="H34" s="24"/>
      <c r="I34" s="23"/>
      <c r="J34" s="23"/>
      <c r="K34" s="24"/>
      <c r="L34" s="90"/>
      <c r="M34" s="23"/>
    </row>
    <row r="35" spans="1:13" ht="14.45">
      <c r="A35" s="23"/>
      <c r="B35" s="35"/>
      <c r="C35" s="23"/>
      <c r="D35" s="23"/>
      <c r="E35" s="23"/>
      <c r="F35" s="23"/>
      <c r="G35" s="23"/>
      <c r="H35" s="24"/>
      <c r="I35" s="23"/>
      <c r="J35" s="23"/>
      <c r="K35" s="24"/>
      <c r="L35" s="90"/>
      <c r="M35" s="23"/>
    </row>
    <row r="36" spans="1:13" ht="14.45">
      <c r="A36" s="23"/>
      <c r="B36" s="35"/>
      <c r="C36" s="23"/>
      <c r="D36" s="23"/>
      <c r="E36" s="23"/>
      <c r="F36" s="23"/>
      <c r="G36" s="23"/>
      <c r="H36" s="24"/>
      <c r="I36" s="23"/>
      <c r="J36" s="23"/>
      <c r="K36" s="24"/>
      <c r="L36" s="90"/>
      <c r="M36" s="23"/>
    </row>
    <row r="37" spans="1:13" ht="14.45">
      <c r="A37" s="23"/>
      <c r="B37" s="35"/>
      <c r="C37" s="23"/>
      <c r="D37" s="23"/>
      <c r="E37" s="23"/>
      <c r="F37" s="23"/>
      <c r="G37" s="23"/>
      <c r="H37" s="24"/>
      <c r="I37" s="23"/>
      <c r="J37" s="23"/>
      <c r="K37" s="24"/>
      <c r="L37" s="90"/>
      <c r="M37" s="23"/>
    </row>
    <row r="38" spans="1:13" ht="14.45">
      <c r="A38" s="23"/>
      <c r="B38" s="35"/>
      <c r="C38" s="23"/>
      <c r="D38" s="23"/>
      <c r="E38" s="23"/>
      <c r="F38" s="23"/>
      <c r="G38" s="23"/>
      <c r="H38" s="24"/>
      <c r="I38" s="23"/>
      <c r="J38" s="23"/>
      <c r="K38" s="24"/>
      <c r="L38" s="90"/>
      <c r="M38" s="23"/>
    </row>
    <row r="39" spans="1:13" ht="14.45">
      <c r="A39" s="23"/>
      <c r="B39" s="35"/>
      <c r="C39" s="23"/>
      <c r="D39" s="23"/>
      <c r="E39" s="23"/>
      <c r="F39" s="23"/>
      <c r="G39" s="23"/>
      <c r="H39" s="24"/>
      <c r="I39" s="23"/>
      <c r="J39" s="23"/>
      <c r="K39" s="24"/>
      <c r="L39" s="90"/>
      <c r="M39" s="23"/>
    </row>
    <row r="40" spans="1:13" ht="14.45">
      <c r="A40" s="23"/>
      <c r="B40" s="35"/>
      <c r="C40" s="23"/>
      <c r="D40" s="23"/>
      <c r="E40" s="23"/>
      <c r="F40" s="23"/>
      <c r="G40" s="23"/>
      <c r="H40" s="24"/>
      <c r="I40" s="23"/>
      <c r="J40" s="23"/>
      <c r="K40" s="24"/>
      <c r="L40" s="90"/>
      <c r="M40" s="23"/>
    </row>
    <row r="41" spans="1:13" ht="14.45">
      <c r="A41" s="23"/>
      <c r="B41" s="35"/>
      <c r="C41" s="23"/>
      <c r="D41" s="23"/>
      <c r="E41" s="23"/>
      <c r="F41" s="23"/>
      <c r="G41" s="23"/>
      <c r="H41" s="24"/>
      <c r="I41" s="23"/>
      <c r="J41" s="23"/>
      <c r="K41" s="24"/>
      <c r="L41" s="90"/>
      <c r="M41" s="23"/>
    </row>
    <row r="42" spans="1:13" ht="14.45">
      <c r="A42" s="23"/>
      <c r="B42" s="35"/>
      <c r="C42" s="23"/>
      <c r="D42" s="23"/>
      <c r="E42" s="23"/>
      <c r="F42" s="23"/>
      <c r="G42" s="23"/>
      <c r="H42" s="24"/>
      <c r="I42" s="23"/>
      <c r="J42" s="23"/>
      <c r="K42" s="24"/>
      <c r="L42" s="90"/>
      <c r="M42" s="23"/>
    </row>
    <row r="43" spans="1:13" ht="14.45">
      <c r="A43" s="23"/>
      <c r="B43" s="35"/>
      <c r="C43" s="23"/>
      <c r="D43" s="23"/>
      <c r="E43" s="23"/>
      <c r="F43" s="23"/>
      <c r="G43" s="23"/>
      <c r="H43" s="24"/>
      <c r="I43" s="23"/>
      <c r="J43" s="23"/>
      <c r="K43" s="24"/>
      <c r="L43" s="90"/>
      <c r="M43" s="23"/>
    </row>
    <row r="44" spans="1:13" ht="14.45">
      <c r="A44" s="23"/>
      <c r="B44" s="35"/>
      <c r="C44" s="23"/>
      <c r="D44" s="23"/>
      <c r="E44" s="23"/>
      <c r="F44" s="23"/>
      <c r="G44" s="23"/>
      <c r="H44" s="24"/>
      <c r="I44" s="23"/>
      <c r="J44" s="23"/>
      <c r="K44" s="24"/>
      <c r="L44" s="90"/>
      <c r="M44" s="23"/>
    </row>
    <row r="45" spans="1:13" ht="14.45">
      <c r="A45" s="23"/>
      <c r="B45" s="35"/>
      <c r="C45" s="23"/>
      <c r="D45" s="23"/>
      <c r="E45" s="23"/>
      <c r="F45" s="23"/>
      <c r="G45" s="23"/>
      <c r="H45" s="24"/>
      <c r="I45" s="23"/>
      <c r="J45" s="23"/>
      <c r="K45" s="24"/>
      <c r="L45" s="90"/>
      <c r="M45" s="23"/>
    </row>
    <row r="46" spans="1:13" ht="14.45">
      <c r="A46" s="23"/>
      <c r="B46" s="35"/>
      <c r="C46" s="23"/>
      <c r="D46" s="23"/>
      <c r="E46" s="23"/>
      <c r="F46" s="23"/>
      <c r="G46" s="23"/>
      <c r="H46" s="24"/>
      <c r="I46" s="23"/>
      <c r="J46" s="23"/>
      <c r="K46" s="24"/>
      <c r="L46" s="90"/>
      <c r="M46" s="23"/>
    </row>
    <row r="47" spans="1:13" ht="14.45">
      <c r="A47" s="23"/>
      <c r="B47" s="35"/>
      <c r="C47" s="23"/>
      <c r="D47" s="23"/>
      <c r="E47" s="23"/>
      <c r="F47" s="23"/>
      <c r="G47" s="23"/>
      <c r="H47" s="24"/>
      <c r="I47" s="23"/>
      <c r="J47" s="23"/>
      <c r="K47" s="24"/>
      <c r="L47" s="90"/>
      <c r="M47" s="23"/>
    </row>
    <row r="48" spans="1:13" ht="14.45">
      <c r="A48" s="23"/>
      <c r="B48" s="35"/>
      <c r="C48" s="23"/>
      <c r="D48" s="23"/>
      <c r="E48" s="23"/>
      <c r="F48" s="23"/>
      <c r="G48" s="23"/>
      <c r="H48" s="24"/>
      <c r="I48" s="23"/>
      <c r="J48" s="23"/>
      <c r="K48" s="24"/>
      <c r="L48" s="90"/>
      <c r="M48" s="23"/>
    </row>
    <row r="49" spans="1:13" ht="14.45">
      <c r="A49" s="23"/>
      <c r="B49" s="35"/>
      <c r="C49" s="23"/>
      <c r="D49" s="23"/>
      <c r="E49" s="23"/>
      <c r="F49" s="23"/>
      <c r="G49" s="23"/>
      <c r="H49" s="24"/>
      <c r="I49" s="23"/>
      <c r="J49" s="23"/>
      <c r="K49" s="24"/>
      <c r="L49" s="90"/>
      <c r="M49" s="23"/>
    </row>
    <row r="50" spans="1:13" ht="14.45">
      <c r="A50" s="23"/>
      <c r="B50" s="35"/>
      <c r="C50" s="23"/>
      <c r="D50" s="23"/>
      <c r="E50" s="23"/>
      <c r="F50" s="23"/>
      <c r="G50" s="23"/>
      <c r="H50" s="24"/>
      <c r="I50" s="23"/>
      <c r="J50" s="23"/>
      <c r="K50" s="24"/>
      <c r="L50" s="90"/>
      <c r="M50" s="23"/>
    </row>
    <row r="51" spans="1:13" ht="14.45">
      <c r="A51" s="23"/>
      <c r="B51" s="35"/>
      <c r="C51" s="23"/>
      <c r="D51" s="23"/>
      <c r="E51" s="23"/>
      <c r="F51" s="23"/>
      <c r="G51" s="23"/>
      <c r="H51" s="24"/>
      <c r="I51" s="23"/>
      <c r="J51" s="23"/>
      <c r="K51" s="24"/>
      <c r="L51" s="90"/>
      <c r="M51" s="23"/>
    </row>
    <row r="52" spans="1:13" ht="14.45">
      <c r="A52" s="23"/>
      <c r="B52" s="35"/>
      <c r="C52" s="23"/>
      <c r="D52" s="23"/>
      <c r="E52" s="23"/>
      <c r="F52" s="23"/>
      <c r="G52" s="23"/>
      <c r="H52" s="24"/>
      <c r="I52" s="23"/>
      <c r="J52" s="23"/>
      <c r="K52" s="24"/>
      <c r="L52" s="90"/>
      <c r="M52" s="23"/>
    </row>
    <row r="53" spans="1:13" ht="14.45">
      <c r="A53" s="23"/>
      <c r="B53" s="35"/>
      <c r="C53" s="23"/>
      <c r="D53" s="23"/>
      <c r="E53" s="23"/>
      <c r="F53" s="23"/>
      <c r="G53" s="23"/>
      <c r="H53" s="24"/>
      <c r="I53" s="23"/>
      <c r="J53" s="23"/>
      <c r="K53" s="24"/>
      <c r="L53" s="90"/>
      <c r="M53" s="23"/>
    </row>
    <row r="54" spans="1:13" ht="14.45">
      <c r="A54" s="23"/>
      <c r="B54" s="35"/>
      <c r="C54" s="23"/>
      <c r="D54" s="23"/>
      <c r="E54" s="23"/>
      <c r="F54" s="23"/>
      <c r="G54" s="23"/>
      <c r="H54" s="24"/>
      <c r="I54" s="23"/>
      <c r="J54" s="23"/>
      <c r="K54" s="24"/>
      <c r="L54" s="90"/>
      <c r="M54" s="23"/>
    </row>
    <row r="55" spans="1:13" ht="14.45">
      <c r="A55" s="23"/>
      <c r="B55" s="35"/>
      <c r="C55" s="23"/>
      <c r="D55" s="23"/>
      <c r="E55" s="23"/>
      <c r="F55" s="23"/>
      <c r="G55" s="23"/>
      <c r="H55" s="24"/>
      <c r="I55" s="23"/>
      <c r="J55" s="23"/>
      <c r="K55" s="24"/>
      <c r="L55" s="90"/>
      <c r="M55" s="23"/>
    </row>
    <row r="56" spans="1:13" ht="14.45">
      <c r="A56" s="23"/>
      <c r="B56" s="35"/>
      <c r="C56" s="23"/>
      <c r="D56" s="23"/>
      <c r="E56" s="23"/>
      <c r="F56" s="23"/>
      <c r="G56" s="23"/>
      <c r="H56" s="24"/>
      <c r="I56" s="23"/>
      <c r="J56" s="23"/>
      <c r="K56" s="24"/>
      <c r="L56" s="90"/>
      <c r="M56" s="23"/>
    </row>
    <row r="57" spans="1:13" ht="14.45">
      <c r="A57" s="23"/>
      <c r="B57" s="35"/>
      <c r="C57" s="23"/>
      <c r="D57" s="23"/>
      <c r="E57" s="23"/>
      <c r="F57" s="23"/>
      <c r="G57" s="23"/>
      <c r="H57" s="24"/>
      <c r="I57" s="23"/>
      <c r="J57" s="23"/>
      <c r="K57" s="24"/>
      <c r="L57" s="90"/>
      <c r="M57" s="23"/>
    </row>
    <row r="58" spans="1:13" ht="14.45">
      <c r="A58" s="23"/>
      <c r="B58" s="35"/>
      <c r="C58" s="23"/>
      <c r="D58" s="23"/>
      <c r="E58" s="23"/>
      <c r="F58" s="23"/>
      <c r="G58" s="23"/>
      <c r="H58" s="24"/>
      <c r="I58" s="23"/>
      <c r="J58" s="23"/>
      <c r="K58" s="24"/>
      <c r="L58" s="90"/>
      <c r="M58" s="23"/>
    </row>
    <row r="59" spans="1:13" ht="14.45">
      <c r="A59" s="23"/>
      <c r="B59" s="35"/>
      <c r="C59" s="23"/>
      <c r="D59" s="23"/>
      <c r="E59" s="23"/>
      <c r="F59" s="23"/>
      <c r="G59" s="23"/>
      <c r="H59" s="24"/>
      <c r="I59" s="23"/>
      <c r="J59" s="23"/>
      <c r="K59" s="24"/>
      <c r="L59" s="90"/>
      <c r="M59" s="23"/>
    </row>
    <row r="60" spans="1:13" ht="14.45">
      <c r="A60" s="23"/>
      <c r="B60" s="35"/>
      <c r="C60" s="23"/>
      <c r="D60" s="23"/>
      <c r="E60" s="23"/>
      <c r="F60" s="23"/>
      <c r="G60" s="23"/>
      <c r="H60" s="24"/>
      <c r="I60" s="23"/>
      <c r="J60" s="23"/>
      <c r="K60" s="24"/>
      <c r="L60" s="90"/>
      <c r="M60" s="23"/>
    </row>
    <row r="61" spans="1:13" ht="14.45">
      <c r="A61" s="23"/>
      <c r="B61" s="35"/>
      <c r="C61" s="23"/>
      <c r="D61" s="23"/>
      <c r="E61" s="23"/>
      <c r="F61" s="23"/>
      <c r="G61" s="23"/>
      <c r="H61" s="24"/>
      <c r="I61" s="23"/>
      <c r="J61" s="23"/>
      <c r="K61" s="24"/>
      <c r="L61" s="90"/>
      <c r="M61" s="23"/>
    </row>
    <row r="62" spans="1:13" ht="14.45">
      <c r="A62" s="23"/>
      <c r="B62" s="35"/>
      <c r="C62" s="23"/>
      <c r="D62" s="23"/>
      <c r="E62" s="23"/>
      <c r="F62" s="23"/>
      <c r="G62" s="23"/>
      <c r="H62" s="24"/>
      <c r="I62" s="23"/>
      <c r="J62" s="23"/>
      <c r="K62" s="24"/>
      <c r="L62" s="90"/>
      <c r="M62" s="23"/>
    </row>
    <row r="63" spans="1:13" ht="14.45">
      <c r="A63" s="23"/>
      <c r="B63" s="35"/>
      <c r="C63" s="23"/>
      <c r="D63" s="23"/>
      <c r="E63" s="23"/>
      <c r="F63" s="23"/>
      <c r="G63" s="23"/>
      <c r="H63" s="24"/>
      <c r="I63" s="23"/>
      <c r="J63" s="23"/>
      <c r="K63" s="24"/>
      <c r="L63" s="90"/>
      <c r="M63" s="23"/>
    </row>
    <row r="64" spans="1:13" ht="14.45">
      <c r="A64" s="23"/>
      <c r="B64" s="35"/>
      <c r="C64" s="23"/>
      <c r="D64" s="23"/>
      <c r="E64" s="23"/>
      <c r="F64" s="23"/>
      <c r="G64" s="23"/>
      <c r="H64" s="24"/>
      <c r="I64" s="23"/>
      <c r="J64" s="23"/>
      <c r="K64" s="24"/>
      <c r="L64" s="90"/>
      <c r="M64" s="23"/>
    </row>
    <row r="65" spans="1:13" ht="14.45">
      <c r="A65" s="23"/>
      <c r="B65" s="35"/>
      <c r="C65" s="23"/>
      <c r="D65" s="23"/>
      <c r="E65" s="23"/>
      <c r="F65" s="23"/>
      <c r="G65" s="23"/>
      <c r="H65" s="24"/>
      <c r="I65" s="23"/>
      <c r="J65" s="23"/>
      <c r="K65" s="24"/>
      <c r="L65" s="90"/>
      <c r="M65" s="23"/>
    </row>
    <row r="66" spans="1:13" ht="14.45">
      <c r="A66" s="23"/>
      <c r="B66" s="35"/>
      <c r="C66" s="23"/>
      <c r="D66" s="23"/>
      <c r="E66" s="23"/>
      <c r="F66" s="23"/>
      <c r="G66" s="23"/>
      <c r="H66" s="24"/>
      <c r="I66" s="23"/>
      <c r="J66" s="23"/>
      <c r="K66" s="24"/>
      <c r="L66" s="90"/>
      <c r="M66" s="23"/>
    </row>
    <row r="67" spans="1:13" ht="14.45">
      <c r="A67" s="23"/>
      <c r="B67" s="35"/>
      <c r="C67" s="23"/>
      <c r="D67" s="23"/>
      <c r="E67" s="23"/>
      <c r="F67" s="23"/>
      <c r="G67" s="23"/>
      <c r="H67" s="24"/>
      <c r="I67" s="23"/>
      <c r="J67" s="23"/>
      <c r="K67" s="24"/>
      <c r="L67" s="90"/>
      <c r="M67" s="23"/>
    </row>
    <row r="68" spans="1:13" ht="14.45">
      <c r="A68" s="23"/>
      <c r="B68" s="35"/>
      <c r="C68" s="23"/>
      <c r="D68" s="23"/>
      <c r="E68" s="23"/>
      <c r="F68" s="23"/>
      <c r="G68" s="23"/>
      <c r="H68" s="24"/>
      <c r="I68" s="23"/>
      <c r="J68" s="23"/>
      <c r="K68" s="24"/>
      <c r="L68" s="90"/>
      <c r="M68" s="23"/>
    </row>
    <row r="69" spans="1:13" ht="14.45">
      <c r="A69" s="23"/>
      <c r="B69" s="35"/>
      <c r="C69" s="23"/>
      <c r="D69" s="23"/>
      <c r="E69" s="23"/>
      <c r="F69" s="23"/>
      <c r="G69" s="23"/>
      <c r="H69" s="24"/>
      <c r="I69" s="23"/>
      <c r="J69" s="23"/>
      <c r="K69" s="24"/>
      <c r="L69" s="90"/>
      <c r="M69" s="23"/>
    </row>
    <row r="70" spans="1:13" ht="14.45">
      <c r="A70" s="23"/>
      <c r="B70" s="35"/>
      <c r="C70" s="23"/>
      <c r="D70" s="23"/>
      <c r="E70" s="23"/>
      <c r="F70" s="23"/>
      <c r="G70" s="23"/>
      <c r="H70" s="24"/>
      <c r="I70" s="23"/>
      <c r="J70" s="23"/>
      <c r="K70" s="24"/>
      <c r="L70" s="90"/>
      <c r="M70" s="23"/>
    </row>
    <row r="71" spans="1:13" ht="14.45">
      <c r="A71" s="23"/>
      <c r="B71" s="35"/>
      <c r="C71" s="23"/>
      <c r="D71" s="23"/>
      <c r="E71" s="23"/>
      <c r="F71" s="23"/>
      <c r="G71" s="23"/>
      <c r="H71" s="24"/>
      <c r="I71" s="23"/>
      <c r="J71" s="23"/>
      <c r="K71" s="24"/>
      <c r="L71" s="90"/>
      <c r="M71" s="23"/>
    </row>
    <row r="72" spans="1:13" ht="14.45">
      <c r="A72" s="23"/>
      <c r="B72" s="35"/>
      <c r="C72" s="23"/>
      <c r="D72" s="23"/>
      <c r="E72" s="23"/>
      <c r="F72" s="23"/>
      <c r="G72" s="23"/>
      <c r="H72" s="24"/>
      <c r="I72" s="23"/>
      <c r="J72" s="23"/>
      <c r="K72" s="24"/>
      <c r="L72" s="90"/>
      <c r="M72" s="23"/>
    </row>
    <row r="73" spans="1:13" ht="14.45">
      <c r="A73" s="23"/>
      <c r="B73" s="35"/>
      <c r="C73" s="23"/>
      <c r="D73" s="23"/>
      <c r="E73" s="23"/>
      <c r="F73" s="23"/>
      <c r="G73" s="23"/>
      <c r="H73" s="24"/>
      <c r="I73" s="23"/>
      <c r="J73" s="23"/>
      <c r="K73" s="24"/>
      <c r="L73" s="90"/>
      <c r="M73" s="23"/>
    </row>
    <row r="74" spans="1:13" ht="14.45">
      <c r="A74" s="23"/>
      <c r="B74" s="35"/>
      <c r="C74" s="23"/>
      <c r="D74" s="23"/>
      <c r="E74" s="23"/>
      <c r="F74" s="23"/>
      <c r="G74" s="23"/>
      <c r="H74" s="24"/>
      <c r="I74" s="23"/>
      <c r="J74" s="23"/>
      <c r="K74" s="24"/>
      <c r="L74" s="90"/>
      <c r="M74" s="23"/>
    </row>
    <row r="75" spans="1:13" ht="14.45">
      <c r="A75" s="23"/>
      <c r="B75" s="35"/>
      <c r="C75" s="23"/>
      <c r="D75" s="23"/>
      <c r="E75" s="23"/>
      <c r="F75" s="23"/>
      <c r="G75" s="23"/>
      <c r="H75" s="24"/>
      <c r="I75" s="23"/>
      <c r="J75" s="23"/>
      <c r="K75" s="24"/>
      <c r="L75" s="90"/>
      <c r="M75" s="23"/>
    </row>
    <row r="76" spans="1:13" ht="14.45">
      <c r="A76" s="23"/>
      <c r="B76" s="35"/>
      <c r="C76" s="23"/>
      <c r="D76" s="23"/>
      <c r="E76" s="23"/>
      <c r="F76" s="23"/>
      <c r="G76" s="23"/>
      <c r="H76" s="24"/>
      <c r="I76" s="23"/>
      <c r="J76" s="23"/>
      <c r="K76" s="24"/>
      <c r="L76" s="90"/>
      <c r="M76" s="23"/>
    </row>
    <row r="77" spans="1:13" ht="14.45">
      <c r="A77" s="23"/>
      <c r="B77" s="35"/>
      <c r="C77" s="23"/>
      <c r="D77" s="23"/>
      <c r="E77" s="23"/>
      <c r="F77" s="23"/>
      <c r="G77" s="23"/>
      <c r="H77" s="24"/>
      <c r="I77" s="23"/>
      <c r="J77" s="23"/>
      <c r="K77" s="24"/>
      <c r="L77" s="90"/>
      <c r="M77" s="23"/>
    </row>
    <row r="78" spans="1:13" ht="14.45">
      <c r="A78" s="23"/>
      <c r="B78" s="35"/>
      <c r="C78" s="23"/>
      <c r="D78" s="23"/>
      <c r="E78" s="23"/>
      <c r="F78" s="23"/>
      <c r="G78" s="23"/>
      <c r="H78" s="24"/>
      <c r="I78" s="23"/>
      <c r="J78" s="23"/>
      <c r="K78" s="24"/>
      <c r="L78" s="90"/>
      <c r="M78" s="23"/>
    </row>
    <row r="79" spans="1:13" ht="14.45">
      <c r="A79" s="23"/>
      <c r="B79" s="35"/>
      <c r="C79" s="23"/>
      <c r="D79" s="23"/>
      <c r="E79" s="23"/>
      <c r="F79" s="23"/>
      <c r="G79" s="23"/>
      <c r="H79" s="24"/>
      <c r="I79" s="23"/>
      <c r="J79" s="23"/>
      <c r="K79" s="24"/>
      <c r="L79" s="90"/>
      <c r="M79" s="23"/>
    </row>
    <row r="80" spans="1:13" ht="14.45">
      <c r="A80" s="23"/>
      <c r="B80" s="35"/>
      <c r="C80" s="23"/>
      <c r="D80" s="23"/>
      <c r="E80" s="23"/>
      <c r="F80" s="23"/>
      <c r="G80" s="23"/>
      <c r="H80" s="24"/>
      <c r="I80" s="23"/>
      <c r="J80" s="23"/>
      <c r="K80" s="24"/>
      <c r="L80" s="90"/>
      <c r="M80" s="23"/>
    </row>
    <row r="81" spans="1:13" ht="14.45">
      <c r="A81" s="23"/>
      <c r="B81" s="35"/>
      <c r="C81" s="23"/>
      <c r="D81" s="23"/>
      <c r="E81" s="23"/>
      <c r="F81" s="23"/>
      <c r="G81" s="23"/>
      <c r="H81" s="24"/>
      <c r="I81" s="23"/>
      <c r="J81" s="23"/>
      <c r="K81" s="24"/>
      <c r="L81" s="90"/>
      <c r="M81" s="23"/>
    </row>
    <row r="82" spans="1:13" ht="14.45">
      <c r="A82" s="23"/>
      <c r="B82" s="35"/>
      <c r="C82" s="23"/>
      <c r="D82" s="23"/>
      <c r="E82" s="23"/>
      <c r="F82" s="23"/>
      <c r="G82" s="23"/>
      <c r="H82" s="24"/>
      <c r="I82" s="23"/>
      <c r="J82" s="23"/>
      <c r="K82" s="24"/>
      <c r="L82" s="90"/>
      <c r="M82" s="23"/>
    </row>
    <row r="83" spans="1:13" ht="14.45">
      <c r="A83" s="23"/>
      <c r="B83" s="35"/>
      <c r="C83" s="23"/>
      <c r="D83" s="23"/>
      <c r="E83" s="23"/>
      <c r="F83" s="23"/>
      <c r="G83" s="23"/>
      <c r="H83" s="24"/>
      <c r="I83" s="23"/>
      <c r="J83" s="23"/>
      <c r="K83" s="24"/>
      <c r="L83" s="90"/>
      <c r="M83" s="23"/>
    </row>
    <row r="84" spans="1:13" ht="14.45">
      <c r="A84" s="23"/>
      <c r="B84" s="35"/>
      <c r="C84" s="23"/>
      <c r="D84" s="23"/>
      <c r="E84" s="23"/>
      <c r="F84" s="23"/>
      <c r="G84" s="23"/>
      <c r="H84" s="24"/>
      <c r="I84" s="23"/>
      <c r="J84" s="23"/>
      <c r="K84" s="24"/>
      <c r="L84" s="90"/>
      <c r="M84" s="23"/>
    </row>
    <row r="85" spans="1:13" ht="14.45">
      <c r="A85" s="23"/>
      <c r="B85" s="35"/>
      <c r="C85" s="23"/>
      <c r="D85" s="23"/>
      <c r="E85" s="23"/>
      <c r="F85" s="23"/>
      <c r="G85" s="23"/>
      <c r="H85" s="24"/>
      <c r="I85" s="23"/>
      <c r="J85" s="23"/>
      <c r="K85" s="24"/>
      <c r="L85" s="90"/>
      <c r="M85" s="23"/>
    </row>
    <row r="86" spans="1:13" ht="14.45">
      <c r="A86" s="23"/>
      <c r="B86" s="35"/>
      <c r="C86" s="23"/>
      <c r="D86" s="23"/>
      <c r="E86" s="23"/>
      <c r="F86" s="23"/>
      <c r="G86" s="23"/>
      <c r="H86" s="24"/>
      <c r="I86" s="23"/>
      <c r="J86" s="23"/>
      <c r="K86" s="24"/>
      <c r="L86" s="90"/>
      <c r="M86" s="23"/>
    </row>
    <row r="87" spans="1:13" ht="14.45">
      <c r="A87" s="23"/>
      <c r="B87" s="35"/>
      <c r="C87" s="23"/>
      <c r="D87" s="23"/>
      <c r="E87" s="23"/>
      <c r="F87" s="23"/>
      <c r="G87" s="23"/>
      <c r="H87" s="24"/>
      <c r="I87" s="23"/>
      <c r="J87" s="23"/>
      <c r="K87" s="24"/>
      <c r="L87" s="90"/>
      <c r="M87" s="23"/>
    </row>
    <row r="88" spans="1:13" ht="14.45">
      <c r="A88" s="23"/>
      <c r="B88" s="35"/>
      <c r="C88" s="23"/>
      <c r="D88" s="23"/>
      <c r="E88" s="23"/>
      <c r="F88" s="23"/>
      <c r="G88" s="23"/>
      <c r="H88" s="24"/>
      <c r="I88" s="23"/>
      <c r="J88" s="23"/>
      <c r="K88" s="24"/>
      <c r="L88" s="90"/>
      <c r="M88" s="23"/>
    </row>
    <row r="89" spans="1:13" ht="14.45">
      <c r="A89" s="23"/>
      <c r="B89" s="35"/>
      <c r="C89" s="23"/>
      <c r="D89" s="23"/>
      <c r="E89" s="23"/>
      <c r="F89" s="23"/>
      <c r="G89" s="23"/>
      <c r="H89" s="24"/>
      <c r="I89" s="23"/>
      <c r="J89" s="23"/>
      <c r="K89" s="24"/>
      <c r="L89" s="90"/>
      <c r="M89" s="23"/>
    </row>
    <row r="90" spans="1:13" ht="14.45">
      <c r="A90" s="23"/>
      <c r="B90" s="35"/>
      <c r="C90" s="23"/>
      <c r="D90" s="23"/>
      <c r="E90" s="23"/>
      <c r="F90" s="23"/>
      <c r="G90" s="23"/>
      <c r="H90" s="24"/>
      <c r="I90" s="23"/>
      <c r="J90" s="23"/>
      <c r="K90" s="24"/>
      <c r="L90" s="90"/>
      <c r="M90" s="23"/>
    </row>
    <row r="91" spans="1:13" ht="14.45">
      <c r="A91" s="23"/>
      <c r="B91" s="35"/>
      <c r="C91" s="23"/>
      <c r="D91" s="23"/>
      <c r="E91" s="23"/>
      <c r="F91" s="23"/>
      <c r="G91" s="23"/>
      <c r="H91" s="24"/>
      <c r="I91" s="23"/>
      <c r="J91" s="23"/>
      <c r="K91" s="24"/>
      <c r="L91" s="90"/>
      <c r="M91" s="23"/>
    </row>
    <row r="92" spans="1:13" ht="14.45">
      <c r="A92" s="23"/>
      <c r="B92" s="35"/>
      <c r="C92" s="23"/>
      <c r="D92" s="23"/>
      <c r="E92" s="23"/>
      <c r="F92" s="23"/>
      <c r="G92" s="23"/>
      <c r="H92" s="24"/>
      <c r="I92" s="23"/>
      <c r="J92" s="23"/>
      <c r="K92" s="24"/>
      <c r="L92" s="90"/>
      <c r="M92" s="23"/>
    </row>
    <row r="93" spans="1:13" ht="14.45">
      <c r="A93" s="23"/>
      <c r="B93" s="35"/>
      <c r="C93" s="23"/>
      <c r="D93" s="23"/>
      <c r="E93" s="23"/>
      <c r="F93" s="23"/>
      <c r="G93" s="23"/>
      <c r="H93" s="24"/>
      <c r="I93" s="23"/>
      <c r="J93" s="23"/>
      <c r="K93" s="24"/>
      <c r="L93" s="90"/>
      <c r="M93" s="23"/>
    </row>
    <row r="94" spans="1:13" ht="14.45">
      <c r="A94" s="23"/>
      <c r="B94" s="35"/>
      <c r="C94" s="23"/>
      <c r="D94" s="23"/>
      <c r="E94" s="23"/>
      <c r="F94" s="23"/>
      <c r="G94" s="23"/>
      <c r="H94" s="24"/>
      <c r="I94" s="23"/>
      <c r="J94" s="23"/>
      <c r="K94" s="24"/>
      <c r="L94" s="90"/>
      <c r="M94" s="23"/>
    </row>
    <row r="95" spans="1:13" ht="14.45">
      <c r="A95" s="23"/>
      <c r="B95" s="35"/>
      <c r="C95" s="23"/>
      <c r="D95" s="23"/>
      <c r="E95" s="23"/>
      <c r="F95" s="23"/>
      <c r="G95" s="23"/>
      <c r="H95" s="24"/>
      <c r="I95" s="23"/>
      <c r="J95" s="23"/>
      <c r="K95" s="24"/>
      <c r="L95" s="90"/>
      <c r="M95" s="23"/>
    </row>
    <row r="96" spans="1:13" ht="14.45">
      <c r="A96" s="23"/>
      <c r="B96" s="35"/>
      <c r="C96" s="23"/>
      <c r="D96" s="23"/>
      <c r="E96" s="23"/>
      <c r="F96" s="23"/>
      <c r="G96" s="23"/>
      <c r="H96" s="24"/>
      <c r="I96" s="23"/>
      <c r="J96" s="23"/>
      <c r="K96" s="24"/>
      <c r="L96" s="90"/>
      <c r="M96" s="23"/>
    </row>
    <row r="97" spans="1:13" ht="14.45">
      <c r="A97" s="23"/>
      <c r="B97" s="35"/>
      <c r="C97" s="23"/>
      <c r="D97" s="23"/>
      <c r="E97" s="23"/>
      <c r="F97" s="23"/>
      <c r="G97" s="23"/>
      <c r="H97" s="24"/>
      <c r="I97" s="23"/>
      <c r="J97" s="23"/>
      <c r="K97" s="24"/>
      <c r="L97" s="90"/>
      <c r="M97" s="23"/>
    </row>
    <row r="98" spans="1:13" ht="14.45">
      <c r="A98" s="23"/>
      <c r="B98" s="35"/>
      <c r="C98" s="23"/>
      <c r="D98" s="23"/>
      <c r="E98" s="23"/>
      <c r="F98" s="23"/>
      <c r="G98" s="23"/>
      <c r="H98" s="24"/>
      <c r="I98" s="23"/>
      <c r="J98" s="23"/>
      <c r="K98" s="24"/>
      <c r="L98" s="90"/>
      <c r="M98" s="23"/>
    </row>
    <row r="99" spans="1:13" ht="14.45">
      <c r="A99" s="23"/>
      <c r="B99" s="35"/>
      <c r="C99" s="23"/>
      <c r="D99" s="23"/>
      <c r="E99" s="23"/>
      <c r="F99" s="23"/>
      <c r="G99" s="23"/>
      <c r="H99" s="24"/>
      <c r="I99" s="23"/>
      <c r="J99" s="23"/>
      <c r="K99" s="24"/>
      <c r="L99" s="90"/>
      <c r="M99" s="23"/>
    </row>
    <row r="100" spans="1:13" ht="14.45">
      <c r="A100" s="23"/>
      <c r="B100" s="35"/>
      <c r="C100" s="23"/>
      <c r="D100" s="23"/>
      <c r="E100" s="23"/>
      <c r="F100" s="23"/>
      <c r="G100" s="23"/>
      <c r="H100" s="24"/>
      <c r="I100" s="23"/>
      <c r="J100" s="23"/>
      <c r="K100" s="24"/>
      <c r="L100" s="90"/>
      <c r="M100" s="23"/>
    </row>
    <row r="101" spans="1:13" ht="14.45">
      <c r="A101" s="23"/>
      <c r="B101" s="35"/>
      <c r="C101" s="23"/>
      <c r="D101" s="23"/>
      <c r="E101" s="23"/>
      <c r="F101" s="23"/>
      <c r="G101" s="23"/>
      <c r="H101" s="24"/>
      <c r="I101" s="23"/>
      <c r="J101" s="23"/>
      <c r="K101" s="24"/>
      <c r="L101" s="90"/>
      <c r="M101" s="23"/>
    </row>
    <row r="102" spans="1:13" ht="14.45">
      <c r="A102" s="23"/>
      <c r="B102" s="35"/>
      <c r="C102" s="23"/>
      <c r="D102" s="23"/>
      <c r="E102" s="23"/>
      <c r="F102" s="23"/>
      <c r="G102" s="23"/>
      <c r="H102" s="24"/>
      <c r="I102" s="23"/>
      <c r="J102" s="23"/>
      <c r="K102" s="24"/>
      <c r="L102" s="90"/>
      <c r="M102" s="23"/>
    </row>
    <row r="103" spans="1:13" ht="14.45">
      <c r="A103" s="23"/>
      <c r="B103" s="35"/>
      <c r="C103" s="23"/>
      <c r="D103" s="23"/>
      <c r="E103" s="23"/>
      <c r="F103" s="23"/>
      <c r="G103" s="23"/>
      <c r="H103" s="24"/>
      <c r="I103" s="23"/>
      <c r="J103" s="23"/>
      <c r="K103" s="24"/>
      <c r="L103" s="90"/>
      <c r="M103" s="23"/>
    </row>
    <row r="104" spans="1:13" ht="14.45">
      <c r="A104" s="23"/>
      <c r="B104" s="35"/>
      <c r="C104" s="23"/>
      <c r="D104" s="23"/>
      <c r="E104" s="23"/>
      <c r="F104" s="23"/>
      <c r="G104" s="23"/>
      <c r="H104" s="24"/>
      <c r="I104" s="23"/>
      <c r="J104" s="23"/>
      <c r="K104" s="24"/>
      <c r="L104" s="90"/>
      <c r="M104" s="23"/>
    </row>
    <row r="105" spans="1:13" ht="14.45">
      <c r="A105" s="23"/>
      <c r="B105" s="35"/>
      <c r="C105" s="23"/>
      <c r="D105" s="23"/>
      <c r="E105" s="23"/>
      <c r="F105" s="23"/>
      <c r="G105" s="23"/>
      <c r="H105" s="24"/>
      <c r="I105" s="23"/>
      <c r="J105" s="23"/>
      <c r="K105" s="24"/>
      <c r="L105" s="90"/>
      <c r="M105" s="23"/>
    </row>
    <row r="106" spans="1:13" ht="14.45">
      <c r="A106" s="23"/>
      <c r="B106" s="35"/>
      <c r="C106" s="23"/>
      <c r="D106" s="23"/>
      <c r="E106" s="23"/>
      <c r="F106" s="23"/>
      <c r="G106" s="23"/>
      <c r="H106" s="24"/>
      <c r="I106" s="23"/>
      <c r="J106" s="23"/>
      <c r="K106" s="24"/>
      <c r="L106" s="90"/>
      <c r="M106" s="23"/>
    </row>
    <row r="107" spans="1:13" ht="14.45">
      <c r="A107" s="23"/>
      <c r="B107" s="35"/>
      <c r="C107" s="23"/>
      <c r="D107" s="23"/>
      <c r="E107" s="23"/>
      <c r="F107" s="23"/>
      <c r="G107" s="23"/>
      <c r="H107" s="24"/>
      <c r="I107" s="23"/>
      <c r="J107" s="23"/>
      <c r="K107" s="24"/>
      <c r="L107" s="90"/>
      <c r="M107" s="23"/>
    </row>
    <row r="108" spans="1:13" ht="14.45">
      <c r="A108" s="23"/>
      <c r="B108" s="35"/>
      <c r="C108" s="23"/>
      <c r="D108" s="23"/>
      <c r="E108" s="23"/>
      <c r="F108" s="23"/>
      <c r="G108" s="23"/>
      <c r="H108" s="24"/>
      <c r="I108" s="23"/>
      <c r="J108" s="23"/>
      <c r="K108" s="24"/>
      <c r="L108" s="90"/>
      <c r="M108" s="23"/>
    </row>
    <row r="109" spans="1:13" ht="14.45">
      <c r="A109" s="23"/>
      <c r="B109" s="35"/>
      <c r="C109" s="23"/>
      <c r="D109" s="23"/>
      <c r="E109" s="23"/>
      <c r="F109" s="23"/>
      <c r="G109" s="23"/>
      <c r="H109" s="24"/>
      <c r="I109" s="23"/>
      <c r="J109" s="23"/>
      <c r="K109" s="24"/>
      <c r="L109" s="90"/>
      <c r="M109" s="23"/>
    </row>
    <row r="110" spans="1:13" ht="14.45">
      <c r="A110" s="23"/>
      <c r="B110" s="35"/>
      <c r="C110" s="23"/>
      <c r="D110" s="23"/>
      <c r="E110" s="23"/>
      <c r="F110" s="23"/>
      <c r="G110" s="23"/>
      <c r="H110" s="24"/>
      <c r="I110" s="23"/>
      <c r="J110" s="23"/>
      <c r="K110" s="24"/>
      <c r="L110" s="90"/>
      <c r="M110" s="23"/>
    </row>
    <row r="111" spans="1:13" ht="14.45">
      <c r="A111" s="23"/>
      <c r="B111" s="35"/>
      <c r="C111" s="23"/>
      <c r="D111" s="23"/>
      <c r="E111" s="23"/>
      <c r="F111" s="23"/>
      <c r="G111" s="23"/>
      <c r="H111" s="24"/>
      <c r="I111" s="23"/>
      <c r="J111" s="23"/>
      <c r="K111" s="24"/>
      <c r="L111" s="90"/>
      <c r="M111" s="23"/>
    </row>
    <row r="112" spans="1:13" ht="14.45">
      <c r="A112" s="23"/>
      <c r="B112" s="35"/>
      <c r="C112" s="23"/>
      <c r="D112" s="23"/>
      <c r="E112" s="23"/>
      <c r="F112" s="23"/>
      <c r="G112" s="23"/>
      <c r="H112" s="24"/>
      <c r="I112" s="23"/>
      <c r="J112" s="23"/>
      <c r="K112" s="24"/>
      <c r="L112" s="90"/>
      <c r="M112" s="23"/>
    </row>
    <row r="113" spans="1:13" ht="14.45">
      <c r="A113" s="23"/>
      <c r="B113" s="35"/>
      <c r="C113" s="23"/>
      <c r="D113" s="23"/>
      <c r="E113" s="23"/>
      <c r="F113" s="23"/>
      <c r="G113" s="23"/>
      <c r="H113" s="24"/>
      <c r="I113" s="23"/>
      <c r="J113" s="23"/>
      <c r="K113" s="24"/>
      <c r="L113" s="90"/>
      <c r="M113" s="23"/>
    </row>
    <row r="114" spans="1:13" ht="14.45">
      <c r="A114" s="23"/>
      <c r="B114" s="35"/>
      <c r="C114" s="23"/>
      <c r="D114" s="23"/>
      <c r="E114" s="23"/>
      <c r="F114" s="23"/>
      <c r="G114" s="23"/>
      <c r="H114" s="24"/>
      <c r="I114" s="23"/>
      <c r="J114" s="23"/>
      <c r="K114" s="24"/>
      <c r="L114" s="90"/>
      <c r="M114" s="23"/>
    </row>
    <row r="115" spans="1:13" ht="14.45">
      <c r="A115" s="23"/>
      <c r="B115" s="35"/>
      <c r="C115" s="23"/>
      <c r="D115" s="23"/>
      <c r="E115" s="23"/>
      <c r="F115" s="23"/>
      <c r="G115" s="23"/>
      <c r="H115" s="24"/>
      <c r="I115" s="23"/>
      <c r="J115" s="23"/>
      <c r="K115" s="24"/>
      <c r="L115" s="90"/>
      <c r="M115" s="23"/>
    </row>
    <row r="116" spans="1:13" ht="14.45">
      <c r="A116" s="23"/>
      <c r="B116" s="35"/>
      <c r="C116" s="23"/>
      <c r="D116" s="23"/>
      <c r="E116" s="23"/>
      <c r="F116" s="23"/>
      <c r="G116" s="23"/>
      <c r="H116" s="24"/>
      <c r="I116" s="23"/>
      <c r="J116" s="23"/>
      <c r="K116" s="24"/>
      <c r="L116" s="90"/>
      <c r="M116" s="23"/>
    </row>
    <row r="117" spans="1:13" ht="14.45">
      <c r="A117" s="23"/>
      <c r="B117" s="35"/>
      <c r="C117" s="23"/>
      <c r="D117" s="23"/>
      <c r="E117" s="23"/>
      <c r="F117" s="23"/>
      <c r="G117" s="23"/>
      <c r="H117" s="24"/>
      <c r="I117" s="23"/>
      <c r="J117" s="23"/>
      <c r="K117" s="24"/>
      <c r="L117" s="90"/>
      <c r="M117" s="23"/>
    </row>
    <row r="118" spans="1:13" ht="14.45">
      <c r="A118" s="23"/>
      <c r="B118" s="35"/>
      <c r="C118" s="23"/>
      <c r="D118" s="23"/>
      <c r="E118" s="23"/>
      <c r="F118" s="23"/>
      <c r="G118" s="23"/>
      <c r="H118" s="24"/>
      <c r="I118" s="23"/>
      <c r="J118" s="23"/>
      <c r="K118" s="24"/>
      <c r="L118" s="90"/>
      <c r="M118" s="23"/>
    </row>
    <row r="119" spans="1:13" ht="14.45">
      <c r="A119" s="23"/>
      <c r="B119" s="35"/>
      <c r="C119" s="23"/>
      <c r="D119" s="23"/>
      <c r="E119" s="23"/>
      <c r="F119" s="23"/>
      <c r="G119" s="23"/>
      <c r="H119" s="24"/>
      <c r="I119" s="23"/>
      <c r="J119" s="23"/>
      <c r="K119" s="24"/>
      <c r="L119" s="90"/>
      <c r="M119" s="23"/>
    </row>
    <row r="120" spans="1:13" ht="14.45">
      <c r="A120" s="23"/>
      <c r="B120" s="35"/>
      <c r="C120" s="23"/>
      <c r="D120" s="23"/>
      <c r="E120" s="23"/>
      <c r="F120" s="23"/>
      <c r="G120" s="23"/>
      <c r="H120" s="24"/>
      <c r="I120" s="23"/>
      <c r="J120" s="23"/>
      <c r="K120" s="24"/>
      <c r="L120" s="90"/>
      <c r="M120" s="23"/>
    </row>
    <row r="121" spans="1:13" ht="14.45">
      <c r="A121" s="23"/>
      <c r="B121" s="35"/>
      <c r="C121" s="23"/>
      <c r="D121" s="23"/>
      <c r="E121" s="23"/>
      <c r="F121" s="23"/>
      <c r="G121" s="23"/>
      <c r="H121" s="24"/>
      <c r="I121" s="23"/>
      <c r="J121" s="23"/>
      <c r="K121" s="24"/>
      <c r="L121" s="90"/>
      <c r="M121" s="23"/>
    </row>
    <row r="122" spans="1:13" ht="14.45">
      <c r="A122" s="23"/>
      <c r="B122" s="35"/>
      <c r="C122" s="23"/>
      <c r="D122" s="23"/>
      <c r="E122" s="23"/>
      <c r="F122" s="23"/>
      <c r="G122" s="23"/>
      <c r="H122" s="24"/>
      <c r="I122" s="23"/>
      <c r="J122" s="23"/>
      <c r="K122" s="24"/>
      <c r="L122" s="90"/>
      <c r="M122" s="23"/>
    </row>
    <row r="123" spans="1:13" ht="14.45">
      <c r="A123" s="23"/>
      <c r="B123" s="35"/>
      <c r="C123" s="23"/>
      <c r="D123" s="23"/>
      <c r="E123" s="23"/>
      <c r="F123" s="23"/>
      <c r="G123" s="23"/>
      <c r="H123" s="24"/>
      <c r="I123" s="23"/>
      <c r="J123" s="23"/>
      <c r="K123" s="24"/>
      <c r="L123" s="90"/>
      <c r="M123" s="23"/>
    </row>
    <row r="124" spans="1:13" ht="14.45">
      <c r="A124" s="23"/>
      <c r="B124" s="35"/>
      <c r="C124" s="23"/>
      <c r="D124" s="23"/>
      <c r="E124" s="23"/>
      <c r="F124" s="23"/>
      <c r="G124" s="23"/>
      <c r="H124" s="24"/>
      <c r="I124" s="23"/>
      <c r="J124" s="23"/>
      <c r="K124" s="24"/>
      <c r="L124" s="90"/>
      <c r="M124" s="23"/>
    </row>
    <row r="125" spans="1:13" ht="14.45">
      <c r="A125" s="23"/>
      <c r="B125" s="35"/>
      <c r="C125" s="23"/>
      <c r="D125" s="23"/>
      <c r="E125" s="23"/>
      <c r="F125" s="23"/>
      <c r="G125" s="23"/>
      <c r="H125" s="24"/>
      <c r="I125" s="23"/>
      <c r="J125" s="23"/>
      <c r="K125" s="24"/>
      <c r="L125" s="90"/>
      <c r="M125" s="23"/>
    </row>
    <row r="126" spans="1:13" ht="14.45">
      <c r="A126" s="23"/>
      <c r="B126" s="35"/>
      <c r="C126" s="23"/>
      <c r="D126" s="23"/>
      <c r="E126" s="23"/>
      <c r="F126" s="23"/>
      <c r="G126" s="23"/>
      <c r="H126" s="24"/>
      <c r="I126" s="23"/>
      <c r="J126" s="23"/>
      <c r="K126" s="24"/>
      <c r="L126" s="90"/>
      <c r="M126" s="23"/>
    </row>
    <row r="127" spans="1:13" ht="14.45">
      <c r="A127" s="23"/>
      <c r="B127" s="35"/>
      <c r="C127" s="23"/>
      <c r="D127" s="23"/>
      <c r="E127" s="23"/>
      <c r="F127" s="23"/>
      <c r="G127" s="23"/>
      <c r="H127" s="24"/>
      <c r="I127" s="23"/>
      <c r="J127" s="23"/>
      <c r="K127" s="24"/>
      <c r="L127" s="90"/>
      <c r="M127" s="23"/>
    </row>
    <row r="128" spans="1:13" ht="14.45">
      <c r="A128" s="23"/>
      <c r="B128" s="35"/>
      <c r="C128" s="23"/>
      <c r="D128" s="23"/>
      <c r="E128" s="23"/>
      <c r="F128" s="23"/>
      <c r="G128" s="23"/>
      <c r="H128" s="24"/>
      <c r="I128" s="23"/>
      <c r="J128" s="23"/>
      <c r="K128" s="24"/>
      <c r="L128" s="90"/>
      <c r="M128" s="23"/>
    </row>
    <row r="129" spans="1:13" ht="14.45">
      <c r="A129" s="23"/>
      <c r="B129" s="35"/>
      <c r="C129" s="23"/>
      <c r="D129" s="23"/>
      <c r="E129" s="23"/>
      <c r="F129" s="23"/>
      <c r="G129" s="23"/>
      <c r="H129" s="24"/>
      <c r="I129" s="23"/>
      <c r="J129" s="23"/>
      <c r="K129" s="24"/>
      <c r="L129" s="90"/>
      <c r="M129" s="23"/>
    </row>
    <row r="130" spans="1:13" ht="14.45">
      <c r="A130" s="23"/>
      <c r="B130" s="35"/>
      <c r="C130" s="23"/>
      <c r="D130" s="23"/>
      <c r="E130" s="23"/>
      <c r="F130" s="23"/>
      <c r="G130" s="23"/>
      <c r="H130" s="24"/>
      <c r="I130" s="23"/>
      <c r="J130" s="23"/>
      <c r="K130" s="24"/>
      <c r="L130" s="90"/>
      <c r="M130" s="23"/>
    </row>
    <row r="131" spans="1:13" ht="14.45">
      <c r="A131" s="23"/>
      <c r="B131" s="35"/>
      <c r="C131" s="23"/>
      <c r="D131" s="23"/>
      <c r="E131" s="23"/>
      <c r="F131" s="23"/>
      <c r="G131" s="23"/>
      <c r="H131" s="24"/>
      <c r="I131" s="23"/>
      <c r="J131" s="23"/>
      <c r="K131" s="24"/>
      <c r="L131" s="90"/>
      <c r="M131" s="23"/>
    </row>
    <row r="132" spans="1:13" ht="14.45">
      <c r="A132" s="23"/>
      <c r="B132" s="35"/>
      <c r="C132" s="23"/>
      <c r="D132" s="23"/>
      <c r="E132" s="23"/>
      <c r="F132" s="23"/>
      <c r="G132" s="23"/>
      <c r="H132" s="24"/>
      <c r="I132" s="23"/>
      <c r="J132" s="23"/>
      <c r="K132" s="24"/>
      <c r="L132" s="90"/>
      <c r="M132" s="23"/>
    </row>
    <row r="133" spans="1:13" ht="14.45">
      <c r="A133" s="23"/>
      <c r="B133" s="35"/>
      <c r="C133" s="23"/>
      <c r="D133" s="23"/>
      <c r="E133" s="23"/>
      <c r="F133" s="23"/>
      <c r="G133" s="23"/>
      <c r="H133" s="24"/>
      <c r="I133" s="23"/>
      <c r="J133" s="23"/>
      <c r="K133" s="24"/>
      <c r="L133" s="90"/>
      <c r="M133" s="23"/>
    </row>
    <row r="134" spans="1:13" ht="14.45">
      <c r="A134" s="23"/>
      <c r="B134" s="35"/>
      <c r="C134" s="23"/>
      <c r="D134" s="23"/>
      <c r="E134" s="23"/>
      <c r="F134" s="23"/>
      <c r="G134" s="23"/>
      <c r="H134" s="24"/>
      <c r="I134" s="23"/>
      <c r="J134" s="23"/>
      <c r="K134" s="24"/>
      <c r="L134" s="90"/>
      <c r="M134" s="23"/>
    </row>
    <row r="135" spans="1:13" ht="14.45">
      <c r="A135" s="23"/>
      <c r="B135" s="35"/>
      <c r="C135" s="23"/>
      <c r="D135" s="23"/>
      <c r="E135" s="23"/>
      <c r="F135" s="23"/>
      <c r="G135" s="23"/>
      <c r="H135" s="24"/>
      <c r="I135" s="23"/>
      <c r="J135" s="23"/>
      <c r="K135" s="24"/>
      <c r="L135" s="90"/>
      <c r="M135" s="23"/>
    </row>
    <row r="136" spans="1:13" ht="14.45">
      <c r="A136" s="23"/>
      <c r="B136" s="35"/>
      <c r="C136" s="23"/>
      <c r="D136" s="23"/>
      <c r="E136" s="23"/>
      <c r="F136" s="23"/>
      <c r="G136" s="23"/>
      <c r="H136" s="24"/>
      <c r="I136" s="23"/>
      <c r="J136" s="23"/>
      <c r="K136" s="24"/>
      <c r="L136" s="90"/>
      <c r="M136" s="23"/>
    </row>
    <row r="137" spans="1:13" ht="14.45">
      <c r="A137" s="23"/>
      <c r="B137" s="35"/>
      <c r="C137" s="23"/>
      <c r="D137" s="23"/>
      <c r="E137" s="23"/>
      <c r="F137" s="23"/>
      <c r="G137" s="23"/>
      <c r="H137" s="24"/>
      <c r="I137" s="23"/>
      <c r="J137" s="23"/>
      <c r="K137" s="24"/>
      <c r="L137" s="90"/>
      <c r="M137" s="23"/>
    </row>
    <row r="138" spans="1:13" ht="14.45">
      <c r="A138" s="23"/>
      <c r="B138" s="35"/>
      <c r="C138" s="23"/>
      <c r="D138" s="23"/>
      <c r="E138" s="23"/>
      <c r="F138" s="23"/>
      <c r="G138" s="23"/>
      <c r="H138" s="24"/>
      <c r="I138" s="23"/>
      <c r="J138" s="23"/>
      <c r="K138" s="24"/>
      <c r="L138" s="90"/>
      <c r="M138" s="23"/>
    </row>
    <row r="139" spans="1:13" ht="14.45">
      <c r="A139" s="23"/>
      <c r="B139" s="35"/>
      <c r="C139" s="23"/>
      <c r="D139" s="23"/>
      <c r="E139" s="23"/>
      <c r="F139" s="23"/>
      <c r="G139" s="23"/>
      <c r="H139" s="24"/>
      <c r="I139" s="23"/>
      <c r="J139" s="23"/>
      <c r="K139" s="24"/>
      <c r="L139" s="90"/>
      <c r="M139" s="23"/>
    </row>
    <row r="140" spans="1:13" ht="14.45">
      <c r="A140" s="23"/>
      <c r="B140" s="35"/>
      <c r="C140" s="23"/>
      <c r="D140" s="23"/>
      <c r="E140" s="23"/>
      <c r="F140" s="23"/>
      <c r="G140" s="23"/>
      <c r="H140" s="24"/>
      <c r="I140" s="23"/>
      <c r="J140" s="23"/>
      <c r="K140" s="24"/>
      <c r="L140" s="90"/>
      <c r="M140" s="23"/>
    </row>
    <row r="141" spans="1:13" ht="14.45">
      <c r="A141" s="23"/>
      <c r="B141" s="35"/>
      <c r="C141" s="23"/>
      <c r="D141" s="23"/>
      <c r="E141" s="23"/>
      <c r="F141" s="23"/>
      <c r="G141" s="23"/>
      <c r="H141" s="24"/>
      <c r="I141" s="23"/>
      <c r="J141" s="23"/>
      <c r="K141" s="24"/>
      <c r="L141" s="90"/>
      <c r="M141" s="23"/>
    </row>
    <row r="142" spans="1:13" ht="14.45">
      <c r="A142" s="23"/>
      <c r="B142" s="35"/>
      <c r="C142" s="23"/>
      <c r="D142" s="23"/>
      <c r="E142" s="23"/>
      <c r="F142" s="23"/>
      <c r="G142" s="23"/>
      <c r="H142" s="24"/>
      <c r="I142" s="23"/>
      <c r="J142" s="23"/>
      <c r="K142" s="24"/>
      <c r="L142" s="90"/>
      <c r="M142" s="23"/>
    </row>
    <row r="143" spans="1:13" ht="14.45">
      <c r="A143" s="23"/>
      <c r="B143" s="35"/>
      <c r="C143" s="23"/>
      <c r="D143" s="23"/>
      <c r="E143" s="23"/>
      <c r="F143" s="23"/>
      <c r="G143" s="23"/>
      <c r="H143" s="24"/>
      <c r="I143" s="23"/>
      <c r="J143" s="23"/>
      <c r="K143" s="24"/>
      <c r="L143" s="90"/>
      <c r="M143" s="23"/>
    </row>
    <row r="144" spans="1:13" ht="14.45">
      <c r="A144" s="23"/>
      <c r="B144" s="35"/>
      <c r="C144" s="23"/>
      <c r="D144" s="23"/>
      <c r="E144" s="23"/>
      <c r="F144" s="23"/>
      <c r="G144" s="23"/>
      <c r="H144" s="24"/>
      <c r="I144" s="23"/>
      <c r="J144" s="23"/>
      <c r="K144" s="24"/>
      <c r="L144" s="90"/>
      <c r="M144" s="23"/>
    </row>
    <row r="145" spans="1:13" ht="14.45">
      <c r="A145" s="23"/>
      <c r="B145" s="35"/>
      <c r="C145" s="23"/>
      <c r="D145" s="23"/>
      <c r="E145" s="23"/>
      <c r="F145" s="23"/>
      <c r="G145" s="23"/>
      <c r="H145" s="24"/>
      <c r="I145" s="23"/>
      <c r="J145" s="23"/>
      <c r="K145" s="24"/>
      <c r="L145" s="90"/>
      <c r="M145" s="23"/>
    </row>
    <row r="146" spans="1:13" ht="14.45">
      <c r="A146" s="23"/>
      <c r="B146" s="35"/>
      <c r="C146" s="23"/>
      <c r="D146" s="23"/>
      <c r="E146" s="23"/>
      <c r="F146" s="23"/>
      <c r="G146" s="23"/>
      <c r="H146" s="24"/>
      <c r="I146" s="23"/>
      <c r="J146" s="23"/>
      <c r="K146" s="24"/>
      <c r="L146" s="90"/>
      <c r="M146" s="23"/>
    </row>
    <row r="147" spans="1:13" ht="14.45">
      <c r="A147" s="23"/>
      <c r="B147" s="35"/>
      <c r="C147" s="23"/>
      <c r="D147" s="23"/>
      <c r="E147" s="23"/>
      <c r="F147" s="23"/>
      <c r="G147" s="23"/>
      <c r="H147" s="24"/>
      <c r="I147" s="23"/>
      <c r="J147" s="23"/>
      <c r="K147" s="24"/>
      <c r="L147" s="90"/>
      <c r="M147" s="23"/>
    </row>
    <row r="148" spans="1:13" ht="14.45">
      <c r="A148" s="23"/>
      <c r="B148" s="35"/>
      <c r="C148" s="23"/>
      <c r="D148" s="23"/>
      <c r="E148" s="23"/>
      <c r="F148" s="23"/>
      <c r="G148" s="23"/>
      <c r="H148" s="24"/>
      <c r="I148" s="23"/>
      <c r="J148" s="23"/>
      <c r="K148" s="24"/>
      <c r="L148" s="90"/>
      <c r="M148" s="23"/>
    </row>
    <row r="149" spans="1:13" ht="14.45">
      <c r="A149" s="23"/>
      <c r="B149" s="35"/>
      <c r="C149" s="23"/>
      <c r="D149" s="23"/>
      <c r="E149" s="23"/>
      <c r="F149" s="23"/>
      <c r="G149" s="23"/>
      <c r="H149" s="24"/>
      <c r="I149" s="23"/>
      <c r="J149" s="23"/>
      <c r="K149" s="24"/>
      <c r="L149" s="90"/>
      <c r="M149" s="23"/>
    </row>
    <row r="150" spans="1:13" ht="14.45">
      <c r="A150" s="23"/>
      <c r="B150" s="35"/>
      <c r="C150" s="23"/>
      <c r="D150" s="23"/>
      <c r="E150" s="23"/>
      <c r="F150" s="23"/>
      <c r="G150" s="23"/>
      <c r="H150" s="24"/>
      <c r="I150" s="23"/>
      <c r="J150" s="23"/>
      <c r="K150" s="24"/>
      <c r="L150" s="90"/>
      <c r="M150" s="23"/>
    </row>
    <row r="151" spans="1:13" ht="14.45">
      <c r="A151" s="23"/>
      <c r="B151" s="35"/>
      <c r="C151" s="23"/>
      <c r="D151" s="23"/>
      <c r="E151" s="23"/>
      <c r="F151" s="23"/>
      <c r="G151" s="23"/>
      <c r="H151" s="24"/>
      <c r="I151" s="23"/>
      <c r="J151" s="23"/>
      <c r="K151" s="24"/>
      <c r="L151" s="90"/>
      <c r="M151" s="23"/>
    </row>
    <row r="152" spans="1:13" ht="14.45">
      <c r="A152" s="23"/>
      <c r="B152" s="35"/>
      <c r="C152" s="23"/>
      <c r="D152" s="23"/>
      <c r="E152" s="23"/>
      <c r="F152" s="23"/>
      <c r="G152" s="23"/>
      <c r="H152" s="24"/>
      <c r="I152" s="23"/>
      <c r="J152" s="23"/>
      <c r="K152" s="24"/>
      <c r="L152" s="90"/>
      <c r="M152" s="23"/>
    </row>
    <row r="153" spans="1:13" ht="14.45">
      <c r="A153" s="23"/>
      <c r="B153" s="35"/>
      <c r="C153" s="23"/>
      <c r="D153" s="23"/>
      <c r="E153" s="23"/>
      <c r="F153" s="23"/>
      <c r="G153" s="23"/>
      <c r="H153" s="24"/>
      <c r="I153" s="23"/>
      <c r="J153" s="23"/>
      <c r="K153" s="24"/>
      <c r="L153" s="90"/>
      <c r="M153" s="23"/>
    </row>
    <row r="154" spans="1:13" ht="14.45">
      <c r="A154" s="23"/>
      <c r="B154" s="35"/>
      <c r="C154" s="23"/>
      <c r="D154" s="23"/>
      <c r="E154" s="23"/>
      <c r="F154" s="23"/>
      <c r="G154" s="23"/>
      <c r="H154" s="24"/>
      <c r="I154" s="23"/>
      <c r="J154" s="23"/>
      <c r="K154" s="24"/>
      <c r="L154" s="90"/>
      <c r="M154" s="23"/>
    </row>
    <row r="155" spans="1:13" ht="14.45">
      <c r="A155" s="23"/>
      <c r="B155" s="35"/>
      <c r="C155" s="23"/>
      <c r="D155" s="23"/>
      <c r="E155" s="23"/>
      <c r="F155" s="23"/>
      <c r="G155" s="23"/>
      <c r="H155" s="24"/>
      <c r="I155" s="23"/>
      <c r="J155" s="23"/>
      <c r="K155" s="24"/>
      <c r="L155" s="90"/>
      <c r="M155" s="23"/>
    </row>
    <row r="156" spans="1:13" ht="14.45">
      <c r="A156" s="23"/>
      <c r="B156" s="35"/>
      <c r="C156" s="23"/>
      <c r="D156" s="23"/>
      <c r="E156" s="23"/>
      <c r="F156" s="23"/>
      <c r="G156" s="23"/>
      <c r="H156" s="24"/>
      <c r="I156" s="23"/>
      <c r="J156" s="23"/>
      <c r="K156" s="24"/>
      <c r="L156" s="90"/>
      <c r="M156" s="23"/>
    </row>
    <row r="157" spans="1:13" ht="14.45">
      <c r="A157" s="23"/>
      <c r="B157" s="35"/>
      <c r="C157" s="23"/>
      <c r="D157" s="23"/>
      <c r="E157" s="23"/>
      <c r="F157" s="23"/>
      <c r="G157" s="23"/>
      <c r="H157" s="24"/>
      <c r="I157" s="23"/>
      <c r="J157" s="23"/>
      <c r="K157" s="24"/>
      <c r="L157" s="90"/>
      <c r="M157" s="23"/>
    </row>
    <row r="158" spans="1:13" ht="14.45">
      <c r="A158" s="23"/>
      <c r="B158" s="35"/>
      <c r="C158" s="23"/>
      <c r="D158" s="23"/>
      <c r="E158" s="23"/>
      <c r="F158" s="23"/>
      <c r="G158" s="23"/>
      <c r="H158" s="24"/>
      <c r="I158" s="23"/>
      <c r="J158" s="23"/>
      <c r="K158" s="24"/>
      <c r="L158" s="90"/>
      <c r="M158" s="23"/>
    </row>
    <row r="159" spans="1:13" ht="14.45">
      <c r="A159" s="23"/>
      <c r="B159" s="35"/>
      <c r="C159" s="23"/>
      <c r="D159" s="23"/>
      <c r="E159" s="23"/>
      <c r="F159" s="23"/>
      <c r="G159" s="23"/>
      <c r="H159" s="24"/>
      <c r="I159" s="23"/>
      <c r="J159" s="23"/>
      <c r="K159" s="24"/>
      <c r="L159" s="90"/>
      <c r="M159" s="23"/>
    </row>
    <row r="160" spans="1:13" ht="14.45">
      <c r="A160" s="23"/>
      <c r="B160" s="35"/>
      <c r="C160" s="23"/>
      <c r="D160" s="23"/>
      <c r="E160" s="23"/>
      <c r="F160" s="23"/>
      <c r="G160" s="23"/>
      <c r="H160" s="24"/>
      <c r="I160" s="23"/>
      <c r="J160" s="23"/>
      <c r="K160" s="24"/>
      <c r="L160" s="90"/>
      <c r="M160" s="23"/>
    </row>
    <row r="161" spans="1:13" ht="14.45">
      <c r="A161" s="23"/>
      <c r="B161" s="35"/>
      <c r="C161" s="23"/>
      <c r="D161" s="23"/>
      <c r="E161" s="23"/>
      <c r="F161" s="23"/>
      <c r="G161" s="23"/>
      <c r="H161" s="24"/>
      <c r="I161" s="23"/>
      <c r="J161" s="23"/>
      <c r="K161" s="24"/>
      <c r="L161" s="90"/>
      <c r="M161" s="23"/>
    </row>
    <row r="162" spans="1:13" ht="14.45">
      <c r="A162" s="23"/>
      <c r="B162" s="35"/>
      <c r="C162" s="23"/>
      <c r="D162" s="23"/>
      <c r="E162" s="23"/>
      <c r="F162" s="23"/>
      <c r="G162" s="23"/>
      <c r="H162" s="24"/>
      <c r="I162" s="23"/>
      <c r="J162" s="23"/>
      <c r="K162" s="24"/>
      <c r="L162" s="90"/>
      <c r="M162" s="23"/>
    </row>
    <row r="163" spans="1:13" ht="14.45">
      <c r="A163" s="23"/>
      <c r="B163" s="35"/>
      <c r="C163" s="23"/>
      <c r="D163" s="23"/>
      <c r="E163" s="23"/>
      <c r="F163" s="23"/>
      <c r="G163" s="23"/>
      <c r="H163" s="24"/>
      <c r="I163" s="23"/>
      <c r="J163" s="23"/>
      <c r="K163" s="24"/>
      <c r="L163" s="90"/>
      <c r="M163" s="23"/>
    </row>
    <row r="164" spans="1:13" ht="14.45">
      <c r="A164" s="23"/>
      <c r="B164" s="35"/>
      <c r="C164" s="23"/>
      <c r="D164" s="23"/>
      <c r="E164" s="23"/>
      <c r="F164" s="23"/>
      <c r="G164" s="23"/>
      <c r="H164" s="24"/>
      <c r="I164" s="23"/>
      <c r="J164" s="23"/>
      <c r="K164" s="24"/>
      <c r="L164" s="90"/>
      <c r="M164" s="23"/>
    </row>
    <row r="165" spans="1:13" ht="14.45">
      <c r="A165" s="23"/>
      <c r="B165" s="35"/>
      <c r="C165" s="23"/>
      <c r="D165" s="23"/>
      <c r="E165" s="23"/>
      <c r="F165" s="23"/>
      <c r="G165" s="23"/>
      <c r="H165" s="24"/>
      <c r="I165" s="23"/>
      <c r="J165" s="23"/>
      <c r="K165" s="24"/>
      <c r="L165" s="90"/>
      <c r="M165" s="23"/>
    </row>
    <row r="166" spans="1:13" ht="14.45">
      <c r="A166" s="23"/>
      <c r="B166" s="35"/>
      <c r="C166" s="23"/>
      <c r="D166" s="23"/>
      <c r="E166" s="23"/>
      <c r="F166" s="23"/>
      <c r="G166" s="23"/>
      <c r="H166" s="24"/>
      <c r="I166" s="23"/>
      <c r="J166" s="23"/>
      <c r="K166" s="24"/>
      <c r="L166" s="90"/>
      <c r="M166" s="23"/>
    </row>
    <row r="167" spans="1:13" ht="14.45">
      <c r="A167" s="23"/>
      <c r="B167" s="35"/>
      <c r="C167" s="23"/>
      <c r="D167" s="23"/>
      <c r="E167" s="23"/>
      <c r="F167" s="23"/>
      <c r="G167" s="23"/>
      <c r="H167" s="24"/>
      <c r="I167" s="23"/>
      <c r="J167" s="23"/>
      <c r="K167" s="24"/>
      <c r="L167" s="90"/>
      <c r="M167" s="23"/>
    </row>
    <row r="168" spans="1:13" ht="14.45">
      <c r="A168" s="23"/>
      <c r="B168" s="35"/>
      <c r="C168" s="23"/>
      <c r="D168" s="23"/>
      <c r="E168" s="23"/>
      <c r="F168" s="23"/>
      <c r="G168" s="23"/>
      <c r="H168" s="24"/>
      <c r="I168" s="23"/>
      <c r="J168" s="23"/>
      <c r="K168" s="24"/>
      <c r="L168" s="90"/>
      <c r="M168" s="23"/>
    </row>
    <row r="169" spans="1:13" ht="14.45">
      <c r="A169" s="23"/>
      <c r="B169" s="35"/>
      <c r="C169" s="23"/>
      <c r="D169" s="23"/>
      <c r="E169" s="23"/>
      <c r="F169" s="23"/>
      <c r="G169" s="23"/>
      <c r="H169" s="24"/>
      <c r="I169" s="23"/>
      <c r="J169" s="23"/>
      <c r="K169" s="24"/>
      <c r="L169" s="90"/>
      <c r="M169" s="23"/>
    </row>
    <row r="170" spans="1:13" ht="14.45">
      <c r="A170" s="23"/>
      <c r="B170" s="35"/>
      <c r="C170" s="23"/>
      <c r="D170" s="23"/>
      <c r="E170" s="23"/>
      <c r="F170" s="23"/>
      <c r="G170" s="23"/>
      <c r="H170" s="24"/>
      <c r="I170" s="23"/>
      <c r="J170" s="23"/>
      <c r="K170" s="24"/>
      <c r="L170" s="90"/>
      <c r="M170" s="23"/>
    </row>
    <row r="171" spans="1:13" ht="14.45">
      <c r="A171" s="23"/>
      <c r="B171" s="35"/>
      <c r="C171" s="23"/>
      <c r="D171" s="23"/>
      <c r="E171" s="23"/>
      <c r="F171" s="23"/>
      <c r="G171" s="23"/>
      <c r="H171" s="24"/>
      <c r="I171" s="23"/>
      <c r="J171" s="23"/>
      <c r="K171" s="24"/>
      <c r="L171" s="90"/>
      <c r="M171" s="23"/>
    </row>
    <row r="172" spans="1:13" ht="14.45">
      <c r="A172" s="23"/>
      <c r="B172" s="35"/>
      <c r="C172" s="23"/>
      <c r="D172" s="23"/>
      <c r="E172" s="23"/>
      <c r="F172" s="23"/>
      <c r="G172" s="23"/>
      <c r="H172" s="24"/>
      <c r="I172" s="23"/>
      <c r="J172" s="23"/>
      <c r="K172" s="24"/>
      <c r="L172" s="90"/>
      <c r="M172" s="23"/>
    </row>
    <row r="173" spans="1:13" ht="14.45">
      <c r="A173" s="23"/>
      <c r="B173" s="35"/>
      <c r="C173" s="23"/>
      <c r="D173" s="23"/>
      <c r="E173" s="23"/>
      <c r="F173" s="23"/>
      <c r="G173" s="23"/>
      <c r="H173" s="24"/>
      <c r="I173" s="23"/>
      <c r="J173" s="23"/>
      <c r="K173" s="24"/>
      <c r="L173" s="90"/>
      <c r="M173" s="23"/>
    </row>
    <row r="174" spans="1:13" ht="14.45">
      <c r="A174" s="23"/>
      <c r="B174" s="35"/>
      <c r="C174" s="23"/>
      <c r="D174" s="23"/>
      <c r="E174" s="23"/>
      <c r="F174" s="23"/>
      <c r="G174" s="23"/>
      <c r="H174" s="24"/>
      <c r="I174" s="23"/>
      <c r="J174" s="23"/>
      <c r="K174" s="24"/>
      <c r="L174" s="90"/>
      <c r="M174" s="23"/>
    </row>
    <row r="175" spans="1:13" ht="14.45">
      <c r="A175" s="23"/>
      <c r="B175" s="35"/>
      <c r="C175" s="23"/>
      <c r="D175" s="23"/>
      <c r="E175" s="23"/>
      <c r="F175" s="23"/>
      <c r="G175" s="23"/>
      <c r="H175" s="24"/>
      <c r="I175" s="23"/>
      <c r="J175" s="23"/>
      <c r="K175" s="24"/>
      <c r="L175" s="90"/>
      <c r="M175" s="23"/>
    </row>
    <row r="176" spans="1:13" ht="14.45">
      <c r="A176" s="23"/>
      <c r="B176" s="35"/>
      <c r="C176" s="23"/>
      <c r="D176" s="23"/>
      <c r="E176" s="23"/>
      <c r="F176" s="23"/>
      <c r="G176" s="23"/>
      <c r="H176" s="24"/>
      <c r="I176" s="23"/>
      <c r="J176" s="23"/>
      <c r="K176" s="24"/>
      <c r="L176" s="90"/>
      <c r="M176" s="23"/>
    </row>
    <row r="177" spans="1:13" ht="14.45">
      <c r="A177" s="23"/>
      <c r="B177" s="35"/>
      <c r="C177" s="23"/>
      <c r="D177" s="23"/>
      <c r="E177" s="23"/>
      <c r="F177" s="23"/>
      <c r="G177" s="23"/>
      <c r="H177" s="24"/>
      <c r="I177" s="23"/>
      <c r="J177" s="23"/>
      <c r="K177" s="24"/>
      <c r="L177" s="90"/>
      <c r="M177" s="23"/>
    </row>
    <row r="178" spans="1:13" ht="14.45">
      <c r="A178" s="23"/>
      <c r="B178" s="35"/>
      <c r="C178" s="23"/>
      <c r="D178" s="23"/>
      <c r="E178" s="23"/>
      <c r="F178" s="23"/>
      <c r="G178" s="23"/>
      <c r="H178" s="24"/>
      <c r="I178" s="23"/>
      <c r="J178" s="23"/>
      <c r="K178" s="24"/>
      <c r="L178" s="90"/>
      <c r="M178" s="23"/>
    </row>
    <row r="179" spans="1:13" ht="14.45">
      <c r="A179" s="23"/>
      <c r="B179" s="35"/>
      <c r="C179" s="23"/>
      <c r="D179" s="23"/>
      <c r="E179" s="23"/>
      <c r="F179" s="23"/>
      <c r="G179" s="23"/>
      <c r="H179" s="24"/>
      <c r="I179" s="23"/>
      <c r="J179" s="23"/>
      <c r="K179" s="24"/>
      <c r="L179" s="90"/>
      <c r="M179" s="23"/>
    </row>
    <row r="180" spans="1:13" ht="14.45">
      <c r="A180" s="23"/>
      <c r="B180" s="35"/>
      <c r="C180" s="23"/>
      <c r="D180" s="23"/>
      <c r="E180" s="23"/>
      <c r="F180" s="23"/>
      <c r="G180" s="23"/>
      <c r="H180" s="24"/>
      <c r="I180" s="23"/>
      <c r="J180" s="23"/>
      <c r="K180" s="24"/>
      <c r="L180" s="90"/>
      <c r="M180" s="23"/>
    </row>
    <row r="181" spans="1:13" ht="14.45">
      <c r="A181" s="23"/>
      <c r="B181" s="35"/>
      <c r="C181" s="23"/>
      <c r="D181" s="23"/>
      <c r="E181" s="23"/>
      <c r="F181" s="23"/>
      <c r="G181" s="23"/>
      <c r="H181" s="24"/>
      <c r="I181" s="23"/>
      <c r="J181" s="23"/>
      <c r="K181" s="24"/>
      <c r="L181" s="90"/>
      <c r="M181" s="23"/>
    </row>
    <row r="182" spans="1:13" ht="14.45">
      <c r="A182" s="23"/>
      <c r="B182" s="35"/>
      <c r="C182" s="23"/>
      <c r="D182" s="23"/>
      <c r="E182" s="23"/>
      <c r="F182" s="23"/>
      <c r="G182" s="23"/>
      <c r="H182" s="24"/>
      <c r="I182" s="23"/>
      <c r="J182" s="23"/>
      <c r="K182" s="24"/>
      <c r="L182" s="90"/>
      <c r="M182" s="23"/>
    </row>
    <row r="183" spans="1:13" ht="14.45">
      <c r="A183" s="23"/>
      <c r="B183" s="35"/>
      <c r="C183" s="23"/>
      <c r="D183" s="23"/>
      <c r="E183" s="23"/>
      <c r="F183" s="23"/>
      <c r="G183" s="23"/>
      <c r="H183" s="24"/>
      <c r="I183" s="23"/>
      <c r="J183" s="23"/>
      <c r="K183" s="24"/>
      <c r="L183" s="90"/>
      <c r="M183" s="23"/>
    </row>
    <row r="184" spans="1:13" ht="14.45">
      <c r="A184" s="23"/>
      <c r="B184" s="35"/>
      <c r="C184" s="23"/>
      <c r="D184" s="23"/>
      <c r="E184" s="23"/>
      <c r="F184" s="23"/>
      <c r="G184" s="23"/>
      <c r="H184" s="24"/>
      <c r="I184" s="23"/>
      <c r="J184" s="23"/>
      <c r="K184" s="24"/>
      <c r="L184" s="90"/>
      <c r="M184" s="23"/>
    </row>
    <row r="185" spans="1:13" ht="14.45">
      <c r="A185" s="23"/>
      <c r="B185" s="35"/>
      <c r="C185" s="23"/>
      <c r="D185" s="23"/>
      <c r="E185" s="23"/>
      <c r="F185" s="23"/>
      <c r="G185" s="23"/>
      <c r="H185" s="24"/>
      <c r="I185" s="23"/>
      <c r="J185" s="23"/>
      <c r="K185" s="24"/>
      <c r="L185" s="90"/>
      <c r="M185" s="23"/>
    </row>
    <row r="186" spans="1:13" ht="14.45">
      <c r="A186" s="23"/>
      <c r="B186" s="35"/>
      <c r="C186" s="23"/>
      <c r="D186" s="23"/>
      <c r="E186" s="23"/>
      <c r="F186" s="23"/>
      <c r="G186" s="23"/>
      <c r="H186" s="24"/>
      <c r="I186" s="23"/>
      <c r="J186" s="23"/>
      <c r="K186" s="24"/>
      <c r="L186" s="90"/>
      <c r="M186" s="23"/>
    </row>
    <row r="187" spans="1:13" ht="14.45">
      <c r="A187" s="23"/>
      <c r="B187" s="35"/>
      <c r="C187" s="23"/>
      <c r="D187" s="23"/>
      <c r="E187" s="23"/>
      <c r="F187" s="23"/>
      <c r="G187" s="23"/>
      <c r="H187" s="24"/>
      <c r="I187" s="23"/>
      <c r="J187" s="23"/>
      <c r="K187" s="24"/>
      <c r="L187" s="90"/>
      <c r="M187" s="23"/>
    </row>
    <row r="188" spans="1:13" ht="14.45">
      <c r="A188" s="23"/>
      <c r="B188" s="35"/>
      <c r="C188" s="23"/>
      <c r="D188" s="23"/>
      <c r="E188" s="23"/>
      <c r="F188" s="23"/>
      <c r="G188" s="23"/>
      <c r="H188" s="24"/>
      <c r="I188" s="23"/>
      <c r="J188" s="23"/>
      <c r="K188" s="24"/>
      <c r="L188" s="90"/>
      <c r="M188" s="23"/>
    </row>
    <row r="189" spans="1:13" ht="14.45">
      <c r="A189" s="23"/>
      <c r="B189" s="35"/>
      <c r="C189" s="23"/>
      <c r="D189" s="23"/>
      <c r="E189" s="23"/>
      <c r="F189" s="23"/>
      <c r="G189" s="23"/>
      <c r="H189" s="24"/>
      <c r="I189" s="23"/>
      <c r="J189" s="23"/>
      <c r="K189" s="24"/>
      <c r="L189" s="90"/>
      <c r="M189" s="23"/>
    </row>
    <row r="190" spans="1:13" ht="14.45">
      <c r="A190" s="23"/>
      <c r="B190" s="35"/>
      <c r="C190" s="23"/>
      <c r="D190" s="23"/>
      <c r="E190" s="23"/>
      <c r="F190" s="23"/>
      <c r="G190" s="23"/>
      <c r="H190" s="24"/>
      <c r="I190" s="23"/>
      <c r="J190" s="23"/>
      <c r="K190" s="24"/>
      <c r="L190" s="90"/>
      <c r="M190" s="23"/>
    </row>
    <row r="191" spans="1:13" ht="14.45">
      <c r="A191" s="23"/>
      <c r="B191" s="35"/>
      <c r="C191" s="23"/>
      <c r="D191" s="23"/>
      <c r="E191" s="23"/>
      <c r="F191" s="23"/>
      <c r="G191" s="23"/>
      <c r="H191" s="24"/>
      <c r="I191" s="23"/>
      <c r="J191" s="23"/>
      <c r="K191" s="24"/>
      <c r="L191" s="90"/>
      <c r="M191" s="23"/>
    </row>
    <row r="192" spans="1:13" ht="14.45">
      <c r="A192" s="23"/>
      <c r="B192" s="35"/>
      <c r="C192" s="23"/>
      <c r="D192" s="23"/>
      <c r="E192" s="23"/>
      <c r="F192" s="23"/>
      <c r="G192" s="23"/>
      <c r="H192" s="24"/>
      <c r="I192" s="23"/>
      <c r="J192" s="23"/>
      <c r="K192" s="24"/>
      <c r="L192" s="90"/>
      <c r="M192" s="23"/>
    </row>
    <row r="193" spans="1:13" ht="14.45">
      <c r="A193" s="23"/>
      <c r="B193" s="35"/>
      <c r="C193" s="23"/>
      <c r="D193" s="23"/>
      <c r="E193" s="23"/>
      <c r="F193" s="23"/>
      <c r="G193" s="23"/>
      <c r="H193" s="24"/>
      <c r="I193" s="23"/>
      <c r="J193" s="23"/>
      <c r="K193" s="24"/>
      <c r="L193" s="90"/>
      <c r="M193" s="23"/>
    </row>
    <row r="194" spans="1:13" ht="14.45">
      <c r="A194" s="23"/>
      <c r="B194" s="35"/>
      <c r="C194" s="23"/>
      <c r="D194" s="23"/>
      <c r="E194" s="23"/>
      <c r="F194" s="23"/>
      <c r="G194" s="23"/>
      <c r="H194" s="24"/>
      <c r="I194" s="23"/>
      <c r="J194" s="23"/>
      <c r="K194" s="24"/>
      <c r="L194" s="90"/>
      <c r="M194" s="23"/>
    </row>
    <row r="195" spans="1:13" ht="14.45">
      <c r="A195" s="23"/>
      <c r="B195" s="35"/>
      <c r="C195" s="23"/>
      <c r="D195" s="23"/>
      <c r="E195" s="23"/>
      <c r="F195" s="23"/>
      <c r="G195" s="23"/>
      <c r="H195" s="24"/>
      <c r="I195" s="23"/>
      <c r="J195" s="23"/>
      <c r="K195" s="24"/>
      <c r="L195" s="90"/>
      <c r="M195" s="23"/>
    </row>
    <row r="196" spans="1:13" ht="14.45">
      <c r="A196" s="23"/>
      <c r="B196" s="35"/>
      <c r="C196" s="23"/>
      <c r="D196" s="23"/>
      <c r="E196" s="23"/>
      <c r="F196" s="23"/>
      <c r="G196" s="23"/>
      <c r="H196" s="24"/>
      <c r="I196" s="23"/>
      <c r="J196" s="23"/>
      <c r="K196" s="24"/>
      <c r="L196" s="90"/>
      <c r="M196" s="23"/>
    </row>
    <row r="197" spans="1:13" ht="14.45">
      <c r="A197" s="23"/>
      <c r="B197" s="35"/>
      <c r="C197" s="23"/>
      <c r="D197" s="23"/>
      <c r="E197" s="23"/>
      <c r="F197" s="23"/>
      <c r="G197" s="23"/>
      <c r="H197" s="24"/>
      <c r="I197" s="23"/>
      <c r="J197" s="23"/>
      <c r="K197" s="24"/>
      <c r="L197" s="90"/>
      <c r="M197" s="23"/>
    </row>
    <row r="198" spans="1:13" ht="14.45">
      <c r="A198" s="23"/>
      <c r="B198" s="35"/>
      <c r="C198" s="23"/>
      <c r="D198" s="23"/>
      <c r="E198" s="23"/>
      <c r="F198" s="23"/>
      <c r="G198" s="23"/>
      <c r="H198" s="24"/>
      <c r="I198" s="23"/>
      <c r="J198" s="23"/>
      <c r="K198" s="24"/>
      <c r="L198" s="90"/>
      <c r="M198" s="23"/>
    </row>
    <row r="199" spans="1:13" ht="14.45">
      <c r="A199" s="23"/>
      <c r="B199" s="35"/>
      <c r="C199" s="23"/>
      <c r="D199" s="23"/>
      <c r="E199" s="23"/>
      <c r="F199" s="23"/>
      <c r="G199" s="23"/>
      <c r="H199" s="24"/>
      <c r="I199" s="23"/>
      <c r="J199" s="23"/>
      <c r="K199" s="24"/>
      <c r="L199" s="90"/>
      <c r="M199" s="23"/>
    </row>
    <row r="200" spans="1:13" ht="14.45">
      <c r="A200" s="23"/>
      <c r="B200" s="35"/>
      <c r="C200" s="23"/>
      <c r="D200" s="23"/>
      <c r="E200" s="23"/>
      <c r="F200" s="23"/>
      <c r="G200" s="23"/>
      <c r="H200" s="24"/>
      <c r="I200" s="23"/>
      <c r="J200" s="23"/>
      <c r="K200" s="24"/>
      <c r="L200" s="90"/>
      <c r="M200" s="23"/>
    </row>
    <row r="201" spans="1:13" ht="14.45">
      <c r="A201" s="23"/>
      <c r="B201" s="35"/>
      <c r="C201" s="23"/>
      <c r="D201" s="23"/>
      <c r="E201" s="23"/>
      <c r="F201" s="23"/>
      <c r="G201" s="23"/>
      <c r="H201" s="24"/>
      <c r="I201" s="23"/>
      <c r="J201" s="23"/>
      <c r="K201" s="24"/>
      <c r="L201" s="90"/>
      <c r="M201" s="23"/>
    </row>
    <row r="202" spans="1:13" ht="14.45">
      <c r="A202" s="23"/>
      <c r="B202" s="35"/>
      <c r="C202" s="23"/>
      <c r="D202" s="23"/>
      <c r="E202" s="23"/>
      <c r="F202" s="23"/>
      <c r="G202" s="23"/>
      <c r="H202" s="24"/>
      <c r="I202" s="23"/>
      <c r="J202" s="23"/>
      <c r="K202" s="24"/>
      <c r="L202" s="90"/>
      <c r="M202" s="23"/>
    </row>
    <row r="203" spans="1:13" ht="14.45">
      <c r="A203" s="23"/>
      <c r="B203" s="35"/>
      <c r="C203" s="23"/>
      <c r="D203" s="23"/>
      <c r="E203" s="23"/>
      <c r="F203" s="23"/>
      <c r="G203" s="23"/>
      <c r="H203" s="24"/>
      <c r="I203" s="23"/>
      <c r="J203" s="23"/>
      <c r="K203" s="24"/>
      <c r="L203" s="90"/>
      <c r="M203" s="23"/>
    </row>
    <row r="204" spans="1:13" ht="14.45">
      <c r="A204" s="23"/>
      <c r="B204" s="35"/>
      <c r="C204" s="23"/>
      <c r="D204" s="23"/>
      <c r="E204" s="23"/>
      <c r="F204" s="23"/>
      <c r="G204" s="23"/>
      <c r="H204" s="24"/>
      <c r="I204" s="23"/>
      <c r="J204" s="23"/>
      <c r="K204" s="24"/>
      <c r="L204" s="90"/>
      <c r="M204" s="23"/>
    </row>
    <row r="205" spans="1:13" ht="14.45">
      <c r="A205" s="23"/>
      <c r="B205" s="35"/>
      <c r="C205" s="23"/>
      <c r="D205" s="23"/>
      <c r="E205" s="23"/>
      <c r="F205" s="23"/>
      <c r="G205" s="23"/>
      <c r="H205" s="24"/>
      <c r="I205" s="23"/>
      <c r="J205" s="23"/>
      <c r="K205" s="24"/>
      <c r="L205" s="90"/>
      <c r="M205" s="23"/>
    </row>
    <row r="206" spans="1:13" ht="14.45">
      <c r="A206" s="23"/>
      <c r="B206" s="35"/>
      <c r="C206" s="23"/>
      <c r="D206" s="23"/>
      <c r="E206" s="23"/>
      <c r="F206" s="23"/>
      <c r="G206" s="23"/>
      <c r="H206" s="24"/>
      <c r="I206" s="23"/>
      <c r="J206" s="23"/>
      <c r="K206" s="24"/>
      <c r="L206" s="90"/>
      <c r="M206" s="23"/>
    </row>
    <row r="207" spans="1:13" ht="14.45">
      <c r="A207" s="23"/>
      <c r="B207" s="35"/>
      <c r="C207" s="23"/>
      <c r="D207" s="23"/>
      <c r="E207" s="23"/>
      <c r="F207" s="23"/>
      <c r="G207" s="23"/>
      <c r="H207" s="24"/>
      <c r="I207" s="23"/>
      <c r="J207" s="23"/>
      <c r="K207" s="24"/>
      <c r="L207" s="90"/>
      <c r="M207" s="23"/>
    </row>
    <row r="208" spans="1:13" ht="14.45">
      <c r="A208" s="23"/>
      <c r="B208" s="35"/>
      <c r="C208" s="23"/>
      <c r="D208" s="23"/>
      <c r="E208" s="23"/>
      <c r="F208" s="23"/>
      <c r="G208" s="23"/>
      <c r="H208" s="24"/>
      <c r="I208" s="23"/>
      <c r="J208" s="23"/>
      <c r="K208" s="24"/>
      <c r="L208" s="90"/>
      <c r="M208" s="23"/>
    </row>
    <row r="209" spans="1:13" ht="14.45">
      <c r="A209" s="23"/>
      <c r="B209" s="35"/>
      <c r="C209" s="23"/>
      <c r="D209" s="23"/>
      <c r="E209" s="23"/>
      <c r="F209" s="23"/>
      <c r="G209" s="23"/>
      <c r="H209" s="24"/>
      <c r="I209" s="23"/>
      <c r="J209" s="23"/>
      <c r="K209" s="24"/>
      <c r="L209" s="90"/>
      <c r="M209" s="23"/>
    </row>
    <row r="210" spans="1:13" ht="14.45">
      <c r="A210" s="23"/>
      <c r="B210" s="35"/>
      <c r="C210" s="23"/>
      <c r="D210" s="23"/>
      <c r="E210" s="23"/>
      <c r="F210" s="23"/>
      <c r="G210" s="23"/>
      <c r="H210" s="24"/>
      <c r="I210" s="23"/>
      <c r="J210" s="23"/>
      <c r="K210" s="24"/>
      <c r="L210" s="90"/>
      <c r="M210" s="23"/>
    </row>
    <row r="211" spans="1:13" ht="14.45">
      <c r="A211" s="23"/>
      <c r="B211" s="35"/>
      <c r="C211" s="23"/>
      <c r="D211" s="23"/>
      <c r="E211" s="23"/>
      <c r="F211" s="23"/>
      <c r="G211" s="23"/>
      <c r="H211" s="24"/>
      <c r="I211" s="23"/>
      <c r="J211" s="23"/>
      <c r="K211" s="24"/>
      <c r="L211" s="90"/>
      <c r="M211" s="23"/>
    </row>
    <row r="212" spans="1:13" ht="14.45">
      <c r="A212" s="23"/>
      <c r="B212" s="35"/>
      <c r="C212" s="23"/>
      <c r="D212" s="23"/>
      <c r="E212" s="23"/>
      <c r="F212" s="23"/>
      <c r="G212" s="23"/>
      <c r="H212" s="24"/>
      <c r="I212" s="23"/>
      <c r="J212" s="23"/>
      <c r="K212" s="24"/>
      <c r="L212" s="90"/>
      <c r="M212" s="23"/>
    </row>
    <row r="213" spans="1:13" ht="14.45">
      <c r="A213" s="23"/>
      <c r="B213" s="35"/>
      <c r="C213" s="23"/>
      <c r="D213" s="23"/>
      <c r="E213" s="23"/>
      <c r="F213" s="23"/>
      <c r="G213" s="23"/>
      <c r="H213" s="24"/>
      <c r="I213" s="23"/>
      <c r="J213" s="23"/>
      <c r="K213" s="24"/>
      <c r="L213" s="90"/>
      <c r="M213" s="23"/>
    </row>
    <row r="214" spans="1:13" ht="14.45">
      <c r="A214" s="23"/>
      <c r="B214" s="35"/>
      <c r="C214" s="23"/>
      <c r="D214" s="23"/>
      <c r="E214" s="23"/>
      <c r="F214" s="23"/>
      <c r="G214" s="23"/>
      <c r="H214" s="24"/>
      <c r="I214" s="23"/>
      <c r="J214" s="23"/>
      <c r="K214" s="24"/>
      <c r="L214" s="90"/>
      <c r="M214" s="23"/>
    </row>
    <row r="215" spans="1:13" ht="14.45">
      <c r="A215" s="23"/>
      <c r="B215" s="35"/>
      <c r="C215" s="23"/>
      <c r="D215" s="23"/>
      <c r="E215" s="23"/>
      <c r="F215" s="23"/>
      <c r="G215" s="23"/>
      <c r="H215" s="24"/>
      <c r="I215" s="23"/>
      <c r="J215" s="23"/>
      <c r="K215" s="24"/>
      <c r="L215" s="90"/>
      <c r="M215" s="23"/>
    </row>
    <row r="216" spans="1:13" ht="14.45">
      <c r="A216" s="23"/>
      <c r="B216" s="35"/>
      <c r="C216" s="23"/>
      <c r="D216" s="23"/>
      <c r="E216" s="23"/>
      <c r="F216" s="23"/>
      <c r="G216" s="23"/>
      <c r="H216" s="24"/>
      <c r="I216" s="23"/>
      <c r="J216" s="23"/>
      <c r="K216" s="24"/>
      <c r="L216" s="90"/>
      <c r="M216" s="23"/>
    </row>
    <row r="217" spans="1:13" ht="14.45">
      <c r="A217" s="23"/>
      <c r="B217" s="35"/>
      <c r="C217" s="23"/>
      <c r="D217" s="23"/>
      <c r="E217" s="23"/>
      <c r="F217" s="23"/>
      <c r="G217" s="23"/>
      <c r="H217" s="24"/>
      <c r="I217" s="23"/>
      <c r="J217" s="23"/>
      <c r="K217" s="24"/>
      <c r="L217" s="90"/>
      <c r="M217" s="23"/>
    </row>
    <row r="218" spans="1:13" ht="14.45">
      <c r="A218" s="23"/>
      <c r="B218" s="35"/>
      <c r="C218" s="23"/>
      <c r="D218" s="23"/>
      <c r="E218" s="23"/>
      <c r="F218" s="23"/>
      <c r="G218" s="23"/>
      <c r="H218" s="24"/>
      <c r="I218" s="23"/>
      <c r="J218" s="23"/>
      <c r="K218" s="24"/>
      <c r="L218" s="90"/>
      <c r="M218" s="23"/>
    </row>
    <row r="219" spans="1:13" ht="14.45">
      <c r="A219" s="23"/>
      <c r="B219" s="35"/>
      <c r="C219" s="23"/>
      <c r="D219" s="23"/>
      <c r="E219" s="23"/>
      <c r="F219" s="23"/>
      <c r="G219" s="23"/>
      <c r="H219" s="24"/>
      <c r="I219" s="23"/>
      <c r="J219" s="23"/>
      <c r="K219" s="24"/>
      <c r="L219" s="90"/>
      <c r="M219" s="23"/>
    </row>
    <row r="220" spans="1:13" ht="14.45">
      <c r="A220" s="23"/>
      <c r="B220" s="35"/>
      <c r="C220" s="23"/>
      <c r="D220" s="23"/>
      <c r="E220" s="23"/>
      <c r="F220" s="23"/>
      <c r="G220" s="23"/>
      <c r="H220" s="24"/>
      <c r="I220" s="23"/>
      <c r="J220" s="23"/>
      <c r="K220" s="24"/>
      <c r="L220" s="90"/>
      <c r="M220" s="23"/>
    </row>
    <row r="221" spans="1:13" ht="14.45">
      <c r="A221" s="23"/>
      <c r="B221" s="35"/>
      <c r="C221" s="23"/>
      <c r="D221" s="23"/>
      <c r="E221" s="23"/>
      <c r="F221" s="23"/>
      <c r="G221" s="23"/>
      <c r="H221" s="24"/>
      <c r="I221" s="23"/>
      <c r="J221" s="23"/>
      <c r="K221" s="24"/>
      <c r="L221" s="90"/>
      <c r="M221" s="23"/>
    </row>
    <row r="222" spans="1:13" ht="14.45">
      <c r="A222" s="23"/>
      <c r="B222" s="35"/>
      <c r="C222" s="23"/>
      <c r="D222" s="23"/>
      <c r="E222" s="23"/>
      <c r="F222" s="23"/>
      <c r="G222" s="23"/>
      <c r="H222" s="24"/>
      <c r="I222" s="23"/>
      <c r="J222" s="23"/>
      <c r="K222" s="24"/>
      <c r="L222" s="90"/>
      <c r="M222" s="23"/>
    </row>
    <row r="223" spans="1:13" ht="14.45">
      <c r="A223" s="23"/>
      <c r="B223" s="35"/>
      <c r="C223" s="23"/>
      <c r="D223" s="23"/>
      <c r="E223" s="23"/>
      <c r="F223" s="23"/>
      <c r="G223" s="23"/>
      <c r="H223" s="24"/>
      <c r="I223" s="23"/>
      <c r="J223" s="23"/>
      <c r="K223" s="24"/>
      <c r="L223" s="90"/>
      <c r="M223" s="23"/>
    </row>
    <row r="224" spans="1:13" ht="14.45">
      <c r="A224" s="23"/>
      <c r="B224" s="35"/>
      <c r="C224" s="23"/>
      <c r="D224" s="23"/>
      <c r="E224" s="23"/>
      <c r="F224" s="23"/>
      <c r="G224" s="23"/>
      <c r="H224" s="24"/>
      <c r="I224" s="23"/>
      <c r="J224" s="23"/>
      <c r="K224" s="24"/>
      <c r="L224" s="90"/>
      <c r="M224" s="23"/>
    </row>
    <row r="225" spans="1:13" ht="14.45">
      <c r="A225" s="23"/>
      <c r="B225" s="35"/>
      <c r="C225" s="23"/>
      <c r="D225" s="23"/>
      <c r="E225" s="23"/>
      <c r="F225" s="23"/>
      <c r="G225" s="23"/>
      <c r="H225" s="24"/>
      <c r="I225" s="23"/>
      <c r="J225" s="23"/>
      <c r="K225" s="24"/>
      <c r="L225" s="90"/>
      <c r="M225" s="23"/>
    </row>
    <row r="226" spans="1:13" ht="14.45">
      <c r="A226" s="23"/>
      <c r="B226" s="35"/>
      <c r="C226" s="23"/>
      <c r="D226" s="23"/>
      <c r="E226" s="23"/>
      <c r="F226" s="23"/>
      <c r="G226" s="23"/>
      <c r="H226" s="24"/>
      <c r="I226" s="23"/>
      <c r="J226" s="23"/>
      <c r="K226" s="24"/>
      <c r="L226" s="90"/>
      <c r="M226" s="23"/>
    </row>
    <row r="227" spans="1:13" ht="14.45">
      <c r="A227" s="23"/>
      <c r="B227" s="35"/>
      <c r="C227" s="23"/>
      <c r="D227" s="23"/>
      <c r="E227" s="23"/>
      <c r="F227" s="23"/>
      <c r="G227" s="23"/>
      <c r="H227" s="24"/>
      <c r="I227" s="23"/>
      <c r="J227" s="23"/>
      <c r="K227" s="24"/>
      <c r="L227" s="90"/>
      <c r="M227" s="23"/>
    </row>
    <row r="228" spans="1:13" ht="14.45">
      <c r="A228" s="23"/>
      <c r="B228" s="35"/>
      <c r="C228" s="23"/>
      <c r="D228" s="23"/>
      <c r="E228" s="23"/>
      <c r="F228" s="23"/>
      <c r="G228" s="23"/>
      <c r="H228" s="24"/>
      <c r="I228" s="23"/>
      <c r="J228" s="23"/>
      <c r="K228" s="24"/>
      <c r="L228" s="90"/>
      <c r="M228" s="23"/>
    </row>
    <row r="229" spans="1:13" ht="14.45">
      <c r="A229" s="23"/>
      <c r="B229" s="35"/>
      <c r="C229" s="23"/>
      <c r="D229" s="23"/>
      <c r="E229" s="23"/>
      <c r="F229" s="23"/>
      <c r="G229" s="23"/>
      <c r="H229" s="24"/>
      <c r="I229" s="23"/>
      <c r="J229" s="23"/>
      <c r="K229" s="24"/>
      <c r="L229" s="90"/>
      <c r="M229" s="23"/>
    </row>
    <row r="230" spans="1:13" ht="14.45">
      <c r="A230" s="23"/>
      <c r="B230" s="35"/>
      <c r="C230" s="23"/>
      <c r="D230" s="23"/>
      <c r="E230" s="23"/>
      <c r="F230" s="23"/>
      <c r="G230" s="23"/>
      <c r="H230" s="24"/>
      <c r="I230" s="23"/>
      <c r="J230" s="23"/>
      <c r="K230" s="24"/>
      <c r="L230" s="90"/>
      <c r="M230" s="23"/>
    </row>
    <row r="231" spans="1:13" ht="14.45">
      <c r="A231" s="23"/>
      <c r="B231" s="35"/>
      <c r="C231" s="23"/>
      <c r="D231" s="23"/>
      <c r="E231" s="23"/>
      <c r="F231" s="23"/>
      <c r="G231" s="23"/>
      <c r="H231" s="24"/>
      <c r="I231" s="23"/>
      <c r="J231" s="23"/>
      <c r="K231" s="24"/>
      <c r="L231" s="90"/>
      <c r="M231" s="23"/>
    </row>
    <row r="232" spans="1:13" ht="14.45">
      <c r="A232" s="23"/>
      <c r="B232" s="35"/>
      <c r="C232" s="23"/>
      <c r="D232" s="23"/>
      <c r="E232" s="23"/>
      <c r="F232" s="23"/>
      <c r="G232" s="23"/>
      <c r="H232" s="24"/>
      <c r="I232" s="23"/>
      <c r="J232" s="23"/>
      <c r="K232" s="24"/>
      <c r="L232" s="90"/>
      <c r="M232" s="23"/>
    </row>
    <row r="233" spans="1:13" ht="14.45">
      <c r="A233" s="23"/>
      <c r="B233" s="35"/>
      <c r="C233" s="23"/>
      <c r="D233" s="23"/>
      <c r="E233" s="23"/>
      <c r="F233" s="23"/>
      <c r="G233" s="23"/>
      <c r="H233" s="24"/>
      <c r="I233" s="23"/>
      <c r="J233" s="23"/>
      <c r="K233" s="24"/>
      <c r="L233" s="90"/>
      <c r="M233" s="23"/>
    </row>
    <row r="234" spans="1:13" ht="14.45">
      <c r="A234" s="23"/>
      <c r="B234" s="35"/>
      <c r="C234" s="23"/>
      <c r="D234" s="23"/>
      <c r="E234" s="23"/>
      <c r="F234" s="23"/>
      <c r="G234" s="23"/>
      <c r="H234" s="24"/>
      <c r="I234" s="23"/>
      <c r="J234" s="23"/>
      <c r="K234" s="24"/>
      <c r="L234" s="90"/>
      <c r="M234" s="23"/>
    </row>
    <row r="235" spans="1:13" ht="14.45">
      <c r="A235" s="23"/>
      <c r="B235" s="35"/>
      <c r="C235" s="23"/>
      <c r="D235" s="23"/>
      <c r="E235" s="23"/>
      <c r="F235" s="23"/>
      <c r="G235" s="23"/>
      <c r="H235" s="24"/>
      <c r="I235" s="23"/>
      <c r="J235" s="23"/>
      <c r="K235" s="24"/>
      <c r="L235" s="90"/>
      <c r="M235" s="23"/>
    </row>
    <row r="236" spans="1:13" ht="14.45">
      <c r="A236" s="23"/>
      <c r="B236" s="35"/>
      <c r="C236" s="23"/>
      <c r="D236" s="23"/>
      <c r="E236" s="23"/>
      <c r="F236" s="23"/>
      <c r="G236" s="23"/>
      <c r="H236" s="24"/>
      <c r="I236" s="23"/>
      <c r="J236" s="23"/>
      <c r="K236" s="24"/>
      <c r="L236" s="90"/>
      <c r="M236" s="23"/>
    </row>
    <row r="237" spans="1:13" ht="14.45">
      <c r="A237" s="23"/>
      <c r="B237" s="35"/>
      <c r="C237" s="23"/>
      <c r="D237" s="23"/>
      <c r="E237" s="23"/>
      <c r="F237" s="23"/>
      <c r="G237" s="23"/>
      <c r="H237" s="24"/>
      <c r="I237" s="23"/>
      <c r="J237" s="23"/>
      <c r="K237" s="24"/>
      <c r="L237" s="90"/>
      <c r="M237" s="23"/>
    </row>
    <row r="238" spans="1:13" ht="14.45">
      <c r="A238" s="23"/>
      <c r="B238" s="35"/>
      <c r="C238" s="23"/>
      <c r="D238" s="23"/>
      <c r="E238" s="23"/>
      <c r="F238" s="23"/>
      <c r="G238" s="23"/>
      <c r="H238" s="24"/>
      <c r="I238" s="23"/>
      <c r="J238" s="23"/>
      <c r="K238" s="24"/>
      <c r="L238" s="90"/>
      <c r="M238" s="23"/>
    </row>
    <row r="239" spans="1:13" ht="14.45">
      <c r="A239" s="23"/>
      <c r="B239" s="35"/>
      <c r="C239" s="23"/>
      <c r="D239" s="23"/>
      <c r="E239" s="23"/>
      <c r="F239" s="23"/>
      <c r="G239" s="23"/>
      <c r="H239" s="24"/>
      <c r="I239" s="23"/>
      <c r="J239" s="23"/>
      <c r="K239" s="24"/>
      <c r="L239" s="90"/>
      <c r="M239" s="23"/>
    </row>
    <row r="240" spans="1:13" ht="14.45">
      <c r="A240" s="23"/>
      <c r="B240" s="35"/>
      <c r="C240" s="23"/>
      <c r="D240" s="23"/>
      <c r="E240" s="23"/>
      <c r="F240" s="23"/>
      <c r="G240" s="23"/>
      <c r="H240" s="24"/>
      <c r="I240" s="23"/>
      <c r="J240" s="23"/>
      <c r="K240" s="24"/>
      <c r="L240" s="90"/>
      <c r="M240" s="23"/>
    </row>
    <row r="241" spans="1:13" ht="14.45">
      <c r="A241" s="23"/>
      <c r="B241" s="35"/>
      <c r="C241" s="23"/>
      <c r="D241" s="23"/>
      <c r="E241" s="23"/>
      <c r="F241" s="23"/>
      <c r="G241" s="23"/>
      <c r="H241" s="24"/>
      <c r="I241" s="23"/>
      <c r="J241" s="23"/>
      <c r="K241" s="24"/>
      <c r="L241" s="90"/>
      <c r="M241" s="23"/>
    </row>
    <row r="242" spans="1:13" ht="14.45">
      <c r="A242" s="23"/>
      <c r="B242" s="35"/>
      <c r="C242" s="23"/>
      <c r="D242" s="23"/>
      <c r="E242" s="23"/>
      <c r="F242" s="23"/>
      <c r="G242" s="23"/>
      <c r="H242" s="24"/>
      <c r="I242" s="23"/>
      <c r="J242" s="23"/>
      <c r="K242" s="24"/>
      <c r="L242" s="90"/>
      <c r="M242" s="23"/>
    </row>
    <row r="243" spans="1:13" ht="14.45">
      <c r="A243" s="23"/>
      <c r="B243" s="35"/>
      <c r="C243" s="23"/>
      <c r="D243" s="23"/>
      <c r="E243" s="23"/>
      <c r="F243" s="23"/>
      <c r="G243" s="23"/>
      <c r="H243" s="24"/>
      <c r="I243" s="23"/>
      <c r="J243" s="23"/>
      <c r="K243" s="24"/>
      <c r="L243" s="90"/>
      <c r="M243" s="23"/>
    </row>
    <row r="244" spans="1:13" ht="14.45">
      <c r="A244" s="23"/>
      <c r="B244" s="35"/>
      <c r="C244" s="23"/>
      <c r="D244" s="23"/>
      <c r="E244" s="23"/>
      <c r="F244" s="23"/>
      <c r="G244" s="23"/>
      <c r="H244" s="24"/>
      <c r="I244" s="23"/>
      <c r="J244" s="23"/>
      <c r="K244" s="24"/>
      <c r="L244" s="90"/>
      <c r="M244" s="23"/>
    </row>
    <row r="245" spans="1:13" ht="14.45">
      <c r="A245" s="23"/>
      <c r="B245" s="35"/>
      <c r="C245" s="23"/>
      <c r="D245" s="23"/>
      <c r="E245" s="23"/>
      <c r="F245" s="23"/>
      <c r="G245" s="23"/>
      <c r="H245" s="24"/>
      <c r="I245" s="23"/>
      <c r="J245" s="23"/>
      <c r="K245" s="24"/>
      <c r="L245" s="90"/>
      <c r="M245" s="23"/>
    </row>
    <row r="246" spans="1:13" ht="14.45">
      <c r="A246" s="23"/>
      <c r="B246" s="35"/>
      <c r="C246" s="23"/>
      <c r="D246" s="23"/>
      <c r="E246" s="23"/>
      <c r="F246" s="23"/>
      <c r="G246" s="23"/>
      <c r="H246" s="24"/>
      <c r="I246" s="23"/>
      <c r="J246" s="23"/>
      <c r="K246" s="24"/>
      <c r="L246" s="90"/>
      <c r="M246" s="23"/>
    </row>
    <row r="247" spans="1:13" ht="14.45">
      <c r="A247" s="23"/>
      <c r="B247" s="35"/>
      <c r="C247" s="23"/>
      <c r="D247" s="23"/>
      <c r="E247" s="23"/>
      <c r="F247" s="23"/>
      <c r="G247" s="23"/>
      <c r="H247" s="24"/>
      <c r="I247" s="23"/>
      <c r="J247" s="23"/>
      <c r="K247" s="24"/>
      <c r="L247" s="90"/>
      <c r="M247" s="23"/>
    </row>
    <row r="248" spans="1:13" ht="14.45">
      <c r="A248" s="23"/>
      <c r="B248" s="35"/>
      <c r="C248" s="23"/>
      <c r="D248" s="23"/>
      <c r="E248" s="23"/>
      <c r="F248" s="23"/>
      <c r="G248" s="23"/>
      <c r="H248" s="24"/>
      <c r="I248" s="23"/>
      <c r="J248" s="23"/>
      <c r="K248" s="24"/>
      <c r="L248" s="90"/>
      <c r="M248" s="23"/>
    </row>
    <row r="249" spans="1:13" ht="14.45">
      <c r="A249" s="23"/>
      <c r="B249" s="35"/>
      <c r="C249" s="23"/>
      <c r="D249" s="23"/>
      <c r="E249" s="23"/>
      <c r="F249" s="23"/>
      <c r="G249" s="23"/>
      <c r="H249" s="24"/>
      <c r="I249" s="23"/>
      <c r="J249" s="23"/>
      <c r="K249" s="24"/>
      <c r="L249" s="90"/>
      <c r="M249" s="23"/>
    </row>
    <row r="250" spans="1:13" ht="14.45">
      <c r="A250" s="23"/>
      <c r="B250" s="35"/>
      <c r="C250" s="23"/>
      <c r="D250" s="23"/>
      <c r="E250" s="23"/>
      <c r="F250" s="23"/>
      <c r="G250" s="23"/>
      <c r="H250" s="24"/>
      <c r="I250" s="23"/>
      <c r="J250" s="23"/>
      <c r="K250" s="24"/>
      <c r="L250" s="90"/>
      <c r="M250" s="23"/>
    </row>
    <row r="251" spans="1:13" ht="14.45">
      <c r="A251" s="23"/>
      <c r="B251" s="35"/>
      <c r="C251" s="23"/>
      <c r="D251" s="23"/>
      <c r="E251" s="23"/>
      <c r="F251" s="23"/>
      <c r="G251" s="23"/>
      <c r="H251" s="24"/>
      <c r="I251" s="23"/>
      <c r="J251" s="23"/>
      <c r="K251" s="24"/>
      <c r="L251" s="90"/>
      <c r="M251" s="23"/>
    </row>
    <row r="252" spans="1:13" ht="14.45">
      <c r="A252" s="23"/>
      <c r="B252" s="35"/>
      <c r="C252" s="23"/>
      <c r="D252" s="23"/>
      <c r="E252" s="23"/>
      <c r="F252" s="23"/>
      <c r="G252" s="23"/>
      <c r="H252" s="24"/>
      <c r="I252" s="23"/>
      <c r="J252" s="23"/>
      <c r="K252" s="24"/>
      <c r="L252" s="90"/>
      <c r="M252" s="23"/>
    </row>
    <row r="253" spans="1:13" ht="14.45">
      <c r="A253" s="23"/>
      <c r="B253" s="35"/>
      <c r="C253" s="23"/>
      <c r="D253" s="23"/>
      <c r="E253" s="23"/>
      <c r="F253" s="23"/>
      <c r="G253" s="23"/>
      <c r="H253" s="24"/>
      <c r="I253" s="23"/>
      <c r="J253" s="23"/>
      <c r="K253" s="24"/>
      <c r="L253" s="90"/>
      <c r="M253" s="23"/>
    </row>
    <row r="254" spans="1:13" ht="14.45">
      <c r="A254" s="23"/>
      <c r="B254" s="35"/>
      <c r="C254" s="23"/>
      <c r="D254" s="23"/>
      <c r="E254" s="23"/>
      <c r="F254" s="23"/>
      <c r="G254" s="23"/>
      <c r="H254" s="24"/>
      <c r="I254" s="23"/>
      <c r="J254" s="23"/>
      <c r="K254" s="24"/>
      <c r="L254" s="90"/>
      <c r="M254" s="23"/>
    </row>
    <row r="255" spans="1:13" ht="14.45">
      <c r="A255" s="23"/>
      <c r="B255" s="35"/>
      <c r="C255" s="23"/>
      <c r="D255" s="23"/>
      <c r="E255" s="23"/>
      <c r="F255" s="23"/>
      <c r="G255" s="23"/>
      <c r="H255" s="24"/>
      <c r="I255" s="23"/>
      <c r="J255" s="23"/>
      <c r="K255" s="24"/>
      <c r="L255" s="90"/>
      <c r="M255" s="23"/>
    </row>
    <row r="256" spans="1:13" ht="14.45">
      <c r="A256" s="23"/>
      <c r="B256" s="35"/>
      <c r="C256" s="23"/>
      <c r="D256" s="23"/>
      <c r="E256" s="23"/>
      <c r="F256" s="23"/>
      <c r="G256" s="23"/>
      <c r="H256" s="24"/>
      <c r="I256" s="23"/>
      <c r="J256" s="23"/>
      <c r="K256" s="24"/>
      <c r="L256" s="90"/>
      <c r="M256" s="23"/>
    </row>
    <row r="257" spans="1:13" ht="14.45">
      <c r="A257" s="23"/>
      <c r="B257" s="35"/>
      <c r="C257" s="23"/>
      <c r="D257" s="23"/>
      <c r="E257" s="23"/>
      <c r="F257" s="23"/>
      <c r="G257" s="23"/>
      <c r="H257" s="24"/>
      <c r="I257" s="23"/>
      <c r="J257" s="23"/>
      <c r="K257" s="24"/>
      <c r="L257" s="90"/>
      <c r="M257" s="23"/>
    </row>
    <row r="258" spans="1:13" ht="14.45">
      <c r="A258" s="23"/>
      <c r="B258" s="35"/>
      <c r="C258" s="23"/>
      <c r="D258" s="23"/>
      <c r="E258" s="23"/>
      <c r="F258" s="23"/>
      <c r="G258" s="23"/>
      <c r="H258" s="24"/>
      <c r="I258" s="23"/>
      <c r="J258" s="23"/>
      <c r="K258" s="24"/>
      <c r="L258" s="90"/>
      <c r="M258" s="23"/>
    </row>
    <row r="259" spans="1:13" ht="14.45">
      <c r="A259" s="23"/>
      <c r="B259" s="35"/>
      <c r="C259" s="23"/>
      <c r="D259" s="23"/>
      <c r="E259" s="23"/>
      <c r="F259" s="23"/>
      <c r="G259" s="23"/>
      <c r="H259" s="24"/>
      <c r="I259" s="23"/>
      <c r="J259" s="23"/>
      <c r="K259" s="24"/>
      <c r="L259" s="90"/>
      <c r="M259" s="23"/>
    </row>
    <row r="260" spans="1:13" ht="14.45">
      <c r="A260" s="23"/>
      <c r="B260" s="35"/>
      <c r="C260" s="23"/>
      <c r="D260" s="23"/>
      <c r="E260" s="23"/>
      <c r="F260" s="23"/>
      <c r="G260" s="23"/>
      <c r="H260" s="24"/>
      <c r="I260" s="23"/>
      <c r="J260" s="23"/>
      <c r="K260" s="24"/>
      <c r="L260" s="90"/>
      <c r="M260" s="23"/>
    </row>
    <row r="261" spans="1:13" ht="14.45">
      <c r="A261" s="23"/>
      <c r="B261" s="35"/>
      <c r="C261" s="23"/>
      <c r="D261" s="23"/>
      <c r="E261" s="23"/>
      <c r="F261" s="23"/>
      <c r="G261" s="23"/>
      <c r="H261" s="24"/>
      <c r="I261" s="23"/>
      <c r="J261" s="23"/>
      <c r="K261" s="24"/>
      <c r="L261" s="90"/>
      <c r="M261" s="23"/>
    </row>
    <row r="262" spans="1:13" ht="14.45">
      <c r="A262" s="23"/>
      <c r="B262" s="35"/>
      <c r="C262" s="23"/>
      <c r="D262" s="23"/>
      <c r="E262" s="23"/>
      <c r="F262" s="23"/>
      <c r="G262" s="23"/>
      <c r="H262" s="24"/>
      <c r="I262" s="23"/>
      <c r="J262" s="23"/>
      <c r="K262" s="24"/>
      <c r="L262" s="90"/>
      <c r="M262" s="23"/>
    </row>
    <row r="263" spans="1:13" ht="14.45">
      <c r="A263" s="23"/>
      <c r="B263" s="35"/>
      <c r="C263" s="23"/>
      <c r="D263" s="23"/>
      <c r="E263" s="23"/>
      <c r="F263" s="23"/>
      <c r="G263" s="23"/>
      <c r="H263" s="24"/>
      <c r="I263" s="23"/>
      <c r="J263" s="23"/>
      <c r="K263" s="24"/>
      <c r="L263" s="90"/>
      <c r="M263" s="23"/>
    </row>
    <row r="264" spans="1:13" ht="14.45">
      <c r="A264" s="23"/>
      <c r="B264" s="35"/>
      <c r="C264" s="23"/>
      <c r="D264" s="23"/>
      <c r="E264" s="23"/>
      <c r="F264" s="23"/>
      <c r="G264" s="23"/>
      <c r="H264" s="24"/>
      <c r="I264" s="23"/>
      <c r="J264" s="23"/>
      <c r="K264" s="24"/>
      <c r="L264" s="90"/>
      <c r="M264" s="23"/>
    </row>
    <row r="265" spans="1:13" ht="14.45">
      <c r="A265" s="23"/>
      <c r="B265" s="35"/>
      <c r="C265" s="23"/>
      <c r="D265" s="23"/>
      <c r="E265" s="23"/>
      <c r="F265" s="23"/>
      <c r="G265" s="23"/>
      <c r="H265" s="24"/>
      <c r="I265" s="23"/>
      <c r="J265" s="23"/>
      <c r="K265" s="24"/>
      <c r="L265" s="90"/>
      <c r="M265" s="23"/>
    </row>
    <row r="266" spans="1:13" ht="14.45">
      <c r="A266" s="23"/>
      <c r="B266" s="35"/>
      <c r="C266" s="23"/>
      <c r="D266" s="23"/>
      <c r="E266" s="23"/>
      <c r="F266" s="23"/>
      <c r="G266" s="23"/>
      <c r="H266" s="24"/>
      <c r="I266" s="23"/>
      <c r="J266" s="23"/>
      <c r="K266" s="24"/>
      <c r="L266" s="90"/>
      <c r="M266" s="23"/>
    </row>
    <row r="267" spans="1:13" ht="14.45">
      <c r="A267" s="23"/>
      <c r="B267" s="35"/>
      <c r="C267" s="23"/>
      <c r="D267" s="23"/>
      <c r="E267" s="23"/>
      <c r="F267" s="23"/>
      <c r="G267" s="23"/>
      <c r="H267" s="24"/>
      <c r="I267" s="23"/>
      <c r="J267" s="23"/>
      <c r="K267" s="24"/>
      <c r="L267" s="90"/>
      <c r="M267" s="23"/>
    </row>
    <row r="268" spans="1:13" ht="14.45">
      <c r="A268" s="23"/>
      <c r="B268" s="35"/>
      <c r="C268" s="23"/>
      <c r="D268" s="23"/>
      <c r="E268" s="23"/>
      <c r="F268" s="23"/>
      <c r="G268" s="23"/>
      <c r="H268" s="24"/>
      <c r="I268" s="23"/>
      <c r="J268" s="23"/>
      <c r="K268" s="24"/>
      <c r="L268" s="90"/>
      <c r="M268" s="23"/>
    </row>
    <row r="269" spans="1:13" ht="14.45">
      <c r="A269" s="23"/>
      <c r="B269" s="35"/>
      <c r="C269" s="23"/>
      <c r="D269" s="23"/>
      <c r="E269" s="23"/>
      <c r="F269" s="23"/>
      <c r="G269" s="23"/>
      <c r="H269" s="24"/>
      <c r="I269" s="23"/>
      <c r="J269" s="23"/>
      <c r="K269" s="24"/>
      <c r="L269" s="90"/>
      <c r="M269" s="23"/>
    </row>
    <row r="270" spans="1:13" ht="14.45">
      <c r="A270" s="23"/>
      <c r="B270" s="35"/>
      <c r="C270" s="23"/>
      <c r="D270" s="23"/>
      <c r="E270" s="23"/>
      <c r="F270" s="23"/>
      <c r="G270" s="23"/>
      <c r="H270" s="24"/>
      <c r="I270" s="23"/>
      <c r="J270" s="23"/>
      <c r="K270" s="24"/>
      <c r="L270" s="90"/>
      <c r="M270" s="23"/>
    </row>
    <row r="271" spans="1:13" ht="14.45">
      <c r="A271" s="23"/>
      <c r="B271" s="35"/>
      <c r="C271" s="23"/>
      <c r="D271" s="23"/>
      <c r="E271" s="23"/>
      <c r="F271" s="23"/>
      <c r="G271" s="23"/>
      <c r="H271" s="24"/>
      <c r="I271" s="23"/>
      <c r="J271" s="23"/>
      <c r="K271" s="24"/>
      <c r="L271" s="90"/>
      <c r="M271" s="23"/>
    </row>
    <row r="272" spans="1:13" ht="14.45">
      <c r="A272" s="23"/>
      <c r="B272" s="35"/>
      <c r="C272" s="23"/>
      <c r="D272" s="23"/>
      <c r="E272" s="23"/>
      <c r="F272" s="23"/>
      <c r="G272" s="23"/>
      <c r="H272" s="24"/>
      <c r="I272" s="23"/>
      <c r="J272" s="23"/>
      <c r="K272" s="24"/>
      <c r="L272" s="90"/>
      <c r="M272" s="23"/>
    </row>
    <row r="273" spans="1:13" ht="14.45">
      <c r="A273" s="23"/>
      <c r="B273" s="35"/>
      <c r="C273" s="23"/>
      <c r="D273" s="23"/>
      <c r="E273" s="23"/>
      <c r="F273" s="23"/>
      <c r="G273" s="23"/>
      <c r="H273" s="24"/>
      <c r="I273" s="23"/>
      <c r="J273" s="23"/>
      <c r="K273" s="24"/>
      <c r="L273" s="90"/>
      <c r="M273" s="23"/>
    </row>
    <row r="274" spans="1:13" ht="14.45">
      <c r="A274" s="23"/>
      <c r="B274" s="35"/>
      <c r="C274" s="23"/>
      <c r="D274" s="23"/>
      <c r="E274" s="23"/>
      <c r="F274" s="23"/>
      <c r="G274" s="23"/>
      <c r="H274" s="24"/>
      <c r="I274" s="23"/>
      <c r="J274" s="23"/>
      <c r="K274" s="24"/>
      <c r="L274" s="90"/>
      <c r="M274" s="23"/>
    </row>
    <row r="275" spans="1:13" ht="14.45">
      <c r="A275" s="23"/>
      <c r="B275" s="35"/>
      <c r="C275" s="23"/>
      <c r="D275" s="23"/>
      <c r="E275" s="23"/>
      <c r="F275" s="23"/>
      <c r="G275" s="23"/>
      <c r="H275" s="24"/>
      <c r="I275" s="23"/>
      <c r="J275" s="23"/>
      <c r="K275" s="24"/>
      <c r="L275" s="90"/>
      <c r="M275" s="23"/>
    </row>
    <row r="276" spans="1:13" ht="14.45">
      <c r="A276" s="23"/>
      <c r="B276" s="35"/>
      <c r="C276" s="23"/>
      <c r="D276" s="23"/>
      <c r="E276" s="23"/>
      <c r="F276" s="23"/>
      <c r="G276" s="23"/>
      <c r="H276" s="24"/>
      <c r="I276" s="23"/>
      <c r="J276" s="23"/>
      <c r="K276" s="24"/>
      <c r="L276" s="90"/>
      <c r="M276" s="23"/>
    </row>
    <row r="277" spans="1:13" ht="14.45">
      <c r="A277" s="23"/>
      <c r="B277" s="35"/>
      <c r="C277" s="23"/>
      <c r="D277" s="23"/>
      <c r="E277" s="23"/>
      <c r="F277" s="23"/>
      <c r="G277" s="23"/>
      <c r="H277" s="24"/>
      <c r="I277" s="23"/>
      <c r="J277" s="23"/>
      <c r="K277" s="24"/>
      <c r="L277" s="90"/>
      <c r="M277" s="23"/>
    </row>
    <row r="278" spans="1:13" ht="14.45">
      <c r="A278" s="23"/>
      <c r="B278" s="35"/>
      <c r="C278" s="23"/>
      <c r="D278" s="23"/>
      <c r="E278" s="23"/>
      <c r="F278" s="23"/>
      <c r="G278" s="23"/>
      <c r="H278" s="24"/>
      <c r="I278" s="23"/>
      <c r="J278" s="23"/>
      <c r="K278" s="24"/>
      <c r="L278" s="90"/>
      <c r="M278" s="23"/>
    </row>
    <row r="279" spans="1:13" ht="14.45">
      <c r="A279" s="23"/>
      <c r="B279" s="35"/>
      <c r="C279" s="23"/>
      <c r="D279" s="23"/>
      <c r="E279" s="23"/>
      <c r="F279" s="23"/>
      <c r="G279" s="23"/>
      <c r="H279" s="24"/>
      <c r="I279" s="23"/>
      <c r="J279" s="23"/>
      <c r="K279" s="24"/>
      <c r="L279" s="90"/>
      <c r="M279" s="23"/>
    </row>
    <row r="280" spans="1:13" ht="14.45">
      <c r="A280" s="23"/>
      <c r="B280" s="35"/>
      <c r="C280" s="23"/>
      <c r="D280" s="23"/>
      <c r="E280" s="23"/>
      <c r="F280" s="23"/>
      <c r="G280" s="23"/>
      <c r="H280" s="24"/>
      <c r="I280" s="23"/>
      <c r="J280" s="23"/>
      <c r="K280" s="24"/>
      <c r="L280" s="90"/>
      <c r="M280" s="23"/>
    </row>
    <row r="281" spans="1:13" ht="14.45">
      <c r="A281" s="23"/>
      <c r="B281" s="35"/>
      <c r="C281" s="23"/>
      <c r="D281" s="23"/>
      <c r="E281" s="23"/>
      <c r="F281" s="23"/>
      <c r="G281" s="23"/>
      <c r="H281" s="24"/>
      <c r="I281" s="23"/>
      <c r="J281" s="23"/>
      <c r="K281" s="24"/>
      <c r="L281" s="90"/>
      <c r="M281" s="23"/>
    </row>
    <row r="282" spans="1:13" ht="14.45">
      <c r="A282" s="23"/>
      <c r="B282" s="35"/>
      <c r="C282" s="23"/>
      <c r="D282" s="23"/>
      <c r="E282" s="23"/>
      <c r="F282" s="23"/>
      <c r="G282" s="23"/>
      <c r="H282" s="24"/>
      <c r="I282" s="23"/>
      <c r="J282" s="23"/>
      <c r="K282" s="24"/>
      <c r="L282" s="90"/>
      <c r="M282" s="23"/>
    </row>
    <row r="283" spans="1:13" ht="14.45">
      <c r="A283" s="23"/>
      <c r="B283" s="35"/>
      <c r="C283" s="23"/>
      <c r="D283" s="23"/>
      <c r="E283" s="23"/>
      <c r="F283" s="23"/>
      <c r="G283" s="23"/>
      <c r="H283" s="24"/>
      <c r="I283" s="23"/>
      <c r="J283" s="23"/>
      <c r="K283" s="24"/>
      <c r="L283" s="90"/>
      <c r="M283" s="23"/>
    </row>
    <row r="284" spans="1:13" ht="14.45">
      <c r="A284" s="23"/>
      <c r="B284" s="35"/>
      <c r="C284" s="23"/>
      <c r="D284" s="23"/>
      <c r="E284" s="23"/>
      <c r="F284" s="23"/>
      <c r="G284" s="23"/>
      <c r="H284" s="24"/>
      <c r="I284" s="23"/>
      <c r="J284" s="23"/>
      <c r="K284" s="24"/>
      <c r="L284" s="90"/>
      <c r="M284" s="23"/>
    </row>
    <row r="285" spans="1:13" ht="14.45">
      <c r="A285" s="23"/>
      <c r="B285" s="35"/>
      <c r="C285" s="23"/>
      <c r="D285" s="23"/>
      <c r="E285" s="23"/>
      <c r="F285" s="23"/>
      <c r="G285" s="23"/>
      <c r="H285" s="24"/>
      <c r="I285" s="23"/>
      <c r="J285" s="23"/>
      <c r="K285" s="24"/>
      <c r="L285" s="90"/>
      <c r="M285" s="23"/>
    </row>
    <row r="286" spans="1:13" ht="14.45">
      <c r="A286" s="23"/>
      <c r="B286" s="35"/>
      <c r="C286" s="23"/>
      <c r="D286" s="23"/>
      <c r="E286" s="23"/>
      <c r="F286" s="23"/>
      <c r="G286" s="23"/>
      <c r="H286" s="24"/>
      <c r="I286" s="23"/>
      <c r="J286" s="23"/>
      <c r="K286" s="24"/>
      <c r="L286" s="90"/>
      <c r="M286" s="23"/>
    </row>
    <row r="287" spans="1:13" ht="14.45">
      <c r="A287" s="23"/>
      <c r="B287" s="35"/>
      <c r="C287" s="23"/>
      <c r="D287" s="23"/>
      <c r="E287" s="23"/>
      <c r="F287" s="23"/>
      <c r="G287" s="23"/>
      <c r="H287" s="24"/>
      <c r="I287" s="23"/>
      <c r="J287" s="23"/>
      <c r="K287" s="24"/>
      <c r="L287" s="90"/>
      <c r="M287" s="23"/>
    </row>
    <row r="288" spans="1:13" ht="14.45">
      <c r="A288" s="23"/>
      <c r="B288" s="35"/>
      <c r="C288" s="23"/>
      <c r="D288" s="23"/>
      <c r="E288" s="23"/>
      <c r="F288" s="23"/>
      <c r="G288" s="23"/>
      <c r="H288" s="24"/>
      <c r="I288" s="23"/>
      <c r="J288" s="23"/>
      <c r="K288" s="24"/>
      <c r="L288" s="90"/>
      <c r="M288" s="23"/>
    </row>
    <row r="289" spans="1:13" ht="14.45">
      <c r="A289" s="23"/>
      <c r="B289" s="35"/>
      <c r="C289" s="23"/>
      <c r="D289" s="23"/>
      <c r="E289" s="23"/>
      <c r="F289" s="23"/>
      <c r="G289" s="23"/>
      <c r="H289" s="24"/>
      <c r="I289" s="23"/>
      <c r="J289" s="23"/>
      <c r="K289" s="24"/>
      <c r="L289" s="90"/>
      <c r="M289" s="23"/>
    </row>
    <row r="290" spans="1:13" ht="14.45">
      <c r="A290" s="23"/>
      <c r="B290" s="35"/>
      <c r="C290" s="23"/>
      <c r="D290" s="23"/>
      <c r="E290" s="23"/>
      <c r="F290" s="23"/>
      <c r="G290" s="23"/>
      <c r="H290" s="24"/>
      <c r="I290" s="23"/>
      <c r="J290" s="23"/>
      <c r="K290" s="24"/>
      <c r="L290" s="90"/>
      <c r="M290" s="23"/>
    </row>
    <row r="291" spans="1:13" ht="14.45">
      <c r="A291" s="23"/>
      <c r="B291" s="35"/>
      <c r="C291" s="23"/>
      <c r="D291" s="23"/>
      <c r="E291" s="23"/>
      <c r="F291" s="23"/>
      <c r="G291" s="23"/>
      <c r="H291" s="24"/>
      <c r="I291" s="23"/>
      <c r="J291" s="23"/>
      <c r="K291" s="24"/>
      <c r="L291" s="90"/>
      <c r="M291" s="23"/>
    </row>
    <row r="292" spans="1:13" ht="14.45">
      <c r="A292" s="23"/>
      <c r="B292" s="35"/>
      <c r="C292" s="23"/>
      <c r="D292" s="23"/>
      <c r="E292" s="23"/>
      <c r="F292" s="23"/>
      <c r="G292" s="23"/>
      <c r="H292" s="24"/>
      <c r="I292" s="23"/>
      <c r="J292" s="23"/>
      <c r="K292" s="24"/>
      <c r="L292" s="90"/>
      <c r="M292" s="23"/>
    </row>
    <row r="293" spans="1:13" ht="14.45">
      <c r="A293" s="23"/>
      <c r="B293" s="35"/>
      <c r="C293" s="23"/>
      <c r="D293" s="23"/>
      <c r="E293" s="23"/>
      <c r="F293" s="23"/>
      <c r="G293" s="23"/>
      <c r="H293" s="24"/>
      <c r="I293" s="23"/>
      <c r="J293" s="23"/>
      <c r="K293" s="24"/>
      <c r="L293" s="90"/>
      <c r="M293" s="23"/>
    </row>
    <row r="294" spans="1:13" ht="14.45">
      <c r="A294" s="23"/>
      <c r="B294" s="35"/>
      <c r="C294" s="23"/>
      <c r="D294" s="23"/>
      <c r="E294" s="23"/>
      <c r="F294" s="23"/>
      <c r="G294" s="23"/>
      <c r="H294" s="24"/>
      <c r="I294" s="23"/>
      <c r="J294" s="23"/>
      <c r="K294" s="24"/>
      <c r="L294" s="90"/>
      <c r="M294" s="23"/>
    </row>
    <row r="295" spans="1:13" ht="14.45">
      <c r="A295" s="23"/>
      <c r="B295" s="35"/>
      <c r="C295" s="23"/>
      <c r="D295" s="23"/>
      <c r="E295" s="23"/>
      <c r="F295" s="23"/>
      <c r="G295" s="23"/>
      <c r="H295" s="24"/>
      <c r="I295" s="23"/>
      <c r="J295" s="23"/>
      <c r="K295" s="24"/>
      <c r="L295" s="90"/>
      <c r="M295" s="23"/>
    </row>
    <row r="296" spans="1:13" ht="14.45">
      <c r="A296" s="23"/>
      <c r="B296" s="35"/>
      <c r="C296" s="23"/>
      <c r="D296" s="23"/>
      <c r="E296" s="23"/>
      <c r="F296" s="23"/>
      <c r="G296" s="23"/>
      <c r="H296" s="24"/>
      <c r="I296" s="23"/>
      <c r="J296" s="23"/>
      <c r="K296" s="24"/>
      <c r="L296" s="90"/>
      <c r="M296" s="23"/>
    </row>
    <row r="297" spans="1:13" ht="14.45">
      <c r="A297" s="23"/>
      <c r="B297" s="35"/>
      <c r="C297" s="23"/>
      <c r="D297" s="23"/>
      <c r="E297" s="23"/>
      <c r="F297" s="23"/>
      <c r="G297" s="23"/>
      <c r="H297" s="24"/>
      <c r="I297" s="23"/>
      <c r="J297" s="23"/>
      <c r="K297" s="24"/>
      <c r="L297" s="90"/>
      <c r="M297" s="23"/>
    </row>
    <row r="298" spans="1:13" ht="14.45">
      <c r="A298" s="23"/>
      <c r="B298" s="35"/>
      <c r="C298" s="23"/>
      <c r="D298" s="23"/>
      <c r="E298" s="23"/>
      <c r="F298" s="23"/>
      <c r="G298" s="23"/>
      <c r="H298" s="24"/>
      <c r="I298" s="23"/>
      <c r="J298" s="23"/>
      <c r="K298" s="24"/>
      <c r="L298" s="90"/>
      <c r="M298" s="23"/>
    </row>
    <row r="299" spans="1:13" ht="14.45">
      <c r="A299" s="23"/>
      <c r="B299" s="35"/>
      <c r="C299" s="23"/>
      <c r="D299" s="23"/>
      <c r="E299" s="23"/>
      <c r="F299" s="23"/>
      <c r="G299" s="23"/>
      <c r="H299" s="24"/>
      <c r="I299" s="23"/>
      <c r="J299" s="23"/>
      <c r="K299" s="24"/>
      <c r="L299" s="90"/>
      <c r="M299" s="23"/>
    </row>
    <row r="300" spans="1:13" ht="14.45">
      <c r="A300" s="23"/>
      <c r="B300" s="35"/>
      <c r="C300" s="23"/>
      <c r="D300" s="23"/>
      <c r="E300" s="23"/>
      <c r="F300" s="23"/>
      <c r="G300" s="23"/>
      <c r="H300" s="24"/>
      <c r="I300" s="23"/>
      <c r="J300" s="23"/>
      <c r="K300" s="24"/>
      <c r="L300" s="90"/>
      <c r="M300" s="23"/>
    </row>
    <row r="301" spans="1:13" ht="14.45">
      <c r="A301" s="23"/>
      <c r="B301" s="35"/>
      <c r="C301" s="23"/>
      <c r="D301" s="23"/>
      <c r="E301" s="23"/>
      <c r="F301" s="23"/>
      <c r="G301" s="23"/>
      <c r="H301" s="24"/>
      <c r="I301" s="23"/>
      <c r="J301" s="23"/>
      <c r="K301" s="24"/>
      <c r="L301" s="90"/>
      <c r="M301" s="23"/>
    </row>
    <row r="302" spans="1:13" ht="14.45">
      <c r="A302" s="23"/>
      <c r="B302" s="35"/>
      <c r="C302" s="23"/>
      <c r="D302" s="23"/>
      <c r="E302" s="23"/>
      <c r="F302" s="23"/>
      <c r="G302" s="23"/>
      <c r="H302" s="24"/>
      <c r="I302" s="23"/>
      <c r="J302" s="23"/>
      <c r="K302" s="24"/>
      <c r="L302" s="90"/>
      <c r="M302" s="23"/>
    </row>
    <row r="303" spans="1:13" ht="14.45">
      <c r="A303" s="23"/>
      <c r="B303" s="35"/>
      <c r="C303" s="23"/>
      <c r="D303" s="23"/>
      <c r="E303" s="23"/>
      <c r="F303" s="23"/>
      <c r="G303" s="23"/>
      <c r="H303" s="24"/>
      <c r="I303" s="23"/>
      <c r="J303" s="23"/>
      <c r="K303" s="24"/>
      <c r="L303" s="90"/>
      <c r="M303" s="23"/>
    </row>
    <row r="304" spans="1:13" ht="14.45">
      <c r="A304" s="23"/>
      <c r="B304" s="35"/>
      <c r="C304" s="23"/>
      <c r="D304" s="23"/>
      <c r="E304" s="23"/>
      <c r="F304" s="23"/>
      <c r="G304" s="23"/>
      <c r="H304" s="24"/>
      <c r="I304" s="23"/>
      <c r="J304" s="23"/>
      <c r="K304" s="24"/>
      <c r="L304" s="90"/>
      <c r="M304" s="23"/>
    </row>
    <row r="305" spans="1:13" ht="14.45">
      <c r="A305" s="23"/>
      <c r="B305" s="35"/>
      <c r="C305" s="23"/>
      <c r="D305" s="23"/>
      <c r="E305" s="23"/>
      <c r="F305" s="23"/>
      <c r="G305" s="23"/>
      <c r="H305" s="24"/>
      <c r="I305" s="23"/>
      <c r="J305" s="23"/>
      <c r="K305" s="24"/>
      <c r="L305" s="90"/>
      <c r="M305" s="23"/>
    </row>
    <row r="306" spans="1:13" ht="14.45">
      <c r="A306" s="23"/>
      <c r="B306" s="35"/>
      <c r="C306" s="23"/>
      <c r="D306" s="23"/>
      <c r="E306" s="23"/>
      <c r="F306" s="23"/>
      <c r="G306" s="23"/>
      <c r="H306" s="24"/>
      <c r="I306" s="23"/>
      <c r="J306" s="23"/>
      <c r="K306" s="24"/>
      <c r="L306" s="90"/>
      <c r="M306" s="23"/>
    </row>
    <row r="307" spans="1:13" ht="14.45">
      <c r="A307" s="23"/>
      <c r="B307" s="35"/>
      <c r="C307" s="23"/>
      <c r="D307" s="23"/>
      <c r="E307" s="23"/>
      <c r="F307" s="23"/>
      <c r="G307" s="23"/>
      <c r="H307" s="24"/>
      <c r="I307" s="23"/>
      <c r="J307" s="23"/>
      <c r="K307" s="24"/>
      <c r="L307" s="90"/>
      <c r="M307" s="23"/>
    </row>
    <row r="308" spans="1:13" ht="14.45">
      <c r="A308" s="23"/>
      <c r="B308" s="35"/>
      <c r="C308" s="23"/>
      <c r="D308" s="23"/>
      <c r="E308" s="23"/>
      <c r="F308" s="23"/>
      <c r="G308" s="23"/>
      <c r="H308" s="24"/>
      <c r="I308" s="23"/>
      <c r="J308" s="23"/>
      <c r="K308" s="24"/>
      <c r="L308" s="90"/>
      <c r="M308" s="23"/>
    </row>
    <row r="309" spans="1:13" ht="14.45">
      <c r="A309" s="23"/>
      <c r="B309" s="35"/>
      <c r="C309" s="23"/>
      <c r="D309" s="23"/>
      <c r="E309" s="23"/>
      <c r="F309" s="23"/>
      <c r="G309" s="23"/>
      <c r="H309" s="24"/>
      <c r="I309" s="23"/>
      <c r="J309" s="23"/>
      <c r="K309" s="24"/>
      <c r="L309" s="90"/>
      <c r="M309" s="23"/>
    </row>
    <row r="310" spans="1:13" ht="14.45">
      <c r="A310" s="23"/>
      <c r="B310" s="35"/>
      <c r="C310" s="23"/>
      <c r="D310" s="23"/>
      <c r="E310" s="23"/>
      <c r="F310" s="23"/>
      <c r="G310" s="23"/>
      <c r="H310" s="24"/>
      <c r="I310" s="23"/>
      <c r="J310" s="23"/>
      <c r="K310" s="24"/>
      <c r="L310" s="90"/>
      <c r="M310" s="23"/>
    </row>
    <row r="311" spans="1:13" ht="14.45">
      <c r="A311" s="23"/>
      <c r="B311" s="35"/>
      <c r="C311" s="23"/>
      <c r="D311" s="23"/>
      <c r="E311" s="23"/>
      <c r="F311" s="23"/>
      <c r="G311" s="23"/>
      <c r="H311" s="24"/>
      <c r="I311" s="23"/>
      <c r="J311" s="23"/>
      <c r="K311" s="24"/>
      <c r="L311" s="90"/>
      <c r="M311" s="23"/>
    </row>
    <row r="312" spans="1:13" ht="14.45">
      <c r="A312" s="23"/>
      <c r="B312" s="35"/>
      <c r="C312" s="23"/>
      <c r="D312" s="23"/>
      <c r="E312" s="23"/>
      <c r="F312" s="23"/>
      <c r="G312" s="23"/>
      <c r="H312" s="24"/>
      <c r="I312" s="23"/>
      <c r="J312" s="23"/>
      <c r="K312" s="24"/>
      <c r="L312" s="90"/>
      <c r="M312" s="23"/>
    </row>
    <row r="313" spans="1:13" ht="14.45">
      <c r="A313" s="23"/>
      <c r="B313" s="35"/>
      <c r="C313" s="23"/>
      <c r="D313" s="23"/>
      <c r="E313" s="23"/>
      <c r="F313" s="23"/>
      <c r="G313" s="23"/>
      <c r="H313" s="24"/>
      <c r="I313" s="23"/>
      <c r="J313" s="23"/>
      <c r="K313" s="24"/>
      <c r="L313" s="90"/>
      <c r="M313" s="23"/>
    </row>
    <row r="314" spans="1:13" ht="14.45">
      <c r="A314" s="23"/>
      <c r="B314" s="35"/>
      <c r="C314" s="23"/>
      <c r="D314" s="23"/>
      <c r="E314" s="23"/>
      <c r="F314" s="23"/>
      <c r="G314" s="23"/>
      <c r="H314" s="24"/>
      <c r="I314" s="23"/>
      <c r="J314" s="23"/>
      <c r="K314" s="24"/>
      <c r="L314" s="90"/>
      <c r="M314" s="23"/>
    </row>
    <row r="315" spans="1:13" ht="14.45">
      <c r="A315" s="23"/>
      <c r="B315" s="35"/>
      <c r="C315" s="23"/>
      <c r="D315" s="23"/>
      <c r="E315" s="23"/>
      <c r="F315" s="23"/>
      <c r="G315" s="23"/>
      <c r="H315" s="24"/>
      <c r="I315" s="23"/>
      <c r="J315" s="23"/>
      <c r="K315" s="24"/>
      <c r="L315" s="90"/>
      <c r="M315" s="23"/>
    </row>
    <row r="316" spans="1:13" ht="14.45">
      <c r="A316" s="23"/>
      <c r="B316" s="35"/>
      <c r="C316" s="23"/>
      <c r="D316" s="23"/>
      <c r="E316" s="23"/>
      <c r="F316" s="23"/>
      <c r="G316" s="23"/>
      <c r="H316" s="24"/>
      <c r="I316" s="23"/>
      <c r="J316" s="23"/>
      <c r="K316" s="24"/>
      <c r="L316" s="90"/>
      <c r="M316" s="23"/>
    </row>
    <row r="317" spans="1:13" ht="14.45">
      <c r="A317" s="23"/>
      <c r="B317" s="35"/>
      <c r="C317" s="23"/>
      <c r="D317" s="23"/>
      <c r="E317" s="23"/>
      <c r="F317" s="23"/>
      <c r="G317" s="23"/>
      <c r="H317" s="24"/>
      <c r="I317" s="23"/>
      <c r="J317" s="23"/>
      <c r="K317" s="24"/>
      <c r="L317" s="90"/>
      <c r="M317" s="23"/>
    </row>
    <row r="318" spans="1:13" ht="14.45">
      <c r="A318" s="23"/>
      <c r="B318" s="35"/>
      <c r="C318" s="23"/>
      <c r="D318" s="23"/>
      <c r="E318" s="23"/>
      <c r="F318" s="23"/>
      <c r="G318" s="23"/>
      <c r="H318" s="24"/>
      <c r="I318" s="23"/>
      <c r="J318" s="23"/>
      <c r="K318" s="24"/>
      <c r="L318" s="90"/>
      <c r="M318" s="23"/>
    </row>
    <row r="319" spans="1:13" ht="14.45">
      <c r="A319" s="23"/>
      <c r="B319" s="35"/>
      <c r="C319" s="23"/>
      <c r="D319" s="23"/>
      <c r="E319" s="23"/>
      <c r="F319" s="23"/>
      <c r="G319" s="23"/>
      <c r="H319" s="24"/>
      <c r="I319" s="23"/>
      <c r="J319" s="23"/>
      <c r="K319" s="24"/>
      <c r="L319" s="90"/>
      <c r="M319" s="23"/>
    </row>
    <row r="320" spans="1:13" ht="14.45">
      <c r="A320" s="23"/>
      <c r="B320" s="35"/>
      <c r="C320" s="23"/>
      <c r="D320" s="23"/>
      <c r="E320" s="23"/>
      <c r="F320" s="23"/>
      <c r="G320" s="23"/>
      <c r="H320" s="24"/>
      <c r="I320" s="23"/>
      <c r="J320" s="23"/>
      <c r="K320" s="24"/>
      <c r="L320" s="90"/>
      <c r="M320" s="23"/>
    </row>
    <row r="321" spans="1:13" ht="14.45">
      <c r="A321" s="23"/>
      <c r="B321" s="35"/>
      <c r="C321" s="23"/>
      <c r="D321" s="23"/>
      <c r="E321" s="23"/>
      <c r="F321" s="23"/>
      <c r="G321" s="23"/>
      <c r="H321" s="24"/>
      <c r="I321" s="23"/>
      <c r="J321" s="23"/>
      <c r="K321" s="24"/>
      <c r="L321" s="90"/>
      <c r="M321" s="23"/>
    </row>
    <row r="322" spans="1:13" ht="14.45">
      <c r="A322" s="23"/>
      <c r="B322" s="35"/>
      <c r="C322" s="23"/>
      <c r="D322" s="23"/>
      <c r="E322" s="23"/>
      <c r="F322" s="23"/>
      <c r="G322" s="23"/>
      <c r="H322" s="24"/>
      <c r="I322" s="23"/>
      <c r="J322" s="23"/>
      <c r="K322" s="24"/>
      <c r="L322" s="90"/>
      <c r="M322" s="23"/>
    </row>
    <row r="323" spans="1:13" ht="14.45">
      <c r="A323" s="23"/>
      <c r="B323" s="35"/>
      <c r="C323" s="23"/>
      <c r="D323" s="23"/>
      <c r="E323" s="23"/>
      <c r="F323" s="23"/>
      <c r="G323" s="23"/>
      <c r="H323" s="24"/>
      <c r="I323" s="23"/>
      <c r="J323" s="23"/>
      <c r="K323" s="24"/>
      <c r="L323" s="90"/>
      <c r="M323" s="23"/>
    </row>
    <row r="324" spans="1:13" ht="14.45">
      <c r="A324" s="23"/>
      <c r="B324" s="35"/>
      <c r="C324" s="23"/>
      <c r="F324" s="23"/>
      <c r="G324" s="23"/>
      <c r="H324" s="24"/>
      <c r="I324" s="23"/>
      <c r="J324" s="23"/>
      <c r="K324" s="24"/>
      <c r="L324" s="90"/>
      <c r="M324" s="23"/>
    </row>
    <row r="325" spans="1:13" ht="14.45">
      <c r="A325" s="23"/>
      <c r="B325" s="35"/>
      <c r="C325" s="23"/>
      <c r="F325" s="23"/>
      <c r="G325" s="23"/>
      <c r="H325" s="24"/>
      <c r="I325" s="23"/>
      <c r="J325" s="23"/>
      <c r="K325" s="24"/>
      <c r="L325" s="90"/>
      <c r="M325" s="23"/>
    </row>
    <row r="326" spans="1:13" ht="14.45">
      <c r="A326" s="23"/>
      <c r="B326" s="35"/>
      <c r="C326" s="23"/>
      <c r="F326" s="23"/>
      <c r="G326" s="23"/>
      <c r="H326" s="24"/>
      <c r="I326" s="23"/>
      <c r="J326" s="23"/>
      <c r="K326" s="24"/>
      <c r="L326" s="90"/>
      <c r="M326" s="23"/>
    </row>
    <row r="327" spans="1:13" ht="14.45">
      <c r="A327" s="23"/>
      <c r="B327" s="35"/>
      <c r="C327" s="23"/>
      <c r="F327" s="23"/>
      <c r="G327" s="23"/>
      <c r="H327" s="24"/>
      <c r="I327" s="23"/>
      <c r="J327" s="23"/>
      <c r="K327" s="24"/>
      <c r="L327" s="90"/>
      <c r="M327" s="23"/>
    </row>
    <row r="328" spans="1:13" ht="14.45">
      <c r="A328" s="23"/>
      <c r="B328" s="35"/>
      <c r="C328" s="23"/>
      <c r="F328" s="23"/>
      <c r="G328" s="23"/>
      <c r="H328" s="24"/>
      <c r="I328" s="23"/>
      <c r="J328" s="23"/>
      <c r="K328" s="24"/>
      <c r="L328" s="90"/>
      <c r="M328" s="23"/>
    </row>
    <row r="329" spans="1:13" ht="14.45">
      <c r="A329" s="23"/>
      <c r="B329" s="35"/>
      <c r="C329" s="23"/>
      <c r="F329" s="23"/>
      <c r="G329" s="23"/>
      <c r="H329" s="24"/>
      <c r="I329" s="23"/>
      <c r="J329" s="23"/>
      <c r="K329" s="24"/>
      <c r="L329" s="90"/>
      <c r="M329" s="23"/>
    </row>
    <row r="330" spans="1:13" ht="14.45">
      <c r="A330" s="23"/>
      <c r="B330" s="35"/>
      <c r="C330" s="23"/>
      <c r="F330" s="23"/>
      <c r="G330" s="23"/>
      <c r="H330" s="24"/>
      <c r="I330" s="23"/>
      <c r="J330" s="23"/>
      <c r="K330" s="24"/>
      <c r="L330" s="90"/>
      <c r="M330" s="23"/>
    </row>
    <row r="331" spans="1:13" ht="14.45">
      <c r="A331" s="23"/>
      <c r="B331" s="35"/>
      <c r="C331" s="23"/>
      <c r="F331" s="23"/>
      <c r="G331" s="23"/>
      <c r="H331" s="24"/>
      <c r="I331" s="23"/>
      <c r="J331" s="23"/>
      <c r="K331" s="24"/>
      <c r="L331" s="90"/>
      <c r="M331" s="23"/>
    </row>
    <row r="332" spans="1:13" ht="14.45">
      <c r="A332" s="23"/>
      <c r="B332" s="35"/>
      <c r="C332" s="23"/>
      <c r="F332" s="23"/>
      <c r="G332" s="23"/>
      <c r="H332" s="24"/>
      <c r="I332" s="23"/>
      <c r="J332" s="23"/>
      <c r="K332" s="24"/>
      <c r="L332" s="90"/>
      <c r="M332" s="23"/>
    </row>
    <row r="333" spans="1:13" ht="14.45">
      <c r="A333" s="23"/>
      <c r="B333" s="35"/>
      <c r="C333" s="23"/>
      <c r="F333" s="23"/>
      <c r="G333" s="23"/>
      <c r="H333" s="24"/>
      <c r="I333" s="23"/>
      <c r="J333" s="23"/>
      <c r="K333" s="24"/>
      <c r="L333" s="90"/>
      <c r="M333" s="23"/>
    </row>
    <row r="334" spans="1:13" ht="14.45">
      <c r="A334" s="23"/>
      <c r="B334" s="35"/>
      <c r="C334" s="23"/>
      <c r="F334" s="23"/>
      <c r="G334" s="23"/>
      <c r="H334" s="24"/>
      <c r="I334" s="23"/>
      <c r="J334" s="23"/>
      <c r="K334" s="24"/>
      <c r="L334" s="90"/>
      <c r="M334" s="23"/>
    </row>
    <row r="335" spans="1:13" ht="14.45">
      <c r="A335" s="23"/>
      <c r="B335" s="35"/>
      <c r="C335" s="23"/>
      <c r="F335" s="23"/>
      <c r="G335" s="23"/>
      <c r="H335" s="24"/>
      <c r="I335" s="23"/>
      <c r="J335" s="23"/>
      <c r="K335" s="24"/>
      <c r="L335" s="90"/>
      <c r="M335" s="23"/>
    </row>
    <row r="336" spans="1:13" ht="14.45">
      <c r="A336" s="23"/>
      <c r="B336" s="35"/>
      <c r="C336" s="23"/>
      <c r="F336" s="23"/>
      <c r="G336" s="23"/>
      <c r="H336" s="24"/>
      <c r="I336" s="23"/>
      <c r="J336" s="23"/>
      <c r="K336" s="24"/>
      <c r="L336" s="90"/>
      <c r="M336" s="23"/>
    </row>
    <row r="337" spans="1:13" ht="14.45">
      <c r="A337" s="23"/>
      <c r="B337" s="35"/>
      <c r="C337" s="23"/>
      <c r="F337" s="23"/>
      <c r="G337" s="23"/>
      <c r="H337" s="24"/>
      <c r="I337" s="23"/>
      <c r="J337" s="23"/>
      <c r="K337" s="24"/>
      <c r="L337" s="90"/>
      <c r="M337" s="23"/>
    </row>
    <row r="338" spans="1:13" ht="14.45">
      <c r="A338" s="23"/>
      <c r="B338" s="35"/>
      <c r="C338" s="23"/>
      <c r="F338" s="23"/>
      <c r="G338" s="23"/>
      <c r="H338" s="24"/>
      <c r="I338" s="23"/>
      <c r="J338" s="23"/>
      <c r="K338" s="24"/>
      <c r="L338" s="90"/>
      <c r="M338" s="23"/>
    </row>
    <row r="339" spans="1:13" ht="14.45">
      <c r="A339" s="23"/>
      <c r="B339" s="35"/>
      <c r="C339" s="23"/>
      <c r="F339" s="23"/>
      <c r="G339" s="23"/>
      <c r="H339" s="24"/>
      <c r="I339" s="23"/>
      <c r="J339" s="23"/>
      <c r="K339" s="24"/>
      <c r="L339" s="90"/>
      <c r="M339" s="23"/>
    </row>
    <row r="340" spans="1:13" ht="14.45">
      <c r="A340" s="23"/>
      <c r="B340" s="35"/>
      <c r="C340" s="23"/>
      <c r="F340" s="23"/>
      <c r="G340" s="23"/>
      <c r="H340" s="24"/>
      <c r="I340" s="23"/>
      <c r="J340" s="23"/>
      <c r="K340" s="24"/>
      <c r="L340" s="90"/>
      <c r="M340" s="23"/>
    </row>
    <row r="341" spans="1:13" ht="14.45">
      <c r="A341" s="23"/>
      <c r="B341" s="35"/>
      <c r="C341" s="23"/>
      <c r="F341" s="23"/>
      <c r="G341" s="23"/>
      <c r="H341" s="24"/>
      <c r="I341" s="23"/>
      <c r="J341" s="23"/>
      <c r="K341" s="24"/>
      <c r="L341" s="90"/>
      <c r="M341" s="23"/>
    </row>
    <row r="342" spans="1:13">
      <c r="C342" s="23"/>
      <c r="F342" s="23"/>
      <c r="G342" s="23"/>
      <c r="H342" s="24"/>
      <c r="I342" s="23"/>
      <c r="J342" s="23"/>
      <c r="K342" s="24"/>
      <c r="L342" s="90"/>
      <c r="M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4.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29.25" customHeight="1" thickBot="1">
      <c r="A1" s="132" t="str" cm="1">
        <f t="array" ref="A1">portfolio</f>
        <v>CITI</v>
      </c>
      <c r="B1" s="132"/>
      <c r="C1" s="132"/>
      <c r="D1" s="74" t="s">
        <v>0</v>
      </c>
      <c r="E1" s="75" t="s">
        <v>1</v>
      </c>
      <c r="F1" s="133" t="s">
        <v>241</v>
      </c>
      <c r="G1" s="133"/>
      <c r="H1" s="133"/>
      <c r="I1" s="131" t="s">
        <v>242</v>
      </c>
      <c r="J1" s="131"/>
      <c r="K1" s="131"/>
      <c r="L1" s="5"/>
      <c r="M1" s="5"/>
    </row>
    <row r="2" spans="1:13" ht="19.5" customHeight="1">
      <c r="A2" s="134" t="s">
        <v>4</v>
      </c>
      <c r="B2" s="134"/>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58"/>
      <c r="M4" s="5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9"/>
      <c r="M5" s="93"/>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59"/>
      <c r="M7" s="93"/>
    </row>
    <row r="8" spans="1:13" ht="15.6">
      <c r="A8" s="30" t="str">
        <v>CA: Elk Grove Promenade - Citi</v>
      </c>
      <c r="B8" s="31" t="str">
        <v>CA</v>
      </c>
      <c r="C8" s="26"/>
      <c r="D8" s="71"/>
      <c r="E8" s="82" t="e">
        <f t="shared" si="0"/>
        <v>#DIV/0!</v>
      </c>
      <c r="F8" s="14"/>
      <c r="G8" s="14"/>
      <c r="H8" s="15" t="str">
        <f t="shared" si="2"/>
        <v/>
      </c>
      <c r="I8" s="16"/>
      <c r="J8" s="16"/>
      <c r="K8" s="17" t="str">
        <f t="shared" si="1"/>
        <v/>
      </c>
      <c r="L8" s="58"/>
      <c r="M8" s="58"/>
    </row>
    <row r="9" spans="1:13" ht="15.6">
      <c r="A9" s="32" t="str">
        <v>CA: Fresno Sequioa - Citi</v>
      </c>
      <c r="B9" s="33" t="str">
        <v>CA</v>
      </c>
      <c r="C9" s="12"/>
      <c r="D9" s="12"/>
      <c r="E9" s="80" t="e">
        <f t="shared" si="0"/>
        <v>#DIV/0!</v>
      </c>
      <c r="F9" s="20"/>
      <c r="G9" s="20"/>
      <c r="H9" s="21" t="str">
        <f t="shared" si="2"/>
        <v/>
      </c>
      <c r="I9" s="22"/>
      <c r="J9" s="22"/>
      <c r="K9" s="21" t="str">
        <f t="shared" si="1"/>
        <v/>
      </c>
      <c r="L9" s="59"/>
      <c r="M9" s="93"/>
    </row>
    <row r="10" spans="1:13" ht="15.6">
      <c r="A10" s="30" t="str">
        <v>CA: Fresno MOB - Citi</v>
      </c>
      <c r="B10" s="31" t="str">
        <v>CA</v>
      </c>
      <c r="C10" s="26"/>
      <c r="D10" s="71"/>
      <c r="E10" s="82" t="e">
        <f t="shared" si="0"/>
        <v>#DIV/0!</v>
      </c>
      <c r="F10" s="14"/>
      <c r="G10" s="14"/>
      <c r="H10" s="15" t="str">
        <f t="shared" si="2"/>
        <v/>
      </c>
      <c r="I10" s="16"/>
      <c r="J10" s="16"/>
      <c r="K10" s="17" t="str">
        <f t="shared" si="1"/>
        <v/>
      </c>
      <c r="L10" s="58"/>
      <c r="M10" s="58"/>
    </row>
    <row r="11" spans="1:13" ht="81" customHeight="1">
      <c r="A11" s="32" t="str">
        <v>CA: Modesto Bangs - Citi</v>
      </c>
      <c r="B11" s="33" t="str">
        <v>CA</v>
      </c>
      <c r="C11" s="12"/>
      <c r="D11" s="12"/>
      <c r="E11" s="80" t="e">
        <f t="shared" si="0"/>
        <v>#DIV/0!</v>
      </c>
      <c r="F11" s="20"/>
      <c r="G11" s="20"/>
      <c r="H11" s="21" t="str">
        <f t="shared" si="2"/>
        <v/>
      </c>
      <c r="I11" s="22"/>
      <c r="J11" s="22"/>
      <c r="K11" s="21" t="str">
        <f t="shared" si="1"/>
        <v/>
      </c>
      <c r="L11" s="66"/>
      <c r="M11" s="97"/>
    </row>
    <row r="12" spans="1:13" ht="15.6">
      <c r="A12" s="30" t="str">
        <v>CA: Napa Data Center - Citi</v>
      </c>
      <c r="B12" s="31" t="str">
        <v>CA</v>
      </c>
      <c r="C12" s="26"/>
      <c r="D12" s="71"/>
      <c r="E12" s="82" t="e">
        <f t="shared" si="0"/>
        <v>#DIV/0!</v>
      </c>
      <c r="F12" s="14"/>
      <c r="G12" s="14"/>
      <c r="H12" s="15" t="str">
        <f t="shared" si="2"/>
        <v/>
      </c>
      <c r="I12" s="16"/>
      <c r="J12" s="16"/>
      <c r="K12" s="17" t="str">
        <f t="shared" si="1"/>
        <v/>
      </c>
      <c r="L12" s="58"/>
      <c r="M12" s="58"/>
    </row>
    <row r="13" spans="1:13" ht="15.6">
      <c r="A13" s="32" t="str">
        <v>CA: Petaluma MOB - Citi</v>
      </c>
      <c r="B13" s="33" t="str">
        <v>CA</v>
      </c>
      <c r="C13" s="12"/>
      <c r="D13" s="12"/>
      <c r="E13" s="80" t="e">
        <f t="shared" si="0"/>
        <v>#DIV/0!</v>
      </c>
      <c r="F13" s="20"/>
      <c r="G13" s="20"/>
      <c r="H13" s="21" t="str">
        <f t="shared" si="2"/>
        <v/>
      </c>
      <c r="I13" s="22"/>
      <c r="J13" s="22"/>
      <c r="K13" s="21" t="str">
        <f t="shared" si="1"/>
        <v/>
      </c>
      <c r="L13" s="59"/>
      <c r="M13" s="92"/>
    </row>
    <row r="14" spans="1:13" ht="15.6">
      <c r="A14" s="30" t="str">
        <v>CA: Pleasanton Tec Ctr - Citi</v>
      </c>
      <c r="B14" s="31" t="str">
        <v>CA</v>
      </c>
      <c r="C14" s="26"/>
      <c r="D14" s="71"/>
      <c r="E14" s="82" t="e">
        <f t="shared" si="0"/>
        <v>#DIV/0!</v>
      </c>
      <c r="F14" s="14"/>
      <c r="G14" s="14"/>
      <c r="H14" s="15" t="str">
        <f t="shared" si="2"/>
        <v/>
      </c>
      <c r="I14" s="16"/>
      <c r="J14" s="16"/>
      <c r="K14" s="17" t="str">
        <f t="shared" si="1"/>
        <v/>
      </c>
      <c r="L14" s="58"/>
      <c r="M14" s="58"/>
    </row>
    <row r="15" spans="1:13" ht="15.6">
      <c r="A15" s="32" t="str">
        <v>CA: Rancho Cordova - Citi</v>
      </c>
      <c r="B15" s="33" t="str">
        <v>CA</v>
      </c>
      <c r="C15" s="12"/>
      <c r="D15" s="12"/>
      <c r="E15" s="80" t="e">
        <f t="shared" si="0"/>
        <v>#DIV/0!</v>
      </c>
      <c r="F15" s="20"/>
      <c r="G15" s="20"/>
      <c r="H15" s="21" t="str">
        <f t="shared" si="2"/>
        <v/>
      </c>
      <c r="I15" s="22"/>
      <c r="J15" s="22"/>
      <c r="K15" s="21" t="str">
        <f t="shared" si="1"/>
        <v/>
      </c>
      <c r="L15" s="59"/>
      <c r="M15" s="92"/>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67"/>
      <c r="M16" s="67"/>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59"/>
      <c r="M17" s="93"/>
    </row>
    <row r="18" spans="1:13" ht="20.25" customHeight="1">
      <c r="A18" s="30" t="str">
        <v>CA: San Jose FHC - Citi</v>
      </c>
      <c r="B18" s="31" t="str">
        <v>CA</v>
      </c>
      <c r="C18" s="37"/>
      <c r="D18" s="72"/>
      <c r="E18" s="82" t="e">
        <f t="shared" si="0"/>
        <v>#DIV/0!</v>
      </c>
      <c r="F18" s="14"/>
      <c r="G18" s="14"/>
      <c r="H18" s="38" t="str">
        <f t="shared" si="3"/>
        <v/>
      </c>
      <c r="I18" s="39"/>
      <c r="J18" s="39"/>
      <c r="K18" s="40" t="str">
        <f t="shared" si="4"/>
        <v/>
      </c>
      <c r="L18" s="67"/>
      <c r="M18" s="67"/>
    </row>
    <row r="19" spans="1:13" ht="15.6">
      <c r="A19" s="32" t="str">
        <v>CA: San Jose MOB - Citi</v>
      </c>
      <c r="B19" s="33" t="str">
        <v>CA</v>
      </c>
      <c r="C19" s="42"/>
      <c r="D19" s="42"/>
      <c r="E19" s="80" t="e">
        <f t="shared" si="0"/>
        <v>#DIV/0!</v>
      </c>
      <c r="F19" s="20"/>
      <c r="G19" s="20"/>
      <c r="H19" s="43" t="str">
        <f t="shared" si="3"/>
        <v/>
      </c>
      <c r="I19" s="44"/>
      <c r="J19" s="44"/>
      <c r="K19" s="43" t="str">
        <f t="shared" si="4"/>
        <v/>
      </c>
      <c r="L19" s="66"/>
      <c r="M19" s="97"/>
    </row>
    <row r="20" spans="1:13" ht="15.6">
      <c r="A20" s="30" t="str">
        <v>CA: Selma - Citi</v>
      </c>
      <c r="B20" s="31" t="str">
        <v>CA</v>
      </c>
      <c r="C20" s="37"/>
      <c r="D20" s="72"/>
      <c r="E20" s="82" t="e">
        <f t="shared" si="0"/>
        <v>#DIV/0!</v>
      </c>
      <c r="F20" s="14"/>
      <c r="G20" s="14"/>
      <c r="H20" s="38" t="str">
        <f t="shared" si="3"/>
        <v/>
      </c>
      <c r="I20" s="39"/>
      <c r="J20" s="39"/>
      <c r="K20" s="40" t="str">
        <f t="shared" si="4"/>
        <v/>
      </c>
      <c r="L20" s="67"/>
      <c r="M20" s="67"/>
    </row>
    <row r="21" spans="1:13" ht="15.6">
      <c r="A21" s="32" t="str">
        <v>CA: Vacaville Hospital</v>
      </c>
      <c r="B21" s="33" t="str">
        <v>CA</v>
      </c>
      <c r="C21" s="42"/>
      <c r="D21" s="42"/>
      <c r="E21" s="80" t="e">
        <f t="shared" si="0"/>
        <v>#DIV/0!</v>
      </c>
      <c r="F21" s="20"/>
      <c r="G21" s="20"/>
      <c r="H21" s="43" t="str">
        <f t="shared" si="3"/>
        <v/>
      </c>
      <c r="I21" s="44"/>
      <c r="J21" s="44"/>
      <c r="K21" s="43" t="str">
        <f t="shared" si="4"/>
        <v/>
      </c>
      <c r="L21" s="66"/>
      <c r="M21" s="97"/>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67"/>
      <c r="M22" s="67"/>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4" activePane="bottomLeft" state="frozen"/>
      <selection pane="bottomLeft" activeCell="I4" sqref="I4"/>
      <selection activeCell="M45" sqref="M45"/>
    </sheetView>
  </sheetViews>
  <sheetFormatPr defaultRowHeight="14.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32" t="str" cm="1">
        <f t="array" ref="A1">portfolio</f>
        <v>CITI</v>
      </c>
      <c r="B1" s="132"/>
      <c r="C1" s="132"/>
      <c r="D1" s="74" t="s">
        <v>0</v>
      </c>
      <c r="E1" s="75" t="s">
        <v>1</v>
      </c>
      <c r="F1" s="133" t="s">
        <v>243</v>
      </c>
      <c r="G1" s="133"/>
      <c r="H1" s="133"/>
      <c r="I1" s="131" t="s">
        <v>244</v>
      </c>
      <c r="J1" s="131"/>
      <c r="K1" s="131"/>
      <c r="L1" s="5"/>
      <c r="M1" s="5"/>
    </row>
    <row r="2" spans="1:13" ht="19.5" customHeight="1">
      <c r="A2" s="134" t="s">
        <v>4</v>
      </c>
      <c r="B2" s="134"/>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9"/>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61"/>
      <c r="M11" s="121"/>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85"/>
      <c r="M13" s="96"/>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98"/>
      <c r="M19" s="122"/>
    </row>
    <row r="20" spans="1:13" ht="15.6">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0" t="e">
        <f t="shared" si="0"/>
        <v>#DIV/0!</v>
      </c>
      <c r="F21" s="20"/>
      <c r="G21" s="20"/>
      <c r="H21" s="43" t="str">
        <f t="shared" si="3"/>
        <v/>
      </c>
      <c r="I21" s="44"/>
      <c r="J21" s="44"/>
      <c r="K21" s="43" t="str">
        <f t="shared" si="4"/>
        <v/>
      </c>
      <c r="L21" s="85"/>
      <c r="M21" s="95"/>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D18" sqref="D18"/>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245</v>
      </c>
      <c r="B1" t="s">
        <v>246</v>
      </c>
    </row>
    <row r="3" spans="1:6" ht="12.6">
      <c r="A3" t="s">
        <v>247</v>
      </c>
      <c r="B3" t="s">
        <v>5</v>
      </c>
      <c r="C3" t="s">
        <v>6</v>
      </c>
      <c r="D3" t="s">
        <v>248</v>
      </c>
      <c r="E3" s="2" t="s">
        <v>249</v>
      </c>
    </row>
    <row r="4" spans="1:6" ht="14.45">
      <c r="A4" t="s">
        <v>250</v>
      </c>
      <c r="B4" t="s">
        <v>251</v>
      </c>
      <c r="C4" s="4" t="s">
        <v>252</v>
      </c>
      <c r="F4" s="3"/>
    </row>
    <row r="5" spans="1:6" ht="14.45">
      <c r="A5" t="s">
        <v>253</v>
      </c>
      <c r="B5" t="s">
        <v>254</v>
      </c>
      <c r="C5" s="4" t="s">
        <v>252</v>
      </c>
      <c r="F5" s="3"/>
    </row>
    <row r="6" spans="1:6" ht="14.45">
      <c r="A6" t="s">
        <v>255</v>
      </c>
      <c r="B6" t="s">
        <v>256</v>
      </c>
      <c r="C6" s="4" t="s">
        <v>252</v>
      </c>
      <c r="F6" s="3"/>
    </row>
    <row r="7" spans="1:6" ht="12.75" customHeight="1">
      <c r="A7" t="s">
        <v>257</v>
      </c>
      <c r="B7" t="s">
        <v>258</v>
      </c>
      <c r="C7" s="4" t="s">
        <v>252</v>
      </c>
    </row>
    <row r="8" spans="1:6" ht="12.75" customHeight="1">
      <c r="A8" t="s">
        <v>259</v>
      </c>
      <c r="B8" t="s">
        <v>260</v>
      </c>
      <c r="C8" s="4" t="s">
        <v>252</v>
      </c>
    </row>
    <row r="9" spans="1:6" ht="12.75" customHeight="1">
      <c r="A9" t="s">
        <v>261</v>
      </c>
      <c r="B9" t="s">
        <v>262</v>
      </c>
      <c r="C9" s="4" t="s">
        <v>252</v>
      </c>
    </row>
    <row r="10" spans="1:6" ht="12.75" customHeight="1">
      <c r="A10" t="s">
        <v>263</v>
      </c>
      <c r="B10" t="s">
        <v>264</v>
      </c>
      <c r="C10" s="4" t="s">
        <v>252</v>
      </c>
    </row>
    <row r="11" spans="1:6" ht="12.75" customHeight="1">
      <c r="A11" t="s">
        <v>265</v>
      </c>
      <c r="B11" t="s">
        <v>266</v>
      </c>
      <c r="C11" s="4" t="s">
        <v>252</v>
      </c>
    </row>
    <row r="12" spans="1:6" ht="12.75" customHeight="1">
      <c r="A12" t="s">
        <v>267</v>
      </c>
      <c r="B12" t="s">
        <v>268</v>
      </c>
      <c r="C12" s="4" t="s">
        <v>252</v>
      </c>
    </row>
    <row r="13" spans="1:6" ht="12.75" customHeight="1">
      <c r="A13" t="s">
        <v>269</v>
      </c>
      <c r="B13" t="s">
        <v>270</v>
      </c>
      <c r="C13" s="4" t="s">
        <v>252</v>
      </c>
    </row>
    <row r="14" spans="1:6" ht="12.75" customHeight="1">
      <c r="A14" t="s">
        <v>271</v>
      </c>
      <c r="B14" t="s">
        <v>272</v>
      </c>
      <c r="C14" s="4" t="s">
        <v>252</v>
      </c>
    </row>
    <row r="15" spans="1:6" ht="12.75" customHeight="1">
      <c r="A15" t="s">
        <v>273</v>
      </c>
      <c r="B15" t="s">
        <v>274</v>
      </c>
      <c r="C15" s="4" t="s">
        <v>252</v>
      </c>
    </row>
    <row r="16" spans="1:6" ht="12.75" customHeight="1">
      <c r="A16" t="s">
        <v>275</v>
      </c>
      <c r="B16" t="s">
        <v>276</v>
      </c>
      <c r="C16" s="4" t="s">
        <v>252</v>
      </c>
    </row>
    <row r="17" spans="1:3" ht="12.75" customHeight="1">
      <c r="A17" t="s">
        <v>277</v>
      </c>
      <c r="B17" t="s">
        <v>278</v>
      </c>
      <c r="C17" s="4" t="s">
        <v>252</v>
      </c>
    </row>
    <row r="18" spans="1:3" ht="12.75" customHeight="1">
      <c r="A18" t="s">
        <v>279</v>
      </c>
      <c r="B18" t="s">
        <v>280</v>
      </c>
      <c r="C18" s="4" t="s">
        <v>252</v>
      </c>
    </row>
    <row r="19" spans="1:3" ht="12.75" customHeight="1">
      <c r="A19" t="s">
        <v>281</v>
      </c>
      <c r="B19" t="s">
        <v>282</v>
      </c>
      <c r="C19" s="4" t="s">
        <v>252</v>
      </c>
    </row>
    <row r="20" spans="1:3" ht="12.75" customHeight="1">
      <c r="A20" t="s">
        <v>283</v>
      </c>
      <c r="B20" t="s">
        <v>284</v>
      </c>
      <c r="C20" s="4" t="s">
        <v>252</v>
      </c>
    </row>
    <row r="21" spans="1:3" ht="12.75" customHeight="1">
      <c r="A21" t="s">
        <v>285</v>
      </c>
      <c r="B21" t="s">
        <v>286</v>
      </c>
      <c r="C21" s="4" t="s">
        <v>252</v>
      </c>
    </row>
    <row r="22" spans="1:3" ht="12.75" customHeight="1">
      <c r="A22" s="56" t="s">
        <v>287</v>
      </c>
      <c r="B22" t="s">
        <v>288</v>
      </c>
      <c r="C22" s="4" t="s">
        <v>252</v>
      </c>
    </row>
    <row r="23" spans="1:3" ht="12.75" customHeight="1">
      <c r="A23" t="s">
        <v>289</v>
      </c>
      <c r="B23" t="s">
        <v>290</v>
      </c>
      <c r="C23" s="4" t="s">
        <v>252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12EFA50-0068-4A8C-85A0-F1B26389EBC3}"/>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20FD91A9-681E-4AE2-B1BD-A8021A6CC098}"/>
</file>

<file path=customXml/itemProps9.xml><?xml version="1.0" encoding="utf-8"?>
<ds:datastoreItem xmlns:ds="http://schemas.openxmlformats.org/officeDocument/2006/customXml" ds:itemID="{89CF5C07-45EB-4100-9AFB-2C6AF77FA787}"/>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98A113BB-8B7A-453C-8BD4-8EFC67FC2D3F}"/>
</file>

<file path=customXml/itemProps13.xml><?xml version="1.0" encoding="utf-8"?>
<ds:datastoreItem xmlns:ds="http://schemas.openxmlformats.org/officeDocument/2006/customXml" ds:itemID="{3AEAA9D8-2182-46BA-A58E-96C72DDA1C54}"/>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F6B2B1A1-1C4B-4AC9-9A7D-7A102DD1C942}"/>
</file>

<file path=customXml/itemProps18.xml><?xml version="1.0" encoding="utf-8"?>
<ds:datastoreItem xmlns:ds="http://schemas.openxmlformats.org/officeDocument/2006/customXml" ds:itemID="{BF5C6359-7763-4C37-8EAF-2BC4698CB285}"/>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66B09F59-6532-46F8-924A-9A02417E07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2026-02-12T14:17:07Z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