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B4B8E2D0-206F-4542-806A-8547C33C25D5}" xr6:coauthVersionLast="47" xr6:coauthVersionMax="47" xr10:uidLastSave="{00000000-0000-0000-0000-000000000000}"/>
  <bookViews>
    <workbookView xWindow="-108" yWindow="-108" windowWidth="23256" windowHeight="1245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1" l="1"/>
  <c r="I4" i="21" s="1"/>
  <c r="H4" i="4"/>
  <c r="C4" i="1"/>
  <c r="C2" i="1" s="1"/>
  <c r="G4" i="30"/>
  <c r="G4" i="18"/>
  <c r="G2" i="18" s="1"/>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E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H4" i="29"/>
  <c r="E2" i="27"/>
  <c r="F2" i="27" s="1"/>
  <c r="E2" i="19" l="1"/>
  <c r="F2" i="19" s="1"/>
  <c r="H2" i="20"/>
  <c r="I2" i="20" s="1"/>
  <c r="E2" i="21"/>
  <c r="F2" i="21" s="1"/>
  <c r="E4" i="18"/>
  <c r="F4" i="18" s="1"/>
  <c r="H2" i="21"/>
  <c r="I2" i="21" s="1"/>
  <c r="H2" i="3"/>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<sst xmlns="http://schemas.openxmlformats.org/spreadsheetml/2006/main" count="270" uniqueCount="80">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</sst>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15" sqref="E15"/>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0</v>
      </c>
      <c r="E1" s="61"/>
      <c r="F1" s="61"/>
      <c r="G1" s="59" t="s">
        <v>1</v>
      </c>
      <c r="H1" s="59"/>
      <c r="I1" s="59"/>
    </row>
    <row r="2" spans="1:9" ht="19.5" customHeight="1">
      <c r="A2" s="62" t="s">
        <v>2</v>
      </c>
      <c r="B2" s="62"/>
      <c r="C2" s="5">
        <f>SUM(C4:C79)</f>
        <v>4081766.9995999997</v>
      </c>
      <c r="D2" s="5">
        <f>SUM(D4:D79)</f>
        <v>4650981.727</v>
      </c>
      <c r="E2" s="5">
        <f>C2-D2</f>
        <v>-569214.72740000021</v>
      </c>
      <c r="F2" s="6">
        <f>IFERROR(E2/D2, 0)</f>
        <v>-0.12238593071556916</v>
      </c>
      <c r="G2" s="5">
        <f>SUM(G4:G79)</f>
        <v>4430848.41</v>
      </c>
      <c r="H2" s="7">
        <f>C2-G2</f>
        <v>-349081.4104000004</v>
      </c>
      <c r="I2" s="6">
        <f>IFERROR(H2/G2, 0)</f>
        <v>-7.8784327085566083E-2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4081766.9995999997</v>
      </c>
      <c r="D4" s="12">
        <f>SUM('1st Qtr'!D4, '2nd Qtr'!D4, '3rd Qtr'!D4, '4th Qtr'!D4)</f>
        <v>4650981.727</v>
      </c>
      <c r="E4" s="12">
        <f>IF(AND(ISNUMBER(C4),ISNUMBER(D4)), C4-D4, "")</f>
        <v>-569214.72740000021</v>
      </c>
      <c r="F4" s="13">
        <f>IFERROR(E4/D4, "")</f>
        <v>-0.12238593071556916</v>
      </c>
      <c r="G4" s="14">
        <f>SUM('1st Qtr'!G4, '2nd Qtr'!G4, '3rd Qtr'!G4, '4th Qtr'!G4)</f>
        <v>4430848.41</v>
      </c>
      <c r="H4" s="14">
        <f>SUM('1st Qtr'!H4, '2nd Qtr'!H4, '3rd Qtr'!H4, '4th Qtr'!H4)</f>
        <v>-349081.41039999999</v>
      </c>
      <c r="I4" s="15">
        <f>IFERROR(H4/G4, "")</f>
        <v>-7.8784327085565986E-2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10</v>
      </c>
      <c r="E1" s="61"/>
      <c r="F1" s="61"/>
      <c r="G1" s="59" t="s">
        <v>11</v>
      </c>
      <c r="H1" s="59"/>
      <c r="I1" s="59"/>
    </row>
    <row r="2" spans="1:9" ht="19.5" customHeight="1">
      <c r="A2" s="62" t="s">
        <v>2</v>
      </c>
      <c r="B2" s="62"/>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12</v>
      </c>
      <c r="E1" s="61"/>
      <c r="F1" s="61"/>
      <c r="G1" s="59" t="s">
        <v>13</v>
      </c>
      <c r="H1" s="59"/>
      <c r="I1" s="59"/>
    </row>
    <row r="2" spans="1:9" ht="19.5" customHeight="1">
      <c r="A2" s="62" t="s">
        <v>2</v>
      </c>
      <c r="B2" s="62"/>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14</v>
      </c>
      <c r="E1" s="61"/>
      <c r="F1" s="61"/>
      <c r="G1" s="59" t="s">
        <v>15</v>
      </c>
      <c r="H1" s="59"/>
      <c r="I1" s="59"/>
    </row>
    <row r="2" spans="1:9" ht="19.5" customHeight="1">
      <c r="A2" s="62" t="s">
        <v>2</v>
      </c>
      <c r="B2" s="62"/>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0</v>
      </c>
      <c r="D4" s="12">
        <f>SUM(Jul!D4, Aug!D4, Sep!D4)</f>
        <v>0</v>
      </c>
      <c r="E4" s="12">
        <f>IF(AND(ISNUMBER(C4),ISNUMBER(D4)), C4-D4, "")</f>
        <v>0</v>
      </c>
      <c r="F4" s="13" t="str">
        <f>IFERROR(E4/D4, "")</f>
        <v/>
      </c>
      <c r="G4" s="14">
        <f>SUM(Jul!G4,Aug!H4,Sep!G4)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16</v>
      </c>
      <c r="E1" s="61"/>
      <c r="F1" s="61"/>
      <c r="G1" s="59" t="s">
        <v>17</v>
      </c>
      <c r="H1" s="59"/>
      <c r="I1" s="59"/>
    </row>
    <row r="2" spans="1:9" ht="19.5" customHeight="1">
      <c r="A2" s="62" t="s">
        <v>2</v>
      </c>
      <c r="B2" s="62"/>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18</v>
      </c>
      <c r="E1" s="61"/>
      <c r="F1" s="61"/>
      <c r="G1" s="59" t="s">
        <v>19</v>
      </c>
      <c r="H1" s="59"/>
      <c r="I1" s="59"/>
      <c r="J1" s="4"/>
      <c r="K1" s="4"/>
    </row>
    <row r="2" spans="1:11" ht="19.5" customHeight="1">
      <c r="A2" s="62" t="s">
        <v>2</v>
      </c>
      <c r="B2" s="62"/>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0" t="str" cm="1">
        <f t="array" ref="A1">portfolio</f>
        <v>Freepoint</v>
      </c>
      <c r="B1" s="60"/>
      <c r="C1" s="60"/>
      <c r="D1" s="61" t="s">
        <v>24</v>
      </c>
      <c r="E1" s="61"/>
      <c r="F1" s="61"/>
      <c r="G1" s="59" t="s">
        <v>25</v>
      </c>
      <c r="H1" s="59"/>
      <c r="I1" s="59"/>
      <c r="J1" s="4"/>
      <c r="K1" s="4"/>
    </row>
    <row r="2" spans="1:16" ht="19.5" customHeight="1">
      <c r="A2" s="62" t="s">
        <v>2</v>
      </c>
      <c r="B2" s="62"/>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3" t="s">
        <v>27</v>
      </c>
      <c r="L4" s="54" t="s">
        <v>28</v>
      </c>
      <c r="M4" s="54" t="s">
        <v>29</v>
      </c>
      <c r="N4" s="54" t="s">
        <v>29</v>
      </c>
      <c r="O4" s="54" t="s">
        <v>30</v>
      </c>
      <c r="P4" s="54"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0" t="str" cm="1">
        <f t="array" ref="A1">portfolio</f>
        <v>Freepoint</v>
      </c>
      <c r="B1" s="60"/>
      <c r="C1" s="60"/>
      <c r="D1" s="61" t="s">
        <v>32</v>
      </c>
      <c r="E1" s="61"/>
      <c r="F1" s="61"/>
      <c r="G1" s="59" t="s">
        <v>33</v>
      </c>
      <c r="H1" s="59"/>
      <c r="I1" s="59"/>
      <c r="J1" s="4"/>
      <c r="K1" s="4"/>
    </row>
    <row r="2" spans="1:15" ht="19.5" customHeight="1">
      <c r="A2" s="62" t="s">
        <v>2</v>
      </c>
      <c r="B2" s="62"/>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6"/>
      <c r="M3" s="56"/>
      <c r="N3" s="56"/>
      <c r="O3" s="56"/>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5" t="s">
        <v>35</v>
      </c>
      <c r="L4" s="54" t="s">
        <v>36</v>
      </c>
      <c r="M4" s="54" t="s">
        <v>37</v>
      </c>
      <c r="N4" s="54" t="s">
        <v>38</v>
      </c>
      <c r="O4" s="56"/>
    </row>
    <row r="5" spans="1:15" ht="14.45">
      <c r="A5" s="20"/>
      <c r="B5" s="29"/>
      <c r="C5" s="20"/>
      <c r="D5" s="20"/>
      <c r="E5" s="20"/>
      <c r="F5" s="20"/>
      <c r="G5" s="20"/>
      <c r="H5" s="20"/>
      <c r="I5" s="20"/>
      <c r="J5" s="20"/>
      <c r="K5" s="20"/>
      <c r="L5" s="56"/>
      <c r="M5" s="56"/>
      <c r="N5" s="56"/>
      <c r="O5" s="56"/>
    </row>
    <row r="6" spans="1:15" ht="14.45">
      <c r="A6" s="20"/>
      <c r="B6" s="29"/>
      <c r="C6" s="20"/>
      <c r="D6" s="20"/>
      <c r="E6" s="20"/>
      <c r="F6" s="20"/>
      <c r="G6" s="20"/>
      <c r="H6" s="20"/>
      <c r="I6" s="20"/>
      <c r="J6" s="20"/>
      <c r="K6" s="20"/>
      <c r="L6" s="56"/>
      <c r="M6" s="56"/>
      <c r="N6" s="56"/>
      <c r="O6" s="56"/>
    </row>
    <row r="7" spans="1:15" ht="14.45">
      <c r="A7" s="20"/>
      <c r="B7" s="29"/>
      <c r="C7" s="20"/>
      <c r="D7" s="20"/>
      <c r="E7" s="20"/>
      <c r="F7" s="20"/>
      <c r="G7" s="20"/>
      <c r="H7" s="20"/>
      <c r="I7" s="20"/>
      <c r="J7" s="20"/>
      <c r="K7" s="20"/>
      <c r="L7" s="56"/>
      <c r="M7" s="56"/>
      <c r="N7" s="56"/>
      <c r="O7" s="56"/>
    </row>
    <row r="8" spans="1:15" ht="14.45">
      <c r="A8" s="20"/>
      <c r="B8" s="29"/>
      <c r="C8" s="20"/>
      <c r="D8" s="20"/>
      <c r="E8" s="20"/>
      <c r="F8" s="20"/>
      <c r="G8" s="20"/>
      <c r="H8" s="20"/>
      <c r="I8" s="20"/>
      <c r="J8" s="20"/>
      <c r="K8" s="20"/>
      <c r="L8" s="56"/>
      <c r="M8" s="56"/>
      <c r="N8" s="56"/>
      <c r="O8" s="56"/>
    </row>
    <row r="9" spans="1:15" ht="14.45">
      <c r="A9" s="20"/>
      <c r="B9" s="29"/>
      <c r="C9" s="20"/>
      <c r="D9" s="20"/>
      <c r="E9" s="20"/>
      <c r="F9" s="20"/>
      <c r="G9" s="20"/>
      <c r="H9" s="20"/>
      <c r="I9" s="20"/>
      <c r="J9" s="20"/>
      <c r="K9" s="20"/>
      <c r="L9" s="56"/>
      <c r="M9" s="56"/>
      <c r="N9" s="56"/>
      <c r="O9" s="56"/>
    </row>
    <row r="10" spans="1:15" ht="14.45">
      <c r="A10" s="20"/>
      <c r="B10" s="29"/>
      <c r="C10" s="20"/>
      <c r="D10" s="20"/>
      <c r="E10" s="20"/>
      <c r="F10" s="20"/>
      <c r="G10" s="20"/>
      <c r="H10" s="20"/>
      <c r="I10" s="20"/>
      <c r="J10" s="20"/>
      <c r="K10" s="20"/>
      <c r="L10" s="56"/>
      <c r="M10" s="56"/>
      <c r="N10" s="56"/>
      <c r="O10" s="56"/>
    </row>
    <row r="11" spans="1:15" ht="14.45">
      <c r="A11" s="20"/>
      <c r="B11" s="29"/>
      <c r="C11" s="20"/>
      <c r="D11" s="20"/>
      <c r="E11" s="20"/>
      <c r="F11" s="20"/>
      <c r="G11" s="20"/>
      <c r="H11" s="20"/>
      <c r="I11" s="20"/>
      <c r="J11" s="20"/>
      <c r="K11" s="20"/>
      <c r="L11" s="56"/>
      <c r="M11" s="56"/>
      <c r="N11" s="56"/>
      <c r="O11" s="56"/>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0" t="str" cm="1">
        <f t="array" ref="A1">portfolio</f>
        <v>Freepoint</v>
      </c>
      <c r="B1" s="60"/>
      <c r="C1" s="60"/>
      <c r="D1" s="61" t="s">
        <v>39</v>
      </c>
      <c r="E1" s="61"/>
      <c r="F1" s="61"/>
      <c r="G1" s="59" t="s">
        <v>40</v>
      </c>
      <c r="H1" s="59"/>
      <c r="I1" s="59"/>
      <c r="J1" s="4"/>
      <c r="K1" s="4"/>
    </row>
    <row r="2" spans="1:14" ht="19.5" customHeight="1">
      <c r="A2" s="62" t="s">
        <v>2</v>
      </c>
      <c r="B2" s="62"/>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7" t="s">
        <v>42</v>
      </c>
      <c r="L4" s="58" t="s">
        <v>43</v>
      </c>
      <c r="M4" s="58" t="s">
        <v>44</v>
      </c>
      <c r="N4" s="58"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tabSelected="1"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0" t="str" cm="1">
        <f t="array" ref="A1">portfolio</f>
        <v>Freepoint</v>
      </c>
      <c r="B1" s="60"/>
      <c r="C1" s="60"/>
      <c r="D1" s="61" t="s">
        <v>45</v>
      </c>
      <c r="E1" s="61"/>
      <c r="F1" s="61"/>
      <c r="G1" s="59" t="s">
        <v>46</v>
      </c>
      <c r="H1" s="59"/>
      <c r="I1" s="59"/>
      <c r="J1" s="4"/>
      <c r="K1" s="4"/>
    </row>
    <row r="2" spans="1:13" ht="19.5" customHeight="1">
      <c r="A2" s="62" t="s">
        <v>2</v>
      </c>
      <c r="B2" s="62"/>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3" t="s">
        <v>48</v>
      </c>
      <c r="L4" s="58" t="s">
        <v>38</v>
      </c>
      <c r="M4" s="58"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workbookViewId="0">
      <pane xSplit="2" ySplit="3" topLeftCell="I4" activePane="bottomRight" state="frozen"/>
      <selection pane="bottomRight" activeCell="L1" sqref="L1:P1048576"/>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6"/>
  </cols>
  <sheetData>
    <row r="1" spans="1:16" ht="19.5" customHeight="1">
      <c r="A1" s="60" t="str" cm="1">
        <f t="array" ref="A1">portfolio</f>
        <v>Freepoint</v>
      </c>
      <c r="B1" s="60"/>
      <c r="C1" s="60"/>
      <c r="D1" s="61" t="s">
        <v>50</v>
      </c>
      <c r="E1" s="61"/>
      <c r="F1" s="61"/>
      <c r="G1" s="59" t="s">
        <v>51</v>
      </c>
      <c r="H1" s="59"/>
      <c r="I1" s="59"/>
      <c r="J1" s="4"/>
      <c r="K1" s="4"/>
    </row>
    <row r="2" spans="1:16" ht="19.5" customHeight="1">
      <c r="A2" s="62" t="s">
        <v>2</v>
      </c>
      <c r="B2" s="62"/>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3" t="s">
        <v>53</v>
      </c>
      <c r="L4" s="54" t="s">
        <v>54</v>
      </c>
      <c r="M4" s="54" t="s">
        <v>55</v>
      </c>
      <c r="N4" s="54" t="s">
        <v>56</v>
      </c>
      <c r="O4" s="54" t="s">
        <v>57</v>
      </c>
      <c r="P4" s="54"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1"/>
  <sheetViews>
    <sheetView zoomScale="80" zoomScaleNormal="80" workbookViewId="0">
      <pane xSplit="2" ySplit="3" topLeftCell="D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58</v>
      </c>
      <c r="E1" s="61"/>
      <c r="F1" s="61"/>
      <c r="G1" s="59" t="s">
        <v>59</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1"/>
  <sheetViews>
    <sheetView zoomScale="90" zoomScaleNormal="90" workbookViewId="0">
      <pane xSplit="2" ySplit="3" topLeftCell="E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60</v>
      </c>
      <c r="E1" s="61"/>
      <c r="F1" s="61"/>
      <c r="G1" s="59" t="s">
        <v>61</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62</v>
      </c>
      <c r="E1" s="61"/>
      <c r="F1" s="61"/>
      <c r="G1" s="59" t="s">
        <v>63</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64</v>
      </c>
      <c r="E1" s="61"/>
      <c r="F1" s="61"/>
      <c r="G1" s="59" t="s">
        <v>65</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2"/>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66</v>
      </c>
      <c r="E1" s="61"/>
      <c r="F1" s="61"/>
      <c r="G1" s="59" t="s">
        <v>67</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68</v>
      </c>
      <c r="E1" s="61"/>
      <c r="F1" s="61"/>
      <c r="G1" s="59" t="s">
        <v>69</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70</v>
      </c>
      <c r="B1" t="s">
        <v>71</v>
      </c>
    </row>
    <row r="3" spans="1:12" ht="13.15">
      <c r="A3" t="s">
        <v>72</v>
      </c>
      <c r="B3" t="s">
        <v>3</v>
      </c>
      <c r="C3" t="s">
        <v>4</v>
      </c>
      <c r="D3" t="s">
        <v>73</v>
      </c>
      <c r="E3" s="2" t="s">
        <v>74</v>
      </c>
    </row>
    <row r="4" spans="1:12" ht="14.45">
      <c r="A4" s="44" t="s">
        <v>75</v>
      </c>
      <c r="B4" t="s">
        <v>76</v>
      </c>
      <c r="C4" s="42" t="s">
        <v>77</v>
      </c>
      <c r="D4" s="41" t="s">
        <v>78</v>
      </c>
      <c r="E4" t="s">
        <v>79</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8BA0CC8B-6A71-4B6F-8F56-82CC4846BB20}"/>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2025-07-17T19:29:59Z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