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69727F05-5223-45FF-9A97-66B33DD44DC7}" xr6:coauthVersionLast="47" xr6:coauthVersionMax="47" xr10:uidLastSave="{00000000-0000-0000-0000-000000000000}"/>
  <bookViews>
    <workbookView xWindow="-108" yWindow="-108" windowWidth="23256" windowHeight="12456" tabRatio="866" firstSheet="7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E4" i="18"/>
  <c r="F4" i="18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<sst xmlns="http://schemas.openxmlformats.org/spreadsheetml/2006/main" count="273" uniqueCount="74">
  <si>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</si>
  <si>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</si>
  <si>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</si>
  <si>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</si>
  <si>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</si>
  <si>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</si>
  <si>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</si>
  <si>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</si>
  <si>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</si>
  <si>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</si>
  <si>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</si>
  <si>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</si>
  <si>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</si>
  <si>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</si>
  <si>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</si>
  <si>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</si>
  <si>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</si>
  <si>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</si>
  <si>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</si>
  <si>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</si>
  <si>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</si>
  <si>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</si>
  <si>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</si>
  <si>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8 was being RMA'D since 12/17/24.</t>
  </si>
  <si>
    <t>1.SR093239</t>
  </si>
  <si>
    <t>February Actual v. Expected</t>
  </si>
  <si>
    <t>February Actual v. Forecasted</t>
  </si>
  <si>
    <t>1. The site experienced a brief outage from 9:00 AM to 11:30 AM on 02/14. However, inverters 2, 6, 7, and 13 remained offline after the site came back online. Inverters 6 and 13 self-resolved on 02/15. On 02/18, a technician found that inverter 2 was still offline and is being RMA’d, while inverter 7 was also offline, with its DC relay board being RMA’d.
2. Inverter 8 was being RMA'D since 12/17/24.</t>
  </si>
  <si>
    <t>1.SR097109
2.SR093239</t>
  </si>
  <si>
    <t>SR093239</t>
  </si>
  <si>
    <t>March Actual v. Expected</t>
  </si>
  <si>
    <t>March Actual v. Forecasted</t>
  </si>
  <si>
    <t>1. Inverter 2 tripped offline at 16:30 on 02/13 and is being RMA’d. After troubleshooting by the technician, the inverter was brought back online at 17:30 on 03/05.Additionally, Inverter 7 tripped offline at 16:15 on 02/13, with its DC relay board being RMA’d.
2.  Inverter 1 is derating due to multiple tripping events for whole month.
3. Inverter 8 was being RMA'D since 12/17/24.</t>
  </si>
  <si>
    <t>1. SR097109,	
SR098499
2. SR089210
3. SR093239</t>
  </si>
  <si>
    <t>SR098499</t>
  </si>
  <si>
    <t>SR089210</t>
  </si>
  <si>
    <t>April Actual v. Expected</t>
  </si>
  <si>
    <t>April Actual v. Forecasted</t>
  </si>
  <si>
    <t xml:space="preserve">1. Inverter 8 was being RMA'D since 12/17/24.
2. Inverter 7 tripped offline at 16:15 on 02/13, and its DC relay board is being RMA’d.
3. Inverter 1 is derating due to multiple tripping events for whole month.
</t>
  </si>
  <si>
    <t xml:space="preserve">1. SR093239
2. SR098499
3. SR098210
</t>
  </si>
  <si>
    <t>May Actual v. Expected</t>
  </si>
  <si>
    <t>May Actual v. Forecasted</t>
  </si>
  <si>
    <t>1. Inverter 8 was being RMA'D since 12/17/24.
2. Inverter 7 tripped offline at 16:15 on 02/13, and its DC relay board is being RMA’d.
3. Inverter 1 is derating due to multiple tripping events for whole month.
4. Inverter 13 tripped offline at 13:45 on 05/02 due to a "Fault". A technician was on site on 05/08 to troubleshoot the inverter, and it was back online at 09:30 on the same day.
5. The left string of Inverter 13 was found disconnected at 09:30 on 05/08 when the technician was on site to troubleshoot the inverter. A return visit was scheduled, as two technicians are needed to lift/move the panels.
6. Inverter 13 tripped offline at 13:45 on 05/02 due to a "Fault", and during troubleshooting on 05/08, the technician found the left string disconnected at 09:30, the inverter was brought back online the same day, but a return visit was scheduled as two technicians are required to lift/move the panels.</t>
  </si>
  <si>
    <t>1. SR093239
2. SR098499
3. SR098210
4. SR100935
5. SR101224
6. SR101650</t>
  </si>
  <si>
    <t>SR098210</t>
  </si>
  <si>
    <t>SR100935</t>
  </si>
  <si>
    <t>SR101224</t>
  </si>
  <si>
    <t>SR101650</t>
  </si>
  <si>
    <t>June Actual v. Expected</t>
  </si>
  <si>
    <t>June Actual v. Forecasted</t>
  </si>
  <si>
    <t>1.  Inverter 8 was being RMA'D since 12/17/24.
2.  Inverter 9 is offline from 06/06/25  and reporting "Fault"  and is being RMA'd
3.The left string of Inverter 13 was found disconnected at 09:30 on 05/08 when the technician was on site to troubleshoot the inverter. A return visit was scheduled, as two technicians are needed to lift/move the panels.
4. Inverter 1 is offline at 10:30 on 04/29. Technician has replaced the Relay Board later the inverter is back online at 11:00 on 06/13
5. Inverter 7 tripped offline at 16:15 on 02/13, and its DC relay board is being RMA’d.</t>
  </si>
  <si>
    <t>1. SR093239
2. SR102615
3. SR101224
4. 	SR089210
5. SR098499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</si>
  <si>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</si>
  <si>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</si>
  <si>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</si>
  <si>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</si>
  <si>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</si>
  <si>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</si>
  <si>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</si>
  <si>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</si>
  <si>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</si>
  <si>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</si>
  <si>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</si>
  <si>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</si>
  <si>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</si>
  <si>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Canton Ice House</t>
  </si>
  <si>
    <t>Site DAS Name</t>
  </si>
  <si>
    <t>Update</t>
  </si>
  <si>
    <t>DAS</t>
  </si>
  <si>
    <t>MA: Canton - Canton Ice House</t>
  </si>
  <si>
    <t>MA</t>
  </si>
  <si>
    <t>AF</t>
  </si>
  <si>
    <t>PowerTrack</t>
  </si>
  <si>
    <t>SR102615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</si>
</sst>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horizontal="right"/>
    </xf>
    <xf numFmtId="0" fontId="35" fillId="46" borderId="13" xfId="0" applyFont="1" applyFill="1" applyBorder="1" applyAlignment="1">
      <alignment horizontal="right"/>
    </xf>
    <xf numFmtId="9" fontId="30" fillId="38" borderId="14" xfId="2" applyFont="1" applyFill="1" applyBorder="1" applyAlignment="1">
      <alignment horizontal="left"/>
    </xf>
    <xf numFmtId="49" fontId="30" fillId="38" borderId="0" xfId="2" applyNumberFormat="1" applyFont="1" applyFill="1" applyBorder="1" applyAlignment="1">
      <alignment horizontal="left" vertical="top" wrapText="1"/>
    </xf>
    <xf numFmtId="165" fontId="28" fillId="44" borderId="0" xfId="1" applyNumberFormat="1" applyFont="1" applyFill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left" vertical="center"/>
    </xf>
    <xf numFmtId="0" fontId="32" fillId="0" borderId="0" xfId="0" applyFont="1" applyAlignment="1">
      <alignment vertical="center"/>
    </xf>
    <xf numFmtId="9" fontId="36" fillId="38" borderId="14" xfId="45" applyNumberFormat="1" applyFill="1" applyBorder="1" applyAlignment="1">
      <alignment horizontal="left"/>
    </xf>
    <xf numFmtId="49" fontId="36" fillId="38" borderId="0" xfId="45" applyNumberFormat="1" applyFill="1" applyBorder="1" applyAlignment="1">
      <alignment horizontal="left" vertical="top" wrapText="1"/>
    </xf>
    <xf numFmtId="49" fontId="36" fillId="38" borderId="0" xfId="45" applyNumberFormat="1" applyFill="1" applyBorder="1" applyAlignment="1">
      <alignment vertical="top" wrapText="1"/>
    </xf>
    <xf numFmtId="0" fontId="36" fillId="0" borderId="0" xfId="45" applyAlignment="1">
      <alignment vertical="top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23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3239" TargetMode="External"/><Relationship Id="rId1" Type="http://schemas.openxmlformats.org/officeDocument/2006/relationships/hyperlink" Target="https://us3.assetplanner.com/service_request?ID=097109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9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7109" TargetMode="External"/><Relationship Id="rId4" Type="http://schemas.openxmlformats.org/officeDocument/2006/relationships/hyperlink" Target="https://us3.assetplanner.com/service_request?ID=093239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Relationship Id="rId6" Type="http://schemas.openxmlformats.org/officeDocument/2006/relationships/hyperlink" Target="https://us3.assetplanner.com/service_request?ID=101650" TargetMode="External"/><Relationship Id="rId5" Type="http://schemas.openxmlformats.org/officeDocument/2006/relationships/hyperlink" Target="https://us3.assetplanner.com/service_request?ID=101224" TargetMode="External"/><Relationship Id="rId4" Type="http://schemas.openxmlformats.org/officeDocument/2006/relationships/hyperlink" Target="https://us3.assetplanner.com/service_request?ID=10093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224" TargetMode="External"/><Relationship Id="rId2" Type="http://schemas.openxmlformats.org/officeDocument/2006/relationships/hyperlink" Target="https://us3.assetplanner.com/service_request?ID=102615" TargetMode="External"/><Relationship Id="rId1" Type="http://schemas.openxmlformats.org/officeDocument/2006/relationships/hyperlink" Target="https://us3.assetplanner.com/service_request?ID=093239" TargetMode="External"/><Relationship Id="rId5" Type="http://schemas.openxmlformats.org/officeDocument/2006/relationships/hyperlink" Target="https://us3.assetplanner.com/service_request?ID=098499" TargetMode="External"/><Relationship Id="rId4" Type="http://schemas.openxmlformats.org/officeDocument/2006/relationships/hyperlink" Target="https://us3.assetplanner.com/service_request?ID=08921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J4" sqref="J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5" t="str" cm="1">
        <f t="array" ref="A1">portfolio</f>
        <v>Canton Ice House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 x14ac:dyDescent="0.25">
      <c r="A2" s="57" t="s">
        <v>2</v>
      </c>
      <c r="B2" s="57"/>
      <c r="C2" s="5">
        <f>SUM(C4:C52)</f>
        <v>242753.26998683071</v>
      </c>
      <c r="D2" s="5">
        <f>SUM(D4:D52)</f>
        <v>0</v>
      </c>
      <c r="E2" s="5">
        <f>C2-D2</f>
        <v>242753.26998683071</v>
      </c>
      <c r="F2" s="6">
        <f>IFERROR(E2/D2, 0)</f>
        <v>0</v>
      </c>
      <c r="G2" s="5">
        <f>SUM(G4:G52)</f>
        <v>0</v>
      </c>
      <c r="H2" s="7">
        <f>C2-G2</f>
        <v>242753.26998683071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10" t="str" cm="1">
        <f t="array" ref="A4">Sites[Site]</f>
        <v>MA: Canton - Canton Ice House</v>
      </c>
      <c r="B4" s="9" t="str" cm="1">
        <f t="array" ref="B4">Sites[State]</f>
        <v>MA</v>
      </c>
      <c r="C4" s="18">
        <f>SUM('1st Qtr'!C4, '2nd Qtr'!C4, '3rd Qtr'!C4, '4th Qtr'!C4)</f>
        <v>242753.26998683071</v>
      </c>
      <c r="D4" s="11">
        <f>SUM('1st Qtr'!D4, '2nd Qtr'!D4, '3rd Qtr'!D4, '4th Qtr'!D4)</f>
        <v>0</v>
      </c>
      <c r="E4" s="11">
        <f>IF(AND(ISNUMBER(C4),ISNUMBER(D4)), C4-D4, "")</f>
        <v>242753.26998683071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159909.80900000001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2 I4:I52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I4" sqref="I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5" t="str" cm="1">
        <f t="array" ref="A1">portfolio</f>
        <v>Canton Ice House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 x14ac:dyDescent="0.25">
      <c r="A2" s="57" t="s">
        <v>2</v>
      </c>
      <c r="B2" s="57"/>
      <c r="C2" s="5">
        <f>SUM(C4:C52)</f>
        <v>82843.460986830702</v>
      </c>
      <c r="D2" s="5">
        <f>SUM(D4:D52)</f>
        <v>0</v>
      </c>
      <c r="E2" s="5">
        <f>C2-D2</f>
        <v>82843.460986830702</v>
      </c>
      <c r="F2" s="6">
        <f>IFERROR(E2/D2, 0)</f>
        <v>0</v>
      </c>
      <c r="G2" s="5">
        <f>SUM(G4:G52)</f>
        <v>0</v>
      </c>
      <c r="H2" s="7">
        <f>C2-G2</f>
        <v>82843.460986830702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SUM(Jan!C4, Feb!C4, Mar!C4)</f>
        <v>82843.460986830702</v>
      </c>
      <c r="D4" s="11">
        <f>SUM(Jan!D4, Feb!D4, Mar!D4)</f>
        <v>0</v>
      </c>
      <c r="E4" s="11">
        <f>IF(AND(ISNUMBER(C4),ISNUMBER(D4)), C4-D4, "")</f>
        <v>82843.460986830702</v>
      </c>
      <c r="F4" s="12" t="str">
        <f>IFERROR(E4/D4, "")</f>
        <v/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2 I4:I52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B20" sqref="B20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5" t="str" cm="1">
        <f t="array" ref="A1">portfolio</f>
        <v>Canton Ice House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 x14ac:dyDescent="0.25">
      <c r="A2" s="57" t="s">
        <v>2</v>
      </c>
      <c r="B2" s="57"/>
      <c r="C2" s="5">
        <f>SUM(C4:C52)</f>
        <v>159909.80900000001</v>
      </c>
      <c r="D2" s="5">
        <f>SUM(D4:D52)</f>
        <v>0</v>
      </c>
      <c r="E2" s="5">
        <f>C2-D2</f>
        <v>159909.80900000001</v>
      </c>
      <c r="F2" s="6">
        <f>IFERROR(E2/D2, 0)</f>
        <v>0</v>
      </c>
      <c r="G2" s="5">
        <f>SUM(G4:G52)</f>
        <v>0</v>
      </c>
      <c r="H2" s="7">
        <f>C2-G2</f>
        <v>159909.80900000001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SUM(Apr!C4, May!C4, Jun!C4)</f>
        <v>159909.80900000001</v>
      </c>
      <c r="D4" s="11">
        <f>SUM(Apr!D4, May!D4, Jun!D4)</f>
        <v>0</v>
      </c>
      <c r="E4" s="11">
        <f>IF(AND(ISNUMBER(C4),ISNUMBER(D4)), C4-D4, "")</f>
        <v>159909.80900000001</v>
      </c>
      <c r="F4" s="12" t="str">
        <f>IFERROR(E4/D4, "")</f>
        <v/>
      </c>
      <c r="G4" s="13"/>
      <c r="H4" s="13">
        <f>SUM(Apr!H4, May!H4, Jun!H4)</f>
        <v>159909.80900000001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G5" sqref="G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5" t="str" cm="1">
        <f t="array" ref="A1">portfolio</f>
        <v>Canton Ice House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 x14ac:dyDescent="0.25">
      <c r="A2" s="57" t="s">
        <v>2</v>
      </c>
      <c r="B2" s="57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G13" sqref="G13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5" t="str" cm="1">
        <f t="array" ref="A1">portfolio</f>
        <v>Canton Ice House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 x14ac:dyDescent="0.25">
      <c r="A2" s="57" t="s">
        <v>2</v>
      </c>
      <c r="B2" s="57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3"/>
  <sheetViews>
    <sheetView workbookViewId="0">
      <pane xSplit="2" ySplit="3" topLeftCell="C4" activePane="bottomRight" state="frozen"/>
      <selection pane="topRight" activeCell="J20" sqref="J20"/>
      <selection pane="bottomLeft" activeCell="J20" sqref="J20"/>
      <selection pane="bottomRight" activeCell="J8" sqref="J8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Canton Ice House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 x14ac:dyDescent="0.25">
      <c r="A2" s="57" t="s">
        <v>2</v>
      </c>
      <c r="B2" s="57"/>
      <c r="C2" s="5">
        <f>SUM(C4:C51)</f>
        <v>18838.55</v>
      </c>
      <c r="D2" s="5">
        <f>SUM(D4:D51)</f>
        <v>0</v>
      </c>
      <c r="E2" s="5">
        <f>C2-D2</f>
        <v>18838.55</v>
      </c>
      <c r="F2" s="6">
        <f>IFERROR(E2/D2, 0)</f>
        <v>0</v>
      </c>
      <c r="G2" s="5">
        <f>SUM(G4:G51)</f>
        <v>0</v>
      </c>
      <c r="H2" s="7">
        <f>C2-G2</f>
        <v>18838.55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39" t="str" cm="1">
        <f t="array" ref="A4">Sites[Site]</f>
        <v>MA: Canton - Canton Ice House</v>
      </c>
      <c r="B4" s="22" t="str" cm="1">
        <f t="array" ref="B4">Sites[State]</f>
        <v>MA</v>
      </c>
      <c r="C4" s="40">
        <v>18838.55</v>
      </c>
      <c r="D4" s="41" t="s">
        <v>22</v>
      </c>
      <c r="E4" s="11" t="str">
        <f>IF(AND(ISNUMBER(C4),ISNUMBER(D4)), C4-D4, "")</f>
        <v/>
      </c>
      <c r="F4" s="34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42" t="s">
        <v>23</v>
      </c>
      <c r="K4" s="48" t="s">
        <v>24</v>
      </c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47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</sheetData>
  <mergeCells count="4">
    <mergeCell ref="D1:F1"/>
    <mergeCell ref="A1:C1"/>
    <mergeCell ref="G1:I1"/>
    <mergeCell ref="A2:B2"/>
  </mergeCells>
  <conditionalFormatting sqref="F2 I2 I4:I51 F5:F51">
    <cfRule type="cellIs" dxfId="23" priority="4" stopIfTrue="1" operator="lessThanOrEqual">
      <formula>-0.1</formula>
    </cfRule>
    <cfRule type="expression" dxfId="22" priority="5">
      <formula>AND(ISNUMBER(F2), F2&gt;=0.1)</formula>
    </cfRule>
  </conditionalFormatting>
  <hyperlinks>
    <hyperlink ref="K4" r:id="rId1" display="https://us3.assetplanner.com/service_request?ID=093239" xr:uid="{FC043C7E-AA04-4542-B855-8C0971EB8F78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294"/>
  <sheetViews>
    <sheetView zoomScale="70" zoomScaleNormal="70"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A4" sqref="A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55" t="str" cm="1">
        <f t="array" ref="A1">portfolio</f>
        <v>Canton Ice House</v>
      </c>
      <c r="B1" s="55"/>
      <c r="C1" s="55"/>
      <c r="D1" s="56" t="s">
        <v>25</v>
      </c>
      <c r="E1" s="56"/>
      <c r="F1" s="56"/>
      <c r="G1" s="54" t="s">
        <v>26</v>
      </c>
      <c r="H1" s="54"/>
      <c r="I1" s="54"/>
      <c r="J1" s="4"/>
      <c r="K1" s="4"/>
    </row>
    <row r="2" spans="1:12" ht="19.5" customHeight="1" x14ac:dyDescent="0.25">
      <c r="A2" s="57" t="s">
        <v>2</v>
      </c>
      <c r="B2" s="57"/>
      <c r="C2" s="5">
        <f>SUM(C4:C52)</f>
        <v>18144.561000000002</v>
      </c>
      <c r="D2" s="5">
        <f>SUM(D4:D52)</f>
        <v>0</v>
      </c>
      <c r="E2" s="5">
        <f>C2-D2</f>
        <v>18144.561000000002</v>
      </c>
      <c r="F2" s="6">
        <f>IFERROR(E2/D2, 0)</f>
        <v>0</v>
      </c>
      <c r="G2" s="5">
        <f>SUM(G4:G52)</f>
        <v>0</v>
      </c>
      <c r="H2" s="7">
        <f>C2-G2</f>
        <v>18144.561000000002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98.25" customHeight="1" x14ac:dyDescent="0.25">
      <c r="A4" s="46" t="str" cm="1">
        <f t="array" ref="A4">Sites[Site]</f>
        <v>MA: Canton - Canton Ice House</v>
      </c>
      <c r="B4" s="22" t="str" cm="1">
        <f t="array" ref="B4">Sites[State]</f>
        <v>MA</v>
      </c>
      <c r="C4" s="18">
        <v>18144.561000000002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43" t="s">
        <v>27</v>
      </c>
      <c r="K4" s="49" t="s">
        <v>28</v>
      </c>
      <c r="L4" s="51" t="s">
        <v>29</v>
      </c>
    </row>
    <row r="5" spans="1:12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hyperlinks>
    <hyperlink ref="K4" r:id="rId1" display="https://us3.assetplanner.com/service_request?ID=097109" xr:uid="{8097C47E-5729-47F7-8EBB-781943FBDC30}"/>
    <hyperlink ref="L4" r:id="rId2" display="https://us3.assetplanner.com/service_request?ID=093239" xr:uid="{3DDF7072-AED5-48C8-96F5-302BF02B0D9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294"/>
  <sheetViews>
    <sheetView workbookViewId="0">
      <pane xSplit="2" ySplit="3" topLeftCell="H4" activePane="bottomRight" state="frozen"/>
      <selection pane="topRight" activeCell="D24" sqref="D24"/>
      <selection pane="bottomLeft" activeCell="D24" sqref="D24"/>
      <selection pane="bottomRight" activeCell="J18" sqref="J18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4" ht="19.5" customHeight="1" x14ac:dyDescent="0.25">
      <c r="A1" s="55" t="str" cm="1">
        <f t="array" ref="A1">portfolio</f>
        <v>Canton Ice House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4" ht="19.5" customHeight="1" x14ac:dyDescent="0.25">
      <c r="A2" s="57" t="s">
        <v>2</v>
      </c>
      <c r="B2" s="57"/>
      <c r="C2" s="5">
        <f>SUM(C4:C52)</f>
        <v>45860.349986830697</v>
      </c>
      <c r="D2" s="5">
        <f>SUM(D4:D52)</f>
        <v>0</v>
      </c>
      <c r="E2" s="5">
        <f>C2-D2</f>
        <v>45860.349986830697</v>
      </c>
      <c r="F2" s="6">
        <f>IFERROR(E2/D2, 0)</f>
        <v>0</v>
      </c>
      <c r="G2" s="5">
        <f>SUM(G4:G52)</f>
        <v>0</v>
      </c>
      <c r="H2" s="7">
        <f>C2-G2</f>
        <v>45860.349986830697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4" ht="97.5" customHeight="1" x14ac:dyDescent="0.25">
      <c r="A4" s="45" t="str" cm="1">
        <f t="array" ref="A4">Sites[Site]</f>
        <v>MA: Canton - Canton Ice House</v>
      </c>
      <c r="B4" s="22" t="str" cm="1">
        <f t="array" ref="B4">Sites[State]</f>
        <v>MA</v>
      </c>
      <c r="C4" s="44">
        <v>45860.349986830697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32</v>
      </c>
      <c r="K4" s="50" t="s">
        <v>33</v>
      </c>
      <c r="L4" s="51" t="s">
        <v>34</v>
      </c>
      <c r="M4" s="51" t="s">
        <v>35</v>
      </c>
      <c r="N4" s="51" t="s">
        <v>29</v>
      </c>
    </row>
    <row r="5" spans="1:14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hyperlinks>
    <hyperlink ref="K4" r:id="rId1" display="https://us3.assetplanner.com/service_request?ID=097109" xr:uid="{AEBE7585-D178-4F73-BAF9-CD53028F6092}"/>
    <hyperlink ref="L4" r:id="rId2" display="https://us3.assetplanner.com/service_request?ID=098499" xr:uid="{04F8E067-FC91-47CC-AFA7-EBEBC8492B4A}"/>
    <hyperlink ref="M4" r:id="rId3" display="https://us3.assetplanner.com/service_request?ID=089210" xr:uid="{99F096BB-B6CE-439B-9DB3-DB63FC7E388C}"/>
    <hyperlink ref="N4" r:id="rId4" display="https://us3.assetplanner.com/service_request?ID=093239" xr:uid="{C86D522F-615E-4D67-BFB1-20B78C9FACE8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294"/>
  <sheetViews>
    <sheetView tabSelected="1" workbookViewId="0">
      <pane xSplit="2" ySplit="3" topLeftCell="J4" activePane="bottomRight" state="frozen"/>
      <selection pane="topRight" activeCell="D24" sqref="D24"/>
      <selection pane="bottomLeft" activeCell="D24" sqref="D24"/>
      <selection pane="bottomRight" activeCell="L1" sqref="L1:N1048576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4" width="8.88671875" style="52"/>
  </cols>
  <sheetData>
    <row r="1" spans="1:13" ht="19.5" customHeight="1" x14ac:dyDescent="0.25">
      <c r="A1" s="55" t="str" cm="1">
        <f t="array" ref="A1">portfolio</f>
        <v>Canton Ice House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3" ht="19.5" customHeight="1" x14ac:dyDescent="0.25">
      <c r="A2" s="57" t="s">
        <v>2</v>
      </c>
      <c r="B2" s="57"/>
      <c r="C2" s="5">
        <f>SUM(C4:C52)</f>
        <v>54979.099000000002</v>
      </c>
      <c r="D2" s="5">
        <f>SUM(D4:D52)</f>
        <v>0</v>
      </c>
      <c r="E2" s="5">
        <f>C2-D2</f>
        <v>54979.099000000002</v>
      </c>
      <c r="F2" s="6">
        <f>IFERROR(E2/D2, 0)</f>
        <v>0</v>
      </c>
      <c r="G2" s="5">
        <f>SUM(G4:G52)</f>
        <v>0</v>
      </c>
      <c r="H2" s="7">
        <f>C2-G2</f>
        <v>54979.099000000002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68.25" customHeight="1" x14ac:dyDescent="0.25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54979.099000000002</v>
      </c>
      <c r="D4" s="11">
        <v>0</v>
      </c>
      <c r="E4" s="11">
        <f>IF(AND(ISNUMBER(C4),ISNUMBER(D4)), C4-D4, "")</f>
        <v>54979.099000000002</v>
      </c>
      <c r="F4" s="12" t="str">
        <f>IFERROR(E4/D4, "")</f>
        <v/>
      </c>
      <c r="G4" s="13">
        <v>0</v>
      </c>
      <c r="H4" s="13">
        <f>IF(AND(ISNUMBER(C4),ISNUMBER(G4)), C4-G4, "")</f>
        <v>54979.099000000002</v>
      </c>
      <c r="I4" s="14" t="str">
        <f>IFERROR(H4/G4, "")</f>
        <v/>
      </c>
      <c r="J4" s="32" t="s">
        <v>38</v>
      </c>
      <c r="K4" s="50" t="s">
        <v>39</v>
      </c>
      <c r="L4" s="53" t="s">
        <v>34</v>
      </c>
      <c r="M4" s="53" t="s">
        <v>44</v>
      </c>
    </row>
    <row r="5" spans="1:13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hyperlinks>
    <hyperlink ref="K4" r:id="rId1" display="https://us3.assetplanner.com/service_request?ID=093239" xr:uid="{DFFAD06A-E741-4525-854D-3FC0133F42D8}"/>
    <hyperlink ref="L4" r:id="rId2" display="https://us3.assetplanner.com/service_request?ID=098499" xr:uid="{A9AC8B38-59E9-4F0B-97F5-6C27CAE8184F}"/>
    <hyperlink ref="M4" r:id="rId3" display="https://us3.assetplanner.com/service_request?ID=098210" xr:uid="{72D143BE-8552-407A-9CDF-A125E1EEABDB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P294"/>
  <sheetViews>
    <sheetView workbookViewId="0">
      <pane xSplit="2" ySplit="3" topLeftCell="I4" activePane="bottomRight" state="frozen"/>
      <selection pane="topRight" activeCell="D24" sqref="D24"/>
      <selection pane="bottomLeft" activeCell="D24" sqref="D24"/>
      <selection pane="bottomRight" activeCell="J4" sqref="J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6" width="8.88671875" style="52"/>
  </cols>
  <sheetData>
    <row r="1" spans="1:16" ht="19.5" customHeight="1" x14ac:dyDescent="0.25">
      <c r="A1" s="55" t="str" cm="1">
        <f t="array" ref="A1">portfolio</f>
        <v>Canton Ice House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6" ht="19.5" customHeight="1" x14ac:dyDescent="0.25">
      <c r="A2" s="57" t="s">
        <v>2</v>
      </c>
      <c r="B2" s="57"/>
      <c r="C2" s="5">
        <f>SUM(C4:C52)</f>
        <v>49649.05</v>
      </c>
      <c r="D2" s="5">
        <f>SUM(D4:D52)</f>
        <v>0</v>
      </c>
      <c r="E2" s="5">
        <f>C2-D2</f>
        <v>49649.05</v>
      </c>
      <c r="F2" s="6">
        <f>IFERROR(E2/D2, 0)</f>
        <v>0</v>
      </c>
      <c r="G2" s="5">
        <f>SUM(G4:G52)</f>
        <v>0</v>
      </c>
      <c r="H2" s="7">
        <f>C2-G2</f>
        <v>49649.05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6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6" ht="212.25" customHeight="1" x14ac:dyDescent="0.25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49649.05</v>
      </c>
      <c r="D4" s="11">
        <v>0</v>
      </c>
      <c r="E4" s="11">
        <f>IF(AND(ISNUMBER(C4),ISNUMBER(D4)), C4-D4, "")</f>
        <v>49649.05</v>
      </c>
      <c r="F4" s="12" t="str">
        <f>IFERROR(E4/D4, "")</f>
        <v/>
      </c>
      <c r="G4" s="13">
        <v>0</v>
      </c>
      <c r="H4" s="13">
        <f>IF(AND(ISNUMBER(C4),ISNUMBER(G4)), C4-G4, "")</f>
        <v>49649.05</v>
      </c>
      <c r="I4" s="14" t="str">
        <f>IFERROR(H4/G4, "")</f>
        <v/>
      </c>
      <c r="J4" s="32" t="s">
        <v>42</v>
      </c>
      <c r="K4" s="50" t="s">
        <v>43</v>
      </c>
      <c r="L4" s="53" t="s">
        <v>34</v>
      </c>
      <c r="M4" s="53" t="s">
        <v>44</v>
      </c>
      <c r="N4" s="53" t="s">
        <v>45</v>
      </c>
      <c r="O4" s="53" t="s">
        <v>46</v>
      </c>
      <c r="P4" s="53" t="s">
        <v>47</v>
      </c>
    </row>
    <row r="5" spans="1:16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6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6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6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6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6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6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6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6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6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6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6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hyperlinks>
    <hyperlink ref="K4" r:id="rId1" display="https://us3.assetplanner.com/service_request?ID=093239" xr:uid="{B1589EED-C0CA-4F8C-8EED-922B9E2047B2}"/>
    <hyperlink ref="L4" r:id="rId2" display="https://us3.assetplanner.com/service_request?ID=098499" xr:uid="{8B8FE3E5-D396-4C36-8B36-F290E9528539}"/>
    <hyperlink ref="M4" r:id="rId3" display="https://us3.assetplanner.com/service_request?ID=098210" xr:uid="{7A13E39D-0C8A-46DD-A7C4-BF2E6A7BD0F2}"/>
    <hyperlink ref="N4" r:id="rId4" display="https://us3.assetplanner.com/service_request?ID=100935" xr:uid="{1B2EE342-F4FC-4792-BAEF-E8F4A04F1C3B}"/>
    <hyperlink ref="O4" r:id="rId5" display="https://us3.assetplanner.com/service_request?ID=101224" xr:uid="{DB76EDAF-31BF-470C-89C5-BCCFE7FAFFA2}"/>
    <hyperlink ref="P4" r:id="rId6" display="https://us3.assetplanner.com/service_request?ID=101650" xr:uid="{69AA2148-6470-4FB7-84CC-53A1D04A2547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R294"/>
  <sheetViews>
    <sheetView workbookViewId="0">
      <pane xSplit="2" ySplit="3" topLeftCell="J4" activePane="bottomRight" state="frozen"/>
      <selection pane="topRight" activeCell="D24" sqref="D24"/>
      <selection pane="bottomLeft" activeCell="D24" sqref="D24"/>
      <selection pane="bottomRight" activeCell="L1" sqref="L1:R1048576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8" width="8.88671875" style="52"/>
  </cols>
  <sheetData>
    <row r="1" spans="1:15" ht="19.5" customHeight="1" x14ac:dyDescent="0.25">
      <c r="A1" s="55" t="str" cm="1">
        <f t="array" ref="A1">portfolio</f>
        <v>Canton Ice House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4"/>
      <c r="K1" s="4"/>
    </row>
    <row r="2" spans="1:15" ht="19.5" customHeight="1" x14ac:dyDescent="0.25">
      <c r="A2" s="57" t="s">
        <v>2</v>
      </c>
      <c r="B2" s="57"/>
      <c r="C2" s="5">
        <f>SUM(C4:C52)</f>
        <v>55281.66</v>
      </c>
      <c r="D2" s="5">
        <f>SUM(D4:D52)</f>
        <v>0</v>
      </c>
      <c r="E2" s="5">
        <f>C2-D2</f>
        <v>55281.66</v>
      </c>
      <c r="F2" s="6">
        <f>IFERROR(E2/D2, 0)</f>
        <v>0</v>
      </c>
      <c r="G2" s="5">
        <f>SUM(G4:G52)</f>
        <v>0</v>
      </c>
      <c r="H2" s="7">
        <f>C2-G2</f>
        <v>55281.66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15.2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55281.66</v>
      </c>
      <c r="D4" s="11">
        <v>0</v>
      </c>
      <c r="E4" s="11">
        <f>IF(AND(ISNUMBER(C4),ISNUMBER(D4)), C4-D4, "")</f>
        <v>55281.66</v>
      </c>
      <c r="F4" s="12" t="str">
        <f>IFERROR(E4/D4, "")</f>
        <v/>
      </c>
      <c r="G4" s="13">
        <v>0</v>
      </c>
      <c r="H4" s="13">
        <f>IF(AND(ISNUMBER(C4),ISNUMBER(G4)), C4-G4, "")</f>
        <v>55281.66</v>
      </c>
      <c r="I4" s="14" t="str">
        <f>IFERROR(H4/G4, "")</f>
        <v/>
      </c>
      <c r="J4" s="32" t="s">
        <v>50</v>
      </c>
      <c r="K4" s="50" t="s">
        <v>51</v>
      </c>
      <c r="L4" s="53" t="s">
        <v>73</v>
      </c>
      <c r="M4" s="53" t="s">
        <v>46</v>
      </c>
      <c r="N4" s="53" t="s">
        <v>35</v>
      </c>
      <c r="O4" s="53" t="s">
        <v>34</v>
      </c>
    </row>
    <row r="5" spans="1:15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hyperlinks>
    <hyperlink ref="K4" r:id="rId1" display="https://us3.assetplanner.com/service_request?ID=093239" xr:uid="{799BB9E0-2157-4DAB-A545-8B1B24121E0D}"/>
    <hyperlink ref="L4" r:id="rId2" display="https://us3.assetplanner.com/service_request?ID=102615" xr:uid="{9E2CF229-F5F9-4CBD-85C6-FF32D429221E}"/>
    <hyperlink ref="M4" r:id="rId3" display="https://us3.assetplanner.com/service_request?ID=101224" xr:uid="{7C414806-C71F-493D-B174-5ED08339831E}"/>
    <hyperlink ref="N4" r:id="rId4" display="https://us3.assetplanner.com/service_request?ID=089210" xr:uid="{27323BD0-4DAF-4915-A025-084276A0737A}"/>
    <hyperlink ref="O4" r:id="rId5" display="https://us3.assetplanner.com/service_request?ID=098499" xr:uid="{74BE68AC-DAE0-4654-AE1B-3328A1039DC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294"/>
  <sheetViews>
    <sheetView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Canton Ice House</v>
      </c>
      <c r="B1" s="55"/>
      <c r="C1" s="55"/>
      <c r="D1" s="56" t="s">
        <v>52</v>
      </c>
      <c r="E1" s="56"/>
      <c r="F1" s="56"/>
      <c r="G1" s="54" t="s">
        <v>53</v>
      </c>
      <c r="H1" s="54"/>
      <c r="I1" s="54"/>
      <c r="J1" s="4"/>
      <c r="K1" s="4"/>
    </row>
    <row r="2" spans="1:11" ht="19.5" customHeight="1" x14ac:dyDescent="0.25">
      <c r="A2" s="57" t="s">
        <v>2</v>
      </c>
      <c r="B2" s="57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94"/>
  <sheetViews>
    <sheetView workbookViewId="0">
      <pane xSplit="2" ySplit="3" topLeftCell="G4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Canton Ice House</v>
      </c>
      <c r="B1" s="55"/>
      <c r="C1" s="55"/>
      <c r="D1" s="56" t="s">
        <v>54</v>
      </c>
      <c r="E1" s="56"/>
      <c r="F1" s="56"/>
      <c r="G1" s="54" t="s">
        <v>55</v>
      </c>
      <c r="H1" s="54"/>
      <c r="I1" s="54"/>
      <c r="J1" s="4"/>
      <c r="K1" s="4"/>
    </row>
    <row r="2" spans="1:11" ht="19.5" customHeight="1" x14ac:dyDescent="0.25">
      <c r="A2" s="57" t="s">
        <v>2</v>
      </c>
      <c r="B2" s="57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294"/>
  <sheetViews>
    <sheetView workbookViewId="0">
      <pane xSplit="2" ySplit="3" topLeftCell="F4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Canton Ice House</v>
      </c>
      <c r="B1" s="55"/>
      <c r="C1" s="55"/>
      <c r="D1" s="56" t="s">
        <v>56</v>
      </c>
      <c r="E1" s="56"/>
      <c r="F1" s="56"/>
      <c r="G1" s="54" t="s">
        <v>57</v>
      </c>
      <c r="H1" s="54"/>
      <c r="I1" s="54"/>
      <c r="J1" s="4"/>
      <c r="K1" s="4"/>
    </row>
    <row r="2" spans="1:11" ht="19.5" customHeight="1" x14ac:dyDescent="0.25">
      <c r="A2" s="57" t="s">
        <v>2</v>
      </c>
      <c r="B2" s="57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294"/>
  <sheetViews>
    <sheetView workbookViewId="0">
      <pane xSplit="2" ySplit="3" topLeftCell="D4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Canton Ice House</v>
      </c>
      <c r="B1" s="55"/>
      <c r="C1" s="55"/>
      <c r="D1" s="56" t="s">
        <v>58</v>
      </c>
      <c r="E1" s="56"/>
      <c r="F1" s="56"/>
      <c r="G1" s="54" t="s">
        <v>59</v>
      </c>
      <c r="H1" s="54"/>
      <c r="I1" s="54"/>
      <c r="J1" s="4"/>
      <c r="K1" s="4"/>
    </row>
    <row r="2" spans="1:11" ht="19.5" customHeight="1" x14ac:dyDescent="0.25">
      <c r="A2" s="57" t="s">
        <v>2</v>
      </c>
      <c r="B2" s="57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294"/>
  <sheetViews>
    <sheetView workbookViewId="0">
      <pane xSplit="2" ySplit="3" topLeftCell="H4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Canton Ice House</v>
      </c>
      <c r="B1" s="55"/>
      <c r="C1" s="55"/>
      <c r="D1" s="56" t="s">
        <v>60</v>
      </c>
      <c r="E1" s="56"/>
      <c r="F1" s="56"/>
      <c r="G1" s="54" t="s">
        <v>61</v>
      </c>
      <c r="H1" s="54"/>
      <c r="I1" s="54"/>
      <c r="J1" s="4"/>
      <c r="K1" s="4"/>
    </row>
    <row r="2" spans="1:11" ht="19.5" customHeight="1" x14ac:dyDescent="0.25">
      <c r="A2" s="57" t="s">
        <v>2</v>
      </c>
      <c r="B2" s="57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294"/>
  <sheetViews>
    <sheetView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5" t="str" cm="1">
        <f t="array" ref="A1">portfolio</f>
        <v>Canton Ice House</v>
      </c>
      <c r="B1" s="55"/>
      <c r="C1" s="55"/>
      <c r="D1" s="56" t="s">
        <v>62</v>
      </c>
      <c r="E1" s="56"/>
      <c r="F1" s="56"/>
      <c r="G1" s="54" t="s">
        <v>63</v>
      </c>
      <c r="H1" s="54"/>
      <c r="I1" s="54"/>
      <c r="J1" s="4"/>
      <c r="K1" s="4"/>
    </row>
    <row r="2" spans="1:11" ht="19.5" customHeight="1" x14ac:dyDescent="0.25">
      <c r="A2" s="57" t="s">
        <v>2</v>
      </c>
      <c r="B2" s="57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24.109375" customWidth="1"/>
    <col min="6" max="10" width="9.109375" customWidth="1"/>
    <col min="11" max="12" width="22" bestFit="1" customWidth="1"/>
    <col min="13" max="14" width="9.109375" customWidth="1"/>
  </cols>
  <sheetData>
    <row r="1" spans="1:12" ht="12.75" customHeight="1" x14ac:dyDescent="0.25">
      <c r="A1" t="s">
        <v>64</v>
      </c>
      <c r="B1" t="s">
        <v>65</v>
      </c>
    </row>
    <row r="3" spans="1:12" ht="13.2" x14ac:dyDescent="0.25">
      <c r="A3" t="s">
        <v>66</v>
      </c>
      <c r="B3" t="s">
        <v>3</v>
      </c>
      <c r="C3" t="s">
        <v>4</v>
      </c>
      <c r="D3" t="s">
        <v>67</v>
      </c>
      <c r="E3" s="2" t="s">
        <v>68</v>
      </c>
    </row>
    <row r="4" spans="1:12" ht="14.4" x14ac:dyDescent="0.3">
      <c r="A4" s="38" t="s">
        <v>65</v>
      </c>
      <c r="B4" t="s">
        <v>69</v>
      </c>
      <c r="C4" s="36" t="s">
        <v>70</v>
      </c>
      <c r="D4" s="35" t="s">
        <v>71</v>
      </c>
      <c r="E4" t="s">
        <v>72</v>
      </c>
      <c r="G4" s="3"/>
    </row>
    <row r="5" spans="1:12" ht="14.4" x14ac:dyDescent="0.3">
      <c r="A5" s="38"/>
      <c r="C5" s="36"/>
      <c r="D5" s="35"/>
      <c r="G5" s="3"/>
    </row>
    <row r="6" spans="1:12" ht="14.4" x14ac:dyDescent="0.3">
      <c r="A6" s="38"/>
      <c r="C6" s="36"/>
      <c r="D6" s="35"/>
      <c r="G6" s="3"/>
    </row>
    <row r="7" spans="1:12" ht="12.75" customHeight="1" x14ac:dyDescent="0.25">
      <c r="A7" s="38"/>
      <c r="C7" s="36"/>
      <c r="D7" s="35"/>
    </row>
    <row r="8" spans="1:12" ht="12.75" customHeight="1" x14ac:dyDescent="0.25">
      <c r="A8" s="38"/>
      <c r="C8" s="36"/>
      <c r="D8" s="35"/>
    </row>
    <row r="9" spans="1:12" ht="12.75" customHeight="1" x14ac:dyDescent="0.25">
      <c r="A9" s="38"/>
      <c r="C9" s="36"/>
      <c r="D9" s="35"/>
    </row>
    <row r="10" spans="1:12" ht="12.75" customHeight="1" x14ac:dyDescent="0.25">
      <c r="A10" s="38"/>
      <c r="C10" s="36"/>
      <c r="D10" s="35"/>
      <c r="K10" s="33"/>
      <c r="L10" s="33"/>
    </row>
    <row r="11" spans="1:12" ht="12.75" customHeight="1" x14ac:dyDescent="0.25">
      <c r="A11" s="38"/>
      <c r="C11" s="36"/>
      <c r="D11" s="35"/>
      <c r="K11" s="33"/>
      <c r="L11" s="33"/>
    </row>
    <row r="12" spans="1:12" ht="12.75" customHeight="1" x14ac:dyDescent="0.25">
      <c r="A12" s="38"/>
      <c r="C12" s="36"/>
      <c r="D12" s="35"/>
      <c r="K12" s="33"/>
      <c r="L12" s="33"/>
    </row>
    <row r="13" spans="1:12" ht="12.75" customHeight="1" x14ac:dyDescent="0.25">
      <c r="A13" s="38"/>
      <c r="C13" s="36"/>
      <c r="D13" s="35"/>
      <c r="K13" s="33"/>
      <c r="L13" s="33"/>
    </row>
    <row r="14" spans="1:12" ht="12.75" customHeight="1" x14ac:dyDescent="0.25">
      <c r="A14" s="38"/>
      <c r="C14" s="36"/>
      <c r="D14" s="35"/>
      <c r="K14" s="33"/>
      <c r="L14" s="33"/>
    </row>
    <row r="15" spans="1:12" ht="12.75" customHeight="1" x14ac:dyDescent="0.25">
      <c r="A15" s="38"/>
      <c r="C15" s="36"/>
      <c r="D15" s="35"/>
      <c r="K15" s="33"/>
      <c r="L15" s="33"/>
    </row>
    <row r="16" spans="1:12" ht="12.75" customHeight="1" x14ac:dyDescent="0.25">
      <c r="A16" s="38"/>
      <c r="C16" s="36"/>
      <c r="D16" s="35"/>
      <c r="K16" s="33"/>
      <c r="L16" s="33"/>
    </row>
    <row r="17" spans="1:12" ht="12.75" customHeight="1" x14ac:dyDescent="0.25">
      <c r="A17" s="38"/>
      <c r="C17" s="36"/>
      <c r="D17" s="35"/>
      <c r="K17" s="33"/>
      <c r="L17" s="33"/>
    </row>
    <row r="18" spans="1:12" ht="12.75" customHeight="1" x14ac:dyDescent="0.25">
      <c r="A18" s="38"/>
      <c r="C18" s="36"/>
      <c r="D18" s="35"/>
      <c r="K18" s="33"/>
      <c r="L18" s="33"/>
    </row>
    <row r="19" spans="1:12" ht="12.75" customHeight="1" x14ac:dyDescent="0.25">
      <c r="A19" s="38"/>
      <c r="C19" s="36"/>
      <c r="D19" s="35"/>
      <c r="K19" s="33"/>
      <c r="L19" s="33"/>
    </row>
    <row r="20" spans="1:12" ht="12.75" customHeight="1" x14ac:dyDescent="0.25">
      <c r="A20" s="38"/>
      <c r="C20" s="36"/>
      <c r="D20" s="35"/>
      <c r="K20" s="33"/>
      <c r="L20" s="33"/>
    </row>
    <row r="21" spans="1:12" ht="12.75" customHeight="1" x14ac:dyDescent="0.25">
      <c r="A21" s="38"/>
      <c r="C21" s="36"/>
      <c r="D21" s="35"/>
      <c r="K21" s="33"/>
      <c r="L21" s="33"/>
    </row>
    <row r="22" spans="1:12" ht="12.75" customHeight="1" x14ac:dyDescent="0.25">
      <c r="A22" s="38"/>
      <c r="C22" s="36"/>
      <c r="D22" s="35"/>
      <c r="K22" s="33"/>
      <c r="L22" s="33"/>
    </row>
    <row r="23" spans="1:12" ht="12.75" customHeight="1" x14ac:dyDescent="0.25">
      <c r="A23" s="38"/>
      <c r="C23" s="36"/>
      <c r="D23" s="35"/>
      <c r="K23" s="33"/>
      <c r="L23" s="33"/>
    </row>
    <row r="24" spans="1:12" ht="12.75" customHeight="1" x14ac:dyDescent="0.25">
      <c r="A24" s="38"/>
      <c r="C24" s="36"/>
      <c r="D24" s="35"/>
      <c r="K24" s="33"/>
      <c r="L24" s="33"/>
    </row>
    <row r="25" spans="1:12" ht="12.75" customHeight="1" x14ac:dyDescent="0.25">
      <c r="A25" s="38"/>
      <c r="C25" s="36"/>
      <c r="D25" s="35"/>
      <c r="K25" s="33"/>
      <c r="L25" s="33"/>
    </row>
    <row r="26" spans="1:12" ht="12.75" customHeight="1" x14ac:dyDescent="0.25">
      <c r="K26" s="33"/>
      <c r="L26" s="33"/>
    </row>
    <row r="27" spans="1:12" ht="12.75" customHeight="1" x14ac:dyDescent="0.25">
      <c r="K27" s="33"/>
      <c r="L27" s="33"/>
    </row>
    <row r="28" spans="1:12" ht="12.75" customHeight="1" x14ac:dyDescent="0.25">
      <c r="K28" s="33"/>
      <c r="L28" s="33"/>
    </row>
    <row r="29" spans="1:12" ht="12.75" customHeight="1" x14ac:dyDescent="0.25">
      <c r="K29" s="33"/>
      <c r="L29" s="33"/>
    </row>
    <row r="30" spans="1:12" ht="12.75" customHeight="1" x14ac:dyDescent="0.25">
      <c r="K30" s="33"/>
      <c r="L30" s="33"/>
    </row>
    <row r="31" spans="1:12" ht="12.75" customHeight="1" x14ac:dyDescent="0.25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2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4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5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7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8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9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0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1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2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3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4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5.xml><?xml version="1.0" encoding="utf-8"?>
<ds:datastoreItem xmlns:ds="http://schemas.openxmlformats.org/officeDocument/2006/customXml" ds:itemID="{D0A63025-B1C2-4D63-BF86-07975571A5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6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7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8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9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2025-07-17T05:00:42Z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2025-06-17T23:36:43Z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3a545370-d901-49e4-b7e6-ff1958641627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