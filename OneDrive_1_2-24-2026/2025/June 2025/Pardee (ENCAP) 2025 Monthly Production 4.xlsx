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9F1D5C4E-0F6B-4231-905D-D454FF0ABF78}" xr6:coauthVersionLast="47" xr6:coauthVersionMax="47" xr10:uidLastSave="{00000000-0000-0000-0000-000000000000}"/>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Sites" sheetId="68" r:id="rId16"/>
    <sheet name="Nov" sheetId="32" r:id="rId17"/>
    <sheet name="Dec" sheetId="33"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7"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6"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9" l="1"/>
  <c r="B4" i="20" a="1"/>
  <c r="B4" i="20"/>
  <c r="H8" i="21"/>
  <c r="G14" i="30"/>
  <c r="G6" i="30"/>
  <c r="G7" i="30"/>
  <c r="G8" i="30"/>
  <c r="G9" i="30"/>
  <c r="G10" i="30"/>
  <c r="G11" i="30"/>
  <c r="G12" i="30"/>
  <c r="G13" i="30"/>
  <c r="G5" i="30"/>
  <c r="G4" i="30"/>
  <c r="G2" i="30" s="1"/>
  <c r="G6" i="29"/>
  <c r="G7" i="29"/>
  <c r="G8" i="29"/>
  <c r="G9" i="29"/>
  <c r="G10" i="29"/>
  <c r="G11" i="29"/>
  <c r="G12" i="29"/>
  <c r="G13" i="29"/>
  <c r="G14" i="29"/>
  <c r="G5" i="29"/>
  <c r="G4" i="29"/>
  <c r="G2" i="29" s="1"/>
  <c r="G6" i="18"/>
  <c r="G7" i="18"/>
  <c r="G8" i="18"/>
  <c r="G9" i="18"/>
  <c r="G10" i="18"/>
  <c r="G11" i="18"/>
  <c r="G12" i="18"/>
  <c r="G13" i="18"/>
  <c r="G14" i="18"/>
  <c r="G5" i="18"/>
  <c r="G4" i="18"/>
  <c r="E5" i="33"/>
  <c r="A4" i="19" a="1"/>
  <c r="A4" i="19" s="1"/>
  <c r="A4" i="4" a="1"/>
  <c r="A4" i="4"/>
  <c r="B4" i="33" a="1"/>
  <c r="B4" i="33" s="1"/>
  <c r="A4" i="33" a="1"/>
  <c r="A4" i="33" s="1"/>
  <c r="B4" i="32" a="1"/>
  <c r="B4" i="32" s="1"/>
  <c r="A4" i="32" a="1"/>
  <c r="A4" i="32" s="1"/>
  <c r="B4" i="31" a="1"/>
  <c r="B4" i="31" s="1"/>
  <c r="A4" i="31" a="1"/>
  <c r="A4" i="31" s="1"/>
  <c r="B4" i="19" a="1"/>
  <c r="B4" i="19" s="1"/>
  <c r="A4" i="20" a="1"/>
  <c r="A4" i="20" s="1"/>
  <c r="B4" i="21" a="1"/>
  <c r="B4" i="21" s="1"/>
  <c r="A4" i="21" a="1"/>
  <c r="A4" i="21" s="1"/>
  <c r="B4" i="4" a="1"/>
  <c r="B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c r="E11" i="3"/>
  <c r="F11" i="3" s="1"/>
  <c r="H11" i="3"/>
  <c r="I11" i="3" s="1"/>
  <c r="E12" i="3"/>
  <c r="F12" i="3" s="1"/>
  <c r="H12" i="3"/>
  <c r="I12" i="3"/>
  <c r="E13" i="3"/>
  <c r="F13" i="3" s="1"/>
  <c r="H13" i="3"/>
  <c r="I13" i="3" s="1"/>
  <c r="E14" i="3"/>
  <c r="F14" i="3" s="1"/>
  <c r="H14" i="3"/>
  <c r="I14" i="3" s="1"/>
  <c r="G6" i="1"/>
  <c r="G7" i="1"/>
  <c r="G8" i="1"/>
  <c r="G8" i="34" s="1"/>
  <c r="G9" i="1"/>
  <c r="G9" i="34" s="1"/>
  <c r="G10" i="1"/>
  <c r="G10" i="34" s="1"/>
  <c r="G11" i="1"/>
  <c r="G12" i="1"/>
  <c r="G13" i="1"/>
  <c r="G14" i="1"/>
  <c r="G5" i="1"/>
  <c r="G4" i="1"/>
  <c r="B4" i="34" a="1"/>
  <c r="B4" i="34" s="1"/>
  <c r="A4" i="34" a="1"/>
  <c r="A4" i="34" s="1"/>
  <c r="A1" i="34" a="1"/>
  <c r="A1" i="34" s="1"/>
  <c r="D14" i="30"/>
  <c r="C14" i="30"/>
  <c r="E14" i="30" s="1"/>
  <c r="F14" i="30" s="1"/>
  <c r="D13" i="30"/>
  <c r="C13" i="30"/>
  <c r="D12" i="30"/>
  <c r="C12" i="30"/>
  <c r="D11" i="30"/>
  <c r="C11" i="30"/>
  <c r="D10" i="30"/>
  <c r="C10" i="30"/>
  <c r="E10" i="30" s="1"/>
  <c r="F10" i="30" s="1"/>
  <c r="D9" i="30"/>
  <c r="C9" i="30"/>
  <c r="D8" i="30"/>
  <c r="C8" i="30"/>
  <c r="D7" i="30"/>
  <c r="C7" i="30"/>
  <c r="D6" i="30"/>
  <c r="C6" i="30"/>
  <c r="D5" i="30"/>
  <c r="C5" i="30"/>
  <c r="D4" i="30"/>
  <c r="C4" i="30"/>
  <c r="D14" i="29"/>
  <c r="C14" i="29"/>
  <c r="E14" i="29" s="1"/>
  <c r="F14" i="29" s="1"/>
  <c r="D13" i="29"/>
  <c r="C13" i="29"/>
  <c r="D12" i="29"/>
  <c r="C12" i="29"/>
  <c r="D11" i="29"/>
  <c r="C11" i="29"/>
  <c r="D10" i="29"/>
  <c r="C10" i="29"/>
  <c r="E10" i="29" s="1"/>
  <c r="F10" i="29" s="1"/>
  <c r="D9" i="29"/>
  <c r="C9" i="29"/>
  <c r="E9" i="29" s="1"/>
  <c r="F9" i="29" s="1"/>
  <c r="D8" i="29"/>
  <c r="C8" i="29"/>
  <c r="D7" i="29"/>
  <c r="C7" i="29"/>
  <c r="D6" i="29"/>
  <c r="C6" i="29"/>
  <c r="D5" i="29"/>
  <c r="C5" i="29"/>
  <c r="E5" i="29" s="1"/>
  <c r="F5" i="29" s="1"/>
  <c r="D4" i="29"/>
  <c r="C4" i="29"/>
  <c r="D14" i="18"/>
  <c r="C14" i="18"/>
  <c r="D13" i="18"/>
  <c r="C13" i="18"/>
  <c r="E13" i="18" s="1"/>
  <c r="F13" i="18" s="1"/>
  <c r="D12" i="18"/>
  <c r="C12" i="18"/>
  <c r="E12" i="18" s="1"/>
  <c r="F12" i="18" s="1"/>
  <c r="D11" i="18"/>
  <c r="C11" i="18"/>
  <c r="D10" i="18"/>
  <c r="C10" i="18"/>
  <c r="D9" i="18"/>
  <c r="C9" i="18"/>
  <c r="E9" i="18" s="1"/>
  <c r="F9" i="18" s="1"/>
  <c r="D8" i="18"/>
  <c r="C8" i="18"/>
  <c r="D7" i="18"/>
  <c r="C7" i="18"/>
  <c r="D6" i="18"/>
  <c r="C6" i="18"/>
  <c r="D5" i="18"/>
  <c r="C5" i="18"/>
  <c r="D4" i="18"/>
  <c r="C4" i="18"/>
  <c r="E4" i="18" s="1"/>
  <c r="F4" i="18" s="1"/>
  <c r="B4" i="30" a="1"/>
  <c r="B4" i="30" s="1"/>
  <c r="A1" i="30" a="1"/>
  <c r="A1" i="30" s="1"/>
  <c r="B4" i="29" a="1"/>
  <c r="B4" i="29" s="1"/>
  <c r="A4" i="29" a="1"/>
  <c r="A4" i="29" s="1"/>
  <c r="A1" i="29" a="1"/>
  <c r="A1" i="29" s="1"/>
  <c r="B4" i="18" a="1"/>
  <c r="B4" i="18" s="1"/>
  <c r="A4" i="18" a="1"/>
  <c r="A4" i="18" s="1"/>
  <c r="A1" i="18" a="1"/>
  <c r="A1" i="18" s="1"/>
  <c r="C14" i="1"/>
  <c r="C13" i="1"/>
  <c r="C12" i="1"/>
  <c r="C12" i="34" s="1"/>
  <c r="C11" i="1"/>
  <c r="C11" i="34" s="1"/>
  <c r="C10" i="1"/>
  <c r="C10" i="34" s="1"/>
  <c r="C9" i="1"/>
  <c r="C9" i="34" s="1"/>
  <c r="C8" i="1"/>
  <c r="C7" i="1"/>
  <c r="C6" i="1"/>
  <c r="C5" i="1"/>
  <c r="C4" i="1"/>
  <c r="D6" i="1"/>
  <c r="D7" i="1"/>
  <c r="D8" i="1"/>
  <c r="D8" i="34" s="1"/>
  <c r="D9" i="1"/>
  <c r="D10" i="1"/>
  <c r="D11" i="1"/>
  <c r="D11" i="34" s="1"/>
  <c r="D12" i="1"/>
  <c r="D12" i="34" s="1"/>
  <c r="D13" i="1"/>
  <c r="D14" i="1"/>
  <c r="D14" i="34" s="1"/>
  <c r="D5" i="1"/>
  <c r="D5" i="34" s="1"/>
  <c r="D4" i="1"/>
  <c r="B4" i="1" a="1"/>
  <c r="B4" i="1" s="1"/>
  <c r="A4" i="1" a="1"/>
  <c r="A4" i="1" s="1"/>
  <c r="A1" i="1" a="1"/>
  <c r="A1" i="1"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E6" i="33"/>
  <c r="F6" i="33" s="1"/>
  <c r="H5" i="33"/>
  <c r="I5" i="33" s="1"/>
  <c r="F5" i="33"/>
  <c r="H4" i="33"/>
  <c r="I4" i="33" s="1"/>
  <c r="E4" i="33"/>
  <c r="F4" i="33" s="1"/>
  <c r="G2" i="33"/>
  <c r="D2" i="33"/>
  <c r="C2" i="33"/>
  <c r="A1" i="33" a="1"/>
  <c r="A1" i="33"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4" i="27"/>
  <c r="I14" i="27" s="1"/>
  <c r="E14" i="27"/>
  <c r="F14" i="27" s="1"/>
  <c r="H13" i="27"/>
  <c r="I13" i="27" s="1"/>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I8" i="2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E5" i="72"/>
  <c r="F5" i="72" s="1"/>
  <c r="E6" i="72"/>
  <c r="F6" i="72" s="1"/>
  <c r="E7" i="72"/>
  <c r="F7" i="72" s="1"/>
  <c r="E8" i="72"/>
  <c r="F8" i="72" s="1"/>
  <c r="E9" i="72"/>
  <c r="F9" i="72" s="1"/>
  <c r="E10" i="72"/>
  <c r="F10" i="72" s="1"/>
  <c r="E11" i="72"/>
  <c r="F11" i="72" s="1"/>
  <c r="E12" i="72"/>
  <c r="F12" i="72" s="1"/>
  <c r="E13" i="72"/>
  <c r="F13" i="72" s="1"/>
  <c r="E14" i="72"/>
  <c r="F14" i="72" s="1"/>
  <c r="H6" i="72"/>
  <c r="I6" i="72" s="1"/>
  <c r="H7" i="72"/>
  <c r="I7" i="72" s="1"/>
  <c r="H8" i="72"/>
  <c r="I8" i="72" s="1"/>
  <c r="H9" i="72"/>
  <c r="I9" i="72" s="1"/>
  <c r="H10" i="72"/>
  <c r="I10" i="72" s="1"/>
  <c r="H11" i="72"/>
  <c r="I11" i="72" s="1"/>
  <c r="H12" i="72"/>
  <c r="I12" i="72" s="1"/>
  <c r="H13" i="72"/>
  <c r="I13" i="72" s="1"/>
  <c r="H14" i="72"/>
  <c r="I14" i="72" s="1"/>
  <c r="H5" i="72"/>
  <c r="I5" i="72" s="1"/>
  <c r="H4" i="72"/>
  <c r="I4" i="72" s="1"/>
  <c r="G2" i="72"/>
  <c r="D2" i="72"/>
  <c r="C2" i="72"/>
  <c r="J2" i="72" s="1"/>
  <c r="E4" i="72"/>
  <c r="F4" i="72" s="1"/>
  <c r="A1" i="72" a="1"/>
  <c r="A1" i="72" s="1"/>
  <c r="E8" i="18" l="1"/>
  <c r="F8" i="18" s="1"/>
  <c r="D13" i="34"/>
  <c r="C13" i="34"/>
  <c r="D10" i="34"/>
  <c r="D9" i="34"/>
  <c r="C7" i="34"/>
  <c r="C6" i="34"/>
  <c r="G2" i="18"/>
  <c r="C5" i="34"/>
  <c r="C14" i="34"/>
  <c r="E14" i="34" s="1"/>
  <c r="F14" i="34" s="1"/>
  <c r="C8" i="34"/>
  <c r="E8" i="34" s="1"/>
  <c r="F8" i="34" s="1"/>
  <c r="D7" i="34"/>
  <c r="E7" i="34" s="1"/>
  <c r="F7" i="34" s="1"/>
  <c r="D6" i="34"/>
  <c r="E6" i="34" s="1"/>
  <c r="F6" i="34" s="1"/>
  <c r="G6" i="34"/>
  <c r="G4" i="34"/>
  <c r="G13" i="34"/>
  <c r="G5" i="34"/>
  <c r="G12" i="34"/>
  <c r="G7" i="34"/>
  <c r="G14" i="34"/>
  <c r="E5" i="18"/>
  <c r="F5" i="18" s="1"/>
  <c r="E6" i="29"/>
  <c r="F6" i="29" s="1"/>
  <c r="G11" i="34"/>
  <c r="E11" i="30"/>
  <c r="F11" i="30" s="1"/>
  <c r="E6" i="30"/>
  <c r="F6" i="30" s="1"/>
  <c r="H12" i="29"/>
  <c r="I12" i="29" s="1"/>
  <c r="E13" i="29"/>
  <c r="F13" i="29" s="1"/>
  <c r="H2" i="26"/>
  <c r="I2" i="26" s="1"/>
  <c r="H2" i="4"/>
  <c r="I2" i="4" s="1"/>
  <c r="H2" i="20"/>
  <c r="I2" i="20" s="1"/>
  <c r="H2" i="21"/>
  <c r="I2" i="21" s="1"/>
  <c r="H2" i="32"/>
  <c r="I2" i="32" s="1"/>
  <c r="H2" i="28"/>
  <c r="I2" i="28" s="1"/>
  <c r="H2" i="33"/>
  <c r="I2" i="33" s="1"/>
  <c r="H2" i="19"/>
  <c r="I2" i="19" s="1"/>
  <c r="D2" i="18"/>
  <c r="H6" i="30"/>
  <c r="I6" i="30" s="1"/>
  <c r="H10" i="29"/>
  <c r="I10" i="29" s="1"/>
  <c r="H2" i="31"/>
  <c r="I2" i="31" s="1"/>
  <c r="D2" i="30"/>
  <c r="E7" i="18"/>
  <c r="F7" i="18" s="1"/>
  <c r="E11" i="18"/>
  <c r="F11" i="18" s="1"/>
  <c r="E8" i="29"/>
  <c r="F8" i="29" s="1"/>
  <c r="E12" i="29"/>
  <c r="F12" i="29" s="1"/>
  <c r="E5" i="30"/>
  <c r="F5" i="30" s="1"/>
  <c r="E9" i="30"/>
  <c r="F9" i="30" s="1"/>
  <c r="E13" i="30"/>
  <c r="F13" i="30" s="1"/>
  <c r="H9" i="29"/>
  <c r="I9" i="29" s="1"/>
  <c r="D4" i="34"/>
  <c r="E2" i="20"/>
  <c r="F2" i="20" s="1"/>
  <c r="J2" i="4"/>
  <c r="J2" i="32"/>
  <c r="D2" i="29"/>
  <c r="I10" i="27"/>
  <c r="H2" i="27"/>
  <c r="I2" i="27" s="1"/>
  <c r="J2" i="21"/>
  <c r="H13" i="29"/>
  <c r="I13" i="29" s="1"/>
  <c r="E2" i="28"/>
  <c r="F2" i="28" s="1"/>
  <c r="H6" i="29"/>
  <c r="I6" i="29" s="1"/>
  <c r="H7" i="29"/>
  <c r="I7" i="29" s="1"/>
  <c r="E6" i="18"/>
  <c r="F6" i="18" s="1"/>
  <c r="E10" i="18"/>
  <c r="F10" i="18" s="1"/>
  <c r="E14" i="18"/>
  <c r="F14" i="18" s="1"/>
  <c r="E11" i="29"/>
  <c r="F11" i="29" s="1"/>
  <c r="E4" i="30"/>
  <c r="F4" i="30" s="1"/>
  <c r="E8" i="30"/>
  <c r="F8" i="30" s="1"/>
  <c r="E12" i="30"/>
  <c r="F12" i="30" s="1"/>
  <c r="J2" i="20"/>
  <c r="J2" i="19"/>
  <c r="J2" i="26"/>
  <c r="J2" i="27"/>
  <c r="J2" i="28"/>
  <c r="J2" i="31"/>
  <c r="J2" i="33"/>
  <c r="I6" i="33"/>
  <c r="H2" i="3"/>
  <c r="I2" i="3" s="1"/>
  <c r="E11" i="34"/>
  <c r="F11" i="34" s="1"/>
  <c r="E7" i="1"/>
  <c r="F7" i="1" s="1"/>
  <c r="E12" i="34"/>
  <c r="F12" i="34" s="1"/>
  <c r="E5" i="34"/>
  <c r="F5" i="34" s="1"/>
  <c r="E13" i="34"/>
  <c r="F13" i="34" s="1"/>
  <c r="G2" i="1"/>
  <c r="E8" i="1"/>
  <c r="F8" i="1" s="1"/>
  <c r="E11" i="1"/>
  <c r="F11" i="1" s="1"/>
  <c r="E9" i="1"/>
  <c r="F9" i="1" s="1"/>
  <c r="E10" i="1"/>
  <c r="F10" i="1" s="1"/>
  <c r="E12" i="1"/>
  <c r="F12" i="1" s="1"/>
  <c r="E9" i="34"/>
  <c r="F9" i="34" s="1"/>
  <c r="E5" i="1"/>
  <c r="F5" i="1" s="1"/>
  <c r="E13" i="1"/>
  <c r="F13" i="1" s="1"/>
  <c r="E10" i="34"/>
  <c r="F10" i="34" s="1"/>
  <c r="E6" i="1"/>
  <c r="F6" i="1" s="1"/>
  <c r="E14" i="1"/>
  <c r="F14" i="1" s="1"/>
  <c r="H14" i="30"/>
  <c r="I14" i="30" s="1"/>
  <c r="H9" i="30"/>
  <c r="I9" i="30" s="1"/>
  <c r="H4" i="30"/>
  <c r="I4" i="30" s="1"/>
  <c r="E7" i="30"/>
  <c r="F7" i="30" s="1"/>
  <c r="H12" i="30"/>
  <c r="I12" i="30" s="1"/>
  <c r="H7" i="30"/>
  <c r="I7"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H5" i="29"/>
  <c r="I5" i="29" s="1"/>
  <c r="I7" i="26"/>
  <c r="H14" i="18"/>
  <c r="I14" i="18" s="1"/>
  <c r="H9" i="18"/>
  <c r="I9" i="18" s="1"/>
  <c r="H6" i="18"/>
  <c r="I6" i="18" s="1"/>
  <c r="H4" i="18"/>
  <c r="I4" i="18" s="1"/>
  <c r="H12" i="18"/>
  <c r="I12" i="18" s="1"/>
  <c r="H7" i="18"/>
  <c r="I7" i="18" s="1"/>
  <c r="H10" i="18"/>
  <c r="I10" i="18" s="1"/>
  <c r="C4" i="34"/>
  <c r="H5" i="18"/>
  <c r="I5" i="18" s="1"/>
  <c r="H13" i="18"/>
  <c r="I13" i="18" s="1"/>
  <c r="H8" i="18"/>
  <c r="I8" i="18" s="1"/>
  <c r="H11" i="18"/>
  <c r="I11" i="18" s="1"/>
  <c r="H6" i="34"/>
  <c r="H7" i="34"/>
  <c r="H8" i="34"/>
  <c r="I8" i="34" s="1"/>
  <c r="H5" i="34"/>
  <c r="H9" i="34"/>
  <c r="I9" i="34" s="1"/>
  <c r="H10" i="34"/>
  <c r="I10" i="34" s="1"/>
  <c r="H11" i="34"/>
  <c r="H12" i="34"/>
  <c r="H13" i="34"/>
  <c r="H14" i="34"/>
  <c r="C2" i="29"/>
  <c r="C2" i="30"/>
  <c r="E4" i="29"/>
  <c r="F4" i="29" s="1"/>
  <c r="C2" i="18"/>
  <c r="H7" i="1"/>
  <c r="I7" i="1" s="1"/>
  <c r="H4" i="1"/>
  <c r="H5" i="1"/>
  <c r="I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I13" i="34" l="1"/>
  <c r="I7" i="34"/>
  <c r="I6" i="34"/>
  <c r="D2" i="34"/>
  <c r="I5" i="34"/>
  <c r="G2" i="34"/>
  <c r="I14" i="34"/>
  <c r="I12" i="34"/>
  <c r="I11" i="34"/>
  <c r="E2" i="29"/>
  <c r="F2" i="29" s="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tc={4A15B6EB-7B9B-424C-9435-08A2C479B1FE}</author>
  </authors>
  <commentList>
    <comment ref="C5" authorId="0" shapeId="0" xr:uid="{4A15B6EB-7B9B-424C-9435-08A2C479B1FE}">
      <text>
        <t>[Threaded comment]
Your version of Excel allows you to read this threaded comment; however, any edits to it will get removed if the file is opened in a newer version of Excel. Learn more: https://go.microsoft.com/fwlink/?linkid=870924
Comment:
    Actual data is taken from inverters data since meter lost communication from 08/22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tc={EC69C0E9-20D7-48F1-B39F-021C2905122D}</author>
  </authors>
  <commentList>
    <comment ref="C5" authorId="0" shapeId="0" xr:uid="{EC69C0E9-20D7-48F1-B39F-021C2905122D}">
      <text>
        <t>[Threaded comment]
Your version of Excel allows you to read this threaded comment; however, any edits to it will get removed if the file is opened in a newer version of Excel. Learn more: https://go.microsoft.com/fwlink/?linkid=870924
Comment:
    Actual data is taken from inverters data since meter lost communication from 08/22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tc={5E20A36F-D8D8-49DD-94DD-70235247D7C0}</author>
  </authors>
  <commentList>
    <comment ref="C5" authorId="0" shapeId="0" xr:uid="{5E20A36F-D8D8-49DD-94DD-70235247D7C0}">
      <text>
        <t>[Threaded comment]
Your version of Excel allows you to read this threaded comment; however, any edits to it will get removed if the file is opened in a newer version of Excel. Learn more: https://go.microsoft.com/fwlink/?linkid=870924
Comment:
    Actual data is taken from inverters data since meter lost communication from 08/22</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<sst xmlns="http://schemas.openxmlformats.org/spreadsheetml/2006/main" count="386" uniqueCount="153">
  <si>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</si>
  <si>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</si>
  <si>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</si>
  <si>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</si>
  <si>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</si>
  <si>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</si>
  <si>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</si>
  <si>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</si>
  <si>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</si>
  <si>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</si>
  <si>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</si>
  <si>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</si>
  <si>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</si>
  <si>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</si>
  <si>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</si>
  <si>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</si>
  <si>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</si>
  <si>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</si>
  <si>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</si>
  <si>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</si>
  <si>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</si>
  <si>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</si>
  <si>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is producing at maximum 40 kW throughout the month compared to its capacity 50kW due to seasonal underperformance</t>
  </si>
  <si>
    <t>1. SR099649</t>
  </si>
  <si>
    <t>1. Meter CT was replaced on 01/13 and AlsoEnergy was able to regain meter communication from 12:00 PM on 01/13</t>
  </si>
  <si>
    <t>1. 	SR094972</t>
  </si>
  <si>
    <t>1.Inverter 4 was offline from 01/21 and came back online on 01/24 at 10:30 after the blown fuse was replaced.
2. Inverter 4 offline from 01/25 and came back online on 01/29 at 10:45 after the blown fuse was replaced.</t>
  </si>
  <si>
    <t>1.	SR095814
2.SR096012 , SR096160</t>
  </si>
  <si>
    <t>1. Inverter 2 was underperforming 20kW down compared to inverter 1 due to L1 SP320 cartilage needs replacement and found active ground fault on CB 2-2 string 5.</t>
  </si>
  <si>
    <t>1. PM4031, SR086964, SR086966</t>
  </si>
  <si>
    <t>1.Inverter 1 is underperforming by 12kW down from 08:00 AM to 12:30 PM due to seasonal shading</t>
  </si>
  <si>
    <t>1. SR099639</t>
  </si>
  <si>
    <t>1. Inverter 1 was offline from 07:00 on 01/06 to 12:00pm on 01/24 due to failed PWR DIST Card</t>
  </si>
  <si>
    <t>1. SR094724</t>
  </si>
  <si>
    <t>February Actual v. Expected</t>
  </si>
  <si>
    <t>February Actual v. Forecasted</t>
  </si>
  <si>
    <t>1. Inverter 4 was tripped offline at 18:15 on 02/16 due to control card assembly plus backplane.
2. Inverter 2 and meter 2 stopped communication at 11:50AM on 02/20 tech suggested that replacing the Vlink MESR901 serial server.</t>
  </si>
  <si>
    <t>1. SR095814,	SR096160, SR096012
2. SR097592</t>
  </si>
  <si>
    <t>SR096160</t>
  </si>
  <si>
    <t>SR096012</t>
  </si>
  <si>
    <t>SR097592</t>
  </si>
  <si>
    <t>1.Inverter 2 is underperforming by 20kW down due to shading related issue.</t>
  </si>
  <si>
    <t>1. SR096743</t>
  </si>
  <si>
    <t>1. Inverter 2 having multiple tripping events on 02/25 and 02/27.</t>
  </si>
  <si>
    <t>1. SR097804</t>
  </si>
  <si>
    <t>March Actual v. Expected</t>
  </si>
  <si>
    <t>March Actual v. Forecasted</t>
  </si>
  <si>
    <t xml:space="preserve">1.Inverter 4 was offline from 18:20 on 02/16 to 22:20 on 03/25. On 03/25, a Bold  technician was onsite to replace the controller card and Upon arrival he found a worn DC shunt harness, which was requested for replacement. The inverter went offline again at 18:45 on 03/26 and requires additional components for full restoration.
2. Inverter 2 and meter 2 stopped communicating at 11:50AM on 02/20 and production can't be confirmed.On 02/24 upon troubleshooting ,technician recommends replacing the Vlink MESR901 serial server </t>
  </si>
  <si>
    <t>1.SR096012,SR096160
2.SR097592</t>
  </si>
  <si>
    <t>1.Inverter 2 is underperforming by approximately 20 kW, likely due to shading related issues</t>
  </si>
  <si>
    <t>1.SR096743</t>
  </si>
  <si>
    <t>1. A canopy strike was reported on 01/17, prompting immediate dispatch to secure the parking lot array and document the damages. Dispatch is scheduled to return on 04/10 to install five modules, reconnect homeruns, and re-energize the string.</t>
  </si>
  <si>
    <t>1.SR095815</t>
  </si>
  <si>
    <t xml:space="preserve">1. Inverter 2 tripped offline at 15:45 on 03/02 and was restored at 16:10 on 03/03 after a technician restart. It went offline again on 03/23 due to a "Watchdog Timer Fault." On 03/24, technicians confirmed the fault is related to internal monitoring and can be triggered by grid voltage fluctuations. The inverter was power cycled and back online at 09:10 AM on 03/24.
2. Inverter 1 tripped offline at 13:00 on 03/15/25 due to a ground fault. On 03/18, the technician observed heat marks on several Trina modules, likely impacted by recent heavy rain. A follow-up visit is required, along with replacement of 5A fuses. </t>
  </si>
  <si>
    <t>1.SR097804,SR098900
2.SR098620</t>
  </si>
  <si>
    <t>SR098900</t>
  </si>
  <si>
    <t>SR098620</t>
  </si>
  <si>
    <t>April Actual v. Expected</t>
  </si>
  <si>
    <t>April Actual v. Forecasted</t>
  </si>
  <si>
    <t>1. Site has low production on 04/13,  04/14 due to low irradance.</t>
  </si>
  <si>
    <t xml:space="preserve">1. Inverters 5 and 6 have started having multiple trips at peak production hours  due to overheating from 04/09 to 04/11 and later technician cleaned the filters of the inverters and reinstalled them.
2. Inverter 4 was offline from 18:20 on 02/16 to 22:20 on 03/25. On 03/25, a Bold  technician was onsite to replace the controller card and Upon arrival he found a worn DC shunt harness, which was requested for replacement. The inverter went offline again at 18:45 on 03/26 and requires additional components for full restoration.
3.  Inverter 2 and meter 2 stopped communicating at 11:50AM on 02/20 and production can't be confirmed.On 02/24 upon troubleshooting ,technician recommends replacing the Vlink MESR901 serial server </t>
  </si>
  <si>
    <t>1. SR099674
2. SR096012,SR096160
3. SR097592</t>
  </si>
  <si>
    <t>1. Inverter 1C is producing low, possibly down a string from 04/24.</t>
  </si>
  <si>
    <t>1. SR100105</t>
  </si>
  <si>
    <t>1. Inverter 1 dropped by 33 kW at 12:15 pm MST on 04/30 due to CB down.
2. Inverter 2 is down a CB or has some bypassed modules according to the drawing since 04/30. Inverter 2 started tripping on and off from 04/09 to 04/25.</t>
  </si>
  <si>
    <t>1. SR100774
2. SR100778, SR099610</t>
  </si>
  <si>
    <t>SR100778</t>
  </si>
  <si>
    <t>SR099610</t>
  </si>
  <si>
    <t>1. Inverter 2 underperforming by 5 kW due to CB 2.2 string 5 has a ground fault.</t>
  </si>
  <si>
    <t>1. SR100174</t>
  </si>
  <si>
    <t>1. SR095815</t>
  </si>
  <si>
    <t>1. Inverter 1 is underperforming by approximately 12kW down from 08:00 to 12:30 on 04/10 due to seasonal shading.</t>
  </si>
  <si>
    <t xml:space="preserve">1. Inverter 1 tripped offline at 13:00 on 03/15/25 due to a ground fault. On 03/18, the technician found heat marks on several Trina modules, likely from recent heavy rain. A follow-up was needed to replace 5A fuses. On 04/17, string testing began; ground faults were found across all DC strings. Defective modules were bypassed using jumpers. By 04/18, CB-1, CB-2, and CB-3 were cleared of ground faults. A ground fault board and 3A fuse were replaced, DC conductors reconnected, and the inverter power-cycled at 10:45.
2. Inverter 1 is down 2–3 strings. Modules were bypassed on 04/17–04/18. Client declined to pay for replacements.
3. Inverter 2 has been tripping on and offline, likely due to heat (cell temps ≥95°F since 04/14). It went offline on 04/15, was power-cycled back online on 04/17, and tripped again on 04/20. On 04/22, fault 0080 appeared; technician reseated the ribbon cable and cleaned the controller card per Bold's advice. It restarted but later showed fault 0011. On 04/24, after further testing, a new fault appeared. Bold reviewed logs on 04/25 and advised swapping parts with Inverter 1. After swapping, inverter tripped again at 13:30 with PS10 fault. Bold confirmed the issue is due to a faulty power distribution board and will provide a quote and remained offline through the month.
4.  3 Modules, procurement in process. </t>
  </si>
  <si>
    <t>1. SR098620
2. SR100058, SR98620
3. SR099782, SR100047, PM9663
4. SR100349, PM9663</t>
  </si>
  <si>
    <t>SR100058</t>
  </si>
  <si>
    <t xml:space="preserve">SR98620
</t>
  </si>
  <si>
    <t>SR099782</t>
  </si>
  <si>
    <t>SR100047</t>
  </si>
  <si>
    <t>SR100349</t>
  </si>
  <si>
    <t>May Actual v. Expected</t>
  </si>
  <si>
    <t>May Actual v. Forecasted</t>
  </si>
  <si>
    <t xml:space="preserve">1. Site has low production on 05/06, 05/12 due to low irradiance.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</si>
  <si>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 xml:space="preserve">1. Inverter 4 was offline from 02/16 until 10:45 on 05/05. After the technician replaced the DC shunt harness, AC disconnect rod and lever, and four filters, it went offline again at 19:00 on 05/05. It came back online at 07:00 on 05/10, then went offline once more on 05/11 and self-resolved by 14:00 on 05/12. 
2. Inverter 5 &amp;6 is offline from 05:00 on 05/06 to 06:00 on 05/10 and Inverter 3 offline from 07:00 on 05/08 to 07:00 on 05/10. These inverters have self-resolved.
3. Inverters 5 and 6 are derating midday by 50kW at peak production at the hours of 11:00 to 15:45 from 5/21/25 and on 05/30, the technician inspected and as per Blod renewables cleaned the inverter filters thoroughly and reinstalled the filters and confirmed that airflow was restored to optimal levels.
4. Inverter 2 and meter 2 stopped communicating at 11:50AM on 02/20 and production can't be confirmed.On 02/24 upon troubleshooting ,technician recommends replacing the Vlink MESR901 serial server </t>
  </si>
  <si>
    <t>1. 	SR101060, SR101332, SR096160 &amp; SR102080 
2. SR101060, SR101332
3. SR101859
4. SR102524, SR097592</t>
  </si>
  <si>
    <t>SR101332</t>
  </si>
  <si>
    <t>SR102080</t>
  </si>
  <si>
    <t>SR101060</t>
  </si>
  <si>
    <t>SR101859</t>
  </si>
  <si>
    <t>SR102524</t>
  </si>
  <si>
    <t xml:space="preserve">1. Site was taken offline from 09:23 to 11:45 on 05/22 for Preventative maintenance.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</si>
  <si>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PM10595, SR102079</t>
  </si>
  <si>
    <t>1. Inverter 1C has been underperforming, possibly due to a string issue since 04/24. On 05/16, the technician found string #2's fuse holder open, disconnecting it from the inverter. The technician closed the fuse holder and reconnected the string</t>
  </si>
  <si>
    <t>1. SR101409,  SR100105</t>
  </si>
  <si>
    <t>SR100105</t>
  </si>
  <si>
    <t>1. Inverter 1 dropped 33 kW at 12:15 PM MST on 04/30 due to a tripped circuit breaker; awaiting correct T-Blocks for restoration.
2. Inverter 2 is down due to a tripped CB or bypassed modules. On 05/01, the technician found CB-2 conductor showed overheating damage and a broken module was found.The site was taken offline on 05/01 from 11:45 to 12:30.  The site was offline from 09:00 to 11:30 on 05/16 to replace the damaged conductor and module; Inverter 1 also needs fan, fuse, and DC block replacements. Inverter 2 was tripping on and off for whole month.
3. On 05/22, the String 2 0vdc - string 6 negative conductor is frayed will need to troubleshoot technician found during Annual Preventative Maintenance Inspection.</t>
  </si>
  <si>
    <t>1. SR100774
2. SR100778
3. SR101850, PM10032</t>
  </si>
  <si>
    <t>SR101850</t>
  </si>
  <si>
    <t xml:space="preserve">1. Site was offline from 13:23 to 13:57 on 05/01 to replace inverter filters
2. On 05/24, Inverter 2 underperformed by 20 kW compared to peers. On 05/27, the technician inspected the unit and found no visible damage or faults. Power output was low but matched the peer inverter. No active alarms were reported. The inverter is overheating due to temperatures above 100°F. A shading structure is recommended.
</t>
  </si>
  <si>
    <t>1. SR099846
2. SR101951, SR102330 and PM8480</t>
  </si>
  <si>
    <t>SR101951</t>
  </si>
  <si>
    <t>SR102330</t>
  </si>
  <si>
    <t>1.  Inverter 2 underperforming by 5 kW due to a CB 2.2 string 5 has a ground fault.
2. Inveter 1 was offline from 15:00 to 15:40 and Inverter 2 was  from 14:44 to 15:21 on 05/01 to replace inverter filters</t>
  </si>
  <si>
    <t>1. SR100174
2. SR099847</t>
  </si>
  <si>
    <t>SR099847</t>
  </si>
  <si>
    <t xml:space="preserve">1. Inverter 3 tripped offline at 10:15 on 05/08 due to a "Faulted voltage fault" and remained offline through the month. On 05/14, the technician found a blown fuse on phase C and irregular behavior on phase 2. Inverters 1 and 2 are connected to parking lot 59, and inverters 3 and 4 to lot 58, but AlsoEnergy shows the opposite configuration. Updates are pending on hardware repair and monitoring correction.
</t>
  </si>
  <si>
    <t>1. SR101590, SR101591 &amp; PM10037</t>
  </si>
  <si>
    <t>SR101591</t>
  </si>
  <si>
    <t xml:space="preserve">1. Inverter 2 was offline from 13:30 on 04/25 to 10:45 on 05/13 
2.  3 Modules, procurement in process. </t>
  </si>
  <si>
    <t>1. SR100047, PM9663
2. SR100349, PM9663</t>
  </si>
  <si>
    <t>June Actual v. Expected</t>
  </si>
  <si>
    <t>June Actual v. Forecasted</t>
  </si>
  <si>
    <t xml:space="preserve">1. Site has low production on 06/01, due to low irradiance.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</si>
  <si>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 xml:space="preserve">1. Inverter 2 and meter 2 stopped communicating at 11:50AM on 02/20 and production can't be confirmed.On 02/24 upon troubleshooting ,technician recommends replacing the Vlink MESR901 serial server. Replacement parts are currently pending.
2. Inverters 5 and 6 are derating midday by 50kW at peak production at the hours from 06/06, on 06/20 the technician was onsite and no damages or faults found on the inverters as they continue to derate. He contacted the manufacturer, and they requested the log files for the inverters which he sent for review. and invereters are derated throughout the month.
</t>
  </si>
  <si>
    <t xml:space="preserve">1. SR102524, SR097592
2. SR101859, SR103044
</t>
  </si>
  <si>
    <t>SR103044</t>
  </si>
  <si>
    <t>1. Inverter 1 dropped 33 kW at 12:15 PM MST on 04/30 due to a tripped circuit 
breaker; awaiting correct T-Blocks for restoration. Bold Renewables for parts procurement pending.
2. On 05/22, the String 2 0vdc - string 6 negative conductor is frayed will need to troubleshoot technician found during Annual Preventative Maintenance Inspection. on 06/17 technician was on site and replaced a fuse on CB 2-2 and retightened terminations and CB 2-2 is back to normal operational.</t>
  </si>
  <si>
    <t>1. SR100774, 
SR103110
2. SR101850, PM10032</t>
  </si>
  <si>
    <t>SR103110</t>
  </si>
  <si>
    <t>1. On 05/24, Inverter 2 underperformed by 20 kW compared to peers. On 05/27, the technician inspected the unit and found no visible damage or faults. Power output was low but matched the peer inverter. No active alarms were reported. The inverter is overheating due to temperatures above 100°F. A shading structure is recommended. and parts are under replacement.</t>
  </si>
  <si>
    <t>1. SR101951, SR102330 and PM8480</t>
  </si>
  <si>
    <t>1. Inverter 2 underperforming by 5 kW and CB 2.2 string 5 has a ground fault.</t>
  </si>
  <si>
    <t xml:space="preserve">1. Inverter 3 tripped offline at 10:15 on 05/08 due to a "Faulted voltage fault" and  back online at 09:00 on 06/23. </t>
  </si>
  <si>
    <t xml:space="preserve">1. SR101590, SR101591, SR101406. </t>
  </si>
  <si>
    <t>SR101406</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</si>
  <si>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</si>
  <si>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</si>
  <si>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</si>
  <si>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</si>
  <si>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</si>
  <si>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</si>
  <si>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</si>
  <si>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</si>
  <si>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Portfolio:</t>
  </si>
  <si>
    <t>Pardee (ENCAP)</t>
  </si>
  <si>
    <t>Site DAS Name</t>
  </si>
  <si>
    <t>Update</t>
  </si>
  <si>
    <t>DAS</t>
  </si>
  <si>
    <t>AZ: ASU - Pardee - Discovery Hall</t>
  </si>
  <si>
    <t>AZ</t>
  </si>
  <si>
    <t>AZ: ASU - Pardee - Farrington</t>
  </si>
  <si>
    <t>AZ: ASU - Pardee - Macro Tech.</t>
  </si>
  <si>
    <t>AZ: ASU - Pardee - McCord Hall</t>
  </si>
  <si>
    <t>AZ: NAU - SF Garage</t>
  </si>
  <si>
    <t>AZ: ASU - Pardee - Parking Lot 11</t>
  </si>
  <si>
    <t>AZ: ASU - Pardee - Parking Lot 19</t>
  </si>
  <si>
    <t>AZ: ASU - Pardee - Parking Lot 41</t>
  </si>
  <si>
    <t>AZ: ASU - Pardee - Parking Lot 58</t>
  </si>
  <si>
    <t>AZ: ASU - Pardee - Parking Lot 59S</t>
  </si>
  <si>
    <t>AZ: ASU - Pardee - Sun Devil Complex</t>
  </si>
  <si>
    <t>November Actual v. Expected</t>
  </si>
  <si>
    <t>November Actual v. Forecasted</t>
  </si>
  <si>
    <t>December Actual v. Expected</t>
  </si>
  <si>
    <t>December Actual v. Forecasted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</si>
</sst>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font>
    <font>
      <u/>
      <sz val="10"/>
      <color theme="10"/>
      <name val="Arial"/>
      <family val="2"/>
    </font>
    <font>
      <sz val="10"/>
      <color rgb="FFFF000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75">
    <xf numFmtId="0" fontId="0" fillId="0" borderId="0" xfId="0"/>
    <xf numFmtId="9" fontId="4" fillId="0" borderId="0" xfId="2" applyFont="1" applyAlignment="1">
      <alignment horizontal="center"/>
    </xf>
    <xf numFmtId="0" fontId="0" fillId="0" borderId="0" xfId="0" applyAlignment="1">
      <alignment horizontal="center"/>
    </xf>
    <xf numFmtId="0" fontId="22" fillId="0" borderId="0" xfId="43" applyFont="1"/>
    <xf numFmtId="0" fontId="5" fillId="0" borderId="0" xfId="0" applyFont="1" applyAlignment="1">
      <alignment vertical="center"/>
    </xf>
    <xf numFmtId="3" fontId="24" fillId="36" borderId="1" xfId="0" applyNumberFormat="1" applyFont="1" applyFill="1" applyBorder="1" applyAlignment="1">
      <alignment horizontal="center" vertical="center"/>
    </xf>
    <xf numFmtId="9" fontId="24" fillId="36" borderId="1" xfId="0" applyNumberFormat="1" applyFont="1" applyFill="1" applyBorder="1" applyAlignment="1">
      <alignment horizontal="center" vertical="center"/>
    </xf>
    <xf numFmtId="3" fontId="24" fillId="36" borderId="1" xfId="1" applyNumberFormat="1" applyFont="1" applyFill="1" applyBorder="1" applyAlignment="1">
      <alignment horizontal="center" vertical="center"/>
    </xf>
    <xf numFmtId="0" fontId="28" fillId="2" borderId="1" xfId="0" applyFont="1" applyFill="1" applyBorder="1" applyAlignment="1">
      <alignment horizontal="center" vertical="center" wrapText="1"/>
    </xf>
    <xf numFmtId="49" fontId="27" fillId="40" borderId="0" xfId="0" applyNumberFormat="1" applyFont="1" applyFill="1" applyAlignment="1">
      <alignment horizontal="center" vertical="center"/>
    </xf>
    <xf numFmtId="49" fontId="27" fillId="0" borderId="0" xfId="0" applyNumberFormat="1" applyFont="1" applyAlignment="1">
      <alignment horizontal="center" vertical="center"/>
    </xf>
    <xf numFmtId="164" fontId="27" fillId="0" borderId="0" xfId="1" applyNumberFormat="1" applyFont="1" applyBorder="1" applyAlignment="1">
      <alignment horizontal="center" vertical="center"/>
    </xf>
    <xf numFmtId="49" fontId="26" fillId="40" borderId="0" xfId="0" applyNumberFormat="1" applyFont="1" applyFill="1" applyAlignment="1">
      <alignment horizontal="center" vertical="center"/>
    </xf>
    <xf numFmtId="3" fontId="29" fillId="3" borderId="0" xfId="0" applyNumberFormat="1" applyFont="1" applyFill="1" applyAlignment="1">
      <alignment horizontal="right" vertical="center"/>
    </xf>
    <xf numFmtId="9" fontId="29" fillId="3" borderId="0" xfId="2" applyFont="1" applyFill="1" applyBorder="1" applyAlignment="1">
      <alignment horizontal="center" vertical="center"/>
    </xf>
    <xf numFmtId="3" fontId="29" fillId="4" borderId="0" xfId="1" applyNumberFormat="1" applyFont="1" applyFill="1" applyBorder="1" applyAlignment="1">
      <alignment vertical="center"/>
    </xf>
    <xf numFmtId="9" fontId="29" fillId="37" borderId="0" xfId="2" applyFont="1" applyFill="1" applyBorder="1" applyAlignment="1">
      <alignment horizontal="center" vertical="center"/>
    </xf>
    <xf numFmtId="49" fontId="29" fillId="38" borderId="0" xfId="2" applyNumberFormat="1" applyFont="1" applyFill="1" applyBorder="1" applyAlignment="1">
      <alignment horizontal="left" vertical="top" wrapText="1"/>
    </xf>
    <xf numFmtId="49" fontId="26" fillId="0" borderId="0" xfId="0" applyNumberFormat="1" applyFont="1" applyAlignment="1">
      <alignment horizontal="center" vertical="center"/>
    </xf>
    <xf numFmtId="3" fontId="29" fillId="0" borderId="0" xfId="0" applyNumberFormat="1" applyFont="1" applyAlignment="1">
      <alignment horizontal="right" vertical="center"/>
    </xf>
    <xf numFmtId="9" fontId="29" fillId="0" borderId="0" xfId="2" applyFont="1" applyFill="1" applyBorder="1" applyAlignment="1">
      <alignment horizontal="center" vertical="center"/>
    </xf>
    <xf numFmtId="3" fontId="29" fillId="0" borderId="0" xfId="1" applyNumberFormat="1" applyFont="1" applyFill="1" applyBorder="1" applyAlignment="1">
      <alignment vertical="center"/>
    </xf>
    <xf numFmtId="0" fontId="31" fillId="0" borderId="0" xfId="0" applyFont="1"/>
    <xf numFmtId="9" fontId="30" fillId="0" borderId="0" xfId="2" applyFont="1" applyAlignment="1">
      <alignment horizontal="center"/>
    </xf>
    <xf numFmtId="0" fontId="28" fillId="43" borderId="1" xfId="0" applyFont="1" applyFill="1" applyBorder="1" applyAlignment="1">
      <alignment horizontal="center" vertical="center" wrapText="1"/>
    </xf>
    <xf numFmtId="164" fontId="27"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2" fillId="0" borderId="0" xfId="0" applyFont="1" applyAlignment="1">
      <alignment vertical="center"/>
    </xf>
    <xf numFmtId="0" fontId="28" fillId="2" borderId="11" xfId="0" applyFont="1" applyFill="1" applyBorder="1" applyAlignment="1">
      <alignment horizontal="center" vertical="center" wrapText="1"/>
    </xf>
    <xf numFmtId="0" fontId="26" fillId="40" borderId="0" xfId="0" applyFont="1" applyFill="1" applyAlignment="1">
      <alignment horizontal="center" vertical="center"/>
    </xf>
    <xf numFmtId="0" fontId="27" fillId="40" borderId="0" xfId="0" applyFont="1" applyFill="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33" fillId="40" borderId="0" xfId="0" applyFont="1" applyFill="1" applyAlignment="1">
      <alignment horizontal="center"/>
    </xf>
    <xf numFmtId="0" fontId="29" fillId="0" borderId="0" xfId="0" applyFont="1"/>
    <xf numFmtId="0" fontId="24" fillId="0" borderId="0" xfId="0" applyFont="1"/>
    <xf numFmtId="0" fontId="23" fillId="41" borderId="1" xfId="0" applyFont="1" applyFill="1" applyBorder="1" applyAlignment="1">
      <alignment horizontal="center" vertical="center" wrapText="1"/>
    </xf>
    <xf numFmtId="9" fontId="23" fillId="41" borderId="1" xfId="2" applyFont="1" applyFill="1" applyBorder="1" applyAlignment="1">
      <alignment horizontal="center" vertical="center" wrapText="1"/>
    </xf>
    <xf numFmtId="0" fontId="23" fillId="42" borderId="1" xfId="0" applyFont="1" applyFill="1" applyBorder="1" applyAlignment="1">
      <alignment horizontal="center"/>
    </xf>
    <xf numFmtId="0" fontId="23" fillId="42" borderId="1" xfId="0" applyFont="1" applyFill="1" applyBorder="1" applyAlignment="1">
      <alignment horizontal="center" vertical="center" wrapText="1"/>
    </xf>
    <xf numFmtId="9" fontId="23" fillId="42" borderId="1" xfId="2" applyFont="1" applyFill="1" applyBorder="1" applyAlignment="1">
      <alignment horizontal="center" vertical="center" wrapText="1"/>
    </xf>
    <xf numFmtId="0" fontId="23" fillId="42" borderId="1" xfId="0" applyFont="1" applyFill="1" applyBorder="1" applyAlignment="1">
      <alignment horizontal="center" vertical="center"/>
    </xf>
    <xf numFmtId="49" fontId="27" fillId="0" borderId="0" xfId="0" applyNumberFormat="1" applyFont="1" applyAlignment="1">
      <alignment horizontal="left" vertical="top"/>
    </xf>
    <xf numFmtId="49" fontId="26" fillId="0" borderId="0" xfId="0" applyNumberFormat="1" applyFont="1" applyAlignment="1">
      <alignment horizontal="left" vertical="top"/>
    </xf>
    <xf numFmtId="49" fontId="34" fillId="38" borderId="0" xfId="2" applyNumberFormat="1" applyFont="1" applyFill="1" applyBorder="1" applyAlignment="1">
      <alignment horizontal="left" vertical="top" wrapText="1"/>
    </xf>
    <xf numFmtId="49" fontId="26"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27" fillId="0" borderId="0" xfId="0" applyNumberFormat="1" applyFont="1" applyAlignment="1">
      <alignment vertical="top" wrapText="1"/>
    </xf>
    <xf numFmtId="49" fontId="26" fillId="0" borderId="0" xfId="0" applyNumberFormat="1" applyFont="1" applyAlignment="1">
      <alignment vertical="top"/>
    </xf>
    <xf numFmtId="49" fontId="27" fillId="0" borderId="0" xfId="0" applyNumberFormat="1" applyFont="1" applyAlignment="1">
      <alignment vertical="top"/>
    </xf>
    <xf numFmtId="49" fontId="29" fillId="38" borderId="0" xfId="2" applyNumberFormat="1" applyFont="1" applyFill="1" applyBorder="1" applyAlignment="1">
      <alignment vertical="top" wrapText="1"/>
    </xf>
    <xf numFmtId="49" fontId="34" fillId="0" borderId="0" xfId="0" applyNumberFormat="1" applyFont="1" applyAlignment="1">
      <alignment horizontal="left" vertical="top"/>
    </xf>
    <xf numFmtId="49" fontId="34" fillId="0" borderId="0" xfId="0" applyNumberFormat="1" applyFont="1" applyAlignment="1">
      <alignment horizontal="left" vertical="top" wrapText="1"/>
    </xf>
    <xf numFmtId="0" fontId="0" fillId="0" borderId="0" xfId="0" applyAlignment="1">
      <alignment horizontal="left" vertical="top"/>
    </xf>
    <xf numFmtId="0" fontId="34" fillId="0" borderId="0" xfId="0" applyFont="1" applyAlignment="1">
      <alignment wrapText="1"/>
    </xf>
    <xf numFmtId="0" fontId="34" fillId="0" borderId="0" xfId="0" applyFont="1"/>
    <xf numFmtId="0" fontId="33" fillId="0" borderId="0" xfId="0" applyFont="1"/>
    <xf numFmtId="49" fontId="35" fillId="38" borderId="0" xfId="45" applyNumberFormat="1" applyFill="1" applyBorder="1" applyAlignment="1">
      <alignment horizontal="left" vertical="top" wrapText="1"/>
    </xf>
    <xf numFmtId="49" fontId="35" fillId="0" borderId="0" xfId="45" applyNumberFormat="1" applyAlignment="1">
      <alignment horizontal="left" vertical="center"/>
    </xf>
    <xf numFmtId="49" fontId="35" fillId="0" borderId="0" xfId="45" applyNumberFormat="1" applyAlignment="1">
      <alignment horizontal="left" vertical="top" wrapText="1"/>
    </xf>
    <xf numFmtId="49" fontId="35" fillId="0" borderId="0" xfId="45" applyNumberFormat="1" applyAlignment="1">
      <alignment horizontal="left" vertical="top"/>
    </xf>
    <xf numFmtId="0" fontId="35" fillId="0" borderId="0" xfId="45" applyAlignment="1">
      <alignment horizontal="left" vertical="top"/>
    </xf>
    <xf numFmtId="49" fontId="27" fillId="0" borderId="0" xfId="0" applyNumberFormat="1" applyFont="1" applyAlignment="1">
      <alignment horizontal="left" vertical="center" wrapText="1"/>
    </xf>
    <xf numFmtId="49" fontId="29" fillId="38" borderId="0" xfId="2" applyNumberFormat="1" applyFont="1" applyFill="1" applyAlignment="1">
      <alignment vertical="top" wrapText="1"/>
    </xf>
    <xf numFmtId="49" fontId="35" fillId="0" borderId="0" xfId="45" applyNumberFormat="1" applyAlignment="1">
      <alignment vertical="top" wrapText="1"/>
    </xf>
    <xf numFmtId="0" fontId="35" fillId="46" borderId="0" xfId="45" applyFill="1" applyAlignment="1">
      <alignment horizontal="left" vertical="top"/>
    </xf>
    <xf numFmtId="0" fontId="36" fillId="46" borderId="0" xfId="0" applyFont="1" applyFill="1" applyAlignment="1">
      <alignment horizontal="left" vertical="top"/>
    </xf>
    <xf numFmtId="49" fontId="35" fillId="38" borderId="0" xfId="45" applyNumberFormat="1" applyFill="1" applyBorder="1" applyAlignment="1">
      <alignment vertical="top" wrapText="1"/>
    </xf>
    <xf numFmtId="49" fontId="35" fillId="0" borderId="0" xfId="45" applyNumberFormat="1" applyAlignment="1">
      <alignment vertical="top"/>
    </xf>
    <xf numFmtId="49" fontId="35" fillId="0" borderId="0" xfId="45" applyNumberFormat="1" applyAlignment="1">
      <alignment horizontal="left" vertical="center" wrapText="1"/>
    </xf>
    <xf numFmtId="0" fontId="35" fillId="0" borderId="0" xfId="45" applyAlignment="1">
      <alignment horizontal="left" vertical="top" wrapText="1"/>
    </xf>
    <xf numFmtId="0" fontId="3" fillId="4" borderId="1" xfId="0" applyFont="1" applyFill="1" applyBorder="1" applyAlignment="1">
      <alignment horizontal="center" vertical="center"/>
    </xf>
    <xf numFmtId="0" fontId="25"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3"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37">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EEA5A393-BD7F-4789-84F4-3B09C3281B2F}"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3:D4">
    <sortCondition ref="C3"/>
  </sortState>
  <tableColumns count="5">
    <tableColumn id="3" xr3:uid="{3FB6FBC9-911C-415A-89D1-91E602B41CD0}" name="Site DAS Name" dataDxfId="6" dataCellStyle="Normal 2"/>
    <tableColumn id="1" xr3:uid="{9A753695-C18C-437C-AD9C-C2CE5C1A806E}" name="Site" dataDxfId="5" dataCellStyle="Normal 2"/>
    <tableColumn id="2" xr3:uid="{250F229D-34D2-4043-BE8F-6D9C210E223F}" name="State" dataDxfId="4"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5-01-08T10:00:20.93" personId="{EEA5A393-BD7F-4789-84F4-3B09C3281B2F}" id="{4A15B6EB-7B9B-424C-9435-08A2C479B1FE}">
    <text>Actual data is taken from inverters data since meter lost communication from 08/22</text>
  </threadedComment>
</ThreadedComments>
</file>

<file path=xl/threadedComments/threadedComment2.xml><?xml version="1.0" encoding="utf-8"?>
<ThreadedComments xmlns="http://schemas.microsoft.com/office/spreadsheetml/2018/threadedcomments" xmlns:x="http://schemas.openxmlformats.org/spreadsheetml/2006/main">
  <threadedComment ref="C5" dT="2025-01-08T10:00:15.27" personId="{EEA5A393-BD7F-4789-84F4-3B09C3281B2F}" id="{EC69C0E9-20D7-48F1-B39F-021C2905122D}">
    <text>Actual data is taken from inverters data since meter lost communication from 08/22</text>
  </threadedComment>
</ThreadedComments>
</file>

<file path=xl/threadedComments/threadedComment3.xml><?xml version="1.0" encoding="utf-8"?>
<ThreadedComments xmlns="http://schemas.microsoft.com/office/spreadsheetml/2018/threadedcomments" xmlns:x="http://schemas.openxmlformats.org/spreadsheetml/2006/main">
  <threadedComment ref="C5" dT="2025-01-08T09:59:52.16" personId="{EEA5A393-BD7F-4789-84F4-3B09C3281B2F}" id="{5E20A36F-D8D8-49DD-94DD-70235247D7C0}">
    <text>Actual data is taken from inverters data since meter lost communication from 08/22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04" TargetMode="External"/><Relationship Id="rId3" Type="http://schemas.openxmlformats.org/officeDocument/2006/relationships/hyperlink" Target="https://us3.assetplanner.com/service_request?ID=096160" TargetMode="External"/><Relationship Id="rId7" Type="http://schemas.openxmlformats.org/officeDocument/2006/relationships/hyperlink" Target="https://us3.assetplanner.com/service_request?ID=099639" TargetMode="External"/><Relationship Id="rId2" Type="http://schemas.openxmlformats.org/officeDocument/2006/relationships/hyperlink" Target="https://us3.assetplanner.com/service_request?ID=095814" TargetMode="External"/><Relationship Id="rId1" Type="http://schemas.openxmlformats.org/officeDocument/2006/relationships/hyperlink" Target="https://us3.assetplanner.com/service_request?ID=099649" TargetMode="External"/><Relationship Id="rId6" Type="http://schemas.openxmlformats.org/officeDocument/2006/relationships/hyperlink" Target="https://us3.assetplanner.com/service_request?ID=096743" TargetMode="External"/><Relationship Id="rId5" Type="http://schemas.openxmlformats.org/officeDocument/2006/relationships/hyperlink" Target="https://us3.assetplanner.com/service_request?ID=097592" TargetMode="External"/><Relationship Id="rId4" Type="http://schemas.openxmlformats.org/officeDocument/2006/relationships/hyperlink" Target="https://us3.assetplanner.com/service_request?ID=09601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0" TargetMode="External"/><Relationship Id="rId3" Type="http://schemas.openxmlformats.org/officeDocument/2006/relationships/hyperlink" Target="https://us3.assetplanner.com/service_request?ID=097592" TargetMode="External"/><Relationship Id="rId7" Type="http://schemas.openxmlformats.org/officeDocument/2006/relationships/hyperlink" Target="https://us3.assetplanner.com/service_request?ID=097804" TargetMode="External"/><Relationship Id="rId2" Type="http://schemas.openxmlformats.org/officeDocument/2006/relationships/hyperlink" Target="https://us3.assetplanner.com/service_request?ID=096160" TargetMode="External"/><Relationship Id="rId1" Type="http://schemas.openxmlformats.org/officeDocument/2006/relationships/hyperlink" Target="https://us3.assetplanner.com/service_request?ID=096012" TargetMode="External"/><Relationship Id="rId6" Type="http://schemas.openxmlformats.org/officeDocument/2006/relationships/hyperlink" Target="https://us3.assetplanner.com/service_request?ID=099639" TargetMode="External"/><Relationship Id="rId5" Type="http://schemas.openxmlformats.org/officeDocument/2006/relationships/hyperlink" Target="https://us3.assetplanner.com/service_request?ID=095815" TargetMode="External"/><Relationship Id="rId4" Type="http://schemas.openxmlformats.org/officeDocument/2006/relationships/hyperlink" Target="https://us3.assetplanner.com/service_request?ID=096743" TargetMode="External"/><Relationship Id="rId9" Type="http://schemas.openxmlformats.org/officeDocument/2006/relationships/hyperlink" Target="https://us3.assetplanner.com/service_request?ID=0986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610" TargetMode="External"/><Relationship Id="rId13" Type="http://schemas.openxmlformats.org/officeDocument/2006/relationships/hyperlink" Target="https://us3.assetplanner.com/service_request?ID=100058" TargetMode="External"/><Relationship Id="rId18" Type="http://schemas.openxmlformats.org/officeDocument/2006/relationships/printerSettings" Target="../printerSettings/printerSettings4.bin"/><Relationship Id="rId3" Type="http://schemas.openxmlformats.org/officeDocument/2006/relationships/hyperlink" Target="https://us3.assetplanner.com/service_request?ID=096160" TargetMode="External"/><Relationship Id="rId7" Type="http://schemas.openxmlformats.org/officeDocument/2006/relationships/hyperlink" Target="https://us3.assetplanner.com/service_request?ID=100778" TargetMode="External"/><Relationship Id="rId12" Type="http://schemas.openxmlformats.org/officeDocument/2006/relationships/hyperlink" Target="https://us3.assetplanner.com/service_request?ID=098620" TargetMode="External"/><Relationship Id="rId17" Type="http://schemas.openxmlformats.org/officeDocument/2006/relationships/hyperlink" Target="https://us3.assetplanner.com/service_request?ID=100349" TargetMode="External"/><Relationship Id="rId2" Type="http://schemas.openxmlformats.org/officeDocument/2006/relationships/hyperlink" Target="https://us3.assetplanner.com/service_request?ID=096012" TargetMode="External"/><Relationship Id="rId16" Type="http://schemas.openxmlformats.org/officeDocument/2006/relationships/hyperlink" Target="https://us3.assetplanner.com/service_request?ID=100047" TargetMode="External"/><Relationship Id="rId1" Type="http://schemas.openxmlformats.org/officeDocument/2006/relationships/hyperlink" Target="https://us3.assetplanner.com/service_request?ID=099674" TargetMode="External"/><Relationship Id="rId6" Type="http://schemas.openxmlformats.org/officeDocument/2006/relationships/hyperlink" Target="https://us3.assetplanner.com/service_request?ID=100774" TargetMode="External"/><Relationship Id="rId11" Type="http://schemas.openxmlformats.org/officeDocument/2006/relationships/hyperlink" Target="https://us3.assetplanner.com/service_request?ID=099639" TargetMode="External"/><Relationship Id="rId5" Type="http://schemas.openxmlformats.org/officeDocument/2006/relationships/hyperlink" Target="https://us3.assetplanner.com/service_request?ID=100105" TargetMode="External"/><Relationship Id="rId15" Type="http://schemas.openxmlformats.org/officeDocument/2006/relationships/hyperlink" Target="https://us3.assetplanner.com/service_request?ID=099782" TargetMode="External"/><Relationship Id="rId10" Type="http://schemas.openxmlformats.org/officeDocument/2006/relationships/hyperlink" Target="https://us3.assetplanner.com/service_request?ID=095815" TargetMode="External"/><Relationship Id="rId4" Type="http://schemas.openxmlformats.org/officeDocument/2006/relationships/hyperlink" Target="https://us3.assetplanner.com/service_request?ID=097592" TargetMode="External"/><Relationship Id="rId9" Type="http://schemas.openxmlformats.org/officeDocument/2006/relationships/hyperlink" Target="https://us3.assetplanner.com/service_request?ID=100174" TargetMode="External"/><Relationship Id="rId14" Type="http://schemas.openxmlformats.org/officeDocument/2006/relationships/hyperlink" Target="https://us3.assetplanner.com/service_request?ID=9862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524" TargetMode="External"/><Relationship Id="rId13" Type="http://schemas.openxmlformats.org/officeDocument/2006/relationships/hyperlink" Target="https://us3.assetplanner.com/service_request?ID=100774" TargetMode="External"/><Relationship Id="rId18" Type="http://schemas.openxmlformats.org/officeDocument/2006/relationships/hyperlink" Target="https://us3.assetplanner.com/service_request?ID=102330" TargetMode="External"/><Relationship Id="rId3" Type="http://schemas.openxmlformats.org/officeDocument/2006/relationships/hyperlink" Target="https://us3.assetplanner.com/service_request?ID=096160" TargetMode="External"/><Relationship Id="rId21" Type="http://schemas.openxmlformats.org/officeDocument/2006/relationships/hyperlink" Target="https://us3.assetplanner.com/service_request?ID=101590" TargetMode="External"/><Relationship Id="rId7" Type="http://schemas.openxmlformats.org/officeDocument/2006/relationships/hyperlink" Target="https://us3.assetplanner.com/service_request?ID=101859" TargetMode="External"/><Relationship Id="rId12" Type="http://schemas.openxmlformats.org/officeDocument/2006/relationships/hyperlink" Target="https://us3.assetplanner.com/service_request?ID=100105" TargetMode="External"/><Relationship Id="rId17" Type="http://schemas.openxmlformats.org/officeDocument/2006/relationships/hyperlink" Target="https://us3.assetplanner.com/service_request?ID=101951" TargetMode="External"/><Relationship Id="rId2" Type="http://schemas.openxmlformats.org/officeDocument/2006/relationships/hyperlink" Target="https://us3.assetplanner.com/service_request?ID=101332" TargetMode="External"/><Relationship Id="rId16" Type="http://schemas.openxmlformats.org/officeDocument/2006/relationships/hyperlink" Target="https://us3.assetplanner.com/service_request?ID=099846" TargetMode="External"/><Relationship Id="rId20" Type="http://schemas.openxmlformats.org/officeDocument/2006/relationships/hyperlink" Target="https://us3.assetplanner.com/service_request?ID=099847" TargetMode="External"/><Relationship Id="rId1" Type="http://schemas.openxmlformats.org/officeDocument/2006/relationships/hyperlink" Target="https://us3.assetplanner.com/service_request?ID=101060" TargetMode="External"/><Relationship Id="rId6" Type="http://schemas.openxmlformats.org/officeDocument/2006/relationships/hyperlink" Target="https://us3.assetplanner.com/service_request?ID=101332" TargetMode="External"/><Relationship Id="rId11" Type="http://schemas.openxmlformats.org/officeDocument/2006/relationships/hyperlink" Target="https://us3.assetplanner.com/service_request?ID=101409" TargetMode="External"/><Relationship Id="rId24" Type="http://schemas.openxmlformats.org/officeDocument/2006/relationships/hyperlink" Target="https://us3.assetplanner.com/service_request?ID=100349" TargetMode="External"/><Relationship Id="rId5" Type="http://schemas.openxmlformats.org/officeDocument/2006/relationships/hyperlink" Target="https://us3.assetplanner.com/service_request?ID=101060" TargetMode="External"/><Relationship Id="rId15" Type="http://schemas.openxmlformats.org/officeDocument/2006/relationships/hyperlink" Target="https://us3.assetplanner.com/service_request?ID=101850" TargetMode="External"/><Relationship Id="rId23" Type="http://schemas.openxmlformats.org/officeDocument/2006/relationships/hyperlink" Target="https://us3.assetplanner.com/service_request?ID=100047" TargetMode="External"/><Relationship Id="rId10" Type="http://schemas.openxmlformats.org/officeDocument/2006/relationships/hyperlink" Target="https://us3.assetplanner.com/service_request?ID=102079" TargetMode="External"/><Relationship Id="rId19" Type="http://schemas.openxmlformats.org/officeDocument/2006/relationships/hyperlink" Target="https://us3.assetplanner.com/service_request?ID=100174" TargetMode="External"/><Relationship Id="rId4" Type="http://schemas.openxmlformats.org/officeDocument/2006/relationships/hyperlink" Target="https://us3.assetplanner.com/service_request?ID=102080" TargetMode="External"/><Relationship Id="rId9" Type="http://schemas.openxmlformats.org/officeDocument/2006/relationships/hyperlink" Target="https://us3.assetplanner.com/service_request?ID=097592" TargetMode="External"/><Relationship Id="rId14" Type="http://schemas.openxmlformats.org/officeDocument/2006/relationships/hyperlink" Target="https://us3.assetplanner.com/service_request?ID=100778" TargetMode="External"/><Relationship Id="rId22" Type="http://schemas.openxmlformats.org/officeDocument/2006/relationships/hyperlink" Target="https://us3.assetplanner.com/service_request?ID=10159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1951" TargetMode="External"/><Relationship Id="rId13" Type="http://schemas.openxmlformats.org/officeDocument/2006/relationships/hyperlink" Target="https://us3.assetplanner.com/service_request?ID=101406" TargetMode="External"/><Relationship Id="rId3" Type="http://schemas.openxmlformats.org/officeDocument/2006/relationships/hyperlink" Target="https://us3.assetplanner.com/service_request?ID=101859" TargetMode="External"/><Relationship Id="rId7" Type="http://schemas.openxmlformats.org/officeDocument/2006/relationships/hyperlink" Target="https://us3.assetplanner.com/service_request?ID=101850" TargetMode="External"/><Relationship Id="rId12" Type="http://schemas.openxmlformats.org/officeDocument/2006/relationships/hyperlink" Target="https://us3.assetplanner.com/service_request?ID=101591" TargetMode="External"/><Relationship Id="rId2" Type="http://schemas.openxmlformats.org/officeDocument/2006/relationships/hyperlink" Target="https://us3.assetplanner.com/service_request?ID=097592"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3110" TargetMode="External"/><Relationship Id="rId11" Type="http://schemas.openxmlformats.org/officeDocument/2006/relationships/hyperlink" Target="https://us3.assetplanner.com/service_request?ID=101590" TargetMode="External"/><Relationship Id="rId5" Type="http://schemas.openxmlformats.org/officeDocument/2006/relationships/hyperlink" Target="https://us3.assetplanner.com/service_request?ID=100774" TargetMode="External"/><Relationship Id="rId10" Type="http://schemas.openxmlformats.org/officeDocument/2006/relationships/hyperlink" Target="https://us3.assetplanner.com/service_request?ID=100174" TargetMode="External"/><Relationship Id="rId4" Type="http://schemas.openxmlformats.org/officeDocument/2006/relationships/hyperlink" Target="https://us3.assetplanner.com/service_request?ID=103044" TargetMode="External"/><Relationship Id="rId9" Type="http://schemas.openxmlformats.org/officeDocument/2006/relationships/hyperlink" Target="https://us3.assetplanner.com/service_request?ID=102330" TargetMode="External"/><Relationship Id="rId14"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ySplit="2" topLeftCell="A3" activePane="bottomLeft" state="frozen"/>
      <selection pane="bottomLeft" activeCell="C4" sqref="C4"/>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Pardee (ENCAP)</v>
      </c>
      <c r="B1" s="72"/>
      <c r="C1" s="72"/>
      <c r="D1" s="73" t="s">
        <v>0</v>
      </c>
      <c r="E1" s="73"/>
      <c r="F1" s="73"/>
      <c r="G1" s="71" t="s">
        <v>1</v>
      </c>
      <c r="H1" s="71"/>
      <c r="I1" s="71"/>
    </row>
    <row r="2" spans="1:9" ht="19.5" customHeight="1">
      <c r="A2" s="74" t="s">
        <v>2</v>
      </c>
      <c r="B2" s="74"/>
      <c r="C2" s="5">
        <f>SUM(C4:C86)</f>
        <v>2461304.2055970412</v>
      </c>
      <c r="D2" s="5">
        <f>SUM(D4:D86)</f>
        <v>2597681.8749999995</v>
      </c>
      <c r="E2" s="5">
        <f>C2-D2</f>
        <v>-136377.66940295836</v>
      </c>
      <c r="F2" s="6">
        <f>IFERROR(E2/D2, 0)</f>
        <v>-5.2499757847738145E-2</v>
      </c>
      <c r="G2" s="5">
        <f>SUM(G4:G86)</f>
        <v>2830280.818</v>
      </c>
      <c r="H2" s="7">
        <f>C2-G2</f>
        <v>-368976.6124029588</v>
      </c>
      <c r="I2" s="6">
        <f>IFERROR(H2/G2, 0)</f>
        <v>-0.13036749217828278</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SUM('1st Qtr'!C4, '2nd Qtr'!C4, '3rd Qtr'!C4, '4th Qtr'!C4)</f>
        <v>51914.5</v>
      </c>
      <c r="D4" s="13">
        <f>SUM('1st Qtr'!D4, '2nd Qtr'!D4, '3rd Qtr'!D4, '4th Qtr'!D4)</f>
        <v>46097.713000000003</v>
      </c>
      <c r="E4" s="13">
        <f>IF(AND(ISNUMBER(C4),ISNUMBER(D4)), C4-D4, "")</f>
        <v>5816.7869999999966</v>
      </c>
      <c r="F4" s="14">
        <f>IFERROR(E4/D4, "")</f>
        <v>0.12618385211431196</v>
      </c>
      <c r="G4" s="15">
        <f>SUM('1st Qtr'!G4,'2nd Qtr'!G4,'3rd Qtr'!G4,'4th Qtr'!G4)</f>
        <v>59484.468999999997</v>
      </c>
      <c r="H4" s="15">
        <f>SUM('1st Qtr'!H4, '2nd Qtr'!H4, '3rd Qtr'!H4, '4th Qtr'!H4)</f>
        <v>-7569.9689999999991</v>
      </c>
      <c r="I4" s="16">
        <f>IFERROR(H4/G4, "")</f>
        <v>-0.12725958770851598</v>
      </c>
    </row>
    <row r="5" spans="1:9" ht="15.6">
      <c r="A5" s="18" t="str">
        <v>AZ: ASU - Pardee - Farrington</v>
      </c>
      <c r="B5" s="10" t="str">
        <v>AZ</v>
      </c>
      <c r="C5" s="19">
        <f>SUM('1st Qtr'!C5, '2nd Qtr'!C5, '3rd Qtr'!C5, '4th Qtr'!C5)</f>
        <v>237622.58059704112</v>
      </c>
      <c r="D5" s="19">
        <f>SUM('1st Qtr'!D5, '2nd Qtr'!D5, '3rd Qtr'!D5, '4th Qtr'!D5)</f>
        <v>207312.58000000002</v>
      </c>
      <c r="E5" s="19">
        <f t="shared" ref="E5:E14" si="0">IF(AND(ISNUMBER(C5),ISNUMBER(D5)), C5-D5, "")</f>
        <v>30310.0005970411</v>
      </c>
      <c r="F5" s="20">
        <f>IFERROR(E5/D5, "")</f>
        <v>0.14620434802866811</v>
      </c>
      <c r="G5" s="21">
        <f>SUM('1st Qtr'!G5,'2nd Qtr'!G5,'3rd Qtr'!G5,'4th Qtr'!G5)</f>
        <v>223950.06</v>
      </c>
      <c r="H5" s="21">
        <f>SUM(Jan!H5, Feb!H5, Mar!H5)</f>
        <v>2231.0834558106035</v>
      </c>
      <c r="I5" s="20">
        <f>IFERROR(H5/G5, "")</f>
        <v>9.9624150840174081E-3</v>
      </c>
    </row>
    <row r="6" spans="1:9" ht="15.6">
      <c r="A6" s="12" t="str">
        <v>AZ: ASU - Pardee - Macro Tech.</v>
      </c>
      <c r="B6" s="9" t="str">
        <v>AZ</v>
      </c>
      <c r="C6" s="25">
        <f>SUM('1st Qtr'!C6, '2nd Qtr'!C6, '3rd Qtr'!C6, '4th Qtr'!C6)</f>
        <v>528765.375</v>
      </c>
      <c r="D6" s="13">
        <f>SUM('1st Qtr'!D6, '2nd Qtr'!D6, '3rd Qtr'!D6, '4th Qtr'!D6)</f>
        <v>767014.79999999993</v>
      </c>
      <c r="E6" s="13">
        <f t="shared" si="0"/>
        <v>-238249.42499999993</v>
      </c>
      <c r="F6" s="14">
        <f t="shared" ref="F6:F14" si="1">IFERROR(E6/D6, "")</f>
        <v>-0.31061907149640394</v>
      </c>
      <c r="G6" s="15">
        <f>SUM('1st Qtr'!G6,'2nd Qtr'!G6,'3rd Qtr'!G6,'4th Qtr'!G6)</f>
        <v>816459.74</v>
      </c>
      <c r="H6" s="15">
        <f>SUM(Jan!H6, Feb!H6, Mar!H6)</f>
        <v>-104884.36499999999</v>
      </c>
      <c r="I6" s="16">
        <f t="shared" ref="I6:I14" si="2">IFERROR(H6/G6, "")</f>
        <v>-0.12846238444041341</v>
      </c>
    </row>
    <row r="7" spans="1:9" ht="15.6">
      <c r="A7" s="18" t="str">
        <v>AZ: ASU - Pardee - McCord Hall</v>
      </c>
      <c r="B7" s="10" t="str">
        <v>AZ</v>
      </c>
      <c r="C7" s="19">
        <f>SUM('1st Qtr'!C7, '2nd Qtr'!C7, '3rd Qtr'!C7, '4th Qtr'!C7)</f>
        <v>70159.625</v>
      </c>
      <c r="D7" s="19">
        <f>SUM('1st Qtr'!D7, '2nd Qtr'!D7, '3rd Qtr'!D7, '4th Qtr'!D7)</f>
        <v>61426.166000000005</v>
      </c>
      <c r="E7" s="19">
        <f t="shared" si="0"/>
        <v>8733.4589999999953</v>
      </c>
      <c r="F7" s="20">
        <f t="shared" si="1"/>
        <v>0.14217815580415671</v>
      </c>
      <c r="G7" s="21">
        <f>SUM('1st Qtr'!G7,'2nd Qtr'!G7,'3rd Qtr'!G7,'4th Qtr'!G7)</f>
        <v>80304.122999999992</v>
      </c>
      <c r="H7" s="21">
        <f>SUM(Jan!H7, Feb!H7, Mar!H7)</f>
        <v>-2559.4829999999984</v>
      </c>
      <c r="I7" s="20">
        <f t="shared" si="2"/>
        <v>-3.1872373477013112E-2</v>
      </c>
    </row>
    <row r="8" spans="1:9" ht="15.6">
      <c r="A8" s="12" t="str">
        <v>AZ: NAU - SF Garage</v>
      </c>
      <c r="B8" s="9" t="str">
        <v>AZ</v>
      </c>
      <c r="C8" s="25">
        <f>SUM('1st Qtr'!C8, '2nd Qtr'!C8, '3rd Qtr'!C8, '4th Qtr'!C8)</f>
        <v>484700</v>
      </c>
      <c r="D8" s="13">
        <f>SUM('1st Qtr'!D8, '2nd Qtr'!D8, '3rd Qtr'!D8, '4th Qtr'!D8)</f>
        <v>481141.67599999998</v>
      </c>
      <c r="E8" s="13">
        <f t="shared" si="0"/>
        <v>3558.3240000000224</v>
      </c>
      <c r="F8" s="14">
        <f t="shared" si="1"/>
        <v>7.3955846635077663E-3</v>
      </c>
      <c r="G8" s="15">
        <f>SUM('1st Qtr'!G8,'2nd Qtr'!G8,'3rd Qtr'!G8,'4th Qtr'!G8)</f>
        <v>464419.72600000002</v>
      </c>
      <c r="H8" s="15">
        <f>SUM(Jan!H8, Feb!H8, Mar!H8)</f>
        <v>9573.3470000000016</v>
      </c>
      <c r="I8" s="16">
        <f t="shared" si="2"/>
        <v>2.0613566702806247E-2</v>
      </c>
    </row>
    <row r="9" spans="1:9" ht="15.6">
      <c r="A9" s="18" t="str">
        <v>AZ: ASU - Pardee - Parking Lot 11</v>
      </c>
      <c r="B9" s="10" t="str">
        <v>AZ</v>
      </c>
      <c r="C9" s="19">
        <f>SUM('1st Qtr'!C9, '2nd Qtr'!C9, '3rd Qtr'!C9, '4th Qtr'!C9)</f>
        <v>138702.75</v>
      </c>
      <c r="D9" s="19">
        <f>SUM('1st Qtr'!D9, '2nd Qtr'!D9, '3rd Qtr'!D9, '4th Qtr'!D9)</f>
        <v>146734.57</v>
      </c>
      <c r="E9" s="19">
        <f t="shared" si="0"/>
        <v>-8031.820000000007</v>
      </c>
      <c r="F9" s="20">
        <f t="shared" si="1"/>
        <v>-5.4737067072878648E-2</v>
      </c>
      <c r="G9" s="21">
        <f>SUM('1st Qtr'!G9,'2nd Qtr'!G9,'3rd Qtr'!G9,'4th Qtr'!G9)</f>
        <v>133470.31</v>
      </c>
      <c r="H9" s="21">
        <f>SUM(Jan!H9, Feb!H9, Mar!H9)</f>
        <v>20474.697500000002</v>
      </c>
      <c r="I9" s="20">
        <f t="shared" si="2"/>
        <v>0.15340263688606104</v>
      </c>
    </row>
    <row r="10" spans="1:9" ht="15.6">
      <c r="A10" s="12" t="str">
        <v>AZ: ASU - Pardee - Parking Lot 19</v>
      </c>
      <c r="B10" s="9" t="str">
        <v>AZ</v>
      </c>
      <c r="C10" s="25">
        <f>SUM('1st Qtr'!C10, '2nd Qtr'!C10, '3rd Qtr'!C10, '4th Qtr'!C10)</f>
        <v>214482.25</v>
      </c>
      <c r="D10" s="13">
        <f>SUM('1st Qtr'!D10, '2nd Qtr'!D10, '3rd Qtr'!D10, '4th Qtr'!D10)</f>
        <v>190535.2</v>
      </c>
      <c r="E10" s="13">
        <f t="shared" si="0"/>
        <v>23947.049999999988</v>
      </c>
      <c r="F10" s="14">
        <f t="shared" si="1"/>
        <v>0.12568307588309136</v>
      </c>
      <c r="G10" s="15">
        <f>SUM('1st Qtr'!G10,'2nd Qtr'!G10,'3rd Qtr'!G10,'4th Qtr'!G10)</f>
        <v>197636.13</v>
      </c>
      <c r="H10" s="15">
        <f>SUM(Jan!H10, Feb!H10, Mar!H10)</f>
        <v>27095.304999999997</v>
      </c>
      <c r="I10" s="16">
        <f t="shared" si="2"/>
        <v>0.13709692149912062</v>
      </c>
    </row>
    <row r="11" spans="1:9" ht="15.6">
      <c r="A11" s="18" t="str">
        <v>AZ: ASU - Pardee - Parking Lot 41</v>
      </c>
      <c r="B11" s="10" t="str">
        <v>AZ</v>
      </c>
      <c r="C11" s="19">
        <f>SUM('1st Qtr'!C11, '2nd Qtr'!C11, '3rd Qtr'!C11, '4th Qtr'!C11)</f>
        <v>186711</v>
      </c>
      <c r="D11" s="19">
        <f>SUM('1st Qtr'!D11, '2nd Qtr'!D11, '3rd Qtr'!D11, '4th Qtr'!D11)</f>
        <v>170555.45</v>
      </c>
      <c r="E11" s="19">
        <f t="shared" si="0"/>
        <v>16155.549999999988</v>
      </c>
      <c r="F11" s="20">
        <f t="shared" si="1"/>
        <v>9.4723153085990441E-2</v>
      </c>
      <c r="G11" s="21">
        <f>SUM('1st Qtr'!G11,'2nd Qtr'!G11,'3rd Qtr'!G11,'4th Qtr'!G11)</f>
        <v>200570.59</v>
      </c>
      <c r="H11" s="21">
        <f>SUM(Jan!H11, Feb!H11, Mar!H11)</f>
        <v>-4433.7900000000009</v>
      </c>
      <c r="I11" s="20">
        <f t="shared" si="2"/>
        <v>-2.2105883021035142E-2</v>
      </c>
    </row>
    <row r="12" spans="1:9" ht="15.6">
      <c r="A12" s="12" t="str">
        <v>AZ: ASU - Pardee - Parking Lot 58</v>
      </c>
      <c r="B12" s="9" t="str">
        <v>AZ</v>
      </c>
      <c r="C12" s="25">
        <f>SUM('1st Qtr'!C12, '2nd Qtr'!C12, '3rd Qtr'!C12, '4th Qtr'!C12)</f>
        <v>174547.25</v>
      </c>
      <c r="D12" s="13">
        <f>SUM('1st Qtr'!D12, '2nd Qtr'!D12, '3rd Qtr'!D12, '4th Qtr'!D12)</f>
        <v>167202.33000000002</v>
      </c>
      <c r="E12" s="13">
        <f t="shared" si="0"/>
        <v>7344.9199999999837</v>
      </c>
      <c r="F12" s="14">
        <f t="shared" si="1"/>
        <v>4.3928335209204222E-2</v>
      </c>
      <c r="G12" s="15">
        <f>SUM('1st Qtr'!G12,'2nd Qtr'!G12,'3rd Qtr'!G12,'4th Qtr'!G12)</f>
        <v>219352.15999999997</v>
      </c>
      <c r="H12" s="15">
        <f>SUM(Jan!H12, Feb!H12, Mar!H12)</f>
        <v>8278.1999999999971</v>
      </c>
      <c r="I12" s="16">
        <f t="shared" si="2"/>
        <v>3.7739313804796809E-2</v>
      </c>
    </row>
    <row r="13" spans="1:9" ht="15.6">
      <c r="A13" s="18" t="str">
        <v>AZ: ASU - Pardee - Parking Lot 59S</v>
      </c>
      <c r="B13" s="10" t="str">
        <v>AZ</v>
      </c>
      <c r="C13" s="19">
        <f>SUM('1st Qtr'!C13, '2nd Qtr'!C13, '3rd Qtr'!C13, '4th Qtr'!C13)</f>
        <v>203345.375</v>
      </c>
      <c r="D13" s="19">
        <f>SUM('1st Qtr'!D13, '2nd Qtr'!D13, '3rd Qtr'!D13, '4th Qtr'!D13)</f>
        <v>169696.07</v>
      </c>
      <c r="E13" s="19">
        <f t="shared" si="0"/>
        <v>33649.304999999993</v>
      </c>
      <c r="F13" s="20">
        <f t="shared" si="1"/>
        <v>0.19829159862099335</v>
      </c>
      <c r="G13" s="21">
        <f>SUM('1st Qtr'!G13,'2nd Qtr'!G13,'3rd Qtr'!G13,'4th Qtr'!G13)</f>
        <v>215423.51</v>
      </c>
      <c r="H13" s="21">
        <f>SUM(Jan!H13, Feb!H13, Mar!H13)</f>
        <v>-14901.55</v>
      </c>
      <c r="I13" s="20">
        <f t="shared" si="2"/>
        <v>-6.9173276398662331E-2</v>
      </c>
    </row>
    <row r="14" spans="1:9" ht="15.6">
      <c r="A14" s="12" t="str">
        <v>AZ: ASU - Pardee - Sun Devil Complex</v>
      </c>
      <c r="B14" s="9" t="str">
        <v>AZ</v>
      </c>
      <c r="C14" s="25">
        <f>SUM('1st Qtr'!C14, '2nd Qtr'!C14, '3rd Qtr'!C14, '4th Qtr'!C14)</f>
        <v>170353.5</v>
      </c>
      <c r="D14" s="13">
        <f>SUM('1st Qtr'!D14, '2nd Qtr'!D14, '3rd Qtr'!D14, '4th Qtr'!D14)</f>
        <v>189965.32</v>
      </c>
      <c r="E14" s="13">
        <f t="shared" si="0"/>
        <v>-19611.820000000007</v>
      </c>
      <c r="F14" s="14">
        <f t="shared" si="1"/>
        <v>-0.10323894908818097</v>
      </c>
      <c r="G14" s="15">
        <f>SUM('1st Qtr'!G14,'2nd Qtr'!G14,'3rd Qtr'!G14,'4th Qtr'!G14)</f>
        <v>219210</v>
      </c>
      <c r="H14" s="15">
        <f>SUM(Jan!H14, Feb!H14, Mar!H14)</f>
        <v>-17260</v>
      </c>
      <c r="I14" s="16">
        <f t="shared" si="2"/>
        <v>-7.873728388303454E-2</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autoFilter ref="A2:I2" xr:uid="{D5C25034-9971-4A61-864F-C938F31EB1B8}"/>
  <mergeCells count="4">
    <mergeCell ref="G1:I1"/>
    <mergeCell ref="A1:C1"/>
    <mergeCell ref="D1:F1"/>
    <mergeCell ref="A2:B2"/>
  </mergeCells>
  <conditionalFormatting sqref="F2 I2 F4:F86 I4:I86">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ySplit="2" topLeftCell="A3" activePane="bottomLeft" state="frozen"/>
      <selection pane="bottomLeft" activeCell="E28" sqref="E28"/>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Pardee (ENCAP)</v>
      </c>
      <c r="B1" s="72"/>
      <c r="C1" s="72"/>
      <c r="D1" s="73" t="s">
        <v>10</v>
      </c>
      <c r="E1" s="73"/>
      <c r="F1" s="73"/>
      <c r="G1" s="71" t="s">
        <v>11</v>
      </c>
      <c r="H1" s="71"/>
      <c r="I1" s="71"/>
    </row>
    <row r="2" spans="1:9" ht="19.5" customHeight="1">
      <c r="A2" s="74" t="s">
        <v>2</v>
      </c>
      <c r="B2" s="74"/>
      <c r="C2" s="5">
        <f>SUM(C4:C86)</f>
        <v>1004744.6359558105</v>
      </c>
      <c r="D2" s="5">
        <f>SUM(D4:D86)</f>
        <v>1086389.2379999999</v>
      </c>
      <c r="E2" s="5">
        <f>C2-D2</f>
        <v>-81644.602044189349</v>
      </c>
      <c r="F2" s="6">
        <f>IFERROR(E2/D2, 0)</f>
        <v>-7.5152255921177816E-2</v>
      </c>
      <c r="G2" s="5">
        <f>SUM(G4:G86)</f>
        <v>1083575.165</v>
      </c>
      <c r="H2" s="7">
        <f>C2-G2</f>
        <v>-78830.52904418949</v>
      </c>
      <c r="I2" s="6">
        <f>IFERROR(H2/G2, 0)</f>
        <v>-7.2750402178320031E-2</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SUM(Jan!C4, Feb!C4, Mar!C4)</f>
        <v>21298.125</v>
      </c>
      <c r="D4" s="13">
        <f>SUM(Jan!D4, Feb!D4, Mar!D4)</f>
        <v>18845.883999999998</v>
      </c>
      <c r="E4" s="13">
        <f>IF(AND(ISNUMBER(C4),ISNUMBER(D4)), C4-D4, "")</f>
        <v>2452.2410000000018</v>
      </c>
      <c r="F4" s="14">
        <f>IFERROR(E4/D4, "")</f>
        <v>0.13012077332111363</v>
      </c>
      <c r="G4" s="15">
        <f>SUM(Jan!G4, Feb!G4, Mar!G4)</f>
        <v>23742.099000000002</v>
      </c>
      <c r="H4" s="15">
        <f>SUM(Jan!H4, Feb!H4, Mar!H4)</f>
        <v>-2443.9740000000002</v>
      </c>
      <c r="I4" s="16">
        <f>IFERROR(H4/G4, "")</f>
        <v>-0.10293841332225934</v>
      </c>
    </row>
    <row r="5" spans="1:9" ht="15.6">
      <c r="A5" s="18" t="str">
        <v>AZ: ASU - Pardee - Farrington</v>
      </c>
      <c r="B5" s="10" t="str">
        <v>AZ</v>
      </c>
      <c r="C5" s="11">
        <f>SUM(Jan!C5, Feb!C5, Mar!C5)</f>
        <v>90404.823455810605</v>
      </c>
      <c r="D5" s="19">
        <f>SUM(Jan!D5, Feb!D5, Mar!D5)</f>
        <v>87040.22</v>
      </c>
      <c r="E5" s="19">
        <f t="shared" ref="E5:E14" si="0">IF(AND(ISNUMBER(C5),ISNUMBER(D5)), C5-D5, "")</f>
        <v>3364.6034558106039</v>
      </c>
      <c r="F5" s="20">
        <f>IFERROR(E5/D5, "")</f>
        <v>3.8655732439676779E-2</v>
      </c>
      <c r="G5" s="21">
        <f>SUM(Jan!G5, Feb!G5, Mar!G5)</f>
        <v>88173.739999999991</v>
      </c>
      <c r="H5" s="21">
        <f>SUM(Jan!H5, Feb!H5, Mar!H5)</f>
        <v>2231.0834558106035</v>
      </c>
      <c r="I5" s="20">
        <f>IFERROR(H5/G5, "")</f>
        <v>2.5303264393804818E-2</v>
      </c>
    </row>
    <row r="6" spans="1:9" ht="15.6">
      <c r="A6" s="12" t="str">
        <v>AZ: ASU - Pardee - Macro Tech.</v>
      </c>
      <c r="B6" s="9" t="str">
        <v>AZ</v>
      </c>
      <c r="C6" s="25">
        <f>SUM(Jan!C6, Feb!C6, Mar!C6)</f>
        <v>214085.875</v>
      </c>
      <c r="D6" s="13">
        <f>SUM(Jan!D6, Feb!D6, Mar!D6)</f>
        <v>326130.59999999998</v>
      </c>
      <c r="E6" s="13">
        <f t="shared" si="0"/>
        <v>-112044.72499999998</v>
      </c>
      <c r="F6" s="14">
        <f t="shared" ref="F6:F14" si="1">IFERROR(E6/D6, "")</f>
        <v>-0.34355784155182001</v>
      </c>
      <c r="G6" s="15">
        <f>SUM(Jan!G6, Feb!G6, Mar!G6)</f>
        <v>318970.23999999999</v>
      </c>
      <c r="H6" s="15">
        <f>SUM(Jan!H6, Feb!H6, Mar!H6)</f>
        <v>-104884.36499999999</v>
      </c>
      <c r="I6" s="16">
        <f t="shared" ref="I6:I14" si="2">IFERROR(H6/G6, "")</f>
        <v>-0.32882178914246041</v>
      </c>
    </row>
    <row r="7" spans="1:9" ht="15.6">
      <c r="A7" s="18" t="str">
        <v>AZ: ASU - Pardee - McCord Hall</v>
      </c>
      <c r="B7" s="10" t="str">
        <v>AZ</v>
      </c>
      <c r="C7" s="11">
        <f>SUM(Jan!C7, Feb!C7, Mar!C7)</f>
        <v>29492.25</v>
      </c>
      <c r="D7" s="19">
        <f>SUM(Jan!D7, Feb!D7, Mar!D7)</f>
        <v>23630.756000000001</v>
      </c>
      <c r="E7" s="19">
        <f t="shared" si="0"/>
        <v>5861.4939999999988</v>
      </c>
      <c r="F7" s="20">
        <f t="shared" si="1"/>
        <v>0.24804513236901937</v>
      </c>
      <c r="G7" s="21">
        <f>SUM(Jan!G7, Feb!G7, Mar!G7)</f>
        <v>32051.733</v>
      </c>
      <c r="H7" s="21">
        <f>SUM(Jan!H7, Feb!H7, Mar!H7)</f>
        <v>-2559.4829999999984</v>
      </c>
      <c r="I7" s="20">
        <f t="shared" si="2"/>
        <v>-7.9854746075664562E-2</v>
      </c>
    </row>
    <row r="8" spans="1:9" ht="15.6">
      <c r="A8" s="12" t="str">
        <v>AZ: NAU - SF Garage</v>
      </c>
      <c r="B8" s="9" t="str">
        <v>AZ</v>
      </c>
      <c r="C8" s="25">
        <f>SUM(Jan!C8, Feb!C8, Mar!C8)</f>
        <v>180392</v>
      </c>
      <c r="D8" s="13">
        <f>SUM(Jan!D8, Feb!D8, Mar!D8)</f>
        <v>194414.13799999998</v>
      </c>
      <c r="E8" s="13">
        <f t="shared" si="0"/>
        <v>-14022.137999999977</v>
      </c>
      <c r="F8" s="14">
        <f t="shared" si="1"/>
        <v>-7.2125094112239815E-2</v>
      </c>
      <c r="G8" s="15">
        <f>SUM(Jan!G8, Feb!G8, Mar!G8)</f>
        <v>170818.65299999999</v>
      </c>
      <c r="H8" s="15">
        <f>SUM(Jan!H8, Feb!H8, Mar!H8)</f>
        <v>9573.3470000000016</v>
      </c>
      <c r="I8" s="16">
        <f t="shared" si="2"/>
        <v>5.604392044936686E-2</v>
      </c>
    </row>
    <row r="9" spans="1:9" ht="15.6">
      <c r="A9" s="18" t="str">
        <v>AZ: ASU - Pardee - Parking Lot 11</v>
      </c>
      <c r="B9" s="10" t="str">
        <v>AZ</v>
      </c>
      <c r="C9" s="11">
        <f>SUM(Jan!C9, Feb!C9, Mar!C9)</f>
        <v>64410.1875</v>
      </c>
      <c r="D9" s="19">
        <f>SUM(Jan!D9, Feb!D9, Mar!D9)</f>
        <v>60049.91</v>
      </c>
      <c r="E9" s="19">
        <f t="shared" si="0"/>
        <v>4360.2774999999965</v>
      </c>
      <c r="F9" s="20">
        <f t="shared" si="1"/>
        <v>7.2610891506748237E-2</v>
      </c>
      <c r="G9" s="21">
        <f>SUM(Jan!G9, Feb!G9, Mar!G9)</f>
        <v>43935.49</v>
      </c>
      <c r="H9" s="21">
        <f>SUM(Jan!H9, Feb!H9, Mar!H9)</f>
        <v>20474.697500000002</v>
      </c>
      <c r="I9" s="20">
        <f t="shared" si="2"/>
        <v>0.46601727896968947</v>
      </c>
    </row>
    <row r="10" spans="1:9" ht="15.6">
      <c r="A10" s="12" t="str">
        <v>AZ: ASU - Pardee - Parking Lot 19</v>
      </c>
      <c r="B10" s="9" t="str">
        <v>AZ</v>
      </c>
      <c r="C10" s="25">
        <f>SUM(Jan!C10, Feb!C10, Mar!C10)</f>
        <v>92152.625</v>
      </c>
      <c r="D10" s="13">
        <f>SUM(Jan!D10, Feb!D10, Mar!D10)</f>
        <v>84699.63</v>
      </c>
      <c r="E10" s="13">
        <f t="shared" si="0"/>
        <v>7452.9949999999953</v>
      </c>
      <c r="F10" s="14">
        <f t="shared" si="1"/>
        <v>8.7993241528918076E-2</v>
      </c>
      <c r="G10" s="15">
        <f>SUM(Jan!G10, Feb!G10, Mar!G10)</f>
        <v>65057.320000000007</v>
      </c>
      <c r="H10" s="15">
        <f>SUM(Jan!H10, Feb!H10, Mar!H10)</f>
        <v>27095.304999999997</v>
      </c>
      <c r="I10" s="16">
        <f t="shared" si="2"/>
        <v>0.41648357171798644</v>
      </c>
    </row>
    <row r="11" spans="1:9" ht="15.6">
      <c r="A11" s="18" t="str">
        <v>AZ: ASU - Pardee - Parking Lot 41</v>
      </c>
      <c r="B11" s="10" t="str">
        <v>AZ</v>
      </c>
      <c r="C11" s="11">
        <f>SUM(Jan!C11, Feb!C11, Mar!C11)</f>
        <v>74533.5</v>
      </c>
      <c r="D11" s="19">
        <f>SUM(Jan!D11, Feb!D11, Mar!D11)</f>
        <v>72187.700000000012</v>
      </c>
      <c r="E11" s="19">
        <f t="shared" si="0"/>
        <v>2345.7999999999884</v>
      </c>
      <c r="F11" s="20">
        <f t="shared" si="1"/>
        <v>3.2495840704164114E-2</v>
      </c>
      <c r="G11" s="21">
        <f>SUM(Jan!G11, Feb!G11, Mar!G11)</f>
        <v>78967.290000000008</v>
      </c>
      <c r="H11" s="21">
        <f>SUM(Jan!H11, Feb!H11, Mar!H11)</f>
        <v>-4433.7900000000009</v>
      </c>
      <c r="I11" s="20">
        <f t="shared" si="2"/>
        <v>-5.6147171822662274E-2</v>
      </c>
    </row>
    <row r="12" spans="1:9" ht="15.6">
      <c r="A12" s="12" t="str">
        <v>AZ: ASU - Pardee - Parking Lot 58</v>
      </c>
      <c r="B12" s="9" t="str">
        <v>AZ</v>
      </c>
      <c r="C12" s="25">
        <f>SUM(Jan!C12, Feb!C12, Mar!C12)</f>
        <v>91159.5</v>
      </c>
      <c r="D12" s="13">
        <f>SUM(Jan!D12, Feb!D12, Mar!D12)</f>
        <v>73363.569999999992</v>
      </c>
      <c r="E12" s="13">
        <f t="shared" si="0"/>
        <v>17795.930000000008</v>
      </c>
      <c r="F12" s="14">
        <f t="shared" si="1"/>
        <v>0.24257175598188596</v>
      </c>
      <c r="G12" s="15">
        <f>SUM(Jan!G12, Feb!G12, Mar!G12)</f>
        <v>82881.3</v>
      </c>
      <c r="H12" s="15">
        <f>SUM(Jan!H12, Feb!H12, Mar!H12)</f>
        <v>8278.1999999999971</v>
      </c>
      <c r="I12" s="16">
        <f t="shared" si="2"/>
        <v>9.9880190103195737E-2</v>
      </c>
    </row>
    <row r="13" spans="1:9" ht="15.6">
      <c r="A13" s="18" t="str">
        <v>AZ: ASU - Pardee - Parking Lot 59S</v>
      </c>
      <c r="B13" s="10" t="str">
        <v>AZ</v>
      </c>
      <c r="C13" s="11">
        <f>SUM(Jan!C13, Feb!C13, Mar!C13)</f>
        <v>75749.75</v>
      </c>
      <c r="D13" s="19">
        <f>SUM(Jan!D13, Feb!D13, Mar!D13)</f>
        <v>67144.100000000006</v>
      </c>
      <c r="E13" s="19">
        <f t="shared" si="0"/>
        <v>8605.6499999999942</v>
      </c>
      <c r="F13" s="20">
        <f t="shared" si="1"/>
        <v>0.1281668828683383</v>
      </c>
      <c r="G13" s="21">
        <f>SUM(Jan!G13, Feb!G13, Mar!G13)</f>
        <v>90651.299999999988</v>
      </c>
      <c r="H13" s="21">
        <f>SUM(Jan!H13, Feb!H13, Mar!H13)</f>
        <v>-14901.55</v>
      </c>
      <c r="I13" s="20">
        <f t="shared" si="2"/>
        <v>-0.16438319141589808</v>
      </c>
    </row>
    <row r="14" spans="1:9" ht="15.6">
      <c r="A14" s="12" t="str">
        <v>AZ: ASU - Pardee - Sun Devil Complex</v>
      </c>
      <c r="B14" s="9" t="str">
        <v>AZ</v>
      </c>
      <c r="C14" s="25">
        <f>SUM(Jan!C14, Feb!C14, Mar!C14)</f>
        <v>71066</v>
      </c>
      <c r="D14" s="13">
        <f>SUM(Jan!D14, Feb!D14, Mar!D14)</f>
        <v>78882.73</v>
      </c>
      <c r="E14" s="13">
        <f t="shared" si="0"/>
        <v>-7816.7299999999959</v>
      </c>
      <c r="F14" s="14">
        <f t="shared" si="1"/>
        <v>-9.9093046095133835E-2</v>
      </c>
      <c r="G14" s="15">
        <f>SUM(Jan!G14, Feb!G14, Mar!G14)</f>
        <v>88326</v>
      </c>
      <c r="H14" s="15">
        <f>SUM(Jan!H14, Feb!H14, Mar!H14)</f>
        <v>-17260</v>
      </c>
      <c r="I14" s="16">
        <f t="shared" si="2"/>
        <v>-0.19541244933541652</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ySplit="2" topLeftCell="A3" activePane="bottomLeft" state="frozen"/>
      <selection pane="bottomLeft" activeCell="G7" sqref="G7:G8"/>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Pardee (ENCAP)</v>
      </c>
      <c r="B1" s="72"/>
      <c r="C1" s="72"/>
      <c r="D1" s="73" t="s">
        <v>12</v>
      </c>
      <c r="E1" s="73"/>
      <c r="F1" s="73"/>
      <c r="G1" s="71" t="s">
        <v>13</v>
      </c>
      <c r="H1" s="71"/>
      <c r="I1" s="71"/>
    </row>
    <row r="2" spans="1:9" ht="19.5" customHeight="1">
      <c r="A2" s="74" t="s">
        <v>2</v>
      </c>
      <c r="B2" s="74"/>
      <c r="C2" s="5">
        <f>SUM(C4:C86)</f>
        <v>1456559.5696412306</v>
      </c>
      <c r="D2" s="5">
        <f>SUM(D4:D86)</f>
        <v>1511292.6370000001</v>
      </c>
      <c r="E2" s="5">
        <f>C2-D2</f>
        <v>-54733.067358769476</v>
      </c>
      <c r="F2" s="6">
        <f>IFERROR(E2/D2, 0)</f>
        <v>-3.621606168042852E-2</v>
      </c>
      <c r="G2" s="5">
        <f>SUM(G4:G86)</f>
        <v>1746705.6529999999</v>
      </c>
      <c r="H2" s="7">
        <f>C2-G2</f>
        <v>-290146.08335876931</v>
      </c>
      <c r="I2" s="6">
        <f>IFERROR(H2/G2, 0)</f>
        <v>-0.16611046220663334</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SUM(Apr!C4, May!C4, Jun!C4)</f>
        <v>30616.375</v>
      </c>
      <c r="D4" s="13">
        <f>SUM(Apr!D4, May!D4, Jun!D4)</f>
        <v>27251.829000000002</v>
      </c>
      <c r="E4" s="13">
        <f>IF(AND(ISNUMBER(C4),ISNUMBER(D4)), C4-D4, "")</f>
        <v>3364.5459999999985</v>
      </c>
      <c r="F4" s="14">
        <f>IFERROR(E4/D4, "")</f>
        <v>0.12346129135038966</v>
      </c>
      <c r="G4" s="15">
        <f>SUM(Apr!G4,May!G4,Jun!G4)</f>
        <v>35742.369999999995</v>
      </c>
      <c r="H4" s="15">
        <f>SUM(Apr!H4, May!H4, Jun!H4)</f>
        <v>-5125.994999999999</v>
      </c>
      <c r="I4" s="16">
        <f>IFERROR(H4/G4, "")</f>
        <v>-0.14341508411445575</v>
      </c>
    </row>
    <row r="5" spans="1:9" ht="15.6">
      <c r="A5" s="18" t="str">
        <v>AZ: ASU - Pardee - Farrington</v>
      </c>
      <c r="B5" s="10" t="str">
        <v>AZ</v>
      </c>
      <c r="C5" s="11">
        <f>SUM(Apr!C5, May!C5, Jun!C5)</f>
        <v>147217.75714123051</v>
      </c>
      <c r="D5" s="19">
        <f>SUM(Apr!D5, May!D5, Jun!D5)</f>
        <v>120272.36</v>
      </c>
      <c r="E5" s="19">
        <f t="shared" ref="E5:E14" si="0">IF(AND(ISNUMBER(C5),ISNUMBER(D5)), C5-D5, "")</f>
        <v>26945.397141230511</v>
      </c>
      <c r="F5" s="20">
        <f>IFERROR(E5/D5, "")</f>
        <v>0.22403648802792686</v>
      </c>
      <c r="G5" s="11">
        <f>SUM(Apr!G5,May!G5,Jun!G5)</f>
        <v>135776.32000000001</v>
      </c>
      <c r="H5" s="21">
        <f>SUM(Apr!H5, May!H5, Jun!H5)</f>
        <v>11441.43714123049</v>
      </c>
      <c r="I5" s="20">
        <f>IFERROR(H5/G5, "")</f>
        <v>8.4266808389198422E-2</v>
      </c>
    </row>
    <row r="6" spans="1:9" ht="15.6">
      <c r="A6" s="12" t="str">
        <v>AZ: ASU - Pardee - Macro Tech.</v>
      </c>
      <c r="B6" s="9" t="str">
        <v>AZ</v>
      </c>
      <c r="C6" s="25">
        <f>SUM(Apr!C6, May!C6, Jun!C6)</f>
        <v>314679.5</v>
      </c>
      <c r="D6" s="13">
        <f>SUM(Apr!D6, May!D6, Jun!D6)</f>
        <v>440884.19999999995</v>
      </c>
      <c r="E6" s="13">
        <f t="shared" si="0"/>
        <v>-126204.69999999995</v>
      </c>
      <c r="F6" s="14">
        <f t="shared" ref="F6:F14" si="1">IFERROR(E6/D6, "")</f>
        <v>-0.28625362396747256</v>
      </c>
      <c r="G6" s="15">
        <f>SUM(Apr!G6,May!G6,Jun!G6)</f>
        <v>497489.5</v>
      </c>
      <c r="H6" s="15">
        <f>SUM(Apr!H6, May!H6, Jun!H6)</f>
        <v>-182810</v>
      </c>
      <c r="I6" s="16">
        <f t="shared" ref="I6:I14" si="2">IFERROR(H6/G6, "")</f>
        <v>-0.3674650419757603</v>
      </c>
    </row>
    <row r="7" spans="1:9" ht="15.6">
      <c r="A7" s="18" t="str">
        <v>AZ: ASU - Pardee - McCord Hall</v>
      </c>
      <c r="B7" s="10" t="str">
        <v>AZ</v>
      </c>
      <c r="C7" s="11">
        <f>SUM(Apr!C7, May!C7, Jun!C7)</f>
        <v>40667.375</v>
      </c>
      <c r="D7" s="19">
        <f>SUM(Apr!D7, May!D7, Jun!D7)</f>
        <v>37795.410000000003</v>
      </c>
      <c r="E7" s="19">
        <f t="shared" si="0"/>
        <v>2871.9649999999965</v>
      </c>
      <c r="F7" s="20">
        <f t="shared" si="1"/>
        <v>7.5987137062410393E-2</v>
      </c>
      <c r="G7" s="11">
        <f>SUM(Apr!G7,May!G7,Jun!G7)</f>
        <v>48252.39</v>
      </c>
      <c r="H7" s="21">
        <f>SUM(Apr!H7, May!H7, Jun!H7)</f>
        <v>-7585.0149999999994</v>
      </c>
      <c r="I7" s="20">
        <f t="shared" si="2"/>
        <v>-0.15719459699301941</v>
      </c>
    </row>
    <row r="8" spans="1:9" ht="15.6">
      <c r="A8" s="12" t="str">
        <v>AZ: NAU - SF Garage</v>
      </c>
      <c r="B8" s="9" t="str">
        <v>AZ</v>
      </c>
      <c r="C8" s="25">
        <f>SUM(Apr!C8, May!C8, Jun!C8)</f>
        <v>304308</v>
      </c>
      <c r="D8" s="13">
        <f>SUM(Apr!D8, May!D8, Jun!D8)</f>
        <v>286727.538</v>
      </c>
      <c r="E8" s="13">
        <f t="shared" si="0"/>
        <v>17580.462</v>
      </c>
      <c r="F8" s="14">
        <f t="shared" si="1"/>
        <v>6.1314173457590944E-2</v>
      </c>
      <c r="G8" s="15">
        <f>SUM(Apr!G8,May!G8,Jun!G8)</f>
        <v>293601.07300000003</v>
      </c>
      <c r="H8" s="15">
        <f>SUM(Apr!H8, May!H8, Jun!H8)</f>
        <v>10706.926999999996</v>
      </c>
      <c r="I8" s="16">
        <f t="shared" si="2"/>
        <v>3.6467601737954124E-2</v>
      </c>
    </row>
    <row r="9" spans="1:9" ht="15.6">
      <c r="A9" s="18" t="str">
        <v>AZ: ASU - Pardee - Parking Lot 11</v>
      </c>
      <c r="B9" s="10" t="str">
        <v>AZ</v>
      </c>
      <c r="C9" s="11">
        <f>SUM(Apr!C9, May!C9, Jun!C9)</f>
        <v>74292.5625</v>
      </c>
      <c r="D9" s="19">
        <f>SUM(Apr!D9, May!D9, Jun!D9)</f>
        <v>86684.66</v>
      </c>
      <c r="E9" s="19">
        <f t="shared" si="0"/>
        <v>-12392.097500000003</v>
      </c>
      <c r="F9" s="20">
        <f t="shared" si="1"/>
        <v>-0.14295606050713014</v>
      </c>
      <c r="G9" s="11">
        <f>SUM(Apr!G9,May!G9,Jun!G9)</f>
        <v>89534.82</v>
      </c>
      <c r="H9" s="21">
        <f>SUM(Apr!H9, May!H9, Jun!H9)</f>
        <v>-15242.2575</v>
      </c>
      <c r="I9" s="20">
        <f t="shared" si="2"/>
        <v>-0.17023832180597445</v>
      </c>
    </row>
    <row r="10" spans="1:9" ht="15.6">
      <c r="A10" s="12" t="str">
        <v>AZ: ASU - Pardee - Parking Lot 19</v>
      </c>
      <c r="B10" s="9" t="str">
        <v>AZ</v>
      </c>
      <c r="C10" s="25">
        <f>SUM(Apr!C10, May!C10, Jun!C10)</f>
        <v>122329.625</v>
      </c>
      <c r="D10" s="13">
        <f>SUM(Apr!D10, May!D10, Jun!D10)</f>
        <v>105835.57</v>
      </c>
      <c r="E10" s="13">
        <f t="shared" si="0"/>
        <v>16494.054999999993</v>
      </c>
      <c r="F10" s="14">
        <f t="shared" si="1"/>
        <v>0.15584604495445142</v>
      </c>
      <c r="G10" s="15">
        <f>SUM(Apr!G10,May!G10,Jun!G10)</f>
        <v>132578.81</v>
      </c>
      <c r="H10" s="15">
        <f>SUM(Apr!H10, May!H10, Jun!H10)</f>
        <v>-10249.185000000005</v>
      </c>
      <c r="I10" s="16">
        <f t="shared" si="2"/>
        <v>-7.7306358384118895E-2</v>
      </c>
    </row>
    <row r="11" spans="1:9" ht="15.6">
      <c r="A11" s="18" t="str">
        <v>AZ: ASU - Pardee - Parking Lot 41</v>
      </c>
      <c r="B11" s="10" t="str">
        <v>AZ</v>
      </c>
      <c r="C11" s="11">
        <f>SUM(Apr!C11, May!C11, Jun!C11)</f>
        <v>112177.5</v>
      </c>
      <c r="D11" s="19">
        <f>SUM(Apr!D11, May!D11, Jun!D11)</f>
        <v>98367.750000000015</v>
      </c>
      <c r="E11" s="19">
        <f t="shared" si="0"/>
        <v>13809.749999999985</v>
      </c>
      <c r="F11" s="20">
        <f t="shared" si="1"/>
        <v>0.14038899944341499</v>
      </c>
      <c r="G11" s="11">
        <f>SUM(Apr!G11,May!G11,Jun!G11)</f>
        <v>121603.29999999999</v>
      </c>
      <c r="H11" s="21">
        <f>SUM(Apr!H11, May!H11, Jun!H11)</f>
        <v>-9425.7999999999956</v>
      </c>
      <c r="I11" s="20">
        <f t="shared" si="2"/>
        <v>-7.7512699079712449E-2</v>
      </c>
    </row>
    <row r="12" spans="1:9" ht="15.6">
      <c r="A12" s="12" t="str">
        <v>AZ: ASU - Pardee - Parking Lot 58</v>
      </c>
      <c r="B12" s="9" t="str">
        <v>AZ</v>
      </c>
      <c r="C12" s="25">
        <f>SUM(Apr!C12, May!C12, Jun!C12)</f>
        <v>83387.75</v>
      </c>
      <c r="D12" s="13">
        <f>SUM(Apr!D12, May!D12, Jun!D12)</f>
        <v>93838.760000000009</v>
      </c>
      <c r="E12" s="13">
        <f t="shared" si="0"/>
        <v>-10451.010000000009</v>
      </c>
      <c r="F12" s="14">
        <f t="shared" si="1"/>
        <v>-0.11137199596414113</v>
      </c>
      <c r="G12" s="15">
        <f>SUM(Apr!G12,May!G12,Jun!G12)</f>
        <v>136470.85999999999</v>
      </c>
      <c r="H12" s="15">
        <f>SUM(Apr!H12, May!H12, Jun!H12)</f>
        <v>-53083.109999999993</v>
      </c>
      <c r="I12" s="16">
        <f t="shared" si="2"/>
        <v>-0.38897029006778444</v>
      </c>
    </row>
    <row r="13" spans="1:9" ht="15.6">
      <c r="A13" s="18" t="str">
        <v>AZ: ASU - Pardee - Parking Lot 59S</v>
      </c>
      <c r="B13" s="10" t="str">
        <v>AZ</v>
      </c>
      <c r="C13" s="11">
        <f>SUM(Apr!C13, May!C13, Jun!C13)</f>
        <v>127595.625</v>
      </c>
      <c r="D13" s="19">
        <f>SUM(Apr!D13, May!D13, Jun!D13)</f>
        <v>102551.97</v>
      </c>
      <c r="E13" s="19">
        <f t="shared" si="0"/>
        <v>25043.654999999999</v>
      </c>
      <c r="F13" s="20">
        <f t="shared" si="1"/>
        <v>0.24420452381363322</v>
      </c>
      <c r="G13" s="11">
        <f>SUM(Apr!G13,May!G13,Jun!G13)</f>
        <v>124772.21</v>
      </c>
      <c r="H13" s="21">
        <f>SUM(Apr!H13, May!H13, Jun!H13)</f>
        <v>2823.4150000000009</v>
      </c>
      <c r="I13" s="20">
        <f t="shared" si="2"/>
        <v>2.262855647102829E-2</v>
      </c>
    </row>
    <row r="14" spans="1:9" ht="15.6">
      <c r="A14" s="12" t="str">
        <v>AZ: ASU - Pardee - Sun Devil Complex</v>
      </c>
      <c r="B14" s="9" t="str">
        <v>AZ</v>
      </c>
      <c r="C14" s="25">
        <f>SUM(Apr!C14, May!C14, Jun!C14)</f>
        <v>99287.5</v>
      </c>
      <c r="D14" s="13">
        <f>SUM(Apr!D14, May!D14, Jun!D14)</f>
        <v>111082.59</v>
      </c>
      <c r="E14" s="13">
        <f t="shared" si="0"/>
        <v>-11795.089999999997</v>
      </c>
      <c r="F14" s="14">
        <f t="shared" si="1"/>
        <v>-0.1061830661312452</v>
      </c>
      <c r="G14" s="15">
        <f>SUM(Apr!G14,May!G14,Jun!G14)</f>
        <v>130884</v>
      </c>
      <c r="H14" s="15">
        <f>SUM(Apr!H14, May!H14, Jun!H14)</f>
        <v>-31596.5</v>
      </c>
      <c r="I14" s="16">
        <f t="shared" si="2"/>
        <v>-0.24140842272546684</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ySplit="2" topLeftCell="A3" activePane="bottomLeft" state="frozen"/>
      <selection pane="bottomLeft" activeCell="L21" sqref="L21"/>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Pardee (ENCAP)</v>
      </c>
      <c r="B1" s="72"/>
      <c r="C1" s="72"/>
      <c r="D1" s="73" t="s">
        <v>14</v>
      </c>
      <c r="E1" s="73"/>
      <c r="F1" s="73"/>
      <c r="G1" s="71" t="s">
        <v>15</v>
      </c>
      <c r="H1" s="71"/>
      <c r="I1" s="71"/>
    </row>
    <row r="2" spans="1:9" ht="19.5" customHeight="1">
      <c r="A2" s="74" t="s">
        <v>2</v>
      </c>
      <c r="B2" s="74"/>
      <c r="C2" s="5">
        <f>SUM(C4:C86)</f>
        <v>0</v>
      </c>
      <c r="D2" s="5">
        <f>SUM(D4:D86)</f>
        <v>0</v>
      </c>
      <c r="E2" s="5">
        <f>C2-D2</f>
        <v>0</v>
      </c>
      <c r="F2" s="6">
        <f>IFERROR(E2/D2, 0)</f>
        <v>0</v>
      </c>
      <c r="G2" s="5">
        <f>SUM(G4:G86)</f>
        <v>0</v>
      </c>
      <c r="H2" s="7">
        <f>C2-G2</f>
        <v>0</v>
      </c>
      <c r="I2" s="6">
        <f>IFERROR(H2/G2, 0)</f>
        <v>0</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SUM(Jul!C4, Aug!C4, Sep!C4)</f>
        <v>0</v>
      </c>
      <c r="D4" s="13">
        <f>SUM(Jul!D4, Aug!D4, Sep!D4)</f>
        <v>0</v>
      </c>
      <c r="E4" s="13">
        <f>IF(AND(ISNUMBER(C4),ISNUMBER(D4)), C4-D4, "")</f>
        <v>0</v>
      </c>
      <c r="F4" s="14" t="str">
        <f>IFERROR(E4/D4, "")</f>
        <v/>
      </c>
      <c r="G4" s="15">
        <f>SUM(Jul!G4,Aug!G4,Sep!G4)</f>
        <v>0</v>
      </c>
      <c r="H4" s="15">
        <f>SUM(Jul!H4, Aug!H4, Sep!H4)</f>
        <v>0</v>
      </c>
      <c r="I4" s="16" t="str">
        <f>IFERROR(H4/G4, "")</f>
        <v/>
      </c>
    </row>
    <row r="5" spans="1:9" ht="15.6">
      <c r="A5" s="18" t="str">
        <v>AZ: ASU - Pardee - Farrington</v>
      </c>
      <c r="B5" s="10" t="str">
        <v>AZ</v>
      </c>
      <c r="C5" s="11">
        <f>SUM(Jul!C5, Aug!C5, Sep!C5)</f>
        <v>0</v>
      </c>
      <c r="D5" s="19">
        <f>SUM(Jul!D5, Aug!D5, Sep!D5)</f>
        <v>0</v>
      </c>
      <c r="E5" s="19">
        <f t="shared" ref="E5:E14" si="0">IF(AND(ISNUMBER(C5),ISNUMBER(D5)), C5-D5, "")</f>
        <v>0</v>
      </c>
      <c r="F5" s="20" t="str">
        <f>IFERROR(E5/D5, "")</f>
        <v/>
      </c>
      <c r="G5" s="11">
        <f>SUM(Jul!G5,Aug!G5,Sep!G5)</f>
        <v>0</v>
      </c>
      <c r="H5" s="21">
        <f>SUM(Jul!H5, Aug!H5, Sep!H5)</f>
        <v>0</v>
      </c>
      <c r="I5" s="20" t="str">
        <f>IFERROR(H5/G5, "")</f>
        <v/>
      </c>
    </row>
    <row r="6" spans="1:9" ht="15.6">
      <c r="A6" s="12" t="str">
        <v>AZ: ASU - Pardee - Macro Tech.</v>
      </c>
      <c r="B6" s="9" t="str">
        <v>AZ</v>
      </c>
      <c r="C6" s="25">
        <f>SUM(Jul!C6, Aug!C6, Sep!C6)</f>
        <v>0</v>
      </c>
      <c r="D6" s="13">
        <f>SUM(Jul!D6, Aug!D6, Sep!D6)</f>
        <v>0</v>
      </c>
      <c r="E6" s="13">
        <f t="shared" si="0"/>
        <v>0</v>
      </c>
      <c r="F6" s="14" t="str">
        <f t="shared" ref="F6:F14" si="1">IFERROR(E6/D6, "")</f>
        <v/>
      </c>
      <c r="G6" s="15">
        <f>SUM(Jul!G6,Aug!G6,Sep!G6)</f>
        <v>0</v>
      </c>
      <c r="H6" s="15">
        <f>SUM(Jul!H6, Aug!H6, Sep!H6)</f>
        <v>0</v>
      </c>
      <c r="I6" s="16" t="str">
        <f t="shared" ref="I6:I14" si="2">IFERROR(H6/G6, "")</f>
        <v/>
      </c>
    </row>
    <row r="7" spans="1:9" ht="15.6">
      <c r="A7" s="18" t="str">
        <v>AZ: ASU - Pardee - McCord Hall</v>
      </c>
      <c r="B7" s="10" t="str">
        <v>AZ</v>
      </c>
      <c r="C7" s="11">
        <f>SUM(Jul!C7, Aug!C7, Sep!C7)</f>
        <v>0</v>
      </c>
      <c r="D7" s="19">
        <f>SUM(Jul!D7, Aug!D7, Sep!D7)</f>
        <v>0</v>
      </c>
      <c r="E7" s="19">
        <f t="shared" si="0"/>
        <v>0</v>
      </c>
      <c r="F7" s="20" t="str">
        <f t="shared" si="1"/>
        <v/>
      </c>
      <c r="G7" s="11">
        <f>SUM(Jul!G7,Aug!G7,Sep!G7)</f>
        <v>0</v>
      </c>
      <c r="H7" s="21">
        <f>SUM(Jul!H7, Aug!H7, Sep!H7)</f>
        <v>0</v>
      </c>
      <c r="I7" s="20" t="str">
        <f t="shared" si="2"/>
        <v/>
      </c>
    </row>
    <row r="8" spans="1:9" ht="15.6">
      <c r="A8" s="12" t="str">
        <v>AZ: NAU - SF Garage</v>
      </c>
      <c r="B8" s="9" t="str">
        <v>AZ</v>
      </c>
      <c r="C8" s="25">
        <f>SUM(Jul!C8, Aug!C8, Sep!C8)</f>
        <v>0</v>
      </c>
      <c r="D8" s="13">
        <f>SUM(Jul!D8, Aug!D8, Sep!D8)</f>
        <v>0</v>
      </c>
      <c r="E8" s="13">
        <f t="shared" si="0"/>
        <v>0</v>
      </c>
      <c r="F8" s="14" t="str">
        <f t="shared" si="1"/>
        <v/>
      </c>
      <c r="G8" s="15">
        <f>SUM(Jul!G8,Aug!G8,Sep!G8)</f>
        <v>0</v>
      </c>
      <c r="H8" s="15">
        <f>SUM(Jul!H8, Aug!H8, Sep!H8)</f>
        <v>0</v>
      </c>
      <c r="I8" s="16" t="str">
        <f t="shared" si="2"/>
        <v/>
      </c>
    </row>
    <row r="9" spans="1:9" ht="15.6">
      <c r="A9" s="18" t="str">
        <v>AZ: ASU - Pardee - Parking Lot 11</v>
      </c>
      <c r="B9" s="10" t="str">
        <v>AZ</v>
      </c>
      <c r="C9" s="11">
        <f>SUM(Jul!C9, Aug!C9, Sep!C9)</f>
        <v>0</v>
      </c>
      <c r="D9" s="19">
        <f>SUM(Jul!D9, Aug!D9, Sep!D9)</f>
        <v>0</v>
      </c>
      <c r="E9" s="19">
        <f t="shared" si="0"/>
        <v>0</v>
      </c>
      <c r="F9" s="20" t="str">
        <f t="shared" si="1"/>
        <v/>
      </c>
      <c r="G9" s="11">
        <f>SUM(Jul!G9,Aug!G9,Sep!G9)</f>
        <v>0</v>
      </c>
      <c r="H9" s="21">
        <f>SUM(Jul!H9, Aug!H9, Sep!H9)</f>
        <v>0</v>
      </c>
      <c r="I9" s="20" t="str">
        <f t="shared" si="2"/>
        <v/>
      </c>
    </row>
    <row r="10" spans="1:9" ht="15.6">
      <c r="A10" s="12" t="str">
        <v>AZ: ASU - Pardee - Parking Lot 19</v>
      </c>
      <c r="B10" s="9" t="str">
        <v>AZ</v>
      </c>
      <c r="C10" s="25">
        <f>SUM(Jul!C10, Aug!C10, Sep!C10)</f>
        <v>0</v>
      </c>
      <c r="D10" s="13">
        <f>SUM(Jul!D10, Aug!D10, Sep!D10)</f>
        <v>0</v>
      </c>
      <c r="E10" s="13">
        <f t="shared" si="0"/>
        <v>0</v>
      </c>
      <c r="F10" s="14" t="str">
        <f t="shared" si="1"/>
        <v/>
      </c>
      <c r="G10" s="15">
        <f>SUM(Jul!G10,Aug!G10,Sep!G10)</f>
        <v>0</v>
      </c>
      <c r="H10" s="15">
        <f>SUM(Jul!H10, Aug!H10, Sep!H10)</f>
        <v>0</v>
      </c>
      <c r="I10" s="16" t="str">
        <f t="shared" si="2"/>
        <v/>
      </c>
    </row>
    <row r="11" spans="1:9" ht="15.6">
      <c r="A11" s="18" t="str">
        <v>AZ: ASU - Pardee - Parking Lot 41</v>
      </c>
      <c r="B11" s="10" t="str">
        <v>AZ</v>
      </c>
      <c r="C11" s="11">
        <f>SUM(Jul!C11, Aug!C11, Sep!C11)</f>
        <v>0</v>
      </c>
      <c r="D11" s="19">
        <f>SUM(Jul!D11, Aug!D11, Sep!D11)</f>
        <v>0</v>
      </c>
      <c r="E11" s="19">
        <f t="shared" si="0"/>
        <v>0</v>
      </c>
      <c r="F11" s="20" t="str">
        <f t="shared" si="1"/>
        <v/>
      </c>
      <c r="G11" s="11">
        <f>SUM(Jul!G11,Aug!G11,Sep!G11)</f>
        <v>0</v>
      </c>
      <c r="H11" s="21">
        <f>SUM(Jul!H11, Aug!H11, Sep!H11)</f>
        <v>0</v>
      </c>
      <c r="I11" s="20" t="str">
        <f t="shared" si="2"/>
        <v/>
      </c>
    </row>
    <row r="12" spans="1:9" ht="15.6">
      <c r="A12" s="12" t="str">
        <v>AZ: ASU - Pardee - Parking Lot 58</v>
      </c>
      <c r="B12" s="9" t="str">
        <v>AZ</v>
      </c>
      <c r="C12" s="25">
        <f>SUM(Jul!C12, Aug!C12, Sep!C12)</f>
        <v>0</v>
      </c>
      <c r="D12" s="13">
        <f>SUM(Jul!D12, Aug!D12, Sep!D12)</f>
        <v>0</v>
      </c>
      <c r="E12" s="13">
        <f t="shared" si="0"/>
        <v>0</v>
      </c>
      <c r="F12" s="14" t="str">
        <f t="shared" si="1"/>
        <v/>
      </c>
      <c r="G12" s="15">
        <f>SUM(Jul!G12,Aug!G12,Sep!G12)</f>
        <v>0</v>
      </c>
      <c r="H12" s="15">
        <f>SUM(Jul!H12, Aug!H12, Sep!H12)</f>
        <v>0</v>
      </c>
      <c r="I12" s="16" t="str">
        <f t="shared" si="2"/>
        <v/>
      </c>
    </row>
    <row r="13" spans="1:9" ht="15.6">
      <c r="A13" s="18" t="str">
        <v>AZ: ASU - Pardee - Parking Lot 59S</v>
      </c>
      <c r="B13" s="10" t="str">
        <v>AZ</v>
      </c>
      <c r="C13" s="11">
        <f>SUM(Jul!C13, Aug!C13, Sep!C13)</f>
        <v>0</v>
      </c>
      <c r="D13" s="19">
        <f>SUM(Jul!D13, Aug!D13, Sep!D13)</f>
        <v>0</v>
      </c>
      <c r="E13" s="19">
        <f t="shared" si="0"/>
        <v>0</v>
      </c>
      <c r="F13" s="20" t="str">
        <f t="shared" si="1"/>
        <v/>
      </c>
      <c r="G13" s="11">
        <f>SUM(Jul!G13,Aug!G13,Sep!G13)</f>
        <v>0</v>
      </c>
      <c r="H13" s="21">
        <f>SUM(Jul!H13, Aug!H13, Sep!H13)</f>
        <v>0</v>
      </c>
      <c r="I13" s="20" t="str">
        <f t="shared" si="2"/>
        <v/>
      </c>
    </row>
    <row r="14" spans="1:9" ht="15.6">
      <c r="A14" s="12" t="str">
        <v>AZ: ASU - Pardee - Sun Devil Complex</v>
      </c>
      <c r="B14" s="9" t="str">
        <v>AZ</v>
      </c>
      <c r="C14" s="25">
        <f>SUM(Jul!C14, Aug!C14, Sep!C14)</f>
        <v>0</v>
      </c>
      <c r="D14" s="13">
        <f>SUM(Jul!D14, Aug!D14, Sep!D14)</f>
        <v>0</v>
      </c>
      <c r="E14" s="13">
        <f t="shared" si="0"/>
        <v>0</v>
      </c>
      <c r="F14" s="14" t="str">
        <f t="shared" si="1"/>
        <v/>
      </c>
      <c r="G14" s="15">
        <f>SUM(Jul!G14,Aug!G14,Sep!G14)</f>
        <v>0</v>
      </c>
      <c r="H14" s="15">
        <f>SUM(Jul!H14, Aug!H14, Sep!H14)</f>
        <v>0</v>
      </c>
      <c r="I14" s="16" t="str">
        <f t="shared" si="2"/>
        <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mergeCells count="4">
    <mergeCell ref="G1:I1"/>
    <mergeCell ref="A1:C1"/>
    <mergeCell ref="D1:F1"/>
    <mergeCell ref="A2:B2"/>
  </mergeCells>
  <conditionalFormatting sqref="F2 I2 F4:F86 I4:I86">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ySplit="2" topLeftCell="A3" activePane="bottomLeft" state="frozen"/>
      <selection pane="bottomLeft" activeCell="H19" sqref="H19"/>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Pardee (ENCAP)</v>
      </c>
      <c r="B1" s="72"/>
      <c r="C1" s="72"/>
      <c r="D1" s="73" t="s">
        <v>16</v>
      </c>
      <c r="E1" s="73"/>
      <c r="F1" s="73"/>
      <c r="G1" s="71" t="s">
        <v>17</v>
      </c>
      <c r="H1" s="71"/>
      <c r="I1" s="71"/>
    </row>
    <row r="2" spans="1:9" ht="19.5" customHeight="1">
      <c r="A2" s="74" t="s">
        <v>2</v>
      </c>
      <c r="B2" s="74"/>
      <c r="C2" s="5">
        <f>SUM(C4:C86)</f>
        <v>0</v>
      </c>
      <c r="D2" s="5">
        <f>SUM(D4:D86)</f>
        <v>0</v>
      </c>
      <c r="E2" s="5">
        <f>C2-D2</f>
        <v>0</v>
      </c>
      <c r="F2" s="6">
        <f>IFERROR(E2/D2, 0)</f>
        <v>0</v>
      </c>
      <c r="G2" s="5">
        <f>SUM(G4:G86)</f>
        <v>0</v>
      </c>
      <c r="H2" s="7">
        <f>C2-G2</f>
        <v>0</v>
      </c>
      <c r="I2" s="6">
        <f>IFERROR(H2/G2, 0)</f>
        <v>0</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18" t="str">
        <v>AZ: ASU - Pardee - Farrington</v>
      </c>
      <c r="B5" s="10" t="str">
        <v>AZ</v>
      </c>
      <c r="C5" s="11">
        <f>SUM(Oct!C5, Nov!C5, Dec!C5)</f>
        <v>0</v>
      </c>
      <c r="D5" s="19">
        <f>SUM(Oct!D5, Nov!D5, Dec!D5)</f>
        <v>0</v>
      </c>
      <c r="E5" s="19">
        <f t="shared" ref="E5:E14" si="0">IF(AND(ISNUMBER(C5),ISNUMBER(D5)), C5-D5, "")</f>
        <v>0</v>
      </c>
      <c r="F5" s="20" t="str">
        <f>IFERROR(E5/D5, "")</f>
        <v/>
      </c>
      <c r="G5" s="11">
        <f>SUM(Oct!G5,Nov!G5,Dec!G5)</f>
        <v>0</v>
      </c>
      <c r="H5" s="21">
        <f>SUM(Oct!H5, Nov!H5, Dec!H5)</f>
        <v>0</v>
      </c>
      <c r="I5" s="20" t="str">
        <f>IFERROR(H5/G5, "")</f>
        <v/>
      </c>
    </row>
    <row r="6" spans="1:9" ht="15.6">
      <c r="A6" s="12" t="str">
        <v>AZ: ASU - Pardee - Macro Tech.</v>
      </c>
      <c r="B6" s="9" t="str">
        <v>AZ</v>
      </c>
      <c r="C6" s="25">
        <f>SUM(Oct!C6, Nov!C6, Dec!C6)</f>
        <v>0</v>
      </c>
      <c r="D6" s="13">
        <f>SUM(Oct!D6, Nov!D6, Dec!D6)</f>
        <v>0</v>
      </c>
      <c r="E6" s="13">
        <f t="shared" si="0"/>
        <v>0</v>
      </c>
      <c r="F6" s="14" t="str">
        <f t="shared" ref="F6:F14" si="1">IFERROR(E6/D6, "")</f>
        <v/>
      </c>
      <c r="G6" s="15">
        <f>SUM(Oct!G6,Nov!G6,Dec!G6)</f>
        <v>0</v>
      </c>
      <c r="H6" s="15">
        <f>SUM(Oct!H6, Nov!H6, Dec!H6)</f>
        <v>0</v>
      </c>
      <c r="I6" s="16" t="str">
        <f t="shared" ref="I6:I14" si="2">IFERROR(H6/G6, "")</f>
        <v/>
      </c>
    </row>
    <row r="7" spans="1:9" ht="15.6">
      <c r="A7" s="18" t="str">
        <v>AZ: ASU - Pardee - McCord Hall</v>
      </c>
      <c r="B7" s="10" t="str">
        <v>AZ</v>
      </c>
      <c r="C7" s="11">
        <f>SUM(Oct!C7, Nov!C7, Dec!C7)</f>
        <v>0</v>
      </c>
      <c r="D7" s="19">
        <f>SUM(Oct!D7, Nov!D7, Dec!D7)</f>
        <v>0</v>
      </c>
      <c r="E7" s="19">
        <f t="shared" si="0"/>
        <v>0</v>
      </c>
      <c r="F7" s="20" t="str">
        <f t="shared" si="1"/>
        <v/>
      </c>
      <c r="G7" s="11">
        <f>SUM(Oct!G7,Nov!G7,Dec!G7)</f>
        <v>0</v>
      </c>
      <c r="H7" s="21">
        <f>SUM(Oct!H7, Nov!H7, Dec!H7)</f>
        <v>0</v>
      </c>
      <c r="I7" s="20" t="str">
        <f t="shared" si="2"/>
        <v/>
      </c>
    </row>
    <row r="8" spans="1:9" ht="15.6">
      <c r="A8" s="12" t="str">
        <v>AZ: NAU - SF Garage</v>
      </c>
      <c r="B8" s="9" t="str">
        <v>AZ</v>
      </c>
      <c r="C8" s="25">
        <f>SUM(Oct!C8, Nov!C8, Dec!C8)</f>
        <v>0</v>
      </c>
      <c r="D8" s="13">
        <f>SUM(Oct!D8, Nov!D8, Dec!D8)</f>
        <v>0</v>
      </c>
      <c r="E8" s="13">
        <f t="shared" si="0"/>
        <v>0</v>
      </c>
      <c r="F8" s="14" t="str">
        <f t="shared" si="1"/>
        <v/>
      </c>
      <c r="G8" s="15">
        <f>SUM(Oct!G8,Nov!G8,Dec!G8)</f>
        <v>0</v>
      </c>
      <c r="H8" s="15">
        <f>SUM(Oct!H8, Nov!H8, Dec!H8)</f>
        <v>0</v>
      </c>
      <c r="I8" s="16" t="str">
        <f t="shared" si="2"/>
        <v/>
      </c>
    </row>
    <row r="9" spans="1:9" ht="15.6">
      <c r="A9" s="18" t="str">
        <v>AZ: ASU - Pardee - Parking Lot 11</v>
      </c>
      <c r="B9" s="10" t="str">
        <v>AZ</v>
      </c>
      <c r="C9" s="11">
        <f>SUM(Oct!C9, Nov!C9, Dec!C9)</f>
        <v>0</v>
      </c>
      <c r="D9" s="19">
        <f>SUM(Oct!D9, Nov!D9, Dec!D9)</f>
        <v>0</v>
      </c>
      <c r="E9" s="19">
        <f t="shared" si="0"/>
        <v>0</v>
      </c>
      <c r="F9" s="20" t="str">
        <f t="shared" si="1"/>
        <v/>
      </c>
      <c r="G9" s="11">
        <f>SUM(Oct!G9,Nov!G9,Dec!G9)</f>
        <v>0</v>
      </c>
      <c r="H9" s="21">
        <f>SUM(Oct!H9, Nov!H9, Dec!H9)</f>
        <v>0</v>
      </c>
      <c r="I9" s="20" t="str">
        <f t="shared" si="2"/>
        <v/>
      </c>
    </row>
    <row r="10" spans="1:9" ht="15.6">
      <c r="A10" s="12" t="str">
        <v>AZ: ASU - Pardee - Parking Lot 19</v>
      </c>
      <c r="B10" s="9" t="str">
        <v>AZ</v>
      </c>
      <c r="C10" s="25">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18" t="str">
        <v>AZ: ASU - Pardee - Parking Lot 41</v>
      </c>
      <c r="B11" s="10" t="str">
        <v>AZ</v>
      </c>
      <c r="C11" s="11">
        <f>SUM(Oct!C11, Nov!C11, Dec!C11)</f>
        <v>0</v>
      </c>
      <c r="D11" s="19">
        <f>SUM(Oct!D11, Nov!D11, Dec!D11)</f>
        <v>0</v>
      </c>
      <c r="E11" s="19">
        <f t="shared" si="0"/>
        <v>0</v>
      </c>
      <c r="F11" s="20" t="str">
        <f t="shared" si="1"/>
        <v/>
      </c>
      <c r="G11" s="11">
        <f>SUM(Oct!G11,Nov!G11,Dec!G11)</f>
        <v>0</v>
      </c>
      <c r="H11" s="21">
        <f>SUM(Oct!H11, Nov!H11, Dec!H11)</f>
        <v>0</v>
      </c>
      <c r="I11" s="20" t="str">
        <f t="shared" si="2"/>
        <v/>
      </c>
    </row>
    <row r="12" spans="1:9" ht="15.6">
      <c r="A12" s="12" t="str">
        <v>AZ: ASU - Pardee - Parking Lot 58</v>
      </c>
      <c r="B12" s="9" t="str">
        <v>AZ</v>
      </c>
      <c r="C12" s="25">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18" t="str">
        <v>AZ: ASU - Pardee - Parking Lot 59S</v>
      </c>
      <c r="B13" s="10" t="str">
        <v>AZ</v>
      </c>
      <c r="C13" s="11">
        <f>SUM(Oct!C13, Nov!C13, Dec!C13)</f>
        <v>0</v>
      </c>
      <c r="D13" s="19">
        <f>SUM(Oct!D13, Nov!D13, Dec!D13)</f>
        <v>0</v>
      </c>
      <c r="E13" s="19">
        <f t="shared" si="0"/>
        <v>0</v>
      </c>
      <c r="F13" s="20" t="str">
        <f t="shared" si="1"/>
        <v/>
      </c>
      <c r="G13" s="11">
        <f>SUM(Oct!G13,Nov!G13,Dec!G13)</f>
        <v>0</v>
      </c>
      <c r="H13" s="21">
        <f>SUM(Oct!H13, Nov!H13, Dec!H13)</f>
        <v>0</v>
      </c>
      <c r="I13" s="20" t="str">
        <f t="shared" si="2"/>
        <v/>
      </c>
    </row>
    <row r="14" spans="1:9" ht="15.6">
      <c r="A14" s="12" t="str">
        <v>AZ: ASU - Pardee - Sun Devil Complex</v>
      </c>
      <c r="B14" s="9" t="str">
        <v>AZ</v>
      </c>
      <c r="C14" s="25">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mergeCells count="4">
    <mergeCell ref="G1:I1"/>
    <mergeCell ref="A1:C1"/>
    <mergeCell ref="D1:F1"/>
    <mergeCell ref="A2:B2"/>
  </mergeCells>
  <conditionalFormatting sqref="F2 I2 F4:F86 I4:I86">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7"/>
  <sheetViews>
    <sheetView zoomScale="70" zoomScaleNormal="70" workbookViewId="0">
      <pane ySplit="3" topLeftCell="A4" activePane="bottomLeft" state="frozen"/>
      <selection pane="bottomLeft" activeCell="J14" sqref="J14"/>
      <selection activeCell="E30" sqref="E3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1.5703125" bestFit="1" customWidth="1"/>
  </cols>
  <sheetData>
    <row r="1" spans="1:11" ht="19.5" customHeight="1">
      <c r="A1" s="72" t="str" cm="1">
        <f t="array" ref="A1">portfolio</f>
        <v>Pardee (ENCAP)</v>
      </c>
      <c r="B1" s="72"/>
      <c r="C1" s="72"/>
      <c r="D1" s="73" t="s">
        <v>18</v>
      </c>
      <c r="E1" s="73"/>
      <c r="F1" s="73"/>
      <c r="G1" s="71" t="s">
        <v>19</v>
      </c>
      <c r="H1" s="71"/>
      <c r="I1" s="71"/>
      <c r="J1" s="4"/>
      <c r="K1" s="4"/>
    </row>
    <row r="2" spans="1:11" ht="19.5" customHeight="1">
      <c r="A2" s="74" t="s">
        <v>2</v>
      </c>
      <c r="B2" s="74"/>
      <c r="C2" s="5">
        <f>SUM(C4:C85)</f>
        <v>288814.37545776367</v>
      </c>
      <c r="D2" s="5">
        <f>SUM(D4:D85)</f>
        <v>316487.484</v>
      </c>
      <c r="E2" s="5">
        <f>C2-D2</f>
        <v>-27673.108542236325</v>
      </c>
      <c r="F2" s="6">
        <f>IFERROR(E2/D2, 0)</f>
        <v>-8.7438239871237139E-2</v>
      </c>
      <c r="G2" s="5">
        <f>SUM(G4:G85)</f>
        <v>295930.84500000003</v>
      </c>
      <c r="H2" s="7">
        <f>C2-G2</f>
        <v>-7116.4695422363584</v>
      </c>
      <c r="I2" s="6">
        <f>IFERROR(H2/G2, 0)</f>
        <v>-2.4047745148824747E-2</v>
      </c>
      <c r="J2" s="27" t="str">
        <f ca="1">IF(AND(TODAY()&gt;DATE(2024, 1, 1), COUNTA(Sites[Site])&lt;&gt;(COUNT(C:C)-1)), "Some sites are missing actual data; if new sites were added, make sure they are aligned correctly (including prior months!)", "")</f>
        <v/>
      </c>
      <c r="K2" s="4"/>
    </row>
    <row r="3" spans="1:11" ht="14.25" customHeight="1">
      <c r="A3" s="28" t="s">
        <v>3</v>
      </c>
      <c r="B3" s="8" t="s">
        <v>4</v>
      </c>
      <c r="C3" s="24" t="s">
        <v>5</v>
      </c>
      <c r="D3" s="36" t="s">
        <v>6</v>
      </c>
      <c r="E3" s="36" t="s">
        <v>7</v>
      </c>
      <c r="F3" s="37" t="s">
        <v>8</v>
      </c>
      <c r="G3" s="41" t="s">
        <v>9</v>
      </c>
      <c r="H3" s="39" t="s">
        <v>7</v>
      </c>
      <c r="I3" s="40" t="s">
        <v>8</v>
      </c>
      <c r="J3" s="26" t="s">
        <v>20</v>
      </c>
      <c r="K3" s="26" t="s">
        <v>21</v>
      </c>
    </row>
    <row r="4" spans="1:11" ht="28.9">
      <c r="A4" s="33" t="str" cm="1">
        <f t="array" ref="A4:A14">Sites[Site]</f>
        <v>AZ: ASU - Pardee - Discovery Hall</v>
      </c>
      <c r="B4" s="30" t="str" cm="1">
        <f t="array" ref="B4:B14">Sites[State]</f>
        <v>AZ</v>
      </c>
      <c r="C4" s="25">
        <v>5916.75</v>
      </c>
      <c r="D4" s="13">
        <v>5538.3739999999998</v>
      </c>
      <c r="E4" s="13">
        <f>IF(AND(ISNUMBER(C4),ISNUMBER(D4)), C4-D4, "")</f>
        <v>378.3760000000002</v>
      </c>
      <c r="F4" s="14">
        <f>IFERROR(E4/D4, "")</f>
        <v>6.8318968708144343E-2</v>
      </c>
      <c r="G4" s="15">
        <v>6580.4769999999999</v>
      </c>
      <c r="H4" s="15">
        <f>IF(AND(ISNUMBER(C4),ISNUMBER(G4)), C4-G4, "")</f>
        <v>-663.72699999999986</v>
      </c>
      <c r="I4" s="16">
        <f>IFERROR(H4/G4, "")</f>
        <v>-0.10086305293673997</v>
      </c>
      <c r="J4" s="17" t="s">
        <v>22</v>
      </c>
      <c r="K4" s="17" t="s">
        <v>23</v>
      </c>
    </row>
    <row r="5" spans="1:11" ht="28.9">
      <c r="A5" s="31" t="str">
        <v>AZ: ASU - Pardee - Farrington</v>
      </c>
      <c r="B5" s="32" t="str">
        <v>AZ</v>
      </c>
      <c r="C5" s="11">
        <v>17359.000457763701</v>
      </c>
      <c r="D5" s="19">
        <v>25551.77</v>
      </c>
      <c r="E5" s="19">
        <f t="shared" ref="E5:E6" si="0">IF(AND(ISNUMBER(C5),ISNUMBER(D5)), C5-D5, "")</f>
        <v>-8192.7695422362995</v>
      </c>
      <c r="F5" s="20">
        <f>IFERROR(E5/D5, "")</f>
        <v>-0.32063412993449375</v>
      </c>
      <c r="G5" s="21">
        <v>24198.86</v>
      </c>
      <c r="H5" s="21">
        <f t="shared" ref="H5:H6" si="1">IF(AND(ISNUMBER(C5),ISNUMBER(G5)), C5-G5, "")</f>
        <v>-6839.8595422362996</v>
      </c>
      <c r="I5" s="20">
        <f t="shared" ref="I5:I6" si="2">IFERROR(H5/G5, "")</f>
        <v>-0.28265213907747305</v>
      </c>
      <c r="J5" s="46" t="s">
        <v>24</v>
      </c>
      <c r="K5" s="46" t="s">
        <v>25</v>
      </c>
    </row>
    <row r="6" spans="1:11" ht="63.75" customHeight="1">
      <c r="A6" s="29" t="str">
        <v>AZ: ASU - Pardee - Macro Tech.</v>
      </c>
      <c r="B6" s="30" t="str">
        <v>AZ</v>
      </c>
      <c r="C6" s="25">
        <v>76476.625</v>
      </c>
      <c r="D6" s="13">
        <v>96023.1</v>
      </c>
      <c r="E6" s="13">
        <f t="shared" si="0"/>
        <v>-19546.475000000006</v>
      </c>
      <c r="F6" s="14">
        <f t="shared" ref="F6:F14" si="3">IFERROR(E6/D6, "")</f>
        <v>-0.20356013292634798</v>
      </c>
      <c r="G6" s="15">
        <v>89844.160000000003</v>
      </c>
      <c r="H6" s="15">
        <f t="shared" si="1"/>
        <v>-13367.535000000003</v>
      </c>
      <c r="I6" s="16">
        <f t="shared" si="2"/>
        <v>-0.14878579754098656</v>
      </c>
      <c r="J6" s="17" t="s">
        <v>26</v>
      </c>
      <c r="K6" s="17" t="s">
        <v>27</v>
      </c>
    </row>
    <row r="7" spans="1:11" ht="15.6">
      <c r="A7" s="31" t="str">
        <v>AZ: ASU - Pardee - McCord Hall</v>
      </c>
      <c r="B7" s="32" t="str">
        <v>AZ</v>
      </c>
      <c r="C7" s="11">
        <v>8385.875</v>
      </c>
      <c r="D7" s="19">
        <v>6453.7860000000001</v>
      </c>
      <c r="E7" s="19">
        <f t="shared" ref="E7:E14" si="4">IF(AND(ISNUMBER(C7),ISNUMBER(D7)), C7-D7, "")</f>
        <v>1932.0889999999999</v>
      </c>
      <c r="F7" s="20">
        <f t="shared" si="3"/>
        <v>0.299372957206824</v>
      </c>
      <c r="G7" s="21">
        <v>8884.1229999999996</v>
      </c>
      <c r="H7" s="21">
        <f t="shared" ref="H7:H14" si="5">IF(AND(ISNUMBER(C7),ISNUMBER(G7)), C7-G7, "")</f>
        <v>-498.24799999999959</v>
      </c>
      <c r="I7" s="20">
        <f t="shared" ref="I7:I14" si="6">IFERROR(H7/G7, "")</f>
        <v>-5.6082969585180172E-2</v>
      </c>
      <c r="J7" s="42"/>
      <c r="K7" s="42"/>
    </row>
    <row r="8" spans="1:11" ht="15.6">
      <c r="A8" s="29" t="str">
        <v>AZ: NAU - SF Garage</v>
      </c>
      <c r="B8" s="30" t="str">
        <v>AZ</v>
      </c>
      <c r="C8" s="25">
        <v>52716</v>
      </c>
      <c r="D8" s="13">
        <v>57354.053999999996</v>
      </c>
      <c r="E8" s="13">
        <f t="shared" si="4"/>
        <v>-4638.0539999999964</v>
      </c>
      <c r="F8" s="14">
        <f t="shared" si="3"/>
        <v>-8.0867064776275394E-2</v>
      </c>
      <c r="G8" s="15">
        <v>45999.135000000002</v>
      </c>
      <c r="H8" s="15">
        <f t="shared" si="5"/>
        <v>6716.864999999998</v>
      </c>
      <c r="I8" s="16">
        <f t="shared" si="6"/>
        <v>0.14602155018784588</v>
      </c>
      <c r="J8" s="17"/>
      <c r="K8" s="17"/>
    </row>
    <row r="9" spans="1:11" ht="15.6">
      <c r="A9" s="31" t="str">
        <v>AZ: ASU - Pardee - Parking Lot 11</v>
      </c>
      <c r="B9" s="32" t="str">
        <v>AZ</v>
      </c>
      <c r="C9" s="11">
        <v>18327.75</v>
      </c>
      <c r="D9" s="19">
        <v>17757.759999999998</v>
      </c>
      <c r="E9" s="19">
        <f t="shared" si="4"/>
        <v>569.9900000000016</v>
      </c>
      <c r="F9" s="20">
        <f t="shared" si="3"/>
        <v>3.2098079938010289E-2</v>
      </c>
      <c r="G9" s="21">
        <v>10305.89</v>
      </c>
      <c r="H9" s="21">
        <f t="shared" si="5"/>
        <v>8021.8600000000006</v>
      </c>
      <c r="I9" s="20">
        <f t="shared" si="6"/>
        <v>0.77837624892173318</v>
      </c>
      <c r="J9" s="42"/>
      <c r="K9" s="43"/>
    </row>
    <row r="10" spans="1:11" ht="15.6">
      <c r="A10" s="29" t="str">
        <v>AZ: ASU - Pardee - Parking Lot 19</v>
      </c>
      <c r="B10" s="30" t="str">
        <v>AZ</v>
      </c>
      <c r="C10" s="25">
        <v>26035.5</v>
      </c>
      <c r="D10" s="13">
        <v>25220.52</v>
      </c>
      <c r="E10" s="13">
        <f t="shared" si="4"/>
        <v>814.97999999999956</v>
      </c>
      <c r="F10" s="14">
        <f t="shared" si="3"/>
        <v>3.2314163228989709E-2</v>
      </c>
      <c r="G10" s="15">
        <v>15260.94</v>
      </c>
      <c r="H10" s="15">
        <f t="shared" si="5"/>
        <v>10774.56</v>
      </c>
      <c r="I10" s="16">
        <f t="shared" si="6"/>
        <v>0.70602204058203488</v>
      </c>
      <c r="J10" s="17"/>
      <c r="K10" s="17"/>
    </row>
    <row r="11" spans="1:11" ht="28.9">
      <c r="A11" s="31" t="str">
        <v>AZ: ASU - Pardee - Parking Lot 41</v>
      </c>
      <c r="B11" s="32" t="str">
        <v>AZ</v>
      </c>
      <c r="C11" s="11">
        <v>19602.125</v>
      </c>
      <c r="D11" s="19">
        <v>21279.74</v>
      </c>
      <c r="E11" s="19">
        <f t="shared" si="4"/>
        <v>-1677.6150000000016</v>
      </c>
      <c r="F11" s="20">
        <f t="shared" si="3"/>
        <v>-7.8836254578298487E-2</v>
      </c>
      <c r="G11" s="21">
        <v>21672.34</v>
      </c>
      <c r="H11" s="21">
        <f t="shared" si="5"/>
        <v>-2070.2150000000001</v>
      </c>
      <c r="I11" s="20">
        <f t="shared" si="6"/>
        <v>-9.5523372187774833E-2</v>
      </c>
      <c r="J11" s="46" t="s">
        <v>28</v>
      </c>
      <c r="K11" s="42" t="s">
        <v>29</v>
      </c>
    </row>
    <row r="12" spans="1:11" ht="15.6">
      <c r="A12" s="29" t="str">
        <v>AZ: ASU - Pardee - Parking Lot 58</v>
      </c>
      <c r="B12" s="30" t="str">
        <v>AZ</v>
      </c>
      <c r="C12" s="25">
        <v>25842.75</v>
      </c>
      <c r="D12" s="13">
        <v>19977.46</v>
      </c>
      <c r="E12" s="13">
        <f t="shared" si="4"/>
        <v>5865.2900000000009</v>
      </c>
      <c r="F12" s="14">
        <f t="shared" si="3"/>
        <v>0.293595381995509</v>
      </c>
      <c r="G12" s="15">
        <v>22973.07</v>
      </c>
      <c r="H12" s="15">
        <f t="shared" si="5"/>
        <v>2869.6800000000003</v>
      </c>
      <c r="I12" s="16">
        <f t="shared" si="6"/>
        <v>0.12491495477095575</v>
      </c>
      <c r="J12" s="17"/>
      <c r="K12" s="17"/>
    </row>
    <row r="13" spans="1:11" ht="28.9">
      <c r="A13" s="31" t="str">
        <v>AZ: ASU - Pardee - Parking Lot 59S</v>
      </c>
      <c r="B13" s="32" t="str">
        <v>AZ</v>
      </c>
      <c r="C13" s="11">
        <v>20102.5</v>
      </c>
      <c r="D13" s="19">
        <v>18284.13</v>
      </c>
      <c r="E13" s="19">
        <f t="shared" si="4"/>
        <v>1818.369999999999</v>
      </c>
      <c r="F13" s="20">
        <f t="shared" si="3"/>
        <v>9.9450725848044111E-2</v>
      </c>
      <c r="G13" s="21">
        <v>25126.85</v>
      </c>
      <c r="H13" s="21">
        <f t="shared" si="5"/>
        <v>-5024.3499999999985</v>
      </c>
      <c r="I13" s="20">
        <f t="shared" si="6"/>
        <v>-0.19995940597408743</v>
      </c>
      <c r="J13" s="46" t="s">
        <v>30</v>
      </c>
      <c r="K13" s="46" t="s">
        <v>31</v>
      </c>
    </row>
    <row r="14" spans="1:11" ht="28.9">
      <c r="A14" s="29" t="str">
        <v>AZ: ASU - Pardee - Sun Devil Complex</v>
      </c>
      <c r="B14" s="30" t="str">
        <v>AZ</v>
      </c>
      <c r="C14" s="25">
        <v>18049.5</v>
      </c>
      <c r="D14" s="13">
        <v>23046.79</v>
      </c>
      <c r="E14" s="13">
        <f t="shared" si="4"/>
        <v>-4997.2900000000009</v>
      </c>
      <c r="F14" s="14">
        <f t="shared" si="3"/>
        <v>-0.21683236580886106</v>
      </c>
      <c r="G14" s="15">
        <v>25085</v>
      </c>
      <c r="H14" s="15">
        <f t="shared" si="5"/>
        <v>-7035.5</v>
      </c>
      <c r="I14" s="16">
        <f t="shared" si="6"/>
        <v>-0.28046641419174806</v>
      </c>
      <c r="J14" s="17" t="s">
        <v>32</v>
      </c>
      <c r="K14" s="17" t="s">
        <v>33</v>
      </c>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3"/>
      <c r="G18" s="22"/>
      <c r="H18" s="22"/>
      <c r="I18" s="23"/>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sheetData>
  <mergeCells count="4">
    <mergeCell ref="D1:F1"/>
    <mergeCell ref="A1:C1"/>
    <mergeCell ref="G1:I1"/>
    <mergeCell ref="A2:B2"/>
  </mergeCells>
  <conditionalFormatting sqref="F2 I2 F4:F85 I4:I85">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topLeftCell="E1" workbookViewId="0">
      <pane ySplit="2" topLeftCell="A3" activePane="bottomLeft" state="frozen"/>
      <selection pane="bottomLeft" activeCell="L17" sqref="L17"/>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140625" customWidth="1"/>
  </cols>
  <sheetData>
    <row r="1" spans="1:14" ht="19.5" customHeight="1">
      <c r="A1" s="72" t="str" cm="1">
        <f t="array" ref="A1">portfolio</f>
        <v>Pardee (ENCAP)</v>
      </c>
      <c r="B1" s="72"/>
      <c r="C1" s="72"/>
      <c r="D1" s="73" t="s">
        <v>34</v>
      </c>
      <c r="E1" s="73"/>
      <c r="F1" s="73"/>
      <c r="G1" s="71" t="s">
        <v>35</v>
      </c>
      <c r="H1" s="71"/>
      <c r="I1" s="71"/>
      <c r="J1" s="4"/>
      <c r="K1" s="4"/>
    </row>
    <row r="2" spans="1:14" ht="19.5" customHeight="1">
      <c r="A2" s="74" t="s">
        <v>2</v>
      </c>
      <c r="B2" s="74"/>
      <c r="C2" s="5">
        <f>SUM(C4:C86)</f>
        <v>332166.07843017578</v>
      </c>
      <c r="D2" s="5">
        <f>SUM(D4:D86)</f>
        <v>336249.9</v>
      </c>
      <c r="E2" s="5">
        <f>C2-D2</f>
        <v>-4083.821569824242</v>
      </c>
      <c r="F2" s="6">
        <f>IFERROR(E2/D2, 0)</f>
        <v>-1.2145197871655104E-2</v>
      </c>
      <c r="G2" s="5">
        <f>SUM(G4:G86)</f>
        <v>336219.701</v>
      </c>
      <c r="H2" s="7">
        <f>C2-G2</f>
        <v>-4053.6225698242197</v>
      </c>
      <c r="I2" s="6">
        <f>IFERROR(H2/G2, 0)</f>
        <v>-1.2056469498270774E-2</v>
      </c>
      <c r="J2" s="27"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4" t="s">
        <v>5</v>
      </c>
      <c r="D3" s="36" t="s">
        <v>6</v>
      </c>
      <c r="E3" s="36" t="s">
        <v>7</v>
      </c>
      <c r="F3" s="37" t="s">
        <v>8</v>
      </c>
      <c r="G3" s="38" t="s">
        <v>9</v>
      </c>
      <c r="H3" s="39" t="s">
        <v>7</v>
      </c>
      <c r="I3" s="40" t="s">
        <v>8</v>
      </c>
      <c r="J3" s="26" t="s">
        <v>20</v>
      </c>
      <c r="K3" s="26" t="s">
        <v>21</v>
      </c>
    </row>
    <row r="4" spans="1:14" ht="28.9">
      <c r="A4" s="33" t="str" cm="1">
        <f t="array" ref="A4:A14">Sites[Site]</f>
        <v>AZ: ASU - Pardee - Discovery Hall</v>
      </c>
      <c r="B4" s="30" t="str" cm="1">
        <f t="array" ref="B4:B14">Sites[State]</f>
        <v>AZ</v>
      </c>
      <c r="C4" s="25">
        <v>6598.875</v>
      </c>
      <c r="D4" s="13">
        <v>5712.3580000000002</v>
      </c>
      <c r="E4" s="13">
        <f>IF(AND(ISNUMBER(C4),ISNUMBER(D4)), C4-D4, "")</f>
        <v>886.51699999999983</v>
      </c>
      <c r="F4" s="14">
        <f>IFERROR(E4/D4, "")</f>
        <v>0.15519282930096465</v>
      </c>
      <c r="G4" s="15">
        <v>7494.7110000000002</v>
      </c>
      <c r="H4" s="15">
        <f>IF(AND(ISNUMBER(C4),ISNUMBER(G4)), C4-G4, "")</f>
        <v>-895.83600000000024</v>
      </c>
      <c r="I4" s="16">
        <f>IFERROR(H4/G4, "")</f>
        <v>-0.11952909191561892</v>
      </c>
      <c r="J4" s="17" t="s">
        <v>22</v>
      </c>
      <c r="K4" s="57" t="s">
        <v>23</v>
      </c>
      <c r="L4" s="53"/>
    </row>
    <row r="5" spans="1:14" ht="15.6">
      <c r="A5" s="31" t="str">
        <v>AZ: ASU - Pardee - Farrington</v>
      </c>
      <c r="B5" s="32" t="str">
        <v>AZ</v>
      </c>
      <c r="C5" s="11">
        <v>31007.328430175799</v>
      </c>
      <c r="D5" s="19">
        <v>26810.49</v>
      </c>
      <c r="E5" s="19">
        <f t="shared" ref="E5:E14" si="0">IF(AND(ISNUMBER(C5),ISNUMBER(D5)), C5-D5, "")</f>
        <v>4196.8384301757978</v>
      </c>
      <c r="F5" s="20">
        <f>IFERROR(E5/D5, "")</f>
        <v>0.1565371774322587</v>
      </c>
      <c r="G5" s="21">
        <v>27770.28</v>
      </c>
      <c r="H5" s="21">
        <f t="shared" ref="H5:H14" si="1">IF(AND(ISNUMBER(C5),ISNUMBER(G5)), C5-G5, "")</f>
        <v>3237.0484301758006</v>
      </c>
      <c r="I5" s="20">
        <f t="shared" ref="I5:I14" si="2">IFERROR(H5/G5, "")</f>
        <v>0.11656520676693936</v>
      </c>
      <c r="J5" s="10"/>
      <c r="K5" s="18"/>
      <c r="L5" s="53"/>
    </row>
    <row r="6" spans="1:14" ht="57.6">
      <c r="A6" s="29" t="str">
        <v>AZ: ASU - Pardee - Macro Tech.</v>
      </c>
      <c r="B6" s="30" t="str">
        <v>AZ</v>
      </c>
      <c r="C6" s="25">
        <v>72327.375</v>
      </c>
      <c r="D6" s="13">
        <v>99628.9</v>
      </c>
      <c r="E6" s="13">
        <f t="shared" si="0"/>
        <v>-27301.524999999994</v>
      </c>
      <c r="F6" s="14">
        <f t="shared" ref="F6:F14" si="3">IFERROR(E6/D6, "")</f>
        <v>-0.27403218343271879</v>
      </c>
      <c r="G6" s="15">
        <v>97007.78</v>
      </c>
      <c r="H6" s="15">
        <f t="shared" si="1"/>
        <v>-24680.404999999999</v>
      </c>
      <c r="I6" s="16">
        <f t="shared" si="2"/>
        <v>-0.25441675915065781</v>
      </c>
      <c r="J6" s="17" t="s">
        <v>36</v>
      </c>
      <c r="K6" s="57" t="s">
        <v>37</v>
      </c>
      <c r="L6" s="61" t="s">
        <v>38</v>
      </c>
      <c r="M6" s="61" t="s">
        <v>39</v>
      </c>
      <c r="N6" s="61" t="s">
        <v>40</v>
      </c>
    </row>
    <row r="7" spans="1:14" ht="15.6">
      <c r="A7" s="31" t="str">
        <v>AZ: ASU - Pardee - McCord Hall</v>
      </c>
      <c r="B7" s="32" t="str">
        <v>AZ</v>
      </c>
      <c r="C7" s="11">
        <v>9147.5</v>
      </c>
      <c r="D7" s="19">
        <v>7200.1319999999996</v>
      </c>
      <c r="E7" s="19">
        <f t="shared" si="0"/>
        <v>1947.3680000000004</v>
      </c>
      <c r="F7" s="20">
        <f t="shared" si="3"/>
        <v>0.27046281929275751</v>
      </c>
      <c r="G7" s="21">
        <v>10117.14</v>
      </c>
      <c r="H7" s="21">
        <f t="shared" si="1"/>
        <v>-969.63999999999942</v>
      </c>
      <c r="I7" s="20">
        <f t="shared" si="2"/>
        <v>-9.5841314837987759E-2</v>
      </c>
      <c r="J7" s="10"/>
      <c r="K7" s="18"/>
      <c r="L7" s="53"/>
      <c r="M7" s="53"/>
      <c r="N7" s="53"/>
    </row>
    <row r="8" spans="1:14" ht="15.6">
      <c r="A8" s="29" t="str">
        <v>AZ: NAU - SF Garage</v>
      </c>
      <c r="B8" s="30" t="str">
        <v>AZ</v>
      </c>
      <c r="C8" s="25">
        <v>60795</v>
      </c>
      <c r="D8" s="13">
        <v>63728.1</v>
      </c>
      <c r="E8" s="13">
        <f t="shared" si="0"/>
        <v>-2933.0999999999985</v>
      </c>
      <c r="F8" s="14">
        <f t="shared" si="3"/>
        <v>-4.6025222782414645E-2</v>
      </c>
      <c r="G8" s="15">
        <v>53900.3</v>
      </c>
      <c r="H8" s="15">
        <f t="shared" si="1"/>
        <v>6894.6999999999971</v>
      </c>
      <c r="I8" s="16">
        <f t="shared" si="2"/>
        <v>0.12791580009758752</v>
      </c>
      <c r="J8" s="44"/>
      <c r="K8" s="17"/>
      <c r="L8" s="53"/>
      <c r="M8" s="53"/>
      <c r="N8" s="53"/>
    </row>
    <row r="9" spans="1:14" ht="15.6">
      <c r="A9" s="31" t="str">
        <v>AZ: ASU - Pardee - Parking Lot 11</v>
      </c>
      <c r="B9" s="32" t="str">
        <v>AZ</v>
      </c>
      <c r="C9" s="11">
        <v>20052.5</v>
      </c>
      <c r="D9" s="19">
        <v>18203.32</v>
      </c>
      <c r="E9" s="19">
        <f t="shared" si="0"/>
        <v>1849.1800000000003</v>
      </c>
      <c r="F9" s="20">
        <f t="shared" si="3"/>
        <v>0.10158476585589883</v>
      </c>
      <c r="G9" s="21">
        <v>13387.73</v>
      </c>
      <c r="H9" s="21">
        <f t="shared" si="1"/>
        <v>6664.77</v>
      </c>
      <c r="I9" s="20">
        <f t="shared" si="2"/>
        <v>0.49782674135196936</v>
      </c>
      <c r="J9" s="54"/>
      <c r="K9" s="45"/>
      <c r="L9" s="53"/>
      <c r="M9" s="53"/>
      <c r="N9" s="53"/>
    </row>
    <row r="10" spans="1:14" ht="15.6">
      <c r="A10" s="29" t="str">
        <v>AZ: ASU - Pardee - Parking Lot 19</v>
      </c>
      <c r="B10" s="30" t="str">
        <v>AZ</v>
      </c>
      <c r="C10" s="25">
        <v>28758</v>
      </c>
      <c r="D10" s="13">
        <v>25680.77</v>
      </c>
      <c r="E10" s="13">
        <f t="shared" si="0"/>
        <v>3077.2299999999996</v>
      </c>
      <c r="F10" s="14">
        <f t="shared" si="3"/>
        <v>0.1198262357398162</v>
      </c>
      <c r="G10" s="15">
        <v>19823.29</v>
      </c>
      <c r="H10" s="15">
        <f t="shared" si="1"/>
        <v>8934.7099999999991</v>
      </c>
      <c r="I10" s="16">
        <f t="shared" si="2"/>
        <v>0.45071781727452903</v>
      </c>
      <c r="J10" s="17"/>
      <c r="K10" s="17"/>
      <c r="L10" s="53"/>
      <c r="M10" s="53"/>
      <c r="N10" s="53"/>
    </row>
    <row r="11" spans="1:14" ht="15.6">
      <c r="A11" s="31" t="str">
        <v>AZ: ASU - Pardee - Parking Lot 41</v>
      </c>
      <c r="B11" s="32" t="str">
        <v>AZ</v>
      </c>
      <c r="C11" s="11">
        <v>23110.25</v>
      </c>
      <c r="D11" s="19">
        <v>22043</v>
      </c>
      <c r="E11" s="19">
        <f t="shared" si="0"/>
        <v>1067.25</v>
      </c>
      <c r="F11" s="20">
        <f t="shared" si="3"/>
        <v>4.8416730934990701E-2</v>
      </c>
      <c r="G11" s="21">
        <v>24870.34</v>
      </c>
      <c r="H11" s="21">
        <f t="shared" si="1"/>
        <v>-1760.0900000000001</v>
      </c>
      <c r="I11" s="20">
        <f t="shared" si="2"/>
        <v>-7.0770644872567082E-2</v>
      </c>
      <c r="J11" s="55" t="s">
        <v>41</v>
      </c>
      <c r="K11" s="58" t="s">
        <v>42</v>
      </c>
      <c r="L11" s="53"/>
      <c r="M11" s="53"/>
      <c r="N11" s="53"/>
    </row>
    <row r="12" spans="1:14" ht="15.6">
      <c r="A12" s="29" t="str">
        <v>AZ: ASU - Pardee - Parking Lot 58</v>
      </c>
      <c r="B12" s="30" t="str">
        <v>AZ</v>
      </c>
      <c r="C12" s="25">
        <v>28384.25</v>
      </c>
      <c r="D12" s="13">
        <v>22538.77</v>
      </c>
      <c r="E12" s="13">
        <f t="shared" si="0"/>
        <v>5845.48</v>
      </c>
      <c r="F12" s="14">
        <f t="shared" si="3"/>
        <v>0.25935221842185707</v>
      </c>
      <c r="G12" s="15">
        <v>26162.83</v>
      </c>
      <c r="H12" s="15">
        <f t="shared" si="1"/>
        <v>2221.4199999999983</v>
      </c>
      <c r="I12" s="16">
        <f t="shared" si="2"/>
        <v>8.4907481338983515E-2</v>
      </c>
      <c r="J12" s="17"/>
      <c r="K12" s="17"/>
      <c r="L12" s="53"/>
      <c r="M12" s="53"/>
      <c r="N12" s="53"/>
    </row>
    <row r="13" spans="1:14" ht="28.9">
      <c r="A13" s="31" t="str">
        <v>AZ: ASU - Pardee - Parking Lot 59S</v>
      </c>
      <c r="B13" s="32" t="str">
        <v>AZ</v>
      </c>
      <c r="C13" s="11">
        <v>23550</v>
      </c>
      <c r="D13" s="19">
        <v>20628.14</v>
      </c>
      <c r="E13" s="19">
        <f t="shared" si="0"/>
        <v>2921.8600000000006</v>
      </c>
      <c r="F13" s="20">
        <f t="shared" si="3"/>
        <v>0.14164437511089223</v>
      </c>
      <c r="G13" s="21">
        <v>28615.3</v>
      </c>
      <c r="H13" s="21">
        <f t="shared" si="1"/>
        <v>-5065.2999999999993</v>
      </c>
      <c r="I13" s="20">
        <f t="shared" si="2"/>
        <v>-0.17701369547060486</v>
      </c>
      <c r="J13" s="46" t="s">
        <v>30</v>
      </c>
      <c r="K13" s="59" t="s">
        <v>31</v>
      </c>
      <c r="L13" s="53"/>
      <c r="M13" s="53"/>
      <c r="N13" s="53"/>
    </row>
    <row r="14" spans="1:14" ht="15.6">
      <c r="A14" s="29" t="str">
        <v>AZ: ASU - Pardee - Sun Devil Complex</v>
      </c>
      <c r="B14" s="30" t="str">
        <v>AZ</v>
      </c>
      <c r="C14" s="25">
        <v>28435</v>
      </c>
      <c r="D14" s="13">
        <v>24075.919999999998</v>
      </c>
      <c r="E14" s="13">
        <f t="shared" si="0"/>
        <v>4359.0800000000017</v>
      </c>
      <c r="F14" s="14">
        <f t="shared" si="3"/>
        <v>0.1810555941372127</v>
      </c>
      <c r="G14" s="15">
        <v>27070</v>
      </c>
      <c r="H14" s="15">
        <f t="shared" si="1"/>
        <v>1365</v>
      </c>
      <c r="I14" s="16">
        <f t="shared" si="2"/>
        <v>5.0424824528998893E-2</v>
      </c>
      <c r="J14" s="17" t="s">
        <v>43</v>
      </c>
      <c r="K14" s="57" t="s">
        <v>44</v>
      </c>
      <c r="L14" s="53"/>
    </row>
    <row r="15" spans="1:14" ht="14.45">
      <c r="A15" s="22"/>
      <c r="B15" s="34"/>
      <c r="C15" s="22"/>
      <c r="D15" s="22"/>
      <c r="E15" s="22"/>
      <c r="F15" s="22"/>
      <c r="G15" s="22"/>
      <c r="H15" s="22"/>
      <c r="I15" s="22"/>
      <c r="J15" s="22"/>
      <c r="K15" s="22"/>
    </row>
    <row r="16" spans="1:14"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649" xr:uid="{B7AE21CF-6F90-4E13-A2DD-4B0191BADBE7}"/>
    <hyperlink ref="K6" r:id="rId2" display="https://us3.assetplanner.com/service_request?ID=095814" xr:uid="{162153F3-78CB-484E-98B2-2B1D6F43B70A}"/>
    <hyperlink ref="L6" r:id="rId3" display="https://us3.assetplanner.com/service_request?ID=096160" xr:uid="{1E4DC318-82AA-40FB-8A27-93F18D7A98CA}"/>
    <hyperlink ref="M6" r:id="rId4" display="https://us3.assetplanner.com/service_request?ID=096012" xr:uid="{920B04CC-0F99-4BF0-8785-545718CFFBE4}"/>
    <hyperlink ref="N6" r:id="rId5" display="https://us3.assetplanner.com/service_request?ID=097592" xr:uid="{C0A080EC-C8D8-426A-96B7-ADF7648BA5C4}"/>
    <hyperlink ref="K11" r:id="rId6" display="https://us3.assetplanner.com/service_request?ID=096743" xr:uid="{98AE1C93-A899-4B24-8F65-56B27A10371E}"/>
    <hyperlink ref="K13" r:id="rId7" display="https://us3.assetplanner.com/service_request?ID=099639" xr:uid="{5946A77D-AB61-453B-97DA-ECFE736D198F}"/>
    <hyperlink ref="K14" r:id="rId8" display="https://us3.assetplanner.com/service_request?ID=097804" xr:uid="{287F1806-BA86-4A91-BB72-1B11DAC0484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28"/>
  <sheetViews>
    <sheetView zoomScale="80" zoomScaleNormal="80" workbookViewId="0">
      <pane ySplit="2" topLeftCell="A3" activePane="bottomLeft" state="frozen"/>
      <selection pane="bottomLeft" activeCell="J14" sqref="J14"/>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2" t="str" cm="1">
        <f t="array" ref="A1">portfolio</f>
        <v>Pardee (ENCAP)</v>
      </c>
      <c r="B1" s="72"/>
      <c r="C1" s="72"/>
      <c r="D1" s="73" t="s">
        <v>45</v>
      </c>
      <c r="E1" s="73"/>
      <c r="F1" s="73"/>
      <c r="G1" s="71" t="s">
        <v>46</v>
      </c>
      <c r="H1" s="71"/>
      <c r="I1" s="71"/>
      <c r="J1" s="4"/>
      <c r="K1" s="4"/>
    </row>
    <row r="2" spans="1:13" ht="19.5" customHeight="1">
      <c r="A2" s="74" t="s">
        <v>2</v>
      </c>
      <c r="B2" s="74"/>
      <c r="C2" s="5">
        <f>SUM(C4:C86)</f>
        <v>383764.18206787109</v>
      </c>
      <c r="D2" s="5">
        <f>SUM(D4:D86)</f>
        <v>433651.85400000011</v>
      </c>
      <c r="E2" s="5">
        <f>C2-D2</f>
        <v>-49887.671932129015</v>
      </c>
      <c r="F2" s="6">
        <f>IFERROR(E2/D2, 0)</f>
        <v>-0.11504083626523363</v>
      </c>
      <c r="G2" s="5">
        <f>SUM(G4:G86)</f>
        <v>451424.61900000006</v>
      </c>
      <c r="H2" s="7">
        <f>C2-G2</f>
        <v>-67660.436932128971</v>
      </c>
      <c r="I2" s="6">
        <f>IFERROR(H2/G2, 0)</f>
        <v>-0.14988202699713407</v>
      </c>
      <c r="J2" s="27" t="str">
        <f ca="1">IF(AND(TODAY()&gt;DATE(2024, 3, 1), COUNTA(Sites[Site])&lt;&gt;(COUNT(C:C)-1)), "Some sites are missing actual data; if new sites were added, make sure they are aligned correctly (including prior months!)", "")</f>
        <v/>
      </c>
      <c r="K2" s="4"/>
    </row>
    <row r="3" spans="1:13" ht="14.25" customHeight="1">
      <c r="A3" s="8" t="s">
        <v>3</v>
      </c>
      <c r="B3" s="8" t="s">
        <v>4</v>
      </c>
      <c r="C3" s="24" t="s">
        <v>5</v>
      </c>
      <c r="D3" s="36" t="s">
        <v>6</v>
      </c>
      <c r="E3" s="36" t="s">
        <v>7</v>
      </c>
      <c r="F3" s="37" t="s">
        <v>8</v>
      </c>
      <c r="G3" s="38" t="s">
        <v>9</v>
      </c>
      <c r="H3" s="39" t="s">
        <v>7</v>
      </c>
      <c r="I3" s="40" t="s">
        <v>8</v>
      </c>
      <c r="J3" s="26" t="s">
        <v>20</v>
      </c>
      <c r="K3" s="26" t="s">
        <v>21</v>
      </c>
    </row>
    <row r="4" spans="1:13" ht="15.6">
      <c r="A4" s="33" t="str" cm="1">
        <f t="array" ref="A4:A14">Sites[Site]</f>
        <v>AZ: ASU - Pardee - Discovery Hall</v>
      </c>
      <c r="B4" s="30" t="str" cm="1">
        <f t="array" ref="B4:B14">Sites[State]</f>
        <v>AZ</v>
      </c>
      <c r="C4" s="25">
        <v>8782.5</v>
      </c>
      <c r="D4" s="13">
        <v>7595.152</v>
      </c>
      <c r="E4" s="13">
        <f>IF(AND(ISNUMBER(C4),ISNUMBER(D4)), C4-D4, "")</f>
        <v>1187.348</v>
      </c>
      <c r="F4" s="14">
        <f>IFERROR(E4/D4, "")</f>
        <v>0.15632972190681635</v>
      </c>
      <c r="G4" s="15">
        <v>9666.9110000000001</v>
      </c>
      <c r="H4" s="15">
        <f>IF(AND(ISNUMBER(C4),ISNUMBER(G4)), C4-G4, "")</f>
        <v>-884.41100000000006</v>
      </c>
      <c r="I4" s="16">
        <f>IFERROR(H4/G4, "")</f>
        <v>-9.1488480653230397E-2</v>
      </c>
      <c r="J4" s="17"/>
      <c r="K4" s="17"/>
      <c r="L4" s="53"/>
      <c r="M4" s="53"/>
    </row>
    <row r="5" spans="1:13" ht="15.6">
      <c r="A5" s="31" t="str">
        <v>AZ: ASU - Pardee - Farrington</v>
      </c>
      <c r="B5" s="32" t="str">
        <v>AZ</v>
      </c>
      <c r="C5" s="11">
        <v>42038.494567871101</v>
      </c>
      <c r="D5" s="19">
        <v>34677.96</v>
      </c>
      <c r="E5" s="19">
        <f t="shared" ref="E5:E14" si="0">IF(AND(ISNUMBER(C5),ISNUMBER(D5)), C5-D5, "")</f>
        <v>7360.5345678711019</v>
      </c>
      <c r="F5" s="20">
        <f>IFERROR(E5/D5, "")</f>
        <v>0.21225396672327618</v>
      </c>
      <c r="G5" s="21">
        <v>36204.6</v>
      </c>
      <c r="H5" s="21">
        <f t="shared" ref="H5:H14" si="1">IF(AND(ISNUMBER(C5),ISNUMBER(G5)), C5-G5, "")</f>
        <v>5833.8945678711025</v>
      </c>
      <c r="I5" s="20">
        <f t="shared" ref="I5:I14" si="2">IFERROR(H5/G5, "")</f>
        <v>0.16113683255362862</v>
      </c>
      <c r="J5" s="10"/>
      <c r="K5" s="18"/>
      <c r="L5" s="53"/>
      <c r="M5" s="53"/>
    </row>
    <row r="6" spans="1:13" ht="132.75" customHeight="1">
      <c r="A6" s="29" t="str">
        <v>AZ: ASU - Pardee - Macro Tech.</v>
      </c>
      <c r="B6" s="30" t="str">
        <v>AZ</v>
      </c>
      <c r="C6" s="25">
        <v>65281.875</v>
      </c>
      <c r="D6" s="13">
        <v>130478.6</v>
      </c>
      <c r="E6" s="13">
        <f t="shared" si="0"/>
        <v>-65196.725000000006</v>
      </c>
      <c r="F6" s="14">
        <f t="shared" ref="F6:F14" si="3">IFERROR(E6/D6, "")</f>
        <v>-0.49967370128128291</v>
      </c>
      <c r="G6" s="15">
        <v>132118.29999999999</v>
      </c>
      <c r="H6" s="15">
        <f t="shared" si="1"/>
        <v>-66836.424999999988</v>
      </c>
      <c r="I6" s="16">
        <f t="shared" si="2"/>
        <v>-0.50588317439749064</v>
      </c>
      <c r="J6" s="17" t="s">
        <v>47</v>
      </c>
      <c r="K6" s="57" t="s">
        <v>48</v>
      </c>
      <c r="L6" s="61" t="s">
        <v>38</v>
      </c>
      <c r="M6" s="61" t="s">
        <v>40</v>
      </c>
    </row>
    <row r="7" spans="1:13" ht="15.6">
      <c r="A7" s="31" t="str">
        <v>AZ: ASU - Pardee - McCord Hall</v>
      </c>
      <c r="B7" s="32" t="str">
        <v>AZ</v>
      </c>
      <c r="C7" s="11">
        <v>11958.875</v>
      </c>
      <c r="D7" s="19">
        <v>9976.8379999999997</v>
      </c>
      <c r="E7" s="19">
        <f t="shared" si="0"/>
        <v>1982.0370000000003</v>
      </c>
      <c r="F7" s="20">
        <f t="shared" si="3"/>
        <v>0.1986638451982482</v>
      </c>
      <c r="G7" s="21">
        <v>13050.47</v>
      </c>
      <c r="H7" s="21">
        <f t="shared" si="1"/>
        <v>-1091.5949999999993</v>
      </c>
      <c r="I7" s="20">
        <f t="shared" si="2"/>
        <v>-8.3644113966776623E-2</v>
      </c>
      <c r="J7" s="10"/>
      <c r="K7" s="18"/>
      <c r="L7" s="53"/>
      <c r="M7" s="53"/>
    </row>
    <row r="8" spans="1:13" ht="15.6">
      <c r="A8" s="29" t="str">
        <v>AZ: NAU - SF Garage</v>
      </c>
      <c r="B8" s="30" t="str">
        <v>AZ</v>
      </c>
      <c r="C8" s="25">
        <v>66881</v>
      </c>
      <c r="D8" s="13">
        <v>73331.983999999997</v>
      </c>
      <c r="E8" s="13">
        <f t="shared" si="0"/>
        <v>-6450.9839999999967</v>
      </c>
      <c r="F8" s="14">
        <f t="shared" si="3"/>
        <v>-8.7969582276677491E-2</v>
      </c>
      <c r="G8" s="15">
        <v>70919.217999999993</v>
      </c>
      <c r="H8" s="15">
        <f t="shared" si="1"/>
        <v>-4038.2179999999935</v>
      </c>
      <c r="I8" s="16">
        <f t="shared" si="2"/>
        <v>-5.694109599460042E-2</v>
      </c>
      <c r="J8" s="17"/>
      <c r="K8" s="17"/>
      <c r="L8" s="53"/>
      <c r="M8" s="53"/>
    </row>
    <row r="9" spans="1:13" ht="15.6">
      <c r="A9" s="31" t="str">
        <v>AZ: ASU - Pardee - Parking Lot 11</v>
      </c>
      <c r="B9" s="32" t="str">
        <v>AZ</v>
      </c>
      <c r="C9" s="11">
        <v>26029.9375</v>
      </c>
      <c r="D9" s="19">
        <v>24088.83</v>
      </c>
      <c r="E9" s="19">
        <f t="shared" si="0"/>
        <v>1941.1074999999983</v>
      </c>
      <c r="F9" s="20">
        <f t="shared" si="3"/>
        <v>8.0581227896913132E-2</v>
      </c>
      <c r="G9" s="21">
        <v>20241.87</v>
      </c>
      <c r="H9" s="21">
        <f t="shared" si="1"/>
        <v>5788.067500000001</v>
      </c>
      <c r="I9" s="20">
        <f t="shared" si="2"/>
        <v>0.28594529556804787</v>
      </c>
      <c r="J9" s="55"/>
      <c r="K9" s="56"/>
      <c r="L9" s="53"/>
      <c r="M9" s="53"/>
    </row>
    <row r="10" spans="1:13" ht="15.6">
      <c r="A10" s="29" t="str">
        <v>AZ: ASU - Pardee - Parking Lot 19</v>
      </c>
      <c r="B10" s="30" t="str">
        <v>AZ</v>
      </c>
      <c r="C10" s="25">
        <v>37359.125</v>
      </c>
      <c r="D10" s="13">
        <v>33798.339999999997</v>
      </c>
      <c r="E10" s="13">
        <f t="shared" si="0"/>
        <v>3560.7850000000035</v>
      </c>
      <c r="F10" s="14">
        <f t="shared" si="3"/>
        <v>0.10535384282186651</v>
      </c>
      <c r="G10" s="15">
        <v>29973.09</v>
      </c>
      <c r="H10" s="15">
        <f t="shared" si="1"/>
        <v>7386.0349999999999</v>
      </c>
      <c r="I10" s="16">
        <f t="shared" si="2"/>
        <v>0.24642220738669252</v>
      </c>
      <c r="J10" s="17"/>
      <c r="K10" s="17"/>
      <c r="L10" s="53"/>
      <c r="M10" s="53"/>
    </row>
    <row r="11" spans="1:13" ht="28.9">
      <c r="A11" s="31" t="str">
        <v>AZ: ASU - Pardee - Parking Lot 41</v>
      </c>
      <c r="B11" s="32" t="str">
        <v>AZ</v>
      </c>
      <c r="C11" s="11">
        <v>31821.125</v>
      </c>
      <c r="D11" s="19">
        <v>28864.959999999999</v>
      </c>
      <c r="E11" s="19">
        <f t="shared" si="0"/>
        <v>2956.1650000000009</v>
      </c>
      <c r="F11" s="20">
        <f t="shared" si="3"/>
        <v>0.10241361844949728</v>
      </c>
      <c r="G11" s="21">
        <v>32424.61</v>
      </c>
      <c r="H11" s="21">
        <f t="shared" si="1"/>
        <v>-603.48500000000058</v>
      </c>
      <c r="I11" s="20">
        <f t="shared" si="2"/>
        <v>-1.8611943212269957E-2</v>
      </c>
      <c r="J11" s="46" t="s">
        <v>49</v>
      </c>
      <c r="K11" s="60" t="s">
        <v>50</v>
      </c>
      <c r="L11" s="53"/>
      <c r="M11" s="53"/>
    </row>
    <row r="12" spans="1:13" ht="48" customHeight="1">
      <c r="A12" s="29" t="str">
        <v>AZ: ASU - Pardee - Parking Lot 58</v>
      </c>
      <c r="B12" s="30" t="str">
        <v>AZ</v>
      </c>
      <c r="C12" s="25">
        <v>36932.5</v>
      </c>
      <c r="D12" s="13">
        <v>30847.34</v>
      </c>
      <c r="E12" s="13">
        <f t="shared" si="0"/>
        <v>6085.16</v>
      </c>
      <c r="F12" s="14">
        <f t="shared" si="3"/>
        <v>0.19726692803982449</v>
      </c>
      <c r="G12" s="15">
        <v>33745.4</v>
      </c>
      <c r="H12" s="15">
        <f t="shared" si="1"/>
        <v>3187.0999999999985</v>
      </c>
      <c r="I12" s="16">
        <f t="shared" si="2"/>
        <v>9.4445465159695791E-2</v>
      </c>
      <c r="J12" s="17" t="s">
        <v>51</v>
      </c>
      <c r="K12" s="57" t="s">
        <v>52</v>
      </c>
      <c r="L12" s="53"/>
      <c r="M12" s="53"/>
    </row>
    <row r="13" spans="1:13" ht="28.9">
      <c r="A13" s="31" t="str">
        <v>AZ: ASU - Pardee - Parking Lot 59S</v>
      </c>
      <c r="B13" s="32" t="str">
        <v>AZ</v>
      </c>
      <c r="C13" s="11">
        <v>32097.25</v>
      </c>
      <c r="D13" s="19">
        <v>28231.83</v>
      </c>
      <c r="E13" s="19">
        <f t="shared" si="0"/>
        <v>3865.4199999999983</v>
      </c>
      <c r="F13" s="20">
        <f t="shared" si="3"/>
        <v>0.13691708968210697</v>
      </c>
      <c r="G13" s="21">
        <v>36909.15</v>
      </c>
      <c r="H13" s="21">
        <f t="shared" si="1"/>
        <v>-4811.9000000000015</v>
      </c>
      <c r="I13" s="20">
        <f t="shared" si="2"/>
        <v>-0.13037146615405668</v>
      </c>
      <c r="J13" s="46" t="s">
        <v>30</v>
      </c>
      <c r="K13" s="59" t="s">
        <v>31</v>
      </c>
      <c r="L13" s="53"/>
      <c r="M13" s="53"/>
    </row>
    <row r="14" spans="1:13" ht="135.75" customHeight="1">
      <c r="A14" s="29" t="str">
        <v>AZ: ASU - Pardee - Sun Devil Complex</v>
      </c>
      <c r="B14" s="30" t="str">
        <v>AZ</v>
      </c>
      <c r="C14" s="25">
        <v>24581.5</v>
      </c>
      <c r="D14" s="13">
        <v>31760.02</v>
      </c>
      <c r="E14" s="13">
        <f t="shared" si="0"/>
        <v>-7178.52</v>
      </c>
      <c r="F14" s="14">
        <f t="shared" si="3"/>
        <v>-0.2260237871386731</v>
      </c>
      <c r="G14" s="15">
        <v>36171</v>
      </c>
      <c r="H14" s="15">
        <f t="shared" si="1"/>
        <v>-11589.5</v>
      </c>
      <c r="I14" s="16">
        <f t="shared" si="2"/>
        <v>-0.32040861463603437</v>
      </c>
      <c r="J14" s="17" t="s">
        <v>53</v>
      </c>
      <c r="K14" s="57" t="s">
        <v>54</v>
      </c>
      <c r="L14" s="61" t="s">
        <v>55</v>
      </c>
      <c r="M14" s="61" t="s">
        <v>56</v>
      </c>
    </row>
    <row r="15" spans="1:13" ht="14.45">
      <c r="A15" s="22"/>
      <c r="B15" s="34"/>
      <c r="C15" s="22"/>
      <c r="D15" s="22"/>
      <c r="E15" s="22"/>
      <c r="F15" s="22"/>
      <c r="G15" s="22"/>
      <c r="H15" s="22"/>
      <c r="I15" s="22"/>
      <c r="J15" s="22"/>
      <c r="K15" s="22"/>
    </row>
    <row r="16" spans="1:13"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22" priority="1" stopIfTrue="1" operator="lessThanOrEqual">
      <formula>-0.1</formula>
    </cfRule>
    <cfRule type="expression" dxfId="21" priority="2">
      <formula>AND(ISNUMBER(F2), F2&gt;=0.1)</formula>
    </cfRule>
  </conditionalFormatting>
  <hyperlinks>
    <hyperlink ref="K6" r:id="rId1" display="https://us3.assetplanner.com/service_request?ID=096012" xr:uid="{B49359C8-70B9-4835-AD9A-8DE7C73402B4}"/>
    <hyperlink ref="L6" r:id="rId2" display="https://us3.assetplanner.com/service_request?ID=096160" xr:uid="{268CF8B6-2356-4CAD-A902-7EDB052E6EB5}"/>
    <hyperlink ref="M6" r:id="rId3" display="https://us3.assetplanner.com/service_request?ID=097592" xr:uid="{210BA1F0-9949-4471-8C50-F70200AB8952}"/>
    <hyperlink ref="K11" r:id="rId4" display="https://us3.assetplanner.com/service_request?ID=096743" xr:uid="{04BC7E3C-3EB3-40E9-B9D3-F31732D500F4}"/>
    <hyperlink ref="K12" r:id="rId5" display="https://us3.assetplanner.com/service_request?ID=095815" xr:uid="{1D254F19-CEA5-4A1B-9D95-605BB99D4246}"/>
    <hyperlink ref="K13" r:id="rId6" display="https://us3.assetplanner.com/service_request?ID=099639" xr:uid="{7519AE13-699A-4CBB-B942-BC43144DBAFE}"/>
    <hyperlink ref="K14" r:id="rId7" display="https://us3.assetplanner.com/service_request?ID=097804" xr:uid="{389CF7A1-90FF-40A1-88A3-CCD3E883C5BA}"/>
    <hyperlink ref="L14" r:id="rId8" display="https://us3.assetplanner.com/service_request?ID=098900" xr:uid="{779F4B4B-AF46-409C-AFF1-E729E582B0C3}"/>
    <hyperlink ref="M14" r:id="rId9" display="https://us3.assetplanner.com/service_request?ID=098620" xr:uid="{9C7FC7A2-52B2-412A-89A1-D75391AFEBC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28"/>
  <sheetViews>
    <sheetView zoomScale="70" zoomScaleNormal="70" workbookViewId="0">
      <pane ySplit="2" topLeftCell="A3" activePane="bottomLeft" state="frozen"/>
      <selection pane="bottomLeft" activeCell="L1" sqref="L1:Q1048576"/>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53"/>
  </cols>
  <sheetData>
    <row r="1" spans="1:16" ht="19.5" customHeight="1">
      <c r="A1" s="72" t="str" cm="1">
        <f t="array" ref="A1">portfolio</f>
        <v>Pardee (ENCAP)</v>
      </c>
      <c r="B1" s="72"/>
      <c r="C1" s="72"/>
      <c r="D1" s="73" t="s">
        <v>57</v>
      </c>
      <c r="E1" s="73"/>
      <c r="F1" s="73"/>
      <c r="G1" s="71" t="s">
        <v>58</v>
      </c>
      <c r="H1" s="71"/>
      <c r="I1" s="71"/>
      <c r="J1" s="4"/>
      <c r="K1" s="4"/>
    </row>
    <row r="2" spans="1:16" ht="19.5" customHeight="1">
      <c r="A2" s="74" t="s">
        <v>2</v>
      </c>
      <c r="B2" s="74"/>
      <c r="C2" s="5">
        <f>SUM(C4:C86)</f>
        <v>431830.98651123047</v>
      </c>
      <c r="D2" s="5">
        <f>SUM(D4:D86)</f>
        <v>489908.58899999998</v>
      </c>
      <c r="E2" s="5">
        <f>C2-D2</f>
        <v>-58077.602488769509</v>
      </c>
      <c r="F2" s="6">
        <f>IFERROR(E2/D2, 0)</f>
        <v>-0.11854783482632412</v>
      </c>
      <c r="G2" s="5">
        <f>SUM(G4:G86)</f>
        <v>544650.23999999999</v>
      </c>
      <c r="H2" s="7">
        <f>C2-G2</f>
        <v>-112819.25348876952</v>
      </c>
      <c r="I2" s="6">
        <f>IFERROR(H2/G2, 0)</f>
        <v>-0.20714073951159834</v>
      </c>
      <c r="J2" s="27" t="str">
        <f ca="1">IF(AND(TODAY()&gt;DATE(2024, 4, 1), COUNTA(Sites[Site])&lt;&gt;(COUNT(C:C)-1)), "Some sites are missing actual data; if new sites were added, make sure they are aligned correctly (including prior months!)", "")</f>
        <v/>
      </c>
      <c r="K2" s="4"/>
    </row>
    <row r="3" spans="1:16" ht="14.25" customHeight="1">
      <c r="A3" s="8" t="s">
        <v>3</v>
      </c>
      <c r="B3" s="8" t="s">
        <v>4</v>
      </c>
      <c r="C3" s="24" t="s">
        <v>5</v>
      </c>
      <c r="D3" s="36" t="s">
        <v>6</v>
      </c>
      <c r="E3" s="36" t="s">
        <v>7</v>
      </c>
      <c r="F3" s="37" t="s">
        <v>8</v>
      </c>
      <c r="G3" s="38" t="s">
        <v>9</v>
      </c>
      <c r="H3" s="39" t="s">
        <v>7</v>
      </c>
      <c r="I3" s="40" t="s">
        <v>8</v>
      </c>
      <c r="J3" s="26" t="s">
        <v>20</v>
      </c>
      <c r="K3" s="26" t="s">
        <v>21</v>
      </c>
    </row>
    <row r="4" spans="1:16" ht="15.6">
      <c r="A4" s="33" t="str" cm="1">
        <f t="array" ref="A4:A14">Sites[Site]</f>
        <v>AZ: ASU - Pardee - Discovery Hall</v>
      </c>
      <c r="B4" s="30" t="str" cm="1">
        <f t="array" ref="B4:B14">Sites[State]</f>
        <v>AZ</v>
      </c>
      <c r="C4" s="25">
        <v>9782.375</v>
      </c>
      <c r="D4" s="13">
        <v>8774.7479999999996</v>
      </c>
      <c r="E4" s="13">
        <f>IF(AND(ISNUMBER(C4),ISNUMBER(D4)), C4-D4, "")</f>
        <v>1007.6270000000004</v>
      </c>
      <c r="F4" s="14">
        <f>IFERROR(E4/D4, "")</f>
        <v>0.1148325855055895</v>
      </c>
      <c r="G4" s="15">
        <v>11388.88</v>
      </c>
      <c r="H4" s="15">
        <f>IF(AND(ISNUMBER(C4),ISNUMBER(G4)), C4-G4, "")</f>
        <v>-1606.5049999999992</v>
      </c>
      <c r="I4" s="16">
        <f>IFERROR(H4/G4, "")</f>
        <v>-0.1410590857046522</v>
      </c>
      <c r="J4" s="17" t="s">
        <v>59</v>
      </c>
      <c r="K4" s="17"/>
    </row>
    <row r="5" spans="1:16" ht="15.6">
      <c r="A5" s="31" t="str">
        <v>AZ: ASU - Pardee - Farrington</v>
      </c>
      <c r="B5" s="32" t="str">
        <v>AZ</v>
      </c>
      <c r="C5" s="11">
        <v>46470.174011230498</v>
      </c>
      <c r="D5" s="19">
        <v>38869.660000000003</v>
      </c>
      <c r="E5" s="19">
        <f t="shared" ref="E5:E14" si="0">IF(AND(ISNUMBER(C5),ISNUMBER(D5)), C5-D5, "")</f>
        <v>7600.5140112304944</v>
      </c>
      <c r="F5" s="20">
        <f>IFERROR(E5/D5, "")</f>
        <v>0.19553847425551171</v>
      </c>
      <c r="G5" s="21">
        <v>43012.94</v>
      </c>
      <c r="H5" s="21">
        <f t="shared" ref="H5:H14" si="1">IF(AND(ISNUMBER(C5),ISNUMBER(G5)), C5-G5, "")</f>
        <v>3457.2340112304955</v>
      </c>
      <c r="I5" s="20">
        <f t="shared" ref="I5:I14" si="2">IFERROR(H5/G5, "")</f>
        <v>8.0376603208952832E-2</v>
      </c>
      <c r="J5" s="42"/>
      <c r="K5" s="42"/>
    </row>
    <row r="6" spans="1:16" ht="158.44999999999999">
      <c r="A6" s="29" t="str">
        <v>AZ: ASU - Pardee - Macro Tech.</v>
      </c>
      <c r="B6" s="30" t="str">
        <v>AZ</v>
      </c>
      <c r="C6" s="25">
        <v>67915.125</v>
      </c>
      <c r="D6" s="13">
        <v>144722.4</v>
      </c>
      <c r="E6" s="13">
        <f t="shared" si="0"/>
        <v>-76807.274999999994</v>
      </c>
      <c r="F6" s="14">
        <f t="shared" ref="F6:F14" si="3">IFERROR(E6/D6, "")</f>
        <v>-0.53072140180096516</v>
      </c>
      <c r="G6" s="15">
        <v>157794.1</v>
      </c>
      <c r="H6" s="15">
        <f t="shared" si="1"/>
        <v>-89878.975000000006</v>
      </c>
      <c r="I6" s="16">
        <f t="shared" si="2"/>
        <v>-0.56959655018787148</v>
      </c>
      <c r="J6" s="17" t="s">
        <v>60</v>
      </c>
      <c r="K6" s="57" t="s">
        <v>61</v>
      </c>
      <c r="L6" s="61" t="s">
        <v>39</v>
      </c>
      <c r="M6" s="61" t="s">
        <v>38</v>
      </c>
      <c r="N6" s="61" t="s">
        <v>40</v>
      </c>
    </row>
    <row r="7" spans="1:16" ht="15.6">
      <c r="A7" s="31" t="str">
        <v>AZ: ASU - Pardee - McCord Hall</v>
      </c>
      <c r="B7" s="32" t="str">
        <v>AZ</v>
      </c>
      <c r="C7" s="11">
        <v>13171.5</v>
      </c>
      <c r="D7" s="19">
        <v>11671.52</v>
      </c>
      <c r="E7" s="19">
        <f t="shared" si="0"/>
        <v>1499.9799999999996</v>
      </c>
      <c r="F7" s="20">
        <f t="shared" si="3"/>
        <v>0.12851625152507981</v>
      </c>
      <c r="G7" s="21">
        <v>15375.47</v>
      </c>
      <c r="H7" s="21">
        <f t="shared" si="1"/>
        <v>-2203.9699999999993</v>
      </c>
      <c r="I7" s="20">
        <f t="shared" si="2"/>
        <v>-0.14334326040114542</v>
      </c>
      <c r="J7" s="42" t="s">
        <v>59</v>
      </c>
      <c r="K7" s="43"/>
    </row>
    <row r="8" spans="1:16" ht="15.6">
      <c r="A8" s="29" t="str">
        <v>AZ: NAU - SF Garage</v>
      </c>
      <c r="B8" s="30" t="str">
        <v>AZ</v>
      </c>
      <c r="C8" s="25">
        <v>89072</v>
      </c>
      <c r="D8" s="13">
        <v>89135.320999999996</v>
      </c>
      <c r="E8" s="13">
        <f t="shared" si="0"/>
        <v>-63.320999999996275</v>
      </c>
      <c r="F8" s="14">
        <f t="shared" si="3"/>
        <v>-7.1039178733642836E-4</v>
      </c>
      <c r="G8" s="15">
        <v>87478.27</v>
      </c>
      <c r="H8" s="15">
        <f t="shared" si="1"/>
        <v>1593.7299999999959</v>
      </c>
      <c r="I8" s="16">
        <f t="shared" si="2"/>
        <v>1.82185815974641E-2</v>
      </c>
      <c r="J8" s="17" t="s">
        <v>62</v>
      </c>
      <c r="K8" s="57" t="s">
        <v>63</v>
      </c>
    </row>
    <row r="9" spans="1:16" ht="43.15">
      <c r="A9" s="31" t="str">
        <v>AZ: ASU - Pardee - Parking Lot 11</v>
      </c>
      <c r="B9" s="32" t="str">
        <v>AZ</v>
      </c>
      <c r="C9" s="11">
        <v>28647.6875</v>
      </c>
      <c r="D9" s="19">
        <v>27500.1</v>
      </c>
      <c r="E9" s="19">
        <f t="shared" si="0"/>
        <v>1147.5875000000015</v>
      </c>
      <c r="F9" s="20">
        <f t="shared" si="3"/>
        <v>4.1730302798898972E-2</v>
      </c>
      <c r="G9" s="21">
        <v>26607.96</v>
      </c>
      <c r="H9" s="21">
        <f t="shared" si="1"/>
        <v>2039.7275000000009</v>
      </c>
      <c r="I9" s="20">
        <f t="shared" si="2"/>
        <v>7.665854503689877E-2</v>
      </c>
      <c r="J9" s="46" t="s">
        <v>64</v>
      </c>
      <c r="K9" s="59" t="s">
        <v>65</v>
      </c>
      <c r="L9" s="61" t="s">
        <v>66</v>
      </c>
      <c r="M9" s="61" t="s">
        <v>67</v>
      </c>
    </row>
    <row r="10" spans="1:16" ht="15.6">
      <c r="A10" s="29" t="str">
        <v>AZ: ASU - Pardee - Parking Lot 19</v>
      </c>
      <c r="B10" s="30" t="str">
        <v>AZ</v>
      </c>
      <c r="C10" s="25">
        <v>41390.5</v>
      </c>
      <c r="D10" s="13">
        <v>35772.43</v>
      </c>
      <c r="E10" s="13">
        <f t="shared" si="0"/>
        <v>5618.07</v>
      </c>
      <c r="F10" s="14">
        <f t="shared" si="3"/>
        <v>0.15705027586887443</v>
      </c>
      <c r="G10" s="15">
        <v>39398.620000000003</v>
      </c>
      <c r="H10" s="15">
        <f t="shared" si="1"/>
        <v>1991.8799999999974</v>
      </c>
      <c r="I10" s="16">
        <f t="shared" si="2"/>
        <v>5.055710073093924E-2</v>
      </c>
      <c r="J10" s="17"/>
      <c r="K10" s="17"/>
    </row>
    <row r="11" spans="1:16" ht="15.6">
      <c r="A11" s="31" t="str">
        <v>AZ: ASU - Pardee - Parking Lot 41</v>
      </c>
      <c r="B11" s="32" t="str">
        <v>AZ</v>
      </c>
      <c r="C11" s="11">
        <v>35712.125</v>
      </c>
      <c r="D11" s="19">
        <v>32036.25</v>
      </c>
      <c r="E11" s="19">
        <f t="shared" si="0"/>
        <v>3675.875</v>
      </c>
      <c r="F11" s="20">
        <f t="shared" si="3"/>
        <v>0.11474111358227009</v>
      </c>
      <c r="G11" s="21">
        <v>38522.629999999997</v>
      </c>
      <c r="H11" s="21">
        <f t="shared" si="1"/>
        <v>-2810.5049999999974</v>
      </c>
      <c r="I11" s="20">
        <f t="shared" si="2"/>
        <v>-7.2957246169329498E-2</v>
      </c>
      <c r="J11" s="42" t="s">
        <v>68</v>
      </c>
      <c r="K11" s="58" t="s">
        <v>69</v>
      </c>
    </row>
    <row r="12" spans="1:16" ht="43.15">
      <c r="A12" s="29" t="str">
        <v>AZ: ASU - Pardee - Parking Lot 58</v>
      </c>
      <c r="B12" s="30" t="str">
        <v>AZ</v>
      </c>
      <c r="C12" s="25">
        <v>36448</v>
      </c>
      <c r="D12" s="13">
        <v>31437.97</v>
      </c>
      <c r="E12" s="13">
        <f t="shared" si="0"/>
        <v>5010.0299999999988</v>
      </c>
      <c r="F12" s="14">
        <f t="shared" si="3"/>
        <v>0.15936238885653237</v>
      </c>
      <c r="G12" s="15">
        <v>43485.95</v>
      </c>
      <c r="H12" s="15">
        <f t="shared" si="1"/>
        <v>-7037.9499999999971</v>
      </c>
      <c r="I12" s="16">
        <f t="shared" si="2"/>
        <v>-0.16184422784830496</v>
      </c>
      <c r="J12" s="17" t="s">
        <v>51</v>
      </c>
      <c r="K12" s="57" t="s">
        <v>70</v>
      </c>
    </row>
    <row r="13" spans="1:16" ht="28.9">
      <c r="A13" s="31" t="str">
        <v>AZ: ASU - Pardee - Parking Lot 59S</v>
      </c>
      <c r="B13" s="32" t="str">
        <v>AZ</v>
      </c>
      <c r="C13" s="11">
        <v>40972.5</v>
      </c>
      <c r="D13" s="19">
        <v>34352.71</v>
      </c>
      <c r="E13" s="19">
        <f t="shared" si="0"/>
        <v>6619.7900000000009</v>
      </c>
      <c r="F13" s="20">
        <f t="shared" si="3"/>
        <v>0.19270066320823018</v>
      </c>
      <c r="G13" s="21">
        <v>39758.42</v>
      </c>
      <c r="H13" s="21">
        <f t="shared" si="1"/>
        <v>1214.0800000000017</v>
      </c>
      <c r="I13" s="20">
        <f t="shared" si="2"/>
        <v>3.0536424737200366E-2</v>
      </c>
      <c r="J13" s="62" t="s">
        <v>71</v>
      </c>
      <c r="K13" s="69" t="s">
        <v>31</v>
      </c>
    </row>
    <row r="14" spans="1:16" ht="273.60000000000002">
      <c r="A14" s="29" t="str">
        <v>AZ: ASU - Pardee - Sun Devil Complex</v>
      </c>
      <c r="B14" s="30" t="str">
        <v>AZ</v>
      </c>
      <c r="C14" s="25">
        <v>22249</v>
      </c>
      <c r="D14" s="13">
        <v>35635.480000000003</v>
      </c>
      <c r="E14" s="13">
        <f t="shared" si="0"/>
        <v>-13386.480000000003</v>
      </c>
      <c r="F14" s="14">
        <f t="shared" si="3"/>
        <v>-0.37565033500320472</v>
      </c>
      <c r="G14" s="15">
        <v>41827</v>
      </c>
      <c r="H14" s="15">
        <f t="shared" si="1"/>
        <v>-19578</v>
      </c>
      <c r="I14" s="16">
        <f t="shared" si="2"/>
        <v>-0.4680708633179525</v>
      </c>
      <c r="J14" s="17" t="s">
        <v>72</v>
      </c>
      <c r="K14" s="57" t="s">
        <v>73</v>
      </c>
      <c r="L14" s="61" t="s">
        <v>74</v>
      </c>
      <c r="M14" s="70" t="s">
        <v>75</v>
      </c>
      <c r="N14" s="61" t="s">
        <v>76</v>
      </c>
      <c r="O14" s="61" t="s">
        <v>77</v>
      </c>
      <c r="P14" s="61" t="s">
        <v>78</v>
      </c>
    </row>
    <row r="15" spans="1:16" ht="14.45">
      <c r="A15" s="22"/>
      <c r="B15" s="34"/>
      <c r="C15" s="22"/>
      <c r="D15" s="22"/>
      <c r="E15" s="22"/>
      <c r="F15" s="22"/>
      <c r="G15" s="22"/>
      <c r="H15" s="22"/>
      <c r="I15" s="22"/>
      <c r="J15" s="22"/>
      <c r="K15" s="22"/>
    </row>
    <row r="16" spans="1:16"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20" priority="1" stopIfTrue="1" operator="lessThanOrEqual">
      <formula>-0.1</formula>
    </cfRule>
    <cfRule type="expression" dxfId="19" priority="2">
      <formula>AND(ISNUMBER(F2), F2&gt;=0.1)</formula>
    </cfRule>
  </conditionalFormatting>
  <hyperlinks>
    <hyperlink ref="K6" r:id="rId1" display="https://us3.assetplanner.com/service_request?ID=099674" xr:uid="{A684CBF7-45ED-46EE-A83F-96AE57681465}"/>
    <hyperlink ref="L6" r:id="rId2" display="https://us3.assetplanner.com/service_request?ID=096012" xr:uid="{033439AA-4640-4F65-B8CA-1DB4E520A1F4}"/>
    <hyperlink ref="M6" r:id="rId3" display="https://us3.assetplanner.com/service_request?ID=096160" xr:uid="{59C3B4AE-1E24-447B-BA6D-22B7F6BE0063}"/>
    <hyperlink ref="N6" r:id="rId4" display="https://us3.assetplanner.com/service_request?ID=097592" xr:uid="{B373E678-0CE5-4EB1-8DF8-5B39DEEC2FC7}"/>
    <hyperlink ref="K8" r:id="rId5" display="https://us3.assetplanner.com/service_request?ID=100105" xr:uid="{A65DA532-3D8D-4328-95C0-0C1CAA452CC8}"/>
    <hyperlink ref="K9" r:id="rId6" display="https://us3.assetplanner.com/service_request?ID=100774" xr:uid="{55B5C879-5EE0-4EEF-9799-28B11E923907}"/>
    <hyperlink ref="L9" r:id="rId7" display="https://us3.assetplanner.com/service_request?ID=100778" xr:uid="{068F6C05-D044-4CBD-A445-E3B789BAD54C}"/>
    <hyperlink ref="M9" r:id="rId8" display="https://us3.assetplanner.com/service_request?ID=099610" xr:uid="{99194D96-C3CE-4A9A-AEB5-D733FC57B826}"/>
    <hyperlink ref="K11" r:id="rId9" display="https://us3.assetplanner.com/service_request?ID=100174" xr:uid="{282D132D-79E7-4ACE-8C66-77510261D374}"/>
    <hyperlink ref="K12" r:id="rId10" display="https://us3.assetplanner.com/service_request?ID=095815" xr:uid="{6E0B84C0-7F85-41F1-814B-DBA4D435195F}"/>
    <hyperlink ref="K13" r:id="rId11" display="https://us3.assetplanner.com/service_request?ID=099639" xr:uid="{7936029D-4231-4936-8FF9-7ECDECFB7520}"/>
    <hyperlink ref="K14" r:id="rId12" display="https://us3.assetplanner.com/service_request?ID=098620" xr:uid="{AF887CEE-D09A-4A2A-A7A0-86D05C4DD794}"/>
    <hyperlink ref="L14" r:id="rId13" display="https://us3.assetplanner.com/service_request?ID=100058" xr:uid="{19099FE4-69D1-462C-95F2-43AED01F119E}"/>
    <hyperlink ref="M14" r:id="rId14" display="https://us3.assetplanner.com/service_request?ID=98620" xr:uid="{4D07DC5D-B43D-4239-A17E-498DB460C3D1}"/>
    <hyperlink ref="N14" r:id="rId15" display="https://us3.assetplanner.com/service_request?ID=099782" xr:uid="{8FA9BCAF-7294-4A22-86E2-FD738A177EA8}"/>
    <hyperlink ref="O14" r:id="rId16" display="https://us3.assetplanner.com/service_request?ID=100047" xr:uid="{9611108F-0F7C-470B-801A-A65367C1061E}"/>
    <hyperlink ref="P14" r:id="rId17" display="https://us3.assetplanner.com/service_request?ID=100349" xr:uid="{0C9F74FD-6F4A-41D6-89D9-6D4C005F2245}"/>
  </hyperlinks>
  <pageMargins left="0.4" right="0.7" top="0.25" bottom="0.25" header="0.3" footer="0.3"/>
  <pageSetup fitToHeight="99" orientation="landscape" r:id="rId1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V328"/>
  <sheetViews>
    <sheetView zoomScale="60" zoomScaleNormal="60" workbookViewId="0">
      <pane ySplit="2" topLeftCell="A3" activePane="bottomLeft" state="frozen"/>
      <selection pane="bottomLeft" activeCell="H6" sqref="H6"/>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2" width="8.85546875" style="53"/>
  </cols>
  <sheetData>
    <row r="1" spans="1:19" ht="19.5" customHeight="1">
      <c r="A1" s="72" t="str" cm="1">
        <f t="array" ref="A1">portfolio</f>
        <v>Pardee (ENCAP)</v>
      </c>
      <c r="B1" s="72"/>
      <c r="C1" s="72"/>
      <c r="D1" s="73" t="s">
        <v>79</v>
      </c>
      <c r="E1" s="73"/>
      <c r="F1" s="73"/>
      <c r="G1" s="71" t="s">
        <v>80</v>
      </c>
      <c r="H1" s="71"/>
      <c r="I1" s="71"/>
      <c r="J1" s="4"/>
      <c r="K1" s="4"/>
    </row>
    <row r="2" spans="1:19" ht="19.5" customHeight="1">
      <c r="A2" s="74" t="s">
        <v>2</v>
      </c>
      <c r="B2" s="74"/>
      <c r="C2" s="5">
        <f>SUM(C4:C86)</f>
        <v>501084.60626000003</v>
      </c>
      <c r="D2" s="5">
        <f>SUM(D4:D86)</f>
        <v>514814.12899999996</v>
      </c>
      <c r="E2" s="5">
        <f>C2-D2</f>
        <v>-13729.522739999928</v>
      </c>
      <c r="F2" s="6">
        <f>IFERROR(E2/D2, 0)</f>
        <v>-2.6668892648049156E-2</v>
      </c>
      <c r="G2" s="5">
        <f>SUM(G4:G86)</f>
        <v>611602.75899999996</v>
      </c>
      <c r="H2" s="7">
        <f>C2-G2</f>
        <v>-110518.15273999993</v>
      </c>
      <c r="I2" s="6">
        <f>IFERROR(H2/G2, 0)</f>
        <v>-0.18070250847249683</v>
      </c>
      <c r="J2" s="27" t="str">
        <f ca="1">IF(AND(TODAY()&gt;DATE(2024, 5, 1), COUNTA(Sites[Site])&lt;&gt;(COUNT(C:C)-1)), "Some sites are missing actual data; if new sites were added, make sure they are aligned correctly (including prior months!)", "")</f>
        <v/>
      </c>
      <c r="K2" s="4"/>
    </row>
    <row r="3" spans="1:19" ht="14.25" customHeight="1">
      <c r="A3" s="8" t="s">
        <v>3</v>
      </c>
      <c r="B3" s="8" t="s">
        <v>4</v>
      </c>
      <c r="C3" s="24" t="s">
        <v>5</v>
      </c>
      <c r="D3" s="36" t="s">
        <v>6</v>
      </c>
      <c r="E3" s="36" t="s">
        <v>7</v>
      </c>
      <c r="F3" s="37" t="s">
        <v>8</v>
      </c>
      <c r="G3" s="38" t="s">
        <v>9</v>
      </c>
      <c r="H3" s="39" t="s">
        <v>7</v>
      </c>
      <c r="I3" s="40" t="s">
        <v>8</v>
      </c>
      <c r="J3" s="26" t="s">
        <v>20</v>
      </c>
      <c r="K3" s="26" t="s">
        <v>21</v>
      </c>
    </row>
    <row r="4" spans="1:19" ht="100.9">
      <c r="A4" s="33" t="str" cm="1">
        <f t="array" ref="A4:A14">Sites[Site]</f>
        <v>AZ: ASU - Pardee - Discovery Hall</v>
      </c>
      <c r="B4" s="30" t="str" cm="1">
        <f t="array" ref="B4:B14">Sites[State]</f>
        <v>AZ</v>
      </c>
      <c r="C4" s="25">
        <v>10488.875</v>
      </c>
      <c r="D4" s="13">
        <v>9328.8850000000002</v>
      </c>
      <c r="E4" s="13">
        <f>IF(AND(ISNUMBER(C4),ISNUMBER(D4)), C4-D4, "")</f>
        <v>1159.9899999999998</v>
      </c>
      <c r="F4" s="14">
        <f>IFERROR(E4/D4, "")</f>
        <v>0.12434390605093747</v>
      </c>
      <c r="G4" s="15">
        <v>12503.43</v>
      </c>
      <c r="H4" s="15">
        <f>IF(AND(ISNUMBER(C4),ISNUMBER(G4)), C4-G4, "")</f>
        <v>-2014.5550000000003</v>
      </c>
      <c r="I4" s="16">
        <f>IFERROR(H4/G4, "")</f>
        <v>-0.16112018862024263</v>
      </c>
      <c r="J4" s="17" t="s">
        <v>81</v>
      </c>
      <c r="K4" s="17"/>
    </row>
    <row r="5" spans="1:19" ht="15.6">
      <c r="A5" s="31" t="str">
        <v>AZ: ASU - Pardee - Farrington</v>
      </c>
      <c r="B5" s="32" t="str">
        <v>AZ</v>
      </c>
      <c r="C5" s="11">
        <v>50567.73126</v>
      </c>
      <c r="D5" s="19">
        <v>41070.699999999997</v>
      </c>
      <c r="E5" s="19">
        <f t="shared" ref="E5:E14" si="0">IF(AND(ISNUMBER(C5),ISNUMBER(D5)), C5-D5, "")</f>
        <v>9497.0312600000034</v>
      </c>
      <c r="F5" s="20">
        <f>IFERROR(E5/D5, "")</f>
        <v>0.23123616738940422</v>
      </c>
      <c r="G5" s="21">
        <v>47556.58</v>
      </c>
      <c r="H5" s="21">
        <f t="shared" ref="H5:H14" si="1">IF(AND(ISNUMBER(C5),ISNUMBER(G5)), C5-G5, "")</f>
        <v>3011.1512599999987</v>
      </c>
      <c r="I5" s="20">
        <f t="shared" ref="I5:I14" si="2">IFERROR(H5/G5, "")</f>
        <v>6.3317237278206262E-2</v>
      </c>
      <c r="J5" s="47"/>
      <c r="K5" s="49"/>
    </row>
    <row r="6" spans="1:19" ht="187.15">
      <c r="A6" s="29" t="str">
        <v>AZ: ASU - Pardee - Macro Tech.</v>
      </c>
      <c r="B6" s="30" t="str">
        <v>AZ</v>
      </c>
      <c r="C6" s="25">
        <v>113365.125</v>
      </c>
      <c r="D6" s="13">
        <v>148776.29999999999</v>
      </c>
      <c r="E6" s="13">
        <f t="shared" si="0"/>
        <v>-35411.174999999988</v>
      </c>
      <c r="F6" s="14">
        <f t="shared" ref="F6:F14" si="3">IFERROR(E6/D6, "")</f>
        <v>-0.23801623645701628</v>
      </c>
      <c r="G6" s="15">
        <v>171785.3</v>
      </c>
      <c r="H6" s="15">
        <f t="shared" si="1"/>
        <v>-58420.174999999988</v>
      </c>
      <c r="I6" s="16">
        <f t="shared" si="2"/>
        <v>-0.3400766829292145</v>
      </c>
      <c r="J6" s="17" t="s">
        <v>82</v>
      </c>
      <c r="K6" s="57" t="s">
        <v>83</v>
      </c>
      <c r="L6" s="61" t="s">
        <v>84</v>
      </c>
      <c r="M6" s="61" t="s">
        <v>38</v>
      </c>
      <c r="N6" s="61" t="s">
        <v>85</v>
      </c>
      <c r="O6" s="61" t="s">
        <v>86</v>
      </c>
      <c r="P6" s="61" t="s">
        <v>84</v>
      </c>
      <c r="Q6" s="61" t="s">
        <v>87</v>
      </c>
      <c r="R6" s="61" t="s">
        <v>88</v>
      </c>
      <c r="S6" s="61" t="s">
        <v>40</v>
      </c>
    </row>
    <row r="7" spans="1:19" ht="75" customHeight="1">
      <c r="A7" s="31" t="str">
        <v>AZ: ASU - Pardee - McCord Hall</v>
      </c>
      <c r="B7" s="32" t="str">
        <v>AZ</v>
      </c>
      <c r="C7" s="11">
        <v>13858</v>
      </c>
      <c r="D7" s="19">
        <v>12984.95</v>
      </c>
      <c r="E7" s="19">
        <f t="shared" si="0"/>
        <v>873.04999999999927</v>
      </c>
      <c r="F7" s="20">
        <f t="shared" si="3"/>
        <v>6.7235530363998264E-2</v>
      </c>
      <c r="G7" s="21">
        <v>16879.68</v>
      </c>
      <c r="H7" s="21">
        <f t="shared" si="1"/>
        <v>-3021.6800000000003</v>
      </c>
      <c r="I7" s="20">
        <f t="shared" si="2"/>
        <v>-0.17901287228193902</v>
      </c>
      <c r="J7" s="46" t="s">
        <v>89</v>
      </c>
      <c r="K7" s="60" t="s">
        <v>90</v>
      </c>
    </row>
    <row r="8" spans="1:19" ht="43.15">
      <c r="A8" s="29" t="str">
        <v>AZ: NAU - SF Garage</v>
      </c>
      <c r="B8" s="30" t="str">
        <v>AZ</v>
      </c>
      <c r="C8" s="25">
        <v>106384</v>
      </c>
      <c r="D8" s="13">
        <v>98956.114000000001</v>
      </c>
      <c r="E8" s="13">
        <f t="shared" si="0"/>
        <v>7427.8859999999986</v>
      </c>
      <c r="F8" s="14">
        <f t="shared" si="3"/>
        <v>7.5062426157922885E-2</v>
      </c>
      <c r="G8" s="15">
        <v>104975.109</v>
      </c>
      <c r="H8" s="15">
        <f t="shared" si="1"/>
        <v>1408.8910000000033</v>
      </c>
      <c r="I8" s="16">
        <f t="shared" si="2"/>
        <v>1.3421191113028549E-2</v>
      </c>
      <c r="J8" s="17" t="s">
        <v>91</v>
      </c>
      <c r="K8" s="57" t="s">
        <v>92</v>
      </c>
      <c r="L8" s="61" t="s">
        <v>93</v>
      </c>
    </row>
    <row r="9" spans="1:19" ht="144">
      <c r="A9" s="31" t="str">
        <v>AZ: ASU - Pardee - Parking Lot 11</v>
      </c>
      <c r="B9" s="32" t="str">
        <v>AZ</v>
      </c>
      <c r="C9" s="11">
        <v>23313.75</v>
      </c>
      <c r="D9" s="19">
        <v>29914.1</v>
      </c>
      <c r="E9" s="19">
        <f t="shared" si="0"/>
        <v>-6600.3499999999985</v>
      </c>
      <c r="F9" s="20">
        <f t="shared" si="3"/>
        <v>-0.22064344239004346</v>
      </c>
      <c r="G9" s="21">
        <v>31776</v>
      </c>
      <c r="H9" s="21">
        <f t="shared" si="1"/>
        <v>-8462.25</v>
      </c>
      <c r="I9" s="20">
        <f t="shared" si="2"/>
        <v>-0.26630947885196377</v>
      </c>
      <c r="J9" s="46" t="s">
        <v>94</v>
      </c>
      <c r="K9" s="64" t="s">
        <v>95</v>
      </c>
      <c r="L9" s="61" t="s">
        <v>66</v>
      </c>
      <c r="M9" s="61" t="s">
        <v>96</v>
      </c>
    </row>
    <row r="10" spans="1:19" ht="101.25" customHeight="1">
      <c r="A10" s="29" t="str">
        <v>AZ: ASU - Pardee - Parking Lot 19</v>
      </c>
      <c r="B10" s="30" t="str">
        <v>AZ</v>
      </c>
      <c r="C10" s="25">
        <v>42888.875</v>
      </c>
      <c r="D10" s="13">
        <v>35841.24</v>
      </c>
      <c r="E10" s="13">
        <f t="shared" si="0"/>
        <v>7047.635000000002</v>
      </c>
      <c r="F10" s="14">
        <f t="shared" si="3"/>
        <v>0.19663479834961073</v>
      </c>
      <c r="G10" s="15">
        <v>47053.07</v>
      </c>
      <c r="H10" s="15">
        <f t="shared" si="1"/>
        <v>-4164.1949999999997</v>
      </c>
      <c r="I10" s="16">
        <f t="shared" si="2"/>
        <v>-8.8499963976845716E-2</v>
      </c>
      <c r="J10" s="17" t="s">
        <v>97</v>
      </c>
      <c r="K10" s="57" t="s">
        <v>98</v>
      </c>
      <c r="L10" s="61" t="s">
        <v>99</v>
      </c>
      <c r="M10" s="61" t="s">
        <v>100</v>
      </c>
    </row>
    <row r="11" spans="1:19" ht="43.15">
      <c r="A11" s="31" t="str">
        <v>AZ: ASU - Pardee - Parking Lot 41</v>
      </c>
      <c r="B11" s="32" t="str">
        <v>AZ</v>
      </c>
      <c r="C11" s="11">
        <v>38351.25</v>
      </c>
      <c r="D11" s="19">
        <v>33576.230000000003</v>
      </c>
      <c r="E11" s="19">
        <f t="shared" si="0"/>
        <v>4775.0199999999968</v>
      </c>
      <c r="F11" s="20">
        <f t="shared" si="3"/>
        <v>0.14221429862733237</v>
      </c>
      <c r="G11" s="21">
        <v>42592.42</v>
      </c>
      <c r="H11" s="21">
        <f t="shared" si="1"/>
        <v>-4241.1699999999983</v>
      </c>
      <c r="I11" s="20">
        <f t="shared" si="2"/>
        <v>-9.957569915022435E-2</v>
      </c>
      <c r="J11" s="46" t="s">
        <v>101</v>
      </c>
      <c r="K11" s="59" t="s">
        <v>102</v>
      </c>
      <c r="L11" s="61" t="s">
        <v>103</v>
      </c>
    </row>
    <row r="12" spans="1:19" ht="86.45">
      <c r="A12" s="29" t="str">
        <v>AZ: ASU - Pardee - Parking Lot 58</v>
      </c>
      <c r="B12" s="30" t="str">
        <v>AZ</v>
      </c>
      <c r="C12" s="25">
        <v>23218.75</v>
      </c>
      <c r="D12" s="13">
        <v>31718.46</v>
      </c>
      <c r="E12" s="13">
        <f t="shared" si="0"/>
        <v>-8499.7099999999991</v>
      </c>
      <c r="F12" s="14">
        <f t="shared" si="3"/>
        <v>-0.26797360275372761</v>
      </c>
      <c r="G12" s="15">
        <v>47739.77</v>
      </c>
      <c r="H12" s="15">
        <f t="shared" si="1"/>
        <v>-24521.019999999997</v>
      </c>
      <c r="I12" s="16">
        <f t="shared" si="2"/>
        <v>-0.5136392571644145</v>
      </c>
      <c r="J12" s="17" t="s">
        <v>104</v>
      </c>
      <c r="K12" s="57" t="s">
        <v>105</v>
      </c>
      <c r="L12" s="65" t="s">
        <v>106</v>
      </c>
    </row>
    <row r="13" spans="1:19" ht="15.6">
      <c r="A13" s="31" t="str">
        <v>AZ: ASU - Pardee - Parking Lot 59S</v>
      </c>
      <c r="B13" s="32" t="str">
        <v>AZ</v>
      </c>
      <c r="C13" s="11">
        <v>43614.75</v>
      </c>
      <c r="D13" s="19">
        <v>34664.03</v>
      </c>
      <c r="E13" s="19">
        <f t="shared" si="0"/>
        <v>8950.7200000000012</v>
      </c>
      <c r="F13" s="20">
        <f t="shared" si="3"/>
        <v>0.25821348527565902</v>
      </c>
      <c r="G13" s="21">
        <v>43647.4</v>
      </c>
      <c r="H13" s="21">
        <f t="shared" si="1"/>
        <v>-32.650000000001455</v>
      </c>
      <c r="I13" s="20">
        <f t="shared" si="2"/>
        <v>-7.4803997488971749E-4</v>
      </c>
      <c r="J13" s="46"/>
      <c r="K13" s="52"/>
      <c r="L13" s="66"/>
    </row>
    <row r="14" spans="1:19" ht="28.9">
      <c r="A14" s="29" t="str">
        <v>AZ: ASU - Pardee - Sun Devil Complex</v>
      </c>
      <c r="B14" s="30" t="str">
        <v>AZ</v>
      </c>
      <c r="C14" s="25">
        <v>35033.5</v>
      </c>
      <c r="D14" s="13">
        <v>37983.120000000003</v>
      </c>
      <c r="E14" s="13">
        <f t="shared" si="0"/>
        <v>-2949.6200000000026</v>
      </c>
      <c r="F14" s="14">
        <f t="shared" si="3"/>
        <v>-7.7656074593135116E-2</v>
      </c>
      <c r="G14" s="15">
        <v>45094</v>
      </c>
      <c r="H14" s="15">
        <f t="shared" si="1"/>
        <v>-10060.5</v>
      </c>
      <c r="I14" s="16">
        <f t="shared" si="2"/>
        <v>-0.22310063423071805</v>
      </c>
      <c r="J14" s="17" t="s">
        <v>107</v>
      </c>
      <c r="K14" s="57" t="s">
        <v>108</v>
      </c>
      <c r="L14" s="61" t="s">
        <v>78</v>
      </c>
    </row>
    <row r="15" spans="1:19" ht="14.45">
      <c r="A15" s="22"/>
      <c r="B15" s="34"/>
      <c r="C15" s="22"/>
      <c r="D15" s="22"/>
      <c r="E15" s="22"/>
      <c r="F15" s="22"/>
      <c r="G15" s="22"/>
      <c r="H15" s="22"/>
      <c r="I15" s="22"/>
      <c r="J15" s="22"/>
      <c r="K15" s="22"/>
    </row>
    <row r="16" spans="1:19"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18" priority="1" stopIfTrue="1" operator="lessThanOrEqual">
      <formula>-0.1</formula>
    </cfRule>
    <cfRule type="expression" dxfId="17" priority="2">
      <formula>AND(ISNUMBER(F2), F2&gt;=0.1)</formula>
    </cfRule>
  </conditionalFormatting>
  <hyperlinks>
    <hyperlink ref="K6" r:id="rId1" display="https://us3.assetplanner.com/service_request?ID=101060" xr:uid="{EF230120-48B8-4A8F-95DB-66E8C2464A69}"/>
    <hyperlink ref="L6" r:id="rId2" display="https://us3.assetplanner.com/service_request?ID=101332" xr:uid="{3B5539F2-1CCC-4191-8BF9-61393839B516}"/>
    <hyperlink ref="M6" r:id="rId3" display="https://us3.assetplanner.com/service_request?ID=096160" xr:uid="{901E440F-9A4E-4CC4-9DF9-FF7AE5679F22}"/>
    <hyperlink ref="N6" r:id="rId4" display="https://us3.assetplanner.com/service_request?ID=102080" xr:uid="{A371AF3A-5AB3-4801-B3FB-79D150E66568}"/>
    <hyperlink ref="O6" r:id="rId5" display="https://us3.assetplanner.com/service_request?ID=101060" xr:uid="{2619CB8B-79B2-40A5-848A-E6E53F4F3170}"/>
    <hyperlink ref="P6" r:id="rId6" display="https://us3.assetplanner.com/service_request?ID=101332" xr:uid="{C2603377-DF1F-478B-BE9F-05CD79731FA5}"/>
    <hyperlink ref="Q6" r:id="rId7" display="https://us3.assetplanner.com/service_request?ID=101859" xr:uid="{250E2F72-1BCC-404C-AC62-81D77A9DABE6}"/>
    <hyperlink ref="R6" r:id="rId8" display="https://us3.assetplanner.com/service_request?ID=102524" xr:uid="{01228266-2456-4A2F-85B0-277540D142C4}"/>
    <hyperlink ref="S6" r:id="rId9" display="https://us3.assetplanner.com/service_request?ID=097592" xr:uid="{3042C2D6-6F16-4D13-B91B-E0A379E7CF21}"/>
    <hyperlink ref="K7" r:id="rId10" display="https://us3.assetplanner.com/service_request?ID=102079" xr:uid="{EFA9A42C-0A34-42EA-8EA7-49B7E1E1E159}"/>
    <hyperlink ref="K8" r:id="rId11" display="https://us3.assetplanner.com/service_request?ID=101409" xr:uid="{2F6411E8-21F1-4C5F-98A7-764D98E3E195}"/>
    <hyperlink ref="L8" r:id="rId12" display="https://us3.assetplanner.com/service_request?ID=100105" xr:uid="{DE519BA2-DFF4-4125-96D5-8FBBF5F7F879}"/>
    <hyperlink ref="K9" r:id="rId13" display="https://us3.assetplanner.com/service_request?ID=100774" xr:uid="{2D235180-C440-47D4-947C-4B048A7ABC6C}"/>
    <hyperlink ref="L9" r:id="rId14" display="https://us3.assetplanner.com/service_request?ID=100778" xr:uid="{F4C7AB11-D4C3-4FC9-927F-6C457799D61F}"/>
    <hyperlink ref="M9" r:id="rId15" display="https://us3.assetplanner.com/service_request?ID=101850" xr:uid="{46A8AF4F-FECA-4048-B7DA-3F8193343627}"/>
    <hyperlink ref="K10" r:id="rId16" display="https://us3.assetplanner.com/service_request?ID=099846" xr:uid="{1AAF99C7-CAB0-4B7B-9198-CDB5FECE4763}"/>
    <hyperlink ref="L10" r:id="rId17" display="https://us3.assetplanner.com/service_request?ID=101951" xr:uid="{279BE12E-BFA2-4E49-BC8F-F7C4DD5E5026}"/>
    <hyperlink ref="M10" r:id="rId18" display="https://us3.assetplanner.com/service_request?ID=102330" xr:uid="{3126ED92-C7B8-470E-A803-199B26F35D41}"/>
    <hyperlink ref="K11" r:id="rId19" display="https://us3.assetplanner.com/service_request?ID=100174" xr:uid="{B9B38441-F693-48E9-A10D-A57441704D2F}"/>
    <hyperlink ref="L11" r:id="rId20" display="https://us3.assetplanner.com/service_request?ID=099847" xr:uid="{56C00C07-E873-49BC-946B-C8E243FBCC19}"/>
    <hyperlink ref="K12" r:id="rId21" display="https://us3.assetplanner.com/service_request?ID=101590" xr:uid="{CDFB7CC4-B50F-4197-AD55-E104886D6F83}"/>
    <hyperlink ref="L12" r:id="rId22" display="https://us3.assetplanner.com/service_request?ID=101591" xr:uid="{352D0698-6B53-41D3-A6F8-2A7C3260A526}"/>
    <hyperlink ref="K14" r:id="rId23" display="https://us3.assetplanner.com/service_request?ID=100047" xr:uid="{01A25D6D-9007-4E07-9AE0-C192DAE887FF}"/>
    <hyperlink ref="L14" r:id="rId24" display="https://us3.assetplanner.com/service_request?ID=100349" xr:uid="{285330FA-394C-49CE-90C9-E5D3A88E711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8"/>
  <sheetViews>
    <sheetView tabSelected="1" zoomScale="70" zoomScaleNormal="70" zoomScaleSheetLayoutView="100" workbookViewId="0">
      <pane ySplit="2" topLeftCell="A3" activePane="bottomLeft" state="frozen"/>
      <selection pane="bottomLeft" activeCell="L1" sqref="L1:P1048576"/>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53"/>
  </cols>
  <sheetData>
    <row r="1" spans="1:14" ht="19.5" customHeight="1">
      <c r="A1" s="72" t="str" cm="1">
        <f t="array" ref="A1">portfolio</f>
        <v>Pardee (ENCAP)</v>
      </c>
      <c r="B1" s="72"/>
      <c r="C1" s="72"/>
      <c r="D1" s="73" t="s">
        <v>109</v>
      </c>
      <c r="E1" s="73"/>
      <c r="F1" s="73"/>
      <c r="G1" s="71" t="s">
        <v>110</v>
      </c>
      <c r="H1" s="71"/>
      <c r="I1" s="71"/>
      <c r="J1" s="4"/>
      <c r="K1" s="4"/>
    </row>
    <row r="2" spans="1:14" ht="19.5" customHeight="1">
      <c r="A2" s="74" t="s">
        <v>2</v>
      </c>
      <c r="B2" s="74"/>
      <c r="C2" s="5">
        <f>SUM(C4:C86)</f>
        <v>523643.97687000001</v>
      </c>
      <c r="D2" s="5">
        <f>SUM(D4:D86)</f>
        <v>506569.91900000005</v>
      </c>
      <c r="E2" s="5">
        <f>C2-D2</f>
        <v>17074.057869999961</v>
      </c>
      <c r="F2" s="6">
        <f>IFERROR(E2/D2, 0)</f>
        <v>3.3705234419969497E-2</v>
      </c>
      <c r="G2" s="5">
        <f>SUM(G4:G86)</f>
        <v>590452.65399999998</v>
      </c>
      <c r="H2" s="7">
        <f>C2-G2</f>
        <v>-66808.677129999967</v>
      </c>
      <c r="I2" s="6">
        <f>IFERROR(H2/G2, 0)</f>
        <v>-0.11314823750457724</v>
      </c>
      <c r="J2" s="27"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4" t="s">
        <v>5</v>
      </c>
      <c r="D3" s="36" t="s">
        <v>6</v>
      </c>
      <c r="E3" s="36" t="s">
        <v>7</v>
      </c>
      <c r="F3" s="37" t="s">
        <v>8</v>
      </c>
      <c r="G3" s="38" t="s">
        <v>9</v>
      </c>
      <c r="H3" s="39" t="s">
        <v>7</v>
      </c>
      <c r="I3" s="40" t="s">
        <v>8</v>
      </c>
      <c r="J3" s="26" t="s">
        <v>20</v>
      </c>
      <c r="K3" s="26" t="s">
        <v>21</v>
      </c>
    </row>
    <row r="4" spans="1:14" ht="100.9">
      <c r="A4" s="33" t="str" cm="1">
        <f t="array" ref="A4:A14">Sites[Site]</f>
        <v>AZ: ASU - Pardee - Discovery Hall</v>
      </c>
      <c r="B4" s="30" t="str" cm="1">
        <f t="array" ref="B4:B14">Sites[State]</f>
        <v>AZ</v>
      </c>
      <c r="C4" s="25">
        <v>10345.125</v>
      </c>
      <c r="D4" s="13">
        <v>9148.1959999999999</v>
      </c>
      <c r="E4" s="13">
        <f>IF(AND(ISNUMBER(C4),ISNUMBER(D4)), C4-D4, "")</f>
        <v>1196.9290000000001</v>
      </c>
      <c r="F4" s="14">
        <f>IFERROR(E4/D4, "")</f>
        <v>0.13083770833069167</v>
      </c>
      <c r="G4" s="15">
        <v>11850.06</v>
      </c>
      <c r="H4" s="15">
        <f>IF(AND(ISNUMBER(C4),ISNUMBER(G4)), C4-G4, "")</f>
        <v>-1504.9349999999995</v>
      </c>
      <c r="I4" s="16">
        <f>IFERROR(H4/G4, "")</f>
        <v>-0.12699809114890553</v>
      </c>
      <c r="J4" s="63" t="s">
        <v>111</v>
      </c>
      <c r="K4" s="50"/>
    </row>
    <row r="5" spans="1:14" ht="15.6">
      <c r="A5" s="31" t="str">
        <v>AZ: ASU - Pardee - Farrington</v>
      </c>
      <c r="B5" s="32" t="str">
        <v>AZ</v>
      </c>
      <c r="C5" s="11">
        <v>50179.851869999999</v>
      </c>
      <c r="D5" s="19">
        <v>40332</v>
      </c>
      <c r="E5" s="19">
        <f t="shared" ref="E5:E14" si="0">IF(AND(ISNUMBER(C5),ISNUMBER(D5)), C5-D5, "")</f>
        <v>9847.8518699999986</v>
      </c>
      <c r="F5" s="20">
        <f>IFERROR(E5/D5, "")</f>
        <v>0.2441696883368045</v>
      </c>
      <c r="G5" s="21">
        <v>45206.8</v>
      </c>
      <c r="H5" s="21">
        <f t="shared" ref="H5:H14" si="1">IF(AND(ISNUMBER(C5),ISNUMBER(G5)), C5-G5, "")</f>
        <v>4973.0518699999957</v>
      </c>
      <c r="I5" s="20">
        <f t="shared" ref="I5:I14" si="2">IFERROR(H5/G5, "")</f>
        <v>0.11000672177636982</v>
      </c>
      <c r="J5" s="49"/>
      <c r="K5" s="49"/>
    </row>
    <row r="6" spans="1:14" ht="144">
      <c r="A6" s="29" t="str">
        <v>AZ: ASU - Pardee - Macro Tech.</v>
      </c>
      <c r="B6" s="30" t="str">
        <v>AZ</v>
      </c>
      <c r="C6" s="25">
        <v>133399.25</v>
      </c>
      <c r="D6" s="13">
        <v>147385.5</v>
      </c>
      <c r="E6" s="13">
        <f t="shared" si="0"/>
        <v>-13986.25</v>
      </c>
      <c r="F6" s="14">
        <f t="shared" ref="F6:F14" si="3">IFERROR(E6/D6, "")</f>
        <v>-9.4895698694919109E-2</v>
      </c>
      <c r="G6" s="15">
        <v>167910.1</v>
      </c>
      <c r="H6" s="15">
        <f t="shared" si="1"/>
        <v>-34510.850000000006</v>
      </c>
      <c r="I6" s="16">
        <f t="shared" si="2"/>
        <v>-0.205531710123453</v>
      </c>
      <c r="J6" s="50" t="s">
        <v>112</v>
      </c>
      <c r="K6" s="67" t="s">
        <v>113</v>
      </c>
      <c r="L6" s="61" t="s">
        <v>40</v>
      </c>
      <c r="M6" s="61" t="s">
        <v>87</v>
      </c>
      <c r="N6" s="61" t="s">
        <v>114</v>
      </c>
    </row>
    <row r="7" spans="1:14" ht="100.9">
      <c r="A7" s="31" t="str">
        <v>AZ: ASU - Pardee - McCord Hall</v>
      </c>
      <c r="B7" s="32" t="str">
        <v>AZ</v>
      </c>
      <c r="C7" s="11">
        <v>13637.875</v>
      </c>
      <c r="D7" s="19">
        <v>13138.94</v>
      </c>
      <c r="E7" s="19">
        <f t="shared" si="0"/>
        <v>498.93499999999949</v>
      </c>
      <c r="F7" s="20">
        <f t="shared" si="3"/>
        <v>3.7973763484725517E-2</v>
      </c>
      <c r="G7" s="21">
        <v>15997.24</v>
      </c>
      <c r="H7" s="21">
        <f t="shared" si="1"/>
        <v>-2359.3649999999998</v>
      </c>
      <c r="I7" s="20">
        <f t="shared" si="2"/>
        <v>-0.14748575379252921</v>
      </c>
      <c r="J7" s="47" t="s">
        <v>111</v>
      </c>
      <c r="K7" s="48"/>
    </row>
    <row r="8" spans="1:14" ht="15.6">
      <c r="A8" s="29" t="str">
        <v>AZ: NAU - SF Garage</v>
      </c>
      <c r="B8" s="30" t="str">
        <v>AZ</v>
      </c>
      <c r="C8" s="25">
        <v>108852</v>
      </c>
      <c r="D8" s="13">
        <v>98636.103000000003</v>
      </c>
      <c r="E8" s="13">
        <f t="shared" si="0"/>
        <v>10215.896999999997</v>
      </c>
      <c r="F8" s="14">
        <f t="shared" si="3"/>
        <v>0.10357157966794367</v>
      </c>
      <c r="G8" s="15">
        <v>101147.694</v>
      </c>
      <c r="H8" s="15">
        <f t="shared" si="1"/>
        <v>7704.3059999999969</v>
      </c>
      <c r="I8" s="16">
        <f t="shared" si="2"/>
        <v>7.616887439865902E-2</v>
      </c>
      <c r="J8" s="50"/>
      <c r="K8" s="50"/>
    </row>
    <row r="9" spans="1:14" ht="116.25" customHeight="1">
      <c r="A9" s="31" t="str">
        <v>AZ: ASU - Pardee - Parking Lot 11</v>
      </c>
      <c r="B9" s="32" t="str">
        <v>AZ</v>
      </c>
      <c r="C9" s="11">
        <v>22331.125</v>
      </c>
      <c r="D9" s="19">
        <v>29270.46</v>
      </c>
      <c r="E9" s="19">
        <f t="shared" si="0"/>
        <v>-6939.3349999999991</v>
      </c>
      <c r="F9" s="20">
        <f t="shared" si="3"/>
        <v>-0.23707639032662961</v>
      </c>
      <c r="G9" s="21">
        <v>31150.86</v>
      </c>
      <c r="H9" s="21">
        <f t="shared" si="1"/>
        <v>-8819.7350000000006</v>
      </c>
      <c r="I9" s="20">
        <f t="shared" si="2"/>
        <v>-0.28312974344849551</v>
      </c>
      <c r="J9" s="47" t="s">
        <v>115</v>
      </c>
      <c r="K9" s="64" t="s">
        <v>116</v>
      </c>
      <c r="L9" s="61" t="s">
        <v>117</v>
      </c>
      <c r="M9" s="61" t="s">
        <v>96</v>
      </c>
    </row>
    <row r="10" spans="1:14" ht="72">
      <c r="A10" s="29" t="str">
        <v>AZ: ASU - Pardee - Parking Lot 19</v>
      </c>
      <c r="B10" s="30" t="str">
        <v>AZ</v>
      </c>
      <c r="C10" s="25">
        <v>38050.25</v>
      </c>
      <c r="D10" s="13">
        <v>34221.9</v>
      </c>
      <c r="E10" s="13">
        <f t="shared" si="0"/>
        <v>3828.3499999999985</v>
      </c>
      <c r="F10" s="14">
        <f t="shared" si="3"/>
        <v>0.11186842343645438</v>
      </c>
      <c r="G10" s="15">
        <v>46127.12</v>
      </c>
      <c r="H10" s="15">
        <f t="shared" si="1"/>
        <v>-8076.8700000000026</v>
      </c>
      <c r="I10" s="16">
        <f t="shared" si="2"/>
        <v>-0.17510024471503971</v>
      </c>
      <c r="J10" s="63" t="s">
        <v>118</v>
      </c>
      <c r="K10" s="67" t="s">
        <v>119</v>
      </c>
      <c r="L10" s="61" t="s">
        <v>100</v>
      </c>
    </row>
    <row r="11" spans="1:14" ht="15.6">
      <c r="A11" s="31" t="str">
        <v>AZ: ASU - Pardee - Parking Lot 41</v>
      </c>
      <c r="B11" s="32" t="str">
        <v>AZ</v>
      </c>
      <c r="C11" s="11">
        <v>38114.125</v>
      </c>
      <c r="D11" s="19">
        <v>32755.27</v>
      </c>
      <c r="E11" s="19">
        <f t="shared" si="0"/>
        <v>5358.8549999999996</v>
      </c>
      <c r="F11" s="20">
        <f t="shared" si="3"/>
        <v>0.16360283398671419</v>
      </c>
      <c r="G11" s="21">
        <v>40488.25</v>
      </c>
      <c r="H11" s="21">
        <f t="shared" si="1"/>
        <v>-2374.125</v>
      </c>
      <c r="I11" s="20">
        <f t="shared" si="2"/>
        <v>-5.8637382450464022E-2</v>
      </c>
      <c r="J11" s="49" t="s">
        <v>120</v>
      </c>
      <c r="K11" s="68" t="s">
        <v>69</v>
      </c>
    </row>
    <row r="12" spans="1:14" ht="28.9">
      <c r="A12" s="29" t="str">
        <v>AZ: ASU - Pardee - Parking Lot 58</v>
      </c>
      <c r="B12" s="30" t="str">
        <v>AZ</v>
      </c>
      <c r="C12" s="25">
        <v>23721</v>
      </c>
      <c r="D12" s="13">
        <v>30682.33</v>
      </c>
      <c r="E12" s="13">
        <f t="shared" si="0"/>
        <v>-6961.3300000000017</v>
      </c>
      <c r="F12" s="14">
        <f t="shared" si="3"/>
        <v>-0.22688400783121757</v>
      </c>
      <c r="G12" s="15">
        <v>45245.14</v>
      </c>
      <c r="H12" s="15">
        <f t="shared" si="1"/>
        <v>-21524.14</v>
      </c>
      <c r="I12" s="16">
        <f t="shared" si="2"/>
        <v>-0.47572269640451992</v>
      </c>
      <c r="J12" s="63" t="s">
        <v>121</v>
      </c>
      <c r="K12" s="67" t="s">
        <v>122</v>
      </c>
      <c r="L12" s="61" t="s">
        <v>106</v>
      </c>
      <c r="M12" s="61" t="s">
        <v>123</v>
      </c>
    </row>
    <row r="13" spans="1:14" ht="15.6">
      <c r="A13" s="31" t="str">
        <v>AZ: ASU - Pardee - Parking Lot 59S</v>
      </c>
      <c r="B13" s="32" t="str">
        <v>AZ</v>
      </c>
      <c r="C13" s="11">
        <v>43008.375</v>
      </c>
      <c r="D13" s="19">
        <v>33535.230000000003</v>
      </c>
      <c r="E13" s="19">
        <f t="shared" si="0"/>
        <v>9473.1449999999968</v>
      </c>
      <c r="F13" s="20">
        <f t="shared" si="3"/>
        <v>0.28248337643725707</v>
      </c>
      <c r="G13" s="21">
        <v>41366.39</v>
      </c>
      <c r="H13" s="21">
        <f t="shared" si="1"/>
        <v>1641.9850000000006</v>
      </c>
      <c r="I13" s="20">
        <f t="shared" si="2"/>
        <v>3.9693698193146672E-2</v>
      </c>
      <c r="J13" s="49"/>
      <c r="K13" s="49"/>
    </row>
    <row r="14" spans="1:14" ht="15.6">
      <c r="A14" s="29" t="str">
        <v>AZ: ASU - Pardee - Sun Devil Complex</v>
      </c>
      <c r="B14" s="30" t="str">
        <v>AZ</v>
      </c>
      <c r="C14" s="25">
        <v>42005</v>
      </c>
      <c r="D14" s="13">
        <v>37463.99</v>
      </c>
      <c r="E14" s="13">
        <f t="shared" si="0"/>
        <v>4541.010000000002</v>
      </c>
      <c r="F14" s="14">
        <f t="shared" si="3"/>
        <v>0.12120999391682526</v>
      </c>
      <c r="G14" s="15">
        <v>43963</v>
      </c>
      <c r="H14" s="15">
        <f t="shared" si="1"/>
        <v>-1958</v>
      </c>
      <c r="I14" s="16">
        <f t="shared" si="2"/>
        <v>-4.4537451948229195E-2</v>
      </c>
      <c r="J14" s="63"/>
      <c r="K14" s="50"/>
    </row>
    <row r="15" spans="1:14" ht="14.45">
      <c r="A15" s="22"/>
      <c r="B15" s="34"/>
      <c r="C15" s="22"/>
      <c r="D15" s="22"/>
      <c r="E15" s="22"/>
      <c r="F15" s="22"/>
      <c r="G15" s="22"/>
      <c r="H15" s="22"/>
      <c r="I15" s="22"/>
      <c r="J15" s="22"/>
      <c r="K15" s="22"/>
    </row>
    <row r="16" spans="1:14"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16" priority="1" stopIfTrue="1" operator="lessThanOrEqual">
      <formula>-0.1</formula>
    </cfRule>
    <cfRule type="expression" dxfId="15" priority="2">
      <formula>AND(ISNUMBER(F2), F2&gt;=0.1)</formula>
    </cfRule>
  </conditionalFormatting>
  <hyperlinks>
    <hyperlink ref="K6" r:id="rId1" display="https://us3.assetplanner.com/service_request?ID=102524" xr:uid="{6D32912D-8B88-46D1-80F4-BAB15DA88D00}"/>
    <hyperlink ref="L6" r:id="rId2" display="https://us3.assetplanner.com/service_request?ID=097592" xr:uid="{7637252F-1D81-4A9B-BB0C-87E2BC57F990}"/>
    <hyperlink ref="M6" r:id="rId3" display="https://us3.assetplanner.com/service_request?ID=101859" xr:uid="{F4A19C6F-9341-4C5F-A1E5-2C39A8908A06}"/>
    <hyperlink ref="N6" r:id="rId4" display="https://us3.assetplanner.com/service_request?ID=103044" xr:uid="{9DE8C2A3-ACA8-416E-88D6-340073507807}"/>
    <hyperlink ref="K9" r:id="rId5" display="https://us3.assetplanner.com/service_request?ID=100774" xr:uid="{C1308EFC-17B3-4C08-84F1-756CB1FC4401}"/>
    <hyperlink ref="L9" r:id="rId6" display="https://us3.assetplanner.com/service_request?ID=103110" xr:uid="{50E80F19-7C8E-497B-A19C-C5DA39916C5E}"/>
    <hyperlink ref="M9" r:id="rId7" display="https://us3.assetplanner.com/service_request?ID=101850" xr:uid="{B82D8C80-4D79-4145-9AF0-36A082FD833F}"/>
    <hyperlink ref="K10" r:id="rId8" display="https://us3.assetplanner.com/service_request?ID=101951" xr:uid="{E62AC7DA-F001-461D-98AE-875F7E7984B9}"/>
    <hyperlink ref="L10" r:id="rId9" display="https://us3.assetplanner.com/service_request?ID=102330" xr:uid="{A63E3CD6-F0F8-4302-8490-4583DE7BC715}"/>
    <hyperlink ref="K11" r:id="rId10" display="https://us3.assetplanner.com/service_request?ID=100174" xr:uid="{B0BC2C24-C7C0-4D84-A9C5-4DC71EAB8321}"/>
    <hyperlink ref="K12" r:id="rId11" display="https://us3.assetplanner.com/service_request?ID=101590" xr:uid="{D869DA08-7F32-4B7F-B402-9CE282582A3C}"/>
    <hyperlink ref="L12" r:id="rId12" display="https://us3.assetplanner.com/service_request?ID=101591" xr:uid="{1FDFF1EA-F107-477B-87EF-52AAA6487CC7}"/>
    <hyperlink ref="M12" r:id="rId13" display="https://us3.assetplanner.com/service_request?ID=101406" xr:uid="{E86AFCD6-73E9-4A9B-B263-7AA0E4D38F86}"/>
  </hyperlinks>
  <pageMargins left="0.4" right="0.7" top="0.25" bottom="0.25" header="0.3" footer="0.3"/>
  <pageSetup scale="56" fitToHeight="99" orientation="landscape"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8"/>
  <sheetViews>
    <sheetView workbookViewId="0">
      <pane ySplit="2" topLeftCell="A3" activePane="bottomLeft" state="frozen"/>
      <selection pane="bottomLeft" activeCell="J25" sqref="J25"/>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2" t="str" cm="1">
        <f t="array" ref="A1">portfolio</f>
        <v>Pardee (ENCAP)</v>
      </c>
      <c r="B1" s="72"/>
      <c r="C1" s="72"/>
      <c r="D1" s="73" t="s">
        <v>124</v>
      </c>
      <c r="E1" s="73"/>
      <c r="F1" s="73"/>
      <c r="G1" s="71" t="s">
        <v>125</v>
      </c>
      <c r="H1" s="71"/>
      <c r="I1" s="71"/>
      <c r="J1" s="4"/>
      <c r="K1" s="4"/>
    </row>
    <row r="2" spans="1:11" ht="19.5" customHeight="1">
      <c r="A2" s="74" t="s">
        <v>2</v>
      </c>
      <c r="B2" s="74"/>
      <c r="C2" s="5">
        <f>SUM(C4:C86)</f>
        <v>0</v>
      </c>
      <c r="D2" s="5">
        <f>SUM(D4:D86)</f>
        <v>0</v>
      </c>
      <c r="E2" s="5">
        <f>C2-D2</f>
        <v>0</v>
      </c>
      <c r="F2" s="6">
        <f>IFERROR(E2/D2, 0)</f>
        <v>0</v>
      </c>
      <c r="G2" s="5">
        <f>SUM(G4:G86)</f>
        <v>0</v>
      </c>
      <c r="H2" s="7">
        <f>C2-G2</f>
        <v>0</v>
      </c>
      <c r="I2" s="6">
        <f>IFERROR(H2/G2, 0)</f>
        <v>0</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4" t="s">
        <v>5</v>
      </c>
      <c r="D3" s="36" t="s">
        <v>6</v>
      </c>
      <c r="E3" s="36" t="s">
        <v>7</v>
      </c>
      <c r="F3" s="37" t="s">
        <v>8</v>
      </c>
      <c r="G3" s="38" t="s">
        <v>9</v>
      </c>
      <c r="H3" s="39" t="s">
        <v>7</v>
      </c>
      <c r="I3" s="40" t="s">
        <v>8</v>
      </c>
      <c r="J3" s="26" t="s">
        <v>20</v>
      </c>
      <c r="K3" s="26" t="s">
        <v>21</v>
      </c>
    </row>
    <row r="4" spans="1:11" ht="15.6">
      <c r="A4" s="33" t="str" cm="1">
        <f t="array" ref="A4:A14">Sites[Site]</f>
        <v>AZ: ASU - Pardee - Discovery Hall</v>
      </c>
      <c r="B4" s="30" t="str" cm="1">
        <f t="array" ref="B4:B14">Sites[State]</f>
        <v>AZ</v>
      </c>
      <c r="C4" s="25"/>
      <c r="D4" s="13"/>
      <c r="E4" s="13" t="str">
        <f>IF(AND(ISNUMBER(C4),ISNUMBER(D4)), C4-D4, "")</f>
        <v/>
      </c>
      <c r="F4" s="14" t="str">
        <f>IFERROR(E4/D4, "")</f>
        <v/>
      </c>
      <c r="G4" s="15"/>
      <c r="H4" s="15" t="str">
        <f>IF(AND(ISNUMBER(C4),ISNUMBER(G4)), C4-G4, "")</f>
        <v/>
      </c>
      <c r="I4" s="16" t="str">
        <f>IFERROR(H4/G4, "")</f>
        <v/>
      </c>
      <c r="J4" s="17"/>
      <c r="K4" s="17"/>
    </row>
    <row r="5" spans="1:11" ht="15.6">
      <c r="A5" s="31" t="str">
        <v>AZ: ASU - Pardee - Farrington</v>
      </c>
      <c r="B5" s="32" t="str">
        <v>AZ</v>
      </c>
      <c r="C5" s="11"/>
      <c r="D5" s="19"/>
      <c r="E5" s="19" t="str">
        <f t="shared" ref="E5:E14" si="0">IF(AND(ISNUMBER(C5),ISNUMBER(D5)), C5-D5, "")</f>
        <v/>
      </c>
      <c r="F5" s="20" t="str">
        <f>IFERROR(E5/D5, "")</f>
        <v/>
      </c>
      <c r="G5" s="21"/>
      <c r="H5" s="21" t="str">
        <f t="shared" ref="H5:H14" si="1">IF(AND(ISNUMBER(C5),ISNUMBER(G5)), C5-G5, "")</f>
        <v/>
      </c>
      <c r="I5" s="20" t="str">
        <f t="shared" ref="I5:I14" si="2">IFERROR(H5/G5, "")</f>
        <v/>
      </c>
      <c r="J5" s="42"/>
      <c r="K5" s="43"/>
    </row>
    <row r="6" spans="1:11" ht="15.6">
      <c r="A6" s="29" t="str">
        <v>AZ: ASU - Pardee - Macro Tech.</v>
      </c>
      <c r="B6" s="30" t="str">
        <v>AZ</v>
      </c>
      <c r="C6" s="25"/>
      <c r="D6" s="13"/>
      <c r="E6" s="13" t="str">
        <f t="shared" si="0"/>
        <v/>
      </c>
      <c r="F6" s="14" t="str">
        <f t="shared" ref="F6:F14" si="3">IFERROR(E6/D6, "")</f>
        <v/>
      </c>
      <c r="G6" s="15"/>
      <c r="H6" s="15" t="str">
        <f t="shared" si="1"/>
        <v/>
      </c>
      <c r="I6" s="16" t="str">
        <f t="shared" si="2"/>
        <v/>
      </c>
      <c r="J6" s="17"/>
      <c r="K6" s="17"/>
    </row>
    <row r="7" spans="1:11" ht="15.6">
      <c r="A7" s="31" t="str">
        <v>AZ: ASU - Pardee - McCord Hall</v>
      </c>
      <c r="B7" s="32" t="str">
        <v>AZ</v>
      </c>
      <c r="C7" s="11"/>
      <c r="D7" s="19"/>
      <c r="E7" s="19" t="str">
        <f t="shared" si="0"/>
        <v/>
      </c>
      <c r="F7" s="20" t="str">
        <f t="shared" si="3"/>
        <v/>
      </c>
      <c r="G7" s="21"/>
      <c r="H7" s="21" t="str">
        <f t="shared" si="1"/>
        <v/>
      </c>
      <c r="I7" s="20" t="str">
        <f t="shared" si="2"/>
        <v/>
      </c>
      <c r="J7" s="10"/>
      <c r="K7" s="18"/>
    </row>
    <row r="8" spans="1:11" ht="15.6">
      <c r="A8" s="29" t="str">
        <v>AZ: NAU - SF Garage</v>
      </c>
      <c r="B8" s="30" t="str">
        <v>AZ</v>
      </c>
      <c r="C8" s="25"/>
      <c r="D8" s="13"/>
      <c r="E8" s="13" t="str">
        <f t="shared" si="0"/>
        <v/>
      </c>
      <c r="F8" s="14" t="str">
        <f t="shared" si="3"/>
        <v/>
      </c>
      <c r="G8" s="15"/>
      <c r="H8" s="15" t="str">
        <f t="shared" si="1"/>
        <v/>
      </c>
      <c r="I8" s="16" t="str">
        <f t="shared" si="2"/>
        <v/>
      </c>
      <c r="J8" s="17"/>
      <c r="K8" s="17"/>
    </row>
    <row r="9" spans="1:11" ht="15.6">
      <c r="A9" s="31" t="str">
        <v>AZ: ASU - Pardee - Parking Lot 11</v>
      </c>
      <c r="B9" s="32" t="str">
        <v>AZ</v>
      </c>
      <c r="C9" s="11"/>
      <c r="D9" s="19"/>
      <c r="E9" s="19" t="str">
        <f t="shared" si="0"/>
        <v/>
      </c>
      <c r="F9" s="20" t="str">
        <f t="shared" si="3"/>
        <v/>
      </c>
      <c r="G9" s="21"/>
      <c r="H9" s="21" t="str">
        <f t="shared" si="1"/>
        <v/>
      </c>
      <c r="I9" s="20" t="str">
        <f t="shared" si="2"/>
        <v/>
      </c>
      <c r="J9" s="42"/>
      <c r="K9" s="43"/>
    </row>
    <row r="10" spans="1:11" ht="15.6">
      <c r="A10" s="29" t="str">
        <v>AZ: ASU - Pardee - Parking Lot 19</v>
      </c>
      <c r="B10" s="30" t="str">
        <v>AZ</v>
      </c>
      <c r="C10" s="25"/>
      <c r="D10" s="13"/>
      <c r="E10" s="13" t="str">
        <f t="shared" si="0"/>
        <v/>
      </c>
      <c r="F10" s="14" t="str">
        <f t="shared" si="3"/>
        <v/>
      </c>
      <c r="G10" s="15"/>
      <c r="H10" s="15" t="str">
        <f t="shared" si="1"/>
        <v/>
      </c>
      <c r="I10" s="16" t="str">
        <f t="shared" si="2"/>
        <v/>
      </c>
      <c r="J10" s="17"/>
      <c r="K10" s="17"/>
    </row>
    <row r="11" spans="1:11" ht="15.6">
      <c r="A11" s="31" t="str">
        <v>AZ: ASU - Pardee - Parking Lot 41</v>
      </c>
      <c r="B11" s="32" t="str">
        <v>AZ</v>
      </c>
      <c r="C11" s="11"/>
      <c r="D11" s="19"/>
      <c r="E11" s="19" t="str">
        <f t="shared" si="0"/>
        <v/>
      </c>
      <c r="F11" s="20" t="str">
        <f t="shared" si="3"/>
        <v/>
      </c>
      <c r="G11" s="21"/>
      <c r="H11" s="21" t="str">
        <f t="shared" si="1"/>
        <v/>
      </c>
      <c r="I11" s="20" t="str">
        <f t="shared" si="2"/>
        <v/>
      </c>
      <c r="J11" s="10"/>
      <c r="K11" s="18"/>
    </row>
    <row r="12" spans="1:11" ht="15.6">
      <c r="A12" s="29" t="str">
        <v>AZ: ASU - Pardee - Parking Lot 58</v>
      </c>
      <c r="B12" s="30" t="str">
        <v>AZ</v>
      </c>
      <c r="C12" s="25"/>
      <c r="D12" s="13"/>
      <c r="E12" s="13" t="str">
        <f t="shared" si="0"/>
        <v/>
      </c>
      <c r="F12" s="14" t="str">
        <f t="shared" si="3"/>
        <v/>
      </c>
      <c r="G12" s="15"/>
      <c r="H12" s="15" t="str">
        <f t="shared" si="1"/>
        <v/>
      </c>
      <c r="I12" s="16" t="str">
        <f t="shared" si="2"/>
        <v/>
      </c>
      <c r="J12" s="17"/>
      <c r="K12" s="17"/>
    </row>
    <row r="13" spans="1:11" ht="15.6">
      <c r="A13" s="31" t="str">
        <v>AZ: ASU - Pardee - Parking Lot 59S</v>
      </c>
      <c r="B13" s="32" t="str">
        <v>AZ</v>
      </c>
      <c r="C13" s="11"/>
      <c r="D13" s="19"/>
      <c r="E13" s="19" t="str">
        <f t="shared" si="0"/>
        <v/>
      </c>
      <c r="F13" s="20" t="str">
        <f t="shared" si="3"/>
        <v/>
      </c>
      <c r="G13" s="21"/>
      <c r="H13" s="21" t="str">
        <f t="shared" si="1"/>
        <v/>
      </c>
      <c r="I13" s="20" t="str">
        <f t="shared" si="2"/>
        <v/>
      </c>
      <c r="J13" s="10"/>
      <c r="K13" s="18"/>
    </row>
    <row r="14" spans="1:11" ht="15.6">
      <c r="A14" s="29" t="str">
        <v>AZ: ASU - Pardee - Sun Devil Complex</v>
      </c>
      <c r="B14" s="30" t="str">
        <v>AZ</v>
      </c>
      <c r="C14" s="25"/>
      <c r="D14" s="13"/>
      <c r="E14" s="13" t="str">
        <f t="shared" si="0"/>
        <v/>
      </c>
      <c r="F14" s="14" t="str">
        <f t="shared" si="3"/>
        <v/>
      </c>
      <c r="G14" s="15"/>
      <c r="H14" s="15" t="str">
        <f t="shared" si="1"/>
        <v/>
      </c>
      <c r="I14" s="16" t="str">
        <f t="shared" si="2"/>
        <v/>
      </c>
      <c r="J14" s="17"/>
      <c r="K14" s="17"/>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sortState xmlns:xlrd2="http://schemas.microsoft.com/office/spreadsheetml/2017/richdata2" ref="A3:K14">
    <sortCondition ref="A3:A14"/>
  </sortState>
  <mergeCells count="4">
    <mergeCell ref="G1:I1"/>
    <mergeCell ref="A1:C1"/>
    <mergeCell ref="D1:F1"/>
    <mergeCell ref="A2:B2"/>
  </mergeCells>
  <conditionalFormatting sqref="F2 I2 F4:F86 I4:I86">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8"/>
  <sheetViews>
    <sheetView workbookViewId="0">
      <pane ySplit="2" topLeftCell="A3" activePane="bottomLeft" state="frozen"/>
      <selection pane="bottomLeft" activeCell="C21" sqref="C2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2" t="str" cm="1">
        <f t="array" ref="A1">portfolio</f>
        <v>Pardee (ENCAP)</v>
      </c>
      <c r="B1" s="72"/>
      <c r="C1" s="72"/>
      <c r="D1" s="73" t="s">
        <v>126</v>
      </c>
      <c r="E1" s="73"/>
      <c r="F1" s="73"/>
      <c r="G1" s="71" t="s">
        <v>127</v>
      </c>
      <c r="H1" s="71"/>
      <c r="I1" s="71"/>
      <c r="J1" s="4"/>
      <c r="K1" s="4"/>
    </row>
    <row r="2" spans="1:11" ht="19.5" customHeight="1">
      <c r="A2" s="74" t="s">
        <v>2</v>
      </c>
      <c r="B2" s="74"/>
      <c r="C2" s="5">
        <f>SUM(C4:C86)</f>
        <v>0</v>
      </c>
      <c r="D2" s="5">
        <f>SUM(D4:D86)</f>
        <v>0</v>
      </c>
      <c r="E2" s="5">
        <f>C2-D2</f>
        <v>0</v>
      </c>
      <c r="F2" s="6">
        <f>IFERROR(E2/D2, 0)</f>
        <v>0</v>
      </c>
      <c r="G2" s="5">
        <f>SUM(G4:G86)</f>
        <v>0</v>
      </c>
      <c r="H2" s="7">
        <f>C2-G2</f>
        <v>0</v>
      </c>
      <c r="I2" s="6">
        <f>IFERROR(H2/G2, 0)</f>
        <v>0</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4" t="s">
        <v>5</v>
      </c>
      <c r="D3" s="36" t="s">
        <v>6</v>
      </c>
      <c r="E3" s="36" t="s">
        <v>7</v>
      </c>
      <c r="F3" s="37" t="s">
        <v>8</v>
      </c>
      <c r="G3" s="38" t="s">
        <v>9</v>
      </c>
      <c r="H3" s="39" t="s">
        <v>7</v>
      </c>
      <c r="I3" s="40" t="s">
        <v>8</v>
      </c>
      <c r="J3" s="26" t="s">
        <v>20</v>
      </c>
      <c r="K3" s="26" t="s">
        <v>21</v>
      </c>
    </row>
    <row r="4" spans="1:11" ht="15.6">
      <c r="A4" s="33" t="str" cm="1">
        <f t="array" ref="A4:A14">Sites[Site]</f>
        <v>AZ: ASU - Pardee - Discovery Hall</v>
      </c>
      <c r="B4" s="30" t="str" cm="1">
        <f t="array" ref="B4:B14">Sites[State]</f>
        <v>AZ</v>
      </c>
      <c r="C4" s="25"/>
      <c r="D4" s="13"/>
      <c r="E4" s="13" t="str">
        <f>IF(AND(ISNUMBER(C4),ISNUMBER(D4)), C4-D4, "")</f>
        <v/>
      </c>
      <c r="F4" s="14" t="str">
        <f>IFERROR(E4/D4, "")</f>
        <v/>
      </c>
      <c r="G4" s="15"/>
      <c r="H4" s="15" t="str">
        <f>IF(AND(ISNUMBER(C4),ISNUMBER(G4)), C4-G4, "")</f>
        <v/>
      </c>
      <c r="I4" s="16" t="str">
        <f>IFERROR(H4/G4, "")</f>
        <v/>
      </c>
      <c r="J4" s="17"/>
      <c r="K4" s="17"/>
    </row>
    <row r="5" spans="1:11" ht="15.6">
      <c r="A5" s="31" t="str">
        <v>AZ: ASU - Pardee - Farrington</v>
      </c>
      <c r="B5" s="32" t="str">
        <v>AZ</v>
      </c>
      <c r="C5" s="11"/>
      <c r="D5" s="19"/>
      <c r="E5" s="19" t="str">
        <f t="shared" ref="E5:E14" si="0">IF(AND(ISNUMBER(C5),ISNUMBER(D5)), C5-D5, "")</f>
        <v/>
      </c>
      <c r="F5" s="20" t="str">
        <f>IFERROR(E5/D5, "")</f>
        <v/>
      </c>
      <c r="G5" s="21"/>
      <c r="H5" s="21" t="str">
        <f t="shared" ref="H5:H14" si="1">IF(AND(ISNUMBER(C5),ISNUMBER(G5)), C5-G5, "")</f>
        <v/>
      </c>
      <c r="I5" s="20" t="str">
        <f t="shared" ref="I5:I14" si="2">IFERROR(H5/G5, "")</f>
        <v/>
      </c>
      <c r="J5" s="46"/>
      <c r="K5" s="45"/>
    </row>
    <row r="6" spans="1:11" ht="15.6">
      <c r="A6" s="29" t="str">
        <v>AZ: ASU - Pardee - Macro Tech.</v>
      </c>
      <c r="B6" s="30" t="str">
        <v>AZ</v>
      </c>
      <c r="C6" s="25"/>
      <c r="D6" s="13"/>
      <c r="E6" s="13" t="str">
        <f t="shared" si="0"/>
        <v/>
      </c>
      <c r="F6" s="14" t="str">
        <f t="shared" ref="F6:F14" si="3">IFERROR(E6/D6, "")</f>
        <v/>
      </c>
      <c r="G6" s="15"/>
      <c r="H6" s="15" t="str">
        <f t="shared" si="1"/>
        <v/>
      </c>
      <c r="I6" s="16" t="str">
        <f t="shared" si="2"/>
        <v/>
      </c>
      <c r="J6" s="17"/>
      <c r="K6" s="17"/>
    </row>
    <row r="7" spans="1:11" ht="15.6">
      <c r="A7" s="31" t="str">
        <v>AZ: ASU - Pardee - McCord Hall</v>
      </c>
      <c r="B7" s="32" t="str">
        <v>AZ</v>
      </c>
      <c r="C7" s="11"/>
      <c r="D7" s="19"/>
      <c r="E7" s="19" t="str">
        <f t="shared" si="0"/>
        <v/>
      </c>
      <c r="F7" s="20" t="str">
        <f t="shared" si="3"/>
        <v/>
      </c>
      <c r="G7" s="21"/>
      <c r="H7" s="21" t="str">
        <f t="shared" si="1"/>
        <v/>
      </c>
      <c r="I7" s="20" t="str">
        <f t="shared" si="2"/>
        <v/>
      </c>
      <c r="J7" s="10"/>
      <c r="K7" s="18"/>
    </row>
    <row r="8" spans="1:11" ht="15.6">
      <c r="A8" s="29" t="str">
        <v>AZ: NAU - SF Garage</v>
      </c>
      <c r="B8" s="30" t="str">
        <v>AZ</v>
      </c>
      <c r="C8" s="25"/>
      <c r="D8" s="13"/>
      <c r="E8" s="13" t="str">
        <f t="shared" si="0"/>
        <v/>
      </c>
      <c r="F8" s="14" t="str">
        <f t="shared" si="3"/>
        <v/>
      </c>
      <c r="G8" s="15"/>
      <c r="H8" s="15" t="str">
        <f t="shared" si="1"/>
        <v/>
      </c>
      <c r="I8" s="16" t="str">
        <f t="shared" si="2"/>
        <v/>
      </c>
      <c r="J8" s="17"/>
      <c r="K8" s="17"/>
    </row>
    <row r="9" spans="1:11" ht="15.6">
      <c r="A9" s="31" t="str">
        <v>AZ: ASU - Pardee - Parking Lot 11</v>
      </c>
      <c r="B9" s="32" t="str">
        <v>AZ</v>
      </c>
      <c r="C9" s="11"/>
      <c r="D9" s="19"/>
      <c r="E9" s="19" t="str">
        <f t="shared" si="0"/>
        <v/>
      </c>
      <c r="F9" s="20" t="str">
        <f t="shared" si="3"/>
        <v/>
      </c>
      <c r="G9" s="21"/>
      <c r="H9" s="21" t="str">
        <f t="shared" si="1"/>
        <v/>
      </c>
      <c r="I9" s="20" t="str">
        <f t="shared" si="2"/>
        <v/>
      </c>
      <c r="J9" s="42"/>
      <c r="K9" s="43"/>
    </row>
    <row r="10" spans="1:11" ht="15.6">
      <c r="A10" s="29" t="str">
        <v>AZ: ASU - Pardee - Parking Lot 19</v>
      </c>
      <c r="B10" s="30" t="str">
        <v>AZ</v>
      </c>
      <c r="C10" s="25"/>
      <c r="D10" s="13"/>
      <c r="E10" s="13" t="str">
        <f t="shared" si="0"/>
        <v/>
      </c>
      <c r="F10" s="14" t="str">
        <f t="shared" si="3"/>
        <v/>
      </c>
      <c r="G10" s="15"/>
      <c r="H10" s="15" t="str">
        <f t="shared" si="1"/>
        <v/>
      </c>
      <c r="I10" s="16" t="str">
        <f t="shared" si="2"/>
        <v/>
      </c>
      <c r="J10" s="17"/>
      <c r="K10" s="17"/>
    </row>
    <row r="11" spans="1:11" ht="15.6">
      <c r="A11" s="31" t="str">
        <v>AZ: ASU - Pardee - Parking Lot 41</v>
      </c>
      <c r="B11" s="32" t="str">
        <v>AZ</v>
      </c>
      <c r="C11" s="11"/>
      <c r="D11" s="19"/>
      <c r="E11" s="19" t="str">
        <f t="shared" si="0"/>
        <v/>
      </c>
      <c r="F11" s="20" t="str">
        <f t="shared" si="3"/>
        <v/>
      </c>
      <c r="G11" s="21"/>
      <c r="H11" s="21" t="str">
        <f t="shared" si="1"/>
        <v/>
      </c>
      <c r="I11" s="20" t="str">
        <f t="shared" si="2"/>
        <v/>
      </c>
      <c r="J11" s="10"/>
      <c r="K11" s="18"/>
    </row>
    <row r="12" spans="1:11" ht="15.6">
      <c r="A12" s="29" t="str">
        <v>AZ: ASU - Pardee - Parking Lot 58</v>
      </c>
      <c r="B12" s="30" t="str">
        <v>AZ</v>
      </c>
      <c r="C12" s="25"/>
      <c r="D12" s="13"/>
      <c r="E12" s="13" t="str">
        <f t="shared" si="0"/>
        <v/>
      </c>
      <c r="F12" s="14" t="str">
        <f t="shared" si="3"/>
        <v/>
      </c>
      <c r="G12" s="15"/>
      <c r="H12" s="15" t="str">
        <f t="shared" si="1"/>
        <v/>
      </c>
      <c r="I12" s="16" t="str">
        <f t="shared" si="2"/>
        <v/>
      </c>
      <c r="J12" s="17"/>
      <c r="K12" s="17"/>
    </row>
    <row r="13" spans="1:11" ht="15.6">
      <c r="A13" s="31" t="str">
        <v>AZ: ASU - Pardee - Parking Lot 59S</v>
      </c>
      <c r="B13" s="32" t="str">
        <v>AZ</v>
      </c>
      <c r="C13" s="11"/>
      <c r="D13" s="19"/>
      <c r="E13" s="19" t="str">
        <f t="shared" si="0"/>
        <v/>
      </c>
      <c r="F13" s="20" t="str">
        <f t="shared" si="3"/>
        <v/>
      </c>
      <c r="G13" s="21"/>
      <c r="H13" s="21" t="str">
        <f t="shared" si="1"/>
        <v/>
      </c>
      <c r="I13" s="20" t="str">
        <f t="shared" si="2"/>
        <v/>
      </c>
      <c r="J13" s="10"/>
      <c r="K13" s="18"/>
    </row>
    <row r="14" spans="1:11" ht="15.6">
      <c r="A14" s="29" t="str">
        <v>AZ: ASU - Pardee - Sun Devil Complex</v>
      </c>
      <c r="B14" s="30" t="str">
        <v>AZ</v>
      </c>
      <c r="C14" s="25"/>
      <c r="D14" s="13"/>
      <c r="E14" s="13" t="str">
        <f t="shared" si="0"/>
        <v/>
      </c>
      <c r="F14" s="14" t="str">
        <f t="shared" si="3"/>
        <v/>
      </c>
      <c r="G14" s="15"/>
      <c r="H14" s="15" t="str">
        <f t="shared" si="1"/>
        <v/>
      </c>
      <c r="I14" s="16" t="str">
        <f t="shared" si="2"/>
        <v/>
      </c>
      <c r="J14" s="17"/>
      <c r="K14" s="17"/>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12" priority="1" stopIfTrue="1" operator="lessThanOrEqual">
      <formula>-0.1</formula>
    </cfRule>
    <cfRule type="expression" dxfId="11" priority="2">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8"/>
  <sheetViews>
    <sheetView workbookViewId="0">
      <pane ySplit="2" topLeftCell="A3" activePane="bottomLeft" state="frozen"/>
      <selection pane="bottomLeft" activeCell="C21" sqref="C2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2" t="str" cm="1">
        <f t="array" ref="A1">portfolio</f>
        <v>Pardee (ENCAP)</v>
      </c>
      <c r="B1" s="72"/>
      <c r="C1" s="72"/>
      <c r="D1" s="73" t="s">
        <v>128</v>
      </c>
      <c r="E1" s="73"/>
      <c r="F1" s="73"/>
      <c r="G1" s="71" t="s">
        <v>129</v>
      </c>
      <c r="H1" s="71"/>
      <c r="I1" s="71"/>
      <c r="J1" s="4"/>
      <c r="K1" s="4"/>
    </row>
    <row r="2" spans="1:11" ht="19.5" customHeight="1">
      <c r="A2" s="74" t="s">
        <v>2</v>
      </c>
      <c r="B2" s="74"/>
      <c r="C2" s="5">
        <f>SUM(C4:C86)</f>
        <v>0</v>
      </c>
      <c r="D2" s="5">
        <f>SUM(D4:D86)</f>
        <v>0</v>
      </c>
      <c r="E2" s="5">
        <f>C2-D2</f>
        <v>0</v>
      </c>
      <c r="F2" s="6">
        <f>IFERROR(E2/D2, 0)</f>
        <v>0</v>
      </c>
      <c r="G2" s="5">
        <f>SUM(G4:G86)</f>
        <v>0</v>
      </c>
      <c r="H2" s="7">
        <f>C2-G2</f>
        <v>0</v>
      </c>
      <c r="I2" s="6">
        <f>IFERROR(H2/G2, 0)</f>
        <v>0</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4" t="s">
        <v>5</v>
      </c>
      <c r="D3" s="36" t="s">
        <v>6</v>
      </c>
      <c r="E3" s="36" t="s">
        <v>7</v>
      </c>
      <c r="F3" s="37" t="s">
        <v>8</v>
      </c>
      <c r="G3" s="38" t="s">
        <v>9</v>
      </c>
      <c r="H3" s="39" t="s">
        <v>7</v>
      </c>
      <c r="I3" s="40" t="s">
        <v>8</v>
      </c>
      <c r="J3" s="26" t="s">
        <v>20</v>
      </c>
      <c r="K3" s="26" t="s">
        <v>21</v>
      </c>
    </row>
    <row r="4" spans="1:11" ht="15.6">
      <c r="A4" s="33" t="str" cm="1">
        <f t="array" ref="A4:A14">Sites[Site]</f>
        <v>AZ: ASU - Pardee - Discovery Hall</v>
      </c>
      <c r="B4" s="30" t="str" cm="1">
        <f t="array" ref="B4:B14">Sites[State]</f>
        <v>AZ</v>
      </c>
      <c r="C4" s="25"/>
      <c r="D4" s="13"/>
      <c r="E4" s="13" t="str">
        <f>IF(AND(ISNUMBER(C4),ISNUMBER(D4)), C4-D4, "")</f>
        <v/>
      </c>
      <c r="F4" s="14" t="str">
        <f>IFERROR(E4/D4, "")</f>
        <v/>
      </c>
      <c r="G4" s="15"/>
      <c r="H4" s="15" t="str">
        <f>IF(AND(ISNUMBER(C4),ISNUMBER(G4)), C4-G4, "")</f>
        <v/>
      </c>
      <c r="I4" s="16" t="str">
        <f>IFERROR(H4/G4, "")</f>
        <v/>
      </c>
      <c r="J4" s="17"/>
      <c r="K4" s="17"/>
    </row>
    <row r="5" spans="1:11" ht="15.6">
      <c r="A5" s="31" t="str">
        <v>AZ: ASU - Pardee - Farrington</v>
      </c>
      <c r="B5" s="32" t="str">
        <v>AZ</v>
      </c>
      <c r="C5" s="11"/>
      <c r="D5" s="19"/>
      <c r="E5" s="19" t="str">
        <f t="shared" ref="E5:E14" si="0">IF(AND(ISNUMBER(C5),ISNUMBER(D5)), C5-D5, "")</f>
        <v/>
      </c>
      <c r="F5" s="20" t="str">
        <f>IFERROR(E5/D5, "")</f>
        <v/>
      </c>
      <c r="G5" s="21"/>
      <c r="H5" s="21" t="str">
        <f t="shared" ref="H5:H14" si="1">IF(AND(ISNUMBER(C5),ISNUMBER(G5)), C5-G5, "")</f>
        <v/>
      </c>
      <c r="I5" s="20" t="str">
        <f t="shared" ref="I5:I14" si="2">IFERROR(H5/G5, "")</f>
        <v/>
      </c>
      <c r="J5" s="46"/>
      <c r="K5" s="46"/>
    </row>
    <row r="6" spans="1:11" ht="15.6">
      <c r="A6" s="29" t="str">
        <v>AZ: ASU - Pardee - Macro Tech.</v>
      </c>
      <c r="B6" s="30" t="str">
        <v>AZ</v>
      </c>
      <c r="C6" s="25"/>
      <c r="D6" s="13"/>
      <c r="E6" s="13" t="str">
        <f t="shared" si="0"/>
        <v/>
      </c>
      <c r="F6" s="14" t="str">
        <f t="shared" ref="F6:F14" si="3">IFERROR(E6/D6, "")</f>
        <v/>
      </c>
      <c r="G6" s="15"/>
      <c r="H6" s="15" t="str">
        <f t="shared" si="1"/>
        <v/>
      </c>
      <c r="I6" s="16" t="str">
        <f t="shared" si="2"/>
        <v/>
      </c>
      <c r="J6" s="17"/>
      <c r="K6" s="17"/>
    </row>
    <row r="7" spans="1:11" ht="15.6">
      <c r="A7" s="31" t="str">
        <v>AZ: ASU - Pardee - McCord Hall</v>
      </c>
      <c r="B7" s="32" t="str">
        <v>AZ</v>
      </c>
      <c r="C7" s="11"/>
      <c r="D7" s="19"/>
      <c r="E7" s="19" t="str">
        <f t="shared" si="0"/>
        <v/>
      </c>
      <c r="F7" s="20" t="str">
        <f t="shared" si="3"/>
        <v/>
      </c>
      <c r="G7" s="21"/>
      <c r="H7" s="21" t="str">
        <f t="shared" si="1"/>
        <v/>
      </c>
      <c r="I7" s="20" t="str">
        <f t="shared" si="2"/>
        <v/>
      </c>
      <c r="J7" s="10"/>
      <c r="K7" s="18"/>
    </row>
    <row r="8" spans="1:11" ht="15.6">
      <c r="A8" s="29" t="str">
        <v>AZ: NAU - SF Garage</v>
      </c>
      <c r="B8" s="30" t="str">
        <v>AZ</v>
      </c>
      <c r="C8" s="25"/>
      <c r="D8" s="13"/>
      <c r="E8" s="13" t="str">
        <f t="shared" si="0"/>
        <v/>
      </c>
      <c r="F8" s="14" t="str">
        <f t="shared" si="3"/>
        <v/>
      </c>
      <c r="G8" s="15"/>
      <c r="H8" s="15" t="str">
        <f t="shared" si="1"/>
        <v/>
      </c>
      <c r="I8" s="16" t="str">
        <f t="shared" si="2"/>
        <v/>
      </c>
      <c r="J8" s="17"/>
      <c r="K8" s="17"/>
    </row>
    <row r="9" spans="1:11" ht="15.6">
      <c r="A9" s="31" t="str">
        <v>AZ: ASU - Pardee - Parking Lot 11</v>
      </c>
      <c r="B9" s="32" t="str">
        <v>AZ</v>
      </c>
      <c r="C9" s="11"/>
      <c r="D9" s="19"/>
      <c r="E9" s="19" t="str">
        <f t="shared" si="0"/>
        <v/>
      </c>
      <c r="F9" s="20" t="str">
        <f t="shared" si="3"/>
        <v/>
      </c>
      <c r="G9" s="21"/>
      <c r="H9" s="21" t="str">
        <f t="shared" si="1"/>
        <v/>
      </c>
      <c r="I9" s="20" t="str">
        <f t="shared" si="2"/>
        <v/>
      </c>
      <c r="J9" s="10"/>
      <c r="K9" s="18"/>
    </row>
    <row r="10" spans="1:11" ht="15.6">
      <c r="A10" s="29" t="str">
        <v>AZ: ASU - Pardee - Parking Lot 19</v>
      </c>
      <c r="B10" s="30" t="str">
        <v>AZ</v>
      </c>
      <c r="C10" s="25"/>
      <c r="D10" s="13"/>
      <c r="E10" s="13" t="str">
        <f t="shared" si="0"/>
        <v/>
      </c>
      <c r="F10" s="14" t="str">
        <f t="shared" si="3"/>
        <v/>
      </c>
      <c r="G10" s="15"/>
      <c r="H10" s="15" t="str">
        <f t="shared" si="1"/>
        <v/>
      </c>
      <c r="I10" s="16" t="str">
        <f t="shared" si="2"/>
        <v/>
      </c>
      <c r="J10" s="17"/>
      <c r="K10" s="17"/>
    </row>
    <row r="11" spans="1:11" ht="15.6">
      <c r="A11" s="31" t="str">
        <v>AZ: ASU - Pardee - Parking Lot 41</v>
      </c>
      <c r="B11" s="32" t="str">
        <v>AZ</v>
      </c>
      <c r="C11" s="11"/>
      <c r="D11" s="19"/>
      <c r="E11" s="19" t="str">
        <f t="shared" si="0"/>
        <v/>
      </c>
      <c r="F11" s="20" t="str">
        <f t="shared" si="3"/>
        <v/>
      </c>
      <c r="G11" s="21"/>
      <c r="H11" s="21" t="str">
        <f t="shared" si="1"/>
        <v/>
      </c>
      <c r="I11" s="20" t="str">
        <f t="shared" si="2"/>
        <v/>
      </c>
      <c r="J11" s="10"/>
      <c r="K11" s="18"/>
    </row>
    <row r="12" spans="1:11" ht="15.6">
      <c r="A12" s="29" t="str">
        <v>AZ: ASU - Pardee - Parking Lot 58</v>
      </c>
      <c r="B12" s="30" t="str">
        <v>AZ</v>
      </c>
      <c r="C12" s="25"/>
      <c r="D12" s="13"/>
      <c r="E12" s="13" t="str">
        <f t="shared" si="0"/>
        <v/>
      </c>
      <c r="F12" s="14" t="str">
        <f t="shared" si="3"/>
        <v/>
      </c>
      <c r="G12" s="15"/>
      <c r="H12" s="15" t="str">
        <f t="shared" si="1"/>
        <v/>
      </c>
      <c r="I12" s="16" t="str">
        <f t="shared" si="2"/>
        <v/>
      </c>
      <c r="J12" s="17"/>
      <c r="K12" s="17"/>
    </row>
    <row r="13" spans="1:11" ht="15.6">
      <c r="A13" s="31" t="str">
        <v>AZ: ASU - Pardee - Parking Lot 59S</v>
      </c>
      <c r="B13" s="32" t="str">
        <v>AZ</v>
      </c>
      <c r="C13" s="11"/>
      <c r="D13" s="19"/>
      <c r="E13" s="19" t="str">
        <f t="shared" si="0"/>
        <v/>
      </c>
      <c r="F13" s="20" t="str">
        <f t="shared" si="3"/>
        <v/>
      </c>
      <c r="G13" s="21"/>
      <c r="H13" s="21" t="str">
        <f t="shared" si="1"/>
        <v/>
      </c>
      <c r="I13" s="20" t="str">
        <f t="shared" si="2"/>
        <v/>
      </c>
      <c r="J13" s="10"/>
      <c r="K13" s="18"/>
    </row>
    <row r="14" spans="1:11" ht="15.6">
      <c r="A14" s="29" t="str">
        <v>AZ: ASU - Pardee - Sun Devil Complex</v>
      </c>
      <c r="B14" s="30" t="str">
        <v>AZ</v>
      </c>
      <c r="C14" s="25"/>
      <c r="D14" s="13"/>
      <c r="E14" s="13" t="str">
        <f t="shared" si="0"/>
        <v/>
      </c>
      <c r="F14" s="14" t="str">
        <f t="shared" si="3"/>
        <v/>
      </c>
      <c r="G14" s="15"/>
      <c r="H14" s="15" t="str">
        <f t="shared" si="1"/>
        <v/>
      </c>
      <c r="I14" s="16" t="str">
        <f t="shared" si="2"/>
        <v/>
      </c>
      <c r="J14" s="17"/>
      <c r="K14" s="17"/>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8"/>
  <sheetViews>
    <sheetView workbookViewId="0">
      <pane ySplit="2" topLeftCell="A3" activePane="bottomLeft" state="frozen"/>
      <selection pane="bottomLeft" activeCell="C21" sqref="C2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85546875" customWidth="1"/>
  </cols>
  <sheetData>
    <row r="1" spans="1:11" ht="19.5" customHeight="1">
      <c r="A1" s="72" t="str" cm="1">
        <f t="array" ref="A1">portfolio</f>
        <v>Pardee (ENCAP)</v>
      </c>
      <c r="B1" s="72"/>
      <c r="C1" s="72"/>
      <c r="D1" s="73" t="s">
        <v>130</v>
      </c>
      <c r="E1" s="73"/>
      <c r="F1" s="73"/>
      <c r="G1" s="71" t="s">
        <v>131</v>
      </c>
      <c r="H1" s="71"/>
      <c r="I1" s="71"/>
      <c r="J1" s="4"/>
      <c r="K1" s="4"/>
    </row>
    <row r="2" spans="1:11" ht="19.5" customHeight="1">
      <c r="A2" s="74" t="s">
        <v>2</v>
      </c>
      <c r="B2" s="74"/>
      <c r="C2" s="5">
        <f>SUM(C4:C86)</f>
        <v>0</v>
      </c>
      <c r="D2" s="5">
        <f>SUM(D4:D86)</f>
        <v>0</v>
      </c>
      <c r="E2" s="5">
        <f>C2-D2</f>
        <v>0</v>
      </c>
      <c r="F2" s="6">
        <f>IFERROR(E2/D2, 0)</f>
        <v>0</v>
      </c>
      <c r="G2" s="5">
        <f>SUM(G4:G86)</f>
        <v>0</v>
      </c>
      <c r="H2" s="7">
        <f>C2-G2</f>
        <v>0</v>
      </c>
      <c r="I2" s="6">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4" t="s">
        <v>5</v>
      </c>
      <c r="D3" s="36" t="s">
        <v>6</v>
      </c>
      <c r="E3" s="36" t="s">
        <v>7</v>
      </c>
      <c r="F3" s="37" t="s">
        <v>8</v>
      </c>
      <c r="G3" s="38" t="s">
        <v>9</v>
      </c>
      <c r="H3" s="39" t="s">
        <v>7</v>
      </c>
      <c r="I3" s="40" t="s">
        <v>8</v>
      </c>
      <c r="J3" s="26" t="s">
        <v>20</v>
      </c>
      <c r="K3" s="26" t="s">
        <v>21</v>
      </c>
    </row>
    <row r="4" spans="1:11" ht="15.6">
      <c r="A4" s="33" t="str" cm="1">
        <f t="array" ref="A4:A14">Sites[Site]</f>
        <v>AZ: ASU - Pardee - Discovery Hall</v>
      </c>
      <c r="B4" s="30" t="str" cm="1">
        <f t="array" ref="B4:B14">Sites[State]</f>
        <v>AZ</v>
      </c>
      <c r="C4" s="25"/>
      <c r="D4" s="13"/>
      <c r="E4" s="13" t="str">
        <f>IF(AND(ISNUMBER(C4),ISNUMBER(D4)), C4-D4, "")</f>
        <v/>
      </c>
      <c r="F4" s="14" t="str">
        <f>IFERROR(E4/D4, "")</f>
        <v/>
      </c>
      <c r="G4" s="15"/>
      <c r="H4" s="15" t="str">
        <f>IF(AND(ISNUMBER(C4),ISNUMBER(G4)), C4-G4, "")</f>
        <v/>
      </c>
      <c r="I4" s="16" t="str">
        <f>IFERROR(H4/G4, "")</f>
        <v/>
      </c>
      <c r="J4" s="17"/>
      <c r="K4" s="17"/>
    </row>
    <row r="5" spans="1:11" ht="15.6">
      <c r="A5" s="31" t="str">
        <v>AZ: ASU - Pardee - Farrington</v>
      </c>
      <c r="B5" s="32" t="str">
        <v>AZ</v>
      </c>
      <c r="C5" s="11"/>
      <c r="D5" s="19"/>
      <c r="E5" s="19" t="str">
        <f t="shared" ref="E5:E14" si="0">IF(AND(ISNUMBER(C5),ISNUMBER(D5)), C5-D5, "")</f>
        <v/>
      </c>
      <c r="F5" s="20" t="str">
        <f>IFERROR(E5/D5, "")</f>
        <v/>
      </c>
      <c r="G5" s="21"/>
      <c r="H5" s="21" t="str">
        <f t="shared" ref="H5:H14" si="1">IF(AND(ISNUMBER(C5),ISNUMBER(G5)), C5-G5, "")</f>
        <v/>
      </c>
      <c r="I5" s="20" t="str">
        <f t="shared" ref="I5:I14" si="2">IFERROR(H5/G5, "")</f>
        <v/>
      </c>
      <c r="J5" s="46"/>
      <c r="K5" s="52"/>
    </row>
    <row r="6" spans="1:11" ht="15.6">
      <c r="A6" s="33" t="str">
        <v>AZ: ASU - Pardee - Macro Tech.</v>
      </c>
      <c r="B6" s="30" t="str">
        <v>AZ</v>
      </c>
      <c r="C6" s="25"/>
      <c r="D6" s="13"/>
      <c r="E6" s="13" t="str">
        <f t="shared" si="0"/>
        <v/>
      </c>
      <c r="F6" s="14" t="str">
        <f t="shared" ref="F6:F14" si="3">IFERROR(E6/D6, "")</f>
        <v/>
      </c>
      <c r="G6" s="15"/>
      <c r="H6" s="15" t="str">
        <f t="shared" si="1"/>
        <v/>
      </c>
      <c r="I6" s="16" t="str">
        <f t="shared" si="2"/>
        <v/>
      </c>
      <c r="J6" s="17"/>
      <c r="K6" s="17"/>
    </row>
    <row r="7" spans="1:11" ht="15.6">
      <c r="A7" s="31" t="str">
        <v>AZ: ASU - Pardee - McCord Hall</v>
      </c>
      <c r="B7" s="32" t="str">
        <v>AZ</v>
      </c>
      <c r="C7" s="11"/>
      <c r="D7" s="19"/>
      <c r="E7" s="19" t="str">
        <f t="shared" si="0"/>
        <v/>
      </c>
      <c r="F7" s="20" t="str">
        <f t="shared" si="3"/>
        <v/>
      </c>
      <c r="G7" s="21"/>
      <c r="H7" s="21" t="str">
        <f t="shared" si="1"/>
        <v/>
      </c>
      <c r="I7" s="20" t="str">
        <f t="shared" si="2"/>
        <v/>
      </c>
      <c r="K7" s="18"/>
    </row>
    <row r="8" spans="1:11" ht="15.6">
      <c r="A8" s="29" t="str">
        <v>AZ: NAU - SF Garage</v>
      </c>
      <c r="B8" s="30" t="str">
        <v>AZ</v>
      </c>
      <c r="C8" s="25"/>
      <c r="D8" s="13"/>
      <c r="E8" s="13" t="str">
        <f t="shared" si="0"/>
        <v/>
      </c>
      <c r="F8" s="14" t="str">
        <f t="shared" si="3"/>
        <v/>
      </c>
      <c r="G8" s="15"/>
      <c r="H8" s="15" t="str">
        <f t="shared" si="1"/>
        <v/>
      </c>
      <c r="I8" s="16" t="str">
        <f t="shared" si="2"/>
        <v/>
      </c>
      <c r="J8" s="17"/>
      <c r="K8" s="17"/>
    </row>
    <row r="9" spans="1:11" ht="15.6">
      <c r="A9" s="31" t="str">
        <v>AZ: ASU - Pardee - Parking Lot 11</v>
      </c>
      <c r="B9" s="32" t="str">
        <v>AZ</v>
      </c>
      <c r="C9" s="11"/>
      <c r="D9" s="19"/>
      <c r="E9" s="19" t="str">
        <f t="shared" si="0"/>
        <v/>
      </c>
      <c r="F9" s="20" t="str">
        <f t="shared" si="3"/>
        <v/>
      </c>
      <c r="G9" s="21"/>
      <c r="H9" s="21" t="str">
        <f t="shared" si="1"/>
        <v/>
      </c>
      <c r="I9" s="20" t="str">
        <f t="shared" si="2"/>
        <v/>
      </c>
      <c r="J9" s="10"/>
      <c r="K9" s="18"/>
    </row>
    <row r="10" spans="1:11" ht="15.6">
      <c r="A10" s="29" t="str">
        <v>AZ: ASU - Pardee - Parking Lot 19</v>
      </c>
      <c r="B10" s="30" t="str">
        <v>AZ</v>
      </c>
      <c r="C10" s="25"/>
      <c r="D10" s="13"/>
      <c r="E10" s="13" t="str">
        <f t="shared" si="0"/>
        <v/>
      </c>
      <c r="F10" s="14" t="str">
        <f t="shared" si="3"/>
        <v/>
      </c>
      <c r="G10" s="15"/>
      <c r="H10" s="15" t="str">
        <f t="shared" si="1"/>
        <v/>
      </c>
      <c r="I10" s="16" t="str">
        <f t="shared" si="2"/>
        <v/>
      </c>
      <c r="J10" s="17"/>
      <c r="K10" s="17"/>
    </row>
    <row r="11" spans="1:11" ht="15.6">
      <c r="A11" s="31" t="str">
        <v>AZ: ASU - Pardee - Parking Lot 41</v>
      </c>
      <c r="B11" s="32" t="str">
        <v>AZ</v>
      </c>
      <c r="C11" s="11"/>
      <c r="D11" s="19"/>
      <c r="E11" s="19" t="str">
        <f t="shared" si="0"/>
        <v/>
      </c>
      <c r="F11" s="20" t="str">
        <f t="shared" si="3"/>
        <v/>
      </c>
      <c r="G11" s="21"/>
      <c r="H11" s="21" t="str">
        <f t="shared" si="1"/>
        <v/>
      </c>
      <c r="I11" s="20" t="str">
        <f t="shared" si="2"/>
        <v/>
      </c>
      <c r="J11" s="10"/>
      <c r="K11" s="18"/>
    </row>
    <row r="12" spans="1:11" ht="15.6">
      <c r="A12" s="29" t="str">
        <v>AZ: ASU - Pardee - Parking Lot 58</v>
      </c>
      <c r="B12" s="30" t="str">
        <v>AZ</v>
      </c>
      <c r="C12" s="25"/>
      <c r="D12" s="13"/>
      <c r="E12" s="13" t="str">
        <f t="shared" si="0"/>
        <v/>
      </c>
      <c r="F12" s="14" t="str">
        <f t="shared" si="3"/>
        <v/>
      </c>
      <c r="G12" s="15"/>
      <c r="H12" s="15" t="str">
        <f t="shared" si="1"/>
        <v/>
      </c>
      <c r="I12" s="16" t="str">
        <f t="shared" si="2"/>
        <v/>
      </c>
      <c r="J12" s="17"/>
      <c r="K12" s="17"/>
    </row>
    <row r="13" spans="1:11" ht="15.6">
      <c r="A13" s="31" t="str">
        <v>AZ: ASU - Pardee - Parking Lot 59S</v>
      </c>
      <c r="B13" s="32" t="str">
        <v>AZ</v>
      </c>
      <c r="C13" s="11"/>
      <c r="D13" s="19"/>
      <c r="E13" s="19" t="str">
        <f t="shared" si="0"/>
        <v/>
      </c>
      <c r="F13" s="20" t="str">
        <f t="shared" si="3"/>
        <v/>
      </c>
      <c r="G13" s="21"/>
      <c r="H13" s="21" t="str">
        <f t="shared" si="1"/>
        <v/>
      </c>
      <c r="I13" s="20" t="str">
        <f t="shared" si="2"/>
        <v/>
      </c>
      <c r="J13" s="42"/>
      <c r="K13" s="42"/>
    </row>
    <row r="14" spans="1:11" ht="15.6">
      <c r="A14" s="29" t="str">
        <v>AZ: ASU - Pardee - Sun Devil Complex</v>
      </c>
      <c r="B14" s="30" t="str">
        <v>AZ</v>
      </c>
      <c r="C14" s="25"/>
      <c r="D14" s="13"/>
      <c r="E14" s="13" t="str">
        <f t="shared" si="0"/>
        <v/>
      </c>
      <c r="F14" s="14" t="str">
        <f t="shared" si="3"/>
        <v/>
      </c>
      <c r="G14" s="15"/>
      <c r="H14" s="15" t="str">
        <f t="shared" si="1"/>
        <v/>
      </c>
      <c r="I14" s="16" t="str">
        <f t="shared" si="2"/>
        <v/>
      </c>
      <c r="J14" s="17"/>
      <c r="K14" s="17"/>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14"/>
  <sheetViews>
    <sheetView workbookViewId="0">
      <pane ySplit="3" topLeftCell="A4" activePane="bottomLeft" state="frozen"/>
      <selection pane="bottomLeft" activeCell="B29" sqref="B29"/>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132</v>
      </c>
      <c r="B1" t="s">
        <v>133</v>
      </c>
    </row>
    <row r="3" spans="1:5" ht="13.15">
      <c r="A3" t="s">
        <v>134</v>
      </c>
      <c r="B3" t="s">
        <v>3</v>
      </c>
      <c r="C3" t="s">
        <v>4</v>
      </c>
      <c r="D3" t="s">
        <v>135</v>
      </c>
      <c r="E3" s="2" t="s">
        <v>136</v>
      </c>
    </row>
    <row r="4" spans="1:5" ht="12.75" customHeight="1">
      <c r="A4" t="s">
        <v>137</v>
      </c>
      <c r="B4" t="s">
        <v>137</v>
      </c>
      <c r="C4" s="3" t="s">
        <v>138</v>
      </c>
    </row>
    <row r="5" spans="1:5" ht="12.75" customHeight="1">
      <c r="A5" t="s">
        <v>139</v>
      </c>
      <c r="B5" t="s">
        <v>139</v>
      </c>
      <c r="C5" s="3" t="s">
        <v>138</v>
      </c>
    </row>
    <row r="6" spans="1:5" ht="12.75" customHeight="1">
      <c r="A6" t="s">
        <v>140</v>
      </c>
      <c r="B6" t="s">
        <v>140</v>
      </c>
      <c r="C6" s="3" t="s">
        <v>138</v>
      </c>
    </row>
    <row r="7" spans="1:5" ht="12.75" customHeight="1">
      <c r="A7" t="s">
        <v>141</v>
      </c>
      <c r="B7" t="s">
        <v>141</v>
      </c>
      <c r="C7" s="3" t="s">
        <v>138</v>
      </c>
    </row>
    <row r="8" spans="1:5" ht="12.75" customHeight="1">
      <c r="A8" t="s">
        <v>142</v>
      </c>
      <c r="B8" t="s">
        <v>142</v>
      </c>
      <c r="C8" s="3" t="s">
        <v>138</v>
      </c>
    </row>
    <row r="9" spans="1:5" ht="12.75" customHeight="1">
      <c r="A9" t="s">
        <v>143</v>
      </c>
      <c r="B9" t="s">
        <v>143</v>
      </c>
      <c r="C9" s="3" t="s">
        <v>138</v>
      </c>
    </row>
    <row r="10" spans="1:5" ht="12.75" customHeight="1">
      <c r="A10" t="s">
        <v>144</v>
      </c>
      <c r="B10" t="s">
        <v>144</v>
      </c>
      <c r="C10" s="3" t="s">
        <v>138</v>
      </c>
    </row>
    <row r="11" spans="1:5" ht="12.75" customHeight="1">
      <c r="A11" t="s">
        <v>145</v>
      </c>
      <c r="B11" t="s">
        <v>145</v>
      </c>
      <c r="C11" s="3" t="s">
        <v>138</v>
      </c>
    </row>
    <row r="12" spans="1:5" ht="12.75" customHeight="1">
      <c r="A12" t="s">
        <v>146</v>
      </c>
      <c r="B12" t="s">
        <v>146</v>
      </c>
      <c r="C12" s="3" t="s">
        <v>138</v>
      </c>
    </row>
    <row r="13" spans="1:5" ht="12.75" customHeight="1">
      <c r="A13" t="s">
        <v>147</v>
      </c>
      <c r="B13" t="s">
        <v>147</v>
      </c>
      <c r="C13" s="3" t="s">
        <v>138</v>
      </c>
    </row>
    <row r="14" spans="1:5" ht="12.75" customHeight="1">
      <c r="A14" t="s">
        <v>148</v>
      </c>
      <c r="B14" t="s">
        <v>148</v>
      </c>
      <c r="C14" s="3" t="s">
        <v>138</v>
      </c>
    </row>
  </sheetData>
  <pageMargins left="0.7" right="0.7" top="0.75" bottom="0.75" header="0.3" footer="0.3"/>
  <pageSetup orientation="portrait" horizontalDpi="1200" verticalDpi="1200"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8"/>
  <sheetViews>
    <sheetView workbookViewId="0">
      <pane ySplit="2" topLeftCell="A3" activePane="bottomLeft" state="frozen"/>
      <selection pane="bottomLeft" activeCell="C21" sqref="C2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2" t="str" cm="1">
        <f t="array" ref="A1">portfolio</f>
        <v>Pardee (ENCAP)</v>
      </c>
      <c r="B1" s="72"/>
      <c r="C1" s="72"/>
      <c r="D1" s="73" t="s">
        <v>149</v>
      </c>
      <c r="E1" s="73"/>
      <c r="F1" s="73"/>
      <c r="G1" s="71" t="s">
        <v>150</v>
      </c>
      <c r="H1" s="71"/>
      <c r="I1" s="71"/>
      <c r="J1" s="4"/>
      <c r="K1" s="4"/>
    </row>
    <row r="2" spans="1:11" ht="19.5" customHeight="1">
      <c r="A2" s="74" t="s">
        <v>2</v>
      </c>
      <c r="B2" s="74"/>
      <c r="C2" s="5">
        <f>SUM(C4:C86)</f>
        <v>0</v>
      </c>
      <c r="D2" s="5">
        <f>SUM(D4:D86)</f>
        <v>0</v>
      </c>
      <c r="E2" s="5">
        <f>C2-D2</f>
        <v>0</v>
      </c>
      <c r="F2" s="6">
        <f>IFERROR(E2/D2, 0)</f>
        <v>0</v>
      </c>
      <c r="G2" s="5">
        <f>SUM(G4:G86)</f>
        <v>0</v>
      </c>
      <c r="H2" s="7">
        <f>C2-G2</f>
        <v>0</v>
      </c>
      <c r="I2" s="6">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4" t="s">
        <v>5</v>
      </c>
      <c r="D3" s="36" t="s">
        <v>6</v>
      </c>
      <c r="E3" s="36" t="s">
        <v>7</v>
      </c>
      <c r="F3" s="37" t="s">
        <v>8</v>
      </c>
      <c r="G3" s="38" t="s">
        <v>9</v>
      </c>
      <c r="H3" s="39" t="s">
        <v>7</v>
      </c>
      <c r="I3" s="40" t="s">
        <v>8</v>
      </c>
      <c r="J3" s="26" t="s">
        <v>20</v>
      </c>
      <c r="K3" s="26" t="s">
        <v>21</v>
      </c>
    </row>
    <row r="4" spans="1:11" ht="15.6">
      <c r="A4" s="33" t="str" cm="1">
        <f t="array" ref="A4:A14">Sites[Site]</f>
        <v>AZ: ASU - Pardee - Discovery Hall</v>
      </c>
      <c r="B4" s="30" t="str" cm="1">
        <f t="array" ref="B4:B14">Sites[State]</f>
        <v>AZ</v>
      </c>
      <c r="C4" s="25"/>
      <c r="D4" s="13"/>
      <c r="E4" s="13" t="str">
        <f>IF(AND(ISNUMBER(C4),ISNUMBER(D4)), C4-D4, "")</f>
        <v/>
      </c>
      <c r="F4" s="14" t="str">
        <f>IFERROR(E4/D4, "")</f>
        <v/>
      </c>
      <c r="G4" s="15"/>
      <c r="H4" s="15" t="str">
        <f>IF(AND(ISNUMBER(C4),ISNUMBER(G4)), C4-G4, "")</f>
        <v/>
      </c>
      <c r="I4" s="16" t="str">
        <f>IFERROR(H4/G4, "")</f>
        <v/>
      </c>
      <c r="J4" s="17"/>
      <c r="K4" s="17"/>
    </row>
    <row r="5" spans="1:11" ht="15.6">
      <c r="A5" s="31" t="str">
        <v>AZ: ASU - Pardee - Farrington</v>
      </c>
      <c r="B5" s="32" t="str">
        <v>AZ</v>
      </c>
      <c r="C5" s="11"/>
      <c r="D5" s="19"/>
      <c r="E5" s="19" t="str">
        <f t="shared" ref="E5:E14" si="0">IF(AND(ISNUMBER(C5),ISNUMBER(D5)), C5-D5, "")</f>
        <v/>
      </c>
      <c r="F5" s="20" t="str">
        <f>IFERROR(E5/D5, "")</f>
        <v/>
      </c>
      <c r="G5" s="21"/>
      <c r="H5" s="21" t="str">
        <f t="shared" ref="H5:H14" si="1">IF(AND(ISNUMBER(C5),ISNUMBER(G5)), C5-G5, "")</f>
        <v/>
      </c>
      <c r="I5" s="20" t="str">
        <f t="shared" ref="I5:I14" si="2">IFERROR(H5/G5, "")</f>
        <v/>
      </c>
      <c r="J5" s="46"/>
      <c r="K5" s="46"/>
    </row>
    <row r="6" spans="1:11" ht="15.6">
      <c r="A6" s="29" t="str">
        <v>AZ: ASU - Pardee - Macro Tech.</v>
      </c>
      <c r="B6" s="30" t="str">
        <v>AZ</v>
      </c>
      <c r="C6" s="25"/>
      <c r="D6" s="13"/>
      <c r="E6" s="13" t="str">
        <f t="shared" si="0"/>
        <v/>
      </c>
      <c r="F6" s="14" t="str">
        <f t="shared" ref="F6:F14" si="3">IFERROR(E6/D6, "")</f>
        <v/>
      </c>
      <c r="G6" s="15"/>
      <c r="H6" s="15" t="str">
        <f t="shared" si="1"/>
        <v/>
      </c>
      <c r="I6" s="16" t="str">
        <f t="shared" si="2"/>
        <v/>
      </c>
      <c r="J6" s="17"/>
      <c r="K6" s="17"/>
    </row>
    <row r="7" spans="1:11" ht="15.6">
      <c r="A7" s="31" t="str">
        <v>AZ: ASU - Pardee - McCord Hall</v>
      </c>
      <c r="B7" s="32" t="str">
        <v>AZ</v>
      </c>
      <c r="C7" s="11"/>
      <c r="D7" s="19"/>
      <c r="E7" s="19" t="str">
        <f t="shared" si="0"/>
        <v/>
      </c>
      <c r="F7" s="20" t="str">
        <f t="shared" si="3"/>
        <v/>
      </c>
      <c r="G7" s="21"/>
      <c r="H7" s="21" t="str">
        <f t="shared" si="1"/>
        <v/>
      </c>
      <c r="I7" s="20" t="str">
        <f t="shared" si="2"/>
        <v/>
      </c>
      <c r="J7" s="10"/>
      <c r="K7" s="18"/>
    </row>
    <row r="8" spans="1:11" ht="15.6">
      <c r="A8" s="29" t="str">
        <v>AZ: NAU - SF Garage</v>
      </c>
      <c r="B8" s="30" t="str">
        <v>AZ</v>
      </c>
      <c r="C8" s="25"/>
      <c r="D8" s="13"/>
      <c r="E8" s="13" t="str">
        <f t="shared" si="0"/>
        <v/>
      </c>
      <c r="F8" s="14" t="str">
        <f t="shared" si="3"/>
        <v/>
      </c>
      <c r="G8" s="15"/>
      <c r="H8" s="15" t="str">
        <f t="shared" si="1"/>
        <v/>
      </c>
      <c r="I8" s="16" t="str">
        <f t="shared" si="2"/>
        <v/>
      </c>
      <c r="J8" s="17"/>
      <c r="K8" s="17"/>
    </row>
    <row r="9" spans="1:11" ht="15.6">
      <c r="A9" s="31" t="str">
        <v>AZ: ASU - Pardee - Parking Lot 11</v>
      </c>
      <c r="B9" s="32" t="str">
        <v>AZ</v>
      </c>
      <c r="C9" s="11"/>
      <c r="D9" s="19"/>
      <c r="E9" s="19" t="str">
        <f t="shared" si="0"/>
        <v/>
      </c>
      <c r="F9" s="20" t="str">
        <f t="shared" si="3"/>
        <v/>
      </c>
      <c r="G9" s="21"/>
      <c r="H9" s="21" t="str">
        <f t="shared" si="1"/>
        <v/>
      </c>
      <c r="I9" s="20" t="str">
        <f t="shared" si="2"/>
        <v/>
      </c>
      <c r="J9" s="10"/>
      <c r="K9" s="18"/>
    </row>
    <row r="10" spans="1:11" ht="15.6">
      <c r="A10" s="29" t="str">
        <v>AZ: ASU - Pardee - Parking Lot 19</v>
      </c>
      <c r="B10" s="30" t="str">
        <v>AZ</v>
      </c>
      <c r="C10" s="25"/>
      <c r="D10" s="13"/>
      <c r="E10" s="13" t="str">
        <f t="shared" si="0"/>
        <v/>
      </c>
      <c r="F10" s="14" t="str">
        <f t="shared" si="3"/>
        <v/>
      </c>
      <c r="G10" s="15"/>
      <c r="H10" s="15" t="str">
        <f t="shared" si="1"/>
        <v/>
      </c>
      <c r="I10" s="16" t="str">
        <f t="shared" si="2"/>
        <v/>
      </c>
      <c r="J10" s="17"/>
      <c r="K10" s="17"/>
    </row>
    <row r="11" spans="1:11" ht="15.6">
      <c r="A11" s="31" t="str">
        <v>AZ: ASU - Pardee - Parking Lot 41</v>
      </c>
      <c r="B11" s="32" t="str">
        <v>AZ</v>
      </c>
      <c r="C11" s="11"/>
      <c r="D11" s="19"/>
      <c r="E11" s="19" t="str">
        <f t="shared" si="0"/>
        <v/>
      </c>
      <c r="F11" s="20" t="str">
        <f t="shared" si="3"/>
        <v/>
      </c>
      <c r="G11" s="21"/>
      <c r="H11" s="21" t="str">
        <f t="shared" si="1"/>
        <v/>
      </c>
      <c r="I11" s="20" t="str">
        <f t="shared" si="2"/>
        <v/>
      </c>
      <c r="J11" s="10"/>
      <c r="K11" s="18"/>
    </row>
    <row r="12" spans="1:11" ht="15.6">
      <c r="A12" s="29" t="str">
        <v>AZ: ASU - Pardee - Parking Lot 58</v>
      </c>
      <c r="B12" s="30" t="str">
        <v>AZ</v>
      </c>
      <c r="C12" s="25"/>
      <c r="D12" s="13"/>
      <c r="E12" s="13" t="str">
        <f t="shared" si="0"/>
        <v/>
      </c>
      <c r="F12" s="14" t="str">
        <f t="shared" si="3"/>
        <v/>
      </c>
      <c r="G12" s="15"/>
      <c r="H12" s="15" t="str">
        <f t="shared" si="1"/>
        <v/>
      </c>
      <c r="I12" s="16" t="str">
        <f t="shared" si="2"/>
        <v/>
      </c>
      <c r="J12" s="17"/>
      <c r="K12" s="17"/>
    </row>
    <row r="13" spans="1:11" ht="15.6">
      <c r="A13" s="31" t="str">
        <v>AZ: ASU - Pardee - Parking Lot 59S</v>
      </c>
      <c r="B13" s="32" t="str">
        <v>AZ</v>
      </c>
      <c r="C13" s="11"/>
      <c r="D13" s="19"/>
      <c r="E13" s="19" t="str">
        <f t="shared" si="0"/>
        <v/>
      </c>
      <c r="F13" s="20" t="str">
        <f t="shared" si="3"/>
        <v/>
      </c>
      <c r="H13" s="21" t="str">
        <f t="shared" si="1"/>
        <v/>
      </c>
      <c r="I13" s="20" t="str">
        <f t="shared" si="2"/>
        <v/>
      </c>
      <c r="J13" s="42"/>
      <c r="K13" s="51"/>
    </row>
    <row r="14" spans="1:11" ht="15.6">
      <c r="A14" s="29" t="str">
        <v>AZ: ASU - Pardee - Sun Devil Complex</v>
      </c>
      <c r="B14" s="30" t="str">
        <v>AZ</v>
      </c>
      <c r="C14" s="25"/>
      <c r="D14" s="13"/>
      <c r="E14" s="13" t="str">
        <f t="shared" si="0"/>
        <v/>
      </c>
      <c r="F14" s="14" t="str">
        <f t="shared" si="3"/>
        <v/>
      </c>
      <c r="G14" s="15"/>
      <c r="H14" s="15" t="str">
        <f t="shared" si="1"/>
        <v/>
      </c>
      <c r="I14" s="16" t="str">
        <f t="shared" si="2"/>
        <v/>
      </c>
      <c r="J14" s="17"/>
      <c r="K14" s="17"/>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3" priority="1" stopIfTrue="1" operator="lessThanOrEqual">
      <formula>-0.1</formula>
    </cfRule>
    <cfRule type="expression" dxfId="2" priority="2">
      <formula>AND(ISNUMBER(F2), F2&gt;=0.1)</formula>
    </cfRule>
  </conditionalFormatting>
  <pageMargins left="0.4" right="0.7" top="0.25" bottom="0.25" header="0.3" footer="0.3"/>
  <pageSetup fitToHeight="99"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8"/>
  <sheetViews>
    <sheetView workbookViewId="0">
      <pane ySplit="2" topLeftCell="A3" activePane="bottomLeft" state="frozen"/>
      <selection pane="bottomLeft" activeCell="C21" sqref="C2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0.5703125" bestFit="1" customWidth="1"/>
  </cols>
  <sheetData>
    <row r="1" spans="1:11" ht="19.5" customHeight="1">
      <c r="A1" s="72" t="str" cm="1">
        <f t="array" ref="A1">portfolio</f>
        <v>Pardee (ENCAP)</v>
      </c>
      <c r="B1" s="72"/>
      <c r="C1" s="72"/>
      <c r="D1" s="73" t="s">
        <v>151</v>
      </c>
      <c r="E1" s="73"/>
      <c r="F1" s="73"/>
      <c r="G1" s="71" t="s">
        <v>152</v>
      </c>
      <c r="H1" s="71"/>
      <c r="I1" s="71"/>
      <c r="J1" s="4"/>
      <c r="K1" s="4"/>
    </row>
    <row r="2" spans="1:11" ht="19.5" customHeight="1">
      <c r="A2" s="74" t="s">
        <v>2</v>
      </c>
      <c r="B2" s="74"/>
      <c r="C2" s="5">
        <f>SUM(C4:C86)</f>
        <v>0</v>
      </c>
      <c r="D2" s="5">
        <f>SUM(D4:D86)</f>
        <v>0</v>
      </c>
      <c r="E2" s="5">
        <f>C2-D2</f>
        <v>0</v>
      </c>
      <c r="F2" s="6">
        <f>IFERROR(E2/D2, 0)</f>
        <v>0</v>
      </c>
      <c r="G2" s="5">
        <f>SUM(G4:G86)</f>
        <v>0</v>
      </c>
      <c r="H2" s="7">
        <f>C2-G2</f>
        <v>0</v>
      </c>
      <c r="I2" s="6">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4" t="s">
        <v>5</v>
      </c>
      <c r="D3" s="36" t="s">
        <v>6</v>
      </c>
      <c r="E3" s="36" t="s">
        <v>7</v>
      </c>
      <c r="F3" s="37" t="s">
        <v>8</v>
      </c>
      <c r="G3" s="38" t="s">
        <v>9</v>
      </c>
      <c r="H3" s="39" t="s">
        <v>7</v>
      </c>
      <c r="I3" s="40" t="s">
        <v>8</v>
      </c>
      <c r="J3" s="26" t="s">
        <v>20</v>
      </c>
      <c r="K3" s="26" t="s">
        <v>21</v>
      </c>
    </row>
    <row r="4" spans="1:11" ht="15.6">
      <c r="A4" s="33" t="str" cm="1">
        <f t="array" ref="A4:A14">Sites[Site]</f>
        <v>AZ: ASU - Pardee - Discovery Hall</v>
      </c>
      <c r="B4" s="30" t="str" cm="1">
        <f t="array" ref="B4:B14">Sites[State]</f>
        <v>AZ</v>
      </c>
      <c r="C4" s="25"/>
      <c r="D4" s="13"/>
      <c r="E4" s="13" t="str">
        <f>IF(AND(ISNUMBER(C4),ISNUMBER(D4)), C4-D4, "")</f>
        <v/>
      </c>
      <c r="F4" s="14" t="str">
        <f>IFERROR(E4/D4, "")</f>
        <v/>
      </c>
      <c r="G4" s="15"/>
      <c r="H4" s="15" t="str">
        <f>IF(AND(ISNUMBER(C4),ISNUMBER(G4)), C4-G4, "")</f>
        <v/>
      </c>
      <c r="I4" s="16" t="str">
        <f>IFERROR(H4/G4, "")</f>
        <v/>
      </c>
      <c r="J4" s="17"/>
      <c r="K4" s="17"/>
    </row>
    <row r="5" spans="1:11" s="53" customFormat="1" ht="21" customHeight="1">
      <c r="A5" s="31" t="str">
        <v>AZ: ASU - Pardee - Farrington</v>
      </c>
      <c r="B5" s="32" t="str">
        <v>AZ</v>
      </c>
      <c r="C5" s="11"/>
      <c r="D5" s="19"/>
      <c r="E5" s="19" t="str">
        <f t="shared" ref="E5:E14" si="0">IF(AND(ISNUMBER(C5),ISNUMBER(D5)), C5-D5, "")</f>
        <v/>
      </c>
      <c r="F5" s="20" t="str">
        <f>IFERROR(E5/D5, "")</f>
        <v/>
      </c>
      <c r="G5" s="21"/>
      <c r="H5" s="21" t="str">
        <f t="shared" ref="H5:H14" si="1">IF(AND(ISNUMBER(C5),ISNUMBER(G5)), C5-G5, "")</f>
        <v/>
      </c>
      <c r="I5" s="20" t="str">
        <f t="shared" ref="I5:I14" si="2">IFERROR(H5/G5, "")</f>
        <v/>
      </c>
      <c r="J5" s="46"/>
      <c r="K5" s="42"/>
    </row>
    <row r="6" spans="1:11" ht="15.6">
      <c r="A6" s="29" t="str">
        <v>AZ: ASU - Pardee - Macro Tech.</v>
      </c>
      <c r="B6" s="30" t="str">
        <v>AZ</v>
      </c>
      <c r="C6" s="25"/>
      <c r="D6" s="13"/>
      <c r="E6" s="13" t="str">
        <f t="shared" si="0"/>
        <v/>
      </c>
      <c r="F6" s="14" t="str">
        <f t="shared" ref="F6:F14" si="3">IFERROR(E6/D6, "")</f>
        <v/>
      </c>
      <c r="G6" s="15"/>
      <c r="H6" s="15" t="str">
        <f t="shared" si="1"/>
        <v/>
      </c>
      <c r="I6" s="16" t="str">
        <f t="shared" si="2"/>
        <v/>
      </c>
      <c r="J6" s="17"/>
      <c r="K6" s="17"/>
    </row>
    <row r="7" spans="1:11" ht="15.6">
      <c r="A7" s="31" t="str">
        <v>AZ: ASU - Pardee - McCord Hall</v>
      </c>
      <c r="B7" s="32" t="str">
        <v>AZ</v>
      </c>
      <c r="C7" s="11"/>
      <c r="D7" s="19"/>
      <c r="E7" s="19" t="str">
        <f t="shared" si="0"/>
        <v/>
      </c>
      <c r="F7" s="20" t="str">
        <f t="shared" si="3"/>
        <v/>
      </c>
      <c r="G7" s="21"/>
      <c r="H7" s="21" t="str">
        <f t="shared" si="1"/>
        <v/>
      </c>
      <c r="I7" s="20" t="str">
        <f t="shared" si="2"/>
        <v/>
      </c>
      <c r="J7" s="10"/>
      <c r="K7" s="18"/>
    </row>
    <row r="8" spans="1:11" ht="15.6">
      <c r="A8" s="29" t="str">
        <v>AZ: NAU - SF Garage</v>
      </c>
      <c r="B8" s="30" t="str">
        <v>AZ</v>
      </c>
      <c r="C8" s="25"/>
      <c r="D8" s="13"/>
      <c r="E8" s="13" t="str">
        <f t="shared" si="0"/>
        <v/>
      </c>
      <c r="F8" s="14" t="str">
        <f t="shared" si="3"/>
        <v/>
      </c>
      <c r="G8" s="15"/>
      <c r="H8" s="15" t="str">
        <f t="shared" si="1"/>
        <v/>
      </c>
      <c r="I8" s="16" t="str">
        <f t="shared" si="2"/>
        <v/>
      </c>
      <c r="J8" s="17"/>
      <c r="K8" s="17"/>
    </row>
    <row r="9" spans="1:11" ht="15.6">
      <c r="A9" s="31" t="str">
        <v>AZ: ASU - Pardee - Parking Lot 11</v>
      </c>
      <c r="B9" s="32" t="str">
        <v>AZ</v>
      </c>
      <c r="C9" s="11"/>
      <c r="D9" s="19"/>
      <c r="E9" s="19" t="str">
        <f t="shared" si="0"/>
        <v/>
      </c>
      <c r="F9" s="20" t="str">
        <f t="shared" si="3"/>
        <v/>
      </c>
      <c r="G9" s="21"/>
      <c r="H9" s="21" t="str">
        <f t="shared" si="1"/>
        <v/>
      </c>
      <c r="I9" s="20" t="str">
        <f t="shared" si="2"/>
        <v/>
      </c>
      <c r="J9" s="10"/>
      <c r="K9" s="18"/>
    </row>
    <row r="10" spans="1:11" ht="15.6">
      <c r="A10" s="29" t="str">
        <v>AZ: ASU - Pardee - Parking Lot 19</v>
      </c>
      <c r="B10" s="30" t="str">
        <v>AZ</v>
      </c>
      <c r="C10" s="25"/>
      <c r="D10" s="13"/>
      <c r="E10" s="13" t="str">
        <f t="shared" si="0"/>
        <v/>
      </c>
      <c r="F10" s="14" t="str">
        <f t="shared" si="3"/>
        <v/>
      </c>
      <c r="G10" s="15"/>
      <c r="H10" s="15" t="str">
        <f t="shared" si="1"/>
        <v/>
      </c>
      <c r="I10" s="16" t="str">
        <f t="shared" si="2"/>
        <v/>
      </c>
      <c r="J10" s="17"/>
      <c r="K10" s="17"/>
    </row>
    <row r="11" spans="1:11" ht="15.6">
      <c r="A11" s="31" t="str">
        <v>AZ: ASU - Pardee - Parking Lot 41</v>
      </c>
      <c r="B11" s="32" t="str">
        <v>AZ</v>
      </c>
      <c r="C11" s="11"/>
      <c r="D11" s="19"/>
      <c r="E11" s="19" t="str">
        <f t="shared" si="0"/>
        <v/>
      </c>
      <c r="F11" s="20" t="str">
        <f t="shared" si="3"/>
        <v/>
      </c>
      <c r="G11" s="21"/>
      <c r="H11" s="21" t="str">
        <f t="shared" si="1"/>
        <v/>
      </c>
      <c r="I11" s="20" t="str">
        <f t="shared" si="2"/>
        <v/>
      </c>
      <c r="J11" s="10"/>
      <c r="K11" s="18"/>
    </row>
    <row r="12" spans="1:11" ht="15.6">
      <c r="A12" s="29" t="str">
        <v>AZ: ASU - Pardee - Parking Lot 58</v>
      </c>
      <c r="B12" s="30" t="str">
        <v>AZ</v>
      </c>
      <c r="C12" s="25"/>
      <c r="D12" s="13"/>
      <c r="E12" s="13" t="str">
        <f t="shared" si="0"/>
        <v/>
      </c>
      <c r="F12" s="14" t="str">
        <f t="shared" si="3"/>
        <v/>
      </c>
      <c r="G12" s="15"/>
      <c r="H12" s="15" t="str">
        <f t="shared" si="1"/>
        <v/>
      </c>
      <c r="I12" s="16" t="str">
        <f t="shared" si="2"/>
        <v/>
      </c>
      <c r="J12" s="17"/>
      <c r="K12" s="17"/>
    </row>
    <row r="13" spans="1:11" ht="15.6">
      <c r="A13" s="31" t="str">
        <v>AZ: ASU - Pardee - Parking Lot 59S</v>
      </c>
      <c r="B13" s="32" t="str">
        <v>AZ</v>
      </c>
      <c r="C13" s="11"/>
      <c r="D13" s="19"/>
      <c r="E13" s="19" t="str">
        <f t="shared" si="0"/>
        <v/>
      </c>
      <c r="F13" s="20" t="str">
        <f t="shared" si="3"/>
        <v/>
      </c>
      <c r="G13" s="21"/>
      <c r="H13" s="21" t="str">
        <f t="shared" si="1"/>
        <v/>
      </c>
      <c r="I13" s="20" t="str">
        <f t="shared" si="2"/>
        <v/>
      </c>
      <c r="J13" s="42"/>
      <c r="K13" s="43"/>
    </row>
    <row r="14" spans="1:11" ht="15.6">
      <c r="A14" s="29" t="str">
        <v>AZ: ASU - Pardee - Sun Devil Complex</v>
      </c>
      <c r="B14" s="30" t="str">
        <v>AZ</v>
      </c>
      <c r="C14" s="25"/>
      <c r="D14" s="13"/>
      <c r="E14" s="13" t="str">
        <f t="shared" si="0"/>
        <v/>
      </c>
      <c r="F14" s="14" t="str">
        <f t="shared" si="3"/>
        <v/>
      </c>
      <c r="G14" s="15"/>
      <c r="H14" s="15" t="str">
        <f t="shared" si="1"/>
        <v/>
      </c>
      <c r="I14" s="16" t="str">
        <f t="shared" si="2"/>
        <v/>
      </c>
      <c r="J14" s="17"/>
      <c r="K14" s="17"/>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1" priority="1" stopIfTrue="1" operator="lessThanOrEqual">
      <formula>-0.1</formula>
    </cfRule>
    <cfRule type="expression" dxfId="0" priority="2">
      <formula>AND(ISNUMBER(F2), F2&gt;=0.1)</formula>
    </cfRule>
  </conditionalFormatting>
  <pageMargins left="0.4" right="0.7" top="0.25" bottom="0.25" header="0.3" footer="0.3"/>
  <pageSetup fitToHeight="99"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98A113BB-8B7A-453C-8BD4-8EFC67FC2D3F}"/>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F6B2B1A1-1C4B-4AC9-9A7D-7A102DD1C942}"/>
</file>

<file path=customXml/itemProps6.xml><?xml version="1.0" encoding="utf-8"?>
<ds:datastoreItem xmlns:ds="http://schemas.openxmlformats.org/officeDocument/2006/customXml" ds:itemID="{F12EFA50-0068-4A8C-85A0-F1B26389EBC3}"/>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86A30079-3979-4AE9-BD1D-2DA80179E07B}"/>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2025-07-10T09:40:46Z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2024-10-11T05:01:38Z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43751fc4-43d6-4c3a-9180-162eeaa0d68a</vt:lpwstr>
  </property>
  <property fmtid="{D5CDD505-2E9C-101B-9397-08002B2CF9AE}" pid="9" name="MSIP_Label_9d817c99-0b37-4a07-8277-96aa1f96b74b_ContentBits">
    <vt:lpwstr>0</vt:lpwstr>
  </property>
</Properties>
</file>