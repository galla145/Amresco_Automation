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82674A9-CCF2-4695-AF06-DD7DE4221931}" xr6:coauthVersionLast="47" xr6:coauthVersionMax="47" xr10:uidLastSave="{00000000-0000-0000-0000-000000000000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E2" i="20" l="1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<sst xmlns="http://schemas.openxmlformats.org/spreadsheetml/2006/main" count="254" uniqueCount="68">
  <si>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</si>
  <si>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</si>
  <si>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</si>
  <si>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</si>
  <si>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</si>
  <si>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</si>
  <si>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</si>
  <si>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</si>
  <si>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</si>
  <si>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</si>
  <si>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</si>
  <si>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</si>
  <si>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</si>
  <si>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</si>
  <si>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</si>
  <si>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</si>
  <si>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</si>
  <si>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</si>
  <si>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</si>
  <si>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</si>
  <si>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</si>
  <si>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</si>
  <si>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</si>
  <si>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</si>
  <si>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</si>
  <si>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</si>
  <si>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</si>
  <si>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</si>
  <si>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</si>
  <si>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</si>
  <si>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</si>
  <si>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</si>
  <si>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</si>
  <si>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</si>
  <si>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</si>
  <si>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</si>
  <si>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</si>
  <si>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 Actual v. Expected</t>
  </si>
  <si>
    <t>May Actual v. Forecasted</t>
  </si>
  <si>
    <t xml:space="preserve">1. Inverter 32 started late for the production on 05/04, 05/18, 05/20 and 05/31  due to  "Alarm E34 - Insulation fault". </t>
  </si>
  <si>
    <t>1. SR099174</t>
  </si>
  <si>
    <t>June Actual v. Expected</t>
  </si>
  <si>
    <t>June Actual v. Forecasted</t>
  </si>
  <si>
    <t>1.Inverter 32 started late for the production on 06/06 , 06/07 , 06/10 ,06/18 , 06/29
2. Inverter 20 was tripped offline multiple days</t>
  </si>
  <si>
    <t>1. SR099174
2.	SR103744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</si>
  <si>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</si>
  <si>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</si>
  <si>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</si>
  <si>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</si>
  <si>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</si>
  <si>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</si>
  <si>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</si>
  <si>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</si>
  <si>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</si>
  <si>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</si>
  <si>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</si>
  <si>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</si>
  <si>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</si>
  <si>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</si>
  <si>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</si>
  <si>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</si>
  <si>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</si>
  <si>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</si>
  <si>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</si>
  <si>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</si>
  <si>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</si>
  <si>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</si>
  <si>
    <t>SR103744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</si>
</sst>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5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J11" sqref="J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SUM(C4:C60)</f>
        <v>3624016</v>
      </c>
      <c r="D2" s="6">
        <f>SUM(D4:D60)</f>
        <v>4303252.9509999994</v>
      </c>
      <c r="E2" s="6">
        <f>C2-D2</f>
        <v>-679236.95099999942</v>
      </c>
      <c r="F2" s="7">
        <f>IFERROR(E2/D2, 0)</f>
        <v>-0.15784267360861434</v>
      </c>
      <c r="G2" s="6">
        <f>SUM(G4:G60)</f>
        <v>4051019.83</v>
      </c>
      <c r="H2" s="8">
        <f>C2-G2</f>
        <v>-427003.83000000007</v>
      </c>
      <c r="I2" s="7">
        <f>IFERROR(H2/G2, 0)</f>
        <v>-0.10540650204617737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3624016</v>
      </c>
      <c r="D4" s="14">
        <f>SUM('1st Qtr'!D4, '2nd Qtr'!D4, '3rd Qtr'!D4, '4th Qtr'!D4)</f>
        <v>4303252.9509999994</v>
      </c>
      <c r="E4" s="14">
        <f>IF(AND(ISNUMBER(C4),ISNUMBER(D4)), C4-D4, "")</f>
        <v>-679236.95099999942</v>
      </c>
      <c r="F4" s="15">
        <f>IFERROR(E4/D4, "")</f>
        <v>-0.15784267360861434</v>
      </c>
      <c r="G4" s="16">
        <f>SUM('1st Qtr'!G4,'2nd Qtr'!G4,'3rd Qtr'!G4,'4th Qtr'!G4)</f>
        <v>4051019.83</v>
      </c>
      <c r="H4" s="16">
        <f>SUM('1st Qtr'!H4, '2nd Qtr'!H4, '3rd Qtr'!H4, '4th Qtr'!H4)</f>
        <v>-427003.82999999996</v>
      </c>
      <c r="I4" s="17">
        <f>IFERROR(H4/G4, "")</f>
        <v>-0.10540650204617734</v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H4" sqref="H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H4" sqref="H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I2" sqref="I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G25" sqref="G25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 x14ac:dyDescent="0.3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activeCell="G25" sqref="G25"/>
      <selection pane="bottomLeft" activeCell="H12" sqref="H12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83.5546875" customWidth="1"/>
    <col min="11" max="11" width="20.5546875" bestFit="1" customWidth="1"/>
  </cols>
  <sheetData>
    <row r="1" spans="1:12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24</v>
      </c>
      <c r="E1" s="48"/>
      <c r="F1" s="48"/>
      <c r="G1" s="46" t="s">
        <v>25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.6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activeCell="G25" sqref="G25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7.25" customHeight="1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zoomScale="70" zoomScaleNormal="70" workbookViewId="0">
      <pane ySplit="2" topLeftCell="A3" activePane="bottomLeft" state="frozen"/>
      <selection activeCell="G25" sqref="G25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33</v>
      </c>
      <c r="E1" s="48"/>
      <c r="F1" s="48"/>
      <c r="G1" s="46" t="s">
        <v>34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3.5" customHeight="1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35</v>
      </c>
      <c r="K4" s="43" t="s">
        <v>36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3" activePane="bottomLeft" state="frozen"/>
      <selection activeCell="G25" sqref="G25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80.44140625" customWidth="1"/>
    <col min="11" max="11" width="20.5546875" bestFit="1" customWidth="1"/>
    <col min="12" max="15" width="8.88671875" style="50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8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39</v>
      </c>
      <c r="K4" s="43" t="s">
        <v>40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activeCell="G25" sqref="G25"/>
      <selection pane="bottomLeft" activeCell="L1" sqref="L1:L104857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50"/>
  </cols>
  <sheetData>
    <row r="1" spans="1:12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63.75" customHeight="1" x14ac:dyDescent="0.3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43</v>
      </c>
      <c r="K4" s="43" t="s">
        <v>44</v>
      </c>
      <c r="L4" s="51" t="s">
        <v>67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G25" sqref="G25"/>
      <selection pane="bottomLeft" activeCell="G25" sqref="G2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 x14ac:dyDescent="0.3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activeCell="G25" sqref="G25"/>
      <selection pane="bottomLeft" activeCell="G25" sqref="G2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G25" sqref="G25"/>
      <selection pane="bottomLeft" activeCell="G25" sqref="G2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 x14ac:dyDescent="0.3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G25" sqref="G25"/>
      <selection pane="bottomLeft" activeCell="G25" sqref="G2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G25" sqref="G25"/>
      <selection pane="bottomLeft" activeCell="G25" sqref="G2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53</v>
      </c>
      <c r="E1" s="48"/>
      <c r="F1" s="48"/>
      <c r="G1" s="46" t="s">
        <v>54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 x14ac:dyDescent="0.2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J4" activeCellId="3" sqref="B25 C4:D4 G4 J4:K4"/>
      <selection pane="bottomLeft" activeCell="G25" sqref="G25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Walden Renewables Dev't LLC</v>
      </c>
      <c r="B1" s="47"/>
      <c r="C1" s="47"/>
      <c r="D1" s="48" t="s">
        <v>55</v>
      </c>
      <c r="E1" s="48"/>
      <c r="F1" s="48"/>
      <c r="G1" s="46" t="s">
        <v>56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 x14ac:dyDescent="0.3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F20" sqref="F20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57</v>
      </c>
      <c r="B1" t="s">
        <v>58</v>
      </c>
    </row>
    <row r="3" spans="1:7" ht="13.2" x14ac:dyDescent="0.2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7" ht="14.4" x14ac:dyDescent="0.3">
      <c r="A4" t="s">
        <v>62</v>
      </c>
      <c r="B4" t="s">
        <v>63</v>
      </c>
      <c r="C4" s="4" t="s">
        <v>64</v>
      </c>
      <c r="D4" t="s">
        <v>65</v>
      </c>
      <c r="E4" t="s">
        <v>66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84F1B64F-96FE-439A-9808-7B3DD7715F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4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5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8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9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2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2025-07-10T08:27:16Z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