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790A63D0-559C-4183-9CE4-D2681097F8E5}" xr6:coauthVersionLast="47" xr6:coauthVersionMax="47" xr10:uidLastSave="{1075A56B-19F5-4C70-AB6B-47212D47018E}"/>
  <bookViews>
    <workbookView xWindow="-108" yWindow="-108" windowWidth="23256" windowHeight="12456" tabRatio="866" firstSheet="5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5" i="34" l="1"/>
  <c r="E5" i="18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5" i="1" l="1"/>
  <c r="H5" i="34"/>
  <c r="I5" i="34" s="1"/>
  <c r="E4" i="34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<sst xmlns="http://schemas.openxmlformats.org/spreadsheetml/2006/main" count="292" uniqueCount="75">
  <si>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</si>
  <si>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</si>
  <si>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</si>
  <si>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</si>
  <si>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</si>
  <si>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</si>
  <si>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</si>
  <si>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</si>
  <si>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</si>
  <si>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</si>
  <si>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</si>
  <si>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</si>
  <si>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</si>
  <si>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</si>
  <si>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</si>
  <si>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</si>
  <si>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</si>
  <si>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</si>
  <si>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</si>
  <si>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</si>
  <si>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</si>
  <si>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</si>
  <si>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</si>
  <si>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1 is derating at 50KW approximetly 175KW down due to an fan issue since 07/22/24.</t>
  </si>
  <si>
    <t>1. SR087933</t>
  </si>
  <si>
    <t>February Actual v. Expected</t>
  </si>
  <si>
    <t>February Actual v. Forecasted</t>
  </si>
  <si>
    <t>1.Inverters 2,3 were offline from 02/09 and back online on 02/13.</t>
  </si>
  <si>
    <t>1.SR096625</t>
  </si>
  <si>
    <t>1. Inverter 1 is derating at 50KW approximetly 175KW down due to an fan issue since 07/22/24</t>
  </si>
  <si>
    <t>March Actual v. Expected</t>
  </si>
  <si>
    <t>March Actual v. Forecasted</t>
  </si>
  <si>
    <t>1.Inverter 2 tripped offline at 13:10 on 03/07 and back online on 03/08.</t>
  </si>
  <si>
    <t>1.SR098289</t>
  </si>
  <si>
    <t>April Actual v. Expected</t>
  </si>
  <si>
    <t>April Actual v. Forecasted</t>
  </si>
  <si>
    <t>1 Inverter 1 is derating at 50KW approximetly 175KW down due to an fan issue since 07/22/24</t>
  </si>
  <si>
    <t>1.SR087933</t>
  </si>
  <si>
    <t>May Actual v. Expected</t>
  </si>
  <si>
    <t>May Actual v. Forecasted</t>
  </si>
  <si>
    <t>1.Inverter 2 tripped offline at 15:45 on 05/16 and back online on 05/17
2.Inverter 1 was offline from 05/23 and remained offline for rest of the month</t>
  </si>
  <si>
    <t>1.SR101608
2.SR101880</t>
  </si>
  <si>
    <t>SR101880</t>
  </si>
  <si>
    <t>1.Inverter 1 is derating at 50KW approximetly 175KW down due to an fan issue since 07/22/24</t>
  </si>
  <si>
    <t>June Actual v. Expected</t>
  </si>
  <si>
    <t>June Actual v. Forecasted</t>
  </si>
  <si>
    <t>1. Inverter 1 was offline from 05/23 and came back online at 11:45 on 06/18.</t>
  </si>
  <si>
    <t>1. SR101880</t>
  </si>
  <si>
    <t>1.Inverter 1 is derating at 50KW approximetly 175KW down due to an fan issue since 06/22/24
2. Inverter 1 tripped offline at 14:30 on 06/07 and came back online at 19:05 on the same day.
3. The site was offline from 05:00 to 12:00 on 06/25.</t>
  </si>
  <si>
    <t>1. SR087933
2. SR102652
3. SR103516</t>
  </si>
  <si>
    <t>SR102652</t>
  </si>
  <si>
    <t>SR103516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</si>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</sst>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3" fontId="29" fillId="4" borderId="0" xfId="1" applyNumberFormat="1" applyFont="1" applyFill="1" applyBorder="1" applyAlignment="1">
      <alignment horizontal="right" vertical="center"/>
    </xf>
    <xf numFmtId="3" fontId="29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49" fontId="35" fillId="0" borderId="0" xfId="45" applyNumberFormat="1" applyAlignment="1">
      <alignment vertical="center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49" fontId="35" fillId="0" borderId="0" xfId="45" applyNumberFormat="1" applyAlignment="1">
      <alignment vertical="top" wrapText="1"/>
    </xf>
    <xf numFmtId="49" fontId="35" fillId="38" borderId="0" xfId="45" applyNumberFormat="1" applyFill="1" applyBorder="1" applyAlignment="1">
      <alignment horizontal="left" vertical="top" wrapText="1"/>
    </xf>
    <xf numFmtId="49" fontId="35" fillId="0" borderId="0" xfId="45" applyNumberFormat="1" applyAlignment="1">
      <alignment horizontal="left" vertical="center" wrapText="1"/>
    </xf>
    <xf numFmtId="49" fontId="35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8793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6625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09828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8793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7933" TargetMode="External"/><Relationship Id="rId2" Type="http://schemas.openxmlformats.org/officeDocument/2006/relationships/hyperlink" Target="https://us3.assetplanner.com/service_request?ID=101880" TargetMode="External"/><Relationship Id="rId1" Type="http://schemas.openxmlformats.org/officeDocument/2006/relationships/hyperlink" Target="https://us3.assetplanner.com/service_request?ID=101608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652" TargetMode="External"/><Relationship Id="rId2" Type="http://schemas.openxmlformats.org/officeDocument/2006/relationships/hyperlink" Target="https://us3.assetplanner.com/service_request?ID=087933" TargetMode="External"/><Relationship Id="rId1" Type="http://schemas.openxmlformats.org/officeDocument/2006/relationships/hyperlink" Target="https://us3.assetplanner.com/service_request?ID=101880" TargetMode="External"/><Relationship Id="rId4" Type="http://schemas.openxmlformats.org/officeDocument/2006/relationships/hyperlink" Target="https://us3.assetplanner.com/service_request?ID=1035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D12" sqref="D12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Walden Liberty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SUM(C4:C77)</f>
        <v>450663</v>
      </c>
      <c r="D2" s="5">
        <f>SUM(D4:D77)</f>
        <v>0</v>
      </c>
      <c r="E2" s="5">
        <f>C2-D2</f>
        <v>450663</v>
      </c>
      <c r="F2" s="6">
        <f>IFERROR(E2/D2, 0)</f>
        <v>0</v>
      </c>
      <c r="G2" s="5">
        <f>SUM(G4:G77)</f>
        <v>0</v>
      </c>
      <c r="H2" s="7">
        <f>C2-G2</f>
        <v>450663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375209</v>
      </c>
      <c r="D4" s="12">
        <f>SUM('1st Qtr'!D4, '2nd Qtr'!D4, '3rd Qtr'!D4, '4th Qtr'!D4)</f>
        <v>0</v>
      </c>
      <c r="E4" s="12">
        <f>IF(AND(ISNUMBER(C4),ISNUMBER(D4)), C4-D4, "")</f>
        <v>375209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46" t="str">
        <v>Walden Liberty</v>
      </c>
      <c r="B5" s="28" t="str">
        <v>MA</v>
      </c>
      <c r="C5" s="19">
        <f>SUM('1st Qtr'!C5, '2nd Qtr'!C5, '3rd Qtr'!C5, '4th Qtr'!C5)</f>
        <v>75454</v>
      </c>
      <c r="D5" s="17">
        <f>SUM(Jan!D5, Feb!D5, Mar!D5)</f>
        <v>0</v>
      </c>
      <c r="E5" s="17">
        <f t="shared" ref="E5" si="0">IF(AND(ISNUMBER(C5),ISNUMBER(D5)), C5-D5, "")</f>
        <v>75454</v>
      </c>
      <c r="F5" s="18" t="str">
        <f>IFERROR(E5/D5, "")</f>
        <v/>
      </c>
      <c r="G5" s="19">
        <f>SUM('1st Qtr'!G5, '2nd Qtr'!G5, '3rd Qtr'!G5, '4th Qtr'!G5)</f>
        <v>0</v>
      </c>
      <c r="H5" s="19">
        <f>SUM('1st Qtr'!H5, '2nd Qtr'!H5, '3rd Qtr'!H5, '4th Qtr'!H5)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Walden Liberty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SUM(C4:C77)</f>
        <v>211356</v>
      </c>
      <c r="D2" s="5">
        <f>SUM(D4:D77)</f>
        <v>0</v>
      </c>
      <c r="E2" s="5">
        <f>C2-D2</f>
        <v>211356</v>
      </c>
      <c r="F2" s="6">
        <f>IFERROR(E2/D2, 0)</f>
        <v>0</v>
      </c>
      <c r="G2" s="5">
        <f>SUM(G4:G77)</f>
        <v>0</v>
      </c>
      <c r="H2" s="7">
        <f>C2-G2</f>
        <v>211356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185921</v>
      </c>
      <c r="D4" s="12">
        <f>SUM(Jan!D4, Feb!D4, Mar!D4)</f>
        <v>0</v>
      </c>
      <c r="E4" s="12">
        <f>IF(AND(ISNUMBER(C4),ISNUMBER(D4)), C4-D4, "")</f>
        <v>185921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25435</v>
      </c>
      <c r="D5" s="17">
        <f>SUM(Jan!D5, Feb!D5, Mar!D5)</f>
        <v>0</v>
      </c>
      <c r="E5" s="17">
        <f t="shared" ref="E5" si="0">IF(AND(ISNUMBER(C5),ISNUMBER(D5)), C5-D5, "")</f>
        <v>25435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I5" sqref="I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Walden Liberty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SUM(C4:C77)</f>
        <v>239307</v>
      </c>
      <c r="D2" s="5">
        <f>SUM(D4:D77)</f>
        <v>0</v>
      </c>
      <c r="E2" s="5">
        <f>C2-D2</f>
        <v>239307</v>
      </c>
      <c r="F2" s="6">
        <f>IFERROR(E2/D2, 0)</f>
        <v>0</v>
      </c>
      <c r="G2" s="5">
        <f>SUM(G4:G77)</f>
        <v>0</v>
      </c>
      <c r="H2" s="7">
        <f>C2-G2</f>
        <v>239307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189288</v>
      </c>
      <c r="D4" s="12">
        <f>SUM(Apr!D4, May!D4, Jun!D4)</f>
        <v>0</v>
      </c>
      <c r="E4" s="12">
        <f>IF(AND(ISNUMBER(C4),ISNUMBER(D4)), C4-D4, "")</f>
        <v>189288</v>
      </c>
      <c r="F4" s="13" t="str">
        <f>IFERROR(E4/D4, "")</f>
        <v/>
      </c>
      <c r="G4" s="14">
        <f>SUM(Apr!G4, May!G4, 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50019</v>
      </c>
      <c r="D5" s="17">
        <f>SUM(Apr!D5, May!D5, Jun!D5)</f>
        <v>0</v>
      </c>
      <c r="E5" s="17">
        <f t="shared" ref="E5" si="0">IF(AND(ISNUMBER(C5),ISNUMBER(D5)), C5-D5, "")</f>
        <v>50019</v>
      </c>
      <c r="F5" s="18" t="str">
        <f>IFERROR(E5/D5, "")</f>
        <v/>
      </c>
      <c r="G5" s="19">
        <f>SUM(Apr!G5, May!G5, Jun!G5)</f>
        <v>0</v>
      </c>
      <c r="H5" s="19">
        <f>SUM(Apr!H5, May!H5, Jun!H5)</f>
        <v>0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Walden Liberty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0</v>
      </c>
      <c r="D5" s="17">
        <f>SUM(Jul!D5, Aug!D5, Sep!D5)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0" sqref="G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Walden Liberty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80" zoomScaleNormal="80" workbookViewId="0">
      <pane xSplit="2" ySplit="3" topLeftCell="C4" activePane="bottomRight" state="frozen"/>
      <selection pane="bottomRight" activeCell="C4" sqref="C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SUM(C4:C76)</f>
        <v>60390</v>
      </c>
      <c r="D2" s="5">
        <f>SUM(D4:D76)</f>
        <v>0</v>
      </c>
      <c r="E2" s="5">
        <f>C2-D2</f>
        <v>60390</v>
      </c>
      <c r="F2" s="6">
        <f>IFERROR(E2/D2, 0)</f>
        <v>0</v>
      </c>
      <c r="G2" s="5">
        <f>SUM(G4:G76)</f>
        <v>0</v>
      </c>
      <c r="H2" s="7">
        <f>C2-G2</f>
        <v>60390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53680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46" t="str">
        <v>Walden Liberty</v>
      </c>
      <c r="B5" s="29" t="str">
        <v>MA</v>
      </c>
      <c r="C5" s="11">
        <v>6710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23</v>
      </c>
      <c r="K5" s="63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hyperlinks>
    <hyperlink ref="K5" r:id="rId1" display="https://us3.assetplanner.com/service_request?ID=087933" xr:uid="{E57A27F5-2728-4D91-880E-254F4B7558F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zoomScale="80" zoomScaleNormal="80" workbookViewId="0">
      <pane xSplit="2" ySplit="3" topLeftCell="C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25</v>
      </c>
      <c r="E1" s="66"/>
      <c r="F1" s="66"/>
      <c r="G1" s="64" t="s">
        <v>26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63301</v>
      </c>
      <c r="D2" s="5">
        <f>SUM(D4:D77)</f>
        <v>0</v>
      </c>
      <c r="E2" s="5">
        <f>C2-D2</f>
        <v>63301</v>
      </c>
      <c r="F2" s="6">
        <f>IFERROR(E2/D2, 0)</f>
        <v>0</v>
      </c>
      <c r="G2" s="5">
        <f>SUM(G4:G77)</f>
        <v>0</v>
      </c>
      <c r="H2" s="7">
        <f>C2-G2</f>
        <v>63301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58205</v>
      </c>
      <c r="D4" s="12" t="s">
        <v>22</v>
      </c>
      <c r="E4" s="12" t="str">
        <f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27</v>
      </c>
      <c r="K4" s="61" t="s">
        <v>28</v>
      </c>
    </row>
    <row r="5" spans="1:11" ht="28.9">
      <c r="A5" s="46" t="str">
        <v>Walden Liberty</v>
      </c>
      <c r="B5" s="29" t="str">
        <v>MA</v>
      </c>
      <c r="C5" s="11">
        <v>5096</v>
      </c>
      <c r="D5" s="17" t="s">
        <v>22</v>
      </c>
      <c r="E5" s="17" t="str">
        <f t="shared" ref="E5" si="0">IF(AND(ISNUMBER(C5),ISNUMBER(D5)), C5-D5, "")</f>
        <v/>
      </c>
      <c r="F5" s="17" t="str">
        <f t="shared" ref="F5" si="1">IFERROR(E5/D5, "")</f>
        <v/>
      </c>
      <c r="G5" s="55" t="s">
        <v>22</v>
      </c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hyperlinks>
    <hyperlink ref="K4" r:id="rId1" display="https://us3.assetplanner.com/service_request?ID=096625" xr:uid="{241AADA5-E5F2-4B9F-9B9B-52E62081E5F3}"/>
    <hyperlink ref="K5" r:id="rId2" display="https://us3.assetplanner.com/service_request?ID=087933" xr:uid="{F52FBAF5-8123-46D5-9EA6-72AAAFF852E3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zoomScale="90" zoomScaleNormal="90" workbookViewId="0">
      <pane xSplit="2" ySplit="3" topLeftCell="F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30</v>
      </c>
      <c r="E1" s="66"/>
      <c r="F1" s="66"/>
      <c r="G1" s="64" t="s">
        <v>31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87665</v>
      </c>
      <c r="D2" s="5">
        <f>SUM(D4:D77)</f>
        <v>0</v>
      </c>
      <c r="E2" s="5">
        <f>C2-D2</f>
        <v>87665</v>
      </c>
      <c r="F2" s="6">
        <f>IFERROR(E2/D2, 0)</f>
        <v>0</v>
      </c>
      <c r="G2" s="5">
        <f>SUM(G4:G77)</f>
        <v>0</v>
      </c>
      <c r="H2" s="7">
        <f>C2-G2</f>
        <v>87665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74036</v>
      </c>
      <c r="D4" s="12" t="s">
        <v>22</v>
      </c>
      <c r="E4" s="12" t="str">
        <f t="shared" ref="E4:E5" si="0">IF(AND(ISNUMBER(C4),ISNUMBER(D4)), C4-D4, "")</f>
        <v/>
      </c>
      <c r="F4" s="12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32</v>
      </c>
      <c r="K4" s="61" t="s">
        <v>33</v>
      </c>
    </row>
    <row r="5" spans="1:11" ht="28.9">
      <c r="A5" s="28" t="str">
        <v>Walden Liberty</v>
      </c>
      <c r="B5" s="29" t="str">
        <v>MA</v>
      </c>
      <c r="C5" s="11">
        <v>13629</v>
      </c>
      <c r="D5" s="17" t="s">
        <v>22</v>
      </c>
      <c r="E5" s="17" t="str">
        <f t="shared" si="0"/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29</v>
      </c>
      <c r="K5" s="62" t="s">
        <v>24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hyperlinks>
    <hyperlink ref="K4" r:id="rId1" display="https://us3.assetplanner.com/service_request?ID=098289" xr:uid="{EAD405D5-5031-4B05-B1FD-1ECB1B1B9E47}"/>
    <hyperlink ref="K5" r:id="rId2" display="https://us3.assetplanner.com/service_request?ID=087933" xr:uid="{57579B0F-02E8-4893-B13B-7B76BFD2997A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I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34</v>
      </c>
      <c r="E1" s="66"/>
      <c r="F1" s="66"/>
      <c r="G1" s="64" t="s">
        <v>35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97567</v>
      </c>
      <c r="D2" s="5">
        <f>SUM(D4:D77)</f>
        <v>0</v>
      </c>
      <c r="E2" s="5">
        <f>C2-D2</f>
        <v>97567</v>
      </c>
      <c r="F2" s="6">
        <f>IFERROR(E2/D2, 0)</f>
        <v>0</v>
      </c>
      <c r="G2" s="5">
        <f>SUM(G4:G77)</f>
        <v>0</v>
      </c>
      <c r="H2" s="7">
        <f>C2-G2</f>
        <v>97567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82658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28.9">
      <c r="A5" s="28" t="str">
        <v>Walden Liberty</v>
      </c>
      <c r="B5" s="29" t="str">
        <v>MA</v>
      </c>
      <c r="C5" s="11">
        <v>14909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36</v>
      </c>
      <c r="K5" s="60" t="s">
        <v>37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5" r:id="rId1" display="https://us3.assetplanner.com/service_request?ID=087933" xr:uid="{0E9E5C36-9A0A-4959-83D6-9319984EF8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319"/>
  <sheetViews>
    <sheetView zoomScale="80" zoomScaleNormal="80" workbookViewId="0">
      <pane xSplit="2" ySplit="3" topLeftCell="J4" activePane="bottomRight" state="frozen"/>
      <selection pane="bottomRight" activeCell="K4" sqref="K4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8"/>
  </cols>
  <sheetData>
    <row r="1" spans="1:12" ht="19.5" customHeight="1">
      <c r="A1" s="65" t="str" cm="1">
        <f t="array" ref="A1">portfolio</f>
        <v>Walden Liberty</v>
      </c>
      <c r="B1" s="65"/>
      <c r="C1" s="65"/>
      <c r="D1" s="66" t="s">
        <v>38</v>
      </c>
      <c r="E1" s="66"/>
      <c r="F1" s="66"/>
      <c r="G1" s="64" t="s">
        <v>39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SUM(C4:C77)</f>
        <v>79890</v>
      </c>
      <c r="D2" s="5">
        <f>SUM(D4:D77)</f>
        <v>0</v>
      </c>
      <c r="E2" s="5">
        <f>C2-D2</f>
        <v>79890</v>
      </c>
      <c r="F2" s="6">
        <f>IFERROR(E2/D2, 0)</f>
        <v>0</v>
      </c>
      <c r="G2" s="5">
        <f>SUM(G4:G77)</f>
        <v>0</v>
      </c>
      <c r="H2" s="7">
        <f>C2-G2</f>
        <v>79890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2" ht="28.9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64576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40</v>
      </c>
      <c r="K4" s="56" t="s">
        <v>41</v>
      </c>
      <c r="L4" s="59" t="s">
        <v>42</v>
      </c>
    </row>
    <row r="5" spans="1:12" ht="28.9">
      <c r="A5" s="28" t="str">
        <v>Walden Liberty</v>
      </c>
      <c r="B5" s="29" t="str">
        <v>MA</v>
      </c>
      <c r="C5" s="11">
        <v>15314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43</v>
      </c>
      <c r="K5" s="57" t="s">
        <v>37</v>
      </c>
    </row>
    <row r="6" spans="1:12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2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101608" xr:uid="{62108998-1887-4B8E-8250-C9CA8DBFD958}"/>
    <hyperlink ref="L4" r:id="rId2" display="https://us3.assetplanner.com/service_request?ID=101880" xr:uid="{F2FB57AF-E643-4D13-A2F8-B0DBD8B04639}"/>
    <hyperlink ref="K5" r:id="rId3" display="https://us3.assetplanner.com/service_request?ID=087933" xr:uid="{988E5679-D85E-462A-B77F-D41F6CF6914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19"/>
  <sheetViews>
    <sheetView workbookViewId="0">
      <pane xSplit="2" ySplit="3" topLeftCell="C4" activePane="bottomRight" state="frozen"/>
      <selection pane="bottomRight" activeCell="L1" sqref="L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8"/>
  </cols>
  <sheetData>
    <row r="1" spans="1:13" ht="19.5" customHeight="1">
      <c r="A1" s="65" t="str" cm="1">
        <f t="array" ref="A1">portfolio</f>
        <v>Walden Liberty</v>
      </c>
      <c r="B1" s="65"/>
      <c r="C1" s="65"/>
      <c r="D1" s="66" t="s">
        <v>44</v>
      </c>
      <c r="E1" s="66"/>
      <c r="F1" s="66"/>
      <c r="G1" s="64" t="s">
        <v>45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SUM(C4:C77)</f>
        <v>61850</v>
      </c>
      <c r="D2" s="5">
        <f>SUM(D4:D77)</f>
        <v>0</v>
      </c>
      <c r="E2" s="5">
        <f>C2-D2</f>
        <v>61850</v>
      </c>
      <c r="F2" s="6">
        <f>IFERROR(E2/D2, 0)</f>
        <v>0</v>
      </c>
      <c r="G2" s="5">
        <f>SUM(G4:G77)</f>
        <v>0</v>
      </c>
      <c r="H2" s="7">
        <f>C2-G2</f>
        <v>61850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3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42054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39" t="s">
        <v>46</v>
      </c>
      <c r="K4" s="56" t="s">
        <v>47</v>
      </c>
    </row>
    <row r="5" spans="1:13" ht="72">
      <c r="A5" s="28" t="str">
        <v>Walden Liberty</v>
      </c>
      <c r="B5" s="29" t="str">
        <v>MA</v>
      </c>
      <c r="C5" s="11">
        <v>19796</v>
      </c>
      <c r="D5" s="17" t="s">
        <v>22</v>
      </c>
      <c r="E5" s="17" t="str">
        <f t="shared" ref="E5" si="0">IF(AND(ISNUMBER(C5),ISNUMBER(D5)), C5-D5, "")</f>
        <v/>
      </c>
      <c r="F5" s="18" t="str">
        <f>IFERROR(E5/D5, "")</f>
        <v/>
      </c>
      <c r="G5" s="55" t="s">
        <v>22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 t="s">
        <v>48</v>
      </c>
      <c r="K5" s="57" t="s">
        <v>49</v>
      </c>
      <c r="L5" s="59" t="s">
        <v>50</v>
      </c>
      <c r="M5" s="59" t="s">
        <v>51</v>
      </c>
    </row>
    <row r="6" spans="1:13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3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3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101880" xr:uid="{6148C893-B53A-4E7D-9406-9B59C99E0B59}"/>
    <hyperlink ref="K5" r:id="rId2" display="https://us3.assetplanner.com/service_request?ID=087933" xr:uid="{8FEB37FA-D035-4A14-B016-E46853607BB8}"/>
    <hyperlink ref="L5" r:id="rId3" display="https://us3.assetplanner.com/service_request?ID=102652" xr:uid="{0579E669-BC5A-4C9A-A9D0-320B464B446C}"/>
    <hyperlink ref="M5" r:id="rId4" display="https://us3.assetplanner.com/service_request?ID=103516" xr:uid="{DCFBCB1F-2C31-46F6-A537-87544C0439C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J16" sqref="J16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zoomScale="90" zoomScaleNormal="90" workbookViewId="0">
      <pane xSplit="2" ySplit="3" topLeftCell="E4" activePane="bottomRight" state="frozen"/>
      <selection pane="bottomRight" activeCell="E12" sqref="E12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54</v>
      </c>
      <c r="E1" s="66"/>
      <c r="F1" s="66"/>
      <c r="G1" s="64" t="s">
        <v>55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42.75" customHeight="1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56</v>
      </c>
      <c r="E1" s="66"/>
      <c r="F1" s="66"/>
      <c r="G1" s="64" t="s">
        <v>57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37.5" customHeight="1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1"/>
      <c r="K5" s="51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: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58</v>
      </c>
      <c r="E1" s="66"/>
      <c r="F1" s="66"/>
      <c r="G1" s="64" t="s">
        <v>59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J13" sqref="J1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60</v>
      </c>
      <c r="E1" s="66"/>
      <c r="F1" s="66"/>
      <c r="G1" s="64" t="s">
        <v>61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E11" sqref="E11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Walden Liberty</v>
      </c>
      <c r="B1" s="65"/>
      <c r="C1" s="65"/>
      <c r="D1" s="66" t="s">
        <v>62</v>
      </c>
      <c r="E1" s="66"/>
      <c r="F1" s="66"/>
      <c r="G1" s="64" t="s">
        <v>63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75">
      <c r="A4" s="30" t="str" cm="1">
        <f t="array" ref="A4:A5">Sites[Site]</f>
        <v>CCC College</v>
      </c>
      <c r="B4" s="27" t="str" cm="1">
        <f t="array" ref="B4:B5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52"/>
      <c r="K4" s="52"/>
    </row>
    <row r="5" spans="1:11" ht="15.75">
      <c r="A5" s="28" t="str">
        <v>Walden Liberty</v>
      </c>
      <c r="B5" s="29" t="str">
        <v>MA</v>
      </c>
      <c r="C5" s="11"/>
      <c r="D5" s="17">
        <v>0</v>
      </c>
      <c r="E5" s="17" t="str">
        <f t="shared" ref="E5" si="0">IF(AND(ISNUMBER(C5),ISNUMBER(D5)), C5-D5, "")</f>
        <v/>
      </c>
      <c r="F5" s="18" t="str">
        <f>IFERROR(E5/D5, "")</f>
        <v/>
      </c>
      <c r="G5" s="19">
        <v>0</v>
      </c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53"/>
      <c r="K5" s="53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64</v>
      </c>
      <c r="B1" t="s">
        <v>65</v>
      </c>
    </row>
    <row r="3" spans="1:12" ht="13.15">
      <c r="A3" t="s">
        <v>66</v>
      </c>
      <c r="B3" t="s">
        <v>3</v>
      </c>
      <c r="C3" t="s">
        <v>4</v>
      </c>
      <c r="D3" t="s">
        <v>67</v>
      </c>
      <c r="E3" s="2" t="s">
        <v>68</v>
      </c>
    </row>
    <row r="4" spans="1:12" ht="14.45">
      <c r="A4" s="47" t="s">
        <v>69</v>
      </c>
      <c r="B4" s="47" t="s">
        <v>70</v>
      </c>
      <c r="C4" s="47" t="s">
        <v>71</v>
      </c>
      <c r="D4" s="49" t="s">
        <v>72</v>
      </c>
      <c r="E4" s="47" t="s">
        <v>73</v>
      </c>
      <c r="G4" s="3"/>
    </row>
    <row r="5" spans="1:12" ht="14.45">
      <c r="A5" s="48" t="s">
        <v>74</v>
      </c>
      <c r="B5" s="48" t="s">
        <v>65</v>
      </c>
      <c r="C5" s="48" t="s">
        <v>71</v>
      </c>
      <c r="D5" s="50" t="s">
        <v>72</v>
      </c>
      <c r="E5" s="48" t="s">
        <v>73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D3A7101F-9A85-4235-8B03-415370C100B2}"/>
</file>

<file path=customXml/itemProps3.xml><?xml version="1.0" encoding="utf-8"?>
<ds:datastoreItem xmlns:ds="http://schemas.openxmlformats.org/officeDocument/2006/customXml" ds:itemID="{9F14A1C7-79A4-4F7E-8896-87D85070C4CF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2025-12-11T10:06:30Z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