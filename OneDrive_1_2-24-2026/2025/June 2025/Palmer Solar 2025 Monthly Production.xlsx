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38E9D4A2-5793-46C4-8FBA-4A524FD6CC58}" xr6:coauthVersionLast="47" xr6:coauthVersionMax="47" xr10:uidLastSave="{00000000-0000-0000-0000-000000000000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30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<sst xmlns="http://schemas.openxmlformats.org/spreadsheetml/2006/main" count="261" uniqueCount="63">
  <si>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</si>
  <si>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</si>
  <si>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</si>
  <si>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</si>
  <si>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</si>
  <si>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</si>
  <si>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</si>
  <si>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</si>
  <si>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</si>
  <si>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</si>
  <si>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</si>
  <si>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</si>
  <si>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</si>
  <si>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</si>
  <si>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</si>
  <si>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</si>
  <si>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</si>
  <si>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</si>
  <si>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</si>
  <si>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</si>
  <si>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</si>
  <si>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</si>
  <si>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</si>
  <si>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2 is showing low production on 01/22 and is offline and inverter was back to normal production from 01/26</t>
  </si>
  <si>
    <t>1.SR095926</t>
  </si>
  <si>
    <t>February Actual v. Expected</t>
  </si>
  <si>
    <t>February Actual v. Forecasted</t>
  </si>
  <si>
    <t>1. Inverters are offline on 02/16 and on 02/17 technician found inverters are online, after a powercycle comms are restored.</t>
  </si>
  <si>
    <t>1. SR097163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</si>
  <si>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</si>
  <si>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</si>
  <si>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</si>
  <si>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</si>
  <si>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</si>
  <si>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</si>
  <si>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1.Site was offline from02:55pm on 05/30 to 11:35 am on 05/31
2.Site was offline from 08:50 am on 05/19 to 02:50 pm on 05/19.</t>
  </si>
  <si>
    <t>1.SR102205
2.SR101664</t>
  </si>
  <si>
    <t>June Actual v. Expected</t>
  </si>
  <si>
    <t>June Actual v. Forecasted</t>
  </si>
  <si>
    <t>1. The site went offline at 13:15 on 06/20 and came back online at 12:10 on 06/21.</t>
  </si>
  <si>
    <t>1. SR103236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</si>
  <si>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</si>
  <si>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</si>
  <si>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</si>
  <si>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</si>
  <si>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</si>
  <si>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</si>
  <si>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</si>
  <si>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</si>
  <si>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</si>
  <si>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</si>
  <si>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</si>
  <si>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</si>
  <si>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</si>
  <si>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Palmer - 105 North Street</t>
  </si>
  <si>
    <t>Site DAS Name</t>
  </si>
  <si>
    <t>Update</t>
  </si>
  <si>
    <t>DAS</t>
  </si>
  <si>
    <t>MA - Palmer Solar</t>
  </si>
  <si>
    <t>MA</t>
  </si>
  <si>
    <t>A</t>
  </si>
  <si>
    <t>Solrenview</t>
  </si>
  <si>
    <t>SR101664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</si>
</sst>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5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0" fillId="46" borderId="1" xfId="0" applyFont="1" applyFill="1" applyBorder="1" applyAlignment="1">
      <alignment wrapText="1"/>
    </xf>
    <xf numFmtId="0" fontId="30" fillId="46" borderId="12" xfId="0" applyFont="1" applyFill="1" applyBorder="1" applyAlignment="1">
      <alignment wrapText="1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30" fillId="46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35" fillId="46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92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716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1664" TargetMode="External"/><Relationship Id="rId1" Type="http://schemas.openxmlformats.org/officeDocument/2006/relationships/hyperlink" Target="https://us3.assetplanner.com/service_request?ID=10220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23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H12" sqref="H12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0</v>
      </c>
      <c r="E1" s="57"/>
      <c r="F1" s="57"/>
      <c r="G1" s="55" t="s">
        <v>1</v>
      </c>
      <c r="H1" s="55"/>
      <c r="I1" s="55"/>
    </row>
    <row r="2" spans="1:9" ht="19.5" customHeight="1" x14ac:dyDescent="0.25">
      <c r="A2" s="58" t="s">
        <v>2</v>
      </c>
      <c r="B2" s="58"/>
      <c r="C2" s="5">
        <f>SUM(C4:C79)</f>
        <v>1389372</v>
      </c>
      <c r="D2" s="5">
        <f>SUM(D4:D79)</f>
        <v>0</v>
      </c>
      <c r="E2" s="5">
        <f>C2-D2</f>
        <v>1389372</v>
      </c>
      <c r="F2" s="6">
        <f>IFERROR(E2/D2, 0)</f>
        <v>0</v>
      </c>
      <c r="G2" s="5">
        <f>SUM(G4:G79)</f>
        <v>0</v>
      </c>
      <c r="H2" s="7">
        <f>C2-G2</f>
        <v>1389372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11" t="str" cm="1">
        <f t="array" ref="A4">Sites[Site]</f>
        <v>MA: Palmer - 105 North Street</v>
      </c>
      <c r="B4" s="9" t="str" cm="1">
        <f t="array" ref="B4">Sites[State]</f>
        <v>MA</v>
      </c>
      <c r="C4" s="23">
        <f>SUM('1st Qtr'!C4, '2nd Qtr'!C4, '3rd Qtr'!C4, '4th Qtr'!C4)</f>
        <v>1389372</v>
      </c>
      <c r="D4" s="12">
        <f>SUM('1st Qtr'!D4, '2nd Qtr'!D4, '3rd Qtr'!D4, '4th Qtr'!D4)</f>
        <v>0</v>
      </c>
      <c r="E4" s="12">
        <f>IF(AND(ISNUMBER(C4),ISNUMBER(D4)), C4-D4, "")</f>
        <v>1389372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10</v>
      </c>
      <c r="E1" s="57"/>
      <c r="F1" s="57"/>
      <c r="G1" s="55" t="s">
        <v>11</v>
      </c>
      <c r="H1" s="55"/>
      <c r="I1" s="55"/>
    </row>
    <row r="2" spans="1:9" ht="19.5" customHeight="1" x14ac:dyDescent="0.25">
      <c r="A2" s="58" t="s">
        <v>2</v>
      </c>
      <c r="B2" s="58"/>
      <c r="C2" s="5">
        <f>SUM(C4:C79)</f>
        <v>552922</v>
      </c>
      <c r="D2" s="5">
        <f>SUM(D4:D79)</f>
        <v>0</v>
      </c>
      <c r="E2" s="5">
        <f>C2-D2</f>
        <v>552922</v>
      </c>
      <c r="F2" s="6">
        <f>IFERROR(E2/D2, 0)</f>
        <v>0</v>
      </c>
      <c r="G2" s="5">
        <f>SUM(G4:G79)</f>
        <v>0</v>
      </c>
      <c r="H2" s="7">
        <f>C2-G2</f>
        <v>552922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SUM(Jan!C4, Feb!C4, Mar!C4)</f>
        <v>552922</v>
      </c>
      <c r="D4" s="12">
        <f>SUM(Jan!D4, Feb!D4, Mar!D4)</f>
        <v>0</v>
      </c>
      <c r="E4" s="12">
        <f>IF(AND(ISNUMBER(C4),ISNUMBER(D4)), C4-D4, "")</f>
        <v>552922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" x14ac:dyDescent="0.3">
      <c r="A5" s="20"/>
      <c r="B5" s="1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E13" sqref="E1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12</v>
      </c>
      <c r="E1" s="57"/>
      <c r="F1" s="57"/>
      <c r="G1" s="55" t="s">
        <v>13</v>
      </c>
      <c r="H1" s="55"/>
      <c r="I1" s="55"/>
    </row>
    <row r="2" spans="1:9" ht="19.5" customHeight="1" x14ac:dyDescent="0.25">
      <c r="A2" s="58" t="s">
        <v>2</v>
      </c>
      <c r="B2" s="58"/>
      <c r="C2" s="5">
        <f>SUM(C4:C79)</f>
        <v>836450</v>
      </c>
      <c r="D2" s="5">
        <f>SUM(D4:D79)</f>
        <v>0</v>
      </c>
      <c r="E2" s="5">
        <f>C2-D2</f>
        <v>836450</v>
      </c>
      <c r="F2" s="6">
        <f>IFERROR(E2/D2, 0)</f>
        <v>0</v>
      </c>
      <c r="G2" s="5">
        <f>SUM(G4:G79)</f>
        <v>0</v>
      </c>
      <c r="H2" s="7">
        <f>C2-G2</f>
        <v>836450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SUM(Apr!C4, May!C4, Jun!C4)</f>
        <v>836450</v>
      </c>
      <c r="D4" s="12">
        <f>SUM(Apr!D4, May!D4, Jun!D4)</f>
        <v>0</v>
      </c>
      <c r="E4" s="12">
        <f>IF(AND(ISNUMBER(C4),ISNUMBER(D4)), C4-D4, "")</f>
        <v>836450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8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13.8" x14ac:dyDescent="0.3">
      <c r="A6" s="20"/>
      <c r="B6" s="20"/>
      <c r="C6" s="20"/>
      <c r="D6" s="20"/>
      <c r="E6" s="20"/>
      <c r="F6" s="20"/>
      <c r="G6" s="20"/>
      <c r="H6" s="20"/>
      <c r="I6" s="20"/>
    </row>
    <row r="7" spans="1:9" ht="13.8" x14ac:dyDescent="0.3">
      <c r="A7" s="20"/>
      <c r="B7" s="20"/>
      <c r="C7" s="20"/>
      <c r="D7" s="20"/>
      <c r="E7" s="20"/>
      <c r="F7" s="20"/>
      <c r="G7" s="20"/>
      <c r="H7" s="20"/>
      <c r="I7" s="20"/>
    </row>
    <row r="8" spans="1:9" ht="13.8" x14ac:dyDescent="0.3">
      <c r="A8" s="20"/>
      <c r="B8" s="20"/>
      <c r="C8" s="20"/>
      <c r="D8" s="20"/>
      <c r="E8" s="20"/>
      <c r="F8" s="20"/>
      <c r="G8" s="20"/>
      <c r="H8" s="20"/>
      <c r="I8" s="20"/>
    </row>
    <row r="9" spans="1:9" ht="13.8" x14ac:dyDescent="0.3">
      <c r="A9" s="20"/>
      <c r="B9" s="20"/>
      <c r="C9" s="20"/>
      <c r="D9" s="20"/>
      <c r="E9" s="20"/>
      <c r="F9" s="20"/>
      <c r="G9" s="20"/>
      <c r="H9" s="20"/>
      <c r="I9" s="20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4" sqref="G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14</v>
      </c>
      <c r="E1" s="57"/>
      <c r="F1" s="57"/>
      <c r="G1" s="55" t="s">
        <v>15</v>
      </c>
      <c r="H1" s="55"/>
      <c r="I1" s="55"/>
    </row>
    <row r="2" spans="1:9" ht="19.5" customHeight="1" x14ac:dyDescent="0.25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 x14ac:dyDescent="0.3">
      <c r="A5" s="16"/>
      <c r="B5" s="20"/>
      <c r="C5" s="20"/>
      <c r="D5" s="20"/>
      <c r="E5" s="20"/>
      <c r="F5" s="20"/>
      <c r="G5" s="20"/>
      <c r="H5" s="20"/>
      <c r="I5" s="20"/>
    </row>
    <row r="6" spans="1:9" ht="15.6" x14ac:dyDescent="0.3">
      <c r="A6" s="16"/>
      <c r="B6" s="20"/>
      <c r="C6" s="20"/>
      <c r="D6" s="20"/>
      <c r="E6" s="20"/>
      <c r="F6" s="20"/>
      <c r="G6" s="20"/>
      <c r="H6" s="20"/>
      <c r="I6" s="20"/>
    </row>
    <row r="7" spans="1:9" ht="15.6" x14ac:dyDescent="0.3">
      <c r="A7" s="16"/>
      <c r="B7" s="20"/>
      <c r="C7" s="20"/>
      <c r="D7" s="20"/>
      <c r="E7" s="20"/>
      <c r="F7" s="20"/>
      <c r="G7" s="20"/>
      <c r="H7" s="20"/>
      <c r="I7" s="20"/>
    </row>
    <row r="8" spans="1:9" ht="15.6" x14ac:dyDescent="0.3">
      <c r="A8" s="16"/>
      <c r="B8" s="20"/>
      <c r="C8" s="20"/>
      <c r="D8" s="20"/>
      <c r="E8" s="20"/>
      <c r="F8" s="20"/>
      <c r="G8" s="20"/>
      <c r="H8" s="20"/>
      <c r="I8" s="20"/>
    </row>
    <row r="9" spans="1:9" ht="15.6" x14ac:dyDescent="0.3">
      <c r="A9" s="16"/>
      <c r="B9" s="20"/>
      <c r="C9" s="20"/>
      <c r="D9" s="20"/>
      <c r="E9" s="20"/>
      <c r="F9" s="20"/>
      <c r="G9" s="20"/>
      <c r="H9" s="20"/>
      <c r="I9" s="20"/>
    </row>
    <row r="10" spans="1:9" ht="15.6" x14ac:dyDescent="0.3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F4" activePane="bottomRight" state="frozen"/>
      <selection pane="topRight" activeCell="C14" sqref="C14"/>
      <selection pane="bottomLeft" activeCell="C14" sqref="C14"/>
      <selection pane="bottomRight" activeCell="I12" sqref="I12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16</v>
      </c>
      <c r="E1" s="57"/>
      <c r="F1" s="57"/>
      <c r="G1" s="55" t="s">
        <v>17</v>
      </c>
      <c r="H1" s="55"/>
      <c r="I1" s="55"/>
    </row>
    <row r="2" spans="1:9" ht="19.5" customHeight="1" x14ac:dyDescent="0.25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 x14ac:dyDescent="0.25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 x14ac:dyDescent="0.25">
      <c r="A5" s="16"/>
      <c r="B5" s="10"/>
      <c r="C5" s="40"/>
      <c r="D5" s="17"/>
      <c r="E5" s="17"/>
      <c r="F5" s="18"/>
      <c r="G5" s="19"/>
      <c r="H5" s="19"/>
      <c r="I5" s="18"/>
    </row>
    <row r="6" spans="1:9" ht="14.4" x14ac:dyDescent="0.3">
      <c r="A6" s="20"/>
      <c r="B6" s="10"/>
      <c r="C6" s="40"/>
      <c r="D6" s="17"/>
      <c r="E6" s="17"/>
      <c r="F6" s="18"/>
      <c r="G6" s="19"/>
      <c r="H6" s="19"/>
      <c r="I6" s="18"/>
    </row>
    <row r="7" spans="1:9" ht="14.4" x14ac:dyDescent="0.3">
      <c r="A7" s="20"/>
      <c r="B7" s="10"/>
      <c r="C7" s="40"/>
      <c r="D7" s="17"/>
      <c r="E7" s="17"/>
      <c r="F7" s="18"/>
      <c r="G7" s="19"/>
      <c r="H7" s="19"/>
      <c r="I7" s="18"/>
    </row>
    <row r="8" spans="1:9" ht="14.4" x14ac:dyDescent="0.3">
      <c r="A8" s="20"/>
      <c r="B8" s="10"/>
      <c r="C8" s="40"/>
      <c r="D8" s="17"/>
      <c r="E8" s="17"/>
      <c r="F8" s="18"/>
      <c r="G8" s="19"/>
      <c r="H8" s="19"/>
      <c r="I8" s="18"/>
    </row>
    <row r="9" spans="1:9" ht="14.4" x14ac:dyDescent="0.3">
      <c r="A9" s="20"/>
      <c r="B9" s="10"/>
      <c r="C9" s="40"/>
      <c r="D9" s="17"/>
      <c r="E9" s="17"/>
      <c r="F9" s="18"/>
      <c r="G9" s="19"/>
      <c r="H9" s="19"/>
      <c r="I9" s="18"/>
    </row>
    <row r="10" spans="1:9" ht="13.8" x14ac:dyDescent="0.3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8" x14ac:dyDescent="0.3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8" x14ac:dyDescent="0.3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8" x14ac:dyDescent="0.3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8" x14ac:dyDescent="0.3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8" x14ac:dyDescent="0.3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8" x14ac:dyDescent="0.3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8" x14ac:dyDescent="0.3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8" x14ac:dyDescent="0.3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8" x14ac:dyDescent="0.3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8" x14ac:dyDescent="0.3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8" x14ac:dyDescent="0.3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8" x14ac:dyDescent="0.3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8" x14ac:dyDescent="0.3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8" x14ac:dyDescent="0.3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8" x14ac:dyDescent="0.3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8" x14ac:dyDescent="0.3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8" x14ac:dyDescent="0.3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8" x14ac:dyDescent="0.3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8" x14ac:dyDescent="0.3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8" x14ac:dyDescent="0.3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8" x14ac:dyDescent="0.3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8" x14ac:dyDescent="0.3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8" x14ac:dyDescent="0.3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8" x14ac:dyDescent="0.3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8" x14ac:dyDescent="0.3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8" x14ac:dyDescent="0.3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8" x14ac:dyDescent="0.3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8" x14ac:dyDescent="0.3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8" x14ac:dyDescent="0.3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8" x14ac:dyDescent="0.3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8" x14ac:dyDescent="0.3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8" x14ac:dyDescent="0.3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8" x14ac:dyDescent="0.3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8" x14ac:dyDescent="0.3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8" x14ac:dyDescent="0.3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8" x14ac:dyDescent="0.3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8" x14ac:dyDescent="0.3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8" x14ac:dyDescent="0.3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8" x14ac:dyDescent="0.3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8" x14ac:dyDescent="0.3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8" x14ac:dyDescent="0.3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8" x14ac:dyDescent="0.3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8" x14ac:dyDescent="0.3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8" x14ac:dyDescent="0.3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8" x14ac:dyDescent="0.3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8" x14ac:dyDescent="0.3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8" x14ac:dyDescent="0.3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8" x14ac:dyDescent="0.3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8" x14ac:dyDescent="0.3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8" x14ac:dyDescent="0.3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8" x14ac:dyDescent="0.3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8" x14ac:dyDescent="0.3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8" x14ac:dyDescent="0.3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8" x14ac:dyDescent="0.3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8" x14ac:dyDescent="0.3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8" x14ac:dyDescent="0.3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8" x14ac:dyDescent="0.3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8" x14ac:dyDescent="0.3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8" x14ac:dyDescent="0.3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8" x14ac:dyDescent="0.3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8" x14ac:dyDescent="0.3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8" x14ac:dyDescent="0.3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8" x14ac:dyDescent="0.3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8" x14ac:dyDescent="0.3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8" x14ac:dyDescent="0.3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8" x14ac:dyDescent="0.3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8" x14ac:dyDescent="0.3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8" x14ac:dyDescent="0.3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8" x14ac:dyDescent="0.3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8" x14ac:dyDescent="0.3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8" x14ac:dyDescent="0.3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8" x14ac:dyDescent="0.3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8" x14ac:dyDescent="0.3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8" x14ac:dyDescent="0.3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8" x14ac:dyDescent="0.3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8" x14ac:dyDescent="0.3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8" x14ac:dyDescent="0.3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8" x14ac:dyDescent="0.3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8" x14ac:dyDescent="0.3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8" x14ac:dyDescent="0.3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8" x14ac:dyDescent="0.3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8" x14ac:dyDescent="0.3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8" x14ac:dyDescent="0.3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8" x14ac:dyDescent="0.3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8" x14ac:dyDescent="0.3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8" x14ac:dyDescent="0.3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8" x14ac:dyDescent="0.3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8" x14ac:dyDescent="0.3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8" x14ac:dyDescent="0.3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8" x14ac:dyDescent="0.3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8" x14ac:dyDescent="0.3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8" x14ac:dyDescent="0.3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8" x14ac:dyDescent="0.3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8" x14ac:dyDescent="0.3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8" x14ac:dyDescent="0.3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8" x14ac:dyDescent="0.3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8" x14ac:dyDescent="0.3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8" x14ac:dyDescent="0.3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8" x14ac:dyDescent="0.3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8" x14ac:dyDescent="0.3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8" x14ac:dyDescent="0.3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8" x14ac:dyDescent="0.3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8" x14ac:dyDescent="0.3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8" x14ac:dyDescent="0.3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8" x14ac:dyDescent="0.3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8" x14ac:dyDescent="0.3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8" x14ac:dyDescent="0.3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8" x14ac:dyDescent="0.3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8" x14ac:dyDescent="0.3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8" x14ac:dyDescent="0.3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8" x14ac:dyDescent="0.3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8" x14ac:dyDescent="0.3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8" x14ac:dyDescent="0.3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8" x14ac:dyDescent="0.3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8" x14ac:dyDescent="0.3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8" x14ac:dyDescent="0.3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8" x14ac:dyDescent="0.3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8" x14ac:dyDescent="0.3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8" x14ac:dyDescent="0.3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8" x14ac:dyDescent="0.3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8" x14ac:dyDescent="0.3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8" x14ac:dyDescent="0.3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8" x14ac:dyDescent="0.3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8" x14ac:dyDescent="0.3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8" x14ac:dyDescent="0.3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8" x14ac:dyDescent="0.3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8" x14ac:dyDescent="0.3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8" x14ac:dyDescent="0.3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8" x14ac:dyDescent="0.3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8" x14ac:dyDescent="0.3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8" x14ac:dyDescent="0.3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8" x14ac:dyDescent="0.3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8" x14ac:dyDescent="0.3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8" x14ac:dyDescent="0.3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8" x14ac:dyDescent="0.3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8" x14ac:dyDescent="0.3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8" x14ac:dyDescent="0.3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8" x14ac:dyDescent="0.3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8" x14ac:dyDescent="0.3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8" x14ac:dyDescent="0.3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8" x14ac:dyDescent="0.3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8" x14ac:dyDescent="0.3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8" x14ac:dyDescent="0.3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8" x14ac:dyDescent="0.3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8" x14ac:dyDescent="0.3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8" x14ac:dyDescent="0.3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8" x14ac:dyDescent="0.3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8" x14ac:dyDescent="0.3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8" x14ac:dyDescent="0.3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8" x14ac:dyDescent="0.3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8" x14ac:dyDescent="0.3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8" x14ac:dyDescent="0.3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8" x14ac:dyDescent="0.3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8" x14ac:dyDescent="0.3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8" x14ac:dyDescent="0.3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8" x14ac:dyDescent="0.3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8" x14ac:dyDescent="0.3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8" x14ac:dyDescent="0.3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8" x14ac:dyDescent="0.3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8" x14ac:dyDescent="0.3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8" x14ac:dyDescent="0.3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8" x14ac:dyDescent="0.3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8" x14ac:dyDescent="0.3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8" x14ac:dyDescent="0.3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8" x14ac:dyDescent="0.3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8" x14ac:dyDescent="0.3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8" x14ac:dyDescent="0.3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8" x14ac:dyDescent="0.3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8" x14ac:dyDescent="0.3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8" x14ac:dyDescent="0.3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8" x14ac:dyDescent="0.3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8" x14ac:dyDescent="0.3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8" x14ac:dyDescent="0.3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8" x14ac:dyDescent="0.3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8" x14ac:dyDescent="0.3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8" x14ac:dyDescent="0.3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8" x14ac:dyDescent="0.3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8" x14ac:dyDescent="0.3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8" x14ac:dyDescent="0.3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8" x14ac:dyDescent="0.3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8" x14ac:dyDescent="0.3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8" x14ac:dyDescent="0.3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8" x14ac:dyDescent="0.3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8" x14ac:dyDescent="0.3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8" x14ac:dyDescent="0.3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8" x14ac:dyDescent="0.3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8" x14ac:dyDescent="0.3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8" x14ac:dyDescent="0.3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8" x14ac:dyDescent="0.3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8" x14ac:dyDescent="0.3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8" x14ac:dyDescent="0.3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8" x14ac:dyDescent="0.3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8" x14ac:dyDescent="0.3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8" x14ac:dyDescent="0.3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8" x14ac:dyDescent="0.3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8" x14ac:dyDescent="0.3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8" x14ac:dyDescent="0.3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8" x14ac:dyDescent="0.3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8" x14ac:dyDescent="0.3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8" x14ac:dyDescent="0.3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8" x14ac:dyDescent="0.3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8" x14ac:dyDescent="0.3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8" x14ac:dyDescent="0.3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8" x14ac:dyDescent="0.3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8" x14ac:dyDescent="0.3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8" x14ac:dyDescent="0.3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8" x14ac:dyDescent="0.3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8" x14ac:dyDescent="0.3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8" x14ac:dyDescent="0.3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8" x14ac:dyDescent="0.3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8" x14ac:dyDescent="0.3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8" x14ac:dyDescent="0.3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8" x14ac:dyDescent="0.3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8" x14ac:dyDescent="0.3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8" x14ac:dyDescent="0.3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8" x14ac:dyDescent="0.3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8" x14ac:dyDescent="0.3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8" x14ac:dyDescent="0.3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8" x14ac:dyDescent="0.3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8" x14ac:dyDescent="0.3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8" x14ac:dyDescent="0.3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8" x14ac:dyDescent="0.3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8" x14ac:dyDescent="0.3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8" x14ac:dyDescent="0.3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8" x14ac:dyDescent="0.3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8" x14ac:dyDescent="0.3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8" x14ac:dyDescent="0.3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8" x14ac:dyDescent="0.3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8" x14ac:dyDescent="0.3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8" x14ac:dyDescent="0.3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8" x14ac:dyDescent="0.3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8" x14ac:dyDescent="0.3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8" x14ac:dyDescent="0.3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8" x14ac:dyDescent="0.3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8" x14ac:dyDescent="0.3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8" x14ac:dyDescent="0.3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8" x14ac:dyDescent="0.3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8" x14ac:dyDescent="0.3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8" x14ac:dyDescent="0.3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8" x14ac:dyDescent="0.3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8" x14ac:dyDescent="0.3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8" x14ac:dyDescent="0.3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8" x14ac:dyDescent="0.3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8" x14ac:dyDescent="0.3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8" x14ac:dyDescent="0.3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8" x14ac:dyDescent="0.3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8" x14ac:dyDescent="0.3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8" x14ac:dyDescent="0.3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8" x14ac:dyDescent="0.3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8" x14ac:dyDescent="0.3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8" x14ac:dyDescent="0.3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8" x14ac:dyDescent="0.3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8" x14ac:dyDescent="0.3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8" x14ac:dyDescent="0.3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8" x14ac:dyDescent="0.3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8" x14ac:dyDescent="0.3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8" x14ac:dyDescent="0.3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8" x14ac:dyDescent="0.3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8" x14ac:dyDescent="0.3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8" x14ac:dyDescent="0.3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8" x14ac:dyDescent="0.3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8" x14ac:dyDescent="0.3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8" x14ac:dyDescent="0.3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8" x14ac:dyDescent="0.3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8" x14ac:dyDescent="0.3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8" x14ac:dyDescent="0.3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8" x14ac:dyDescent="0.3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8" x14ac:dyDescent="0.3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8" x14ac:dyDescent="0.3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8" x14ac:dyDescent="0.3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8" x14ac:dyDescent="0.3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8" x14ac:dyDescent="0.3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8" x14ac:dyDescent="0.3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8" x14ac:dyDescent="0.3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8" x14ac:dyDescent="0.3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8" x14ac:dyDescent="0.3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8" x14ac:dyDescent="0.3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8" x14ac:dyDescent="0.3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8" x14ac:dyDescent="0.3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8" x14ac:dyDescent="0.3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8" x14ac:dyDescent="0.3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8" x14ac:dyDescent="0.3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8" x14ac:dyDescent="0.3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8" x14ac:dyDescent="0.3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8" x14ac:dyDescent="0.3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8" x14ac:dyDescent="0.3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8" x14ac:dyDescent="0.3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8" x14ac:dyDescent="0.3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8" x14ac:dyDescent="0.3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8" x14ac:dyDescent="0.3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8" x14ac:dyDescent="0.3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8" x14ac:dyDescent="0.3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8" x14ac:dyDescent="0.3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8" x14ac:dyDescent="0.3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8" x14ac:dyDescent="0.3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8" x14ac:dyDescent="0.3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8" x14ac:dyDescent="0.3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8" x14ac:dyDescent="0.3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8" x14ac:dyDescent="0.3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8" x14ac:dyDescent="0.3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8" x14ac:dyDescent="0.3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8" x14ac:dyDescent="0.3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8" x14ac:dyDescent="0.3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8" x14ac:dyDescent="0.3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8" x14ac:dyDescent="0.3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8" x14ac:dyDescent="0.3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8" x14ac:dyDescent="0.3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8" x14ac:dyDescent="0.3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8" x14ac:dyDescent="0.3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8" x14ac:dyDescent="0.3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8" x14ac:dyDescent="0.3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A4" sqref="A4:XFD4"/>
      <selection pane="bottomLeft" activeCell="A4" sqref="A4:XFD4"/>
      <selection pane="bottomRight" activeCell="J9" sqref="J9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18</v>
      </c>
      <c r="E1" s="57"/>
      <c r="F1" s="57"/>
      <c r="G1" s="55" t="s">
        <v>19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SUM(C4:C78)</f>
        <v>143914</v>
      </c>
      <c r="D2" s="5">
        <f>SUM(D4:D78)</f>
        <v>0</v>
      </c>
      <c r="E2" s="5">
        <f>C2-D2</f>
        <v>143914</v>
      </c>
      <c r="F2" s="6">
        <f>IFERROR(E2/D2, 0)</f>
        <v>0</v>
      </c>
      <c r="G2" s="5">
        <f>SUM(G4:G78)</f>
        <v>0</v>
      </c>
      <c r="H2" s="7">
        <f>C2-G2</f>
        <v>143914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8" x14ac:dyDescent="0.3">
      <c r="A4" s="45" t="str" cm="1">
        <f t="array" ref="A4">Sites[Site]</f>
        <v>MA: Palmer - 105 North Street</v>
      </c>
      <c r="B4" s="27" t="str" cm="1">
        <f t="array" ref="B4">Sites[State]</f>
        <v>MA</v>
      </c>
      <c r="C4" s="23">
        <v>143914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23</v>
      </c>
      <c r="K4" s="53" t="s">
        <v>24</v>
      </c>
    </row>
    <row r="5" spans="1:11" ht="14.4" x14ac:dyDescent="0.3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5" priority="6" stopIfTrue="1" operator="lessThanOrEqual">
      <formula>-0.1</formula>
    </cfRule>
    <cfRule type="expression" dxfId="24" priority="7">
      <formula>AND(ISNUMBER(F2), F2&gt;=0.1)</formula>
    </cfRule>
  </conditionalFormatting>
  <conditionalFormatting sqref="F4:F78 I4:I78">
    <cfRule type="cellIs" dxfId="23" priority="1" stopIfTrue="1" operator="lessThanOrEqual">
      <formula>-0.1</formula>
    </cfRule>
    <cfRule type="expression" dxfId="22" priority="2">
      <formula>AND(ISNUMBER(F4), F4&gt;=0.1)</formula>
    </cfRule>
  </conditionalFormatting>
  <hyperlinks>
    <hyperlink ref="K4" r:id="rId1" display="https://us3.assetplanner.com/service_request?ID=095926" xr:uid="{3DD4C0D5-FDD2-4D36-B9AA-BCFB114A2BE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J4" activePane="bottomRight" state="frozen"/>
      <selection pane="topRight" activeCell="J14" sqref="J14"/>
      <selection pane="bottomLeft" activeCell="J14" sqref="J14"/>
      <selection pane="bottomRight" activeCell="J8" sqref="J8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25</v>
      </c>
      <c r="E1" s="57"/>
      <c r="F1" s="57"/>
      <c r="G1" s="55" t="s">
        <v>26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SUM(C4:C79)</f>
        <v>138085</v>
      </c>
      <c r="D2" s="5">
        <f>SUM(D4:D79)</f>
        <v>0</v>
      </c>
      <c r="E2" s="5">
        <f>C2-D2</f>
        <v>138085</v>
      </c>
      <c r="F2" s="6">
        <f>IFERROR(E2/D2, 0)</f>
        <v>0</v>
      </c>
      <c r="G2" s="5">
        <f>SUM(G4:G79)</f>
        <v>0</v>
      </c>
      <c r="H2" s="7">
        <f>C2-G2</f>
        <v>138085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8" x14ac:dyDescent="0.3">
      <c r="A4" s="45" t="str" cm="1">
        <f t="array" ref="A4">Sites[Site]</f>
        <v>MA: Palmer - 105 North Street</v>
      </c>
      <c r="B4" s="27" t="str" cm="1">
        <f t="array" ref="B4">Sites[State]</f>
        <v>MA</v>
      </c>
      <c r="C4" s="23">
        <v>138085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53" t="s">
        <v>28</v>
      </c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hyperlinks>
    <hyperlink ref="K4" r:id="rId1" display="https://us3.assetplanner.com/service_request?ID=097163" xr:uid="{CE0F2157-9A62-4A40-BE28-57921753D72F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tabSelected="1" workbookViewId="0">
      <pane xSplit="2" ySplit="3" topLeftCell="F4" activePane="bottomRight" state="frozen"/>
      <selection pane="topRight" activeCell="J14" sqref="J14"/>
      <selection pane="bottomLeft" activeCell="J14" sqref="J14"/>
      <selection pane="bottomRight" activeCell="E18" sqref="E18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29</v>
      </c>
      <c r="E1" s="57"/>
      <c r="F1" s="57"/>
      <c r="G1" s="55" t="s">
        <v>30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SUM(C4:C79)</f>
        <v>270923</v>
      </c>
      <c r="D2" s="5">
        <f>SUM(D4:D79)</f>
        <v>0</v>
      </c>
      <c r="E2" s="5">
        <f>C2-D2</f>
        <v>270923</v>
      </c>
      <c r="F2" s="6">
        <f>IFERROR(E2/D2, 0)</f>
        <v>0</v>
      </c>
      <c r="G2" s="5">
        <f>SUM(G4:G79)</f>
        <v>0</v>
      </c>
      <c r="H2" s="7">
        <f>C2-G2</f>
        <v>270923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270923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topRight" activeCell="J14" sqref="J14"/>
      <selection pane="bottomLeft" activeCell="J14" sqref="J14"/>
      <selection pane="bottomRight" activeCell="K4" sqref="K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31</v>
      </c>
      <c r="E1" s="57"/>
      <c r="F1" s="57"/>
      <c r="G1" s="55" t="s">
        <v>32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SUM(C4:C79)</f>
        <v>289792</v>
      </c>
      <c r="D2" s="5">
        <f>SUM(D4:D79)</f>
        <v>0</v>
      </c>
      <c r="E2" s="5">
        <f>C2-D2</f>
        <v>289792</v>
      </c>
      <c r="F2" s="6">
        <f>IFERROR(E2/D2, 0)</f>
        <v>0</v>
      </c>
      <c r="G2" s="5">
        <f>SUM(G4:G79)</f>
        <v>0</v>
      </c>
      <c r="H2" s="7">
        <f>C2-G2</f>
        <v>289792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289792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49"/>
      <c r="K4" s="50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1"/>
  <sheetViews>
    <sheetView workbookViewId="0">
      <pane xSplit="2" ySplit="3" topLeftCell="G4" activePane="bottomRight" state="frozen"/>
      <selection pane="topRight" activeCell="J14" sqref="J14"/>
      <selection pane="bottomLeft" activeCell="J14" sqref="J14"/>
      <selection pane="bottomRight" activeCell="L1" sqref="L1:L1048576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8.88671875" style="60"/>
  </cols>
  <sheetData>
    <row r="1" spans="1:12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33</v>
      </c>
      <c r="E1" s="57"/>
      <c r="F1" s="57"/>
      <c r="G1" s="55" t="s">
        <v>34</v>
      </c>
      <c r="H1" s="55"/>
      <c r="I1" s="55"/>
      <c r="J1" s="4"/>
      <c r="K1" s="4"/>
    </row>
    <row r="2" spans="1:12" ht="19.5" customHeight="1" x14ac:dyDescent="0.25">
      <c r="A2" s="58" t="s">
        <v>2</v>
      </c>
      <c r="B2" s="58"/>
      <c r="C2" s="5">
        <f>SUM(C4:C79)</f>
        <v>251778</v>
      </c>
      <c r="D2" s="5">
        <f>SUM(D4:D79)</f>
        <v>0</v>
      </c>
      <c r="E2" s="5">
        <f>C2-D2</f>
        <v>251778</v>
      </c>
      <c r="F2" s="6">
        <f>IFERROR(E2/D2, 0)</f>
        <v>0</v>
      </c>
      <c r="G2" s="5">
        <f>SUM(G4:G79)</f>
        <v>0</v>
      </c>
      <c r="H2" s="7">
        <f>C2-G2</f>
        <v>251778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8" x14ac:dyDescent="0.25">
      <c r="A4" s="51" t="str" cm="1">
        <f t="array" ref="A4">Sites[Site]</f>
        <v>MA: Palmer - 105 North Street</v>
      </c>
      <c r="B4" s="27" t="str" cm="1">
        <f t="array" ref="B4">Sites[State]</f>
        <v>MA</v>
      </c>
      <c r="C4" s="23">
        <v>251778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54" t="s">
        <v>35</v>
      </c>
      <c r="K4" s="59" t="s">
        <v>36</v>
      </c>
      <c r="L4" s="61" t="s">
        <v>62</v>
      </c>
    </row>
    <row r="5" spans="1:12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102205" xr:uid="{422F327C-E98E-460C-8ED7-219F1DC72D6B}"/>
    <hyperlink ref="L4" r:id="rId2" display="https://us3.assetplanner.com/service_request?ID=101664" xr:uid="{271B488E-F058-48BB-A67B-208FD4069798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H4" activePane="bottomRight" state="frozen"/>
      <selection pane="topRight" activeCell="J14" sqref="J14"/>
      <selection pane="bottomLeft" activeCell="J14" sqref="J14"/>
      <selection pane="bottomRight" activeCell="K4" sqref="K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3.88671875" customWidth="1"/>
    <col min="11" max="11" width="20.5546875" bestFit="1" customWidth="1"/>
  </cols>
  <sheetData>
    <row r="1" spans="1:11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37</v>
      </c>
      <c r="E1" s="57"/>
      <c r="F1" s="57"/>
      <c r="G1" s="55" t="s">
        <v>38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SUM(C4:C79)</f>
        <v>294880</v>
      </c>
      <c r="D2" s="5">
        <f>SUM(D4:D79)</f>
        <v>0</v>
      </c>
      <c r="E2" s="5">
        <f>C2-D2</f>
        <v>294880</v>
      </c>
      <c r="F2" s="6">
        <f>IFERROR(E2/D2, 0)</f>
        <v>0</v>
      </c>
      <c r="G2" s="5">
        <f>SUM(G4:G79)</f>
        <v>0</v>
      </c>
      <c r="H2" s="7">
        <f>C2-G2</f>
        <v>294880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8.75" customHeight="1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294880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39</v>
      </c>
      <c r="K4" s="53" t="s">
        <v>40</v>
      </c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103236" xr:uid="{D32E40F3-4CF0-4E87-AF96-8E823665A80D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topRight" activeCell="J14" sqref="J14"/>
      <selection pane="bottomLeft" activeCell="J14" sqref="J14"/>
      <selection pane="bottomRight" activeCell="J14" sqref="J1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41</v>
      </c>
      <c r="E1" s="57"/>
      <c r="F1" s="57"/>
      <c r="G1" s="55" t="s">
        <v>42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F4" activePane="bottomRight" state="frozen"/>
      <selection pane="topRight" activeCell="J14" sqref="J14"/>
      <selection pane="bottomLeft" activeCell="J14" sqref="J14"/>
      <selection pane="bottomRight" activeCell="J14" sqref="J1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43</v>
      </c>
      <c r="E1" s="57"/>
      <c r="F1" s="57"/>
      <c r="G1" s="55" t="s">
        <v>44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F4" activePane="bottomRight" state="frozen"/>
      <selection pane="topRight" activeCell="J14" sqref="J14"/>
      <selection pane="bottomLeft" activeCell="J14" sqref="J14"/>
      <selection pane="bottomRight" activeCell="J14" sqref="J1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45</v>
      </c>
      <c r="E1" s="57"/>
      <c r="F1" s="57"/>
      <c r="G1" s="55" t="s">
        <v>46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9.75" customHeight="1" x14ac:dyDescent="0.25">
      <c r="A4" s="51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F4" activePane="bottomRight" state="frozen"/>
      <selection pane="topRight" activeCell="J14" sqref="J14"/>
      <selection pane="bottomLeft" activeCell="J14" sqref="J14"/>
      <selection pane="bottomRight" activeCell="J14" sqref="J1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47</v>
      </c>
      <c r="E1" s="57"/>
      <c r="F1" s="57"/>
      <c r="G1" s="55" t="s">
        <v>48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topRight" activeCell="J14" sqref="J14"/>
      <selection pane="bottomLeft" activeCell="J14" sqref="J14"/>
      <selection pane="bottomRight" activeCell="J14" sqref="J1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49</v>
      </c>
      <c r="E1" s="57"/>
      <c r="F1" s="57"/>
      <c r="G1" s="55" t="s">
        <v>50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topRight" activeCell="J14" sqref="J14"/>
      <selection pane="bottomLeft" activeCell="J14" sqref="J14"/>
      <selection pane="bottomRight" activeCell="J14" sqref="J14"/>
    </sheetView>
  </sheetViews>
  <sheetFormatPr defaultRowHeight="13.8" x14ac:dyDescent="0.25"/>
  <cols>
    <col min="1" max="1" width="35.88671875" bestFit="1" customWidth="1"/>
    <col min="2" max="2" width="8.44140625" style="30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56" t="str" cm="1">
        <f t="array" ref="A1">portfolio</f>
        <v>MA: Palmer - 105 North Street</v>
      </c>
      <c r="B1" s="56"/>
      <c r="C1" s="56"/>
      <c r="D1" s="57" t="s">
        <v>51</v>
      </c>
      <c r="E1" s="57"/>
      <c r="F1" s="57"/>
      <c r="G1" s="55" t="s">
        <v>52</v>
      </c>
      <c r="H1" s="55"/>
      <c r="I1" s="55"/>
      <c r="J1" s="4"/>
      <c r="K1" s="4"/>
    </row>
    <row r="2" spans="1:11" ht="19.5" customHeight="1" x14ac:dyDescent="0.25">
      <c r="A2" s="58" t="s">
        <v>2</v>
      </c>
      <c r="B2" s="5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 x14ac:dyDescent="0.3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" x14ac:dyDescent="0.3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" x14ac:dyDescent="0.3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" x14ac:dyDescent="0.3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" x14ac:dyDescent="0.3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" x14ac:dyDescent="0.3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" x14ac:dyDescent="0.3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" x14ac:dyDescent="0.3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" x14ac:dyDescent="0.3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" x14ac:dyDescent="0.3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" x14ac:dyDescent="0.3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" x14ac:dyDescent="0.3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" x14ac:dyDescent="0.3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" x14ac:dyDescent="0.3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" x14ac:dyDescent="0.3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" x14ac:dyDescent="0.3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" x14ac:dyDescent="0.3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" x14ac:dyDescent="0.3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" x14ac:dyDescent="0.3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" x14ac:dyDescent="0.3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" x14ac:dyDescent="0.3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" x14ac:dyDescent="0.3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" x14ac:dyDescent="0.3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" x14ac:dyDescent="0.3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" x14ac:dyDescent="0.3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" x14ac:dyDescent="0.3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" x14ac:dyDescent="0.3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" x14ac:dyDescent="0.3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" x14ac:dyDescent="0.3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" x14ac:dyDescent="0.3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" x14ac:dyDescent="0.3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" x14ac:dyDescent="0.3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" x14ac:dyDescent="0.3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" x14ac:dyDescent="0.3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" x14ac:dyDescent="0.3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" x14ac:dyDescent="0.3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" x14ac:dyDescent="0.3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" x14ac:dyDescent="0.3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" x14ac:dyDescent="0.3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" x14ac:dyDescent="0.3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" x14ac:dyDescent="0.3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" x14ac:dyDescent="0.3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" x14ac:dyDescent="0.3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" x14ac:dyDescent="0.3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" x14ac:dyDescent="0.3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" x14ac:dyDescent="0.3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" x14ac:dyDescent="0.3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" x14ac:dyDescent="0.3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" x14ac:dyDescent="0.3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" x14ac:dyDescent="0.3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" x14ac:dyDescent="0.3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" x14ac:dyDescent="0.3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" x14ac:dyDescent="0.3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" x14ac:dyDescent="0.3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" x14ac:dyDescent="0.3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" x14ac:dyDescent="0.3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" x14ac:dyDescent="0.3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" x14ac:dyDescent="0.3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" x14ac:dyDescent="0.3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" x14ac:dyDescent="0.3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" x14ac:dyDescent="0.3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" x14ac:dyDescent="0.3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" x14ac:dyDescent="0.3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" x14ac:dyDescent="0.3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" x14ac:dyDescent="0.3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" x14ac:dyDescent="0.3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" x14ac:dyDescent="0.3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" x14ac:dyDescent="0.3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" x14ac:dyDescent="0.3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" x14ac:dyDescent="0.3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" x14ac:dyDescent="0.3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" x14ac:dyDescent="0.3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" x14ac:dyDescent="0.3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" x14ac:dyDescent="0.3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" x14ac:dyDescent="0.3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" x14ac:dyDescent="0.3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" x14ac:dyDescent="0.3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" x14ac:dyDescent="0.3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" x14ac:dyDescent="0.3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" x14ac:dyDescent="0.3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" x14ac:dyDescent="0.3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" x14ac:dyDescent="0.3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" x14ac:dyDescent="0.3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" x14ac:dyDescent="0.3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" x14ac:dyDescent="0.3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" x14ac:dyDescent="0.3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" x14ac:dyDescent="0.3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" x14ac:dyDescent="0.3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" x14ac:dyDescent="0.3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" x14ac:dyDescent="0.3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" x14ac:dyDescent="0.3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" x14ac:dyDescent="0.3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" x14ac:dyDescent="0.3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" x14ac:dyDescent="0.3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" x14ac:dyDescent="0.3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" x14ac:dyDescent="0.3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" x14ac:dyDescent="0.3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" x14ac:dyDescent="0.3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" x14ac:dyDescent="0.3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" x14ac:dyDescent="0.3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" x14ac:dyDescent="0.3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" x14ac:dyDescent="0.3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" x14ac:dyDescent="0.3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" x14ac:dyDescent="0.3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" x14ac:dyDescent="0.3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" x14ac:dyDescent="0.3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" x14ac:dyDescent="0.3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" x14ac:dyDescent="0.3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" x14ac:dyDescent="0.3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" x14ac:dyDescent="0.3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" x14ac:dyDescent="0.3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" x14ac:dyDescent="0.3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" x14ac:dyDescent="0.3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" x14ac:dyDescent="0.3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" x14ac:dyDescent="0.3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" x14ac:dyDescent="0.3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" x14ac:dyDescent="0.3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" x14ac:dyDescent="0.3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" x14ac:dyDescent="0.3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" x14ac:dyDescent="0.3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" x14ac:dyDescent="0.3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" x14ac:dyDescent="0.3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" x14ac:dyDescent="0.3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" x14ac:dyDescent="0.3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" x14ac:dyDescent="0.3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" x14ac:dyDescent="0.3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" x14ac:dyDescent="0.3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" x14ac:dyDescent="0.3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" x14ac:dyDescent="0.3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" x14ac:dyDescent="0.3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" x14ac:dyDescent="0.3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" x14ac:dyDescent="0.3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" x14ac:dyDescent="0.3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" x14ac:dyDescent="0.3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" x14ac:dyDescent="0.3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" x14ac:dyDescent="0.3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" x14ac:dyDescent="0.3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" x14ac:dyDescent="0.3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" x14ac:dyDescent="0.3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" x14ac:dyDescent="0.3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" x14ac:dyDescent="0.3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" x14ac:dyDescent="0.3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" x14ac:dyDescent="0.3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" x14ac:dyDescent="0.3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" x14ac:dyDescent="0.3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" x14ac:dyDescent="0.3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" x14ac:dyDescent="0.3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" x14ac:dyDescent="0.3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" x14ac:dyDescent="0.3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" x14ac:dyDescent="0.3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" x14ac:dyDescent="0.3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" x14ac:dyDescent="0.3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" x14ac:dyDescent="0.3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" x14ac:dyDescent="0.3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" x14ac:dyDescent="0.3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" x14ac:dyDescent="0.3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" x14ac:dyDescent="0.3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" x14ac:dyDescent="0.3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" x14ac:dyDescent="0.3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" x14ac:dyDescent="0.3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" x14ac:dyDescent="0.3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" x14ac:dyDescent="0.3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" x14ac:dyDescent="0.3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" x14ac:dyDescent="0.3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" x14ac:dyDescent="0.3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" x14ac:dyDescent="0.3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" x14ac:dyDescent="0.3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" x14ac:dyDescent="0.3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" x14ac:dyDescent="0.3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" x14ac:dyDescent="0.3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" x14ac:dyDescent="0.3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" x14ac:dyDescent="0.3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" x14ac:dyDescent="0.3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" x14ac:dyDescent="0.3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" x14ac:dyDescent="0.3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" x14ac:dyDescent="0.3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" x14ac:dyDescent="0.3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" x14ac:dyDescent="0.3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" x14ac:dyDescent="0.3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" x14ac:dyDescent="0.3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" x14ac:dyDescent="0.3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" x14ac:dyDescent="0.3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" x14ac:dyDescent="0.3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" x14ac:dyDescent="0.3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" x14ac:dyDescent="0.3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" x14ac:dyDescent="0.3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" x14ac:dyDescent="0.3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" x14ac:dyDescent="0.3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" x14ac:dyDescent="0.3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" x14ac:dyDescent="0.3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" x14ac:dyDescent="0.3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" x14ac:dyDescent="0.3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" x14ac:dyDescent="0.3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" x14ac:dyDescent="0.3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" x14ac:dyDescent="0.3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" x14ac:dyDescent="0.3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" x14ac:dyDescent="0.3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" x14ac:dyDescent="0.3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" x14ac:dyDescent="0.3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" x14ac:dyDescent="0.3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" x14ac:dyDescent="0.3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" x14ac:dyDescent="0.3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" x14ac:dyDescent="0.3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" x14ac:dyDescent="0.3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" x14ac:dyDescent="0.3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" x14ac:dyDescent="0.3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" x14ac:dyDescent="0.3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" x14ac:dyDescent="0.3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" x14ac:dyDescent="0.3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" x14ac:dyDescent="0.3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" x14ac:dyDescent="0.3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" x14ac:dyDescent="0.3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" x14ac:dyDescent="0.3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" x14ac:dyDescent="0.3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" x14ac:dyDescent="0.3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" x14ac:dyDescent="0.3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" x14ac:dyDescent="0.3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" x14ac:dyDescent="0.3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" x14ac:dyDescent="0.3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" x14ac:dyDescent="0.3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" x14ac:dyDescent="0.3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" x14ac:dyDescent="0.3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" x14ac:dyDescent="0.3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" x14ac:dyDescent="0.3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" x14ac:dyDescent="0.3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" x14ac:dyDescent="0.3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" x14ac:dyDescent="0.3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" x14ac:dyDescent="0.3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" x14ac:dyDescent="0.3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" x14ac:dyDescent="0.3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" x14ac:dyDescent="0.3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" x14ac:dyDescent="0.3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" x14ac:dyDescent="0.3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" x14ac:dyDescent="0.3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" x14ac:dyDescent="0.3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" x14ac:dyDescent="0.3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" x14ac:dyDescent="0.3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" x14ac:dyDescent="0.3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" x14ac:dyDescent="0.3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" x14ac:dyDescent="0.3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" x14ac:dyDescent="0.3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" x14ac:dyDescent="0.3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" x14ac:dyDescent="0.3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" x14ac:dyDescent="0.3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" x14ac:dyDescent="0.3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" x14ac:dyDescent="0.3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" x14ac:dyDescent="0.3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" x14ac:dyDescent="0.3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" x14ac:dyDescent="0.3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" x14ac:dyDescent="0.3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" x14ac:dyDescent="0.3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" x14ac:dyDescent="0.3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" x14ac:dyDescent="0.3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" x14ac:dyDescent="0.3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" x14ac:dyDescent="0.3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" x14ac:dyDescent="0.3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" x14ac:dyDescent="0.3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" x14ac:dyDescent="0.3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" x14ac:dyDescent="0.3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" x14ac:dyDescent="0.3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" x14ac:dyDescent="0.3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" x14ac:dyDescent="0.3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" x14ac:dyDescent="0.3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" x14ac:dyDescent="0.3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" x14ac:dyDescent="0.3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" x14ac:dyDescent="0.3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" x14ac:dyDescent="0.3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" x14ac:dyDescent="0.3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" x14ac:dyDescent="0.3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" x14ac:dyDescent="0.3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" x14ac:dyDescent="0.3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" x14ac:dyDescent="0.3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" x14ac:dyDescent="0.3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" x14ac:dyDescent="0.3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" x14ac:dyDescent="0.3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" x14ac:dyDescent="0.3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" x14ac:dyDescent="0.3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" x14ac:dyDescent="0.3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" x14ac:dyDescent="0.3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" x14ac:dyDescent="0.3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" x14ac:dyDescent="0.3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" x14ac:dyDescent="0.3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" x14ac:dyDescent="0.3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" x14ac:dyDescent="0.3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" x14ac:dyDescent="0.3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" x14ac:dyDescent="0.3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" x14ac:dyDescent="0.3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" x14ac:dyDescent="0.3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" x14ac:dyDescent="0.3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" x14ac:dyDescent="0.3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" x14ac:dyDescent="0.3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" x14ac:dyDescent="0.3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" x14ac:dyDescent="0.3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" x14ac:dyDescent="0.3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" x14ac:dyDescent="0.3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" x14ac:dyDescent="0.3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" x14ac:dyDescent="0.3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" x14ac:dyDescent="0.3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" x14ac:dyDescent="0.3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" x14ac:dyDescent="0.3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" x14ac:dyDescent="0.3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" x14ac:dyDescent="0.3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" x14ac:dyDescent="0.3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" x14ac:dyDescent="0.3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" x14ac:dyDescent="0.3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" x14ac:dyDescent="0.3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" x14ac:dyDescent="0.3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" x14ac:dyDescent="0.3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" x14ac:dyDescent="0.3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" x14ac:dyDescent="0.3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" x14ac:dyDescent="0.3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" x14ac:dyDescent="0.3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" x14ac:dyDescent="0.3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" x14ac:dyDescent="0.3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" x14ac:dyDescent="0.3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" x14ac:dyDescent="0.3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" x14ac:dyDescent="0.3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" x14ac:dyDescent="0.3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53</v>
      </c>
      <c r="B1" t="s">
        <v>54</v>
      </c>
    </row>
    <row r="3" spans="1:12" ht="13.2" x14ac:dyDescent="0.25">
      <c r="A3" t="s">
        <v>55</v>
      </c>
      <c r="B3" t="s">
        <v>3</v>
      </c>
      <c r="C3" t="s">
        <v>4</v>
      </c>
      <c r="D3" t="s">
        <v>56</v>
      </c>
      <c r="E3" s="2" t="s">
        <v>57</v>
      </c>
    </row>
    <row r="4" spans="1:12" ht="14.4" x14ac:dyDescent="0.3">
      <c r="A4" s="44" t="s">
        <v>58</v>
      </c>
      <c r="B4" t="s">
        <v>54</v>
      </c>
      <c r="C4" s="42" t="s">
        <v>59</v>
      </c>
      <c r="D4" s="41" t="s">
        <v>60</v>
      </c>
      <c r="E4" t="s">
        <v>61</v>
      </c>
      <c r="G4" s="3"/>
    </row>
    <row r="5" spans="1:12" ht="14.4" x14ac:dyDescent="0.3">
      <c r="A5" s="44"/>
      <c r="C5" s="42"/>
      <c r="D5" s="41"/>
      <c r="G5" s="3"/>
    </row>
    <row r="6" spans="1:12" ht="14.4" x14ac:dyDescent="0.3">
      <c r="A6" s="44"/>
      <c r="C6" s="42"/>
      <c r="D6" s="41"/>
      <c r="G6" s="3"/>
    </row>
    <row r="7" spans="1:12" ht="12.75" customHeight="1" x14ac:dyDescent="0.25">
      <c r="A7" s="44"/>
      <c r="C7" s="42"/>
      <c r="D7" s="41"/>
    </row>
    <row r="8" spans="1:12" ht="12.75" customHeight="1" x14ac:dyDescent="0.25">
      <c r="A8" s="44"/>
      <c r="C8" s="42"/>
      <c r="D8" s="41"/>
    </row>
    <row r="9" spans="1:12" ht="12.75" customHeight="1" x14ac:dyDescent="0.25">
      <c r="A9" s="44"/>
      <c r="C9" s="42"/>
      <c r="D9" s="41"/>
    </row>
    <row r="10" spans="1:12" ht="12.75" customHeight="1" x14ac:dyDescent="0.25">
      <c r="A10" s="44"/>
      <c r="C10" s="42"/>
      <c r="D10" s="41"/>
      <c r="K10" s="38"/>
      <c r="L10" s="38"/>
    </row>
    <row r="11" spans="1:12" ht="12.75" customHeight="1" x14ac:dyDescent="0.25">
      <c r="A11" s="44"/>
      <c r="C11" s="42"/>
      <c r="D11" s="41"/>
      <c r="K11" s="38"/>
      <c r="L11" s="38"/>
    </row>
    <row r="12" spans="1:12" ht="12.75" customHeight="1" x14ac:dyDescent="0.25">
      <c r="A12" s="44"/>
      <c r="C12" s="42"/>
      <c r="D12" s="41"/>
      <c r="K12" s="38"/>
      <c r="L12" s="38"/>
    </row>
    <row r="13" spans="1:12" ht="12.75" customHeight="1" x14ac:dyDescent="0.25">
      <c r="A13" s="44"/>
      <c r="C13" s="42"/>
      <c r="D13" s="41"/>
      <c r="K13" s="38"/>
      <c r="L13" s="38"/>
    </row>
    <row r="14" spans="1:12" ht="12.75" customHeight="1" x14ac:dyDescent="0.25">
      <c r="A14" s="44"/>
      <c r="C14" s="42"/>
      <c r="D14" s="41"/>
      <c r="K14" s="38"/>
      <c r="L14" s="38"/>
    </row>
    <row r="15" spans="1:12" ht="12.75" customHeight="1" x14ac:dyDescent="0.25">
      <c r="A15" s="44"/>
      <c r="C15" s="42"/>
      <c r="D15" s="41"/>
      <c r="K15" s="38"/>
      <c r="L15" s="38"/>
    </row>
    <row r="16" spans="1:12" ht="12.75" customHeight="1" x14ac:dyDescent="0.25">
      <c r="A16" s="44"/>
      <c r="C16" s="42"/>
      <c r="D16" s="41"/>
      <c r="K16" s="38"/>
      <c r="L16" s="38"/>
    </row>
    <row r="17" spans="1:12" ht="12.75" customHeight="1" x14ac:dyDescent="0.25">
      <c r="A17" s="44"/>
      <c r="C17" s="42"/>
      <c r="D17" s="41"/>
      <c r="K17" s="38"/>
      <c r="L17" s="38"/>
    </row>
    <row r="18" spans="1:12" ht="12.75" customHeight="1" x14ac:dyDescent="0.25">
      <c r="A18" s="44"/>
      <c r="C18" s="42"/>
      <c r="D18" s="41"/>
      <c r="K18" s="38"/>
      <c r="L18" s="38"/>
    </row>
    <row r="19" spans="1:12" ht="12.75" customHeight="1" x14ac:dyDescent="0.25">
      <c r="A19" s="44"/>
      <c r="C19" s="42"/>
      <c r="D19" s="41"/>
      <c r="K19" s="38"/>
      <c r="L19" s="38"/>
    </row>
    <row r="20" spans="1:12" ht="12.75" customHeight="1" x14ac:dyDescent="0.25">
      <c r="A20" s="44"/>
      <c r="C20" s="42"/>
      <c r="D20" s="41"/>
      <c r="K20" s="38"/>
      <c r="L20" s="38"/>
    </row>
    <row r="21" spans="1:12" ht="12.75" customHeight="1" x14ac:dyDescent="0.25">
      <c r="A21" s="44"/>
      <c r="C21" s="42"/>
      <c r="D21" s="41"/>
      <c r="K21" s="38"/>
      <c r="L21" s="38"/>
    </row>
    <row r="22" spans="1:12" ht="12.75" customHeight="1" x14ac:dyDescent="0.25">
      <c r="A22" s="44"/>
      <c r="C22" s="42"/>
      <c r="D22" s="41"/>
      <c r="K22" s="38"/>
      <c r="L22" s="38"/>
    </row>
    <row r="23" spans="1:12" ht="12.75" customHeight="1" x14ac:dyDescent="0.25">
      <c r="A23" s="44"/>
      <c r="C23" s="42"/>
      <c r="D23" s="41"/>
      <c r="K23" s="38"/>
      <c r="L23" s="38"/>
    </row>
    <row r="24" spans="1:12" ht="12.75" customHeight="1" x14ac:dyDescent="0.25">
      <c r="A24" s="44"/>
      <c r="C24" s="42"/>
      <c r="D24" s="41"/>
      <c r="K24" s="38"/>
      <c r="L24" s="38"/>
    </row>
    <row r="25" spans="1:12" ht="12.75" customHeight="1" x14ac:dyDescent="0.25">
      <c r="A25" s="44"/>
      <c r="C25" s="42"/>
      <c r="D25" s="41"/>
      <c r="K25" s="38"/>
      <c r="L25" s="38"/>
    </row>
    <row r="26" spans="1:12" ht="12.75" customHeight="1" x14ac:dyDescent="0.25">
      <c r="K26" s="38"/>
      <c r="L26" s="38"/>
    </row>
    <row r="27" spans="1:12" ht="12.75" customHeight="1" x14ac:dyDescent="0.25">
      <c r="K27" s="38"/>
      <c r="L27" s="38"/>
    </row>
    <row r="28" spans="1:12" ht="12.75" customHeight="1" x14ac:dyDescent="0.25">
      <c r="K28" s="38"/>
      <c r="L28" s="38"/>
    </row>
    <row r="29" spans="1:12" ht="12.75" customHeight="1" x14ac:dyDescent="0.25">
      <c r="K29" s="38"/>
      <c r="L29" s="38"/>
    </row>
    <row r="30" spans="1:12" ht="12.75" customHeight="1" x14ac:dyDescent="0.25">
      <c r="K30" s="38"/>
      <c r="L30" s="38"/>
    </row>
    <row r="31" spans="1:12" ht="12.75" customHeight="1" x14ac:dyDescent="0.2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2.xml><?xml version="1.0" encoding="utf-8"?>
<ds:datastoreItem xmlns:ds="http://schemas.openxmlformats.org/officeDocument/2006/customXml" ds:itemID="{BE11BBD8-7330-47C2-894D-C1EF969C0DF1}"/>
</file>

<file path=customXml/itemProps3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4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5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7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0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3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4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16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7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8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9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2025-07-10T08:23:38Z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2025-04-15T12:22:19Z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e6a2f1c4-78d3-41f6-a32c-9ed20b80210f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