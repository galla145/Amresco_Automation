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4EBE7968-454B-496A-A4AE-BFEA885CA135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H4" i="4" l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E5" i="34" s="1"/>
  <c r="F5" i="34" s="1"/>
  <c r="C4" i="34"/>
  <c r="D2" i="29"/>
  <c r="D2" i="18"/>
  <c r="E5" i="18"/>
  <c r="F5" i="18" s="1"/>
  <c r="E5" i="30"/>
  <c r="F5" i="30" s="1"/>
  <c r="E5" i="29"/>
  <c r="F5" i="29" s="1"/>
  <c r="D4" i="34"/>
  <c r="D2" i="34" s="1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I5" i="18"/>
  <c r="H5" i="34"/>
  <c r="I5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<sst xmlns="http://schemas.openxmlformats.org/spreadsheetml/2006/main" count="289" uniqueCount="76">
  <si>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</si>
  <si>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</si>
  <si>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</si>
  <si>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</si>
  <si>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</si>
  <si>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</si>
  <si>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</si>
  <si>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</si>
  <si>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</si>
  <si>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</si>
  <si>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</si>
  <si>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</si>
  <si>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</si>
  <si>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</si>
  <si>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</si>
  <si>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</si>
  <si>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</si>
  <si>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</si>
  <si>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</si>
  <si>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</si>
  <si>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</si>
  <si>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</si>
  <si>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</si>
  <si>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5 experienced a late start at 12:00 on 01/01. Additionally, it went offline on 01/18 due to an insulation fault and came back online on 01/20.
2.Inverter 2 was offline on 01/19 due to Insulation resist/Ground Fuse fault and self-resolved on 01/20.
3. Low generation due to snow/rain.</t>
  </si>
  <si>
    <t>1.SR095178
2.SR095703</t>
  </si>
  <si>
    <t>SR095703</t>
  </si>
  <si>
    <t>February Actual v. Expected</t>
  </si>
  <si>
    <t>February Actual v. Forecasted</t>
  </si>
  <si>
    <t>1. Inverter 5 experienced late starts on 02/01, 02/03, 02/04, and 02/07 due to an insulation resistance/ground fuse fault.
2. Inverter 2 was offline since mornig and back online at 14:15 on 02/01 due to  Insulation fault.
3. Low generation due to snow/rain.</t>
  </si>
  <si>
    <t>March Actual v. Expected</t>
  </si>
  <si>
    <t>March Actual v. Forecasted</t>
  </si>
  <si>
    <t>1.Inverter 3 tripped offline at 13:45 on 05/25/24, reporting "Power output outside specified range." Inverter 3 is currently locked out and will require a PUK code for access. Further troubleshooting will need to be performed by SMA.</t>
  </si>
  <si>
    <t>1. SR085236</t>
  </si>
  <si>
    <t>1. Inverter 3 producing ~4kW down compared to peer inverters, possibly string down since 08/30/24.
2. Inverter 2 is derating by 2 kW on high irradiance days. First occurrence on 4/29/24. Possible fan issue.</t>
  </si>
  <si>
    <t>1. 	SR089771
2. 	SR085289</t>
  </si>
  <si>
    <t>SR085289</t>
  </si>
  <si>
    <t>April Actual v. Expected</t>
  </si>
  <si>
    <t>April Actual v. Forecasted</t>
  </si>
  <si>
    <t>1. Inverter 3 was offline for whole month.</t>
  </si>
  <si>
    <t xml:space="preserve">1. Inverter 3 producing ~4kW down compared to peer inverters, possibly string down since 08/30/24.
</t>
  </si>
  <si>
    <t>1.SR089771
2.SR103756</t>
  </si>
  <si>
    <t>SR103756</t>
  </si>
  <si>
    <t>May Actual v. Expected</t>
  </si>
  <si>
    <t>May Actual v. Forecasted</t>
  </si>
  <si>
    <t xml:space="preserve">1. Inverter 3 producing ~4kW down compared to peer inverters, possibly
 string down since 08/30/24.
</t>
  </si>
  <si>
    <t>1. SR089771
2.SR103756</t>
  </si>
  <si>
    <t>June Actual v. Expected</t>
  </si>
  <si>
    <t>June Actual v. Forecasted</t>
  </si>
  <si>
    <t xml:space="preserve">1. Inverter 3 producing ~4kW down compared to peer inverters, possibly
 string down since 08/30/24.
2. Inverter 2 dropped production to 50% at 9:45am on 06/11due to DC A input tripped offline and reporting "Fault / Input A defective / </t>
  </si>
  <si>
    <t>1. SR089771
2. SR102859</t>
  </si>
  <si>
    <t>SR102859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</si>
  <si>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</si>
  <si>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</si>
  <si>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</si>
  <si>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</si>
  <si>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</si>
  <si>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</si>
  <si>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</si>
  <si>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</si>
  <si>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</si>
  <si>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</si>
  <si>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</si>
  <si>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</si>
  <si>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</si>
  <si>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BRANDFON</t>
  </si>
  <si>
    <t>Site DAS Name</t>
  </si>
  <si>
    <t>Update</t>
  </si>
  <si>
    <t>DAS</t>
  </si>
  <si>
    <t>Brandfon Honda</t>
  </si>
  <si>
    <t>Branford - Brandfon Honda</t>
  </si>
  <si>
    <t>CT</t>
  </si>
  <si>
    <t>AF</t>
  </si>
  <si>
    <t>PoweTrack</t>
  </si>
  <si>
    <t>Brandfon Hyundai</t>
  </si>
  <si>
    <t>New Haven - Brandfon Hyundai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</si>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</sst>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555555"/>
      <name val="Open Sans"/>
      <family val="2"/>
      <charset val="1"/>
    </font>
    <font>
      <sz val="11"/>
      <color rgb="FF000000"/>
      <name val="Aptos Narrow"/>
      <family val="2"/>
    </font>
    <font>
      <u/>
      <sz val="10"/>
      <color theme="10"/>
      <name val="Arial"/>
    </font>
    <font>
      <sz val="11"/>
      <color rgb="FF000000"/>
      <name val="Calibri"/>
      <charset val="1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7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35" fillId="46" borderId="0" xfId="0" applyFont="1" applyFill="1" applyAlignment="1">
      <alignment horizontal="left"/>
    </xf>
    <xf numFmtId="0" fontId="35" fillId="46" borderId="12" xfId="0" applyFont="1" applyFill="1" applyBorder="1"/>
    <xf numFmtId="0" fontId="35" fillId="0" borderId="0" xfId="0" applyFont="1" applyAlignment="1">
      <alignment horizontal="left"/>
    </xf>
    <xf numFmtId="0" fontId="35" fillId="0" borderId="0" xfId="0" applyFont="1"/>
    <xf numFmtId="0" fontId="35" fillId="0" borderId="12" xfId="0" applyFont="1" applyBorder="1"/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" fontId="36" fillId="0" borderId="0" xfId="0" applyNumberFormat="1" applyFont="1"/>
    <xf numFmtId="4" fontId="32" fillId="0" borderId="0" xfId="0" applyNumberFormat="1" applyFont="1"/>
    <xf numFmtId="0" fontId="37" fillId="0" borderId="0" xfId="0" applyFont="1"/>
    <xf numFmtId="3" fontId="30" fillId="0" borderId="0" xfId="1" applyNumberFormat="1" applyFont="1" applyFill="1" applyBorder="1" applyAlignment="1">
      <alignment horizontal="right" vertical="center"/>
    </xf>
    <xf numFmtId="49" fontId="38" fillId="38" borderId="0" xfId="45" applyNumberFormat="1" applyFill="1" applyBorder="1" applyAlignment="1">
      <alignment vertical="top" wrapText="1"/>
    </xf>
    <xf numFmtId="0" fontId="38" fillId="0" borderId="0" xfId="45" applyAlignment="1">
      <alignment vertical="top"/>
    </xf>
    <xf numFmtId="49" fontId="38" fillId="0" borderId="0" xfId="45" applyNumberFormat="1" applyAlignment="1">
      <alignment vertical="top" wrapText="1"/>
    </xf>
    <xf numFmtId="0" fontId="39" fillId="0" borderId="0" xfId="0" applyFont="1" applyAlignment="1">
      <alignment vertical="top" wrapText="1"/>
    </xf>
    <xf numFmtId="49" fontId="38" fillId="0" borderId="0" xfId="45" applyNumberFormat="1" applyAlignment="1">
      <alignment vertical="center" wrapText="1"/>
    </xf>
    <xf numFmtId="0" fontId="0" fillId="0" borderId="0" xfId="0" applyAlignment="1">
      <alignment horizontal="left" vertical="top"/>
    </xf>
    <xf numFmtId="0" fontId="38" fillId="0" borderId="0" xfId="45" applyAlignment="1">
      <alignment horizontal="left" vertical="top"/>
    </xf>
    <xf numFmtId="49" fontId="38" fillId="0" borderId="0" xfId="45" applyNumberForma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703" TargetMode="External"/><Relationship Id="rId1" Type="http://schemas.openxmlformats.org/officeDocument/2006/relationships/hyperlink" Target="https://us3.assetplanner.com/service_request?ID=095178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5703" TargetMode="External"/><Relationship Id="rId1" Type="http://schemas.openxmlformats.org/officeDocument/2006/relationships/hyperlink" Target="https://us3.assetplanner.com/service_request?ID=09517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5289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56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56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859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D12" sqref="D12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BRANDFON</v>
      </c>
      <c r="B1" s="70"/>
      <c r="C1" s="70"/>
      <c r="D1" s="71" t="s">
        <v>0</v>
      </c>
      <c r="E1" s="71"/>
      <c r="F1" s="71"/>
      <c r="G1" s="69" t="s">
        <v>1</v>
      </c>
      <c r="H1" s="69"/>
      <c r="I1" s="69"/>
    </row>
    <row r="2" spans="1:9" ht="19.5" customHeight="1">
      <c r="A2" s="72" t="s">
        <v>2</v>
      </c>
      <c r="B2" s="72"/>
      <c r="C2" s="5">
        <f>SUM(C4:C65)</f>
        <v>137022.76</v>
      </c>
      <c r="D2" s="5">
        <f>SUM(D4:D65)</f>
        <v>0</v>
      </c>
      <c r="E2" s="5">
        <f>C2-D2</f>
        <v>137022.76</v>
      </c>
      <c r="F2" s="6">
        <f>IFERROR(E2/D2, 0)</f>
        <v>0</v>
      </c>
      <c r="G2" s="5">
        <f>SUM(G4:G65)</f>
        <v>90595</v>
      </c>
      <c r="H2" s="7">
        <f>C2-G2</f>
        <v>46427.760000000009</v>
      </c>
      <c r="I2" s="6">
        <f>IFERROR(H2/G2, 0)</f>
        <v>0.51247596445719967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Branford - Brandfon Honda</v>
      </c>
      <c r="B4" s="9" t="str" cm="1">
        <f t="array" ref="B4:B5">Sites[State]</f>
        <v>CT</v>
      </c>
      <c r="C4" s="24">
        <f>SUM('1st Qtr'!C4, '2nd Qtr'!C4, '3rd Qtr'!C4, '4th Qtr'!C4)</f>
        <v>63472.69</v>
      </c>
      <c r="D4" s="13">
        <f>SUM('1st Qtr'!D4, '2nd Qtr'!D4, '3rd Qtr'!D4, '4th Qtr'!D4)</f>
        <v>0</v>
      </c>
      <c r="E4" s="13">
        <f>IF(AND(ISNUMBER(C4),ISNUMBER(D4)), C4-D4, "")</f>
        <v>63472.69</v>
      </c>
      <c r="F4" s="14" t="str">
        <f>IFERROR(E4/D4, "")</f>
        <v/>
      </c>
      <c r="G4" s="15">
        <f>SUM('1st Qtr'!G4, '2nd Qtr'!G4, '3rd Qtr'!G4, '4th Qtr'!G4)</f>
        <v>90595</v>
      </c>
      <c r="H4" s="15">
        <f>SUM('1st Qtr'!H4, '2nd Qtr'!H4, '3rd Qtr'!H4, '4th Qtr'!H4)</f>
        <v>-27122.31</v>
      </c>
      <c r="I4" s="16">
        <f>IFERROR(H4/G4, "")</f>
        <v>-0.29937976709531433</v>
      </c>
    </row>
    <row r="5" spans="1:9" ht="15.6">
      <c r="A5" s="17" t="str">
        <v>New Haven - Brandfon Hyundai</v>
      </c>
      <c r="B5" s="10" t="str">
        <v>CT</v>
      </c>
      <c r="C5" s="11">
        <f>SUM('1st Qtr'!C5, '2nd Qtr'!C5, '3rd Qtr'!C5, '4th Qtr'!C5)</f>
        <v>73550.070000000007</v>
      </c>
      <c r="D5" s="18">
        <f>SUM(Jan!D5, Feb!D5, Mar!D5)</f>
        <v>0</v>
      </c>
      <c r="E5" s="18">
        <f t="shared" ref="E5" si="0">IF(AND(ISNUMBER(C5),ISNUMBER(D5)), C5-D5, "")</f>
        <v>73550.070000000007</v>
      </c>
      <c r="F5" s="19" t="str">
        <f>IFERROR(E5/D5, "")</f>
        <v/>
      </c>
      <c r="G5" s="20">
        <f>SUM('1st Qtr'!G5, '2nd Qtr'!G5, '3rd Qtr'!G5, '4th Qtr'!G5)</f>
        <v>0</v>
      </c>
      <c r="H5" s="20">
        <f>SUM('1st Qtr'!H5, '2nd Qtr'!H5, '3rd Qtr'!H5, '4th Qtr'!H5)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H5" sqref="H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BRANDFON</v>
      </c>
      <c r="B1" s="70"/>
      <c r="C1" s="70"/>
      <c r="D1" s="71" t="s">
        <v>10</v>
      </c>
      <c r="E1" s="71"/>
      <c r="F1" s="71"/>
      <c r="G1" s="69" t="s">
        <v>11</v>
      </c>
      <c r="H1" s="69"/>
      <c r="I1" s="69"/>
    </row>
    <row r="2" spans="1:9" ht="19.5" customHeight="1">
      <c r="A2" s="72" t="s">
        <v>2</v>
      </c>
      <c r="B2" s="72"/>
      <c r="C2" s="5">
        <f>SUM(C4:C65)</f>
        <v>50544.54</v>
      </c>
      <c r="D2" s="5">
        <f>SUM(D4:D65)</f>
        <v>0</v>
      </c>
      <c r="E2" s="5">
        <f>C2-D2</f>
        <v>50544.54</v>
      </c>
      <c r="F2" s="6">
        <f>IFERROR(E2/D2, 0)</f>
        <v>0</v>
      </c>
      <c r="G2" s="5">
        <f>SUM(G4:G65)</f>
        <v>32021</v>
      </c>
      <c r="H2" s="7">
        <f>C2-G2</f>
        <v>18523.54</v>
      </c>
      <c r="I2" s="6">
        <f>IFERROR(H2/G2, 0)</f>
        <v>0.57848099684581999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SUM(Jan!C4, Feb!C4, Mar!C4)</f>
        <v>23518.690000000002</v>
      </c>
      <c r="D4" s="13">
        <f>SUM(Jan!D4, Feb!D4, Mar!D4)</f>
        <v>0</v>
      </c>
      <c r="E4" s="13">
        <f>IF(AND(ISNUMBER(C4),ISNUMBER(D4)), C4-D4, "")</f>
        <v>23518.690000000002</v>
      </c>
      <c r="F4" s="14" t="str">
        <f>IFERROR(E4/D4, "")</f>
        <v/>
      </c>
      <c r="G4" s="15">
        <f>SUM(Jan!G4, Feb!G4, Mar!G4)</f>
        <v>32021</v>
      </c>
      <c r="H4" s="15">
        <f>SUM(Jan!H4, Feb!H4, Mar!H4)</f>
        <v>-8502.3100000000013</v>
      </c>
      <c r="I4" s="16">
        <f>IFERROR(H4/G4, "")</f>
        <v>-0.26552293807189037</v>
      </c>
    </row>
    <row r="5" spans="1:9" ht="15.6">
      <c r="A5" s="46" t="str">
        <v>New Haven - Brandfon Hyundai</v>
      </c>
      <c r="B5" s="10" t="str">
        <v>CT</v>
      </c>
      <c r="C5" s="11">
        <f>SUM(Jan!C5, Feb!C5, Mar!C5)</f>
        <v>27025.85</v>
      </c>
      <c r="D5" s="18">
        <f>SUM(Jan!D5, Feb!D5, Mar!D5)</f>
        <v>0</v>
      </c>
      <c r="E5" s="18">
        <f t="shared" ref="E5" si="0">IF(AND(ISNUMBER(C5),ISNUMBER(D5)), C5-D5, "")</f>
        <v>27025.85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C5" sqref="C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BRANDFON</v>
      </c>
      <c r="B1" s="70"/>
      <c r="C1" s="70"/>
      <c r="D1" s="71" t="s">
        <v>12</v>
      </c>
      <c r="E1" s="71"/>
      <c r="F1" s="71"/>
      <c r="G1" s="69" t="s">
        <v>13</v>
      </c>
      <c r="H1" s="69"/>
      <c r="I1" s="69"/>
    </row>
    <row r="2" spans="1:9" ht="19.5" customHeight="1">
      <c r="A2" s="72" t="s">
        <v>2</v>
      </c>
      <c r="B2" s="72"/>
      <c r="C2" s="5">
        <f>SUM(C4:C65)</f>
        <v>86478.22</v>
      </c>
      <c r="D2" s="5">
        <f>SUM(D4:D65)</f>
        <v>0</v>
      </c>
      <c r="E2" s="5">
        <f>C2-D2</f>
        <v>86478.22</v>
      </c>
      <c r="F2" s="6">
        <f>IFERROR(E2/D2, 0)</f>
        <v>0</v>
      </c>
      <c r="G2" s="5">
        <f>SUM(G4:G65)</f>
        <v>58574</v>
      </c>
      <c r="H2" s="7">
        <f>C2-G2</f>
        <v>27904.22</v>
      </c>
      <c r="I2" s="6">
        <f>IFERROR(H2/G2, 0)</f>
        <v>0.47639259739816303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SUM(Apr!C4, May!C4, Jun!C4)</f>
        <v>39954</v>
      </c>
      <c r="D4" s="13">
        <f>SUM(Apr!D4, May!D4, Jun!D4)</f>
        <v>0</v>
      </c>
      <c r="E4" s="13">
        <f>IF(AND(ISNUMBER(C4),ISNUMBER(D4)), C4-D4, "")</f>
        <v>39954</v>
      </c>
      <c r="F4" s="14" t="str">
        <f>IFERROR(E4/D4, "")</f>
        <v/>
      </c>
      <c r="G4" s="15">
        <f>SUM(Apr!G4,May!G4,Jun!G4)</f>
        <v>58574</v>
      </c>
      <c r="H4" s="15">
        <f>SUM(Apr!H4, May!H4, Jun!H4)</f>
        <v>-18620</v>
      </c>
      <c r="I4" s="16">
        <f>IFERROR(H4/G4, "")</f>
        <v>-0.31788848294465122</v>
      </c>
    </row>
    <row r="5" spans="1:9" ht="15.6">
      <c r="A5" s="46" t="str">
        <v>New Haven - Brandfon Hyundai</v>
      </c>
      <c r="B5" s="10" t="str">
        <v>CT</v>
      </c>
      <c r="C5" s="11">
        <f>SUM(Apr!C5, May!C5, Jun!C5)</f>
        <v>46524.22</v>
      </c>
      <c r="D5" s="18">
        <f>SUM(Apr!D5, May!D5, Jun!D5)</f>
        <v>0</v>
      </c>
      <c r="E5" s="18">
        <f t="shared" ref="E5" si="0">IF(AND(ISNUMBER(C5),ISNUMBER(D5)), C5-D5, "")</f>
        <v>46524.22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E34" sqref="E34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BRANDFON</v>
      </c>
      <c r="B1" s="70"/>
      <c r="C1" s="70"/>
      <c r="D1" s="71" t="s">
        <v>14</v>
      </c>
      <c r="E1" s="71"/>
      <c r="F1" s="71"/>
      <c r="G1" s="69" t="s">
        <v>15</v>
      </c>
      <c r="H1" s="69"/>
      <c r="I1" s="69"/>
    </row>
    <row r="2" spans="1:9" ht="19.5" customHeight="1">
      <c r="A2" s="72" t="s">
        <v>2</v>
      </c>
      <c r="B2" s="72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6" t="str">
        <v>New Haven - Brandfon Hyundai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K4" activePane="bottomRight" state="frozen"/>
      <selection pane="bottomRight" activeCell="K23" sqref="K23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BRANDFON</v>
      </c>
      <c r="B1" s="70"/>
      <c r="C1" s="70"/>
      <c r="D1" s="71" t="s">
        <v>16</v>
      </c>
      <c r="E1" s="71"/>
      <c r="F1" s="71"/>
      <c r="G1" s="69" t="s">
        <v>17</v>
      </c>
      <c r="H1" s="69"/>
      <c r="I1" s="69"/>
    </row>
    <row r="2" spans="1:9" ht="19.5" customHeight="1">
      <c r="A2" s="72" t="s">
        <v>2</v>
      </c>
      <c r="B2" s="72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SUM(Oct!G4,Nov!G4,Dec!G40)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6" t="str">
        <v>New Haven - Brandfon Hyundai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>
        <f>SUM(Oct!G5,Nov!G5,Dec!G41)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06"/>
  <sheetViews>
    <sheetView zoomScale="80" zoomScaleNormal="80" workbookViewId="0">
      <pane xSplit="2" ySplit="3" topLeftCell="C4" activePane="bottomRight" state="frozen"/>
      <selection pane="bottomRight" activeCell="J9" sqref="J9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5" customWidth="1"/>
    <col min="4" max="5" width="13.28515625" customWidth="1"/>
    <col min="6" max="6" width="15.28515625" style="1" bestFit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0" t="str" cm="1">
        <f t="array" ref="A1">portfolio</f>
        <v>BRANDFON</v>
      </c>
      <c r="B1" s="70"/>
      <c r="C1" s="70"/>
      <c r="D1" s="71" t="s">
        <v>18</v>
      </c>
      <c r="E1" s="71"/>
      <c r="F1" s="71"/>
      <c r="G1" s="69" t="s">
        <v>19</v>
      </c>
      <c r="H1" s="69"/>
      <c r="I1" s="69"/>
      <c r="J1" s="4"/>
      <c r="K1" s="4"/>
    </row>
    <row r="2" spans="1:12" ht="19.5" customHeight="1">
      <c r="A2" s="72" t="s">
        <v>2</v>
      </c>
      <c r="B2" s="72"/>
      <c r="C2" s="5">
        <f>SUM(C4:C64)</f>
        <v>11534.15</v>
      </c>
      <c r="D2" s="5">
        <f>SUM(D4:D64)</f>
        <v>0</v>
      </c>
      <c r="E2" s="5">
        <f>C2-D2</f>
        <v>11534.15</v>
      </c>
      <c r="F2" s="6">
        <f>IFERROR(E2/D2, 0)</f>
        <v>0</v>
      </c>
      <c r="G2" s="5">
        <f>SUM(G4:G64)</f>
        <v>6972</v>
      </c>
      <c r="H2" s="7">
        <f>C2-G2</f>
        <v>4562.1499999999996</v>
      </c>
      <c r="I2" s="6">
        <f>IFERROR(H2/G2, 0)</f>
        <v>0.65435312679288582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72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5527.7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6972</v>
      </c>
      <c r="H4" s="15">
        <f>IF(AND(ISNUMBER(C4),ISNUMBER(G4)), C4-G4, "")</f>
        <v>-1444.3000000000002</v>
      </c>
      <c r="I4" s="16">
        <f>IFERROR(H4/G4, "")</f>
        <v>-0.20715720022948941</v>
      </c>
      <c r="J4" s="40" t="s">
        <v>23</v>
      </c>
      <c r="K4" s="61" t="s">
        <v>24</v>
      </c>
      <c r="L4" s="62" t="s">
        <v>25</v>
      </c>
    </row>
    <row r="5" spans="1:12" ht="15.6">
      <c r="A5" s="49" t="str">
        <v>New Haven - Brandfon Hyundai</v>
      </c>
      <c r="B5" s="30" t="str">
        <v>CT</v>
      </c>
      <c r="C5" s="11">
        <v>6006.45</v>
      </c>
      <c r="D5" s="18" t="s">
        <v>22</v>
      </c>
      <c r="E5" s="18" t="str">
        <f t="shared" ref="E5" si="0">IF(AND(ISNUMBER(C5),ISNUMBER(D5)), C5-D5, "")</f>
        <v/>
      </c>
      <c r="F5" s="19" t="str">
        <f t="shared" ref="F5" si="1">IFERROR(E5/D5, "")</f>
        <v/>
      </c>
      <c r="G5" s="60" t="s">
        <v>22</v>
      </c>
      <c r="H5" s="20" t="str">
        <f t="shared" ref="H5" si="2">IF(AND(ISNUMBER(C5),ISNUMBER(G5)), C5-G5, "")</f>
        <v/>
      </c>
      <c r="I5" s="19" t="str">
        <f t="shared" ref="I5" si="3">IFERROR(H5/G5, "")</f>
        <v/>
      </c>
      <c r="J5" s="41"/>
      <c r="K5" s="41"/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5.6">
      <c r="A15" s="21"/>
      <c r="B15" s="32"/>
      <c r="C15" s="21"/>
      <c r="D15" s="21"/>
      <c r="E15" s="21"/>
      <c r="F15" s="57"/>
      <c r="G15" s="21"/>
      <c r="H15" s="21"/>
      <c r="I15" s="22"/>
      <c r="J15" s="21"/>
      <c r="K15" s="21"/>
    </row>
    <row r="16" spans="1:12" ht="15.6">
      <c r="A16" s="21"/>
      <c r="B16" s="32"/>
      <c r="C16" s="57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58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</sheetData>
  <mergeCells count="4">
    <mergeCell ref="D1:F1"/>
    <mergeCell ref="A1:C1"/>
    <mergeCell ref="G1:I1"/>
    <mergeCell ref="A2:B2"/>
  </mergeCells>
  <conditionalFormatting sqref="F2 I2 F16:F64">
    <cfRule type="cellIs" dxfId="30" priority="8" stopIfTrue="1" operator="lessThanOrEqual">
      <formula>-0.1</formula>
    </cfRule>
    <cfRule type="expression" dxfId="29" priority="9">
      <formula>AND(ISNUMBER(F2), F2&gt;=0.1)</formula>
    </cfRule>
  </conditionalFormatting>
  <conditionalFormatting sqref="F4:F14 I4:I64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4" r:id="rId1" display="https://us3.assetplanner.com/service_request?ID=095178" xr:uid="{C02F37E0-BBAF-42C3-A94A-96DF1B86E5F6}"/>
    <hyperlink ref="L4" r:id="rId2" display="https://us3.assetplanner.com/service_request?ID=095703" xr:uid="{ED919059-3B68-418B-A13B-B0206F1EFA8B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07"/>
  <sheetViews>
    <sheetView workbookViewId="0">
      <pane xSplit="2" ySplit="3" topLeftCell="C4" activePane="bottomRight" state="frozen"/>
      <selection pane="bottomRight" activeCell="J7" sqref="J7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0" t="str" cm="1">
        <f t="array" ref="A1">portfolio</f>
        <v>BRANDFON</v>
      </c>
      <c r="B1" s="70"/>
      <c r="C1" s="70"/>
      <c r="D1" s="71" t="s">
        <v>26</v>
      </c>
      <c r="E1" s="71"/>
      <c r="F1" s="71"/>
      <c r="G1" s="69" t="s">
        <v>27</v>
      </c>
      <c r="H1" s="69"/>
      <c r="I1" s="69"/>
      <c r="J1" s="4"/>
      <c r="K1" s="4"/>
    </row>
    <row r="2" spans="1:12" ht="19.5" customHeight="1">
      <c r="A2" s="72" t="s">
        <v>2</v>
      </c>
      <c r="B2" s="72"/>
      <c r="C2" s="5">
        <f>SUM(C4:C65)</f>
        <v>14122.42</v>
      </c>
      <c r="D2" s="5">
        <f>SUM(D4:D65)</f>
        <v>0</v>
      </c>
      <c r="E2" s="5">
        <f>C2-D2</f>
        <v>14122.42</v>
      </c>
      <c r="F2" s="6">
        <f>IFERROR(E2/D2, 0)</f>
        <v>0</v>
      </c>
      <c r="G2" s="5">
        <f>SUM(G4:G65)</f>
        <v>9497</v>
      </c>
      <c r="H2" s="7">
        <f>C2-G2</f>
        <v>4625.42</v>
      </c>
      <c r="I2" s="6">
        <f>IFERROR(H2/G2, 0)</f>
        <v>0.48704011793197854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72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6524.59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9497</v>
      </c>
      <c r="H4" s="15">
        <f>IF(AND(ISNUMBER(C4),ISNUMBER(G4)), C4-G4, "")</f>
        <v>-2972.41</v>
      </c>
      <c r="I4" s="16">
        <f>IFERROR(H4/G4, "")</f>
        <v>-0.31298410024218171</v>
      </c>
      <c r="J4" s="40" t="s">
        <v>28</v>
      </c>
      <c r="K4" s="61" t="s">
        <v>24</v>
      </c>
      <c r="L4" s="62" t="s">
        <v>25</v>
      </c>
    </row>
    <row r="5" spans="1:12" ht="15.6">
      <c r="A5" s="49" t="str">
        <v>New Haven - Brandfon Hyundai</v>
      </c>
      <c r="B5" s="30" t="str">
        <v>CT</v>
      </c>
      <c r="C5" s="11">
        <v>7597.83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59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5178" xr:uid="{3CD14A64-ABCC-4BAE-A998-4705D868FD61}"/>
    <hyperlink ref="L4" r:id="rId2" display="https://us3.assetplanner.com/service_request?ID=095703" xr:uid="{1A7AE9DC-B430-47C0-AC7C-58F8D01A95F5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07"/>
  <sheetViews>
    <sheetView workbookViewId="0">
      <pane xSplit="2" ySplit="3" topLeftCell="C4" activePane="bottomRight" state="frozen"/>
      <selection pane="bottomRight" activeCell="J5" sqref="J5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0" t="str" cm="1">
        <f t="array" ref="A1">portfolio</f>
        <v>BRANDFON</v>
      </c>
      <c r="B1" s="70"/>
      <c r="C1" s="70"/>
      <c r="D1" s="71" t="s">
        <v>29</v>
      </c>
      <c r="E1" s="71"/>
      <c r="F1" s="71"/>
      <c r="G1" s="69" t="s">
        <v>30</v>
      </c>
      <c r="H1" s="69"/>
      <c r="I1" s="69"/>
      <c r="J1" s="4"/>
      <c r="K1" s="4"/>
    </row>
    <row r="2" spans="1:12" ht="19.5" customHeight="1">
      <c r="A2" s="72" t="s">
        <v>2</v>
      </c>
      <c r="B2" s="72"/>
      <c r="C2" s="5">
        <f>SUM(C4:C65)</f>
        <v>24887.97</v>
      </c>
      <c r="D2" s="5">
        <f>SUM(D4:D65)</f>
        <v>0</v>
      </c>
      <c r="E2" s="5">
        <f>C2-D2</f>
        <v>24887.97</v>
      </c>
      <c r="F2" s="6">
        <f>IFERROR(E2/D2, 0)</f>
        <v>0</v>
      </c>
      <c r="G2" s="5">
        <f>SUM(G4:G65)</f>
        <v>15552</v>
      </c>
      <c r="H2" s="7">
        <f>C2-G2</f>
        <v>9335.9700000000012</v>
      </c>
      <c r="I2" s="6">
        <f>IFERROR(H2/G2, 0)</f>
        <v>0.60030671296296301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54" customHeight="1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11466.4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15552</v>
      </c>
      <c r="H4" s="15">
        <f>IF(AND(ISNUMBER(C4),ISNUMBER(G4)), C4-G4, "")</f>
        <v>-4085.6000000000004</v>
      </c>
      <c r="I4" s="16">
        <f>IFERROR(H4/G4, "")</f>
        <v>-0.26270576131687245</v>
      </c>
      <c r="J4" s="40" t="s">
        <v>31</v>
      </c>
      <c r="K4" s="61" t="s">
        <v>32</v>
      </c>
    </row>
    <row r="5" spans="1:12" ht="67.5" customHeight="1">
      <c r="A5" s="49" t="str">
        <v>New Haven - Brandfon Hyundai</v>
      </c>
      <c r="B5" s="30" t="str">
        <v>CT</v>
      </c>
      <c r="C5" s="11">
        <v>13421.57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33</v>
      </c>
      <c r="K5" s="63" t="s">
        <v>34</v>
      </c>
      <c r="L5" s="62" t="s">
        <v>35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7" stopIfTrue="1" operator="lessThanOrEqual">
      <formula>-0.1</formula>
    </cfRule>
    <cfRule type="expression" dxfId="23" priority="8">
      <formula>AND(ISNUMBER(F2), F2&gt;=0.1)</formula>
    </cfRule>
  </conditionalFormatting>
  <conditionalFormatting sqref="F4:F65 I4:I65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85236" xr:uid="{925F75C3-1592-424B-8C92-BF6EC74F84D0}"/>
    <hyperlink ref="K5" r:id="rId2" display="https://us3.assetplanner.com/service_request?ID=089771" xr:uid="{2ACD78F9-47FE-4A60-8255-C7549DAC359F}"/>
    <hyperlink ref="L5" r:id="rId3" display="https://us3.assetplanner.com/service_request?ID=085289" xr:uid="{888D884C-4996-4C9A-ADCC-A01224F206C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07"/>
  <sheetViews>
    <sheetView workbookViewId="0">
      <pane xSplit="2" ySplit="3" topLeftCell="G4" activePane="bottomRight" state="frozen"/>
      <selection pane="bottomRight" activeCell="L1" sqref="L1:L1048576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70" t="str" cm="1">
        <f t="array" ref="A1">portfolio</f>
        <v>BRANDFON</v>
      </c>
      <c r="B1" s="70"/>
      <c r="C1" s="70"/>
      <c r="D1" s="71" t="s">
        <v>36</v>
      </c>
      <c r="E1" s="71"/>
      <c r="F1" s="71"/>
      <c r="G1" s="69" t="s">
        <v>37</v>
      </c>
      <c r="H1" s="69"/>
      <c r="I1" s="69"/>
      <c r="J1" s="4"/>
      <c r="K1" s="4"/>
    </row>
    <row r="2" spans="1:12" ht="19.5" customHeight="1">
      <c r="A2" s="72" t="s">
        <v>2</v>
      </c>
      <c r="B2" s="72"/>
      <c r="C2" s="5">
        <f>SUM(C4:C65)</f>
        <v>29010.07</v>
      </c>
      <c r="D2" s="5">
        <f>SUM(D4:D65)</f>
        <v>0</v>
      </c>
      <c r="E2" s="5">
        <f>C2-D2</f>
        <v>29010.07</v>
      </c>
      <c r="F2" s="6">
        <f>IFERROR(E2/D2, 0)</f>
        <v>0</v>
      </c>
      <c r="G2" s="5">
        <f>SUM(G4:G65)</f>
        <v>17255</v>
      </c>
      <c r="H2" s="7">
        <f>C2-G2</f>
        <v>11755.07</v>
      </c>
      <c r="I2" s="6">
        <f>IFERROR(H2/G2, 0)</f>
        <v>0.68125586786438708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13321.6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17255</v>
      </c>
      <c r="H4" s="15">
        <f>IF(AND(ISNUMBER(C4),ISNUMBER(G4)), C4-G4, "")</f>
        <v>-3933.3999999999996</v>
      </c>
      <c r="I4" s="16">
        <f>IFERROR(H4/G4, "")</f>
        <v>-0.22795711388003476</v>
      </c>
      <c r="J4" s="40" t="s">
        <v>38</v>
      </c>
      <c r="K4" s="61" t="s">
        <v>32</v>
      </c>
    </row>
    <row r="5" spans="1:12" ht="43.15">
      <c r="A5" s="29" t="str">
        <v>New Haven - Brandfon Hyundai</v>
      </c>
      <c r="B5" s="30" t="str">
        <v>CT</v>
      </c>
      <c r="C5" s="11">
        <v>15688.47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39</v>
      </c>
      <c r="K5" s="65" t="s">
        <v>40</v>
      </c>
      <c r="L5" s="67" t="s">
        <v>41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85236" xr:uid="{DD460518-53EE-4400-AC34-007E8B0D28D4}"/>
    <hyperlink ref="K5" r:id="rId2" display="https://us3.assetplanner.com/service_request?ID=089771" xr:uid="{BA9A4248-FE41-4B5C-939A-FBCAA5AF2E61}"/>
    <hyperlink ref="L5" r:id="rId3" display="https://us3.assetplanner.com/service_request?ID=103756" xr:uid="{58498EE2-0352-48E1-B08C-6B23573E98BD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07"/>
  <sheetViews>
    <sheetView workbookViewId="0">
      <pane xSplit="2" ySplit="3" topLeftCell="I4" activePane="bottomRight" state="frozen"/>
      <selection pane="bottomRight" activeCell="L1" sqref="L1:L1048576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70" t="str" cm="1">
        <f t="array" ref="A1">portfolio</f>
        <v>BRANDFON</v>
      </c>
      <c r="B1" s="70"/>
      <c r="C1" s="70"/>
      <c r="D1" s="71" t="s">
        <v>42</v>
      </c>
      <c r="E1" s="71"/>
      <c r="F1" s="71"/>
      <c r="G1" s="69" t="s">
        <v>43</v>
      </c>
      <c r="H1" s="69"/>
      <c r="I1" s="69"/>
      <c r="J1" s="4"/>
      <c r="K1" s="4"/>
    </row>
    <row r="2" spans="1:12" ht="19.5" customHeight="1">
      <c r="A2" s="72" t="s">
        <v>2</v>
      </c>
      <c r="B2" s="72"/>
      <c r="C2" s="5">
        <f>SUM(C4:C65)</f>
        <v>27751.23</v>
      </c>
      <c r="D2" s="5">
        <f>SUM(D4:D65)</f>
        <v>0</v>
      </c>
      <c r="E2" s="5">
        <f>C2-D2</f>
        <v>27751.23</v>
      </c>
      <c r="F2" s="6">
        <f>IFERROR(E2/D2, 0)</f>
        <v>0</v>
      </c>
      <c r="G2" s="5">
        <f>SUM(G4:G65)</f>
        <v>20385</v>
      </c>
      <c r="H2" s="7">
        <f>C2-G2</f>
        <v>7366.23</v>
      </c>
      <c r="I2" s="6">
        <f>IFERROR(H2/G2, 0)</f>
        <v>0.36135540838852093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12823.1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20385</v>
      </c>
      <c r="H4" s="15">
        <f>IF(AND(ISNUMBER(C4),ISNUMBER(G4)), C4-G4, "")</f>
        <v>-7561.9</v>
      </c>
      <c r="I4" s="16">
        <f>IFERROR(H4/G4, "")</f>
        <v>-0.37095413294088792</v>
      </c>
      <c r="J4" s="40" t="s">
        <v>38</v>
      </c>
      <c r="K4" s="61" t="s">
        <v>32</v>
      </c>
    </row>
    <row r="5" spans="1:12" ht="57" customHeight="1">
      <c r="A5" s="29" t="str">
        <v>New Haven - Brandfon Hyundai</v>
      </c>
      <c r="B5" s="30" t="str">
        <v>CT</v>
      </c>
      <c r="C5" s="11">
        <v>14928.13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64" t="s">
        <v>44</v>
      </c>
      <c r="K5" s="63" t="s">
        <v>45</v>
      </c>
      <c r="L5" s="67" t="s">
        <v>41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85236" xr:uid="{0A567D9A-825E-481F-843F-AFBD7B1D0BA2}"/>
    <hyperlink ref="K5" r:id="rId2" display="https://us3.assetplanner.com/service_request?ID=089771" xr:uid="{7435DE8B-865F-4965-8944-BFC3C14DE0A7}"/>
    <hyperlink ref="L5" r:id="rId3" display="https://us3.assetplanner.com/service_request?ID=103756" xr:uid="{F8A1EE9E-A68C-42C4-9444-A10D35B0A40A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07"/>
  <sheetViews>
    <sheetView tabSelected="1" zoomScale="90" zoomScaleNormal="90" workbookViewId="0">
      <pane xSplit="2" ySplit="3" topLeftCell="H4" activePane="bottomRight" state="frozen"/>
      <selection pane="bottomRight" activeCell="K5" sqref="K5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70" t="str" cm="1">
        <f t="array" ref="A1">portfolio</f>
        <v>BRANDFON</v>
      </c>
      <c r="B1" s="70"/>
      <c r="C1" s="70"/>
      <c r="D1" s="71" t="s">
        <v>46</v>
      </c>
      <c r="E1" s="71"/>
      <c r="F1" s="71"/>
      <c r="G1" s="69" t="s">
        <v>47</v>
      </c>
      <c r="H1" s="69"/>
      <c r="I1" s="69"/>
      <c r="J1" s="4"/>
      <c r="K1" s="4"/>
    </row>
    <row r="2" spans="1:12" ht="19.5" customHeight="1">
      <c r="A2" s="72" t="s">
        <v>2</v>
      </c>
      <c r="B2" s="72"/>
      <c r="C2" s="5">
        <f>SUM(C4:C65)</f>
        <v>29716.92</v>
      </c>
      <c r="D2" s="5">
        <f>SUM(D4:D65)</f>
        <v>0</v>
      </c>
      <c r="E2" s="5">
        <f>C2-D2</f>
        <v>29716.92</v>
      </c>
      <c r="F2" s="6">
        <f>IFERROR(E2/D2, 0)</f>
        <v>0</v>
      </c>
      <c r="G2" s="5">
        <f>SUM(G4:G65)</f>
        <v>20934</v>
      </c>
      <c r="H2" s="7">
        <f>C2-G2</f>
        <v>8782.9199999999983</v>
      </c>
      <c r="I2" s="6">
        <f>IFERROR(H2/G2, 0)</f>
        <v>0.41955288048151324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13809.3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20934</v>
      </c>
      <c r="H4" s="15">
        <f>IF(AND(ISNUMBER(C4),ISNUMBER(G4)), C4-G4, "")</f>
        <v>-7124.7000000000007</v>
      </c>
      <c r="I4" s="16">
        <f>IFERROR(H4/G4, "")</f>
        <v>-0.3403410719403841</v>
      </c>
      <c r="J4" s="40" t="s">
        <v>38</v>
      </c>
      <c r="K4" s="61" t="s">
        <v>32</v>
      </c>
    </row>
    <row r="5" spans="1:12" ht="57.6">
      <c r="A5" s="29" t="str">
        <v>New Haven - Brandfon Hyundai</v>
      </c>
      <c r="B5" s="30" t="str">
        <v>CT</v>
      </c>
      <c r="C5" s="11">
        <v>15907.62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48</v>
      </c>
      <c r="K5" s="68" t="s">
        <v>49</v>
      </c>
      <c r="L5" s="67" t="s">
        <v>50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85236" xr:uid="{7849E198-AE93-437E-BE5F-ACD13EF08F44}"/>
    <hyperlink ref="K5" r:id="rId2" display="https://us3.assetplanner.com/service_request?ID=089771" xr:uid="{B6E5C929-5352-46CE-A47E-ABC2456B7489}"/>
    <hyperlink ref="L5" r:id="rId3" display="https://us3.assetplanner.com/service_request?ID=102859" xr:uid="{8569492C-067F-4E89-B0C3-0CD0275D95E2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BRANDFON</v>
      </c>
      <c r="B1" s="70"/>
      <c r="C1" s="70"/>
      <c r="D1" s="71" t="s">
        <v>51</v>
      </c>
      <c r="E1" s="71"/>
      <c r="F1" s="71"/>
      <c r="G1" s="69" t="s">
        <v>52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BRANDFON</v>
      </c>
      <c r="B1" s="70"/>
      <c r="C1" s="70"/>
      <c r="D1" s="71" t="s">
        <v>53</v>
      </c>
      <c r="E1" s="71"/>
      <c r="F1" s="71"/>
      <c r="G1" s="69" t="s">
        <v>54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BRANDFON</v>
      </c>
      <c r="B1" s="70"/>
      <c r="C1" s="70"/>
      <c r="D1" s="71" t="s">
        <v>55</v>
      </c>
      <c r="E1" s="71"/>
      <c r="F1" s="71"/>
      <c r="G1" s="69" t="s">
        <v>56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BRANDFON</v>
      </c>
      <c r="B1" s="70"/>
      <c r="C1" s="70"/>
      <c r="D1" s="71" t="s">
        <v>57</v>
      </c>
      <c r="E1" s="71"/>
      <c r="F1" s="71"/>
      <c r="G1" s="69" t="s">
        <v>58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6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/>
      <c r="K5" s="55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BRANDFON</v>
      </c>
      <c r="B1" s="70"/>
      <c r="C1" s="70"/>
      <c r="D1" s="71" t="s">
        <v>59</v>
      </c>
      <c r="E1" s="71"/>
      <c r="F1" s="71"/>
      <c r="G1" s="69" t="s">
        <v>60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/>
      <c r="K5" s="55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7" sqref="J27"/>
      <selection pane="topRight" activeCell="J27" sqref="J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BRANDFON</v>
      </c>
      <c r="B1" s="70"/>
      <c r="C1" s="70"/>
      <c r="D1" s="71" t="s">
        <v>61</v>
      </c>
      <c r="E1" s="71"/>
      <c r="F1" s="71"/>
      <c r="G1" s="69" t="s">
        <v>62</v>
      </c>
      <c r="H1" s="69"/>
      <c r="I1" s="69"/>
      <c r="J1" s="4"/>
      <c r="K1" s="4"/>
    </row>
    <row r="2" spans="1:11" ht="19.5" customHeight="1">
      <c r="A2" s="72" t="s">
        <v>2</v>
      </c>
      <c r="B2" s="72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/>
      <c r="K5" s="55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0" sqref="D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63</v>
      </c>
      <c r="B1" t="s">
        <v>64</v>
      </c>
    </row>
    <row r="3" spans="1:12" ht="13.15">
      <c r="A3" t="s">
        <v>65</v>
      </c>
      <c r="B3" t="s">
        <v>3</v>
      </c>
      <c r="C3" t="s">
        <v>4</v>
      </c>
      <c r="D3" t="s">
        <v>66</v>
      </c>
      <c r="E3" s="2" t="s">
        <v>67</v>
      </c>
    </row>
    <row r="4" spans="1:12" ht="14.45">
      <c r="A4" s="50" t="s">
        <v>68</v>
      </c>
      <c r="B4" s="51" t="s">
        <v>69</v>
      </c>
      <c r="C4" s="51" t="s">
        <v>70</v>
      </c>
      <c r="D4" t="s">
        <v>71</v>
      </c>
      <c r="E4" t="s">
        <v>72</v>
      </c>
      <c r="G4" s="3"/>
    </row>
    <row r="5" spans="1:12" ht="14.45">
      <c r="A5" s="52" t="s">
        <v>73</v>
      </c>
      <c r="B5" s="53" t="s">
        <v>74</v>
      </c>
      <c r="C5" s="54" t="s">
        <v>70</v>
      </c>
      <c r="D5" t="s">
        <v>75</v>
      </c>
      <c r="E5" t="s">
        <v>72</v>
      </c>
      <c r="G5" s="3"/>
    </row>
    <row r="6" spans="1:12" ht="14.45">
      <c r="A6" s="47"/>
      <c r="C6" s="44"/>
      <c r="D6" s="43"/>
      <c r="G6" s="3"/>
    </row>
    <row r="7" spans="1:12" ht="12.75" customHeight="1">
      <c r="A7" s="47"/>
      <c r="C7" s="44"/>
      <c r="D7" s="43"/>
    </row>
    <row r="8" spans="1:12" ht="12.75" customHeight="1">
      <c r="A8" s="47"/>
      <c r="C8" s="44"/>
      <c r="D8" s="43"/>
    </row>
    <row r="9" spans="1:12" ht="12.75" customHeight="1">
      <c r="A9" s="47"/>
      <c r="C9" s="44"/>
      <c r="D9" s="43"/>
    </row>
    <row r="10" spans="1:12" ht="12.75" customHeight="1">
      <c r="A10" s="47"/>
      <c r="C10" s="44"/>
      <c r="D10" s="43"/>
      <c r="K10" s="42"/>
      <c r="L10" s="42"/>
    </row>
    <row r="11" spans="1:12" ht="12.75" customHeight="1">
      <c r="A11" s="47"/>
      <c r="C11" s="44"/>
      <c r="D11" s="43"/>
      <c r="K11" s="42"/>
      <c r="L11" s="42"/>
    </row>
    <row r="12" spans="1:12" ht="12.75" customHeight="1">
      <c r="A12" s="47"/>
      <c r="C12" s="44"/>
      <c r="D12" s="43"/>
      <c r="K12" s="42"/>
      <c r="L12" s="42"/>
    </row>
    <row r="13" spans="1:12" ht="12.75" customHeight="1">
      <c r="A13" s="47"/>
      <c r="C13" s="44"/>
      <c r="D13" s="43"/>
      <c r="K13" s="42"/>
      <c r="L13" s="42"/>
    </row>
    <row r="14" spans="1:12" ht="12.75" customHeight="1">
      <c r="A14" s="47"/>
      <c r="C14" s="44"/>
      <c r="D14" s="43"/>
      <c r="K14" s="42"/>
      <c r="L14" s="42"/>
    </row>
    <row r="15" spans="1:12" ht="12.75" customHeight="1">
      <c r="A15" s="47"/>
      <c r="C15" s="44"/>
      <c r="D15" s="43"/>
      <c r="K15" s="42"/>
      <c r="L15" s="42"/>
    </row>
    <row r="16" spans="1:12" ht="12.75" customHeight="1">
      <c r="A16" s="47"/>
      <c r="C16" s="44"/>
      <c r="D16" s="43"/>
      <c r="K16" s="42"/>
      <c r="L16" s="42"/>
    </row>
    <row r="17" spans="1:12" ht="12.75" customHeight="1">
      <c r="A17" s="47"/>
      <c r="C17" s="44"/>
      <c r="D17" s="43"/>
      <c r="K17" s="42"/>
      <c r="L17" s="42"/>
    </row>
    <row r="18" spans="1:12" ht="12.75" customHeight="1">
      <c r="A18" s="47"/>
      <c r="C18" s="44"/>
      <c r="D18" s="43"/>
      <c r="K18" s="42"/>
      <c r="L18" s="42"/>
    </row>
    <row r="19" spans="1:12" ht="12.75" customHeight="1">
      <c r="A19" s="47"/>
      <c r="C19" s="44"/>
      <c r="D19" s="43"/>
      <c r="K19" s="42"/>
      <c r="L19" s="42"/>
    </row>
    <row r="20" spans="1:12" ht="12.75" customHeight="1">
      <c r="A20" s="47"/>
      <c r="C20" s="44"/>
      <c r="D20" s="43"/>
      <c r="K20" s="42"/>
      <c r="L20" s="42"/>
    </row>
    <row r="21" spans="1:12" ht="12.75" customHeight="1">
      <c r="A21" s="47"/>
      <c r="C21" s="44"/>
      <c r="D21" s="43"/>
      <c r="K21" s="42"/>
      <c r="L21" s="42"/>
    </row>
    <row r="22" spans="1:12" ht="12.75" customHeight="1">
      <c r="A22" s="47"/>
      <c r="C22" s="44"/>
      <c r="D22" s="43"/>
      <c r="K22" s="42"/>
      <c r="L22" s="42"/>
    </row>
    <row r="23" spans="1:12" ht="12.75" customHeight="1">
      <c r="A23" s="47"/>
      <c r="C23" s="44"/>
      <c r="D23" s="43"/>
      <c r="K23" s="42"/>
      <c r="L23" s="42"/>
    </row>
    <row r="24" spans="1:12" ht="12.75" customHeight="1">
      <c r="A24" s="47"/>
      <c r="C24" s="44"/>
      <c r="D24" s="43"/>
      <c r="K24" s="42"/>
      <c r="L24" s="42"/>
    </row>
    <row r="25" spans="1:12" ht="12.75" customHeight="1">
      <c r="A25" s="47"/>
      <c r="C25" s="44"/>
      <c r="D25" s="43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9E77B245-DF58-4C85-93D9-EB4D9D07E0F1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