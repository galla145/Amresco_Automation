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88D274B5-5284-4909-BEE9-402F62F45E72}" xr6:coauthVersionLast="47" xr6:coauthVersionMax="47" xr10:uidLastSave="{00000000-0000-0000-0000-000000000000}"/>
  <bookViews>
    <workbookView xWindow="-108" yWindow="-108" windowWidth="23256" windowHeight="1245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H4" i="33"/>
  <c r="H4" i="32"/>
  <c r="G4" i="29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I4" i="33"/>
  <c r="E4" i="33"/>
  <c r="F4" i="33" s="1"/>
  <c r="G2" i="33"/>
  <c r="D2" i="33"/>
  <c r="C2" i="33"/>
  <c r="A1" i="33" a="1"/>
  <c r="A1" i="33" s="1"/>
  <c r="I4" i="32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<sst xmlns="http://schemas.openxmlformats.org/spreadsheetml/2006/main" count="254" uniqueCount="56">
  <si>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</si>
  <si>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</si>
  <si>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</si>
  <si>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</si>
  <si>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</si>
  <si>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</si>
  <si>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</si>
  <si>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</si>
  <si>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</si>
  <si>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</si>
  <si>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</si>
  <si>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</si>
  <si>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</si>
  <si>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</si>
  <si>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</si>
  <si>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</si>
  <si>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</si>
  <si>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</si>
  <si>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</si>
  <si>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</si>
  <si>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</si>
  <si>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</si>
  <si>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</si>
  <si>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</si>
  <si>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</si>
  <si>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</si>
  <si>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</si>
  <si>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</si>
  <si>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</si>
  <si>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</si>
  <si>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</si>
  <si>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1.Inverter 3 was offline from 07:00 on 05/20 to 13:00 on 05/23.Inverter 3 back online after technician cleared the arc fault</t>
  </si>
  <si>
    <t>1.SR101722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</si>
  <si>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</si>
  <si>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</si>
  <si>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</si>
  <si>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</si>
  <si>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</si>
  <si>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</si>
  <si>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</si>
  <si>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</si>
  <si>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</si>
  <si>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</si>
  <si>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</si>
  <si>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</si>
  <si>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</si>
  <si>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</si>
  <si>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</si>
  <si>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Bio-Med Devices</t>
  </si>
  <si>
    <t>Site DAS Name</t>
  </si>
  <si>
    <t>Update</t>
  </si>
  <si>
    <t>DAS</t>
  </si>
  <si>
    <t>CT: Guildford - Bio-Med Devices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</si>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</sst>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49" fontId="35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172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6"/>
  <sheetViews>
    <sheetView workbookViewId="0">
      <pane xSplit="2" ySplit="3" topLeftCell="C4" activePane="bottomRight" state="frozen"/>
      <selection pane="bottomRight" activeCell="C4" sqref="C4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Bio-Med Devices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5">
        <f>SUM(C4:C74)</f>
        <v>76469.56</v>
      </c>
      <c r="D2" s="5">
        <f>SUM(D4:D74)</f>
        <v>0</v>
      </c>
      <c r="E2" s="5">
        <f>C2-D2</f>
        <v>76469.56</v>
      </c>
      <c r="F2" s="6">
        <f>IFERROR(E2/D2, 0)</f>
        <v>0</v>
      </c>
      <c r="G2" s="5">
        <f>SUM(G4:G74)</f>
        <v>0</v>
      </c>
      <c r="H2" s="7">
        <f>C2-G2</f>
        <v>76469.56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0" t="str" cm="1">
        <f t="array" ref="A4">Sites[Site]</f>
        <v>CT: Guildford - Bio-Med Devices</v>
      </c>
      <c r="B4" s="9" t="str" cm="1">
        <f t="array" ref="B4">Sites[State]</f>
        <v>CT</v>
      </c>
      <c r="C4" s="19">
        <f>SUM('1st Qtr'!C4, '2nd Qtr'!C4, '3rd Qtr'!C4, '4th Qtr'!C4)</f>
        <v>76469.56</v>
      </c>
      <c r="D4" s="11">
        <f>SUM('1st Qtr'!D4, '2nd Qtr'!D4, '3rd Qtr'!D4, '4th Qtr'!D4)</f>
        <v>0</v>
      </c>
      <c r="E4" s="11">
        <f>IF(AND(ISNUMBER(C4),ISNUMBER(D4)), C4-D4, "")</f>
        <v>76469.56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0</v>
      </c>
      <c r="I4" s="14" t="str">
        <f>IFERROR(H4/G4, "")</f>
        <v/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4 I4:I74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6"/>
  <sheetViews>
    <sheetView workbookViewId="0">
      <pane xSplit="2" ySplit="3" topLeftCell="C4" activePane="bottomRight" state="frozen"/>
      <selection pane="bottomRight" activeCell="G4" sqref="G4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Bio-Med Devices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5">
        <f>SUM(C4:C74)</f>
        <v>27589.35</v>
      </c>
      <c r="D2" s="5">
        <f>SUM(D4:D74)</f>
        <v>0</v>
      </c>
      <c r="E2" s="5">
        <f>C2-D2</f>
        <v>27589.35</v>
      </c>
      <c r="F2" s="6">
        <f>IFERROR(E2/D2, 0)</f>
        <v>0</v>
      </c>
      <c r="G2" s="5">
        <f>SUM(G4:G74)</f>
        <v>0</v>
      </c>
      <c r="H2" s="7">
        <f>C2-G2</f>
        <v>27589.35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7" t="str" cm="1">
        <f t="array" ref="A4">Sites[Site]</f>
        <v>CT: Guildford - Bio-Med Devices</v>
      </c>
      <c r="B4" s="9" t="str" cm="1">
        <f t="array" ref="B4">Sites[State]</f>
        <v>CT</v>
      </c>
      <c r="C4" s="19">
        <f>SUM(Jan!C4, Feb!C4, Mar!C4)</f>
        <v>27589.35</v>
      </c>
      <c r="D4" s="11">
        <f>SUM(Jan!D4, Feb!D4, Mar!D4)</f>
        <v>0</v>
      </c>
      <c r="E4" s="11">
        <f>IF(AND(ISNUMBER(C4),ISNUMBER(D4)), C4-D4, "")</f>
        <v>27589.35</v>
      </c>
      <c r="F4" s="12" t="str">
        <f>IFERROR(E4/D4, "")</f>
        <v/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4 I4:I74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6"/>
  <sheetViews>
    <sheetView workbookViewId="0">
      <pane xSplit="2" ySplit="3" topLeftCell="C4" activePane="bottomRight" state="frozen"/>
      <selection pane="bottomRight" activeCell="C4" sqref="C4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Bio-Med Devices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5">
        <f>SUM(C4:C74)</f>
        <v>48880.210000000006</v>
      </c>
      <c r="D2" s="5">
        <f>SUM(D4:D74)</f>
        <v>0</v>
      </c>
      <c r="E2" s="5">
        <f>C2-D2</f>
        <v>48880.210000000006</v>
      </c>
      <c r="F2" s="6">
        <f>IFERROR(E2/D2, 0)</f>
        <v>0</v>
      </c>
      <c r="G2" s="5">
        <f>SUM(G4:G74)</f>
        <v>0</v>
      </c>
      <c r="H2" s="7">
        <f>C2-G2</f>
        <v>48880.210000000006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7" t="str" cm="1">
        <f t="array" ref="A4">Sites[Site]</f>
        <v>CT: Guildford - Bio-Med Devices</v>
      </c>
      <c r="B4" s="9" t="str" cm="1">
        <f t="array" ref="B4">Sites[State]</f>
        <v>CT</v>
      </c>
      <c r="C4" s="19">
        <f>SUM(Apr!C4, May!C4, Jun!C4)</f>
        <v>48880.210000000006</v>
      </c>
      <c r="D4" s="11">
        <f>SUM(Apr!D4, May!D4, Jun!D4)</f>
        <v>0</v>
      </c>
      <c r="E4" s="11">
        <f>IF(AND(ISNUMBER(C4),ISNUMBER(D4)), C4-D4, "")</f>
        <v>48880.210000000006</v>
      </c>
      <c r="F4" s="12" t="str">
        <f>IFERROR(E4/D4, "")</f>
        <v/>
      </c>
      <c r="G4" s="13">
        <f>SUM(Apr!G4,May!G4,Jun!G4)</f>
        <v>0</v>
      </c>
      <c r="H4" s="13">
        <f>SUM(Apr!H4, May!H4, Jun!H4)</f>
        <v>0</v>
      </c>
      <c r="I4" s="14" t="str">
        <f>IFERROR(H4/G4, "")</f>
        <v/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4 I4:I74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6"/>
  <sheetViews>
    <sheetView workbookViewId="0">
      <pane xSplit="2" ySplit="3" topLeftCell="C4" activePane="bottomRight" state="frozen"/>
      <selection pane="bottomRight" activeCell="G4" sqref="G4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Bio-Med Devices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7" t="str" cm="1">
        <f t="array" ref="A4">Sites[Site]</f>
        <v>CT: Guildford - Bio-Med Devices</v>
      </c>
      <c r="B4" s="9" t="str" cm="1">
        <f t="array" ref="B4">Sites[State]</f>
        <v>CT</v>
      </c>
      <c r="C4" s="19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5.6">
      <c r="A5" s="15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mergeCells count="4">
    <mergeCell ref="G1:I1"/>
    <mergeCell ref="A1:C1"/>
    <mergeCell ref="D1:F1"/>
    <mergeCell ref="A2:B2"/>
  </mergeCells>
  <conditionalFormatting sqref="F2 I2 F4:F74 I4:I74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6"/>
  <sheetViews>
    <sheetView workbookViewId="0">
      <pane xSplit="2" ySplit="3" topLeftCell="C4" activePane="bottomRight" state="frozen"/>
      <selection pane="bottomRight" activeCell="H12" sqref="H12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Bio-Med Devices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7" t="str" cm="1">
        <f t="array" ref="A4">Sites[Site]</f>
        <v>CT: Guildford - Bio-Med Devices</v>
      </c>
      <c r="B4" s="9" t="str" cm="1">
        <f t="array" ref="B4">Sites[State]</f>
        <v>CT</v>
      </c>
      <c r="C4" s="19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mergeCells count="4">
    <mergeCell ref="G1:I1"/>
    <mergeCell ref="A1:C1"/>
    <mergeCell ref="D1:F1"/>
    <mergeCell ref="A2:B2"/>
  </mergeCells>
  <conditionalFormatting sqref="F2 I2 F4:F74 I4:I74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5"/>
  <sheetViews>
    <sheetView zoomScale="80" zoomScaleNormal="80" workbookViewId="0">
      <pane xSplit="2" ySplit="3" topLeftCell="C4" activePane="bottomRight" state="frozen"/>
      <selection pane="bottomRight" activeCell="G4" sqref="G4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SUM(C4:C73)</f>
        <v>6047.8</v>
      </c>
      <c r="D2" s="5">
        <f>SUM(D4:D73)</f>
        <v>0</v>
      </c>
      <c r="E2" s="5">
        <f>C2-D2</f>
        <v>6047.8</v>
      </c>
      <c r="F2" s="6">
        <f>IFERROR(E2/D2, 0)</f>
        <v>0</v>
      </c>
      <c r="G2" s="5">
        <f>SUM(G4:G73)</f>
        <v>0</v>
      </c>
      <c r="H2" s="7">
        <f>C2-G2</f>
        <v>6047.8</v>
      </c>
      <c r="I2" s="6">
        <f>IFERROR(H2/G2, 0)</f>
        <v>0</v>
      </c>
      <c r="J2" s="21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2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32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39" t="str" cm="1">
        <f t="array" ref="A4">Sites[Site]</f>
        <v>CT: Guildford - Bio-Med Devices</v>
      </c>
      <c r="B4" s="23" t="str" cm="1">
        <f t="array" ref="B4">Sites[State]</f>
        <v>CT</v>
      </c>
      <c r="C4" s="19">
        <v>6047.8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7"/>
      <c r="G6" s="16"/>
      <c r="H6" s="16"/>
      <c r="I6" s="17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3 I4:I73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G4" sqref="G4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23</v>
      </c>
      <c r="E1" s="45"/>
      <c r="F1" s="45"/>
      <c r="G1" s="43" t="s">
        <v>24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7803.56</v>
      </c>
      <c r="D2" s="5">
        <f>SUM(D4:D74)</f>
        <v>0</v>
      </c>
      <c r="E2" s="5">
        <f>C2-D2</f>
        <v>7803.56</v>
      </c>
      <c r="F2" s="6">
        <f>IFERROR(E2/D2, 0)</f>
        <v>0</v>
      </c>
      <c r="G2" s="5">
        <f>SUM(G4:G74)</f>
        <v>0</v>
      </c>
      <c r="H2" s="7">
        <f>C2-G2</f>
        <v>7803.56</v>
      </c>
      <c r="I2" s="6">
        <f>IFERROR(H2/G2, 0)</f>
        <v>0</v>
      </c>
      <c r="J2" s="2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39" t="str" cm="1">
        <f t="array" ref="A4">Sites[Site]</f>
        <v>CT: Guildford - Bio-Med Devices</v>
      </c>
      <c r="B4" s="23" t="str" cm="1">
        <f t="array" ref="B4">Sites[State]</f>
        <v>CT</v>
      </c>
      <c r="C4" s="19">
        <v>7803.56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6"/>
  <sheetViews>
    <sheetView tabSelected="1" zoomScale="80" zoomScaleNormal="80" workbookViewId="0">
      <pane xSplit="2" ySplit="3" topLeftCell="C4" activePane="bottomRight" state="frozen"/>
      <selection pane="bottomRight" activeCell="G22" sqref="G22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5.42578125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13737.99</v>
      </c>
      <c r="D2" s="5">
        <f>SUM(D4:D74)</f>
        <v>0</v>
      </c>
      <c r="E2" s="5">
        <f>C2-D2</f>
        <v>13737.99</v>
      </c>
      <c r="F2" s="6">
        <f>IFERROR(E2/D2, 0)</f>
        <v>0</v>
      </c>
      <c r="G2" s="5">
        <f>SUM(G4:G74)</f>
        <v>0</v>
      </c>
      <c r="H2" s="7">
        <f>C2-G2</f>
        <v>13737.99</v>
      </c>
      <c r="I2" s="6">
        <f>IFERROR(H2/G2, 0)</f>
        <v>0</v>
      </c>
      <c r="J2" s="21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13737.99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J16" sqref="J16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27</v>
      </c>
      <c r="E1" s="45"/>
      <c r="F1" s="45"/>
      <c r="G1" s="43" t="s">
        <v>28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15959.65</v>
      </c>
      <c r="D2" s="5">
        <f>SUM(D4:D74)</f>
        <v>0</v>
      </c>
      <c r="E2" s="5">
        <f>C2-D2</f>
        <v>15959.65</v>
      </c>
      <c r="F2" s="6">
        <f>IFERROR(E2/D2, 0)</f>
        <v>0</v>
      </c>
      <c r="G2" s="5">
        <f>SUM(G4:G74)</f>
        <v>0</v>
      </c>
      <c r="H2" s="7">
        <f>C2-G2</f>
        <v>15959.65</v>
      </c>
      <c r="I2" s="6">
        <f>IFERROR(H2/G2, 0)</f>
        <v>0</v>
      </c>
      <c r="J2" s="21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15959.65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6"/>
  <sheetViews>
    <sheetView zoomScale="80" zoomScaleNormal="80" workbookViewId="0">
      <pane xSplit="2" ySplit="3" topLeftCell="D4" activePane="bottomRight" state="frozen"/>
      <selection pane="bottomRight" activeCell="K4" sqref="K4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29</v>
      </c>
      <c r="E1" s="45"/>
      <c r="F1" s="45"/>
      <c r="G1" s="43" t="s">
        <v>30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15617.61</v>
      </c>
      <c r="D2" s="5">
        <f>SUM(D4:D74)</f>
        <v>0</v>
      </c>
      <c r="E2" s="5">
        <f>C2-D2</f>
        <v>15617.61</v>
      </c>
      <c r="F2" s="6">
        <f>IFERROR(E2/D2, 0)</f>
        <v>0</v>
      </c>
      <c r="G2" s="5">
        <f>SUM(G4:G74)</f>
        <v>0</v>
      </c>
      <c r="H2" s="7">
        <f>C2-G2</f>
        <v>15617.61</v>
      </c>
      <c r="I2" s="6">
        <f>IFERROR(H2/G2, 0)</f>
        <v>0</v>
      </c>
      <c r="J2" s="21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28.9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15617.61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0" t="s">
        <v>22</v>
      </c>
      <c r="H4" s="13" t="str">
        <f>IF(AND(ISNUMBER(C4),ISNUMBER(G4)), C4-G4, "")</f>
        <v/>
      </c>
      <c r="I4" s="14" t="str">
        <f>IFERROR(H4/G4, "")</f>
        <v/>
      </c>
      <c r="J4" s="33" t="s">
        <v>31</v>
      </c>
      <c r="K4" s="42" t="s">
        <v>32</v>
      </c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101722" xr:uid="{1F639BD2-5358-4C86-B9AF-B9FBD62D136B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E10" sqref="E10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33</v>
      </c>
      <c r="E1" s="45"/>
      <c r="F1" s="45"/>
      <c r="G1" s="43" t="s">
        <v>34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17302.95</v>
      </c>
      <c r="D2" s="5">
        <f>SUM(D4:D74)</f>
        <v>0</v>
      </c>
      <c r="E2" s="5">
        <f>C2-D2</f>
        <v>17302.95</v>
      </c>
      <c r="F2" s="6">
        <f>IFERROR(E2/D2, 0)</f>
        <v>0</v>
      </c>
      <c r="G2" s="5">
        <f>SUM(G4:G74)</f>
        <v>0</v>
      </c>
      <c r="H2" s="7">
        <f>C2-G2</f>
        <v>17302.95</v>
      </c>
      <c r="I2" s="6">
        <f>IFERROR(H2/G2, 0)</f>
        <v>0</v>
      </c>
      <c r="J2" s="21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17302.95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41" t="s">
        <v>22</v>
      </c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6"/>
  <sheetViews>
    <sheetView zoomScale="80" zoomScaleNormal="80" workbookViewId="0">
      <pane xSplit="2" ySplit="3" topLeftCell="J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35</v>
      </c>
      <c r="E1" s="45"/>
      <c r="F1" s="45"/>
      <c r="G1" s="43" t="s">
        <v>36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4 I4:I74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37</v>
      </c>
      <c r="E1" s="45"/>
      <c r="F1" s="45"/>
      <c r="G1" s="43" t="s">
        <v>38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39</v>
      </c>
      <c r="E1" s="45"/>
      <c r="F1" s="45"/>
      <c r="G1" s="43" t="s">
        <v>40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41</v>
      </c>
      <c r="E1" s="45"/>
      <c r="F1" s="45"/>
      <c r="G1" s="43" t="s">
        <v>42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H13" sqref="H13"/>
      <selection pane="bottomLeft" activeCell="H13" sqref="H13"/>
      <selection pane="topRight" activeCell="H13" sqref="H13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43</v>
      </c>
      <c r="E1" s="45"/>
      <c r="F1" s="45"/>
      <c r="G1" s="43" t="s">
        <v>44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6"/>
  <sheetViews>
    <sheetView zoomScale="80" zoomScaleNormal="80" workbookViewId="0">
      <pane xSplit="2" ySplit="3" topLeftCell="C4" activePane="bottomRight" state="frozen"/>
      <selection pane="bottomRight" activeCell="H13" sqref="H13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Bio-Med Devices</v>
      </c>
      <c r="B1" s="44"/>
      <c r="C1" s="44"/>
      <c r="D1" s="45" t="s">
        <v>45</v>
      </c>
      <c r="E1" s="45"/>
      <c r="F1" s="45"/>
      <c r="G1" s="43" t="s">
        <v>46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47</v>
      </c>
      <c r="B1" t="s">
        <v>48</v>
      </c>
    </row>
    <row r="3" spans="1:12" ht="13.15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4.45">
      <c r="A4" s="38" t="s">
        <v>48</v>
      </c>
      <c r="B4" t="s">
        <v>52</v>
      </c>
      <c r="C4" s="36" t="s">
        <v>53</v>
      </c>
      <c r="D4" s="35" t="s">
        <v>54</v>
      </c>
      <c r="E4" t="s">
        <v>55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4"/>
      <c r="L10" s="34"/>
    </row>
    <row r="11" spans="1:12" ht="12.75" customHeight="1">
      <c r="A11" s="38"/>
      <c r="C11" s="36"/>
      <c r="D11" s="35"/>
      <c r="K11" s="34"/>
      <c r="L11" s="34"/>
    </row>
    <row r="12" spans="1:12" ht="12.75" customHeight="1">
      <c r="A12" s="38"/>
      <c r="C12" s="36"/>
      <c r="D12" s="35"/>
      <c r="K12" s="34"/>
      <c r="L12" s="34"/>
    </row>
    <row r="13" spans="1:12" ht="12.75" customHeight="1">
      <c r="A13" s="38"/>
      <c r="C13" s="36"/>
      <c r="D13" s="35"/>
      <c r="K13" s="34"/>
      <c r="L13" s="34"/>
    </row>
    <row r="14" spans="1:12" ht="12.75" customHeight="1">
      <c r="A14" s="38"/>
      <c r="C14" s="36"/>
      <c r="D14" s="35"/>
      <c r="K14" s="34"/>
      <c r="L14" s="34"/>
    </row>
    <row r="15" spans="1:12" ht="12.75" customHeight="1">
      <c r="A15" s="38"/>
      <c r="C15" s="36"/>
      <c r="D15" s="35"/>
      <c r="K15" s="34"/>
      <c r="L15" s="34"/>
    </row>
    <row r="16" spans="1:12" ht="12.75" customHeight="1">
      <c r="A16" s="38"/>
      <c r="C16" s="36"/>
      <c r="D16" s="35"/>
      <c r="K16" s="34"/>
      <c r="L16" s="34"/>
    </row>
    <row r="17" spans="1:12" ht="12.75" customHeight="1">
      <c r="A17" s="38"/>
      <c r="C17" s="36"/>
      <c r="D17" s="35"/>
      <c r="K17" s="34"/>
      <c r="L17" s="34"/>
    </row>
    <row r="18" spans="1:12" ht="12.75" customHeight="1">
      <c r="A18" s="38"/>
      <c r="C18" s="36"/>
      <c r="D18" s="35"/>
      <c r="K18" s="34"/>
      <c r="L18" s="34"/>
    </row>
    <row r="19" spans="1:12" ht="12.75" customHeight="1">
      <c r="A19" s="38"/>
      <c r="C19" s="36"/>
      <c r="D19" s="35"/>
      <c r="K19" s="34"/>
      <c r="L19" s="34"/>
    </row>
    <row r="20" spans="1:12" ht="12.75" customHeight="1">
      <c r="A20" s="38"/>
      <c r="C20" s="36"/>
      <c r="D20" s="35"/>
      <c r="K20" s="34"/>
      <c r="L20" s="34"/>
    </row>
    <row r="21" spans="1:12" ht="12.75" customHeight="1">
      <c r="A21" s="38"/>
      <c r="C21" s="36"/>
      <c r="D21" s="35"/>
      <c r="K21" s="34"/>
      <c r="L21" s="34"/>
    </row>
    <row r="22" spans="1:12" ht="12.75" customHeight="1">
      <c r="A22" s="38"/>
      <c r="C22" s="36"/>
      <c r="D22" s="35"/>
      <c r="K22" s="34"/>
      <c r="L22" s="34"/>
    </row>
    <row r="23" spans="1:12" ht="12.75" customHeight="1">
      <c r="A23" s="38"/>
      <c r="C23" s="36"/>
      <c r="D23" s="35"/>
      <c r="K23" s="34"/>
      <c r="L23" s="34"/>
    </row>
    <row r="24" spans="1:12" ht="12.75" customHeight="1">
      <c r="A24" s="38"/>
      <c r="C24" s="36"/>
      <c r="D24" s="35"/>
      <c r="K24" s="34"/>
      <c r="L24" s="34"/>
    </row>
    <row r="25" spans="1:12" ht="12.75" customHeight="1">
      <c r="A25" s="38"/>
      <c r="C25" s="36"/>
      <c r="D25" s="35"/>
      <c r="K25" s="34"/>
      <c r="L25" s="34"/>
    </row>
    <row r="26" spans="1:12" ht="12.75" customHeight="1">
      <c r="K26" s="34"/>
      <c r="L26" s="34"/>
    </row>
    <row r="27" spans="1:12" ht="12.75" customHeight="1">
      <c r="K27" s="34"/>
      <c r="L27" s="34"/>
    </row>
    <row r="28" spans="1:12" ht="12.75" customHeight="1">
      <c r="K28" s="34"/>
      <c r="L28" s="34"/>
    </row>
    <row r="29" spans="1:12" ht="12.75" customHeight="1">
      <c r="K29" s="34"/>
      <c r="L29" s="34"/>
    </row>
    <row r="30" spans="1:12" ht="12.75" customHeight="1">
      <c r="K30" s="34"/>
      <c r="L30" s="34"/>
    </row>
    <row r="31" spans="1:12" ht="12.75" customHeight="1">
      <c r="K31" s="34"/>
      <c r="L31" s="3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0004BE95-5599-45EF-97CC-63FEE90FC3DE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2025-07-17T04:56:37Z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