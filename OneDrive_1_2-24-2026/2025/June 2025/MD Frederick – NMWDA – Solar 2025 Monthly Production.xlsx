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codeName="ThisWorkbook" defaultThemeVersion="166925"/>
  <mc:AlternateContent xmlns:mc="http://schemas.openxmlformats.org/markup-compatibility/2006">
    <mc:Choice Requires="x15">
      <x15ac:absPath xmlns:x15ac="http://schemas.microsoft.com/office/spreadsheetml/2010/11/ac" url="C:\Users\Libsys _AC5\Downloads\"/>
    </mc:Choice>
  </mc:AlternateContent>
  <xr:revisionPtr revIDLastSave="0" documentId="13_ncr:1_{EE88A570-6F31-4A68-9E46-4B86F8AE70D0}" xr6:coauthVersionLast="47" xr6:coauthVersionMax="47" xr10:uidLastSave="{00000000-0000-0000-0000-000000000000}"/>
  <bookViews>
    <workbookView xWindow="-108" yWindow="-108" windowWidth="23256" windowHeight="12456"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8" l="1"/>
  <c r="A4" i="4" a="1"/>
  <c r="A4" i="4"/>
  <c r="G4" i="18"/>
  <c r="G2" i="18" s="1"/>
  <c r="G4" i="29"/>
  <c r="G4" i="30"/>
  <c r="E4" i="33"/>
  <c r="H5" i="33"/>
  <c r="I5" i="33"/>
  <c r="E5" i="33"/>
  <c r="F5" i="33"/>
  <c r="H5" i="31"/>
  <c r="I5" i="31"/>
  <c r="E5" i="31"/>
  <c r="F5" i="31"/>
  <c r="H5" i="27"/>
  <c r="I5" i="27"/>
  <c r="E5" i="27"/>
  <c r="F5" i="27"/>
  <c r="H5" i="26"/>
  <c r="I5" i="26"/>
  <c r="E5" i="26"/>
  <c r="F5" i="26"/>
  <c r="H5" i="19"/>
  <c r="I5" i="19"/>
  <c r="E5" i="19"/>
  <c r="F5" i="19"/>
  <c r="H5" i="20"/>
  <c r="I5" i="20"/>
  <c r="E5" i="20"/>
  <c r="F5" i="20"/>
  <c r="H5" i="21"/>
  <c r="I5" i="21"/>
  <c r="E5" i="21"/>
  <c r="F5" i="21"/>
  <c r="H5" i="4"/>
  <c r="I5" i="4"/>
  <c r="E5" i="4"/>
  <c r="F5" i="4"/>
  <c r="E5" i="3"/>
  <c r="F5" i="3"/>
  <c r="H5" i="3"/>
  <c r="I5" i="3"/>
  <c r="E4" i="72"/>
  <c r="F4" i="72"/>
  <c r="B4" i="33" a="1"/>
  <c r="B4" i="33"/>
  <c r="A4" i="33" a="1"/>
  <c r="A4" i="33"/>
  <c r="B4" i="32" a="1"/>
  <c r="B4" i="32"/>
  <c r="A4" i="32" a="1"/>
  <c r="A4" i="32"/>
  <c r="B4" i="31" a="1"/>
  <c r="B4" i="31"/>
  <c r="A4" i="31" a="1"/>
  <c r="A4" i="31"/>
  <c r="B4" i="19" a="1"/>
  <c r="B4" i="19"/>
  <c r="A4" i="19" a="1"/>
  <c r="A4" i="19"/>
  <c r="B4" i="20" a="1"/>
  <c r="B4" i="20"/>
  <c r="A4" i="20" a="1"/>
  <c r="A4" i="20"/>
  <c r="B4" i="21" a="1"/>
  <c r="B4" i="21"/>
  <c r="A4" i="21" a="1"/>
  <c r="A4" i="21"/>
  <c r="B4" i="4" a="1"/>
  <c r="B4" i="4"/>
  <c r="B4" i="3" a="1"/>
  <c r="B4" i="3"/>
  <c r="A4" i="3" a="1"/>
  <c r="A4" i="3"/>
  <c r="B4" i="27" a="1"/>
  <c r="B4" i="27"/>
  <c r="A4" i="27" a="1"/>
  <c r="A4" i="27"/>
  <c r="B4" i="26" a="1"/>
  <c r="B4" i="26"/>
  <c r="A4" i="26" a="1"/>
  <c r="A4" i="26"/>
  <c r="A4" i="72" a="1"/>
  <c r="A4" i="72"/>
  <c r="A4" i="30" a="1"/>
  <c r="A4" i="30"/>
  <c r="B4" i="72" a="1"/>
  <c r="B4" i="72"/>
  <c r="E4" i="3"/>
  <c r="F4" i="3"/>
  <c r="H4" i="3"/>
  <c r="I4" i="3"/>
  <c r="G4" i="1"/>
  <c r="B4" i="34" a="1"/>
  <c r="B4" i="34"/>
  <c r="A4" i="34" a="1"/>
  <c r="A4" i="34"/>
  <c r="A1" i="34" a="1"/>
  <c r="A1" i="34"/>
  <c r="D4" i="30"/>
  <c r="D2" i="30"/>
  <c r="C4" i="30"/>
  <c r="D4" i="29"/>
  <c r="D2" i="29"/>
  <c r="C4" i="29"/>
  <c r="D4" i="18"/>
  <c r="D2" i="18" s="1"/>
  <c r="B4" i="30" a="1"/>
  <c r="B4" i="30"/>
  <c r="G2" i="30"/>
  <c r="A1" i="30" a="1"/>
  <c r="A1" i="30"/>
  <c r="B4" i="29" a="1"/>
  <c r="B4" i="29"/>
  <c r="A4" i="29" a="1"/>
  <c r="A4" i="29"/>
  <c r="G2" i="29"/>
  <c r="A1" i="29" a="1"/>
  <c r="A1" i="29"/>
  <c r="B4" i="18" a="1"/>
  <c r="B4" i="18"/>
  <c r="A4" i="18" a="1"/>
  <c r="A4" i="18"/>
  <c r="A1" i="18" a="1"/>
  <c r="A1" i="18"/>
  <c r="C4" i="1"/>
  <c r="D4" i="1"/>
  <c r="B4" i="1" a="1"/>
  <c r="B4" i="1"/>
  <c r="A4" i="1" a="1"/>
  <c r="A4" i="1"/>
  <c r="A1" i="1" a="1"/>
  <c r="A1" i="1"/>
  <c r="H4" i="33"/>
  <c r="I4" i="33"/>
  <c r="F4" i="33"/>
  <c r="G2" i="33"/>
  <c r="D2" i="33"/>
  <c r="C2" i="33"/>
  <c r="A1" i="33" a="1"/>
  <c r="A1" i="33"/>
  <c r="H4" i="32"/>
  <c r="I4" i="32"/>
  <c r="E4" i="32"/>
  <c r="F4" i="32"/>
  <c r="G2" i="32"/>
  <c r="D2" i="32"/>
  <c r="C2" i="32"/>
  <c r="A1" i="32" a="1"/>
  <c r="A1" i="32"/>
  <c r="H4" i="31"/>
  <c r="I4" i="31"/>
  <c r="E4" i="31"/>
  <c r="F4" i="31"/>
  <c r="G2" i="31"/>
  <c r="D2" i="31"/>
  <c r="C2" i="31"/>
  <c r="A1" i="31" a="1"/>
  <c r="A1" i="31"/>
  <c r="H4" i="28"/>
  <c r="I4" i="28"/>
  <c r="E4" i="28"/>
  <c r="F4" i="28"/>
  <c r="B4" i="28" a="1"/>
  <c r="B4" i="28"/>
  <c r="A4" i="28" a="1"/>
  <c r="A4" i="28"/>
  <c r="G2" i="28"/>
  <c r="D2" i="28"/>
  <c r="C2" i="28"/>
  <c r="A1" i="28" a="1"/>
  <c r="A1" i="28"/>
  <c r="H4" i="27"/>
  <c r="I4" i="27"/>
  <c r="E4" i="27"/>
  <c r="F4" i="27"/>
  <c r="G2" i="27"/>
  <c r="D2" i="27"/>
  <c r="C2" i="27"/>
  <c r="A1" i="27" a="1"/>
  <c r="A1" i="27"/>
  <c r="H4" i="26"/>
  <c r="I4" i="26"/>
  <c r="E4" i="26"/>
  <c r="F4" i="26"/>
  <c r="G2" i="26"/>
  <c r="D2" i="26"/>
  <c r="C2" i="26"/>
  <c r="A1" i="26" a="1"/>
  <c r="A1" i="26"/>
  <c r="H4" i="19"/>
  <c r="I4" i="19"/>
  <c r="E4" i="19"/>
  <c r="F4" i="19" s="1"/>
  <c r="G2" i="19"/>
  <c r="H2" i="19" s="1"/>
  <c r="I2" i="19" s="1"/>
  <c r="D2" i="19"/>
  <c r="C2" i="19"/>
  <c r="A1" i="19" a="1"/>
  <c r="A1" i="19"/>
  <c r="H4" i="20"/>
  <c r="I4" i="20" s="1"/>
  <c r="E4" i="20"/>
  <c r="F4" i="20" s="1"/>
  <c r="G2" i="20"/>
  <c r="D2" i="20"/>
  <c r="E2" i="20" s="1"/>
  <c r="F2" i="20" s="1"/>
  <c r="C2" i="20"/>
  <c r="A1" i="20" a="1"/>
  <c r="A1" i="20"/>
  <c r="H4" i="21"/>
  <c r="I4" i="21" s="1"/>
  <c r="E4" i="21"/>
  <c r="F4" i="21"/>
  <c r="G2" i="21"/>
  <c r="H2" i="21" s="1"/>
  <c r="I2" i="21" s="1"/>
  <c r="D2" i="21"/>
  <c r="C2" i="21"/>
  <c r="A1" i="21" a="1"/>
  <c r="A1" i="21"/>
  <c r="H4" i="4"/>
  <c r="I4" i="4"/>
  <c r="E4" i="4"/>
  <c r="F4" i="4"/>
  <c r="G2" i="4"/>
  <c r="D2" i="4"/>
  <c r="C2" i="4"/>
  <c r="A1" i="4" a="1"/>
  <c r="A1" i="4"/>
  <c r="G2" i="3"/>
  <c r="D2" i="3"/>
  <c r="C2" i="3"/>
  <c r="J2" i="3"/>
  <c r="A1" i="3" a="1"/>
  <c r="A1" i="3"/>
  <c r="H4" i="72"/>
  <c r="I4" i="72"/>
  <c r="G2" i="72"/>
  <c r="D2" i="72"/>
  <c r="C2" i="72"/>
  <c r="J2" i="72"/>
  <c r="A1" i="72" a="1"/>
  <c r="A1" i="72"/>
  <c r="E4" i="30"/>
  <c r="F4" i="30"/>
  <c r="H2" i="33"/>
  <c r="I2" i="33"/>
  <c r="J2" i="33"/>
  <c r="H2" i="32"/>
  <c r="I2" i="32"/>
  <c r="J2" i="32"/>
  <c r="H2" i="31"/>
  <c r="I2" i="31"/>
  <c r="J2" i="31"/>
  <c r="H2" i="28"/>
  <c r="I2" i="28"/>
  <c r="J2" i="28"/>
  <c r="E2" i="28"/>
  <c r="F2" i="28"/>
  <c r="H2" i="27"/>
  <c r="I2" i="27"/>
  <c r="J2" i="27"/>
  <c r="H2" i="26"/>
  <c r="I2" i="26"/>
  <c r="J2" i="26"/>
  <c r="J2" i="19"/>
  <c r="J2" i="20"/>
  <c r="H2" i="20"/>
  <c r="I2" i="20" s="1"/>
  <c r="J2" i="21"/>
  <c r="H2" i="4"/>
  <c r="I2" i="4"/>
  <c r="J2" i="4"/>
  <c r="H2" i="3"/>
  <c r="I2" i="3"/>
  <c r="G2" i="1"/>
  <c r="H4" i="30"/>
  <c r="I4" i="30"/>
  <c r="H4" i="29"/>
  <c r="I4" i="29"/>
  <c r="H4" i="18"/>
  <c r="I4" i="18" s="1"/>
  <c r="C4" i="34"/>
  <c r="C2" i="34" s="1"/>
  <c r="C2" i="29"/>
  <c r="E2" i="29"/>
  <c r="F2" i="29"/>
  <c r="C2" i="30"/>
  <c r="E4" i="29"/>
  <c r="F4" i="29"/>
  <c r="C2" i="18"/>
  <c r="H4" i="1"/>
  <c r="C2" i="1"/>
  <c r="E2" i="3"/>
  <c r="F2" i="3"/>
  <c r="E4" i="1"/>
  <c r="F4" i="1"/>
  <c r="D2" i="1"/>
  <c r="E2" i="33"/>
  <c r="F2" i="33"/>
  <c r="E2" i="32"/>
  <c r="F2" i="32"/>
  <c r="E2" i="31"/>
  <c r="F2" i="31"/>
  <c r="E2" i="27"/>
  <c r="F2" i="27"/>
  <c r="E2" i="26"/>
  <c r="F2" i="26"/>
  <c r="E2" i="19"/>
  <c r="F2" i="19" s="1"/>
  <c r="E2" i="21"/>
  <c r="F2" i="21" s="1"/>
  <c r="E2" i="4"/>
  <c r="F2" i="4"/>
  <c r="H2" i="72"/>
  <c r="H2" i="1"/>
  <c r="I2" i="1"/>
  <c r="I4" i="1"/>
  <c r="H2" i="29"/>
  <c r="I2" i="29"/>
  <c r="H2" i="30"/>
  <c r="I2" i="30"/>
  <c r="E2" i="30"/>
  <c r="F2" i="30"/>
  <c r="E2" i="1"/>
  <c r="F2" i="1"/>
  <c r="I2" i="72"/>
  <c r="E2" i="72"/>
  <c r="F2" i="72"/>
  <c r="E2" i="18" l="1"/>
  <c r="F2" i="18" s="1"/>
  <c r="E4" i="18"/>
  <c r="F4" i="18" s="1"/>
  <c r="G4" i="34"/>
  <c r="G2" i="34" s="1"/>
  <c r="H2" i="34" s="1"/>
  <c r="I2" i="34" s="1"/>
  <c r="H2" i="18"/>
  <c r="I2" i="18" s="1"/>
  <c r="H4" i="34"/>
  <c r="I4" i="34" s="1"/>
  <c r="D4" i="34"/>
  <c r="E4" i="34" l="1"/>
  <c r="F4" i="34" s="1"/>
  <c r="D2" i="34"/>
  <c r="E2" i="34" s="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<sst xmlns="http://schemas.openxmlformats.org/spreadsheetml/2006/main" count="276" uniqueCount="75">
  <si>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</si>
  <si>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</si>
  <si>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</si>
  <si>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</si>
  <si>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</si>
  <si>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</si>
  <si>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</si>
  <si>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</si>
  <si>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</si>
  <si>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</si>
  <si>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</si>
  <si>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</si>
  <si>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</si>
  <si>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</si>
  <si>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</si>
  <si>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</si>
  <si>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</si>
  <si>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</si>
  <si>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</si>
  <si>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</si>
  <si>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</si>
  <si>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</si>
  <si>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</si>
  <si>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 xml:space="preserve">1.Inverters 6,7,12 was offline on 01/03 and back online on 01/04. Inverter 6 was offline from 8AM to 16:15 on 01/13.
2.Inverter 12 was offline from 8:30 to 14:45 on 01/21.
3.Inverter 9 was offline from 9:45 to 17:00 on 01/25 and from 09:45 to 16:30 on 01/27.
4.Inverters 2, 3, 4, 5, 6, 9, 12, 13, 14, 15, and 16 went offline on 01/29 due to high voltages. On 01/30, the technician confirmed that inverters trip offline when voltage exceeds the set threshold and do not recover until it drops below 507.5 VAC. To prevent this, utility approval is needed to adjust the PV transformer tap changer and raise the inverters' recovery settings above 507V/105.8%. Inverters were brought back online.
5.Inverter 8 has been derating by 13 kW compared to its peers since 01/27.
</t>
  </si>
  <si>
    <t>1.SR094253
2.SR095823
3.SR095974
4.SR096110
5.SR097660</t>
  </si>
  <si>
    <t>February Actual v. Expected</t>
  </si>
  <si>
    <t>February Actual v. Forecasted</t>
  </si>
  <si>
    <t>1.Inverter 6 was offline at 14:00 on 02/03 due to isolation faults caused by water and ice in the flex conduit, damaging string 13+ and string 12- wires. On 02/11, the technician replaced the damaged leads, reattached the conduit, torqued all connections, and sealed PVC fittings to prevent future issues. Inverter 6 was back online and producing normally.
2.Inverter 14 was tripped offline from 02/23 at 9:45 and through out the month. 
3.Inverter 8 has been derating by 13 kW compared to its peers since 01/27.</t>
  </si>
  <si>
    <t>1.SR096110
2.SR097656
3.SR097660</t>
  </si>
  <si>
    <t>SR097656</t>
  </si>
  <si>
    <t>SR097660</t>
  </si>
  <si>
    <t>March Actual v. Expected</t>
  </si>
  <si>
    <t>March Actual v. Forecasted</t>
  </si>
  <si>
    <t xml:space="preserve">1.Inverter 14 tripped offline on 02/23 at 9:45 AM and came back online on 03/02. However, it tripped offline again at 11:00 AM on the same day. On 03/05, the technician identified thermal damage to the wire box, and a case was created for RMA. The inverter was brought back online on 03/25 at 12:00 PM after the technician replaced the damaged section of PV wire and MC4 connectors.
2.Inverter 8 has been derating by 13 kW compared to its peers since 01/27 technician has isolated string 10 due to ground fault on 03/05 later technician has replaced the PV wire section on 03/25.
3. Inverter 7 tripped offline on 03/03 at 08:45am and self resolved at 11:00 on 03/05
4. Inverter 7 has a string down from 03/12 later technician was able to troubleshoot the MPPT zones adjusted with assistance from Solectria on 03/25.
5.Inverters 4,6,12,13 &amp; 16 has started late for the production at 13:30 on 03/29 &amp; 03/30
6.Inverter 8 underperforming by 11 kW on high irradiance days. </t>
  </si>
  <si>
    <t>1.SR097656
2.SR097660
3.SR097991
4.SR098473
5.SR099131
6.SR099142</t>
  </si>
  <si>
    <t>SR097991</t>
  </si>
  <si>
    <t>SR098473</t>
  </si>
  <si>
    <t>SR099131</t>
  </si>
  <si>
    <t>SR099142</t>
  </si>
  <si>
    <t>April Actual v. Expected</t>
  </si>
  <si>
    <t>April Actual v. Forecasted</t>
  </si>
  <si>
    <t xml:space="preserve">1. Inverter 8 underperforming by 11 kW on high irradiance days. 
2. Inverter 8 tripped offline at 14:00 on 04/04, and Inverter 7 tripped offline at 09:30 on 04/10. Inverter 8 came back online at 10:30 on 04/25, but Inverter 7 remained offline for the rest of the month.
3. Site production was low on 04/28 because a technician was on site for preventive maintenance.
</t>
  </si>
  <si>
    <t>1. SR099142
2. SR099142
3. PM9146</t>
  </si>
  <si>
    <t>May Actual v. Expected</t>
  </si>
  <si>
    <t>May Actual v. Forecasted</t>
  </si>
  <si>
    <t>1. Inverter 8 tripped offline at 16:30 on 05/06 and came back online at 08:45 on 05/12. Inverter 7 was offline from 09:30 on 04/10 and came back online at 09:00 on 05/12.
2. Inverter 8 tripped offline at 12:15 on 05/23 and remained offline throughout the month.
3. Inverters 7 and 12 started production late at 11:45 on 05/31.
4. Inverter 4 has been intermittently underperforming by up to 30 kW since 05/23.</t>
  </si>
  <si>
    <t>1. SR099142
2. SR101900
3. SR102216
4. SR101904</t>
  </si>
  <si>
    <t>SR101900</t>
  </si>
  <si>
    <t>SR102216</t>
  </si>
  <si>
    <t>SR101904</t>
  </si>
  <si>
    <t>June Actual v. Expected</t>
  </si>
  <si>
    <t>June Actual v. Forecasted</t>
  </si>
  <si>
    <t>1. Inverter 4 has been intermittently underperforming by up to 30 kW since 05/23 and was also offline on 06/15.
2. Inverter 8 was offline from 12:15 on 05/23 and came back online at 09:30 on 06/13. It tripped offline again at 12:30 on 06/23 and has remained offline since then.
3. Inverter 14 has been underperforming by approximately 23–24 kW since 13:45 on 06/23.</t>
  </si>
  <si>
    <t>1. SR101904
2. SR101900
3. SR103355</t>
  </si>
  <si>
    <t>SR103355</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</si>
  <si>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</si>
  <si>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</si>
  <si>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</si>
  <si>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</si>
  <si>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</si>
  <si>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</si>
  <si>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</si>
  <si>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</si>
  <si>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</si>
  <si>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</si>
  <si>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</si>
  <si>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</si>
  <si>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</si>
  <si>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MD: Frederick – NMWDA – Solar</t>
  </si>
  <si>
    <t>Site DAS Name</t>
  </si>
  <si>
    <t>Update</t>
  </si>
  <si>
    <t>DAS</t>
  </si>
  <si>
    <t>Frederick MD - NMWDA</t>
  </si>
  <si>
    <t>MD</t>
  </si>
  <si>
    <t>InAccess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</si>
</sst>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5" fillId="0" borderId="0" applyNumberFormat="0" applyFill="0" applyBorder="0" applyAlignment="0" applyProtection="0"/>
  </cellStyleXfs>
  <cellXfs count="68">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34" fillId="40" borderId="0" xfId="0" applyFont="1" applyFill="1" applyAlignment="1">
      <alignment horizontal="center" vertical="center"/>
    </xf>
    <xf numFmtId="49" fontId="30" fillId="38" borderId="12" xfId="2" applyNumberFormat="1" applyFont="1" applyFill="1" applyBorder="1" applyAlignment="1">
      <alignment vertical="top" wrapText="1"/>
    </xf>
    <xf numFmtId="0" fontId="5" fillId="45" borderId="11" xfId="0" applyFont="1" applyFill="1" applyBorder="1" applyAlignment="1">
      <alignment horizontal="center" vertical="center"/>
    </xf>
    <xf numFmtId="164" fontId="28" fillId="44" borderId="12" xfId="1" applyNumberFormat="1" applyFont="1" applyFill="1" applyBorder="1" applyAlignment="1">
      <alignment horizontal="center" vertical="center"/>
    </xf>
    <xf numFmtId="3" fontId="30" fillId="3" borderId="12" xfId="0" applyNumberFormat="1" applyFont="1" applyFill="1" applyBorder="1" applyAlignment="1">
      <alignment horizontal="right" vertical="center"/>
    </xf>
    <xf numFmtId="9" fontId="30" fillId="3" borderId="12" xfId="2" applyFont="1" applyFill="1" applyBorder="1" applyAlignment="1">
      <alignment horizontal="center" vertical="center"/>
    </xf>
    <xf numFmtId="3" fontId="30" fillId="4" borderId="12" xfId="1" applyNumberFormat="1" applyFont="1" applyFill="1" applyBorder="1" applyAlignment="1">
      <alignment vertical="center"/>
    </xf>
    <xf numFmtId="9" fontId="30" fillId="37" borderId="12" xfId="2" applyFont="1" applyFill="1" applyBorder="1" applyAlignment="1">
      <alignment horizontal="center"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34" fillId="40" borderId="12" xfId="0" applyFont="1" applyFill="1" applyBorder="1" applyAlignment="1">
      <alignment horizontal="center" vertical="center"/>
    </xf>
    <xf numFmtId="0" fontId="28" fillId="40" borderId="12" xfId="0" applyFont="1" applyFill="1" applyBorder="1" applyAlignment="1">
      <alignment horizontal="center" vertical="center"/>
    </xf>
    <xf numFmtId="164" fontId="28" fillId="44" borderId="13" xfId="1" applyNumberFormat="1" applyFont="1" applyFill="1" applyBorder="1" applyAlignment="1">
      <alignment horizontal="center" vertical="center"/>
    </xf>
    <xf numFmtId="3" fontId="30" fillId="4" borderId="0" xfId="1" applyNumberFormat="1" applyFont="1" applyFill="1" applyBorder="1" applyAlignment="1">
      <alignment horizontal="right" vertical="center"/>
    </xf>
    <xf numFmtId="49" fontId="35" fillId="38" borderId="0" xfId="45" applyNumberFormat="1" applyFill="1" applyBorder="1" applyAlignment="1">
      <alignment vertical="top" wrapText="1"/>
    </xf>
    <xf numFmtId="0" fontId="35" fillId="0" borderId="0" xfId="45" applyAlignment="1">
      <alignment horizontal="left" vertical="top"/>
    </xf>
    <xf numFmtId="3" fontId="30" fillId="4" borderId="12" xfId="1" applyNumberFormat="1" applyFont="1" applyFill="1" applyBorder="1" applyAlignment="1">
      <alignment horizontal="right" vertical="center"/>
    </xf>
    <xf numFmtId="49" fontId="35" fillId="38" borderId="12" xfId="45" applyNumberFormat="1" applyFill="1" applyBorder="1" applyAlignment="1">
      <alignmen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660" TargetMode="External"/><Relationship Id="rId2" Type="http://schemas.openxmlformats.org/officeDocument/2006/relationships/hyperlink" Target="https://us3.assetplanner.com/service_request?ID=097656" TargetMode="External"/><Relationship Id="rId1" Type="http://schemas.openxmlformats.org/officeDocument/2006/relationships/hyperlink" Target="https://us3.assetplanner.com/service_request?ID=09611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7991" TargetMode="External"/><Relationship Id="rId2" Type="http://schemas.openxmlformats.org/officeDocument/2006/relationships/hyperlink" Target="https://us3.assetplanner.com/service_request?ID=097660" TargetMode="External"/><Relationship Id="rId1" Type="http://schemas.openxmlformats.org/officeDocument/2006/relationships/hyperlink" Target="https://us3.assetplanner.com/service_request?ID=097656" TargetMode="External"/><Relationship Id="rId6" Type="http://schemas.openxmlformats.org/officeDocument/2006/relationships/hyperlink" Target="https://us3.assetplanner.com/service_request?ID=099142" TargetMode="External"/><Relationship Id="rId5" Type="http://schemas.openxmlformats.org/officeDocument/2006/relationships/hyperlink" Target="https://us3.assetplanner.com/service_request?ID=099131" TargetMode="External"/><Relationship Id="rId4" Type="http://schemas.openxmlformats.org/officeDocument/2006/relationships/hyperlink" Target="https://us3.assetplanner.com/service_request?ID=098473"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us3.assetplanner.com/service_request?ID=099142" TargetMode="External"/><Relationship Id="rId1" Type="http://schemas.openxmlformats.org/officeDocument/2006/relationships/hyperlink" Target="https://us3.assetplanner.com/service_request?ID=099142"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2216" TargetMode="External"/><Relationship Id="rId2" Type="http://schemas.openxmlformats.org/officeDocument/2006/relationships/hyperlink" Target="https://us3.assetplanner.com/service_request?ID=101900" TargetMode="External"/><Relationship Id="rId1" Type="http://schemas.openxmlformats.org/officeDocument/2006/relationships/hyperlink" Target="https://us3.assetplanner.com/service_request?ID=099142" TargetMode="External"/><Relationship Id="rId4" Type="http://schemas.openxmlformats.org/officeDocument/2006/relationships/hyperlink" Target="https://us3.assetplanner.com/service_request?ID=10190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3355" TargetMode="External"/><Relationship Id="rId2" Type="http://schemas.openxmlformats.org/officeDocument/2006/relationships/hyperlink" Target="https://us3.assetplanner.com/service_request?ID=101900" TargetMode="External"/><Relationship Id="rId1" Type="http://schemas.openxmlformats.org/officeDocument/2006/relationships/hyperlink" Target="https://us3.assetplanner.com/service_request?ID=10190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9"/>
  <sheetViews>
    <sheetView workbookViewId="0">
      <pane xSplit="2" ySplit="3" topLeftCell="C4" activePane="bottomRight" state="frozen"/>
      <selection pane="bottomRight" activeCell="G4" sqref="G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5" t="str" cm="1">
        <f t="array" ref="A1">portfolio</f>
        <v>MD: Frederick – NMWDA – Solar</v>
      </c>
      <c r="B1" s="65"/>
      <c r="C1" s="65"/>
      <c r="D1" s="66" t="s">
        <v>0</v>
      </c>
      <c r="E1" s="66"/>
      <c r="F1" s="66"/>
      <c r="G1" s="64" t="s">
        <v>1</v>
      </c>
      <c r="H1" s="64"/>
      <c r="I1" s="64"/>
    </row>
    <row r="2" spans="1:9" ht="19.5" customHeight="1">
      <c r="A2" s="67" t="s">
        <v>2</v>
      </c>
      <c r="B2" s="67"/>
      <c r="C2" s="6">
        <f>SUM(C4:C87)</f>
        <v>721440.99300000002</v>
      </c>
      <c r="D2" s="6">
        <f>SUM(D4:D87)</f>
        <v>0</v>
      </c>
      <c r="E2" s="6">
        <f>C2-D2</f>
        <v>721440.99300000002</v>
      </c>
      <c r="F2" s="7">
        <f>IFERROR(E2/D2, 0)</f>
        <v>0</v>
      </c>
      <c r="G2" s="6">
        <f>SUM(G4:G87)</f>
        <v>0</v>
      </c>
      <c r="H2" s="8">
        <f>C2-G2</f>
        <v>721440.99300000002</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SUM('1st Qtr'!C4, '2nd Qtr'!C4, '3rd Qtr'!C4, '4th Qtr'!C4)</f>
        <v>721440.99300000002</v>
      </c>
      <c r="D4" s="13">
        <f>SUM('1st Qtr'!D4, '2nd Qtr'!D4, '3rd Qtr'!D4, '4th Qtr'!D4)</f>
        <v>0</v>
      </c>
      <c r="E4" s="13">
        <f>IF(AND(ISNUMBER(C4),ISNUMBER(D4)), C4-D4, "")</f>
        <v>721440.99300000002</v>
      </c>
      <c r="F4" s="14" t="str">
        <f>IFERROR(E4/D4, "")</f>
        <v/>
      </c>
      <c r="G4" s="15">
        <f>SUM('1st Qtr'!G4,'2nd Qtr'!G4,'3rd Qtr'!G4,'4th Qtr'!G4)</f>
        <v>0</v>
      </c>
      <c r="H4" s="15">
        <f>SUM('1st Qtr'!H4, '2nd Qtr'!H4, '3rd Qtr'!H4, '4th Qtr'!H4)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autoFilter ref="A2:I2" xr:uid="{D5C25034-9971-4A61-864F-C938F31EB1B8}"/>
  <mergeCells count="4">
    <mergeCell ref="G1:I1"/>
    <mergeCell ref="A1:C1"/>
    <mergeCell ref="D1:F1"/>
    <mergeCell ref="A2:B2"/>
  </mergeCells>
  <conditionalFormatting sqref="F2 I2 F4:F87 I4:I87">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9"/>
  <sheetViews>
    <sheetView workbookViewId="0">
      <pane xSplit="2" ySplit="3" topLeftCell="C4" activePane="bottomRight" state="frozen"/>
      <selection pane="bottomRight" activeCell="G14" sqref="G1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5" t="str" cm="1">
        <f t="array" ref="A1">portfolio</f>
        <v>MD: Frederick – NMWDA – Solar</v>
      </c>
      <c r="B1" s="65"/>
      <c r="C1" s="65"/>
      <c r="D1" s="66" t="s">
        <v>10</v>
      </c>
      <c r="E1" s="66"/>
      <c r="F1" s="66"/>
      <c r="G1" s="64" t="s">
        <v>11</v>
      </c>
      <c r="H1" s="64"/>
      <c r="I1" s="64"/>
    </row>
    <row r="2" spans="1:9" ht="19.5" customHeight="1">
      <c r="A2" s="67" t="s">
        <v>2</v>
      </c>
      <c r="B2" s="67"/>
      <c r="C2" s="6">
        <f>SUM(C4:C87)</f>
        <v>281549.99400000001</v>
      </c>
      <c r="D2" s="6">
        <f>SUM(D4:D87)</f>
        <v>0</v>
      </c>
      <c r="E2" s="6">
        <f>C2-D2</f>
        <v>281549.99400000001</v>
      </c>
      <c r="F2" s="7">
        <f>IFERROR(E2/D2, 0)</f>
        <v>0</v>
      </c>
      <c r="G2" s="6">
        <f>SUM(G4:G87)</f>
        <v>0</v>
      </c>
      <c r="H2" s="8">
        <f>C2-G2</f>
        <v>281549.99400000001</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SUM(Jan!C4, Feb!C4, Mar!C4)</f>
        <v>281549.99400000001</v>
      </c>
      <c r="D4" s="13">
        <f>SUM(Jan!D4, Feb!D4, Mar!D4)</f>
        <v>0</v>
      </c>
      <c r="E4" s="13">
        <f>IF(AND(ISNUMBER(C4),ISNUMBER(D4)), C4-D4, "")</f>
        <v>281549.99400000001</v>
      </c>
      <c r="F4" s="14" t="str">
        <f>IFERROR(E4/D4, "")</f>
        <v/>
      </c>
      <c r="G4" s="15">
        <f>SUM(Jan!G4, Feb!G4, Mar!G4)</f>
        <v>0</v>
      </c>
      <c r="H4" s="15">
        <f>SUM(Jan!H4, Feb!H4, Mar!H4)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sortState xmlns:xlrd2="http://schemas.microsoft.com/office/spreadsheetml/2017/richdata2" ref="A3:I3">
    <sortCondition ref="A3"/>
  </sortState>
  <mergeCells count="4">
    <mergeCell ref="G1:I1"/>
    <mergeCell ref="A1:C1"/>
    <mergeCell ref="D1:F1"/>
    <mergeCell ref="A2:B2"/>
  </mergeCells>
  <conditionalFormatting sqref="F2 I2 F4:F87 I4:I87">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9"/>
  <sheetViews>
    <sheetView workbookViewId="0">
      <pane xSplit="2" ySplit="3" topLeftCell="C4" activePane="bottomRight" state="frozen"/>
      <selection pane="bottomRight" activeCell="D4" sqref="D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5" t="str" cm="1">
        <f t="array" ref="A1">portfolio</f>
        <v>MD: Frederick – NMWDA – Solar</v>
      </c>
      <c r="B1" s="65"/>
      <c r="C1" s="65"/>
      <c r="D1" s="66" t="s">
        <v>12</v>
      </c>
      <c r="E1" s="66"/>
      <c r="F1" s="66"/>
      <c r="G1" s="64" t="s">
        <v>13</v>
      </c>
      <c r="H1" s="64"/>
      <c r="I1" s="64"/>
    </row>
    <row r="2" spans="1:9" ht="19.5" customHeight="1">
      <c r="A2" s="67" t="s">
        <v>2</v>
      </c>
      <c r="B2" s="67"/>
      <c r="C2" s="6">
        <f>SUM(C4:C87)</f>
        <v>439890.99899999995</v>
      </c>
      <c r="D2" s="6">
        <f>SUM(D4:D87)</f>
        <v>0</v>
      </c>
      <c r="E2" s="6">
        <f>C2-D2</f>
        <v>439890.99899999995</v>
      </c>
      <c r="F2" s="7">
        <f>IFERROR(E2/D2, 0)</f>
        <v>0</v>
      </c>
      <c r="G2" s="6">
        <f>SUM(G4:G87)</f>
        <v>0</v>
      </c>
      <c r="H2" s="8">
        <f>C2-G2</f>
        <v>439890.99899999995</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SUM(Apr!C4, May!C4, Jun!C4)</f>
        <v>439890.99899999995</v>
      </c>
      <c r="D4" s="13">
        <f>SUM(Apr!D4, May!D4, Jun!D4)</f>
        <v>0</v>
      </c>
      <c r="E4" s="13">
        <f>IF(AND(ISNUMBER(C4),ISNUMBER(D4)), C4-D4, "")</f>
        <v>439890.99899999995</v>
      </c>
      <c r="F4" s="14" t="str">
        <f>IFERROR(E4/D4, "")</f>
        <v/>
      </c>
      <c r="G4" s="15">
        <f>SUM(Apr!G4,May!G4,Jun!G4)</f>
        <v>0</v>
      </c>
      <c r="H4" s="15">
        <f>SUM(Apr!H4, May!H4, Jun!H4)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sortState xmlns:xlrd2="http://schemas.microsoft.com/office/spreadsheetml/2017/richdata2" ref="A3:I4">
    <sortCondition ref="A3:A4"/>
  </sortState>
  <mergeCells count="4">
    <mergeCell ref="G1:I1"/>
    <mergeCell ref="A1:C1"/>
    <mergeCell ref="D1:F1"/>
    <mergeCell ref="A2:B2"/>
  </mergeCells>
  <conditionalFormatting sqref="F2 I2 F4:F87 I4:I87">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9"/>
  <sheetViews>
    <sheetView workbookViewId="0">
      <pane xSplit="2" ySplit="3" topLeftCell="C4" activePane="bottomRight" state="frozen"/>
      <selection pane="bottomRight" activeCell="G4" sqref="G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5" t="str" cm="1">
        <f t="array" ref="A1">portfolio</f>
        <v>MD: Frederick – NMWDA – Solar</v>
      </c>
      <c r="B1" s="65"/>
      <c r="C1" s="65"/>
      <c r="D1" s="66" t="s">
        <v>14</v>
      </c>
      <c r="E1" s="66"/>
      <c r="F1" s="66"/>
      <c r="G1" s="64" t="s">
        <v>15</v>
      </c>
      <c r="H1" s="64"/>
      <c r="I1" s="64"/>
    </row>
    <row r="2" spans="1:9" ht="19.5" customHeight="1">
      <c r="A2" s="67" t="s">
        <v>2</v>
      </c>
      <c r="B2" s="67"/>
      <c r="C2" s="6">
        <f>SUM(C4:C87)</f>
        <v>0</v>
      </c>
      <c r="D2" s="6">
        <f>SUM(D4:D87)</f>
        <v>0</v>
      </c>
      <c r="E2" s="6">
        <f>C2-D2</f>
        <v>0</v>
      </c>
      <c r="F2" s="7">
        <f>IFERROR(E2/D2, 0)</f>
        <v>0</v>
      </c>
      <c r="G2" s="6">
        <f>SUM(G4:G87)</f>
        <v>0</v>
      </c>
      <c r="H2" s="8">
        <f>C2-G2</f>
        <v>0</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SUM(Jul!C4, Aug!C4, Sep!C4)</f>
        <v>0</v>
      </c>
      <c r="D4" s="13">
        <f>SUM(Jul!D4, Aug!D4, Sep!D4)</f>
        <v>0</v>
      </c>
      <c r="E4" s="13">
        <f>IF(AND(ISNUMBER(C4),ISNUMBER(D4)), C4-D4, "")</f>
        <v>0</v>
      </c>
      <c r="F4" s="14" t="str">
        <f>IFERROR(E4/D4, "")</f>
        <v/>
      </c>
      <c r="G4" s="15">
        <f>SUM(Jul!G4,Aug!G4,Sep!G4)</f>
        <v>0</v>
      </c>
      <c r="H4" s="15">
        <f>SUM(Jul!H4, Aug!H4, Sep!H4)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mergeCells count="4">
    <mergeCell ref="G1:I1"/>
    <mergeCell ref="A1:C1"/>
    <mergeCell ref="D1:F1"/>
    <mergeCell ref="A2:B2"/>
  </mergeCells>
  <conditionalFormatting sqref="F2 I2 F4:F87 I4:I87">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9"/>
  <sheetViews>
    <sheetView workbookViewId="0">
      <pane xSplit="2" ySplit="3" topLeftCell="C4" activePane="bottomRight" state="frozen"/>
      <selection pane="bottomRight" activeCell="G4" sqref="G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5" t="str" cm="1">
        <f t="array" ref="A1">portfolio</f>
        <v>MD: Frederick – NMWDA – Solar</v>
      </c>
      <c r="B1" s="65"/>
      <c r="C1" s="65"/>
      <c r="D1" s="66" t="s">
        <v>16</v>
      </c>
      <c r="E1" s="66"/>
      <c r="F1" s="66"/>
      <c r="G1" s="64" t="s">
        <v>17</v>
      </c>
      <c r="H1" s="64"/>
      <c r="I1" s="64"/>
    </row>
    <row r="2" spans="1:9" ht="19.5" customHeight="1">
      <c r="A2" s="67" t="s">
        <v>2</v>
      </c>
      <c r="B2" s="67"/>
      <c r="C2" s="6">
        <f>SUM(C4:C87)</f>
        <v>0</v>
      </c>
      <c r="D2" s="6">
        <f>SUM(D4:D87)</f>
        <v>0</v>
      </c>
      <c r="E2" s="6">
        <f>C2-D2</f>
        <v>0</v>
      </c>
      <c r="F2" s="7">
        <f>IFERROR(E2/D2, 0)</f>
        <v>0</v>
      </c>
      <c r="G2" s="6">
        <f>SUM(G4:G87)</f>
        <v>0</v>
      </c>
      <c r="H2" s="8">
        <f>C2-G2</f>
        <v>0</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mergeCells count="4">
    <mergeCell ref="G1:I1"/>
    <mergeCell ref="A1:C1"/>
    <mergeCell ref="D1:F1"/>
    <mergeCell ref="A2:B2"/>
  </mergeCells>
  <conditionalFormatting sqref="F2 I2 F4:F87 I4:I87">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02"/>
  <sheetViews>
    <sheetView zoomScale="70" zoomScaleNormal="70" workbookViewId="0">
      <pane xSplit="2" ySplit="3" topLeftCell="C4" activePane="bottomRight" state="frozen"/>
      <selection pane="bottomRight" activeCell="J4" sqref="J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5" t="str" cm="1">
        <f t="array" ref="A1">portfolio</f>
        <v>MD: Frederick – NMWDA – Solar</v>
      </c>
      <c r="B1" s="65"/>
      <c r="C1" s="65"/>
      <c r="D1" s="66" t="s">
        <v>18</v>
      </c>
      <c r="E1" s="66"/>
      <c r="F1" s="66"/>
      <c r="G1" s="64" t="s">
        <v>19</v>
      </c>
      <c r="H1" s="64"/>
      <c r="I1" s="64"/>
      <c r="J1" s="5"/>
      <c r="K1" s="5"/>
    </row>
    <row r="2" spans="1:11" ht="19.5" customHeight="1">
      <c r="A2" s="67" t="s">
        <v>2</v>
      </c>
      <c r="B2" s="67"/>
      <c r="C2" s="6">
        <f>SUM(C4:C60)</f>
        <v>48743.752</v>
      </c>
      <c r="D2" s="6">
        <f>SUM(D4:D60)</f>
        <v>0</v>
      </c>
      <c r="E2" s="6">
        <f>C2-D2</f>
        <v>48743.752</v>
      </c>
      <c r="F2" s="7">
        <f>IFERROR(E2/D2, 0)</f>
        <v>0</v>
      </c>
      <c r="G2" s="6">
        <f>SUM(G4:G60)</f>
        <v>0</v>
      </c>
      <c r="H2" s="8">
        <f>C2-G2</f>
        <v>48743.752</v>
      </c>
      <c r="I2" s="7">
        <f>IFERROR(H2/G2, 0)</f>
        <v>0</v>
      </c>
      <c r="J2" s="25" t="str">
        <f ca="1">IF(AND(TODAY()&gt;DATE(2024, 1, 1), COUNTA(Sites[Site])&lt;&gt;(COUNT(C:C)-1)), "Some sites are missing actual data; if new sites were added, make sure they are aligned correctly (including prior months!)", "")</f>
        <v/>
      </c>
      <c r="K2" s="5"/>
    </row>
    <row r="3" spans="1:11" ht="14.25" customHeight="1">
      <c r="A3" s="26" t="s">
        <v>3</v>
      </c>
      <c r="B3" s="9" t="s">
        <v>4</v>
      </c>
      <c r="C3" s="22" t="s">
        <v>5</v>
      </c>
      <c r="D3" s="33" t="s">
        <v>6</v>
      </c>
      <c r="E3" s="33" t="s">
        <v>7</v>
      </c>
      <c r="F3" s="34" t="s">
        <v>8</v>
      </c>
      <c r="G3" s="38" t="s">
        <v>9</v>
      </c>
      <c r="H3" s="36" t="s">
        <v>7</v>
      </c>
      <c r="I3" s="37" t="s">
        <v>8</v>
      </c>
      <c r="J3" s="24" t="s">
        <v>20</v>
      </c>
      <c r="K3" s="24" t="s">
        <v>21</v>
      </c>
    </row>
    <row r="4" spans="1:11" ht="187.15">
      <c r="A4" s="42" t="str" cm="1">
        <f t="array" ref="A4">Sites[Site]</f>
        <v>Frederick MD - NMWDA</v>
      </c>
      <c r="B4" s="27" t="str" cm="1">
        <f t="array" ref="B4">Sites[State]</f>
        <v>MD</v>
      </c>
      <c r="C4" s="23">
        <v>48743.752</v>
      </c>
      <c r="D4" s="13" t="s">
        <v>22</v>
      </c>
      <c r="E4" s="13" t="str">
        <f>IF(AND(ISNUMBER(C4),ISNUMBER(D4)), C4-D4, "")</f>
        <v/>
      </c>
      <c r="F4" s="14" t="str">
        <f>IFERROR(E4/D4, "")</f>
        <v/>
      </c>
      <c r="G4" s="59" t="s">
        <v>22</v>
      </c>
      <c r="H4" s="15" t="str">
        <f>IF(AND(ISNUMBER(C4),ISNUMBER(G4)), C4-G4, "")</f>
        <v/>
      </c>
      <c r="I4" s="16" t="str">
        <f>IFERROR(H4/G4, "")</f>
        <v/>
      </c>
      <c r="J4" s="39" t="s">
        <v>23</v>
      </c>
      <c r="K4" s="39" t="s">
        <v>24</v>
      </c>
    </row>
    <row r="5" spans="1:11" ht="14.45">
      <c r="A5" s="20"/>
      <c r="B5" s="31"/>
      <c r="C5" s="20"/>
      <c r="D5" s="20"/>
      <c r="E5" s="20"/>
      <c r="F5" s="21"/>
      <c r="G5" s="20"/>
      <c r="H5" s="20"/>
      <c r="I5" s="21"/>
      <c r="J5" s="20"/>
      <c r="K5" s="20"/>
    </row>
    <row r="6" spans="1:11" ht="14.45">
      <c r="A6" s="20"/>
      <c r="B6" s="31"/>
      <c r="C6" s="20"/>
      <c r="D6" s="20"/>
      <c r="E6" s="20"/>
      <c r="F6" s="21"/>
      <c r="G6" s="20"/>
      <c r="H6" s="20"/>
      <c r="I6" s="21"/>
      <c r="J6" s="20"/>
      <c r="K6" s="20"/>
    </row>
    <row r="7" spans="1:11" ht="14.45">
      <c r="A7" s="20"/>
      <c r="B7" s="31"/>
      <c r="C7" s="20"/>
      <c r="D7" s="20"/>
      <c r="E7" s="20"/>
      <c r="F7" s="21"/>
      <c r="G7" s="20"/>
      <c r="H7" s="20"/>
      <c r="I7" s="21"/>
      <c r="J7" s="20"/>
      <c r="K7" s="20"/>
    </row>
    <row r="8" spans="1:11" ht="14.45">
      <c r="A8" s="20"/>
      <c r="B8" s="31"/>
      <c r="C8" s="20"/>
      <c r="D8" s="20"/>
      <c r="E8" s="20"/>
      <c r="F8" s="21"/>
      <c r="G8" s="20"/>
      <c r="H8" s="20"/>
      <c r="I8" s="21"/>
      <c r="J8" s="20"/>
      <c r="K8" s="20"/>
    </row>
    <row r="9" spans="1:11" ht="14.45">
      <c r="A9" s="20"/>
      <c r="B9" s="31"/>
      <c r="C9" s="20"/>
      <c r="D9" s="20"/>
      <c r="E9" s="20"/>
      <c r="F9" s="21"/>
      <c r="G9" s="20"/>
      <c r="H9" s="20"/>
      <c r="I9" s="21"/>
      <c r="J9" s="20"/>
      <c r="K9" s="20"/>
    </row>
    <row r="10" spans="1:11" ht="14.45">
      <c r="A10" s="20"/>
      <c r="B10" s="31"/>
      <c r="C10" s="20"/>
      <c r="D10" s="20"/>
      <c r="E10" s="20"/>
      <c r="F10" s="21"/>
      <c r="G10" s="20"/>
      <c r="H10" s="20"/>
      <c r="I10" s="21"/>
      <c r="J10" s="20"/>
      <c r="K10" s="20"/>
    </row>
    <row r="11" spans="1:11" ht="14.45">
      <c r="A11" s="20"/>
      <c r="B11" s="31"/>
      <c r="C11" s="20"/>
      <c r="D11" s="20"/>
      <c r="E11" s="20"/>
      <c r="F11" s="21"/>
      <c r="G11" s="20"/>
      <c r="H11" s="20"/>
      <c r="I11" s="21"/>
      <c r="J11" s="20"/>
      <c r="K11" s="20"/>
    </row>
    <row r="12" spans="1:11" ht="14.45">
      <c r="A12" s="20"/>
      <c r="B12" s="31"/>
      <c r="C12" s="20"/>
      <c r="D12" s="20"/>
      <c r="E12" s="20"/>
      <c r="F12" s="21"/>
      <c r="G12" s="20"/>
      <c r="H12" s="20"/>
      <c r="I12" s="21"/>
      <c r="J12" s="20"/>
      <c r="K12" s="20"/>
    </row>
    <row r="13" spans="1:11" ht="14.45">
      <c r="A13" s="20"/>
      <c r="B13" s="31"/>
      <c r="C13" s="20"/>
      <c r="D13" s="20"/>
      <c r="E13" s="20"/>
      <c r="F13" s="21"/>
      <c r="G13" s="20"/>
      <c r="H13" s="20"/>
      <c r="I13" s="21"/>
      <c r="J13" s="20"/>
      <c r="K13" s="20"/>
    </row>
    <row r="14" spans="1:11" ht="14.45">
      <c r="A14" s="20"/>
      <c r="B14" s="31"/>
      <c r="C14" s="20"/>
      <c r="D14" s="20"/>
      <c r="E14" s="20"/>
      <c r="F14" s="21"/>
      <c r="G14" s="20"/>
      <c r="H14" s="20"/>
      <c r="I14" s="21"/>
      <c r="J14" s="20"/>
      <c r="K14" s="20"/>
    </row>
    <row r="15" spans="1:11" ht="14.45">
      <c r="A15" s="20"/>
      <c r="B15" s="31"/>
      <c r="C15" s="20"/>
      <c r="D15" s="20"/>
      <c r="E15" s="20"/>
      <c r="F15" s="21"/>
      <c r="G15" s="20"/>
      <c r="H15" s="20"/>
      <c r="I15" s="21"/>
      <c r="J15" s="20"/>
      <c r="K15" s="20"/>
    </row>
    <row r="16" spans="1:11" ht="14.45">
      <c r="A16" s="20"/>
      <c r="B16" s="31"/>
      <c r="C16" s="20"/>
      <c r="D16" s="20"/>
      <c r="E16" s="20"/>
      <c r="F16" s="21"/>
      <c r="G16" s="20"/>
      <c r="H16" s="20"/>
      <c r="I16" s="21"/>
      <c r="J16" s="20"/>
      <c r="K16" s="20"/>
    </row>
    <row r="17" spans="1:11" ht="14.45">
      <c r="A17" s="20"/>
      <c r="B17" s="31"/>
      <c r="C17" s="20"/>
      <c r="D17" s="20"/>
      <c r="E17" s="20"/>
      <c r="F17" s="21"/>
      <c r="G17" s="20"/>
      <c r="H17" s="20"/>
      <c r="I17" s="21"/>
      <c r="J17" s="20"/>
      <c r="K17" s="20"/>
    </row>
    <row r="18" spans="1:11" ht="14.45">
      <c r="A18" s="20"/>
      <c r="B18" s="31"/>
      <c r="C18" s="20"/>
      <c r="D18" s="20"/>
      <c r="E18" s="20"/>
      <c r="F18" s="21"/>
      <c r="G18" s="20"/>
      <c r="H18" s="20"/>
      <c r="I18" s="21"/>
      <c r="J18" s="20"/>
      <c r="K18" s="20"/>
    </row>
    <row r="19" spans="1:11" ht="14.45">
      <c r="A19" s="20"/>
      <c r="B19" s="31"/>
      <c r="C19" s="20"/>
      <c r="D19" s="20"/>
      <c r="E19" s="20"/>
      <c r="F19" s="21"/>
      <c r="G19" s="20"/>
      <c r="H19" s="20"/>
      <c r="I19" s="21"/>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sheetData>
  <mergeCells count="4">
    <mergeCell ref="D1:F1"/>
    <mergeCell ref="A1:C1"/>
    <mergeCell ref="G1:I1"/>
    <mergeCell ref="A2:B2"/>
  </mergeCells>
  <conditionalFormatting sqref="F2 I2 F4:F60 I4:I60">
    <cfRule type="cellIs" dxfId="26" priority="4" stopIfTrue="1" operator="lessThanOrEqual">
      <formula>-0.1</formula>
    </cfRule>
    <cfRule type="expression" dxfId="25"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0"/>
  <sheetViews>
    <sheetView zoomScale="80" zoomScaleNormal="80" workbookViewId="0">
      <pane xSplit="2" ySplit="3" topLeftCell="C4" activePane="bottomRight" state="frozen"/>
      <selection pane="bottomRight" activeCell="C4" sqref="C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5" t="str" cm="1">
        <f t="array" ref="A1">portfolio</f>
        <v>MD: Frederick – NMWDA – Solar</v>
      </c>
      <c r="B1" s="65"/>
      <c r="C1" s="65"/>
      <c r="D1" s="66" t="s">
        <v>25</v>
      </c>
      <c r="E1" s="66"/>
      <c r="F1" s="66"/>
      <c r="G1" s="64" t="s">
        <v>26</v>
      </c>
      <c r="H1" s="64"/>
      <c r="I1" s="64"/>
      <c r="J1" s="5"/>
      <c r="K1" s="5"/>
    </row>
    <row r="2" spans="1:13" ht="19.5" customHeight="1">
      <c r="A2" s="67" t="s">
        <v>2</v>
      </c>
      <c r="B2" s="67"/>
      <c r="C2" s="6">
        <f>SUM(C4:C88)</f>
        <v>94278.342000000004</v>
      </c>
      <c r="D2" s="6">
        <f>SUM(D4:D88)</f>
        <v>0</v>
      </c>
      <c r="E2" s="6">
        <f>C2-D2</f>
        <v>94278.342000000004</v>
      </c>
      <c r="F2" s="7">
        <f>IFERROR(E2/D2, 0)</f>
        <v>0</v>
      </c>
      <c r="G2" s="6">
        <f>SUM(G4:G88)</f>
        <v>0</v>
      </c>
      <c r="H2" s="8">
        <f>C2-G2</f>
        <v>94278.342000000004</v>
      </c>
      <c r="I2" s="7">
        <f>IFERROR(H2/G2, 0)</f>
        <v>0</v>
      </c>
      <c r="J2" s="25" t="str">
        <f ca="1">IF(AND(TODAY()&gt;DATE(2024, 2, 1), COUNTA(Sites[Site])&lt;&gt;(COUNT(C:C)-1)), "Some sites are missing actual data; if new sites were added, make sure they are aligned correctly (including prior months!)", "")</f>
        <v/>
      </c>
      <c r="K2" s="5"/>
    </row>
    <row r="3" spans="1:13" ht="14.25" customHeight="1">
      <c r="A3" s="9" t="s">
        <v>3</v>
      </c>
      <c r="B3" s="9" t="s">
        <v>4</v>
      </c>
      <c r="C3" s="22" t="s">
        <v>5</v>
      </c>
      <c r="D3" s="33" t="s">
        <v>6</v>
      </c>
      <c r="E3" s="33" t="s">
        <v>7</v>
      </c>
      <c r="F3" s="34" t="s">
        <v>8</v>
      </c>
      <c r="G3" s="35" t="s">
        <v>9</v>
      </c>
      <c r="H3" s="36" t="s">
        <v>7</v>
      </c>
      <c r="I3" s="37" t="s">
        <v>8</v>
      </c>
      <c r="J3" s="24" t="s">
        <v>20</v>
      </c>
      <c r="K3" s="24" t="s">
        <v>21</v>
      </c>
    </row>
    <row r="4" spans="1:13" ht="100.9">
      <c r="A4" s="42" t="str" cm="1">
        <f t="array" ref="A4">Sites[Site]</f>
        <v>Frederick MD - NMWDA</v>
      </c>
      <c r="B4" s="27" t="str" cm="1">
        <f t="array" ref="B4">Sites[State]</f>
        <v>MD</v>
      </c>
      <c r="C4" s="23">
        <v>94278.342000000004</v>
      </c>
      <c r="D4" s="13" t="s">
        <v>22</v>
      </c>
      <c r="E4" s="13" t="str">
        <f>IF(AND(ISNUMBER(C4),ISNUMBER(D4)), C4-D4, "")</f>
        <v/>
      </c>
      <c r="F4" s="14" t="str">
        <f>IFERROR(E4/D4, "")</f>
        <v/>
      </c>
      <c r="G4" s="59" t="s">
        <v>22</v>
      </c>
      <c r="H4" s="15" t="str">
        <f>IF(AND(ISNUMBER(C4),ISNUMBER(G4)), C4-G4, "")</f>
        <v/>
      </c>
      <c r="I4" s="16" t="str">
        <f>IFERROR(H4/G4, "")</f>
        <v/>
      </c>
      <c r="J4" s="39" t="s">
        <v>27</v>
      </c>
      <c r="K4" s="60" t="s">
        <v>28</v>
      </c>
      <c r="L4" s="61" t="s">
        <v>29</v>
      </c>
      <c r="M4" s="61" t="s">
        <v>30</v>
      </c>
    </row>
    <row r="5" spans="1:13"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3" ht="12.75" customHeight="1">
      <c r="A6" s="20"/>
      <c r="B6" s="31"/>
      <c r="C6" s="20"/>
      <c r="D6" s="20"/>
      <c r="E6" s="20"/>
      <c r="F6" s="20"/>
      <c r="G6" s="20"/>
      <c r="H6" s="20"/>
      <c r="I6" s="20"/>
      <c r="J6" s="20"/>
      <c r="K6" s="20"/>
    </row>
    <row r="7" spans="1:13" ht="14.45">
      <c r="A7" s="20"/>
      <c r="B7" s="31"/>
      <c r="C7" s="20"/>
      <c r="D7" s="20"/>
      <c r="E7" s="20"/>
      <c r="F7" s="20"/>
      <c r="G7" s="20"/>
      <c r="H7" s="20"/>
      <c r="I7" s="20"/>
      <c r="J7" s="20"/>
      <c r="K7" s="20"/>
    </row>
    <row r="8" spans="1:13" ht="14.45">
      <c r="A8" s="20"/>
      <c r="B8" s="31"/>
      <c r="C8" s="20"/>
      <c r="D8" s="20"/>
      <c r="E8" s="20"/>
      <c r="F8" s="20"/>
      <c r="G8" s="20"/>
      <c r="H8" s="20"/>
      <c r="I8" s="20"/>
      <c r="J8" s="20"/>
      <c r="K8" s="20"/>
    </row>
    <row r="9" spans="1:13" ht="14.45">
      <c r="A9" s="20"/>
      <c r="B9" s="31"/>
      <c r="C9" s="20"/>
      <c r="D9" s="20"/>
      <c r="E9" s="20"/>
      <c r="F9" s="20"/>
      <c r="G9" s="20"/>
      <c r="H9" s="20"/>
      <c r="I9" s="20"/>
      <c r="J9" s="20"/>
      <c r="K9" s="20"/>
    </row>
    <row r="10" spans="1:13" ht="14.45">
      <c r="A10" s="20"/>
      <c r="B10" s="31"/>
      <c r="C10" s="20"/>
      <c r="D10" s="20"/>
      <c r="E10" s="20"/>
      <c r="F10" s="20"/>
      <c r="G10" s="20"/>
      <c r="H10" s="20"/>
      <c r="I10" s="20"/>
      <c r="J10" s="20"/>
      <c r="K10" s="20"/>
    </row>
    <row r="11" spans="1:13" ht="14.45">
      <c r="A11" s="20"/>
      <c r="B11" s="31"/>
      <c r="C11" s="20"/>
      <c r="D11" s="20"/>
      <c r="E11" s="20"/>
      <c r="F11" s="20"/>
      <c r="G11" s="20"/>
      <c r="H11" s="20"/>
      <c r="I11" s="20"/>
      <c r="J11" s="20"/>
      <c r="K11" s="20"/>
    </row>
    <row r="12" spans="1:13" ht="14.45">
      <c r="A12" s="20"/>
      <c r="B12" s="31"/>
      <c r="C12" s="20"/>
      <c r="D12" s="20"/>
      <c r="E12" s="20"/>
      <c r="F12" s="20"/>
      <c r="G12" s="20"/>
      <c r="H12" s="20"/>
      <c r="I12" s="20"/>
      <c r="J12" s="20"/>
      <c r="K12" s="20"/>
    </row>
    <row r="13" spans="1:13" ht="14.45">
      <c r="A13" s="20"/>
      <c r="B13" s="31"/>
      <c r="C13" s="20"/>
      <c r="D13" s="20"/>
      <c r="E13" s="20"/>
      <c r="F13" s="20"/>
      <c r="G13" s="20"/>
      <c r="H13" s="20"/>
      <c r="I13" s="20"/>
      <c r="J13" s="20"/>
      <c r="K13" s="20"/>
    </row>
    <row r="14" spans="1:13" ht="14.45">
      <c r="A14" s="20"/>
      <c r="B14" s="31"/>
      <c r="C14" s="20"/>
      <c r="D14" s="20"/>
      <c r="E14" s="20"/>
      <c r="F14" s="20"/>
      <c r="G14" s="20"/>
      <c r="H14" s="20"/>
      <c r="I14" s="20"/>
      <c r="J14" s="20"/>
      <c r="K14" s="20"/>
    </row>
    <row r="15" spans="1:13" ht="14.45">
      <c r="A15" s="20"/>
      <c r="B15" s="31"/>
      <c r="C15" s="20"/>
      <c r="D15" s="20"/>
      <c r="E15" s="20"/>
      <c r="F15" s="20"/>
      <c r="G15" s="20"/>
      <c r="H15" s="20"/>
      <c r="I15" s="20"/>
      <c r="J15" s="20"/>
      <c r="K15" s="20"/>
    </row>
    <row r="16" spans="1:13"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6110" xr:uid="{5515FB2C-F9CC-422B-99B0-06E0EA4083CE}"/>
    <hyperlink ref="L4" r:id="rId2" display="https://us3.assetplanner.com/service_request?ID=097656" xr:uid="{DE40224A-FF30-4968-BDA1-4F8D8EE168B5}"/>
    <hyperlink ref="M4" r:id="rId3" display="https://us3.assetplanner.com/service_request?ID=097660" xr:uid="{2C41169A-3C56-49D3-B7B8-3FABEE0DB9D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30"/>
  <sheetViews>
    <sheetView zoomScale="80" zoomScaleNormal="80" workbookViewId="0">
      <pane xSplit="2" ySplit="3" topLeftCell="E4" activePane="bottomRight" state="frozen"/>
      <selection pane="bottomRight" activeCell="J4" sqref="J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65" t="str" cm="1">
        <f t="array" ref="A1">portfolio</f>
        <v>MD: Frederick – NMWDA – Solar</v>
      </c>
      <c r="B1" s="65"/>
      <c r="C1" s="65"/>
      <c r="D1" s="66" t="s">
        <v>31</v>
      </c>
      <c r="E1" s="66"/>
      <c r="F1" s="66"/>
      <c r="G1" s="64" t="s">
        <v>32</v>
      </c>
      <c r="H1" s="64"/>
      <c r="I1" s="64"/>
      <c r="J1" s="5"/>
      <c r="K1" s="5"/>
    </row>
    <row r="2" spans="1:16" ht="19.5" customHeight="1">
      <c r="A2" s="67" t="s">
        <v>2</v>
      </c>
      <c r="B2" s="67"/>
      <c r="C2" s="6">
        <f>SUM(C4:C88)</f>
        <v>138527.9</v>
      </c>
      <c r="D2" s="6">
        <f>SUM(D4:D88)</f>
        <v>0</v>
      </c>
      <c r="E2" s="6">
        <f>C2-D2</f>
        <v>138527.9</v>
      </c>
      <c r="F2" s="7">
        <f>IFERROR(E2/D2, 0)</f>
        <v>0</v>
      </c>
      <c r="G2" s="6">
        <f>SUM(G4:G88)</f>
        <v>0</v>
      </c>
      <c r="H2" s="8">
        <f>C2-G2</f>
        <v>138527.9</v>
      </c>
      <c r="I2" s="7">
        <f>IFERROR(H2/G2, 0)</f>
        <v>0</v>
      </c>
      <c r="J2" s="25" t="str">
        <f ca="1">IF(AND(TODAY()&gt;DATE(2024, 3, 1), COUNTA(Sites[Site])&lt;&gt;(COUNT(C:C)-1)), "Some sites are missing actual data; if new sites were added, make sure they are aligned correctly (including prior months!)", "")</f>
        <v/>
      </c>
      <c r="K2" s="5"/>
    </row>
    <row r="3" spans="1:16" ht="14.25" customHeight="1">
      <c r="A3" s="9" t="s">
        <v>3</v>
      </c>
      <c r="B3" s="9" t="s">
        <v>4</v>
      </c>
      <c r="C3" s="22" t="s">
        <v>5</v>
      </c>
      <c r="D3" s="33" t="s">
        <v>6</v>
      </c>
      <c r="E3" s="33" t="s">
        <v>7</v>
      </c>
      <c r="F3" s="34" t="s">
        <v>8</v>
      </c>
      <c r="G3" s="35" t="s">
        <v>9</v>
      </c>
      <c r="H3" s="36" t="s">
        <v>7</v>
      </c>
      <c r="I3" s="37" t="s">
        <v>8</v>
      </c>
      <c r="J3" s="24" t="s">
        <v>20</v>
      </c>
      <c r="K3" s="24" t="s">
        <v>21</v>
      </c>
    </row>
    <row r="4" spans="1:16" ht="242.45" customHeight="1">
      <c r="A4" s="42" t="str" cm="1">
        <f t="array" ref="A4">Sites[Site]</f>
        <v>Frederick MD - NMWDA</v>
      </c>
      <c r="B4" s="27" t="str" cm="1">
        <f t="array" ref="B4">Sites[State]</f>
        <v>MD</v>
      </c>
      <c r="C4" s="23">
        <v>138527.9</v>
      </c>
      <c r="D4" s="13" t="s">
        <v>22</v>
      </c>
      <c r="E4" s="13" t="str">
        <f>IF(AND(ISNUMBER(C4),ISNUMBER(D4)), C4-D4, "")</f>
        <v/>
      </c>
      <c r="F4" s="14" t="str">
        <f>IFERROR(E4/D4, "")</f>
        <v/>
      </c>
      <c r="G4" s="59" t="s">
        <v>22</v>
      </c>
      <c r="H4" s="15" t="str">
        <f>IF(AND(ISNUMBER(C4),ISNUMBER(G4)), C4-G4, "")</f>
        <v/>
      </c>
      <c r="I4" s="16" t="str">
        <f>IFERROR(H4/G4, "")</f>
        <v/>
      </c>
      <c r="J4" s="39" t="s">
        <v>33</v>
      </c>
      <c r="K4" s="60" t="s">
        <v>34</v>
      </c>
      <c r="L4" s="61" t="s">
        <v>30</v>
      </c>
      <c r="M4" s="61" t="s">
        <v>35</v>
      </c>
      <c r="N4" s="61" t="s">
        <v>36</v>
      </c>
      <c r="O4" s="61" t="s">
        <v>37</v>
      </c>
      <c r="P4" s="61" t="s">
        <v>38</v>
      </c>
    </row>
    <row r="5" spans="1:16"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6" ht="12.75" customHeight="1">
      <c r="A6" s="20"/>
      <c r="B6" s="31"/>
      <c r="C6" s="20"/>
      <c r="D6" s="20"/>
      <c r="E6" s="20"/>
      <c r="F6" s="20"/>
      <c r="G6" s="20"/>
      <c r="H6" s="20"/>
      <c r="I6" s="20"/>
      <c r="J6" s="20"/>
      <c r="K6" s="20"/>
    </row>
    <row r="7" spans="1:16" ht="14.45">
      <c r="A7" s="20"/>
      <c r="B7" s="31"/>
      <c r="C7" s="20"/>
      <c r="D7" s="20"/>
      <c r="E7" s="20"/>
      <c r="F7" s="20"/>
      <c r="G7" s="20"/>
      <c r="H7" s="20"/>
      <c r="I7" s="20"/>
      <c r="J7" s="20"/>
      <c r="K7" s="20"/>
    </row>
    <row r="8" spans="1:16" ht="14.45">
      <c r="A8" s="20"/>
      <c r="B8" s="31"/>
      <c r="C8" s="20"/>
      <c r="D8" s="20"/>
      <c r="E8" s="20"/>
      <c r="F8" s="20"/>
      <c r="G8" s="20"/>
      <c r="H8" s="20"/>
      <c r="I8" s="20"/>
      <c r="J8" s="20"/>
      <c r="K8" s="20"/>
    </row>
    <row r="9" spans="1:16" ht="14.45">
      <c r="A9" s="20"/>
      <c r="B9" s="31"/>
      <c r="C9" s="20"/>
      <c r="D9" s="20"/>
      <c r="E9" s="20"/>
      <c r="F9" s="20"/>
      <c r="G9" s="20"/>
      <c r="H9" s="20"/>
      <c r="I9" s="20"/>
      <c r="J9" s="20"/>
      <c r="K9" s="20"/>
    </row>
    <row r="10" spans="1:16" ht="14.45">
      <c r="A10" s="20"/>
      <c r="B10" s="31"/>
      <c r="C10" s="20"/>
      <c r="D10" s="20"/>
      <c r="E10" s="20"/>
      <c r="F10" s="20"/>
      <c r="G10" s="20"/>
      <c r="H10" s="20"/>
      <c r="I10" s="20"/>
      <c r="J10" s="20"/>
      <c r="K10" s="20"/>
    </row>
    <row r="11" spans="1:16" ht="14.45">
      <c r="A11" s="20"/>
      <c r="B11" s="31"/>
      <c r="C11" s="20"/>
      <c r="D11" s="20"/>
      <c r="E11" s="20"/>
      <c r="F11" s="20"/>
      <c r="G11" s="20"/>
      <c r="H11" s="20"/>
      <c r="I11" s="20"/>
      <c r="J11" s="20"/>
      <c r="K11" s="20"/>
    </row>
    <row r="12" spans="1:16" ht="14.45">
      <c r="A12" s="20"/>
      <c r="B12" s="31"/>
      <c r="C12" s="20"/>
      <c r="D12" s="20"/>
      <c r="E12" s="20"/>
      <c r="F12" s="20"/>
      <c r="G12" s="20"/>
      <c r="H12" s="20"/>
      <c r="I12" s="20"/>
      <c r="J12" s="20"/>
      <c r="K12" s="20"/>
    </row>
    <row r="13" spans="1:16" ht="14.45">
      <c r="A13" s="20"/>
      <c r="B13" s="31"/>
      <c r="C13" s="20"/>
      <c r="D13" s="20"/>
      <c r="E13" s="20"/>
      <c r="F13" s="20"/>
      <c r="G13" s="20"/>
      <c r="H13" s="20"/>
      <c r="I13" s="20"/>
      <c r="J13" s="20"/>
      <c r="K13" s="20"/>
    </row>
    <row r="14" spans="1:16" ht="14.45">
      <c r="A14" s="20"/>
      <c r="B14" s="31"/>
      <c r="C14" s="20"/>
      <c r="D14" s="20"/>
      <c r="E14" s="20"/>
      <c r="F14" s="20"/>
      <c r="G14" s="20"/>
      <c r="H14" s="20"/>
      <c r="I14" s="20"/>
      <c r="J14" s="20"/>
      <c r="K14" s="20"/>
    </row>
    <row r="15" spans="1:16" ht="14.45">
      <c r="A15" s="20"/>
      <c r="B15" s="31"/>
      <c r="C15" s="20"/>
      <c r="D15" s="20"/>
      <c r="E15" s="20"/>
      <c r="F15" s="20"/>
      <c r="G15" s="20"/>
      <c r="H15" s="20"/>
      <c r="I15" s="20"/>
      <c r="J15" s="20"/>
      <c r="K15" s="20"/>
    </row>
    <row r="16" spans="1:16"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7656" xr:uid="{367A9A00-43EE-47A4-A014-B9105F1DA4BF}"/>
    <hyperlink ref="L4" r:id="rId2" display="https://us3.assetplanner.com/service_request?ID=097660" xr:uid="{4928BBE8-69F9-4572-ABDC-7E6F160B2BCA}"/>
    <hyperlink ref="M4" r:id="rId3" display="https://us3.assetplanner.com/service_request?ID=097991" xr:uid="{75FBBD2F-5B2B-447A-9BC4-77979ECB1009}"/>
    <hyperlink ref="N4" r:id="rId4" display="https://us3.assetplanner.com/service_request?ID=098473" xr:uid="{CF63EB1C-C163-4AB4-A111-35F4D8C247EB}"/>
    <hyperlink ref="O4" r:id="rId5" display="https://us3.assetplanner.com/service_request?ID=099131" xr:uid="{247F1122-29D6-4C81-B664-1007F994894A}"/>
    <hyperlink ref="P4" r:id="rId6" display="https://us3.assetplanner.com/service_request?ID=099142" xr:uid="{EE202C55-7B2F-4E77-B7C2-493636D12C7F}"/>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30"/>
  <sheetViews>
    <sheetView tabSelected="1" workbookViewId="0">
      <pane xSplit="2" ySplit="3" topLeftCell="C4" activePane="bottomRight" state="frozen"/>
      <selection pane="bottomRight" activeCell="D10" sqref="D10"/>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5" t="str" cm="1">
        <f t="array" ref="A1">portfolio</f>
        <v>MD: Frederick – NMWDA – Solar</v>
      </c>
      <c r="B1" s="65"/>
      <c r="C1" s="65"/>
      <c r="D1" s="66" t="s">
        <v>39</v>
      </c>
      <c r="E1" s="66"/>
      <c r="F1" s="66"/>
      <c r="G1" s="64" t="s">
        <v>40</v>
      </c>
      <c r="H1" s="64"/>
      <c r="I1" s="64"/>
      <c r="J1" s="5"/>
      <c r="K1" s="5"/>
    </row>
    <row r="2" spans="1:12" ht="19.5" customHeight="1">
      <c r="A2" s="67" t="s">
        <v>2</v>
      </c>
      <c r="B2" s="67"/>
      <c r="C2" s="6">
        <f>SUM(C4:C88)</f>
        <v>135719.046</v>
      </c>
      <c r="D2" s="6">
        <f>SUM(D4:D88)</f>
        <v>0</v>
      </c>
      <c r="E2" s="6">
        <f>C2-D2</f>
        <v>135719.046</v>
      </c>
      <c r="F2" s="7">
        <f>IFERROR(E2/D2, 0)</f>
        <v>0</v>
      </c>
      <c r="G2" s="6">
        <f>SUM(G4:G88)</f>
        <v>0</v>
      </c>
      <c r="H2" s="8">
        <f>C2-G2</f>
        <v>135719.046</v>
      </c>
      <c r="I2" s="7">
        <f>IFERROR(H2/G2, 0)</f>
        <v>0</v>
      </c>
      <c r="J2" s="25" t="str">
        <f ca="1">IF(AND(TODAY()&gt;DATE(2024, 4, 1), COUNTA(Sites[Site])&lt;&gt;(COUNT(C:C)-1)), "Some sites are missing actual data; if new sites were added, make sure they are aligned correctly (including prior months!)", "")</f>
        <v/>
      </c>
      <c r="K2" s="5"/>
    </row>
    <row r="3" spans="1:12" ht="14.25" customHeight="1">
      <c r="A3" s="9" t="s">
        <v>3</v>
      </c>
      <c r="B3" s="9" t="s">
        <v>4</v>
      </c>
      <c r="C3" s="22" t="s">
        <v>5</v>
      </c>
      <c r="D3" s="33" t="s">
        <v>6</v>
      </c>
      <c r="E3" s="33" t="s">
        <v>7</v>
      </c>
      <c r="F3" s="34" t="s">
        <v>8</v>
      </c>
      <c r="G3" s="35" t="s">
        <v>9</v>
      </c>
      <c r="H3" s="36" t="s">
        <v>7</v>
      </c>
      <c r="I3" s="37" t="s">
        <v>8</v>
      </c>
      <c r="J3" s="44" t="s">
        <v>20</v>
      </c>
      <c r="K3" s="44" t="s">
        <v>21</v>
      </c>
    </row>
    <row r="4" spans="1:12" ht="100.9">
      <c r="A4" s="42" t="str" cm="1">
        <f t="array" ref="A4">Sites[Site]</f>
        <v>Frederick MD - NMWDA</v>
      </c>
      <c r="B4" s="27" t="str" cm="1">
        <f t="array" ref="B4">Sites[State]</f>
        <v>MD</v>
      </c>
      <c r="C4" s="23">
        <v>135719.046</v>
      </c>
      <c r="D4" s="13" t="s">
        <v>22</v>
      </c>
      <c r="E4" s="13" t="str">
        <f>IF(AND(ISNUMBER(C4),ISNUMBER(D4)), C4-D4, "")</f>
        <v/>
      </c>
      <c r="F4" s="14" t="str">
        <f>IFERROR(E4/D4, "")</f>
        <v/>
      </c>
      <c r="G4" s="59" t="s">
        <v>22</v>
      </c>
      <c r="H4" s="15" t="str">
        <f>IF(AND(ISNUMBER(C4),ISNUMBER(G4)), C4-G4, "")</f>
        <v/>
      </c>
      <c r="I4" s="16" t="str">
        <f>IFERROR(H4/G4, "")</f>
        <v/>
      </c>
      <c r="J4" s="43" t="s">
        <v>41</v>
      </c>
      <c r="K4" s="63" t="s">
        <v>42</v>
      </c>
      <c r="L4" s="61" t="s">
        <v>38</v>
      </c>
    </row>
    <row r="5" spans="1:12"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2" ht="12.75" customHeight="1">
      <c r="A6" s="20"/>
      <c r="B6" s="31"/>
      <c r="C6" s="20"/>
      <c r="D6" s="20"/>
      <c r="E6" s="20"/>
      <c r="F6" s="20"/>
      <c r="G6" s="20"/>
      <c r="H6" s="20"/>
      <c r="I6" s="20"/>
      <c r="J6" s="20"/>
      <c r="K6" s="20"/>
    </row>
    <row r="7" spans="1:12" ht="14.45">
      <c r="A7" s="20"/>
      <c r="B7" s="31"/>
      <c r="C7" s="20"/>
      <c r="D7" s="20"/>
      <c r="E7" s="20"/>
      <c r="F7" s="20"/>
      <c r="G7" s="20"/>
      <c r="H7" s="20"/>
      <c r="I7" s="20"/>
      <c r="J7" s="20"/>
      <c r="K7" s="20"/>
    </row>
    <row r="8" spans="1:12" ht="14.45">
      <c r="A8" s="20"/>
      <c r="B8" s="31"/>
      <c r="C8" s="20"/>
      <c r="D8" s="20"/>
      <c r="E8" s="20"/>
      <c r="F8" s="20"/>
      <c r="G8" s="20"/>
      <c r="H8" s="20"/>
      <c r="I8" s="20"/>
      <c r="J8" s="20"/>
      <c r="K8" s="20"/>
    </row>
    <row r="9" spans="1:12" ht="14.45">
      <c r="A9" s="20"/>
      <c r="B9" s="31"/>
      <c r="C9" s="20"/>
      <c r="D9" s="20"/>
      <c r="E9" s="20"/>
      <c r="F9" s="20"/>
      <c r="G9" s="20"/>
      <c r="H9" s="20"/>
      <c r="I9" s="20"/>
      <c r="J9" s="20"/>
      <c r="K9" s="20"/>
    </row>
    <row r="10" spans="1:12" ht="14.45">
      <c r="A10" s="20"/>
      <c r="B10" s="31"/>
      <c r="C10" s="20"/>
      <c r="D10" s="20"/>
      <c r="E10" s="20"/>
      <c r="F10" s="20"/>
      <c r="G10" s="20"/>
      <c r="H10" s="20"/>
      <c r="I10" s="20"/>
      <c r="J10" s="20"/>
      <c r="K10" s="20"/>
    </row>
    <row r="11" spans="1:12" ht="14.45">
      <c r="A11" s="20"/>
      <c r="B11" s="31"/>
      <c r="C11" s="20"/>
      <c r="D11" s="20"/>
      <c r="E11" s="20"/>
      <c r="F11" s="20"/>
      <c r="G11" s="20"/>
      <c r="H11" s="20"/>
      <c r="I11" s="20"/>
      <c r="J11" s="20"/>
      <c r="K11" s="20"/>
    </row>
    <row r="12" spans="1:12" ht="14.45">
      <c r="A12" s="20"/>
      <c r="B12" s="31"/>
      <c r="C12" s="20"/>
      <c r="D12" s="20"/>
      <c r="E12" s="20"/>
      <c r="F12" s="20"/>
      <c r="G12" s="20"/>
      <c r="H12" s="20"/>
      <c r="I12" s="20"/>
      <c r="J12" s="20"/>
      <c r="K12" s="20"/>
    </row>
    <row r="13" spans="1:12" ht="14.45">
      <c r="A13" s="20"/>
      <c r="B13" s="31"/>
      <c r="C13" s="20"/>
      <c r="D13" s="20"/>
      <c r="E13" s="20"/>
      <c r="F13" s="20"/>
      <c r="G13" s="20"/>
      <c r="H13" s="20"/>
      <c r="I13" s="20"/>
      <c r="J13" s="20"/>
      <c r="K13" s="20"/>
    </row>
    <row r="14" spans="1:12" ht="14.45">
      <c r="A14" s="20"/>
      <c r="B14" s="31"/>
      <c r="C14" s="20"/>
      <c r="D14" s="20"/>
      <c r="E14" s="20"/>
      <c r="F14" s="20"/>
      <c r="G14" s="20"/>
      <c r="H14" s="20"/>
      <c r="I14" s="20"/>
      <c r="J14" s="20"/>
      <c r="K14" s="20"/>
    </row>
    <row r="15" spans="1:12" ht="14.45">
      <c r="A15" s="20"/>
      <c r="B15" s="31"/>
      <c r="C15" s="20"/>
      <c r="D15" s="20"/>
      <c r="E15" s="20"/>
      <c r="F15" s="20"/>
      <c r="G15" s="20"/>
      <c r="H15" s="20"/>
      <c r="I15" s="20"/>
      <c r="J15" s="20"/>
      <c r="K15" s="20"/>
    </row>
    <row r="16" spans="1:12"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99142" xr:uid="{3FE1E723-40B9-44AD-9D43-FF404FB97258}"/>
    <hyperlink ref="L4" r:id="rId2" display="https://us3.assetplanner.com/service_request?ID=099142" xr:uid="{9D1BEA09-4277-4689-942B-3264042375C6}"/>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30"/>
  <sheetViews>
    <sheetView workbookViewId="0">
      <pane xSplit="2" ySplit="3" topLeftCell="G4" activePane="bottomRight" state="frozen"/>
      <selection pane="bottomRight" activeCell="L4" sqref="L4:N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5" t="str" cm="1">
        <f t="array" ref="A1">portfolio</f>
        <v>MD: Frederick – NMWDA – Solar</v>
      </c>
      <c r="B1" s="65"/>
      <c r="C1" s="65"/>
      <c r="D1" s="66" t="s">
        <v>43</v>
      </c>
      <c r="E1" s="66"/>
      <c r="F1" s="66"/>
      <c r="G1" s="64" t="s">
        <v>44</v>
      </c>
      <c r="H1" s="64"/>
      <c r="I1" s="64"/>
      <c r="J1" s="5"/>
      <c r="K1" s="5"/>
    </row>
    <row r="2" spans="1:14" ht="19.5" customHeight="1">
      <c r="A2" s="67" t="s">
        <v>2</v>
      </c>
      <c r="B2" s="67"/>
      <c r="C2" s="6">
        <f>SUM(C4:C88)</f>
        <v>146820.99799999999</v>
      </c>
      <c r="D2" s="6">
        <f>SUM(D4:D88)</f>
        <v>0</v>
      </c>
      <c r="E2" s="6">
        <f>C2-D2</f>
        <v>146820.99799999999</v>
      </c>
      <c r="F2" s="7">
        <f>IFERROR(E2/D2, 0)</f>
        <v>0</v>
      </c>
      <c r="G2" s="6">
        <f>SUM(G4:G88)</f>
        <v>0</v>
      </c>
      <c r="H2" s="8">
        <f>C2-G2</f>
        <v>146820.99799999999</v>
      </c>
      <c r="I2" s="7">
        <f>IFERROR(H2/G2, 0)</f>
        <v>0</v>
      </c>
      <c r="J2" s="25" t="str">
        <f ca="1">IF(AND(TODAY()&gt;DATE(2024, 5, 1), COUNTA(Sites[Site])&lt;&gt;(COUNT(C:C)-1)), "Some sites are missing actual data; if new sites were added, make sure they are aligned correctly (including prior months!)", "")</f>
        <v/>
      </c>
      <c r="K2" s="5"/>
    </row>
    <row r="3" spans="1:14" ht="14.25" customHeight="1">
      <c r="A3" s="9" t="s">
        <v>3</v>
      </c>
      <c r="B3" s="9" t="s">
        <v>4</v>
      </c>
      <c r="C3" s="50" t="s">
        <v>5</v>
      </c>
      <c r="D3" s="51" t="s">
        <v>6</v>
      </c>
      <c r="E3" s="51" t="s">
        <v>7</v>
      </c>
      <c r="F3" s="52" t="s">
        <v>8</v>
      </c>
      <c r="G3" s="53" t="s">
        <v>9</v>
      </c>
      <c r="H3" s="54" t="s">
        <v>7</v>
      </c>
      <c r="I3" s="55" t="s">
        <v>8</v>
      </c>
      <c r="J3" s="44" t="s">
        <v>20</v>
      </c>
      <c r="K3" s="44" t="s">
        <v>21</v>
      </c>
    </row>
    <row r="4" spans="1:14" ht="100.9">
      <c r="A4" s="30" t="str" cm="1">
        <f t="array" ref="A4">Sites[Site]</f>
        <v>Frederick MD - NMWDA</v>
      </c>
      <c r="B4" s="27" t="str" cm="1">
        <f t="array" ref="B4">Sites[State]</f>
        <v>MD</v>
      </c>
      <c r="C4" s="45">
        <v>146820.99799999999</v>
      </c>
      <c r="D4" s="46" t="s">
        <v>22</v>
      </c>
      <c r="E4" s="46" t="str">
        <f>IF(AND(ISNUMBER(C4),ISNUMBER(D4)), C4-D4, "")</f>
        <v/>
      </c>
      <c r="F4" s="47" t="str">
        <f>IFERROR(E4/D4, "")</f>
        <v/>
      </c>
      <c r="G4" s="62" t="s">
        <v>22</v>
      </c>
      <c r="H4" s="48" t="str">
        <f>IF(AND(ISNUMBER(C4),ISNUMBER(G4)), C4-G4, "")</f>
        <v/>
      </c>
      <c r="I4" s="49" t="str">
        <f>IFERROR(H4/G4, "")</f>
        <v/>
      </c>
      <c r="J4" s="43" t="s">
        <v>45</v>
      </c>
      <c r="K4" s="63" t="s">
        <v>46</v>
      </c>
      <c r="L4" s="61" t="s">
        <v>47</v>
      </c>
      <c r="M4" s="61" t="s">
        <v>48</v>
      </c>
      <c r="N4" s="61" t="s">
        <v>49</v>
      </c>
    </row>
    <row r="5" spans="1:14"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4" ht="12.75" customHeight="1">
      <c r="A6" s="20"/>
      <c r="B6" s="31"/>
      <c r="C6" s="20"/>
      <c r="D6" s="20"/>
      <c r="E6" s="20"/>
      <c r="F6" s="20"/>
      <c r="G6" s="20"/>
      <c r="H6" s="20"/>
      <c r="I6" s="20"/>
      <c r="J6" s="20"/>
      <c r="K6" s="20"/>
    </row>
    <row r="7" spans="1:14" ht="14.45">
      <c r="A7" s="20"/>
      <c r="B7" s="31"/>
      <c r="C7" s="20"/>
      <c r="D7" s="20"/>
      <c r="E7" s="20"/>
      <c r="F7" s="20"/>
      <c r="G7" s="20"/>
      <c r="H7" s="20"/>
      <c r="I7" s="20"/>
      <c r="J7" s="20"/>
      <c r="K7" s="20"/>
    </row>
    <row r="8" spans="1:14" ht="14.45">
      <c r="A8" s="20"/>
      <c r="B8" s="31"/>
      <c r="C8" s="20"/>
      <c r="D8" s="20"/>
      <c r="E8" s="20"/>
      <c r="F8" s="20"/>
      <c r="G8" s="20"/>
      <c r="H8" s="20"/>
      <c r="I8" s="20"/>
      <c r="J8" s="20"/>
      <c r="K8" s="20"/>
    </row>
    <row r="9" spans="1:14" ht="14.45">
      <c r="A9" s="20"/>
      <c r="B9" s="31"/>
      <c r="C9" s="20"/>
      <c r="D9" s="20"/>
      <c r="E9" s="20"/>
      <c r="F9" s="20"/>
      <c r="G9" s="20"/>
      <c r="H9" s="20"/>
      <c r="I9" s="20"/>
      <c r="J9" s="20"/>
      <c r="K9" s="20"/>
    </row>
    <row r="10" spans="1:14" ht="14.45">
      <c r="A10" s="20"/>
      <c r="B10" s="31"/>
      <c r="C10" s="20"/>
      <c r="D10" s="20"/>
      <c r="E10" s="20"/>
      <c r="F10" s="20"/>
      <c r="G10" s="20"/>
      <c r="H10" s="20"/>
      <c r="I10" s="20"/>
      <c r="J10" s="20"/>
      <c r="K10" s="20"/>
    </row>
    <row r="11" spans="1:14" ht="14.45">
      <c r="A11" s="20"/>
      <c r="B11" s="31"/>
      <c r="C11" s="20"/>
      <c r="D11" s="20"/>
      <c r="E11" s="20"/>
      <c r="F11" s="20"/>
      <c r="G11" s="20"/>
      <c r="H11" s="20"/>
      <c r="I11" s="20"/>
      <c r="J11" s="20"/>
      <c r="K11" s="20"/>
    </row>
    <row r="12" spans="1:14" ht="14.45">
      <c r="A12" s="20"/>
      <c r="B12" s="31"/>
      <c r="C12" s="20"/>
      <c r="D12" s="20"/>
      <c r="E12" s="20"/>
      <c r="F12" s="20"/>
      <c r="G12" s="20"/>
      <c r="H12" s="20"/>
      <c r="I12" s="20"/>
      <c r="J12" s="20"/>
      <c r="K12" s="20"/>
    </row>
    <row r="13" spans="1:14" ht="14.45">
      <c r="A13" s="20"/>
      <c r="B13" s="31"/>
      <c r="C13" s="20"/>
      <c r="D13" s="20"/>
      <c r="E13" s="20"/>
      <c r="F13" s="20"/>
      <c r="G13" s="20"/>
      <c r="H13" s="20"/>
      <c r="I13" s="20"/>
      <c r="J13" s="20"/>
      <c r="K13" s="20"/>
    </row>
    <row r="14" spans="1:14" ht="14.45">
      <c r="A14" s="20"/>
      <c r="B14" s="31"/>
      <c r="C14" s="20"/>
      <c r="D14" s="20"/>
      <c r="E14" s="20"/>
      <c r="F14" s="20"/>
      <c r="G14" s="20"/>
      <c r="H14" s="20"/>
      <c r="I14" s="20"/>
      <c r="J14" s="20"/>
      <c r="K14" s="20"/>
    </row>
    <row r="15" spans="1:14" ht="14.45">
      <c r="A15" s="20"/>
      <c r="B15" s="31"/>
      <c r="C15" s="20"/>
      <c r="D15" s="20"/>
      <c r="E15" s="20"/>
      <c r="F15" s="20"/>
      <c r="G15" s="20"/>
      <c r="H15" s="20"/>
      <c r="I15" s="20"/>
      <c r="J15" s="20"/>
      <c r="K15" s="20"/>
    </row>
    <row r="16" spans="1:14"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099142" xr:uid="{86A5F318-6EB7-4F20-A261-825227E9E554}"/>
    <hyperlink ref="L4" r:id="rId2" display="https://us3.assetplanner.com/service_request?ID=101900" xr:uid="{C915E5E0-3ABC-4119-96EC-B86BD589CB82}"/>
    <hyperlink ref="M4" r:id="rId3" display="https://us3.assetplanner.com/service_request?ID=102216" xr:uid="{B4CCAB38-8D62-474B-9297-B603AE832737}"/>
    <hyperlink ref="N4" r:id="rId4" display="https://us3.assetplanner.com/service_request?ID=101904" xr:uid="{62D0738A-8929-47AF-A545-0AE6E96DC1F3}"/>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M330"/>
  <sheetViews>
    <sheetView workbookViewId="0">
      <pane xSplit="2" ySplit="3" topLeftCell="H4" activePane="bottomRight" state="frozen"/>
      <selection pane="bottomRight" activeCell="J8" sqref="J8"/>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5" t="str" cm="1">
        <f t="array" ref="A1">portfolio</f>
        <v>MD: Frederick – NMWDA – Solar</v>
      </c>
      <c r="B1" s="65"/>
      <c r="C1" s="65"/>
      <c r="D1" s="66" t="s">
        <v>50</v>
      </c>
      <c r="E1" s="66"/>
      <c r="F1" s="66"/>
      <c r="G1" s="64" t="s">
        <v>51</v>
      </c>
      <c r="H1" s="64"/>
      <c r="I1" s="64"/>
      <c r="J1" s="5"/>
      <c r="K1" s="5"/>
    </row>
    <row r="2" spans="1:13" ht="19.5" customHeight="1">
      <c r="A2" s="67" t="s">
        <v>2</v>
      </c>
      <c r="B2" s="67"/>
      <c r="C2" s="6">
        <f>SUM(C4:C88)</f>
        <v>157350.95499999999</v>
      </c>
      <c r="D2" s="6">
        <f>SUM(D4:D88)</f>
        <v>0</v>
      </c>
      <c r="E2" s="6">
        <f>C2-D2</f>
        <v>157350.95499999999</v>
      </c>
      <c r="F2" s="7">
        <f>IFERROR(E2/D2, 0)</f>
        <v>0</v>
      </c>
      <c r="G2" s="6">
        <f>SUM(G4:G88)</f>
        <v>0</v>
      </c>
      <c r="H2" s="8">
        <f>C2-G2</f>
        <v>157350.95499999999</v>
      </c>
      <c r="I2" s="7">
        <f>IFERROR(H2/G2, 0)</f>
        <v>0</v>
      </c>
      <c r="J2" s="25" t="str">
        <f ca="1">IF(AND(TODAY()&gt;DATE(2024, 6, 1), COUNTA(Sites[Site])&lt;&gt;(COUNT(C:C)-1)), "Some sites are missing actual data; if new sites were added, make sure they are aligned correctly (including prior months!)", "")</f>
        <v/>
      </c>
      <c r="K2" s="5"/>
    </row>
    <row r="3" spans="1:13" ht="14.25" customHeight="1">
      <c r="A3" s="26" t="s">
        <v>3</v>
      </c>
      <c r="B3" s="26" t="s">
        <v>4</v>
      </c>
      <c r="C3" s="50" t="s">
        <v>5</v>
      </c>
      <c r="D3" s="51" t="s">
        <v>6</v>
      </c>
      <c r="E3" s="51" t="s">
        <v>7</v>
      </c>
      <c r="F3" s="52" t="s">
        <v>8</v>
      </c>
      <c r="G3" s="53" t="s">
        <v>9</v>
      </c>
      <c r="H3" s="54" t="s">
        <v>7</v>
      </c>
      <c r="I3" s="55" t="s">
        <v>8</v>
      </c>
      <c r="J3" s="44" t="s">
        <v>20</v>
      </c>
      <c r="K3" s="44" t="s">
        <v>21</v>
      </c>
    </row>
    <row r="4" spans="1:13" ht="105.75" customHeight="1">
      <c r="A4" s="56" t="str" cm="1">
        <f t="array" ref="A4">Sites[Site]</f>
        <v>Frederick MD - NMWDA</v>
      </c>
      <c r="B4" s="57" t="str" cm="1">
        <f t="array" ref="B4">Sites[State]</f>
        <v>MD</v>
      </c>
      <c r="C4" s="58">
        <v>157350.95499999999</v>
      </c>
      <c r="D4" s="46" t="s">
        <v>22</v>
      </c>
      <c r="E4" s="46" t="str">
        <f>IF(AND(ISNUMBER(C4),ISNUMBER(D4)), C4-D4, "")</f>
        <v/>
      </c>
      <c r="F4" s="47" t="str">
        <f>IFERROR(E4/D4, "")</f>
        <v/>
      </c>
      <c r="G4" s="62" t="s">
        <v>22</v>
      </c>
      <c r="H4" s="48" t="str">
        <f>IF(AND(ISNUMBER(C4),ISNUMBER(G4)), C4-G4, "")</f>
        <v/>
      </c>
      <c r="I4" s="49" t="str">
        <f>IFERROR(H4/G4, "")</f>
        <v/>
      </c>
      <c r="J4" s="43" t="s">
        <v>52</v>
      </c>
      <c r="K4" s="63" t="s">
        <v>53</v>
      </c>
      <c r="L4" s="61" t="s">
        <v>47</v>
      </c>
      <c r="M4" s="61" t="s">
        <v>54</v>
      </c>
    </row>
    <row r="5" spans="1:13"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3" ht="12.75" customHeight="1">
      <c r="A6" s="20"/>
      <c r="B6" s="31"/>
      <c r="C6" s="20"/>
      <c r="D6" s="20"/>
      <c r="E6" s="20"/>
      <c r="F6" s="20"/>
      <c r="G6" s="20"/>
      <c r="H6" s="20"/>
      <c r="I6" s="20"/>
      <c r="J6" s="20"/>
      <c r="K6" s="20"/>
    </row>
    <row r="7" spans="1:13" ht="14.45">
      <c r="A7" s="20"/>
      <c r="B7" s="31"/>
      <c r="C7" s="20"/>
      <c r="D7" s="20"/>
      <c r="E7" s="20"/>
      <c r="F7" s="20"/>
      <c r="G7" s="20"/>
      <c r="H7" s="20"/>
      <c r="I7" s="20"/>
      <c r="J7" s="20"/>
      <c r="K7" s="20"/>
    </row>
    <row r="8" spans="1:13" ht="14.45">
      <c r="A8" s="20"/>
      <c r="B8" s="31"/>
      <c r="C8" s="20"/>
      <c r="D8" s="20"/>
      <c r="E8" s="20"/>
      <c r="F8" s="20"/>
      <c r="G8" s="20"/>
      <c r="H8" s="20"/>
      <c r="I8" s="20"/>
      <c r="J8" s="20"/>
      <c r="K8" s="20"/>
    </row>
    <row r="9" spans="1:13" ht="14.45">
      <c r="A9" s="20"/>
      <c r="B9" s="31"/>
      <c r="C9" s="20"/>
      <c r="D9" s="20"/>
      <c r="E9" s="20"/>
      <c r="F9" s="20"/>
      <c r="G9" s="20"/>
      <c r="H9" s="20"/>
      <c r="I9" s="20"/>
      <c r="J9" s="20"/>
      <c r="K9" s="20"/>
    </row>
    <row r="10" spans="1:13" ht="14.45">
      <c r="A10" s="20"/>
      <c r="B10" s="31"/>
      <c r="C10" s="20"/>
      <c r="D10" s="20"/>
      <c r="E10" s="20"/>
      <c r="F10" s="20"/>
      <c r="G10" s="20"/>
      <c r="H10" s="20"/>
      <c r="I10" s="20"/>
      <c r="J10" s="20"/>
      <c r="K10" s="20"/>
    </row>
    <row r="11" spans="1:13" ht="14.45">
      <c r="A11" s="20"/>
      <c r="B11" s="31"/>
      <c r="C11" s="20"/>
      <c r="D11" s="20"/>
      <c r="E11" s="20"/>
      <c r="F11" s="20"/>
      <c r="G11" s="20"/>
      <c r="H11" s="20"/>
      <c r="I11" s="20"/>
      <c r="J11" s="20"/>
      <c r="K11" s="20"/>
    </row>
    <row r="12" spans="1:13" ht="14.45">
      <c r="A12" s="20"/>
      <c r="B12" s="31"/>
      <c r="C12" s="20"/>
      <c r="D12" s="20"/>
      <c r="E12" s="20"/>
      <c r="F12" s="20"/>
      <c r="G12" s="20"/>
      <c r="H12" s="20"/>
      <c r="I12" s="20"/>
      <c r="J12" s="20"/>
      <c r="K12" s="20"/>
    </row>
    <row r="13" spans="1:13" ht="14.45">
      <c r="A13" s="20"/>
      <c r="B13" s="31"/>
      <c r="C13" s="20"/>
      <c r="D13" s="20"/>
      <c r="E13" s="20"/>
      <c r="F13" s="20"/>
      <c r="G13" s="20"/>
      <c r="H13" s="20"/>
      <c r="I13" s="20"/>
      <c r="J13" s="20"/>
      <c r="K13" s="20"/>
    </row>
    <row r="14" spans="1:13" ht="14.45">
      <c r="A14" s="20"/>
      <c r="B14" s="31"/>
      <c r="C14" s="20"/>
      <c r="D14" s="20"/>
      <c r="E14" s="20"/>
      <c r="F14" s="20"/>
      <c r="G14" s="20"/>
      <c r="H14" s="20"/>
      <c r="I14" s="20"/>
      <c r="J14" s="20"/>
      <c r="K14" s="20"/>
    </row>
    <row r="15" spans="1:13" ht="14.45">
      <c r="A15" s="20"/>
      <c r="B15" s="31"/>
      <c r="C15" s="20"/>
      <c r="D15" s="20"/>
      <c r="E15" s="20"/>
      <c r="F15" s="20"/>
      <c r="G15" s="20"/>
      <c r="H15" s="20"/>
      <c r="I15" s="20"/>
      <c r="J15" s="20"/>
      <c r="K15" s="20"/>
    </row>
    <row r="16" spans="1:13"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1904" xr:uid="{321E21E3-D159-4A53-849E-1BE37F568B07}"/>
    <hyperlink ref="L4" r:id="rId2" display="https://us3.assetplanner.com/service_request?ID=101900" xr:uid="{42325732-FC91-4D00-AF8D-5776F5D1D1B6}"/>
    <hyperlink ref="M4" r:id="rId3" display="https://us3.assetplanner.com/service_request?ID=103355" xr:uid="{9F809DDE-00CD-49CD-B282-6FB411D6EAE3}"/>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0"/>
  <sheetViews>
    <sheetView workbookViewId="0">
      <pane xSplit="2" ySplit="3" topLeftCell="C4" activePane="bottomRight" state="frozen"/>
      <selection pane="bottomRight" activeCell="J4" sqref="J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5" t="str" cm="1">
        <f t="array" ref="A1">portfolio</f>
        <v>MD: Frederick – NMWDA – Solar</v>
      </c>
      <c r="B1" s="65"/>
      <c r="C1" s="65"/>
      <c r="D1" s="66" t="s">
        <v>55</v>
      </c>
      <c r="E1" s="66"/>
      <c r="F1" s="66"/>
      <c r="G1" s="64" t="s">
        <v>56</v>
      </c>
      <c r="H1" s="64"/>
      <c r="I1" s="64"/>
      <c r="J1" s="5"/>
      <c r="K1" s="5"/>
    </row>
    <row r="2" spans="1:11" ht="19.5" customHeight="1">
      <c r="A2" s="67" t="s">
        <v>2</v>
      </c>
      <c r="B2" s="67"/>
      <c r="C2" s="6">
        <f>SUM(C4:C88)</f>
        <v>0</v>
      </c>
      <c r="D2" s="6">
        <f>SUM(D4:D88)</f>
        <v>0</v>
      </c>
      <c r="E2" s="6">
        <f>C2-D2</f>
        <v>0</v>
      </c>
      <c r="F2" s="7">
        <f>IFERROR(E2/D2, 0)</f>
        <v>0</v>
      </c>
      <c r="G2" s="6">
        <f>SUM(G4:G88)</f>
        <v>0</v>
      </c>
      <c r="H2" s="8">
        <f>C2-G2</f>
        <v>0</v>
      </c>
      <c r="I2" s="7">
        <f>IFERROR(H2/G2, 0)</f>
        <v>0</v>
      </c>
      <c r="J2" s="25"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60" customHeight="1">
      <c r="A4" s="30"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1" ht="12.75" customHeight="1">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sortState xmlns:xlrd2="http://schemas.microsoft.com/office/spreadsheetml/2017/richdata2" ref="A3:K4">
    <sortCondition ref="A3:A4"/>
  </sortState>
  <mergeCells count="4">
    <mergeCell ref="G1:I1"/>
    <mergeCell ref="A1:C1"/>
    <mergeCell ref="D1:F1"/>
    <mergeCell ref="A2:B2"/>
  </mergeCells>
  <conditionalFormatting sqref="F2 I2 F4:F88 I4:I88">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0"/>
  <sheetViews>
    <sheetView workbookViewId="0">
      <pane xSplit="2" ySplit="3" topLeftCell="C4" activePane="bottomRight" state="frozen"/>
      <selection pane="bottomRight" activeCell="F10" sqref="F10"/>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5" t="str" cm="1">
        <f t="array" ref="A1">portfolio</f>
        <v>MD: Frederick – NMWDA – Solar</v>
      </c>
      <c r="B1" s="65"/>
      <c r="C1" s="65"/>
      <c r="D1" s="66" t="s">
        <v>57</v>
      </c>
      <c r="E1" s="66"/>
      <c r="F1" s="66"/>
      <c r="G1" s="64" t="s">
        <v>58</v>
      </c>
      <c r="H1" s="64"/>
      <c r="I1" s="64"/>
      <c r="J1" s="5"/>
      <c r="K1" s="5"/>
    </row>
    <row r="2" spans="1:11" ht="19.5" customHeight="1">
      <c r="A2" s="67" t="s">
        <v>2</v>
      </c>
      <c r="B2" s="67"/>
      <c r="C2" s="6">
        <f>SUM(C4:C88)</f>
        <v>0</v>
      </c>
      <c r="D2" s="6">
        <f>SUM(D4:D88)</f>
        <v>0</v>
      </c>
      <c r="E2" s="6">
        <f>C2-D2</f>
        <v>0</v>
      </c>
      <c r="F2" s="7">
        <f>IFERROR(E2/D2, 0)</f>
        <v>0</v>
      </c>
      <c r="G2" s="6">
        <f>SUM(G4:G88)</f>
        <v>0</v>
      </c>
      <c r="H2" s="8">
        <f>C2-G2</f>
        <v>0</v>
      </c>
      <c r="I2" s="7">
        <f>IFERROR(H2/G2, 0)</f>
        <v>0</v>
      </c>
      <c r="J2" s="25"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154.5" customHeight="1">
      <c r="A4" s="30"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1" ht="12.75" customHeight="1">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9"/>
  <sheetViews>
    <sheetView workbookViewId="0">
      <pane xSplit="2" ySplit="3" topLeftCell="C4" activePane="bottomRight" state="frozen"/>
      <selection pane="bottomRight" activeCell="D10" sqref="D10"/>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5" t="str" cm="1">
        <f t="array" ref="A1">portfolio</f>
        <v>MD: Frederick – NMWDA – Solar</v>
      </c>
      <c r="B1" s="65"/>
      <c r="C1" s="65"/>
      <c r="D1" s="66" t="s">
        <v>59</v>
      </c>
      <c r="E1" s="66"/>
      <c r="F1" s="66"/>
      <c r="G1" s="64" t="s">
        <v>60</v>
      </c>
      <c r="H1" s="64"/>
      <c r="I1" s="64"/>
      <c r="J1" s="5"/>
      <c r="K1" s="5"/>
    </row>
    <row r="2" spans="1:11" ht="19.5" customHeight="1">
      <c r="A2" s="67" t="s">
        <v>2</v>
      </c>
      <c r="B2" s="67"/>
      <c r="C2" s="6">
        <f>SUM(C4:C87)</f>
        <v>0</v>
      </c>
      <c r="D2" s="6">
        <f>SUM(D4:D87)</f>
        <v>0</v>
      </c>
      <c r="E2" s="6">
        <f>C2-D2</f>
        <v>0</v>
      </c>
      <c r="F2" s="7">
        <f>IFERROR(E2/D2, 0)</f>
        <v>0</v>
      </c>
      <c r="G2" s="6">
        <f>SUM(G4:G87)</f>
        <v>0</v>
      </c>
      <c r="H2" s="8">
        <f>C2-G2</f>
        <v>0</v>
      </c>
      <c r="I2" s="7">
        <f>IFERROR(H2/G2, 0)</f>
        <v>0</v>
      </c>
      <c r="J2" s="25"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59.25" customHeight="1">
      <c r="A4" s="30"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2.75" customHeight="1">
      <c r="A5" s="20"/>
      <c r="B5" s="31"/>
      <c r="C5" s="20"/>
      <c r="D5" s="20"/>
      <c r="E5" s="20"/>
      <c r="F5" s="20"/>
      <c r="G5" s="20"/>
      <c r="H5" s="20"/>
      <c r="I5" s="20"/>
      <c r="J5" s="20"/>
      <c r="K5" s="20"/>
    </row>
    <row r="6" spans="1:11" ht="14.45">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C329" s="20"/>
      <c r="D329" s="20"/>
      <c r="E329" s="20"/>
      <c r="F329" s="21"/>
      <c r="G329" s="20"/>
      <c r="H329" s="20"/>
      <c r="I329" s="21"/>
      <c r="J329" s="20"/>
      <c r="K329" s="20"/>
    </row>
  </sheetData>
  <mergeCells count="4">
    <mergeCell ref="G1:I1"/>
    <mergeCell ref="A1:C1"/>
    <mergeCell ref="D1:F1"/>
    <mergeCell ref="A2:B2"/>
  </mergeCells>
  <conditionalFormatting sqref="F2 I2 F4:F87 I4:I87">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0"/>
  <sheetViews>
    <sheetView workbookViewId="0">
      <pane xSplit="2" ySplit="3" topLeftCell="C4" activePane="bottomRight" state="frozen"/>
      <selection pane="bottomRight" activeCell="K4" sqref="K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5" t="str" cm="1">
        <f t="array" ref="A1">portfolio</f>
        <v>MD: Frederick – NMWDA – Solar</v>
      </c>
      <c r="B1" s="65"/>
      <c r="C1" s="65"/>
      <c r="D1" s="66" t="s">
        <v>61</v>
      </c>
      <c r="E1" s="66"/>
      <c r="F1" s="66"/>
      <c r="G1" s="64" t="s">
        <v>62</v>
      </c>
      <c r="H1" s="64"/>
      <c r="I1" s="64"/>
      <c r="J1" s="5"/>
      <c r="K1" s="5"/>
    </row>
    <row r="2" spans="1:11" ht="19.5" customHeight="1">
      <c r="A2" s="67" t="s">
        <v>2</v>
      </c>
      <c r="B2" s="67"/>
      <c r="C2" s="6">
        <f>SUM(C4:C88)</f>
        <v>0</v>
      </c>
      <c r="D2" s="6">
        <f>SUM(D4:D88)</f>
        <v>0</v>
      </c>
      <c r="E2" s="6">
        <f>C2-D2</f>
        <v>0</v>
      </c>
      <c r="F2" s="7">
        <f>IFERROR(E2/D2, 0)</f>
        <v>0</v>
      </c>
      <c r="G2" s="6">
        <f>SUM(G4:G88)</f>
        <v>0</v>
      </c>
      <c r="H2" s="8">
        <f>C2-G2</f>
        <v>0</v>
      </c>
      <c r="I2" s="7">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15.6">
      <c r="A4" s="42"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1" ht="12.75" customHeight="1">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9"/>
  <sheetViews>
    <sheetView workbookViewId="0">
      <pane xSplit="2" ySplit="3" topLeftCell="C4" activePane="bottomRight" state="frozen"/>
      <selection pane="bottomRight" activeCell="G7" sqref="G7"/>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5" t="str" cm="1">
        <f t="array" ref="A1">portfolio</f>
        <v>MD: Frederick – NMWDA – Solar</v>
      </c>
      <c r="B1" s="65"/>
      <c r="C1" s="65"/>
      <c r="D1" s="66" t="s">
        <v>63</v>
      </c>
      <c r="E1" s="66"/>
      <c r="F1" s="66"/>
      <c r="G1" s="64" t="s">
        <v>64</v>
      </c>
      <c r="H1" s="64"/>
      <c r="I1" s="64"/>
      <c r="J1" s="5"/>
      <c r="K1" s="5"/>
    </row>
    <row r="2" spans="1:11" ht="19.5" customHeight="1">
      <c r="A2" s="67" t="s">
        <v>2</v>
      </c>
      <c r="B2" s="67"/>
      <c r="C2" s="6">
        <f>SUM(C4:C87)</f>
        <v>0</v>
      </c>
      <c r="D2" s="6">
        <f>SUM(D4:D87)</f>
        <v>0</v>
      </c>
      <c r="E2" s="6">
        <f>C2-D2</f>
        <v>0</v>
      </c>
      <c r="F2" s="7">
        <f>IFERROR(E2/D2, 0)</f>
        <v>0</v>
      </c>
      <c r="G2" s="6">
        <f>SUM(G4:G87)</f>
        <v>0</v>
      </c>
      <c r="H2" s="8">
        <f>C2-G2</f>
        <v>0</v>
      </c>
      <c r="I2" s="7">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15.6">
      <c r="A4" s="30"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2.75" customHeight="1">
      <c r="A5" s="20"/>
      <c r="B5" s="31"/>
      <c r="C5" s="20"/>
      <c r="D5" s="20"/>
      <c r="E5" s="20"/>
      <c r="F5" s="20"/>
      <c r="G5" s="20"/>
      <c r="H5" s="20"/>
      <c r="I5" s="20"/>
      <c r="J5" s="20"/>
      <c r="K5" s="20"/>
    </row>
    <row r="6" spans="1:11" ht="14.45">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C329" s="20"/>
      <c r="D329" s="20"/>
      <c r="E329" s="20"/>
      <c r="F329" s="21"/>
      <c r="G329" s="20"/>
      <c r="H329" s="20"/>
      <c r="I329" s="21"/>
      <c r="J329" s="20"/>
      <c r="K329" s="20"/>
    </row>
  </sheetData>
  <mergeCells count="4">
    <mergeCell ref="G1:I1"/>
    <mergeCell ref="A1:C1"/>
    <mergeCell ref="D1:F1"/>
    <mergeCell ref="A2:B2"/>
  </mergeCells>
  <conditionalFormatting sqref="F2 I2 F4:F87 I4:I87">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0"/>
  <sheetViews>
    <sheetView workbookViewId="0">
      <pane xSplit="2" ySplit="3" topLeftCell="C4" activePane="bottomRight" state="frozen"/>
      <selection pane="bottomRight" activeCell="G10" sqref="G10"/>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5" t="str" cm="1">
        <f t="array" ref="A1">portfolio</f>
        <v>MD: Frederick – NMWDA – Solar</v>
      </c>
      <c r="B1" s="65"/>
      <c r="C1" s="65"/>
      <c r="D1" s="66" t="s">
        <v>65</v>
      </c>
      <c r="E1" s="66"/>
      <c r="F1" s="66"/>
      <c r="G1" s="64" t="s">
        <v>66</v>
      </c>
      <c r="H1" s="64"/>
      <c r="I1" s="64"/>
      <c r="J1" s="5"/>
      <c r="K1" s="5"/>
    </row>
    <row r="2" spans="1:11" ht="19.5" customHeight="1">
      <c r="A2" s="67" t="s">
        <v>2</v>
      </c>
      <c r="B2" s="67"/>
      <c r="C2" s="6">
        <f>SUM(C4:C88)</f>
        <v>0</v>
      </c>
      <c r="D2" s="6">
        <f>SUM(D4:D88)</f>
        <v>0</v>
      </c>
      <c r="E2" s="6">
        <f>C2-D2</f>
        <v>0</v>
      </c>
      <c r="F2" s="7">
        <f>IFERROR(E2/D2, 0)</f>
        <v>0</v>
      </c>
      <c r="G2" s="6">
        <f>SUM(G4:G88)</f>
        <v>0</v>
      </c>
      <c r="H2" s="8">
        <f>C2-G2</f>
        <v>0</v>
      </c>
      <c r="I2" s="7">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15.6">
      <c r="A4" s="42"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1" ht="12.75" customHeight="1">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4"/>
  <sheetViews>
    <sheetView workbookViewId="0">
      <pane ySplit="3" topLeftCell="A4" activePane="bottomLeft" state="frozen"/>
      <selection pane="bottomLeft" activeCell="B18" sqref="B18"/>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67</v>
      </c>
      <c r="B1" t="s">
        <v>68</v>
      </c>
    </row>
    <row r="3" spans="1:7" ht="13.15">
      <c r="A3" t="s">
        <v>69</v>
      </c>
      <c r="B3" t="s">
        <v>3</v>
      </c>
      <c r="C3" t="s">
        <v>4</v>
      </c>
      <c r="D3" t="s">
        <v>70</v>
      </c>
      <c r="E3" s="2" t="s">
        <v>71</v>
      </c>
    </row>
    <row r="4" spans="1:7" ht="14.45">
      <c r="A4" s="3" t="s">
        <v>72</v>
      </c>
      <c r="B4" t="s">
        <v>72</v>
      </c>
      <c r="C4" s="4" t="s">
        <v>73</v>
      </c>
      <c r="E4" t="s">
        <v>74</v>
      </c>
      <c r="G4" s="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
</file>

<file path=customXml/item19.xml>��
</file>

<file path=customXml/item2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Props1.xml><?xml version="1.0" encoding="utf-8"?>
<ds:datastoreItem xmlns:ds="http://schemas.openxmlformats.org/officeDocument/2006/customXml" ds:itemID="{3AEAA9D8-2182-46BA-A58E-96C72DDA1C54}"/>
</file>

<file path=customXml/itemProps2.xml><?xml version="1.0" encoding="utf-8"?>
<ds:datastoreItem xmlns:ds="http://schemas.openxmlformats.org/officeDocument/2006/customXml" ds:itemID="{89CF5C07-45EB-4100-9AFB-2C6AF77FA787}"/>
</file>

<file path=customXml/itemProps3.xml><?xml version="1.0" encoding="utf-8"?>
<ds:datastoreItem xmlns:ds="http://schemas.openxmlformats.org/officeDocument/2006/customXml" ds:itemID="{14966E4F-347B-477B-B74C-9DAC05405806}"/>
</file>

<file path=customXml/itemProps4.xml><?xml version="1.0" encoding="utf-8"?>
<ds:datastoreItem xmlns:ds="http://schemas.openxmlformats.org/officeDocument/2006/customXml" ds:itemID="{0389C43E-394D-44C0-87DC-4780FCFCFB40}"/>
</file>

<file path=customXml/itemProps5.xml><?xml version="1.0" encoding="utf-8"?>
<ds:datastoreItem xmlns:ds="http://schemas.openxmlformats.org/officeDocument/2006/customXml" ds:itemID="{E3716282-BFD2-4ED2-BA47-BFA1123827F0}"/>
</file>

<file path=customXml/itemProps6.xml><?xml version="1.0" encoding="utf-8"?>
<ds:datastoreItem xmlns:ds="http://schemas.openxmlformats.org/officeDocument/2006/customXml" ds:itemID="{078388C9-06F9-42F4-B857-EF76B5CAF1FD}"/>
</file>

<file path=customXml/itemProps7.xml><?xml version="1.0" encoding="utf-8"?>
<ds:datastoreItem xmlns:ds="http://schemas.openxmlformats.org/officeDocument/2006/customXml" ds:itemID="{66B09F59-6532-46F8-924A-9A02417E070D}"/>
</file>

<file path=customXml/itemProps8.xml><?xml version="1.0" encoding="utf-8"?>
<ds:datastoreItem xmlns:ds="http://schemas.openxmlformats.org/officeDocument/2006/customXml" ds:itemID="{548E1BD9-25AB-4970-9FD6-70ABE05B42F9}"/>
</file>

<file path=customXml/itemProps9.xml><?xml version="1.0" encoding="utf-8"?>
<ds:datastoreItem xmlns:ds="http://schemas.openxmlformats.org/officeDocument/2006/customXml" ds:itemID="{2BC74AAC-D69B-4AF1-9649-B21EF3C1C463}"/>
</file>

<file path=customXml/itemProps10.xml><?xml version="1.0" encoding="utf-8"?>
<ds:datastoreItem xmlns:ds="http://schemas.openxmlformats.org/officeDocument/2006/customXml" ds:itemID="{1954BBA4-0359-438C-B0EC-A756015F7C02}"/>
</file>

<file path=customXml/itemProps11.xml><?xml version="1.0" encoding="utf-8"?>
<ds:datastoreItem xmlns:ds="http://schemas.openxmlformats.org/officeDocument/2006/customXml" ds:itemID="{BE26B669-A686-459C-A5E9-FEC3409C4C81}"/>
</file>

<file path=customXml/itemProps12.xml><?xml version="1.0" encoding="utf-8"?>
<ds:datastoreItem xmlns:ds="http://schemas.openxmlformats.org/officeDocument/2006/customXml" ds:itemID="{F12EFA50-0068-4A8C-85A0-F1B26389EBC3}"/>
</file>

<file path=customXml/itemProps13.xml><?xml version="1.0" encoding="utf-8"?>
<ds:datastoreItem xmlns:ds="http://schemas.openxmlformats.org/officeDocument/2006/customXml" ds:itemID="{7946C510-7D04-49D8-9B25-EEC04582A1CA}"/>
</file>

<file path=customXml/itemProps14.xml><?xml version="1.0" encoding="utf-8"?>
<ds:datastoreItem xmlns:ds="http://schemas.openxmlformats.org/officeDocument/2006/customXml" ds:itemID="{F6B2B1A1-1C4B-4AC9-9A7D-7A102DD1C942}"/>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D3A7101F-9A85-4235-8B03-415370C100B2}"/>
</file>

<file path=customXml/itemProps17.xml><?xml version="1.0" encoding="utf-8"?>
<ds:datastoreItem xmlns:ds="http://schemas.openxmlformats.org/officeDocument/2006/customXml" ds:itemID="{E20E8303-6A67-485C-B6F4-303542CC295C}"/>
</file>

<file path=customXml/itemProps18.xml><?xml version="1.0" encoding="utf-8"?>
<ds:datastoreItem xmlns:ds="http://schemas.openxmlformats.org/officeDocument/2006/customXml" ds:itemID="{BF5C6359-7763-4C37-8EAF-2BC4698CB285}"/>
</file>

<file path=customXml/itemProps19.xml><?xml version="1.0" encoding="utf-8"?>
<ds:datastoreItem xmlns:ds="http://schemas.openxmlformats.org/officeDocument/2006/customXml" ds:itemID="{CB52044A-5C0B-44A2-99D0-C1C315EC302D}"/>
</file>

<file path=customXml/itemProps20.xml><?xml version="1.0" encoding="utf-8"?>
<ds:datastoreItem xmlns:ds="http://schemas.openxmlformats.org/officeDocument/2006/customXml" ds:itemID="{8D732231-4216-4543-A665-18A2886B0E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2025-07-11T20:15:26Z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2024-10-10T20:35:44Z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4d4d6722-2360-4afc-b871-8fb4d81c0fc4</vt:lpwstr>
  </property>
  <property fmtid="{D5CDD505-2E9C-101B-9397-08002B2CF9AE}" pid="9" name="MSIP_Label_9d817c99-0b37-4a07-8277-96aa1f96b74b_ContentBits">
    <vt:lpwstr>0</vt:lpwstr>
  </property>
</Properties>
</file>