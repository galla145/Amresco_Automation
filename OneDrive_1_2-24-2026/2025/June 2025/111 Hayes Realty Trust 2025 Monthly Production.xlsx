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825E25D-57EB-40D3-B454-B3C6CF2C0292}" xr6:coauthVersionLast="47" xr6:coauthVersionMax="47" xr10:uidLastSave="{00000000-0000-0000-0000-000000000000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1" l="1"/>
  <c r="I4" i="21" s="1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<sst xmlns="http://schemas.openxmlformats.org/spreadsheetml/2006/main" count="250" uniqueCount="58">
  <si>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</si>
  <si>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</si>
  <si>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</si>
  <si>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</si>
  <si>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</si>
  <si>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</si>
  <si>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</si>
  <si>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</si>
  <si>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</si>
  <si>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</si>
  <si>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</si>
  <si>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</si>
  <si>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</si>
  <si>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</si>
  <si>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</si>
  <si>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</si>
  <si>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</si>
  <si>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</si>
  <si>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</si>
  <si>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</si>
  <si>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</si>
  <si>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</si>
  <si>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</si>
  <si>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rain/snow.</t>
  </si>
  <si>
    <t>February Actual v. Expected</t>
  </si>
  <si>
    <t>February Actual v. Forecasted</t>
  </si>
  <si>
    <t>1.Low generation due to weather/snow.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</si>
  <si>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</si>
  <si>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</si>
  <si>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</si>
  <si>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</si>
  <si>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</si>
  <si>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</si>
  <si>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</si>
  <si>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</si>
  <si>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1.Inverter 3 tripped offline at 17:18 on 06/23  and reporting "Residual current device" and is being RMA'd</t>
  </si>
  <si>
    <t>1. SR103352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</si>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</sst>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35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4" sqref="F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SUM(C4:C79)</f>
        <v>153905.49987499998</v>
      </c>
      <c r="D2" s="5">
        <f>SUM(D4:D79)</f>
        <v>0</v>
      </c>
      <c r="E2" s="5">
        <f>C2-D2</f>
        <v>153905.49987499998</v>
      </c>
      <c r="F2" s="6">
        <f>IFERROR(E2/D2, 0)</f>
        <v>0</v>
      </c>
      <c r="G2" s="5">
        <f>SUM(G4:G79)</f>
        <v>181016.18599999999</v>
      </c>
      <c r="H2" s="7">
        <f>C2-G2</f>
        <v>-27110.686125000007</v>
      </c>
      <c r="I2" s="6">
        <f>IFERROR(H2/G2, 0)</f>
        <v>-0.14976940307978873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153905.49987499998</v>
      </c>
      <c r="D4" s="12">
        <f>SUM('1st Qtr'!D4, '2nd Qtr'!D4, '3rd Qtr'!D4, '4th Qtr'!D4)</f>
        <v>0</v>
      </c>
      <c r="E4" s="12">
        <f>IF(AND(ISNUMBER(C4),ISNUMBER(D4)), C4-D4, "")</f>
        <v>153905.49987499998</v>
      </c>
      <c r="F4" s="13" t="str">
        <f>IFERROR(E4/D4, "")</f>
        <v/>
      </c>
      <c r="G4" s="14">
        <f>SUM('1st Qtr'!G4, '2nd Qtr'!G4, '3rd Qtr'!G4, '4th Qtr'!G4)</f>
        <v>181016.18599999999</v>
      </c>
      <c r="H4" s="14">
        <f>SUM('1st Qtr'!H4, '2nd Qtr'!H4, '3rd Qtr'!H4, '4th Qtr'!H4)</f>
        <v>409.16587499999514</v>
      </c>
      <c r="I4" s="15">
        <f>IFERROR(H4/G4, "")</f>
        <v>2.2603828090820297E-3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I4" sqref="I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SUM(C4:C79)</f>
        <v>48264.026874999996</v>
      </c>
      <c r="D2" s="5">
        <f>SUM(D4:D79)</f>
        <v>0</v>
      </c>
      <c r="E2" s="5">
        <f>C2-D2</f>
        <v>48264.026874999996</v>
      </c>
      <c r="F2" s="6">
        <f>IFERROR(E2/D2, 0)</f>
        <v>0</v>
      </c>
      <c r="G2" s="5">
        <f>SUM(G4:G79)</f>
        <v>69229.305999999997</v>
      </c>
      <c r="H2" s="7">
        <f>C2-G2</f>
        <v>-20965.279125000001</v>
      </c>
      <c r="I2" s="6">
        <f>IFERROR(H2/G2, 0)</f>
        <v>-0.30283821023715018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48264.026874999996</v>
      </c>
      <c r="D4" s="12">
        <f>SUM(Jan!D4, Feb!D4, Mar!D4)</f>
        <v>0</v>
      </c>
      <c r="E4" s="12">
        <f>IF(AND(ISNUMBER(C4),ISNUMBER(D4)), C4-D4, "")</f>
        <v>48264.026874999996</v>
      </c>
      <c r="F4" s="13" t="str">
        <f>IFERROR(E4/D4, "")</f>
        <v/>
      </c>
      <c r="G4" s="14">
        <f>SUM(Jan!G4, Feb!G4, Mar!G4)</f>
        <v>69229.305999999997</v>
      </c>
      <c r="H4" s="14">
        <f>SUM(Jan!H4, Feb!H4, Mar!H4)</f>
        <v>-20965.279125000001</v>
      </c>
      <c r="I4" s="15">
        <f>IFERROR(H4/G4, "")</f>
        <v>-0.30283821023715018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SUM(C4:C79)</f>
        <v>105641.473</v>
      </c>
      <c r="D2" s="5">
        <f>SUM(D4:D79)</f>
        <v>0</v>
      </c>
      <c r="E2" s="5">
        <f>C2-D2</f>
        <v>105641.473</v>
      </c>
      <c r="F2" s="6">
        <f>IFERROR(E2/D2, 0)</f>
        <v>0</v>
      </c>
      <c r="G2" s="5">
        <f>SUM(G4:G79)</f>
        <v>84267.028000000006</v>
      </c>
      <c r="H2" s="7">
        <f>C2-G2</f>
        <v>21374.444999999992</v>
      </c>
      <c r="I2" s="6">
        <f>IFERROR(H2/G2, 0)</f>
        <v>0.25365134510261822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105641.473</v>
      </c>
      <c r="D4" s="12">
        <f>SUM(Apr!D4, May!D4, Jun!D4)</f>
        <v>0</v>
      </c>
      <c r="E4" s="12">
        <f>IF(AND(ISNUMBER(C4),ISNUMBER(D4)), C4-D4, "")</f>
        <v>105641.473</v>
      </c>
      <c r="F4" s="13" t="str">
        <f>IFERROR(E4/D4, "")</f>
        <v/>
      </c>
      <c r="G4" s="14">
        <f>SUM(Apr!G4,May!G4,Jun!G4)</f>
        <v>84267.028000000006</v>
      </c>
      <c r="H4" s="14">
        <f>SUM(Apr!H4, May!H4, Jun!H4)</f>
        <v>21374.444999999996</v>
      </c>
      <c r="I4" s="15">
        <f>IFERROR(H4/G4, "")</f>
        <v>0.25365134510261822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G5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27519.851999999999</v>
      </c>
      <c r="H2" s="7">
        <f>C2-G2</f>
        <v>-27519.851999999999</v>
      </c>
      <c r="I2" s="6">
        <f>IFERROR(H2/G2, 0)</f>
        <v>-1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27519.851999999999</v>
      </c>
      <c r="H4" s="14">
        <f>SUM(Jul!H4, Aug!H4, Sep!H4)</f>
        <v>0</v>
      </c>
      <c r="I4" s="15">
        <f>IFERROR(H4/G4, "")</f>
        <v>0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D12" activePane="bottomRight" state="frozen"/>
      <selection pane="bottomRight" activeCell="D12" sqref="D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E7" sqref="E7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10839.375</v>
      </c>
      <c r="D2" s="5">
        <f>SUM(D4:D78)</f>
        <v>0</v>
      </c>
      <c r="E2" s="5">
        <f>C2-D2</f>
        <v>10839.375</v>
      </c>
      <c r="F2" s="6">
        <f>IFERROR(E2/D2, 0)</f>
        <v>0</v>
      </c>
      <c r="G2" s="5">
        <f>SUM(G4:G78)</f>
        <v>18979.806</v>
      </c>
      <c r="H2" s="7">
        <f>C2-G2</f>
        <v>-8140.4310000000005</v>
      </c>
      <c r="I2" s="6">
        <f>IFERROR(H2/G2, 0)</f>
        <v>-0.42889958938463335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10839.375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18979.806</v>
      </c>
      <c r="H4" s="14">
        <f>IF(AND(ISNUMBER(C4),ISNUMBER(G4)), C4-G4, "")</f>
        <v>-8140.4310000000005</v>
      </c>
      <c r="I4" s="15">
        <f>IFERROR(H4/G4, "")</f>
        <v>-0.42889958938463335</v>
      </c>
      <c r="J4" s="36" t="s">
        <v>23</v>
      </c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70" zoomScaleNormal="70" workbookViewId="0">
      <pane xSplit="2" ySplit="3" topLeftCell="E4" activePane="bottomRight" state="frozen"/>
      <selection pane="bottomRight" activeCell="E17" sqref="E17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6484.875</v>
      </c>
      <c r="D2" s="5">
        <f>SUM(D4:D79)</f>
        <v>0</v>
      </c>
      <c r="E2" s="5">
        <f>C2-D2</f>
        <v>6484.875</v>
      </c>
      <c r="F2" s="6">
        <f>IFERROR(E2/D2, 0)</f>
        <v>0</v>
      </c>
      <c r="G2" s="5">
        <f>SUM(G4:G79)</f>
        <v>21502.5</v>
      </c>
      <c r="H2" s="7">
        <f>C2-G2</f>
        <v>-15017.625</v>
      </c>
      <c r="I2" s="6">
        <f>IFERROR(H2/G2, 0)</f>
        <v>-0.69841297523543777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6484.875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21502.5</v>
      </c>
      <c r="H4" s="14">
        <f>IF(AND(ISNUMBER(C4),ISNUMBER(G4)), C4-G4, "")</f>
        <v>-15017.625</v>
      </c>
      <c r="I4" s="15">
        <f>IFERROR(H4/G4, "")</f>
        <v>-0.69841297523543777</v>
      </c>
      <c r="J4" s="36" t="s">
        <v>26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6" sqref="H16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30939.776875</v>
      </c>
      <c r="D2" s="5">
        <f>SUM(D4:D79)</f>
        <v>0</v>
      </c>
      <c r="E2" s="5">
        <f>C2-D2</f>
        <v>30939.776875</v>
      </c>
      <c r="F2" s="6">
        <f>IFERROR(E2/D2, 0)</f>
        <v>0</v>
      </c>
      <c r="G2" s="5">
        <f>SUM(G4:G79)</f>
        <v>28747</v>
      </c>
      <c r="H2" s="7">
        <f>C2-G2</f>
        <v>2192.7768749999996</v>
      </c>
      <c r="I2" s="6">
        <f>IFERROR(H2/G2, 0)</f>
        <v>7.6278459491425171E-2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30939.776875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28747</v>
      </c>
      <c r="H4" s="14">
        <f>IF(AND(ISNUMBER(C4),ISNUMBER(G4)), C4-G4, "")</f>
        <v>2192.7768749999996</v>
      </c>
      <c r="I4" s="15">
        <f>IFERROR(H4/G4, "")</f>
        <v>7.6278459491425171E-2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J4" sqref="J4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29</v>
      </c>
      <c r="E1" s="52"/>
      <c r="F1" s="52"/>
      <c r="G1" s="50" t="s">
        <v>30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34577.972999999998</v>
      </c>
      <c r="D2" s="5">
        <f>SUM(D4:D79)</f>
        <v>0</v>
      </c>
      <c r="E2" s="5">
        <f>C2-D2</f>
        <v>34577.972999999998</v>
      </c>
      <c r="F2" s="6">
        <f>IFERROR(E2/D2, 0)</f>
        <v>0</v>
      </c>
      <c r="G2" s="5">
        <f>SUM(G4:G79)</f>
        <v>27642.437000000002</v>
      </c>
      <c r="H2" s="7">
        <f>C2-G2</f>
        <v>6935.5359999999964</v>
      </c>
      <c r="I2" s="6">
        <f>IFERROR(H2/G2, 0)</f>
        <v>0.250901756599825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1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34577.972999999998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27642.437000000002</v>
      </c>
      <c r="H4" s="14">
        <f>IF(AND(ISNUMBER(C4),ISNUMBER(G4)), C4-G4, "")</f>
        <v>6935.5359999999964</v>
      </c>
      <c r="I4" s="15">
        <f>IFERROR(H4/G4, "")</f>
        <v>0.250901756599825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E12" sqref="E12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31</v>
      </c>
      <c r="E1" s="52"/>
      <c r="F1" s="52"/>
      <c r="G1" s="50" t="s">
        <v>32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32481.75</v>
      </c>
      <c r="D2" s="5">
        <f>SUM(D4:D79)</f>
        <v>0</v>
      </c>
      <c r="E2" s="5">
        <f>C2-D2</f>
        <v>32481.75</v>
      </c>
      <c r="F2" s="6">
        <f>IFERROR(E2/D2, 0)</f>
        <v>0</v>
      </c>
      <c r="G2" s="5">
        <f>SUM(G4:G79)</f>
        <v>29104.739000000001</v>
      </c>
      <c r="H2" s="7">
        <f>C2-G2</f>
        <v>3377.0109999999986</v>
      </c>
      <c r="I2" s="6">
        <f>IFERROR(H2/G2, 0)</f>
        <v>0.11602959229423079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32481.75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29104.739000000001</v>
      </c>
      <c r="H4" s="14">
        <f>IF(AND(ISNUMBER(C4),ISNUMBER(G4)), C4-G4, "")</f>
        <v>3377.0109999999986</v>
      </c>
      <c r="I4" s="15">
        <f>IFERROR(H4/G4, "")</f>
        <v>0.11602959229423079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38581.75</v>
      </c>
      <c r="D2" s="5">
        <f>SUM(D4:D79)</f>
        <v>0</v>
      </c>
      <c r="E2" s="5">
        <f>C2-D2</f>
        <v>38581.75</v>
      </c>
      <c r="F2" s="6">
        <f>IFERROR(E2/D2, 0)</f>
        <v>0</v>
      </c>
      <c r="G2" s="5">
        <f>SUM(G4:G79)</f>
        <v>27519.851999999999</v>
      </c>
      <c r="H2" s="7">
        <f>C2-G2</f>
        <v>11061.898000000001</v>
      </c>
      <c r="I2" s="6">
        <f>IFERROR(H2/G2, 0)</f>
        <v>0.4019606646140394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38581.75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27519.851999999999</v>
      </c>
      <c r="H4" s="14">
        <f>IF(AND(ISNUMBER(C4),ISNUMBER(G4)), C4-G4, "")</f>
        <v>11061.898000000001</v>
      </c>
      <c r="I4" s="15">
        <f>IFERROR(H4/G4, "")</f>
        <v>0.4019606646140394</v>
      </c>
      <c r="J4" s="36" t="s">
        <v>35</v>
      </c>
      <c r="K4" s="49" t="s">
        <v>36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352" xr:uid="{FDAC8392-52F9-49A5-BE65-3CCA5917639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39</v>
      </c>
      <c r="E1" s="52"/>
      <c r="F1" s="52"/>
      <c r="G1" s="50" t="s">
        <v>40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0" sqref="J10"/>
      <selection pane="topRight" activeCell="J10" sqref="J1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50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59CB6ACF-0CF0-42D2-8B89-45973F869026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