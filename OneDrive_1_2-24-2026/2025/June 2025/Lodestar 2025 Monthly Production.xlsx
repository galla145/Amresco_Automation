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0" documentId="13_ncr:1_{7A09DDDA-5AB2-4F18-844D-1C11BEA88950}" xr6:coauthVersionLast="47" xr6:coauthVersionMax="47" xr10:uidLastSave="{13135B02-AC20-4F48-9FC3-92F86DAD23B7}"/>
  <bookViews>
    <workbookView xWindow="-108" yWindow="-108" windowWidth="23256" windowHeight="12456" tabRatio="866" firstSheet="10" activeTab="13"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27" l="1"/>
  <c r="E30" i="27"/>
  <c r="E31" i="27"/>
  <c r="E32" i="27"/>
  <c r="E33" i="27"/>
  <c r="E34" i="27"/>
  <c r="F29" i="27"/>
  <c r="F30" i="27"/>
  <c r="F31" i="27"/>
  <c r="F32" i="27"/>
  <c r="F33" i="27"/>
  <c r="F34" i="27"/>
  <c r="H34" i="27"/>
  <c r="I34" i="27" s="1"/>
  <c r="H33" i="27"/>
  <c r="I33" i="27" s="1"/>
  <c r="H32" i="27"/>
  <c r="I32" i="27" s="1"/>
  <c r="H31" i="27"/>
  <c r="I31" i="27" s="1"/>
  <c r="H30" i="27"/>
  <c r="I30" i="27" s="1"/>
  <c r="H29" i="27"/>
  <c r="I29" i="27" s="1"/>
  <c r="H28" i="27"/>
  <c r="I28" i="27" s="1"/>
  <c r="E28" i="27"/>
  <c r="F28" i="27" s="1"/>
  <c r="H27" i="27"/>
  <c r="I27" i="27" s="1"/>
  <c r="E27" i="27"/>
  <c r="F27" i="27" s="1"/>
  <c r="H26" i="27"/>
  <c r="I26" i="27" s="1"/>
  <c r="E26" i="27"/>
  <c r="F26" i="27" s="1"/>
  <c r="H25" i="27"/>
  <c r="I25" i="27" s="1"/>
  <c r="E25" i="27"/>
  <c r="F25" i="27" s="1"/>
  <c r="H24" i="27"/>
  <c r="I24" i="27" s="1"/>
  <c r="E24" i="27"/>
  <c r="F24" i="27" s="1"/>
  <c r="H23" i="27"/>
  <c r="I23" i="27" s="1"/>
  <c r="E23" i="27"/>
  <c r="F23" i="27" s="1"/>
  <c r="H22" i="27"/>
  <c r="I22" i="27" s="1"/>
  <c r="E22" i="27"/>
  <c r="F22" i="27" s="1"/>
  <c r="H21" i="27"/>
  <c r="I21" i="27" s="1"/>
  <c r="E21" i="27"/>
  <c r="F21" i="27" s="1"/>
  <c r="H20" i="27"/>
  <c r="I20" i="27" s="1"/>
  <c r="E20" i="27"/>
  <c r="F20" i="27" s="1"/>
  <c r="H19" i="27"/>
  <c r="I19" i="27" s="1"/>
  <c r="E19" i="27"/>
  <c r="F19" i="27" s="1"/>
  <c r="H18" i="27"/>
  <c r="I18" i="27" s="1"/>
  <c r="E18" i="27"/>
  <c r="F18" i="27" s="1"/>
  <c r="H17" i="27"/>
  <c r="I17" i="27" s="1"/>
  <c r="E17" i="27"/>
  <c r="F17" i="27" s="1"/>
  <c r="H16" i="27"/>
  <c r="I16" i="27" s="1"/>
  <c r="E16" i="27"/>
  <c r="F16" i="27" s="1"/>
  <c r="H15" i="27"/>
  <c r="I15" i="27" s="1"/>
  <c r="E15" i="27"/>
  <c r="F15" i="27" s="1"/>
  <c r="H14" i="27"/>
  <c r="I14" i="27" s="1"/>
  <c r="E14" i="27"/>
  <c r="F14" i="27" s="1"/>
  <c r="H13" i="27"/>
  <c r="I13" i="27" s="1"/>
  <c r="E13" i="27"/>
  <c r="F13" i="27" s="1"/>
  <c r="H12" i="27"/>
  <c r="I12" i="27" s="1"/>
  <c r="E12" i="27"/>
  <c r="F12" i="27" s="1"/>
  <c r="H11" i="27"/>
  <c r="I11" i="27" s="1"/>
  <c r="E11" i="27"/>
  <c r="F11" i="27" s="1"/>
  <c r="H10" i="27"/>
  <c r="I10" i="27" s="1"/>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H29" i="18"/>
  <c r="H30" i="18"/>
  <c r="H31" i="18"/>
  <c r="H32" i="18"/>
  <c r="H33" i="18"/>
  <c r="H34" i="18"/>
  <c r="G29" i="18"/>
  <c r="I29" i="18" s="1"/>
  <c r="G30" i="18"/>
  <c r="I30" i="18" s="1"/>
  <c r="G31" i="18"/>
  <c r="I31" i="18" s="1"/>
  <c r="G32" i="18"/>
  <c r="I32" i="18" s="1"/>
  <c r="G33" i="18"/>
  <c r="I33" i="18" s="1"/>
  <c r="G34" i="18"/>
  <c r="I34" i="18" s="1"/>
  <c r="D29" i="18"/>
  <c r="D30" i="18"/>
  <c r="D31" i="18"/>
  <c r="D32" i="18"/>
  <c r="D33" i="18"/>
  <c r="D34" i="18"/>
  <c r="C29" i="18"/>
  <c r="C30" i="18"/>
  <c r="C31" i="18"/>
  <c r="C32" i="18"/>
  <c r="C33" i="18"/>
  <c r="C34" i="18"/>
  <c r="H30" i="34"/>
  <c r="H31" i="34"/>
  <c r="H32" i="34"/>
  <c r="H33" i="34"/>
  <c r="H34" i="34"/>
  <c r="G30" i="34"/>
  <c r="G31" i="34"/>
  <c r="G32" i="34"/>
  <c r="G33" i="34"/>
  <c r="G34" i="34"/>
  <c r="D30" i="34"/>
  <c r="D31" i="34"/>
  <c r="D32" i="34"/>
  <c r="D33" i="34"/>
  <c r="D34" i="34"/>
  <c r="C30" i="34"/>
  <c r="E30" i="34" s="1"/>
  <c r="F30" i="34" s="1"/>
  <c r="C31" i="34"/>
  <c r="E31" i="34" s="1"/>
  <c r="F31" i="34" s="1"/>
  <c r="C32" i="34"/>
  <c r="E32" i="34" s="1"/>
  <c r="F32" i="34" s="1"/>
  <c r="C33" i="34"/>
  <c r="E33" i="34" s="1"/>
  <c r="F33" i="34" s="1"/>
  <c r="C34" i="34"/>
  <c r="E34" i="34" s="1"/>
  <c r="F34" i="34" s="1"/>
  <c r="I30" i="1"/>
  <c r="I31" i="1"/>
  <c r="I32" i="1"/>
  <c r="I33" i="1"/>
  <c r="I34" i="1"/>
  <c r="H30" i="1"/>
  <c r="H31" i="1"/>
  <c r="H32" i="1"/>
  <c r="H33" i="1"/>
  <c r="H34" i="1"/>
  <c r="G30" i="1"/>
  <c r="G31" i="1"/>
  <c r="G32" i="1"/>
  <c r="G33" i="1"/>
  <c r="G34" i="1"/>
  <c r="F30" i="1"/>
  <c r="F31" i="1"/>
  <c r="F32" i="1"/>
  <c r="F33" i="1"/>
  <c r="F34" i="1"/>
  <c r="E30" i="1"/>
  <c r="E31" i="1"/>
  <c r="E32" i="1"/>
  <c r="E33" i="1"/>
  <c r="E34" i="1"/>
  <c r="D30" i="1"/>
  <c r="D31" i="1"/>
  <c r="D32" i="1"/>
  <c r="D33" i="1"/>
  <c r="D34" i="1"/>
  <c r="C30" i="1"/>
  <c r="C31" i="1"/>
  <c r="C32" i="1"/>
  <c r="C33" i="1"/>
  <c r="C34" i="1"/>
  <c r="H30" i="73"/>
  <c r="I30" i="73" s="1"/>
  <c r="H31" i="73"/>
  <c r="I31" i="73" s="1"/>
  <c r="H32" i="73"/>
  <c r="I32" i="73" s="1"/>
  <c r="H33" i="73"/>
  <c r="I33" i="73" s="1"/>
  <c r="H34" i="73"/>
  <c r="I34" i="73" s="1"/>
  <c r="E30" i="73"/>
  <c r="F30" i="73" s="1"/>
  <c r="E31" i="73"/>
  <c r="F31" i="73" s="1"/>
  <c r="E32" i="73"/>
  <c r="F32" i="73" s="1"/>
  <c r="E33" i="73"/>
  <c r="F33" i="73" s="1"/>
  <c r="E34" i="73"/>
  <c r="F34" i="73" s="1"/>
  <c r="E35" i="73"/>
  <c r="H30" i="3"/>
  <c r="I30" i="3" s="1"/>
  <c r="H31" i="3"/>
  <c r="I31" i="3" s="1"/>
  <c r="H32" i="3"/>
  <c r="I32" i="3" s="1"/>
  <c r="H33" i="3"/>
  <c r="I33" i="3" s="1"/>
  <c r="H34" i="3"/>
  <c r="I34" i="3" s="1"/>
  <c r="E30" i="3"/>
  <c r="F30" i="3" s="1"/>
  <c r="E31" i="3"/>
  <c r="F31" i="3" s="1"/>
  <c r="E32" i="3"/>
  <c r="F32" i="3" s="1"/>
  <c r="E33" i="3"/>
  <c r="F33" i="3" s="1"/>
  <c r="E34" i="3"/>
  <c r="F34" i="3" s="1"/>
  <c r="H29" i="4"/>
  <c r="I29" i="4" s="1"/>
  <c r="H30" i="4"/>
  <c r="I30" i="4" s="1"/>
  <c r="H31" i="4"/>
  <c r="I31" i="4" s="1"/>
  <c r="H32" i="4"/>
  <c r="I32" i="4" s="1"/>
  <c r="H33" i="4"/>
  <c r="I33" i="4" s="1"/>
  <c r="H34" i="4"/>
  <c r="I34" i="4" s="1"/>
  <c r="E29" i="4"/>
  <c r="F29" i="4" s="1"/>
  <c r="E30" i="4"/>
  <c r="F30" i="4" s="1"/>
  <c r="E31" i="4"/>
  <c r="F31" i="4" s="1"/>
  <c r="E32" i="4"/>
  <c r="F32" i="4" s="1"/>
  <c r="E33" i="4"/>
  <c r="F33" i="4" s="1"/>
  <c r="E34" i="4"/>
  <c r="F34" i="4" s="1"/>
  <c r="C6" i="1"/>
  <c r="C7" i="1"/>
  <c r="C8" i="1"/>
  <c r="C9" i="1"/>
  <c r="C10" i="1"/>
  <c r="C11" i="1"/>
  <c r="C12" i="1"/>
  <c r="C13" i="1"/>
  <c r="C14" i="1"/>
  <c r="C15" i="1"/>
  <c r="C16" i="1"/>
  <c r="C17" i="1"/>
  <c r="C18" i="1"/>
  <c r="C19" i="1"/>
  <c r="C20" i="1"/>
  <c r="C21" i="1"/>
  <c r="C22" i="1"/>
  <c r="C23" i="1"/>
  <c r="C24" i="1"/>
  <c r="C25" i="1"/>
  <c r="C26" i="1"/>
  <c r="C27" i="1"/>
  <c r="C28" i="1"/>
  <c r="C29" i="1"/>
  <c r="C29" i="34" s="1"/>
  <c r="E15" i="3"/>
  <c r="E16" i="3"/>
  <c r="E17" i="3"/>
  <c r="G29" i="1"/>
  <c r="G29" i="34" s="1"/>
  <c r="D29" i="1"/>
  <c r="D29" i="34" s="1"/>
  <c r="E29" i="1"/>
  <c r="F29" i="1" s="1"/>
  <c r="E29" i="34"/>
  <c r="F29" i="34" s="1"/>
  <c r="E29" i="73"/>
  <c r="F29" i="73" s="1"/>
  <c r="H29" i="3"/>
  <c r="E29" i="3"/>
  <c r="F29" i="3" s="1"/>
  <c r="H29" i="73"/>
  <c r="I29" i="73" s="1"/>
  <c r="D20" i="29"/>
  <c r="D21" i="29"/>
  <c r="D22" i="29"/>
  <c r="C20" i="29"/>
  <c r="E20" i="29" s="1"/>
  <c r="F20" i="29" s="1"/>
  <c r="C21" i="29"/>
  <c r="E21" i="29" s="1"/>
  <c r="F21" i="29" s="1"/>
  <c r="C22" i="29"/>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3" i="33"/>
  <c r="I23" i="33" s="1"/>
  <c r="H24" i="33"/>
  <c r="I24" i="33" s="1"/>
  <c r="H25" i="33"/>
  <c r="I25" i="33" s="1"/>
  <c r="H26" i="33"/>
  <c r="I26" i="33" s="1"/>
  <c r="H27" i="33"/>
  <c r="I27" i="33" s="1"/>
  <c r="H28" i="33"/>
  <c r="I28" i="33" s="1"/>
  <c r="F10" i="33"/>
  <c r="F24" i="33"/>
  <c r="E5" i="33"/>
  <c r="F5" i="33" s="1"/>
  <c r="E6" i="33"/>
  <c r="F6" i="33" s="1"/>
  <c r="E7" i="33"/>
  <c r="F7" i="33" s="1"/>
  <c r="E8" i="33"/>
  <c r="F8" i="33" s="1"/>
  <c r="E9" i="33"/>
  <c r="F9" i="33" s="1"/>
  <c r="E10" i="33"/>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F22" i="33" s="1"/>
  <c r="E23" i="33"/>
  <c r="F23" i="33" s="1"/>
  <c r="E24" i="33"/>
  <c r="E25" i="33"/>
  <c r="F25" i="33" s="1"/>
  <c r="E26" i="33"/>
  <c r="F26" i="33" s="1"/>
  <c r="E27" i="33"/>
  <c r="F27" i="33" s="1"/>
  <c r="E28" i="33"/>
  <c r="F28" i="33" s="1"/>
  <c r="H4" i="33"/>
  <c r="I4" i="33" s="1"/>
  <c r="H4" i="32"/>
  <c r="I4" i="32" s="1"/>
  <c r="E4" i="33"/>
  <c r="F4" i="33" s="1"/>
  <c r="E4" i="32"/>
  <c r="F4" i="32" s="1"/>
  <c r="H28" i="32"/>
  <c r="I28" i="32" s="1"/>
  <c r="E28" i="32"/>
  <c r="F28" i="32" s="1"/>
  <c r="D20" i="30"/>
  <c r="D21" i="30"/>
  <c r="D22" i="30"/>
  <c r="D23" i="30"/>
  <c r="C20" i="30"/>
  <c r="E20" i="30" s="1"/>
  <c r="F20" i="30" s="1"/>
  <c r="C21" i="30"/>
  <c r="E21" i="30" s="1"/>
  <c r="F21" i="30" s="1"/>
  <c r="C22" i="30"/>
  <c r="E22" i="30" s="1"/>
  <c r="F22" i="30" s="1"/>
  <c r="G6" i="30"/>
  <c r="G7" i="30"/>
  <c r="G8" i="30"/>
  <c r="G9" i="30"/>
  <c r="G10" i="30"/>
  <c r="G11" i="30"/>
  <c r="G12" i="30"/>
  <c r="G13" i="30"/>
  <c r="G14" i="30"/>
  <c r="G15" i="30"/>
  <c r="G16" i="30"/>
  <c r="G17" i="30"/>
  <c r="G18" i="30"/>
  <c r="G19" i="30"/>
  <c r="G20" i="30"/>
  <c r="G21" i="30"/>
  <c r="G22" i="30"/>
  <c r="G23" i="30"/>
  <c r="G24" i="30"/>
  <c r="G25" i="30"/>
  <c r="G26" i="30"/>
  <c r="G27" i="30"/>
  <c r="G28" i="30"/>
  <c r="G5" i="30"/>
  <c r="G4" i="30"/>
  <c r="I23" i="32"/>
  <c r="H16" i="32"/>
  <c r="I16" i="32" s="1"/>
  <c r="H17" i="32"/>
  <c r="I17" i="32" s="1"/>
  <c r="H18" i="32"/>
  <c r="I18" i="32" s="1"/>
  <c r="H19" i="32"/>
  <c r="I19" i="32" s="1"/>
  <c r="H20" i="32"/>
  <c r="I20" i="32" s="1"/>
  <c r="H21" i="32"/>
  <c r="I21" i="32" s="1"/>
  <c r="H22" i="32"/>
  <c r="I22" i="32" s="1"/>
  <c r="H23" i="32"/>
  <c r="H24" i="32"/>
  <c r="I24" i="32" s="1"/>
  <c r="H25" i="32"/>
  <c r="I25" i="32" s="1"/>
  <c r="H26" i="32"/>
  <c r="I26" i="32" s="1"/>
  <c r="H27" i="32"/>
  <c r="I27" i="32" s="1"/>
  <c r="F20" i="32"/>
  <c r="F22" i="32"/>
  <c r="F23" i="32"/>
  <c r="F24" i="32"/>
  <c r="E16" i="32"/>
  <c r="F16" i="32" s="1"/>
  <c r="E17" i="32"/>
  <c r="F17" i="32" s="1"/>
  <c r="E18" i="32"/>
  <c r="F18" i="32" s="1"/>
  <c r="E19" i="32"/>
  <c r="F19" i="32" s="1"/>
  <c r="E20" i="32"/>
  <c r="E21" i="32"/>
  <c r="F21" i="32" s="1"/>
  <c r="E22" i="32"/>
  <c r="E23" i="32"/>
  <c r="E24" i="32"/>
  <c r="E25" i="32"/>
  <c r="F25" i="32" s="1"/>
  <c r="E26" i="32"/>
  <c r="F26" i="32" s="1"/>
  <c r="E27" i="32"/>
  <c r="F27" i="32"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I25" i="26"/>
  <c r="I27" i="26"/>
  <c r="I28" i="26"/>
  <c r="H15" i="26"/>
  <c r="I15" i="26" s="1"/>
  <c r="H16" i="26"/>
  <c r="I16" i="26" s="1"/>
  <c r="H17" i="26"/>
  <c r="I17" i="26" s="1"/>
  <c r="H18" i="26"/>
  <c r="I18" i="26" s="1"/>
  <c r="H19" i="26"/>
  <c r="H20" i="26"/>
  <c r="I20" i="26" s="1"/>
  <c r="H21" i="26"/>
  <c r="I21" i="26" s="1"/>
  <c r="H22" i="26"/>
  <c r="I22" i="26" s="1"/>
  <c r="H23" i="26"/>
  <c r="I23" i="26" s="1"/>
  <c r="H24" i="26"/>
  <c r="I24" i="26" s="1"/>
  <c r="H25" i="26"/>
  <c r="H26" i="26"/>
  <c r="I26" i="26" s="1"/>
  <c r="H27" i="26"/>
  <c r="H28" i="26"/>
  <c r="F18" i="26"/>
  <c r="F19" i="26"/>
  <c r="F25" i="26"/>
  <c r="F26" i="26"/>
  <c r="F27" i="26"/>
  <c r="F28" i="26"/>
  <c r="E15" i="26"/>
  <c r="F15" i="26" s="1"/>
  <c r="E16" i="26"/>
  <c r="F16" i="26" s="1"/>
  <c r="E17" i="26"/>
  <c r="F17" i="26" s="1"/>
  <c r="E18" i="26"/>
  <c r="E19" i="26"/>
  <c r="E20" i="26"/>
  <c r="F20" i="26" s="1"/>
  <c r="E21" i="26"/>
  <c r="F21" i="26" s="1"/>
  <c r="E22" i="26"/>
  <c r="F22" i="26" s="1"/>
  <c r="E23" i="26"/>
  <c r="F23" i="26" s="1"/>
  <c r="E24" i="26"/>
  <c r="F24" i="26" s="1"/>
  <c r="E25" i="26"/>
  <c r="E26" i="26"/>
  <c r="E27" i="26"/>
  <c r="E28" i="26"/>
  <c r="I25" i="28"/>
  <c r="I27" i="28"/>
  <c r="I28" i="28"/>
  <c r="H15" i="28"/>
  <c r="I15" i="28" s="1"/>
  <c r="H16" i="28"/>
  <c r="I16" i="28" s="1"/>
  <c r="H17" i="28"/>
  <c r="I17" i="28" s="1"/>
  <c r="H18" i="28"/>
  <c r="I18" i="28" s="1"/>
  <c r="H19" i="28"/>
  <c r="I19" i="28" s="1"/>
  <c r="H20" i="28"/>
  <c r="I20" i="28" s="1"/>
  <c r="H21" i="28"/>
  <c r="I21" i="28" s="1"/>
  <c r="H22" i="28"/>
  <c r="I22" i="28" s="1"/>
  <c r="H23" i="28"/>
  <c r="I23" i="28" s="1"/>
  <c r="H24" i="28"/>
  <c r="I24" i="28" s="1"/>
  <c r="H25" i="28"/>
  <c r="H26" i="28"/>
  <c r="I26" i="28" s="1"/>
  <c r="H27" i="28"/>
  <c r="H28" i="28"/>
  <c r="F18" i="28"/>
  <c r="F19" i="28"/>
  <c r="F25" i="28"/>
  <c r="F26" i="28"/>
  <c r="F27" i="28"/>
  <c r="F28" i="28"/>
  <c r="E15" i="28"/>
  <c r="F15" i="28" s="1"/>
  <c r="E16" i="28"/>
  <c r="F16" i="28" s="1"/>
  <c r="E17" i="28"/>
  <c r="F17" i="28" s="1"/>
  <c r="E18" i="28"/>
  <c r="E19" i="28"/>
  <c r="E20" i="28"/>
  <c r="F20" i="28" s="1"/>
  <c r="E21" i="28"/>
  <c r="F21" i="28" s="1"/>
  <c r="E22" i="28"/>
  <c r="F22" i="28" s="1"/>
  <c r="E23" i="28"/>
  <c r="F23" i="28" s="1"/>
  <c r="E24" i="28"/>
  <c r="F24" i="28" s="1"/>
  <c r="E25" i="28"/>
  <c r="E26" i="28"/>
  <c r="E27" i="28"/>
  <c r="E28" i="28"/>
  <c r="H15" i="19"/>
  <c r="I15" i="19" s="1"/>
  <c r="H16" i="19"/>
  <c r="I16" i="19" s="1"/>
  <c r="H17" i="19"/>
  <c r="I17" i="19" s="1"/>
  <c r="H18" i="19"/>
  <c r="I18" i="19" s="1"/>
  <c r="H19" i="19"/>
  <c r="I19" i="19" s="1"/>
  <c r="H20" i="19"/>
  <c r="I20" i="19" s="1"/>
  <c r="H21" i="19"/>
  <c r="I21" i="19" s="1"/>
  <c r="H22" i="19"/>
  <c r="I22" i="19" s="1"/>
  <c r="H23" i="19"/>
  <c r="I23" i="19" s="1"/>
  <c r="H24" i="19"/>
  <c r="I24" i="19" s="1"/>
  <c r="H25" i="19"/>
  <c r="I25" i="19" s="1"/>
  <c r="H26" i="19"/>
  <c r="I26" i="19" s="1"/>
  <c r="H27" i="19"/>
  <c r="I27" i="19" s="1"/>
  <c r="H28" i="19"/>
  <c r="I28"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D20" i="18"/>
  <c r="D21" i="18"/>
  <c r="D22" i="18"/>
  <c r="D23" i="18"/>
  <c r="C20" i="18"/>
  <c r="C21" i="18"/>
  <c r="C22" i="18"/>
  <c r="E22" i="18" s="1"/>
  <c r="F22" i="18" s="1"/>
  <c r="C23" i="18"/>
  <c r="E23" i="18" s="1"/>
  <c r="F23" i="18" s="1"/>
  <c r="G5" i="18"/>
  <c r="G6" i="18"/>
  <c r="G7" i="18"/>
  <c r="G8" i="18"/>
  <c r="G9" i="18"/>
  <c r="G10" i="18"/>
  <c r="G11" i="18"/>
  <c r="G12" i="18"/>
  <c r="G13" i="18"/>
  <c r="G14" i="18"/>
  <c r="G15" i="18"/>
  <c r="G16" i="18"/>
  <c r="G17" i="18"/>
  <c r="G18" i="18"/>
  <c r="G19" i="18"/>
  <c r="G20" i="18"/>
  <c r="G21" i="18"/>
  <c r="G22" i="18"/>
  <c r="G23" i="18"/>
  <c r="G23" i="34" s="1"/>
  <c r="G24" i="18"/>
  <c r="G25" i="18"/>
  <c r="G26" i="18"/>
  <c r="G27" i="18"/>
  <c r="G28" i="18"/>
  <c r="G4" i="18"/>
  <c r="H15" i="20"/>
  <c r="I15" i="20" s="1"/>
  <c r="H16" i="20"/>
  <c r="I16" i="20" s="1"/>
  <c r="H17" i="20"/>
  <c r="I17" i="20" s="1"/>
  <c r="H18" i="20"/>
  <c r="H19" i="20"/>
  <c r="I19" i="20" s="1"/>
  <c r="H20" i="20"/>
  <c r="I20" i="20" s="1"/>
  <c r="H21" i="20"/>
  <c r="I21" i="20" s="1"/>
  <c r="H22" i="20"/>
  <c r="I22" i="20" s="1"/>
  <c r="H23" i="20"/>
  <c r="I23" i="20" s="1"/>
  <c r="H24" i="20"/>
  <c r="I24" i="20" s="1"/>
  <c r="H25" i="20"/>
  <c r="I25" i="20" s="1"/>
  <c r="H26" i="20"/>
  <c r="I26" i="20" s="1"/>
  <c r="H27" i="20"/>
  <c r="H28" i="20"/>
  <c r="I28"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H18" i="21"/>
  <c r="I18" i="21" s="1"/>
  <c r="H19" i="21"/>
  <c r="I19" i="21" s="1"/>
  <c r="H20" i="21"/>
  <c r="I20" i="21" s="1"/>
  <c r="H21" i="21"/>
  <c r="H22" i="21"/>
  <c r="H23" i="21"/>
  <c r="H24" i="21"/>
  <c r="I24" i="21" s="1"/>
  <c r="H25" i="21"/>
  <c r="I25" i="21" s="1"/>
  <c r="H26" i="21"/>
  <c r="I26" i="21" s="1"/>
  <c r="H27" i="21"/>
  <c r="I27" i="21" s="1"/>
  <c r="H28" i="21"/>
  <c r="I28" i="21" s="1"/>
  <c r="H15" i="21"/>
  <c r="I15" i="21" s="1"/>
  <c r="H16" i="21"/>
  <c r="I16" i="21" s="1"/>
  <c r="H17" i="21"/>
  <c r="I17" i="21" s="1"/>
  <c r="F21" i="21"/>
  <c r="E15" i="21"/>
  <c r="F15" i="21" s="1"/>
  <c r="E16" i="21"/>
  <c r="F16" i="21" s="1"/>
  <c r="E17" i="21"/>
  <c r="F17" i="21" s="1"/>
  <c r="E18" i="21"/>
  <c r="F18" i="21" s="1"/>
  <c r="E19" i="21"/>
  <c r="F19" i="21" s="1"/>
  <c r="E20" i="21"/>
  <c r="F20" i="21" s="1"/>
  <c r="E21" i="21"/>
  <c r="E22" i="21"/>
  <c r="F22" i="21" s="1"/>
  <c r="E23" i="21"/>
  <c r="F23" i="21" s="1"/>
  <c r="E24" i="21"/>
  <c r="F24" i="21" s="1"/>
  <c r="E25" i="21"/>
  <c r="F25" i="21" s="1"/>
  <c r="E26" i="21"/>
  <c r="F26" i="21" s="1"/>
  <c r="E27" i="21"/>
  <c r="F27" i="21" s="1"/>
  <c r="E28" i="21"/>
  <c r="F28" i="21" s="1"/>
  <c r="G5" i="1"/>
  <c r="G6" i="1"/>
  <c r="G7" i="1"/>
  <c r="G8" i="1"/>
  <c r="G9" i="1"/>
  <c r="G10" i="1"/>
  <c r="G11" i="1"/>
  <c r="G12" i="1"/>
  <c r="G13" i="1"/>
  <c r="G14" i="1"/>
  <c r="G15" i="1"/>
  <c r="G16" i="1"/>
  <c r="G17" i="1"/>
  <c r="G18" i="1"/>
  <c r="G19" i="1"/>
  <c r="G20" i="1"/>
  <c r="G21" i="1"/>
  <c r="G22" i="1"/>
  <c r="G23" i="1"/>
  <c r="G24" i="1"/>
  <c r="G25" i="1"/>
  <c r="G26" i="1"/>
  <c r="G27" i="1"/>
  <c r="G28" i="1"/>
  <c r="G4" i="1"/>
  <c r="D5" i="1"/>
  <c r="D6" i="1"/>
  <c r="D7" i="1"/>
  <c r="D8" i="1"/>
  <c r="D9" i="1"/>
  <c r="D10" i="1"/>
  <c r="D11" i="1"/>
  <c r="D12" i="1"/>
  <c r="D13" i="1"/>
  <c r="D14" i="1"/>
  <c r="D15" i="1"/>
  <c r="D16" i="1"/>
  <c r="D17" i="1"/>
  <c r="D18" i="1"/>
  <c r="D19" i="1"/>
  <c r="D20" i="1"/>
  <c r="D21" i="1"/>
  <c r="D22" i="1"/>
  <c r="D23" i="1"/>
  <c r="D24" i="1"/>
  <c r="D25" i="1"/>
  <c r="D26" i="1"/>
  <c r="D27" i="1"/>
  <c r="D28" i="1"/>
  <c r="D4" i="1"/>
  <c r="C5" i="1"/>
  <c r="E22" i="1"/>
  <c r="F22" i="1" s="1"/>
  <c r="C4" i="1"/>
  <c r="H28" i="73"/>
  <c r="I28" i="73" s="1"/>
  <c r="E28" i="73"/>
  <c r="F28" i="73" s="1"/>
  <c r="H27" i="73"/>
  <c r="I27" i="73" s="1"/>
  <c r="E27" i="73"/>
  <c r="F27" i="73" s="1"/>
  <c r="H26" i="73"/>
  <c r="I26" i="73" s="1"/>
  <c r="E26" i="73"/>
  <c r="F26" i="73" s="1"/>
  <c r="H25" i="73"/>
  <c r="I25" i="73" s="1"/>
  <c r="E25" i="73"/>
  <c r="F25" i="73" s="1"/>
  <c r="H24" i="73"/>
  <c r="I24" i="73" s="1"/>
  <c r="E24" i="73"/>
  <c r="F24" i="73" s="1"/>
  <c r="H23" i="73"/>
  <c r="I23" i="73" s="1"/>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A4" i="73" a="1"/>
  <c r="A4" i="73" s="1"/>
  <c r="G2" i="73"/>
  <c r="D2" i="73"/>
  <c r="C2" i="73"/>
  <c r="J2" i="73" s="1"/>
  <c r="A1" i="73" a="1"/>
  <c r="A1" i="73" s="1"/>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H18" i="3"/>
  <c r="I18" i="3" s="1"/>
  <c r="H19" i="3"/>
  <c r="I19" i="3" s="1"/>
  <c r="H20" i="3"/>
  <c r="I20" i="3" s="1"/>
  <c r="H21" i="3"/>
  <c r="I21" i="3" s="1"/>
  <c r="H22" i="3"/>
  <c r="I22" i="3" s="1"/>
  <c r="H23" i="3"/>
  <c r="I23" i="3" s="1"/>
  <c r="H24" i="3"/>
  <c r="I24" i="3" s="1"/>
  <c r="H25" i="3"/>
  <c r="I25" i="3" s="1"/>
  <c r="H26" i="3"/>
  <c r="I26" i="3" s="1"/>
  <c r="H27" i="3"/>
  <c r="I27" i="3" s="1"/>
  <c r="H28" i="3"/>
  <c r="I28" i="3" s="1"/>
  <c r="H15" i="3"/>
  <c r="I15" i="3" s="1"/>
  <c r="H16" i="3"/>
  <c r="I16" i="3" s="1"/>
  <c r="H17" i="3"/>
  <c r="I17" i="3" s="1"/>
  <c r="F15" i="3"/>
  <c r="F16" i="3"/>
  <c r="F17" i="3"/>
  <c r="E18" i="3"/>
  <c r="F18" i="3" s="1"/>
  <c r="E19" i="3"/>
  <c r="F19" i="3" s="1"/>
  <c r="E20" i="3"/>
  <c r="F20" i="3" s="1"/>
  <c r="E21" i="3"/>
  <c r="F21" i="3" s="1"/>
  <c r="E22" i="3"/>
  <c r="F22" i="3" s="1"/>
  <c r="E23" i="3"/>
  <c r="F23" i="3" s="1"/>
  <c r="E24" i="3"/>
  <c r="F24" i="3" s="1"/>
  <c r="E25" i="3"/>
  <c r="F25" i="3" s="1"/>
  <c r="E26" i="3"/>
  <c r="F26" i="3" s="1"/>
  <c r="E27" i="3"/>
  <c r="F27" i="3" s="1"/>
  <c r="E28" i="3"/>
  <c r="F28" i="3" s="1"/>
  <c r="C18" i="29"/>
  <c r="D18" i="29"/>
  <c r="H18" i="29"/>
  <c r="C19" i="29"/>
  <c r="D19" i="29"/>
  <c r="C23" i="29"/>
  <c r="D23" i="29"/>
  <c r="H23" i="29"/>
  <c r="I23" i="29" s="1"/>
  <c r="C24" i="29"/>
  <c r="D24" i="29"/>
  <c r="H24" i="29"/>
  <c r="I24" i="29" s="1"/>
  <c r="C25" i="29"/>
  <c r="D25" i="29"/>
  <c r="H25" i="29"/>
  <c r="I25" i="29" s="1"/>
  <c r="C26" i="29"/>
  <c r="D26" i="29"/>
  <c r="H26" i="29"/>
  <c r="I26" i="29" s="1"/>
  <c r="C27" i="29"/>
  <c r="D27" i="29"/>
  <c r="H27" i="29"/>
  <c r="C28" i="29"/>
  <c r="D28" i="29"/>
  <c r="C17" i="18"/>
  <c r="D17" i="18"/>
  <c r="C18" i="18"/>
  <c r="D18" i="18"/>
  <c r="C19" i="18"/>
  <c r="D19" i="18"/>
  <c r="C24" i="18"/>
  <c r="D24" i="18"/>
  <c r="C25" i="18"/>
  <c r="D25" i="18"/>
  <c r="C26" i="18"/>
  <c r="D26" i="18"/>
  <c r="C27" i="18"/>
  <c r="D27" i="18"/>
  <c r="C28" i="18"/>
  <c r="D28" i="18"/>
  <c r="E22" i="29" l="1"/>
  <c r="F22" i="29" s="1"/>
  <c r="H27" i="18"/>
  <c r="I27" i="18" s="1"/>
  <c r="C24" i="34"/>
  <c r="C19" i="34"/>
  <c r="C18" i="34"/>
  <c r="E34" i="18"/>
  <c r="F34" i="18" s="1"/>
  <c r="E33" i="18"/>
  <c r="F33" i="18" s="1"/>
  <c r="E32" i="18"/>
  <c r="F32" i="18" s="1"/>
  <c r="E31" i="18"/>
  <c r="F31" i="18" s="1"/>
  <c r="E30" i="18"/>
  <c r="F30" i="18" s="1"/>
  <c r="E29" i="18"/>
  <c r="F29" i="18" s="1"/>
  <c r="C28" i="34"/>
  <c r="D22" i="34"/>
  <c r="C22" i="34"/>
  <c r="E22" i="34" s="1"/>
  <c r="F22" i="34" s="1"/>
  <c r="E21" i="18"/>
  <c r="F21" i="18" s="1"/>
  <c r="E20" i="18"/>
  <c r="F20" i="18" s="1"/>
  <c r="I34" i="34"/>
  <c r="I33" i="34"/>
  <c r="I32" i="34"/>
  <c r="I31" i="34"/>
  <c r="I30" i="34"/>
  <c r="C23" i="34"/>
  <c r="C25" i="34"/>
  <c r="C21" i="34"/>
  <c r="D20" i="34"/>
  <c r="C20" i="34"/>
  <c r="C27" i="34"/>
  <c r="C26" i="34"/>
  <c r="H18" i="18"/>
  <c r="I18" i="18" s="1"/>
  <c r="I29" i="3"/>
  <c r="H29" i="1"/>
  <c r="H29" i="34"/>
  <c r="I29" i="34" s="1"/>
  <c r="I29" i="1"/>
  <c r="G22" i="34"/>
  <c r="E21" i="1"/>
  <c r="F21" i="1" s="1"/>
  <c r="H21" i="1"/>
  <c r="I21" i="1" s="1"/>
  <c r="H20" i="1"/>
  <c r="I20" i="1" s="1"/>
  <c r="H19" i="1"/>
  <c r="H28" i="29"/>
  <c r="I28" i="29" s="1"/>
  <c r="H19" i="29"/>
  <c r="I19" i="29" s="1"/>
  <c r="G20" i="34"/>
  <c r="I19" i="26"/>
  <c r="G21" i="34"/>
  <c r="H20" i="18"/>
  <c r="I20" i="18" s="1"/>
  <c r="I27" i="29"/>
  <c r="I18" i="29"/>
  <c r="H28" i="1"/>
  <c r="H22" i="18"/>
  <c r="I22" i="18" s="1"/>
  <c r="H27" i="1"/>
  <c r="H21" i="18"/>
  <c r="I21" i="18" s="1"/>
  <c r="H26" i="1"/>
  <c r="I21" i="21"/>
  <c r="H25" i="1"/>
  <c r="H15" i="1"/>
  <c r="H22" i="30"/>
  <c r="H22" i="29"/>
  <c r="I22" i="29" s="1"/>
  <c r="H19" i="18"/>
  <c r="I19" i="18" s="1"/>
  <c r="H24" i="1"/>
  <c r="H25" i="18"/>
  <c r="I25" i="18" s="1"/>
  <c r="H21" i="29"/>
  <c r="I21" i="29" s="1"/>
  <c r="I22" i="21"/>
  <c r="H26" i="18"/>
  <c r="I26" i="18" s="1"/>
  <c r="D21" i="34"/>
  <c r="H23" i="1"/>
  <c r="I23" i="1" s="1"/>
  <c r="H24" i="18"/>
  <c r="I24" i="18" s="1"/>
  <c r="I27" i="20"/>
  <c r="I18" i="20"/>
  <c r="I22" i="33"/>
  <c r="H20" i="29"/>
  <c r="I20" i="29" s="1"/>
  <c r="H18" i="1"/>
  <c r="H22" i="1"/>
  <c r="I22" i="1" s="1"/>
  <c r="H28" i="18"/>
  <c r="I28" i="18" s="1"/>
  <c r="H21" i="30"/>
  <c r="H20" i="30"/>
  <c r="I20" i="30"/>
  <c r="H23" i="18"/>
  <c r="I23" i="18" s="1"/>
  <c r="I23" i="21"/>
  <c r="E17" i="18"/>
  <c r="F17" i="18" s="1"/>
  <c r="I16" i="4"/>
  <c r="H16" i="1"/>
  <c r="I17" i="4"/>
  <c r="H17" i="1"/>
  <c r="E20" i="1"/>
  <c r="F20" i="1" s="1"/>
  <c r="E2" i="73"/>
  <c r="F2" i="73" s="1"/>
  <c r="H2" i="73"/>
  <c r="I2" i="73" s="1"/>
  <c r="E18" i="29"/>
  <c r="F18" i="29" s="1"/>
  <c r="E26" i="29"/>
  <c r="F26" i="29" s="1"/>
  <c r="E23" i="29"/>
  <c r="F23" i="29" s="1"/>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D28" i="30"/>
  <c r="D28" i="34" s="1"/>
  <c r="H28" i="30"/>
  <c r="C18" i="30"/>
  <c r="D18" i="30"/>
  <c r="D18" i="34" s="1"/>
  <c r="H18" i="30"/>
  <c r="C19" i="30"/>
  <c r="D19" i="30"/>
  <c r="D19" i="34" s="1"/>
  <c r="H19" i="30"/>
  <c r="C23" i="30"/>
  <c r="D23" i="34"/>
  <c r="H23" i="30"/>
  <c r="I23" i="30" s="1"/>
  <c r="C24" i="30"/>
  <c r="D24" i="30"/>
  <c r="D24" i="34" s="1"/>
  <c r="H24" i="30"/>
  <c r="C25" i="30"/>
  <c r="D25" i="30"/>
  <c r="D25" i="34" s="1"/>
  <c r="H25" i="30"/>
  <c r="C26" i="30"/>
  <c r="D26" i="30"/>
  <c r="D26" i="34" s="1"/>
  <c r="H26" i="30"/>
  <c r="C27" i="30"/>
  <c r="D27" i="30"/>
  <c r="D27" i="34" s="1"/>
  <c r="H27" i="30"/>
  <c r="C16" i="30"/>
  <c r="E16" i="30" s="1"/>
  <c r="F16" i="30" s="1"/>
  <c r="D16" i="30"/>
  <c r="C17" i="30"/>
  <c r="D17" i="30"/>
  <c r="C16" i="29"/>
  <c r="D16" i="29"/>
  <c r="C17" i="29"/>
  <c r="C17" i="34" s="1"/>
  <c r="D17" i="29"/>
  <c r="D17" i="34" s="1"/>
  <c r="C16" i="18"/>
  <c r="C16" i="34" s="1"/>
  <c r="D16" i="18"/>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E5" i="3"/>
  <c r="F5" i="3" s="1"/>
  <c r="H5" i="3"/>
  <c r="I5" i="3" s="1"/>
  <c r="E6" i="3"/>
  <c r="F6" i="3" s="1"/>
  <c r="H6" i="3"/>
  <c r="I6" i="3" s="1"/>
  <c r="E7" i="3"/>
  <c r="F7" i="3" s="1"/>
  <c r="H7" i="3"/>
  <c r="I7" i="3" s="1"/>
  <c r="E8" i="3"/>
  <c r="F8" i="3" s="1"/>
  <c r="H8" i="3"/>
  <c r="E9" i="3"/>
  <c r="F9" i="3" s="1"/>
  <c r="H9" i="3"/>
  <c r="E10" i="3"/>
  <c r="F10" i="3" s="1"/>
  <c r="H10" i="3"/>
  <c r="I10" i="3" s="1"/>
  <c r="E11" i="3"/>
  <c r="F11" i="3" s="1"/>
  <c r="H11" i="3"/>
  <c r="E12" i="3"/>
  <c r="F12" i="3" s="1"/>
  <c r="H12" i="3"/>
  <c r="I12" i="3" s="1"/>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E8" i="29" s="1"/>
  <c r="F8" i="29" s="1"/>
  <c r="D7" i="29"/>
  <c r="C7" i="29"/>
  <c r="D6" i="29"/>
  <c r="C6" i="29"/>
  <c r="D5" i="29"/>
  <c r="C5" i="29"/>
  <c r="D4" i="29"/>
  <c r="C4" i="29"/>
  <c r="D15" i="18"/>
  <c r="D15" i="34" s="1"/>
  <c r="C15" i="18"/>
  <c r="C15" i="34" s="1"/>
  <c r="D14" i="18"/>
  <c r="C14" i="18"/>
  <c r="C14" i="34" s="1"/>
  <c r="D13" i="18"/>
  <c r="C13" i="18"/>
  <c r="C13" i="34" s="1"/>
  <c r="D12" i="18"/>
  <c r="C12" i="18"/>
  <c r="C12" i="34" s="1"/>
  <c r="D11" i="18"/>
  <c r="C11" i="18"/>
  <c r="C11" i="34" s="1"/>
  <c r="D10" i="18"/>
  <c r="C10" i="18"/>
  <c r="C10" i="34" s="1"/>
  <c r="D9" i="18"/>
  <c r="C9" i="18"/>
  <c r="C9" i="34" s="1"/>
  <c r="D8" i="18"/>
  <c r="C8" i="18"/>
  <c r="C8" i="34" s="1"/>
  <c r="D7" i="18"/>
  <c r="C7" i="18"/>
  <c r="C7" i="34" s="1"/>
  <c r="D6" i="18"/>
  <c r="C6" i="18"/>
  <c r="C6" i="34" s="1"/>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E21" i="34" l="1"/>
  <c r="F21" i="34" s="1"/>
  <c r="E20" i="34"/>
  <c r="F20" i="34" s="1"/>
  <c r="H21" i="34"/>
  <c r="I21" i="34" s="1"/>
  <c r="H22" i="34"/>
  <c r="I22" i="34" s="1"/>
  <c r="H7" i="1"/>
  <c r="I7" i="1" s="1"/>
  <c r="I9" i="3"/>
  <c r="H9" i="1"/>
  <c r="I9" i="1" s="1"/>
  <c r="H12" i="1"/>
  <c r="I11" i="3"/>
  <c r="H11" i="1"/>
  <c r="I11" i="1" s="1"/>
  <c r="H20" i="34"/>
  <c r="I20" i="34" s="1"/>
  <c r="H5" i="1"/>
  <c r="I5" i="1" s="1"/>
  <c r="H6" i="1"/>
  <c r="I6" i="1" s="1"/>
  <c r="E14" i="29"/>
  <c r="F14" i="29" s="1"/>
  <c r="I8" i="3"/>
  <c r="H8" i="1"/>
  <c r="I8" i="1" s="1"/>
  <c r="I4" i="3"/>
  <c r="H4" i="1"/>
  <c r="D16" i="34"/>
  <c r="H13" i="1"/>
  <c r="H14" i="1"/>
  <c r="I22" i="30"/>
  <c r="H10" i="1"/>
  <c r="I10" i="1" s="1"/>
  <c r="D10" i="34"/>
  <c r="D7" i="34"/>
  <c r="I21" i="30"/>
  <c r="C5" i="34"/>
  <c r="E13" i="30"/>
  <c r="F13" i="30" s="1"/>
  <c r="D11" i="34"/>
  <c r="E11" i="34" s="1"/>
  <c r="F11" i="34" s="1"/>
  <c r="E8" i="30"/>
  <c r="F8" i="30" s="1"/>
  <c r="E26" i="34"/>
  <c r="F26" i="34" s="1"/>
  <c r="I27" i="30"/>
  <c r="H27" i="34"/>
  <c r="I27" i="34" s="1"/>
  <c r="I26" i="30"/>
  <c r="H26" i="34"/>
  <c r="I25" i="30"/>
  <c r="H25" i="34"/>
  <c r="I25" i="34" s="1"/>
  <c r="I24" i="30"/>
  <c r="H24" i="34"/>
  <c r="I24" i="34" s="1"/>
  <c r="H23" i="34"/>
  <c r="I23" i="34" s="1"/>
  <c r="E23" i="34"/>
  <c r="F23" i="34" s="1"/>
  <c r="I19" i="30"/>
  <c r="H19" i="34"/>
  <c r="I19" i="34" s="1"/>
  <c r="I18" i="30"/>
  <c r="H18" i="34"/>
  <c r="I18" i="34" s="1"/>
  <c r="I28" i="30"/>
  <c r="H28" i="34"/>
  <c r="I28" i="34" s="1"/>
  <c r="E25" i="34"/>
  <c r="F25" i="34" s="1"/>
  <c r="E24" i="34"/>
  <c r="F24" i="34" s="1"/>
  <c r="E28" i="34"/>
  <c r="F28" i="34" s="1"/>
  <c r="E19" i="34"/>
  <c r="F19" i="34" s="1"/>
  <c r="E27" i="34"/>
  <c r="F27" i="34" s="1"/>
  <c r="E18" i="34"/>
  <c r="F18" i="34" s="1"/>
  <c r="E14" i="30"/>
  <c r="F14" i="30" s="1"/>
  <c r="D13" i="34"/>
  <c r="D12" i="34"/>
  <c r="E12" i="34" s="1"/>
  <c r="F12" i="34" s="1"/>
  <c r="D9" i="34"/>
  <c r="D8" i="34"/>
  <c r="D14" i="34"/>
  <c r="D6" i="34"/>
  <c r="D5" i="34"/>
  <c r="E16" i="18"/>
  <c r="F16" i="18" s="1"/>
  <c r="E8" i="18"/>
  <c r="F8" i="18" s="1"/>
  <c r="E14" i="18"/>
  <c r="F14" i="18" s="1"/>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E7" i="18"/>
  <c r="F7" i="18" s="1"/>
  <c r="E13" i="18"/>
  <c r="F13" i="18" s="1"/>
  <c r="H6" i="30"/>
  <c r="I6" i="30" s="1"/>
  <c r="E24" i="30"/>
  <c r="F24" i="30" s="1"/>
  <c r="E28" i="30"/>
  <c r="F28" i="30" s="1"/>
  <c r="E19" i="30"/>
  <c r="F19" i="30" s="1"/>
  <c r="E27" i="1"/>
  <c r="F27" i="1" s="1"/>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7" i="1"/>
  <c r="I28" i="1"/>
  <c r="I26" i="1"/>
  <c r="I24" i="1"/>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7" i="34"/>
  <c r="F17" i="34"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15" i="1"/>
  <c r="I12" i="1"/>
  <c r="C2" i="1"/>
  <c r="E2" i="3"/>
  <c r="F2" i="3" s="1"/>
  <c r="E4" i="1"/>
  <c r="F4" i="1" s="1"/>
  <c r="I14" i="1"/>
  <c r="I13" i="1"/>
  <c r="D2" i="1"/>
  <c r="E2" i="33"/>
  <c r="F2" i="33" s="1"/>
  <c r="E2" i="32"/>
  <c r="F2" i="32" s="1"/>
  <c r="E2" i="31"/>
  <c r="F2" i="31" s="1"/>
  <c r="E2" i="27"/>
  <c r="F2" i="27" s="1"/>
  <c r="E2" i="26"/>
  <c r="F2" i="26" s="1"/>
  <c r="E2" i="19"/>
  <c r="F2" i="19" s="1"/>
  <c r="E2" i="21"/>
  <c r="F2" i="21" s="1"/>
  <c r="E2" i="4"/>
  <c r="F2" i="4" s="1"/>
  <c r="E7" i="34" l="1"/>
  <c r="F7" i="34" s="1"/>
  <c r="E6" i="34"/>
  <c r="F6" i="34" s="1"/>
  <c r="E5" i="34"/>
  <c r="F5" i="34" s="1"/>
  <c r="E10" i="34"/>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<sst xmlns="http://schemas.openxmlformats.org/spreadsheetml/2006/main" count="940" uniqueCount="534">
  <si>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</si>
  <si>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</si>
  <si>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</si>
  <si>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</si>
  <si>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</si>
  <si>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</si>
  <si>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</si>
  <si>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</si>
  <si>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</si>
  <si>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</si>
  <si>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</si>
  <si>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</si>
  <si>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</si>
  <si>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</si>
  <si>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</si>
  <si>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</si>
  <si>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</si>
  <si>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</si>
  <si>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March Actual v. Expected</t>
  </si>
  <si>
    <t>March Actual v. Forecasted</t>
  </si>
  <si>
    <t>Notes</t>
  </si>
  <si>
    <t>Service Requests</t>
  </si>
  <si>
    <t>1. Combiner Boxes 1.2 (DCP 1), 1.3 (DCP 7), 1.5 (DCP 14), 1.7 (DCP 10), 1.10 (DCP 4), 1.11 (DCP 11), and 1.15 (DCP 12) have been offline since 12/22/24. On 01/02/25, the technician discovered blown glass fuses. As per Shoals' instructions, parts are needed to bring them back online, and they have remained offline throughout the month.
2. Combiner 1.14 (DCP-3) is showing constant value of 312Amps from 08/30 due to a faulty CT.
3. All inverters tripped on and off on 01/09 and 01/10, with Inverter 1.5 tripped offline at 10:30 AM on 01/09. On 01/11, the PE technician restored only Inverter 1.1, while the others remained offline. On 01/13, the PE technician worked on all inverters, brought Inverter 1.5 back online at 16:30. The remaining inverters were restored on 01/14/25.</t>
  </si>
  <si>
    <t>1.SR095215
2.SR089788
3.SR095444</t>
  </si>
  <si>
    <t>N/A</t>
  </si>
  <si>
    <t>1. Inverters 10,11 and 13 are started late for production at 11:45AM on 01/17 due to insulation fault.
2. Low generation due to rain/snow.</t>
  </si>
  <si>
    <t>1. SR095646</t>
  </si>
  <si>
    <t>1. Inverter 12 came back online at 13:30 on 01/02. The technician investigated the issue and cleared the fault.
2. Inverters 14 to 17 tripped offline at 11:45AM on 01/26. The technician replaced the shunt trip for HP1 with HP4. The inverters came back online at 11:15AM on 01/27.
3. Inverter 25 has been intermittently offline for the whole month due to a bus differential fault. Solectria has issued an RMA for the inverter.
4. Inverter 30 started production late at 13:15 on 01/27. The technician resolved the issue with Solectria. Solectria will issue an RMA if the inverter trips again.</t>
  </si>
  <si>
    <t>1. SR095170
2. SR095990
3. SR096190, SR094843
4. SR096007</t>
  </si>
  <si>
    <t>1.Inverter 36 offline on 01/01 due to insulation resistance fault and self resolve on 01/02
2. Low generation due to rain/snow.</t>
  </si>
  <si>
    <t>1.SR095132</t>
  </si>
  <si>
    <t>1. The site tripped offline at 10:45AM on 01/03 and came back online at 07:00 AM on 01/06. The technician found that the surge protector breaker had tripped and reset it.
2. The site tripped offline at 05:45AM on 01/16 while the technician was onsite to remove the failed breaker. The site came back online at 08:30AM on 01/17 after the breaker was replaced.
3.Inverter 1 has started late  for the production at 12:00 on 01/17 but two strings are kept offline for safety due to tree has felt on array</t>
  </si>
  <si>
    <t>1. SR095275
2. SR095529
3.SR095652</t>
  </si>
  <si>
    <t>1. Inverter 7 started production late and later self-resolved at 09:15 AM on 01/13 due to a self-check startup failure. It failed to start again on 01/17 but was brought back online via a remote reset at 10:45 AM the same day. However, it tripped offline again at 11:15 AM on 01/27. The technician investigated the issue, and Inverter 7 was back online at 07:00 AM and 3 CT's were RMA'd on 01/28.
2. Inverter 8 dropped offline at 11:45 AM and was producing only 5 kW consistently. After a remote reset, the inverter came back online at 13:45 on 01/28.
3. Low generation due to rain/snow.</t>
  </si>
  <si>
    <t>1. SR095513
2. SR095081</t>
  </si>
  <si>
    <t>1. Site offline at 15:30 on 01/18. Technician found the Main AC Breaker tripped and the SEL-751 in the trip position with an "AC Loss" fault. Reset both the SEL and Main AC Breaker. The site is  back online at 12:45 on 01/19.
2. Low generation due to rain/snow.</t>
  </si>
  <si>
    <t>1. SR095701</t>
  </si>
  <si>
    <t>1. Low generation due to rain/snow.</t>
  </si>
  <si>
    <t>1. Inverter 2 remains offline for the whole month and will need to wait until the ground is unfrozen.
2. Inverter 55 tripped offline at 11:15 AM on 01/03 due to an electrical arc fault. After a reset, the inverter came back online at 10:30 AM on 01/06.
3. Inverter 54 tripped offline at 12:45 on 01/03 due to a high residual current. The technician found a field-made jumper connection with thermal damage. The MC M/F connectors were repaired and replaced. The inverter came back online at 10:30 on 01/06.
4.Inverter 39 string 5 blown a fuse and later technician replaced fuses on 01/15
5. Low generation due to rain/snow.</t>
  </si>
  <si>
    <t>1. SR093777
2. SR095277
3. SR095288
4.SR094302</t>
  </si>
  <si>
    <t>1. Inverter 16 was offline since 11/13 due to Arc Protection and being RMA'd.
2. Inverter 30 tripped offline at 13:45 on 01/12 due to an insulation fault and later self-resolved, inverter back online at 14:15.
3.Inverter 66 tripped offline at 11:00 AM on 01/06 and self-resolved, inverter back online at 07:00 AM on 01/08.
4. Inverter 12 was offline intermittently whole month and being RMA'd.
5. Inverter 67 was being in RMA'd.
6. Inverter 57 was being in RMA'd.
7.Inverter 66 is bearly producing from 01/30
8. Low generation due to rain/snow.</t>
  </si>
  <si>
    <t>1. SR095816
2. SR095504
3. SR094685
4. SR093117
5. SR088450
6. SR091962
7.SR096271</t>
  </si>
  <si>
    <t xml:space="preserve">
1. Low generation due to weather/snow.</t>
  </si>
  <si>
    <t>1. Inverter 61 has been intermittently offline throughout the month and has been RMA'd.
2. The site tripped offline at 18:00 on 01/02. The technician found that the switchgear was open and the SEL-351A had tripped. He reset the SEL and closed the switchgear. The site came back online at 09:00 AM on 01/03.</t>
  </si>
  <si>
    <t>1. SR095846, SR095210
2. SR095259</t>
  </si>
  <si>
    <t>1. Site production dropped at 15:15 on 01/28 as Sungrow technicians were onsite working on BESS. They continued work on 01/29, and production returned to normal at 15:30 on 01/29.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</si>
  <si>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SR092970
2. SR087370</t>
  </si>
  <si>
    <t>1. Inverter 16 tripped offline at 08:45AM on 01/19, inverter was self-resolved at 10:15AM on 01/21.
2. Low generation due to rain/snow.</t>
  </si>
  <si>
    <t>1. SR095712</t>
  </si>
  <si>
    <t>1. Inverter 83 had a string 8 down since 11/27. It will be investigated during the next onsite visit.
2. 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</si>
  <si>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 SR093591
2. SR095984
3. SR096108</t>
  </si>
  <si>
    <t>1. PAD 4 is discharging at 15kW and CES performed calibration on 01/02.
2. The site was taken offline from 8:45 to 15:15 on 01/17 for SIM replacement. Afterward, the technician requested tech support to check production reporting issues on meters 3 and 4. AlsoEnergy confirmed PowerTrack settings were consistent across HEILA BESS Controllers 2, 3, and 4, indicating the issue is likely with the controllers. HEILA will now inspect remotely using the new SIM.</t>
  </si>
  <si>
    <t>1.SR095262
2.SR095545</t>
  </si>
  <si>
    <t>1. Site tripped offline and SEL Relay was opened on 01/02 at 18:00 later technician re-energized the relay at 08:15am on 01/03
2.Inverter 32 tripped offline at 13:30 on 01/25 due to "ARC Protection", later technician found and replaced rusty homerun MC connectors, and the inverter came back online at 10:30 on 01/27.
3. Low generation due to rain/snow.</t>
  </si>
  <si>
    <t>1.SR095261
2.SR095978</t>
  </si>
  <si>
    <t>1.Inverter 3 tripped offline at 12PM on 01/02 due to Bus(sum) over voltage fault and back online on 01/04. On 01/23 Technicians checked in and replaced RMA'd Inverter with new Inverter. Inverter was again offline from 01/24 due to stuck in standby mode and back online at 12PM on 01/27.
2.Site tripped offline at 17:48 and on battery mode, later auto-reclosed at 18:10 on 01/02.
3.Inverter 8 tripped offline at 10:30AM on 01/12 due to insulation resistance low fault and back online at 11:30AM on 01/13.
4. Low generation due to rain/snow.</t>
  </si>
  <si>
    <t>1.SR093378, SR096015
2.SR095260
3.SR095505</t>
  </si>
  <si>
    <t>1.Inverter 13 was offline from 12/20/24 due to insulation resistance low fault and after technician powered on, inverter back online at 9:30AM on 01/16/25.
2.Inverter 18, string 4 in CB18, was isolated due to poor voltage and a disconnected module caused by severe dirt and ice buildup in the MC4 connections. After inspection on 01/16, the technician replaced both MC4 connectors, reconnected the circuit, and powered on the inverter. It is now performing in line with its peers.
3. Low generation due to rain/snow.</t>
  </si>
  <si>
    <t>1.SR094997
2.SR094509</t>
  </si>
  <si>
    <t>1. Inverter 18 has multiple tripping events from 12/06/24 due to Floating capacitor voltage is high.
2.Site tripped offline at 07:00AM and after technician checked-in, site back online at 11:45 on 01/06.
3.Site tripped offline at 06:30AM and after technician closed the SEL Relay, site back online at 11:15 on 01/22.
Inverters 2,3,4,5,6,8,10,14,15,16,17,19,22,25,27,28 and 29 are tripped offline at 09:15AM on 01/21 due to Grid Voltage unbalance and back online at 11:15AM on 01/22.
4.Inverters 5,23 and 27 tripped offline at 13:30 on 01/24 due to Grid voltage unbalance and back online on 01/25.
5. Low generation due to rain/snow.</t>
  </si>
  <si>
    <t>1.SR094254
2.SR093451
3.SR095801
4.SR095965</t>
  </si>
  <si>
    <t>1.Site was taken offline from 10:45 to 16:45 on 01/06 due to technincian checked-in for hot spot remediation.
2. Inverters 1,3,6,12 and 27 tripped offline at 9:15AM on 01/21 due to Grid voltage unbalance and back online at 14:00 on 01/22.
Site tripped offline at 06:30AM and after technician closed the SEL Relay, site back online at 14:00 on 01/22.</t>
  </si>
  <si>
    <t>1.SR095332
2.SR095805</t>
  </si>
  <si>
    <t>1.Inverter 128 was not communicating since 12/07/24. Communications card has been RMA'd and will be replaced during a combined dispatch.
2. Low generation due to rain/snow.</t>
  </si>
  <si>
    <t>1.SR096051</t>
  </si>
  <si>
    <t>1. Site stopped communicating at 1:25AM on 01/29 and on 03/31 technician powercycled the DAS comms were restored.
2. Low generation due to rain/snow.</t>
  </si>
  <si>
    <t xml:space="preserve">1. SR096103
</t>
  </si>
  <si>
    <t>1. Low generation due to weather/snow.</t>
  </si>
  <si>
    <t>1. Site lost communication on 01/10 and comms were back on  01/16 after technician powercycled DAS.
2. Low generation due to rain/snow.</t>
  </si>
  <si>
    <t>1. SR095421</t>
  </si>
  <si>
    <t>February Actual v. Expected</t>
  </si>
  <si>
    <t>February Actual v. Forecasted</t>
  </si>
  <si>
    <t>1. Combiner Boxes 1.2 (DCP 1), 1.3 (DCP 7), 1.5 (DCP 14), 1.7 (DCP 10), 1.10 (DCP 4), 1.11 (DCP 11), and 1.15 (DCP 12) have been offline since 12/22. On 02/10, technician refitted them with a new contactor. Except for 1.2 (DCP 1), all combiner boxes came back online at 12:15 PM.
2. Low generation due to weather/snow.</t>
  </si>
  <si>
    <t>1.SR095215</t>
  </si>
  <si>
    <t>1.Site was taken offline from 13:00 to 14:45 on 02/22 due to planned outage.
2. The site is experiencing multiple trips due to voltage fluctuations. Whenever the meter voltage drops below 610V, the site trips, and when the voltage returns to the nominal value, the site comes back online. This phenomenon has been occurring since Eversource performed maintenance on 02/22. Site production returned to normal on 02/27 after Eversource was dispatched on 02/26.</t>
  </si>
  <si>
    <t>1.SR097327
2.SR097832</t>
  </si>
  <si>
    <t>SR097832</t>
  </si>
  <si>
    <t>1.Inverter 25 experienced multiple offline incidents throughout the month due to a bus differential high fault and was subsequently RMA'd by Solectria. On 02/26, technicians replaced the RMA'd inverter with a new unit and inverter started producing in line with its peers.
2. Inverter 1 was offline on 02/16 and 02/17 due to a bus differential high fault and came back online on 02/18. It went offline again from 02/20 to 02/23 and on 02/27 and 02/28 due to the same fault. Solectria initiated the RMA process for the inverter on 02/21.
3. Low generation due to rain/snow.</t>
  </si>
  <si>
    <t>1.SR096190
2.SR097171, SR097549 &amp; SR097792</t>
  </si>
  <si>
    <t>SR097171</t>
  </si>
  <si>
    <t>SR097549</t>
  </si>
  <si>
    <t>SR097792</t>
  </si>
  <si>
    <t>1. Inverter 36 started late for production on 02/01, 02/04, 02/07 and was offline on 02/13 &amp; 02/27 due to Insulation Resistance Low fault. Self-resolved on 02/28.
2. Low generation due to rain/snow.</t>
  </si>
  <si>
    <t>1.SR096465</t>
  </si>
  <si>
    <t>1.Site was tripped offline at 13:30 on 02/04 due to main breaker trip and back online at 10:30 on 02/05 after tehnician closed the breaker. Again site tripped offline at 20:00 on 02/16 and after technician reset main breaker site back online at 11:30 on 02/18.
2. Low generation due to rain/snow.</t>
  </si>
  <si>
    <t>1.SR096295</t>
  </si>
  <si>
    <t xml:space="preserve">1.Site was tripped offline on battery mode from 12:45 to 13:30 on 02/07.
2.Three CT's of inverter 7 were RMA'd from 01/28. Received parts and need to dispatch.
</t>
  </si>
  <si>
    <t xml:space="preserve">1.SR096471
2.SR095513
</t>
  </si>
  <si>
    <t>SR095513</t>
  </si>
  <si>
    <t>1.Site was taken offline from 10:45 to 11:45 on 02/21 due to technicians checked in to collect DGA samples.
2.Site stopped communicating at 12PM on 02/22 and back online at 08:15 on 02/23 after technician reset main breaker and SEL relay.
3.Inverter 9 started late for production at 13:00 on 02/27 due to insulation Fault.</t>
  </si>
  <si>
    <t>1.SR097562
2.SR097648
3.SR097870</t>
  </si>
  <si>
    <t>SR097648</t>
  </si>
  <si>
    <t>SR097870</t>
  </si>
  <si>
    <t>1.On 02/26, the technician replaced CB 14's String 9 (faulty) and String 13 (open circuit).
2. Low generation due to rain/snow</t>
  </si>
  <si>
    <t>1.SR089923, SR090122</t>
  </si>
  <si>
    <t>SR090122</t>
  </si>
  <si>
    <t>1.Inverter 2 was offline since 12/19 and will remains offline until the ground is unfrozen.
2.Inverter 39 string 5 blew a fuse and requires underground wiring replacement. Work will be scheduled once the ground thaws.
3. Low generation due to rain/snow.</t>
  </si>
  <si>
    <t>1. SR093777,SR097797
2.SR094302, SR097796</t>
  </si>
  <si>
    <t>SR097797</t>
  </si>
  <si>
    <t>SR094302</t>
  </si>
  <si>
    <t>SR097796</t>
  </si>
  <si>
    <t>1.Inverter 49 was being RMA'D since 10/16/23.
2.Inverter 67 was being RMA'd.
3.Inverter 57 was being RMA'd.
4.Inverter 12 was offline intermittently whole month and being RMA'd.
5.Inverter 16 was offline since 11/13 due to Arc Protection and being RMA'd.
6.Inverter 66 is bearly producing due to protect 0260 fault from 01/30 and back to normal after technician replaced MC4 connectors that were causing arc fault on 02/04.
7.Inverter 21 was offline on 02/06 due to ARC Protection fault and back online at 11:45 on 02/07 after technician replaced blown DC fuse and fuse holders.
8.Inverter 24 has multiple trip events through out the month due to Insulation Resistance Low fault.
9.  Low generation due to rain/snow.</t>
  </si>
  <si>
    <t>1.SR088449
2.SR088450
3.SR091962
4.SR093117, SR097799
5.SR095816
6.SR096271
7.SR096370
8.SR097060</t>
  </si>
  <si>
    <t>SR088450</t>
  </si>
  <si>
    <t>SR091962</t>
  </si>
  <si>
    <t>SR093117</t>
  </si>
  <si>
    <t>SR097799</t>
  </si>
  <si>
    <t>SR095816</t>
  </si>
  <si>
    <t>SR096271</t>
  </si>
  <si>
    <t>SR096370</t>
  </si>
  <si>
    <t>SR097060</t>
  </si>
  <si>
    <t>1.Inverter 4 was offline on 02/27 due to Insulation resistance too low fault and resumed production at 13:40 on 02/28.</t>
  </si>
  <si>
    <t>1.SR097899</t>
  </si>
  <si>
    <t>1.Inverter 61 was being RMA'd from 01/22.
2.Inverter 67 was offline from 11:15 to 15:30 on 02/17 due to a grid over-frequency fault. On 02/26, it went offline again due to an insulation resistance low fault. The technician repaired broken MC4 connectors and cleared an arc fault, restoring the inverter online at 13:45 on 02/27.
3.On 02/24, Inverter 69 was offline due to an insulation resistance low fault. The technician repaired the jumper cable and ensured sufficient slack, restoring the inverter online at 14:30 on 02/24.
4.Inverter 50 was offline on 02/25 due to Insulation resistance low fault and back online at 13:15 on 02/26 after technician cleared the arc fault and repaired the bad MC4 connections.
5. Low generation due to rain/snow.</t>
  </si>
  <si>
    <t>1.SR095846, SR097795
2.SR097191
3.SR097690
4.SR097747</t>
  </si>
  <si>
    <t>SR097795</t>
  </si>
  <si>
    <t>SR097191</t>
  </si>
  <si>
    <t>SR097690</t>
  </si>
  <si>
    <t>SR097747</t>
  </si>
  <si>
    <t>1.Site was taken offline from 8:00 to 9:15 on 02/21. Technicians was onsite to collect DGA samples.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</si>
  <si>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1.SR097561
2. SR087370</t>
  </si>
  <si>
    <t>SR087370</t>
  </si>
  <si>
    <t>1. Inverter 13 was offline on 02/27 and back online on 02/28.
2.  Low generation due to rain/snow.</t>
  </si>
  <si>
    <t>1.SR097881</t>
  </si>
  <si>
    <t>1.Inverter 83 had a string 8 down since 11/27. It will be investigated during the next onsite visit.
2.Inverter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</si>
  <si>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1.SR093591, SR097798
2.SR095984
3.SR096108, SR097793</t>
  </si>
  <si>
    <t>SR097798</t>
  </si>
  <si>
    <t>SR095984</t>
  </si>
  <si>
    <t>SR096108</t>
  </si>
  <si>
    <t>SR097793</t>
  </si>
  <si>
    <t>1.Inverters on Pad 4 are all showing some ground/communication faults within the XGI portal from 02/11 and self resolved on 02/24.
2.On 2/20, Pad 1&amp;4 are showing active fault. Later pad 1 got self- resolved and Pad 4 was reset by CES.
3.On 02/20, the technician checked in to take DC measurements on Pad 4 but had to check out due to inclement weather. On 02/24, the technician returned to troubleshoot incorrect meter values for Pad 4 caused by damaged conductor insulation and a loose terminal jumper near the Verivolt IsoBlock. The technician repaired the damage, restored the connection, and confirmed correct voltage and amperage readings on the Pad 4 meter.
The technician also discovered that Pad 3's Power Limiting factor was set to 81.4% instead of 100%. With CES' approval, the setting was adjusted to 100%, increasing inverter output to 166kW. The technician then power cycled the Pad 3 Heila Controller and worked with CES to reset site mode settings, restoring automatic system dispatch. The technician monitored the site for 30 minutes to confirm normal operation.</t>
  </si>
  <si>
    <t>1.SR096680
2.SR097547
3.SR095262</t>
  </si>
  <si>
    <t>SR097547</t>
  </si>
  <si>
    <t>SR095262</t>
  </si>
  <si>
    <t>1.Inverter 32 was offline on 02/14 due to an ARC protection fault and came back online at 13:15 on 02/19 after a technician swapped the ARC board between Inverters 31 and 32 to check if the fault followed the board. Both inverters are online and producing.
2.Site tripped offline and was on battery mode at 11:00 on 02/17 and back online at 10:30 on 02/18 after technician closed the reclosure.
3. Low generation due to rain/snow.</t>
  </si>
  <si>
    <t>1.SR097066
2.SR097198</t>
  </si>
  <si>
    <t>SR097198</t>
  </si>
  <si>
    <t xml:space="preserve">1. Inverter 27 was tripped offline from 9AM to 10:45AM on 02/17 due to Grid voltage unbalance fault. 
2.All inverters tripped offline at 14:15 on 02/15 due to Grid voltage unbalance fault and back online on 02/16. Again all inverters tripped offline between 9:15 to 13:00 on 02/23 due to Grid voltage unbalance fault.
3. Inverter 18 was ofline since 12/08/24 due to floating capacitor high voltage. Will investigate next time onsite.
</t>
  </si>
  <si>
    <t>1.SR097182
2.SR097150
3. SR094254</t>
  </si>
  <si>
    <t>SR097150</t>
  </si>
  <si>
    <t>SR094254</t>
  </si>
  <si>
    <t xml:space="preserve">1.All inverters tripped offline at 14:15 on 02/15 due to Grid voltage unbalance fault and back online on 02/16. Again all inverters tripped offline between 9:15 to 13:00 on 02/23 due to Grid voltage unbalance fault.
</t>
  </si>
  <si>
    <t>1.SR097151</t>
  </si>
  <si>
    <t>1.Inverter 128 was not communicating since 12/07/24. Communications card has been RMA'd and will be replaced during a combined dispatch.
2.Inverter 84 was not communicating from 02/02, after tehnician powercycled inverter regained communication on 02/24 at 11:00AM.</t>
  </si>
  <si>
    <t>1.SR096051,SR097794
2.SR097657</t>
  </si>
  <si>
    <t>SR097794</t>
  </si>
  <si>
    <t>SR097657</t>
  </si>
  <si>
    <t>1. Site stopped communicating on 02/10 and power factors able to troubleshoot the issue and comms were restored on 02/.12.
2. Site tripped offline at 11:20AM on 02/17 and technician re-energized the site and it is back online on 02/18.</t>
  </si>
  <si>
    <t>1. SR096287
2. SR097195</t>
  </si>
  <si>
    <t>SR097195</t>
  </si>
  <si>
    <t>1. Inverter 13 was not communicating from 07/30/24, based on meter inverter was offline. The inverter was RMA'd by QE solar on 02/26.
2. Site tripped offline at 11:00AM ON 02/17. On 02/18 technician closed the recloser and site was back online at 8:50AM.
3. Site stopped communicating at 9:30PM on 02/25 and comms were restored on 02/26 after DAS powercycled.
4. Low generation due to weather/snow.</t>
  </si>
  <si>
    <t>1. SR096880
2. SR097194
3. SR097744</t>
  </si>
  <si>
    <t>SR097194</t>
  </si>
  <si>
    <t>SR097744</t>
  </si>
  <si>
    <t>1. Site stopped communicating on 02/01 and comms were restored on 02/04 after DAS powercycled.
2.  Site stopped communicating at 6:30PM on 02/25 and comms were restored on 02/26 after DAS powercycled.
3. Low generation due to weather/snow.</t>
  </si>
  <si>
    <t>1. SR096242
2. SR097809</t>
  </si>
  <si>
    <t>SR097809</t>
  </si>
  <si>
    <t>1. Site stopped commnicating at 11:25AM on 02/14. On 02/18 technician found recloser open position and closed back. The site back online on the same day.
2. Site stopped communicating at 1:20PM on 02/23. Valuses are struck for inverters 1 to 7. Site comms restored on 02/25 but inverter 5 remains offline. On 02/26 technician investigated the issue and inverter was being RMA'd. 
3. Low generation due to weather/snow.</t>
  </si>
  <si>
    <t>1. SR097148
2. SR097662</t>
  </si>
  <si>
    <t>SR097662</t>
  </si>
  <si>
    <t xml:space="preserve"> 1. Inverters 1 to 28 stopped communication at 07:00AM on 02/03, production can be verified at meter level. Communications were self resolved on 02/07
2. On 02/16, Phase A voltage dropped to 0V while current held steady at ~40A, indicating the meter wasn't capturing full inverter output. On 02/18, the technician found the recloser tripped and restored it, bringing Phase A voltage and current back to normal by 8:10 AM.
3. Inverter 7 tripped offline at 3:35PM on 02/14 and inverter 5 tripped offline at 1:55PM on 02/15.  On 02/18 technician cleared faults for both inverters, inverter 7 back online at 9:45AM but inverter 5 remains offline. On 02/21 techncian reset the inverter 5 and it is back online at 2:10PM on the sameday.
4. Inverter 5 tripped offline at 4:40PM on 02/21. On 02/24 technician found inverter reporting arc fault and he isolated the string 4 and inverter back online at 8:50AM on the same day.
5. Inverter 7 tripped offline at 9:40AM on 02/25. On 02/26 technician troubleshooted and cleared the fault, inverter back online at 3:40PM on the sameday.
6. Inverter 44 tripped offline at 14:40 due to "PF 100 production down" on 02/26. On 02/28 technician reset the inverter and it is back online at 2:00PM.
7. Low generation due to weather/snow.</t>
  </si>
  <si>
    <t>1. SR096270
2. SR097154
3. SR097154, SR097155, SR097338
4. SR097338, SR097654
5. SR097807
6. SR097851</t>
  </si>
  <si>
    <t>SR097154</t>
  </si>
  <si>
    <t>SR097155</t>
  </si>
  <si>
    <t>SR097338</t>
  </si>
  <si>
    <t>SR097654</t>
  </si>
  <si>
    <t>SR097807</t>
  </si>
  <si>
    <t>SR097851</t>
  </si>
  <si>
    <t>1. Combiner box 1.2(DCP-1)  is offline since 12/22/24. On 03/13 technician troubleshooted by plugging CT measurement wire and combiner box resumed communicating at 11:00AM.</t>
  </si>
  <si>
    <t>1. SR098455, SR095215</t>
  </si>
  <si>
    <t>SR095215</t>
  </si>
  <si>
    <t>NA</t>
  </si>
  <si>
    <t>1. Inverter 1 was experienced multiple tripping events in previous month due to bus differential high fault and solectria initiated an RMA. On 03/06 technician replaced inverter with a new one and it is started producing from 9:45AM on the same day.
2. Site tripped offline at 14:15 on 03/11 and back online after technician re-energizing at 17:15 on the same day.
3. The site had a brief outage between 14:40 to 15:03 on 03/22.</t>
  </si>
  <si>
    <t>1. SR097792
2. SR098395
3. SR098889</t>
  </si>
  <si>
    <t>SR098395</t>
  </si>
  <si>
    <t>SR098889</t>
  </si>
  <si>
    <t>1.Inverter 36 experienced late start and offline issues throughout the month. The inverter typically self-resolves on alternate days. On 03/21, a technician performed troubleshooting and brought the inverter back online.
2. The site had a brief outage between 14:40 to 15:03 on 03/22.</t>
  </si>
  <si>
    <t>1. SR096465
2. SR098890</t>
  </si>
  <si>
    <t>SR098890</t>
  </si>
  <si>
    <t>1. Site tripped offline at 23:45 on 03/06. On 03/08 after re-energize the site was back online at 10:30AM.
2. Site tripped offline at 12:30PM on 03/11. On 03/12 technician reset the main breaker and site back online at 9:00AM.
3. Site tripped offline at 9:30AM on 03/21 and later technician re-energized the site at 14:00 on the same day.
4. Site tripped offline at 6:15AM on 03/24. On 03/25 technician re-energized and it is back online at 10:15AM.
5. Inverter 5 started late for production at 12:30PM due to insulation fault on 03/31.</t>
  </si>
  <si>
    <t>1. SR098238
2. SR098398
3. SR098862
4. SR098926
5. SR099192</t>
  </si>
  <si>
    <t>SR098398</t>
  </si>
  <si>
    <t>SR098862</t>
  </si>
  <si>
    <t>SR098926</t>
  </si>
  <si>
    <t>SR099192</t>
  </si>
  <si>
    <t>1. Three CTs for Inverter 7 were RMA'd on 01/28. On 03/12, the site was offline from 11:00 AM to 12:30 PM as a technician was onsite replacing the three CTs for Inverter 7.</t>
  </si>
  <si>
    <t>1. SR095513</t>
  </si>
  <si>
    <t>1. Site stopped communicating at 18:30 on 03/28. On 03/29 technician found recloser in open state and phase A&amp;B are faulted. Technician cleared the fault and closed the recloser, site back online at 13:15 on same day.</t>
  </si>
  <si>
    <t>1. SR099128</t>
  </si>
  <si>
    <t>1. Inverter 2 was offline since 12/19 and will remains offline until the ground is unfrozen.
2. Inverter 24 started late for the production at 10:00AM on 03/06 due to insulation fault.
3. Inverter 38 stopped communicating at 1:30AM from 03/11. Will investigate while next time onsite.
4. Inverters 43, 47, and 59 were derated by 4–5 kW each starting at 10:30 AM on 03/12 due to excessive temperature. On 03/19, technician attempted to troubleshoot the issue, but it was unsuccessful, and SMA RMA’d the fans for these inverters. On 03/28, the technician replaced the fans, but the issue persisted. Further testing with SMA indicated a likely power supply failure in these inverters, and the powerheads have been RMA’d.</t>
  </si>
  <si>
    <t>1. SR097797
2. SR098200
3. SR098383
4. SR098407</t>
  </si>
  <si>
    <t>SR098200</t>
  </si>
  <si>
    <t>SR098383</t>
  </si>
  <si>
    <t>SR098407</t>
  </si>
  <si>
    <t>1.Inverter 49 was being RMA'D since 10/16/23.
2.Inverter 67 was being RMA'd.
3.Inverter 57 was being RMA'd.
4.Inverter 12 was being RMA'd.
5.Inverter 16 was offline since 11/13 due to Arc Protection and being RMA'd.
6. Inverter 24 experiencing tripping events since 02/14. On 03/04 technician troubleshooted the issue with solectria and issue has been resolved from 03/05.
7. Site was offline from 7:30AM to 10:45AM on 03/18 due to technician was onsite to collect transformer DGA samples.
8. Inverters 40 to 46 tripped offline at 1:45PM due to grid voltage out of range. On 03/12 technician swapped the leads with the breaaker and inverters back online at 10:4AM on the same day.
9. Inverter 37 was started late for the production at 10:45AM on 03/18 due to insulation fault.
10. Inverter 65 started late for the production at 15:00 on 03/20 due to Insuation resistance low.</t>
  </si>
  <si>
    <t>1. SR088450
2. SR088450
3.SR091962
4.SR093117, SR097799
5. SR095816
6. SR097060
7. SR097563
8. SR098396
9. SR098679
10. SR098821</t>
  </si>
  <si>
    <t>SR097563</t>
  </si>
  <si>
    <t>SR098396</t>
  </si>
  <si>
    <t>SR098679</t>
  </si>
  <si>
    <t>SR098821</t>
  </si>
  <si>
    <t>1. During morning hours weather station reporting low irradiance values. Working with Also energy and they are investigating.</t>
  </si>
  <si>
    <t>1. SR099616</t>
  </si>
  <si>
    <t>1.Inverter 61 was being RMA'd from 01/22.</t>
  </si>
  <si>
    <t>1. SR097795</t>
  </si>
  <si>
    <t>1. Site stopped communicating at 3:00AM on 03/07. Technician found recloser open and after a reset site was back online at 13:45 on the same day.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</si>
  <si>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SR098250
2. SR087370</t>
  </si>
  <si>
    <t>1.Inverter 13 experienced late start issues intermittently throughout the month.</t>
  </si>
  <si>
    <t>1. SR097881</t>
  </si>
  <si>
    <t>1. Inverter 49 did not start production on 01/26. The powerhead was being RMA'd since 01/29. On 03/04 technician replaced inverter 49 and it was back online at 14:45.
2. Inverter 42 was RMA'd since 02/26. On 03/04 technician replaced inverter and it is back online at 02:00PM.
3. The site was offline from 11:00AM to 13:45 due to technician was onsite for inverters 42 and 49 replacement on 03/04.
4. Inverter 83 had a string 8 down since 11/27. It will be investigated during the next onsite visit.</t>
  </si>
  <si>
    <t>1. SR095984
2. SR097793
3. SR097793, SR095984
4. SR093591, SR097798</t>
  </si>
  <si>
    <t>SR093591</t>
  </si>
  <si>
    <t>1. Site tripped offline at 14:00 on 03/07 and started for production on 03/08. As per Erik site was back online by reset from sandwich.
2. PAD 4 tripped offline at 17:30 on 03/11 and remained offline throughout the month. Interface board and DSP board need to be replaced.</t>
  </si>
  <si>
    <t>1. SR098286
2. SR098405</t>
  </si>
  <si>
    <t>SR098405</t>
  </si>
  <si>
    <t>1. Inverter 25 tripped offline at 14:45 on 03/02. On 03/03, a technician worked with Solectria support and removed the parallel bus bar to put the inverter in independent mode. The inverter came back online at 14:30 on the same day.
2. Site tripped offline at 1:00AM and later technician re-energized the site and it was back online at 8:00AM.
3. Inverter 32 tripped offline at 13:00 on 03/06 and back online at 6:30AM on 03/07 after a reset.</t>
  </si>
  <si>
    <t>1. SR097966
2. SR098186
3. SR098223</t>
  </si>
  <si>
    <t>SR098186</t>
  </si>
  <si>
    <t>SR098223</t>
  </si>
  <si>
    <t>1. Site tripped offline at 9:00AM and back online at 2:00PM due to utility outage on 03/10.</t>
  </si>
  <si>
    <t>1. SR098333</t>
  </si>
  <si>
    <t>1. Inverter 18 was ofline since 12/08/24 due to floating capacitor high voltage. Will investigate next time onsite.
2. Inverters 5,3 and 27 tripped offline at 15:20 due to Grid voltage unbalance. Inverters self resolved at 16:30 on 03/14.
3. Multiple inverters tripped offline due to Grid voltage unbalance at 13:30 on 03/08. Inveretrs self resolved at 16:00 on the sameday.
4. Inverter 27 tripped offline at 10:45AM and self-resolved back online at 16:00 on 03/09.
5. Multiple inverters tripped offline at 8:15 AM and self resolved at 11:00AM on 03/26.</t>
  </si>
  <si>
    <t>1. SR094254
2. SR095965
3. SR098301
4. SR098316
5. SR098993</t>
  </si>
  <si>
    <t>SR095965</t>
  </si>
  <si>
    <t>SR098301</t>
  </si>
  <si>
    <t>SR098316</t>
  </si>
  <si>
    <t>SR098993</t>
  </si>
  <si>
    <t>1.  Multiple inverters tripped offline due to Grid voltage unbalance at 13:30 on 03/08. Inveretrs self resolved at 16:00 on the sameday.</t>
  </si>
  <si>
    <t>1. SR098300</t>
  </si>
  <si>
    <t>1. Inverter 128 was not communicating since 12/07/24. Communications card has been RMA'd and will be replaced during a combined dispatch.
2. Site had brief outage in between 12:20PM to 12:25PM. But inverters 1 to 4, 42 and 104 was not came back online. Inverters self resolved and started for production on 03/08.
3. Inverters 1 to 55 stopped communicating at 12:45 on 03/14, production not confirmed. On 03/18 technician powercyled DAS and comms were restored.</t>
  </si>
  <si>
    <t>1. SR096051,SR097794, SR099300
2. SR098265
3. SR098601</t>
  </si>
  <si>
    <t>SR099300</t>
  </si>
  <si>
    <t>SR098265</t>
  </si>
  <si>
    <t>SR098601</t>
  </si>
  <si>
    <t>1. Site was offline on 03/06 and later technician found SEL in open position and closed it. The site was back online at 1:35PM on the sameday.</t>
  </si>
  <si>
    <t>1. SR098211</t>
  </si>
  <si>
    <t>1. Inverter 13 was not communicating from 07/30/24, based on meter inverter was offline. The inverter was RMA'd by QE solar on 02/26.
2.  Site was offline on 03/06 and later technician found SEL in open position and closed it. The site was back online at 12:25PM on the sameday.
3. Site lost communication on 03/18 and technician teoubleshooted the issue but comms issue persit. On 03/19 the site comms were back at 9:15AM.</t>
  </si>
  <si>
    <t>1. SR096880 
2. SR098203
3. SR098685</t>
  </si>
  <si>
    <t>SR098203</t>
  </si>
  <si>
    <t>SR098685</t>
  </si>
  <si>
    <t>1. Inverter 1 is not communicating since 03/01. On 03/06 technician investigated but issue persist. Solectria has recommended replacing the powerhead to regain communication.</t>
  </si>
  <si>
    <t>1. SR098182</t>
  </si>
  <si>
    <t>1. Inverter 5 was being RMA'd since 02/26. On 03/26 technician replaced inverter 5 and it is back online and producing.
2. Inverter 14 was underproducing by 5kW compared to its peers. Will investigate next time onsite.
3. Inverter 24 tripped offline at 7:30AM on 03/13. On 03/14 technician investigated and found inverter was faulted with protect 90 and it was being RMA'd by solectria.
4. Inverters and meter stopped communicating from 5:00PM on 03/14. On 03/16 technician found site was online but no communication. On 03/26 technician worked with powerfactors and communications were regained.</t>
  </si>
  <si>
    <t>1. SR097843
2. SR098468
3. SR098503
4. SR098604</t>
  </si>
  <si>
    <t>SR098468</t>
  </si>
  <si>
    <t>SR098503</t>
  </si>
  <si>
    <t>SR098604</t>
  </si>
  <si>
    <t>1. Inverters 25 and 38 tripped offline at 8:05 reporting "PF100-production down" on 03/06 and self resolved and started for production on 03/07.
2. Inverter 44 didn't started for production on 03/12. On 03/14 technician re-energized and inverter was back online on the sameday.
3. Site stopped communicating at 6:30PM on 03/16. On 03/18 tech powercycled DAS and communications were restored.</t>
  </si>
  <si>
    <t>1. SR098230
2. SR098492
3. SR099148</t>
  </si>
  <si>
    <t>SR098492</t>
  </si>
  <si>
    <t>SR099148</t>
  </si>
  <si>
    <t>April Actual v. Expected</t>
  </si>
  <si>
    <t>April Actual v. Forecasted</t>
  </si>
  <si>
    <t>1.Site was offline from 03:26 on 04/16 to 09:15 on 04/17.Site was back online  after the technician has Reset the SEL and closed in the Recloser.</t>
  </si>
  <si>
    <t>1.SR099883</t>
  </si>
  <si>
    <t>1.Inverter 34 was offline from 04/01 to 13:15 on 04/02 and inverter was offline again on 04/03. On 04/04, a technician visited the site, noted that further troubleshooting is required, and confirmed the inverter is being RMAD.On 04/15 ,technicians swapped inverter 34 and it is back online at 11:30 on 04/15.
2.Inverter 13 was offline from 04/01. On 04/15, a technician visited the site and conducted troubleshooting in coordination with Solectria and advised that a firmware upgrade is necessary to proceed.Additional troubleshooting is required
3.Inverter 30 was offline from 04/09.On 04/14, a technician upon contacting Solectria, mentioned that inverter will remain offline and it was being RMA'D from 04/14.On 04/18,technician replaced rma'd inverter 30, new inverter is online and operating from 04/18.
4.Inverter 12 tripped offline at 14:45 on 04/18 due to an arc fault. The issue was cleared by a technician on 04/21, and the inverter was back online at 15:00 on 04/21
5.Inverter 1 is derating by 6kW from 14:00 on 04/19 due to an external fan error Additionally, inverter 7 is derated to 22 kW from 12:30 ,both issues got self resolved on 04/20</t>
  </si>
  <si>
    <t>1.SR099262,SR099397,SR100147
2.SR099306,SR100148
3.SR099586,SR099921
4.SR099998
5.SR100023</t>
  </si>
  <si>
    <t>SR099397</t>
  </si>
  <si>
    <t>SR100147</t>
  </si>
  <si>
    <t>SR099306</t>
  </si>
  <si>
    <t>SR100148</t>
  </si>
  <si>
    <t>SR099586</t>
  </si>
  <si>
    <t>SR099921</t>
  </si>
  <si>
    <t>SR099998</t>
  </si>
  <si>
    <t>SR100023</t>
  </si>
  <si>
    <t>1.Inverter 55 derated to 24 kW starting at 12:30 on 04/19. On 04/20, a technician visited the site and noted that a higher PV output day is required to perform effective troubleshooting</t>
  </si>
  <si>
    <t>1.SR100021</t>
  </si>
  <si>
    <t>1. Inverter 9 is underperforming approximately 12kW and Inverter 9 tripped offline at 09:45 on 04/29,technician contacted solectria team and confirmed that it will need 3 CTS to bring back the inverter online</t>
  </si>
  <si>
    <t>1.SR100605,SR100633</t>
  </si>
  <si>
    <t>SR100633</t>
  </si>
  <si>
    <t>1.Site  remained offline from 00:15 to 09:45 on 04/16.Site was back online after technician closed the breaker</t>
  </si>
  <si>
    <t>1.SR099859</t>
  </si>
  <si>
    <t>1. Inverter 2 was offline since 12/19 and will remains offline until the ground is unfrozen.
2. Inverter 24 started late for the production on 04/03 , 04/22  and 04/26  due to insulation fault.
3. Inverter 38 stopped communicating at 1:30AM from 03/11. Will investigate while next time onsite.
4. Inverters 43, 47, and 59 were derated by 4–5 kW each starting at 10:30 AM on 03/12,  due to high temperatures. On 03/19, a technician attempted to troubleshoot the issue but was unsuccessful, and SMA issued RMAs for the fans. The fans were replaced on 03/28, but the issue persisted. Further testing with SMA indicated likely power supply failures, and the powerheads were RMA’d. On 04/02, the technician replaced the RMA’d units for INV 59 and INV 47; production and communication were successfully verified through SMA and AlsoEnergy. INV 43 was also replaced, but the replacement unit had a faulty communications hard drive. It was swapped with the original unit’s drive, and production and communication were verified through SMA and AlsoEnergy
5. Inverter 39 is underperforming 3kW compared to its peers.</t>
  </si>
  <si>
    <t>1. SR097797
2. SR098200
3. SR098383
4. SR098407, SR100146
5. SR099765</t>
  </si>
  <si>
    <t>SR100146</t>
  </si>
  <si>
    <t>SR099765</t>
  </si>
  <si>
    <t>1.Inverter 49 was being RMA'D since 10/16/23.
2.Inverter 67 was being RMA'd.
3.Inverter 57 was being RMA'd.
4.Inverter 12 was being RMA'd.
5.Inverter 16 was offline since 11/13 due to Arc Protection and being RMA'd.
6. Inverter 65 started late for the production on 04/01 , 04/04  due to Insuation resistance low.
7. Inverter 56 modules are being undergoing replacment.
8. Inverter 46 had a delayed start on 04/08 . It tripped offline at 10:00 on 04/12  due to "Insulation Resistance Low," came back online at 11:00  on 04/14 , then tripped again at 13:45  on 04/26  with the same fault and returned online at 14:00 on 04/27 
9. Inverter 8 having multiple tripping events on 04/03  and  04/22 .</t>
  </si>
  <si>
    <t>1. SR088449
2. SR088450
3.SR091962
4.SR093117, SR097799
5. SR095816
6. SR098821
7. SR099331
8. SR099519
9. SR100159</t>
  </si>
  <si>
    <t>SR099331</t>
  </si>
  <si>
    <t>SR099519</t>
  </si>
  <si>
    <t>SR100159</t>
  </si>
  <si>
    <t>1. During the morning hours, the weather station has been reporting low irradiance values. We are currently working with AlsoEnergy, and they are investigating the issue.</t>
  </si>
  <si>
    <t>1. The site tripped offline at 08:15 on 04/26 due to the "No AC voltage". After the technician arrived and opened the control cabinet of the Vista switch, it was found that the SEL relay had opened and tripped. Later, the technician closed the relay, and power was restored. The site is back online at 11:45 on 04/26.
2. Inverter 61 was being RMA'd from 01/22.</t>
  </si>
  <si>
    <t xml:space="preserve">1. SR100436
2. SR097795
</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</si>
  <si>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</si>
  <si>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SR087370</t>
  </si>
  <si>
    <t xml:space="preserve">1.Inverter 16 tripped offline from 12:00 to 13:15 on 04/13 and later self-resolved.
2. The site was taken offline from 10:30 to 12:30 on 04/15 as the technician opened the recloser to isolate both transformers and later took DGA samples.
3. The site was offline at 14:00 on 04/22. When the technician arrived, he found that the recloser had tripped. After the technician reclosed the relay, the site came back online at 10:30 on 04/24.
4. Inverter 13 experienced late start issues intermittently throughout the month.
</t>
  </si>
  <si>
    <t>1. SR099745
2. SR097560
3. SR100184
4. SR097881</t>
  </si>
  <si>
    <t>SR097560</t>
  </si>
  <si>
    <t>SR100184</t>
  </si>
  <si>
    <t>SR097881</t>
  </si>
  <si>
    <t xml:space="preserve">1.Inverter 2 tripped offline at 09:45 on 04/18 and remained offline throughout the month. When the technician arrived on-site on 04/24, they stated that they would attempt to update the firmware remotely. Since that did not resolve the issue, they initiated an RMA for the inverter.
2. Inverter 9 tripped offline at 10:30 on 04/23 and came back online at 09:15 on 04/24. Additionally, inverters 33 and 37 tripped offline at 11:00 on 04/23. When the technician arrived on-site, he tested the AC and DC voltages, which appeared normal. Later, the inverters came back online at 05:45 on 04/24.
3. Inverters 81 and 83 were derating at 40 kW and reporting the alarm "External Fan Err - ExtFanerr." After the technician arrived on-site on 04  and completed the PM inspection for the day, they worked on inverters 81 and 83. The technician found blocked fans on both inverters, restored inverter 83 to full operation, and initiated an RMA for the fan on inverter 81.
</t>
  </si>
  <si>
    <t xml:space="preserve">1. SR099993, SR100279, SR100391
2. SR100230
3. SR100353
</t>
  </si>
  <si>
    <t>SR100279</t>
  </si>
  <si>
    <t>SR100391</t>
  </si>
  <si>
    <t>SR100230</t>
  </si>
  <si>
    <t>SR100353</t>
  </si>
  <si>
    <t>1.  PAD 4 tripped offline at 17:30 on 03/11 and remained offline throughout the month. Interface board and DSP board need to be replaced.
2. HEILA BESS controller 2 has tripped offline at 16:15 on 04/15 and later CES has reset the pad 2 on 04/16 at 07:00.
3. Pad 3 is in charging from clipped solar and running at a reduced capability state from 04/21
4.BESS Pad 3 has tripped offline on 04/08, on 04/29 technician noted that Module 5 battery needs to be discharged to at least 73V DC.</t>
  </si>
  <si>
    <t>1. SR098405
2.SR099855
3.SR100063
4.SR100358</t>
  </si>
  <si>
    <t>SR099855</t>
  </si>
  <si>
    <t>SR100063</t>
  </si>
  <si>
    <t>SR100358</t>
  </si>
  <si>
    <t>1. Site tripped offline at 08:15 on 04/26 due to no AC voltage and later technician reenergized the site. Site is back online at 12:15 on 04/26.</t>
  </si>
  <si>
    <t>1. SR100435</t>
  </si>
  <si>
    <t>1. Site tripped offline at 8:15 on 04/26 and later back online by auto reclose at 10:00 on 04/26.
2. Inverter 2 was offline on 04/27 and later back online on 04/28.
3. Inverter 1 was deenrgized at 10:45 and later reernergized at 15:15 due to technician on site.</t>
  </si>
  <si>
    <t>1.SR100437
2.SR100463
3. PM8093</t>
  </si>
  <si>
    <t>SR100463</t>
  </si>
  <si>
    <t xml:space="preserve">1. The site tripped offline at 08:50 on 04/20 due to a main breaker trip. A technician later closed the relay on site on 04/21, and the site came back online at 09:45 on 04/21.
2. Site tripped offline at 00:30 on 04/28 due to utility outage and later utility outage has been resolved and site is back online at 01:15 on 04/28.
</t>
  </si>
  <si>
    <t>1.SR100033
2.SR100475</t>
  </si>
  <si>
    <t>SR100475</t>
  </si>
  <si>
    <t>1.Inverter 18 was ofline since 12/08/24 due to floating capacitor high voltage. Will investigate next time onsite.</t>
  </si>
  <si>
    <t>1.	SR094254</t>
  </si>
  <si>
    <t>1. Pad 1 tripped offline at 08:00 on 04/04.On 04/09, a technician closed the relay and pad 1 was back online at 09:00 on 04/009
2. Inverters 24 and 114 are derating by 16kW each compared to its peers throughout the month</t>
  </si>
  <si>
    <t>1.SR099534
2.SR101357</t>
  </si>
  <si>
    <t>SR101357</t>
  </si>
  <si>
    <t>1. Inverter 4 has been offline since 04/19  due to an arc fault. On 04/21 , the technician checked AC/DC voltages and found no issues. In the field, a damaged panel on String 6 was identified as the likely cause. The technician bypassed the panel and cleared the fault brought back online at 09:00 the same day.
2. Site tripped offline at 08:10 on 04/26  due to "Grid line voltage out of range." Upon arrival, the technician found the SEL relay in the OPEN position. After confirming it was safe, the relay was closed at the SEL control board. Power was restored, and the site is back online at 13:00 the same day.</t>
  </si>
  <si>
    <t>1. SR100018
2. SR100440</t>
  </si>
  <si>
    <t>SR100440</t>
  </si>
  <si>
    <t>1. Site was offline at 08:10 on 04/26 due to the grid line voltage out of range. A technician closed the relay, and the site came back online at 13:00 on 04/26.
2. Inverter 4 was offline from 04/30 due to Problem with energy production.</t>
  </si>
  <si>
    <t>1.SR100441
2.SR100710</t>
  </si>
  <si>
    <t>SR100710</t>
  </si>
  <si>
    <t>1. Inverter 14 was underproducing by 5kW compared to its peers. Will investigate next time onsite.
2. Inverter 24 offline on 04/30 due to "Bus(sum) Over Voltage Fault (Fault0130)" and remained offline through the month. Powerhead replacement is required to bring it back online.
3. Site stopped communicating at 13:00 on 04/05. On 04/06, the technician found the site was producing power but not communicating with Powerdash. The DIGI modem had no cell signal. Power cycling did not restore signal. After contacting Powerdash support, the technician removed the unused external antenna, checked the connector, and repositioned the internal antenna away from the metal enclosure. The SIM card was reinserted and the modem power cycled again, restoring signal to 3/5 bars. Powerdash confirmed all equipment was back online and stated that if the issue reoccures, they will provide an external antenna replacement.
4.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5. Site has 4 meters; 2 record the bulk of production. RGM 1 is reporting 0 kW, and RGM 2 is showing low production.</t>
  </si>
  <si>
    <t>1. SR098468
2. SR098503, SR099298
3. SR099438
4. SR099815, SR099920
5. SR101029</t>
  </si>
  <si>
    <t>SR099298</t>
  </si>
  <si>
    <t>SR099438</t>
  </si>
  <si>
    <t>SR099815</t>
  </si>
  <si>
    <t>SR099920</t>
  </si>
  <si>
    <t>SR101029</t>
  </si>
  <si>
    <t>1. Site tripped offline on 04/22 at 11:00 AM due to equipment fault and critical alarm. Technician confirmed utility power was present and found the customer recloser open. No breakers were tripped, and it was safe to re-energize. The technician closed the recloser, and equipment came back online. Communications and production were confirmed by the Ameresco monitoring team. Site was restored at 16:00 the same day
2. Site stopped communicating at 06:00 on 04/12. On 04/15, the technician found the entire site offline with no visible damage. The site recloser was closed, and the site was back online by 12:00 PM, producing and communicating normally. It is recommended to replace the 5-year-old recloser batteries and perform a full site inspection.
3. Inverter 38 tripped offline at 8:05am on 04/03 due to an PF100 Production Down and resumed production at 5:30pm 04/04.</t>
  </si>
  <si>
    <t>1. SR100140
2. SR099806
3. SR099359</t>
  </si>
  <si>
    <t>SR099806</t>
  </si>
  <si>
    <t>SR099359</t>
  </si>
  <si>
    <t>May Actual v. Expected</t>
  </si>
  <si>
    <t>May Actual v. Forecasted</t>
  </si>
  <si>
    <t>1.Site tripped offline at 15:40 on 05/03 and later self resolved and  back online at 16:15 on the same  day
2.Combiner box DCP 1.16 is offline from 05/13 and back online at 11:15 on 05/14 after technician has reset the combiner box. Issue reocurred on 05/15.On 05/20,technician  found Combiner 16 was producing but continues to read erroneous values. This is indicating a faulty CT in the recombiner that would need further troubleshooting or replacement.
3. Site was offline from 09:00 to 11:00 on 05/20 as technicians were on site for preventive maintanance</t>
  </si>
  <si>
    <t>1.SR100967
2.SR101378,SR101504
3.SR101739,PM8010</t>
  </si>
  <si>
    <t>SR101378</t>
  </si>
  <si>
    <t>SR101504</t>
  </si>
  <si>
    <t>SR101739</t>
  </si>
  <si>
    <t>1.The weather station's module and ambient temperature readings have been stuck at 184.95°F and 120°F, respectively, since 05/02.Dispatch has been scheduled for the following month.
2. Inverter 15 tripped offline at 9:45 on 05/30  due to grid voltage imbalance and remained offline for rest of the  month.Dispatch has been scheduled for the following month.
3.Site was offline from 09:28 to 09:50 on 05/23</t>
  </si>
  <si>
    <t>1.SR101404
2.SR102179</t>
  </si>
  <si>
    <t>SR102179</t>
  </si>
  <si>
    <t>1.Inverter 1 was derating at 40 kW since 05/02 due to an external fan fault. During a site visit on 05/08, the technician confirmed the fan was non-operational and indicated that further troubleshooting is necessary
2. Inverter 12 tripped offline at 10:00 on 05/27 and back online at 13:15 on 05/29 inverter back online after technician coordinated with Solectria for troubleshooting, during which the arc fault was cleared.
3.Inverter 18 was derating by 20kW from 05/28 due to external fan fault.Dispatch has been scheduled for the following month.
4.Inverter 26 was derated constantly at 40kW and due to External fan fault on 05/07.Issue got resolved on 05/08  after technician cleared the fan faults</t>
  </si>
  <si>
    <t>1.SR100943
2.SR101960
3.SR102051
4.SR101111</t>
  </si>
  <si>
    <t>SR101960</t>
  </si>
  <si>
    <t>SR102051</t>
  </si>
  <si>
    <t>SR101111</t>
  </si>
  <si>
    <t>1.Site tripped offline at 15:40 on 05/03 and back online at 10:15 on 05/05.Site was back online after technician has reset and closed in the main AC breaker.</t>
  </si>
  <si>
    <t>1.SR100968</t>
  </si>
  <si>
    <t xml:space="preserve">1.Inverter 9 has been offline since 05/01. During a site visit on 04/30, the technician attempted a replacement, but the unit faulted again. The inverter will remain offline until the necessary parts are procured
2.Inverter 12 is underproducing by about 12kw since 5/13.Dispatch has been scheduled for the following month.
</t>
  </si>
  <si>
    <t>1.SR100633
2.SR102083</t>
  </si>
  <si>
    <t>SR102083</t>
  </si>
  <si>
    <t xml:space="preserve">1.Site was offline from 09:28 on 05/23 to 14:15 on 05/24 as technicians were on site for preventive maintanance
</t>
  </si>
  <si>
    <t xml:space="preserve">1.PM8112 </t>
  </si>
  <si>
    <t>1.low production/generation due to rain on 05/05,05/06 and 05/09</t>
  </si>
  <si>
    <t>1.Inverter 39 is underproducing by about 5 kW .Dispatch scheduled in the following month
2. Inverter 24 was offline for most of the days of the month and often starts late
3.Inveters  1, 2, 6, 8, 22, 35, 38, 44, 46, 48, 49, 50, 51, 52 tripped offline at 14:45  on 05/31 with arc faults.Dispatch has been scheduled for the following month.</t>
  </si>
  <si>
    <t>1.SR099765
2.SR101869
3.SR102226</t>
  </si>
  <si>
    <t>SR101869</t>
  </si>
  <si>
    <t>SR102226</t>
  </si>
  <si>
    <t>1.Inverter 49 was being RMA'D since 10/16/23.
2.Inverter 67 was being RMA'd.
3.Inverter 57 was being RMA'd.
4.Inverter 12 was being RMA'd.
5.Inverter 16 was offline since 11/13 due to Arc Protection and being RMA'd.
6.Technicians resumed delamination checks from Row 18, marking Rows 19–23 with 2,111 faulty modules logged. Additional visits are needed to complete the field.
7.Inverters  30, 46 and 64 started late for production at 10:50 on 05/04 ,later self resolved.
8. Inverter 9 and 46 were offline on 05/06 to 14:30 on 05/07 due to isolation fault.Issue got self resolved</t>
  </si>
  <si>
    <t xml:space="preserve">1.SR088449
2.SR088450,SR102089
3.SR091962
4.SR097799,SR093117
5.SR095816
6.SR099331,SR101423
7.SR100982
8.SR101104
</t>
  </si>
  <si>
    <t>SR102089</t>
  </si>
  <si>
    <t>SR101423</t>
  </si>
  <si>
    <t>SR100982</t>
  </si>
  <si>
    <t>SR101104</t>
  </si>
  <si>
    <t xml:space="preserve">1.The weather station has been reporting very low values from morning to midday from 02/28/25.On 05/14,technician found sensor had fallen down and reattached.Weather station issue was resolved since then.
2.Inverter 2 is derated and constantly producing 200kW from 05/08.On 05/14,issue got resolved after technician has troubleshoot the isssue.
</t>
  </si>
  <si>
    <t xml:space="preserve">1.SR099616
2.SR101178
</t>
  </si>
  <si>
    <t>SR101178</t>
  </si>
  <si>
    <t>1.Inverter 4 was offline from 05/06 to 10:50 on 05/07 .Inverter 4 was back online after technician has completed the troubleshooting.Additionally ,Inverter 4 has a history of late start ups throughout the month.</t>
  </si>
  <si>
    <t>1.SR101062</t>
  </si>
  <si>
    <t xml:space="preserve">1.Site production was low on 05/05 and 05/06 due to rain </t>
  </si>
  <si>
    <t>1.Inverter 69 was offline from 12:40 to 13:15 on 05/25 due to PV abnormal input.</t>
  </si>
  <si>
    <t>1.SR101921</t>
  </si>
  <si>
    <t>1.SR087370</t>
  </si>
  <si>
    <t xml:space="preserve">1.Inverter 13 was being offline for alternate days throughout the month.On 05/13,technician found Inverter was faulted with isolation fault and technician spoke with sungrow support and they stated the problem is in the array .On 05/21,technician tried to troubleshoot but failed and intiated  RMA'D from 05/21
2.Inverter 9 was started late for production at 15:15 on 05/06 .issue got self resolved.Inverter is  having history of late startups
3.Multiple inverters experienced brief production drops on 05/21 and 05/23 while technicians were onsite performing preventive maintenance </t>
  </si>
  <si>
    <t>1.SR101031,PM8011
2.SR101061
3.PM8011</t>
  </si>
  <si>
    <t>SR101061</t>
  </si>
  <si>
    <t>1. Inverters 81 and 83 were derating at 40 kW due to an external fan fault since 04/24. On 05/07, the technician replaced the fan for Inverter 81 and the power head for Inverter 2. All inverters resumed normal production from 11:00 the same day</t>
  </si>
  <si>
    <t>1.SR100353, 	SR101879</t>
  </si>
  <si>
    <t>SR101879</t>
  </si>
  <si>
    <t>1. BESS Pad 3 has tripped offline on 04/08, on 04/29 technician noted that Module 5 battery needs to be discharged to at least 73V DC.
2. HEILA BESS controller 4 tripped offline at 10:45am on 05/18. and later self resolved and back online at 07:00 on 05/19.</t>
  </si>
  <si>
    <t>1. SR100358
2. SR101648</t>
  </si>
  <si>
    <t>SR101648</t>
  </si>
  <si>
    <t>1. Inverter 17 tripped offline at 08:00 on 05/26, reporting "Insulation Resistance Low - IsolationErr." A technician later checked the site and replaced the damaged MC4 connector. The inverter was back online at 13:00 on 05/27.</t>
  </si>
  <si>
    <t>1. SR101935</t>
  </si>
  <si>
    <t>1. Inverter R 2-2 tripped offline at 07:00 on 05/25, reporting a Bus (sum) overvoltage fault. A technician inspected the site on 05/27, and the inverter was left offline. It will be RMA'd.</t>
  </si>
  <si>
    <t>1. SR101916</t>
  </si>
  <si>
    <t>1.  Inverters 13 and 25 trippped offline at 07:00 on 05/21 and Later self resolved and back online at 17:30 on 05/21.</t>
  </si>
  <si>
    <t>1. SR101787</t>
  </si>
  <si>
    <t>1.Inverter 18 was ofline since 12/08/24 due to floating capacitor high voltage. Will investigate next time onsite.
2.  Inverters 2, 5, 8, 14, 15, 19, 23, 27, 3, 17, 22 have tripped offline at 17:15 on 05/05 due to "Grid voltage imbalance". Later self resolved and back online at 19:15  on 05/05.
3. Inverters 4, 16, 31 and 32  tripped offline at 08:30 on 05/06  Later self resolved and back online at 09:00 on 05/06.
4. All inverters except Inverters 7, 20, 21 have tripped offline at 19:30 on 05/27 and reporting "Grid voltage unbalance"and Later self resolved and back online at 07:45 on 05/28.</t>
  </si>
  <si>
    <t>1. SR094254
2. SR101041
3. SR101051
4. SR102009</t>
  </si>
  <si>
    <t>SR101041</t>
  </si>
  <si>
    <t>SR101051</t>
  </si>
  <si>
    <t>SR102009</t>
  </si>
  <si>
    <t>1. Inverters 1 and 24 are tripped offline at 17:15 05/05 and reporting " Grid voltage Unbalance" and later self resolved are back online at 19:15 on 05/05.
2.  Inverters 1, 6, 8, 11, 13, 17, 20, 22, 23, 24, 28 have tripped offline at 19:30 on 05/27and reporting "Grid voltage unbalance" and later self resolved and  all inverters back online on 05/28.</t>
  </si>
  <si>
    <t>1. SR101042
2. SR102010</t>
  </si>
  <si>
    <t>SR102010</t>
  </si>
  <si>
    <t>1. Site was offline from 07:00 on 05/03 due to a "Grid line voltage out of range (GridV.OutLim)" fault and was restored at 14:00 on 05/06 after the technician re-energized the breaker.
2. Inverter 18 went offline at 13:00 on 05/06 due to "Low insulation resistance" and was back online at 16:10 the same day
3. Inverter 134 was offline from 05/09 due to a "Bus imbalance fault" and was back online at 17:00 on 05/15 after the technician troubleshot and re-energized it. Additionally, the communication card for Inverter 128 was replaced, but further troubleshooting is needed to restore communication.
4. Inverters 24 and 114 are derating by 16kW each compared to its peers.
5. Site tripped offline at 10:00 on 05/30 and was back online at 15:00 on 05/31 after the technician re-energized it by closing the SEL.</t>
  </si>
  <si>
    <t>1. SR100988
2. SR101074
3. SR101231
4. SR101357
5. SR102183</t>
  </si>
  <si>
    <t>SR101074</t>
  </si>
  <si>
    <t>SR101231</t>
  </si>
  <si>
    <t>SR102183</t>
  </si>
  <si>
    <t>1. Inverter 4 tripped offline at 16:00 on 05/24 due to an arc fault. A technician checked the site on 05/27 and re-energized the inverter after bypassing a module on string 4.8. The inverter was back online at 15:00 on 05/27.</t>
  </si>
  <si>
    <t>1. SR101920</t>
  </si>
  <si>
    <t>1. Inverter 4 back online at 06:00 on 05/01.
2. Site was offline from 06:00 on 05/15 and on 05/16, the  technician reset and re-close the site recloser and the site back online at 07:00 the same day.</t>
  </si>
  <si>
    <t>1. SR100710
2. SR101508</t>
  </si>
  <si>
    <t>SR101508</t>
  </si>
  <si>
    <t>1. Inverter 14 was underproducing by 5kW compared to its peers. Will investigate next time onsite.
2. Inverter 24 back online on 05/01 and inverter being RMA'd.
3.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4. Site has 4 meters; 2 record the bulk of production. RGM 1 is reporting 0 kW, and RGM 2 is showing low production.</t>
  </si>
  <si>
    <t>1. SR098468
2. SR099298
3. SR099815, SR099920
4. SR101029</t>
  </si>
  <si>
    <t>1.Inverter 36 stopped communicating at 10:00 on 05/26, possibly due to an onsite communication issue and a device fault. On 05/28, the technician inspected the unit and found a failed communication board. The board was replaced using a spare from stock, and the inverter was brought back online at 10:00 the same day.
2. Inverter 51 offline on 05/31 due to an "Insulation resistance is low".</t>
  </si>
  <si>
    <t>1. SR101985
2. SR102231</t>
  </si>
  <si>
    <t>SR102231</t>
  </si>
  <si>
    <t>June Actual v. Expected</t>
  </si>
  <si>
    <t>June Actual v. Forecasted</t>
  </si>
  <si>
    <t>1.Combiner box 1.15(DCP - 12) tripped offline at 14:15 on 06/09 and offline through out the month</t>
  </si>
  <si>
    <t>1.SR102739</t>
  </si>
  <si>
    <t>1.  Weather station module temperature and ambient temperature are stuck reading at 184.95 and 120 degrees Fahrenheit since 5/2. On 06/03 both sensors were RMA'd.
2. Inverter 15 tripped offline at 9:45AM on 05/30 and back online on 06/03.</t>
  </si>
  <si>
    <t>1. SR101404
2. SR102179</t>
  </si>
  <si>
    <t>1. Inverter 18 was derating by 20kW since 05/28, on 06/02 the fan was RMA'd.
2. Inverter 1 was derated to 40kW since 05/02 and on 06/02 the fan was RMA'd.</t>
  </si>
  <si>
    <t>1. SR102051
2. SR100943</t>
  </si>
  <si>
    <t>SR100943</t>
  </si>
  <si>
    <t xml:space="preserve">1. Inverter 12 was underproducing by 12kW  since 05/13 . Will need to investigate next time onsite.
2. Inverter 6 tripped offline at 11:51AM due to High frequency fault and back online at 13:15 on 06/09.
</t>
  </si>
  <si>
    <t>1. SR102083
2. SR102609</t>
  </si>
  <si>
    <t>SR102609</t>
  </si>
  <si>
    <t>1. Site stopped communication at 8:30 on 06/20. On 06/21 and site was re-energized.</t>
  </si>
  <si>
    <t>1. SR103213</t>
  </si>
  <si>
    <t>1. Inverter 53 didn't started for production on 06/15 and self-resolved  on 06/16. On 06/17 inverter started late for production at 17:45.</t>
  </si>
  <si>
    <t>1. SR102994</t>
  </si>
  <si>
    <t>1. Inverter 6 tripped offline at 14:20 due to "Grid Relay protection" fault and inverterwas RMA'd on 06/30.</t>
  </si>
  <si>
    <t>1. SR103728</t>
  </si>
  <si>
    <t>1. Inverter 1 tripped offline due to ARC fault at 16:00 on 06/24 and was RMA'd on 06/27.</t>
  </si>
  <si>
    <t>1. SR103462</t>
  </si>
  <si>
    <t>1. Site stopped communications at 15:45 on 06/10 and on 06/12 the site was re-energized.
2. Inverter 16 didn't started for production on 06/03 and on it was RMA'd on 06/12.</t>
  </si>
  <si>
    <t>1. SR102793
2. SR102374</t>
  </si>
  <si>
    <t>SR102374</t>
  </si>
  <si>
    <t>1. All 4 SKIDS tripped offline at 9:15 on 06/14 and back online on 06/18.
2. Helia Bess controller 1 tripped offline at 11:45 and self -resolved at 12:15 on 06/22.
3. Site tripped offline at 9:25 on 06/25 and back online on the same day after CES reset them.</t>
  </si>
  <si>
    <t>1. SR102978
2. SR103272
3. SR103522</t>
  </si>
  <si>
    <t>SR103272</t>
  </si>
  <si>
    <t>SR103522</t>
  </si>
  <si>
    <t xml:space="preserve"> </t>
  </si>
  <si>
    <t>1. Inverter 38 tripped offline at 14:30 due to Islanding fault on 06/04 and remained offline throughout the month.
2. Inverter 8 tripped offline at 15:15 on 06/23 due to Islanding fault and remained offline throughout the month.
3. Site tripped offline at 13:00 on 06/30 and back online at 13:30 on the sameday.
4. Inverter 37 tripped offline at 13:15 on 06/30.</t>
  </si>
  <si>
    <t>1. SR102471
2. SR103328
3. SR103767
4. SR103780</t>
  </si>
  <si>
    <t>SR103328</t>
  </si>
  <si>
    <t>SR103767</t>
  </si>
  <si>
    <t>SR103780</t>
  </si>
  <si>
    <t>1. Multiple inverters tripped offline at 8:47 due to "Grid voltage unbalance" fault and self -resolved at 10:30 on the same day.</t>
  </si>
  <si>
    <t>1. SR102985</t>
  </si>
  <si>
    <t>1. Site tripped offline at 11 on 06/02 and back online on 06/03.
2. Inverter 34 was derating by 16kW and inverters 34,42,83,85,113 are producing low 10kW each compared to its peer inverters. On 06/06 fuses were replaced for each inverter.
3. Site tripped offline at 13:00 on 06/14 and re-energized on 06/15.</t>
  </si>
  <si>
    <t>1. SR102294
2. SR102555
3. SR102977</t>
  </si>
  <si>
    <t>SR102555</t>
  </si>
  <si>
    <t>SR102977</t>
  </si>
  <si>
    <t>1. Inverter 4 was didn't started for production on multiple days throughout the month self-resolving on alterante days.</t>
  </si>
  <si>
    <t>1. SR102764</t>
  </si>
  <si>
    <t>1. Inverter 14 is underperforming by about 5kw. Will investigate next time onsite
2. Inverter 5 tripped offline at 9:25 on 06/25 and back online on 06/27, additionally screen was RMA'd.</t>
  </si>
  <si>
    <t>1. SR098468
2. SR103531</t>
  </si>
  <si>
    <t>SR103531</t>
  </si>
  <si>
    <t>1. Inverter 51 was offline on 05/31 and back online at 15:15 on 06/01.</t>
  </si>
  <si>
    <t>1. SR102231</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</si>
  <si>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</si>
  <si>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</si>
  <si>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</si>
  <si>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</si>
  <si>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</si>
  <si>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</si>
  <si>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</si>
  <si>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</si>
  <si>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</si>
  <si>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</si>
  <si>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</si>
  <si>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</si>
  <si>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</si>
  <si>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</si>
  <si>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</si>
  <si>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</si>
  <si>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</si>
  <si>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</si>
  <si>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</si>
  <si>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</si>
  <si>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</si>
  <si>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</si>
  <si>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</si>
  <si>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</si>
  <si>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</si>
  <si>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</si>
  <si>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</si>
  <si>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</si>
  <si>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</si>
  <si>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</si>
  <si>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</si>
  <si>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</si>
  <si>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</si>
  <si>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</si>
  <si>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</si>
  <si>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</si>
  <si>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</si>
  <si>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</si>
  <si>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</si>
  <si>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</si>
  <si>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</si>
  <si>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</si>
  <si>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</si>
  <si>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</si>
  <si>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</si>
  <si>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</si>
  <si>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</si>
  <si>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</si>
  <si>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</si>
  <si>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</si>
  <si>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</si>
  <si>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</si>
  <si>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</si>
  <si>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</si>
  <si>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</si>
  <si>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</si>
  <si>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</si>
  <si>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</si>
  <si>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</si>
  <si>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</si>
  <si>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</si>
  <si>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</si>
  <si>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</si>
  <si>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</si>
  <si>
    <t>006 - Bradford O&amp;M</t>
  </si>
  <si>
    <t>Bradford - 256 Presidential Dr</t>
  </si>
  <si>
    <t>PF Drive</t>
  </si>
  <si>
    <t>007 - Bus Lot O&amp;M</t>
  </si>
  <si>
    <t>Charlton – 111 Brookfield Road - Bus Lot</t>
  </si>
  <si>
    <t>010 - Kmard O&amp;M</t>
  </si>
  <si>
    <t>Charlton – 154 Center Depot Road KMARD</t>
  </si>
  <si>
    <t>011 - Mitchell O&amp;M</t>
  </si>
  <si>
    <t>Charlton – 142A Brookfield Rd (Mitchell)</t>
  </si>
  <si>
    <t>012 - Nolan O&amp;M</t>
  </si>
  <si>
    <t>Great Barrington – 3 Nolan  Drive</t>
  </si>
  <si>
    <t>014 - Truck Stop O&amp;M</t>
  </si>
  <si>
    <t>Stockbridge – 92 State Line Road Truck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</si>
</sst>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scheme val="minor"/>
    </font>
    <font>
      <sz val="11"/>
      <color rgb="FF242424"/>
      <name val="Aptos Narrow"/>
      <charset val="1"/>
    </font>
    <font>
      <u val="double"/>
      <sz val="10"/>
      <name val="Calibri"/>
      <family val="2"/>
    </font>
    <font>
      <sz val="11"/>
      <color rgb="FF000000"/>
      <name val="Calibri"/>
      <charset val="1"/>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0" fillId="0" borderId="0" applyNumberFormat="0" applyFill="0" applyBorder="0" applyAlignment="0" applyProtection="0"/>
  </cellStyleXfs>
  <cellXfs count="9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0" fillId="0" borderId="0" xfId="0" applyAlignment="1">
      <alignment horizontal="center" wrapText="1"/>
    </xf>
    <xf numFmtId="164" fontId="29" fillId="0" borderId="0" xfId="1" applyNumberFormat="1" applyFont="1" applyFill="1" applyBorder="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35" fillId="40" borderId="0" xfId="0" applyFont="1" applyFill="1" applyAlignment="1">
      <alignment horizontal="left"/>
    </xf>
    <xf numFmtId="0" fontId="28" fillId="0" borderId="0" xfId="0" applyFont="1" applyAlignment="1">
      <alignment horizontal="left" vertical="center"/>
    </xf>
    <xf numFmtId="0" fontId="3" fillId="0" borderId="0" xfId="0" applyFont="1"/>
    <xf numFmtId="0" fontId="23" fillId="0" borderId="0" xfId="43" applyFont="1"/>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3" fontId="31" fillId="4" borderId="0" xfId="1" applyNumberFormat="1" applyFont="1" applyFill="1" applyAlignment="1">
      <alignment vertical="center"/>
    </xf>
    <xf numFmtId="3" fontId="31" fillId="0" borderId="0" xfId="1" applyNumberFormat="1" applyFont="1" applyAlignment="1">
      <alignment vertical="center"/>
    </xf>
    <xf numFmtId="164" fontId="29" fillId="44" borderId="0" xfId="1" applyNumberFormat="1" applyFont="1" applyFill="1" applyAlignment="1">
      <alignment horizontal="center" vertical="center"/>
    </xf>
    <xf numFmtId="9" fontId="31" fillId="0" borderId="0" xfId="2" applyFont="1" applyAlignment="1">
      <alignment horizontal="center" vertical="center"/>
    </xf>
    <xf numFmtId="9" fontId="31" fillId="3" borderId="0" xfId="2" applyFont="1" applyFill="1" applyAlignment="1">
      <alignment horizontal="center" vertical="center"/>
    </xf>
    <xf numFmtId="9" fontId="31" fillId="37" borderId="0" xfId="2" applyFont="1" applyFill="1" applyAlignment="1">
      <alignment horizontal="center" vertical="center"/>
    </xf>
    <xf numFmtId="0" fontId="35" fillId="40" borderId="0" xfId="0" applyFont="1" applyFill="1" applyAlignment="1">
      <alignment horizontal="center" vertical="center"/>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top"/>
    </xf>
    <xf numFmtId="164" fontId="29" fillId="0" borderId="0" xfId="1" applyNumberFormat="1" applyFont="1" applyAlignment="1">
      <alignment horizontal="center" vertical="center"/>
    </xf>
    <xf numFmtId="49" fontId="36" fillId="38" borderId="0" xfId="2" applyNumberFormat="1" applyFont="1" applyFill="1" applyBorder="1" applyAlignment="1">
      <alignment vertical="top" wrapText="1"/>
    </xf>
    <xf numFmtId="0" fontId="37" fillId="0" borderId="0" xfId="0" applyFont="1"/>
    <xf numFmtId="0" fontId="35" fillId="40" borderId="0" xfId="0" applyFont="1" applyFill="1" applyAlignment="1">
      <alignment horizontal="left" vertical="center"/>
    </xf>
    <xf numFmtId="0" fontId="23" fillId="0" borderId="0" xfId="43" applyFont="1" applyAlignment="1">
      <alignment horizontal="left" wrapText="1"/>
    </xf>
    <xf numFmtId="0" fontId="23" fillId="0" borderId="0" xfId="43" applyFont="1" applyAlignment="1">
      <alignment horizontal="left" vertical="center"/>
    </xf>
    <xf numFmtId="9" fontId="31" fillId="0" borderId="0" xfId="2" applyFont="1" applyBorder="1" applyAlignment="1">
      <alignment horizontal="center" vertical="center"/>
    </xf>
    <xf numFmtId="0" fontId="38" fillId="0" borderId="0" xfId="0" applyFont="1"/>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49" fontId="36" fillId="38" borderId="0" xfId="2" applyNumberFormat="1" applyFont="1" applyFill="1" applyBorder="1" applyAlignment="1">
      <alignment horizontal="left" vertical="top" wrapText="1"/>
    </xf>
    <xf numFmtId="49" fontId="36" fillId="38" borderId="0" xfId="2" applyNumberFormat="1" applyFont="1" applyFill="1" applyBorder="1" applyAlignment="1">
      <alignment horizontal="left" vertical="top"/>
    </xf>
    <xf numFmtId="0" fontId="39" fillId="0" borderId="0" xfId="0" applyFont="1" applyAlignment="1">
      <alignment horizontal="right"/>
    </xf>
    <xf numFmtId="49" fontId="40" fillId="38" borderId="0" xfId="45" applyNumberFormat="1" applyFill="1" applyBorder="1" applyAlignment="1">
      <alignment vertical="top" wrapText="1"/>
    </xf>
    <xf numFmtId="49" fontId="40" fillId="0" borderId="0" xfId="45" applyNumberFormat="1" applyAlignment="1">
      <alignment horizontal="left" vertical="top" wrapText="1"/>
    </xf>
    <xf numFmtId="49" fontId="40" fillId="0" borderId="0" xfId="45" applyNumberFormat="1" applyAlignment="1">
      <alignment vertical="top" wrapText="1"/>
    </xf>
    <xf numFmtId="49" fontId="40" fillId="0" borderId="0" xfId="45" applyNumberFormat="1" applyAlignment="1">
      <alignment vertical="center" wrapText="1"/>
    </xf>
    <xf numFmtId="0" fontId="0" fillId="0" borderId="0" xfId="0" applyAlignment="1">
      <alignment horizontal="left" vertical="top"/>
    </xf>
    <xf numFmtId="0" fontId="40" fillId="0" borderId="0" xfId="45" applyAlignment="1">
      <alignment horizontal="left" vertical="top"/>
    </xf>
    <xf numFmtId="49" fontId="40" fillId="46" borderId="0" xfId="45" applyNumberFormat="1" applyFill="1" applyAlignment="1">
      <alignment vertical="center" wrapText="1"/>
    </xf>
    <xf numFmtId="49" fontId="40" fillId="46" borderId="0" xfId="45" applyNumberFormat="1" applyFill="1" applyAlignment="1">
      <alignment horizontal="left" vertical="top" wrapText="1"/>
    </xf>
    <xf numFmtId="49" fontId="31" fillId="38" borderId="0" xfId="2" applyNumberFormat="1" applyFont="1" applyFill="1" applyAlignment="1">
      <alignment vertical="top" wrapText="1"/>
    </xf>
    <xf numFmtId="3" fontId="31" fillId="0" borderId="0" xfId="1" applyNumberFormat="1" applyFont="1" applyFill="1" applyBorder="1" applyAlignment="1">
      <alignment horizontal="right"/>
    </xf>
    <xf numFmtId="3" fontId="31" fillId="4" borderId="0" xfId="1" applyNumberFormat="1" applyFont="1" applyFill="1" applyBorder="1" applyAlignment="1">
      <alignment horizontal="right"/>
    </xf>
    <xf numFmtId="49" fontId="40" fillId="38" borderId="0" xfId="45" applyNumberFormat="1" applyFill="1" applyAlignment="1">
      <alignment vertical="top" wrapText="1"/>
    </xf>
    <xf numFmtId="0" fontId="40" fillId="0" borderId="0" xfId="45"/>
    <xf numFmtId="0" fontId="40" fillId="46" borderId="0" xfId="45" applyFill="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horizontal="left" vertical="top" wrapText="1"/>
    </xf>
    <xf numFmtId="49" fontId="1" fillId="0" borderId="0" xfId="0" applyNumberFormat="1" applyFont="1" applyAlignment="1">
      <alignmen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0">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4" totalsRowShown="0">
  <autoFilter ref="A3:E34"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096108" TargetMode="External"/><Relationship Id="rId47" Type="http://schemas.openxmlformats.org/officeDocument/2006/relationships/hyperlink" Target="https://us3.assetplanner.com/service_request?ID=097066" TargetMode="External"/><Relationship Id="rId63" Type="http://schemas.openxmlformats.org/officeDocument/2006/relationships/hyperlink" Target="https://us3.assetplanner.com/service_request?ID=097148" TargetMode="External"/><Relationship Id="rId68" Type="http://schemas.openxmlformats.org/officeDocument/2006/relationships/hyperlink" Target="https://us3.assetplanner.com/service_request?ID=097155" TargetMode="External"/><Relationship Id="rId2" Type="http://schemas.openxmlformats.org/officeDocument/2006/relationships/hyperlink" Target="https://us3.assetplanner.com/service_request?ID=097327" TargetMode="External"/><Relationship Id="rId16" Type="http://schemas.openxmlformats.org/officeDocument/2006/relationships/hyperlink" Target="https://us3.assetplanner.com/service_request?ID=090122" TargetMode="External"/><Relationship Id="rId29" Type="http://schemas.openxmlformats.org/officeDocument/2006/relationships/hyperlink" Target="https://us3.assetplanner.com/service_request?ID=097060" TargetMode="External"/><Relationship Id="rId11" Type="http://schemas.openxmlformats.org/officeDocument/2006/relationships/hyperlink" Target="https://us3.assetplanner.com/service_request?ID=095513"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087370"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7547"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6880" TargetMode="External"/><Relationship Id="rId66" Type="http://schemas.openxmlformats.org/officeDocument/2006/relationships/hyperlink" Target="https://us3.assetplanner.com/service_request?ID=097154" TargetMode="External"/><Relationship Id="rId5" Type="http://schemas.openxmlformats.org/officeDocument/2006/relationships/hyperlink" Target="https://us3.assetplanner.com/service_request?ID=097171" TargetMode="External"/><Relationship Id="rId61" Type="http://schemas.openxmlformats.org/officeDocument/2006/relationships/hyperlink" Target="https://us3.assetplanner.com/service_request?ID=096242" TargetMode="External"/><Relationship Id="rId19" Type="http://schemas.openxmlformats.org/officeDocument/2006/relationships/hyperlink" Target="https://us3.assetplanner.com/service_request?ID=094302" TargetMode="External"/><Relationship Id="rId14" Type="http://schemas.openxmlformats.org/officeDocument/2006/relationships/hyperlink" Target="https://us3.assetplanner.com/service_request?ID=097870"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6271" TargetMode="External"/><Relationship Id="rId30" Type="http://schemas.openxmlformats.org/officeDocument/2006/relationships/hyperlink" Target="https://us3.assetplanner.com/service_request?ID=097899" TargetMode="External"/><Relationship Id="rId35" Type="http://schemas.openxmlformats.org/officeDocument/2006/relationships/hyperlink" Target="https://us3.assetplanner.com/service_request?ID=097747" TargetMode="External"/><Relationship Id="rId43" Type="http://schemas.openxmlformats.org/officeDocument/2006/relationships/hyperlink" Target="https://us3.assetplanner.com/service_request?ID=097793" TargetMode="External"/><Relationship Id="rId48" Type="http://schemas.openxmlformats.org/officeDocument/2006/relationships/hyperlink" Target="https://us3.assetplanner.com/service_request?ID=097198" TargetMode="External"/><Relationship Id="rId56" Type="http://schemas.openxmlformats.org/officeDocument/2006/relationships/hyperlink" Target="https://us3.assetplanner.com/service_request?ID=096287" TargetMode="External"/><Relationship Id="rId64" Type="http://schemas.openxmlformats.org/officeDocument/2006/relationships/hyperlink" Target="https://us3.assetplanner.com/service_request?ID=097662" TargetMode="External"/><Relationship Id="rId69" Type="http://schemas.openxmlformats.org/officeDocument/2006/relationships/hyperlink" Target="https://us3.assetplanner.com/service_request?ID=097338" TargetMode="External"/><Relationship Id="rId8" Type="http://schemas.openxmlformats.org/officeDocument/2006/relationships/hyperlink" Target="https://us3.assetplanner.com/service_request?ID=096465" TargetMode="External"/><Relationship Id="rId51" Type="http://schemas.openxmlformats.org/officeDocument/2006/relationships/hyperlink" Target="https://us3.assetplanner.com/service_request?ID=094254" TargetMode="External"/><Relationship Id="rId72" Type="http://schemas.openxmlformats.org/officeDocument/2006/relationships/hyperlink" Target="https://us3.assetplanner.com/service_request?ID=097807" TargetMode="External"/><Relationship Id="rId3" Type="http://schemas.openxmlformats.org/officeDocument/2006/relationships/hyperlink" Target="https://us3.assetplanner.com/service_request?ID=097832" TargetMode="External"/><Relationship Id="rId12" Type="http://schemas.openxmlformats.org/officeDocument/2006/relationships/hyperlink" Target="https://us3.assetplanner.com/service_request?ID=097562" TargetMode="External"/><Relationship Id="rId17" Type="http://schemas.openxmlformats.org/officeDocument/2006/relationships/hyperlink" Target="https://us3.assetplanner.com/service_request?ID=093777"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191"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095262" TargetMode="External"/><Relationship Id="rId59" Type="http://schemas.openxmlformats.org/officeDocument/2006/relationships/hyperlink" Target="https://us3.assetplanner.com/service_request?ID=097194" TargetMode="External"/><Relationship Id="rId67" Type="http://schemas.openxmlformats.org/officeDocument/2006/relationships/hyperlink" Target="https://us3.assetplanner.com/service_request?ID=097154" TargetMode="External"/><Relationship Id="rId20" Type="http://schemas.openxmlformats.org/officeDocument/2006/relationships/hyperlink" Target="https://us3.assetplanner.com/service_request?ID=097796" TargetMode="External"/><Relationship Id="rId41" Type="http://schemas.openxmlformats.org/officeDocument/2006/relationships/hyperlink" Target="https://us3.assetplanner.com/service_request?ID=095984"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7809" TargetMode="External"/><Relationship Id="rId70" Type="http://schemas.openxmlformats.org/officeDocument/2006/relationships/hyperlink" Target="https://us3.assetplanner.com/service_request?ID=097338" TargetMode="External"/><Relationship Id="rId1" Type="http://schemas.openxmlformats.org/officeDocument/2006/relationships/hyperlink" Target="https://us3.assetplanner.com/service_request?ID=095215" TargetMode="External"/><Relationship Id="rId6" Type="http://schemas.openxmlformats.org/officeDocument/2006/relationships/hyperlink" Target="https://us3.assetplanner.com/service_request?ID=097549" TargetMode="External"/><Relationship Id="rId15" Type="http://schemas.openxmlformats.org/officeDocument/2006/relationships/hyperlink" Target="https://us3.assetplanner.com/service_request?ID=089923"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6370" TargetMode="External"/><Relationship Id="rId36" Type="http://schemas.openxmlformats.org/officeDocument/2006/relationships/hyperlink" Target="https://us3.assetplanner.com/service_request?ID=097561" TargetMode="External"/><Relationship Id="rId49" Type="http://schemas.openxmlformats.org/officeDocument/2006/relationships/hyperlink" Target="https://us3.assetplanner.com/service_request?ID=097182" TargetMode="External"/><Relationship Id="rId57" Type="http://schemas.openxmlformats.org/officeDocument/2006/relationships/hyperlink" Target="https://us3.assetplanner.com/service_request?ID=097195" TargetMode="External"/><Relationship Id="rId10" Type="http://schemas.openxmlformats.org/officeDocument/2006/relationships/hyperlink" Target="https://us3.assetplanner.com/service_request?ID=096471" TargetMode="External"/><Relationship Id="rId31" Type="http://schemas.openxmlformats.org/officeDocument/2006/relationships/hyperlink" Target="https://us3.assetplanner.com/service_request?ID=095846" TargetMode="External"/><Relationship Id="rId44" Type="http://schemas.openxmlformats.org/officeDocument/2006/relationships/hyperlink" Target="https://us3.assetplanner.com/service_request?ID=096680" TargetMode="External"/><Relationship Id="rId52" Type="http://schemas.openxmlformats.org/officeDocument/2006/relationships/hyperlink" Target="https://us3.assetplanner.com/service_request?ID=097151" TargetMode="External"/><Relationship Id="rId60" Type="http://schemas.openxmlformats.org/officeDocument/2006/relationships/hyperlink" Target="https://us3.assetplanner.com/service_request?ID=097744" TargetMode="External"/><Relationship Id="rId65" Type="http://schemas.openxmlformats.org/officeDocument/2006/relationships/hyperlink" Target="https://us3.assetplanner.com/service_request?ID=096270" TargetMode="External"/><Relationship Id="rId73" Type="http://schemas.openxmlformats.org/officeDocument/2006/relationships/hyperlink" Target="https://us3.assetplanner.com/service_request?ID=097851" TargetMode="External"/><Relationship Id="rId4" Type="http://schemas.openxmlformats.org/officeDocument/2006/relationships/hyperlink" Target="https://us3.assetplanner.com/service_request?ID=096190" TargetMode="External"/><Relationship Id="rId9" Type="http://schemas.openxmlformats.org/officeDocument/2006/relationships/hyperlink" Target="https://us3.assetplanner.com/service_request?ID=096295" TargetMode="External"/><Relationship Id="rId13" Type="http://schemas.openxmlformats.org/officeDocument/2006/relationships/hyperlink" Target="https://us3.assetplanner.com/service_request?ID=097648" TargetMode="External"/><Relationship Id="rId18" Type="http://schemas.openxmlformats.org/officeDocument/2006/relationships/hyperlink" Target="https://us3.assetplanner.com/service_request?ID=09779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690" TargetMode="External"/><Relationship Id="rId50" Type="http://schemas.openxmlformats.org/officeDocument/2006/relationships/hyperlink" Target="https://us3.assetplanner.com/service_request?ID=097150" TargetMode="External"/><Relationship Id="rId55" Type="http://schemas.openxmlformats.org/officeDocument/2006/relationships/hyperlink" Target="https://us3.assetplanner.com/service_request?ID=097657" TargetMode="External"/><Relationship Id="rId7" Type="http://schemas.openxmlformats.org/officeDocument/2006/relationships/hyperlink" Target="https://us3.assetplanner.com/service_request?ID=097792" TargetMode="External"/><Relationship Id="rId71" Type="http://schemas.openxmlformats.org/officeDocument/2006/relationships/hyperlink" Target="https://us3.assetplanner.com/service_request?ID=0976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7563" TargetMode="External"/><Relationship Id="rId21" Type="http://schemas.openxmlformats.org/officeDocument/2006/relationships/hyperlink" Target="https://us3.assetplanner.com/service_request?ID=091962" TargetMode="External"/><Relationship Id="rId42" Type="http://schemas.openxmlformats.org/officeDocument/2006/relationships/hyperlink" Target="https://us3.assetplanner.com/service_request?ID=098405" TargetMode="External"/><Relationship Id="rId47" Type="http://schemas.openxmlformats.org/officeDocument/2006/relationships/hyperlink" Target="https://us3.assetplanner.com/service_request?ID=094254" TargetMode="External"/><Relationship Id="rId63" Type="http://schemas.openxmlformats.org/officeDocument/2006/relationships/hyperlink" Target="https://us3.assetplanner.com/service_request?ID=097843" TargetMode="External"/><Relationship Id="rId68" Type="http://schemas.openxmlformats.org/officeDocument/2006/relationships/hyperlink" Target="https://us3.assetplanner.com/service_request?ID=098492" TargetMode="External"/><Relationship Id="rId7" Type="http://schemas.openxmlformats.org/officeDocument/2006/relationships/hyperlink" Target="https://us3.assetplanner.com/service_request?ID=098890" TargetMode="External"/><Relationship Id="rId2" Type="http://schemas.openxmlformats.org/officeDocument/2006/relationships/hyperlink" Target="https://us3.assetplanner.com/service_request?ID=095215"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8821" TargetMode="External"/><Relationship Id="rId11" Type="http://schemas.openxmlformats.org/officeDocument/2006/relationships/hyperlink" Target="https://us3.assetplanner.com/service_request?ID=098926" TargetMode="External"/><Relationship Id="rId24" Type="http://schemas.openxmlformats.org/officeDocument/2006/relationships/hyperlink" Target="https://us3.assetplanner.com/service_request?ID=095816" TargetMode="External"/><Relationship Id="rId32" Type="http://schemas.openxmlformats.org/officeDocument/2006/relationships/hyperlink" Target="https://us3.assetplanner.com/service_request?ID=098250" TargetMode="External"/><Relationship Id="rId37" Type="http://schemas.openxmlformats.org/officeDocument/2006/relationships/hyperlink" Target="https://us3.assetplanner.com/service_request?ID=097793"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8223"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8211" TargetMode="External"/><Relationship Id="rId66" Type="http://schemas.openxmlformats.org/officeDocument/2006/relationships/hyperlink" Target="https://us3.assetplanner.com/service_request?ID=098604" TargetMode="External"/><Relationship Id="rId5" Type="http://schemas.openxmlformats.org/officeDocument/2006/relationships/hyperlink" Target="https://us3.assetplanner.com/service_request?ID=098889" TargetMode="External"/><Relationship Id="rId61" Type="http://schemas.openxmlformats.org/officeDocument/2006/relationships/hyperlink" Target="https://us3.assetplanner.com/service_request?ID=098685" TargetMode="External"/><Relationship Id="rId19" Type="http://schemas.openxmlformats.org/officeDocument/2006/relationships/hyperlink" Target="https://us3.assetplanner.com/service_request?ID=088450" TargetMode="External"/><Relationship Id="rId14" Type="http://schemas.openxmlformats.org/officeDocument/2006/relationships/hyperlink" Target="https://us3.assetplanner.com/service_request?ID=099128"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098396" TargetMode="External"/><Relationship Id="rId30" Type="http://schemas.openxmlformats.org/officeDocument/2006/relationships/hyperlink" Target="https://us3.assetplanner.com/service_request?ID=099616" TargetMode="External"/><Relationship Id="rId35" Type="http://schemas.openxmlformats.org/officeDocument/2006/relationships/hyperlink" Target="https://us3.assetplanner.com/service_request?ID=095984" TargetMode="External"/><Relationship Id="rId43" Type="http://schemas.openxmlformats.org/officeDocument/2006/relationships/hyperlink" Target="https://us3.assetplanner.com/service_request?ID=097966" TargetMode="External"/><Relationship Id="rId48" Type="http://schemas.openxmlformats.org/officeDocument/2006/relationships/hyperlink" Target="https://us3.assetplanner.com/service_request?ID=095965" TargetMode="External"/><Relationship Id="rId56" Type="http://schemas.openxmlformats.org/officeDocument/2006/relationships/hyperlink" Target="https://us3.assetplanner.com/service_request?ID=098265" TargetMode="External"/><Relationship Id="rId64" Type="http://schemas.openxmlformats.org/officeDocument/2006/relationships/hyperlink" Target="https://us3.assetplanner.com/service_request?ID=098468" TargetMode="External"/><Relationship Id="rId69" Type="http://schemas.openxmlformats.org/officeDocument/2006/relationships/hyperlink" Target="https://us3.assetplanner.com/service_request?ID=099148" TargetMode="External"/><Relationship Id="rId8" Type="http://schemas.openxmlformats.org/officeDocument/2006/relationships/hyperlink" Target="https://us3.assetplanner.com/service_request?ID=098238" TargetMode="External"/><Relationship Id="rId51" Type="http://schemas.openxmlformats.org/officeDocument/2006/relationships/hyperlink" Target="https://us3.assetplanner.com/service_request?ID=098993" TargetMode="External"/><Relationship Id="rId3" Type="http://schemas.openxmlformats.org/officeDocument/2006/relationships/hyperlink" Target="https://us3.assetplanner.com/service_request?ID=097792" TargetMode="External"/><Relationship Id="rId12" Type="http://schemas.openxmlformats.org/officeDocument/2006/relationships/hyperlink" Target="https://us3.assetplanner.com/service_request?ID=099192"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060" TargetMode="External"/><Relationship Id="rId33" Type="http://schemas.openxmlformats.org/officeDocument/2006/relationships/hyperlink" Target="https://us3.assetplanner.com/service_request?ID=087370" TargetMode="External"/><Relationship Id="rId38" Type="http://schemas.openxmlformats.org/officeDocument/2006/relationships/hyperlink" Target="https://us3.assetplanner.com/service_request?ID=095984" TargetMode="External"/><Relationship Id="rId46" Type="http://schemas.openxmlformats.org/officeDocument/2006/relationships/hyperlink" Target="https://us3.assetplanner.com/service_request?ID=098333" TargetMode="External"/><Relationship Id="rId59" Type="http://schemas.openxmlformats.org/officeDocument/2006/relationships/hyperlink" Target="https://us3.assetplanner.com/service_request?ID=096880" TargetMode="External"/><Relationship Id="rId67" Type="http://schemas.openxmlformats.org/officeDocument/2006/relationships/hyperlink" Target="https://us3.assetplanner.com/service_request?ID=098230" TargetMode="External"/><Relationship Id="rId20" Type="http://schemas.openxmlformats.org/officeDocument/2006/relationships/hyperlink" Target="https://us3.assetplanner.com/service_request?ID=088450" TargetMode="External"/><Relationship Id="rId41" Type="http://schemas.openxmlformats.org/officeDocument/2006/relationships/hyperlink" Target="https://us3.assetplanner.com/service_request?ID=098286"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8182" TargetMode="External"/><Relationship Id="rId1" Type="http://schemas.openxmlformats.org/officeDocument/2006/relationships/hyperlink" Target="https://us3.assetplanner.com/service_request?ID=098455" TargetMode="External"/><Relationship Id="rId6" Type="http://schemas.openxmlformats.org/officeDocument/2006/relationships/hyperlink" Target="https://us3.assetplanner.com/service_request?ID=096465"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7799" TargetMode="External"/><Relationship Id="rId28" Type="http://schemas.openxmlformats.org/officeDocument/2006/relationships/hyperlink" Target="https://us3.assetplanner.com/service_request?ID=098679" TargetMode="External"/><Relationship Id="rId36" Type="http://schemas.openxmlformats.org/officeDocument/2006/relationships/hyperlink" Target="https://us3.assetplanner.com/service_request?ID=097793" TargetMode="External"/><Relationship Id="rId49" Type="http://schemas.openxmlformats.org/officeDocument/2006/relationships/hyperlink" Target="https://us3.assetplanner.com/service_request?ID=098301" TargetMode="External"/><Relationship Id="rId57" Type="http://schemas.openxmlformats.org/officeDocument/2006/relationships/hyperlink" Target="https://us3.assetplanner.com/service_request?ID=098601" TargetMode="External"/><Relationship Id="rId10" Type="http://schemas.openxmlformats.org/officeDocument/2006/relationships/hyperlink" Target="https://us3.assetplanner.com/service_request?ID=098862" TargetMode="External"/><Relationship Id="rId31" Type="http://schemas.openxmlformats.org/officeDocument/2006/relationships/hyperlink" Target="https://us3.assetplanner.com/service_request?ID=097795" TargetMode="External"/><Relationship Id="rId44" Type="http://schemas.openxmlformats.org/officeDocument/2006/relationships/hyperlink" Target="https://us3.assetplanner.com/service_request?ID=098186" TargetMode="External"/><Relationship Id="rId52" Type="http://schemas.openxmlformats.org/officeDocument/2006/relationships/hyperlink" Target="https://us3.assetplanner.com/service_request?ID=098300" TargetMode="External"/><Relationship Id="rId60" Type="http://schemas.openxmlformats.org/officeDocument/2006/relationships/hyperlink" Target="https://us3.assetplanner.com/service_request?ID=098203" TargetMode="External"/><Relationship Id="rId65" Type="http://schemas.openxmlformats.org/officeDocument/2006/relationships/hyperlink" Target="https://us3.assetplanner.com/service_request?ID=098503" TargetMode="External"/><Relationship Id="rId4" Type="http://schemas.openxmlformats.org/officeDocument/2006/relationships/hyperlink" Target="https://us3.assetplanner.com/service_request?ID=098395" TargetMode="External"/><Relationship Id="rId9" Type="http://schemas.openxmlformats.org/officeDocument/2006/relationships/hyperlink" Target="https://us3.assetplanner.com/service_request?ID=098398" TargetMode="External"/><Relationship Id="rId13" Type="http://schemas.openxmlformats.org/officeDocument/2006/relationships/hyperlink" Target="https://us3.assetplanner.com/service_request?ID=09551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881" TargetMode="External"/><Relationship Id="rId50" Type="http://schemas.openxmlformats.org/officeDocument/2006/relationships/hyperlink" Target="https://us3.assetplanner.com/service_request?ID=098316" TargetMode="External"/><Relationship Id="rId55" Type="http://schemas.openxmlformats.org/officeDocument/2006/relationships/hyperlink" Target="https://us3.assetplanner.com/service_request?ID=099300"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100230" TargetMode="External"/><Relationship Id="rId47" Type="http://schemas.openxmlformats.org/officeDocument/2006/relationships/hyperlink" Target="https://us3.assetplanner.com/service_request?ID=100358" TargetMode="External"/><Relationship Id="rId63" Type="http://schemas.openxmlformats.org/officeDocument/2006/relationships/hyperlink" Target="https://us3.assetplanner.com/service_request?ID=099438" TargetMode="External"/><Relationship Id="rId68" Type="http://schemas.openxmlformats.org/officeDocument/2006/relationships/hyperlink" Target="https://us3.assetplanner.com/service_request?ID=099806" TargetMode="External"/><Relationship Id="rId7" Type="http://schemas.openxmlformats.org/officeDocument/2006/relationships/hyperlink" Target="https://us3.assetplanner.com/service_request?ID=099586" TargetMode="External"/><Relationship Id="rId2" Type="http://schemas.openxmlformats.org/officeDocument/2006/relationships/hyperlink" Target="https://us3.assetplanner.com/service_request?ID=099262"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9519" TargetMode="External"/><Relationship Id="rId11" Type="http://schemas.openxmlformats.org/officeDocument/2006/relationships/hyperlink" Target="https://us3.assetplanner.com/service_request?ID=100021"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100436" TargetMode="External"/><Relationship Id="rId37" Type="http://schemas.openxmlformats.org/officeDocument/2006/relationships/hyperlink" Target="https://us3.assetplanner.com/service_request?ID=100184" TargetMode="External"/><Relationship Id="rId40" Type="http://schemas.openxmlformats.org/officeDocument/2006/relationships/hyperlink" Target="https://us3.assetplanner.com/service_request?ID=100279" TargetMode="External"/><Relationship Id="rId45" Type="http://schemas.openxmlformats.org/officeDocument/2006/relationships/hyperlink" Target="https://us3.assetplanner.com/service_request?ID=099855" TargetMode="External"/><Relationship Id="rId53" Type="http://schemas.openxmlformats.org/officeDocument/2006/relationships/hyperlink" Target="https://us3.assetplanner.com/service_request?ID=094254" TargetMode="External"/><Relationship Id="rId58" Type="http://schemas.openxmlformats.org/officeDocument/2006/relationships/hyperlink" Target="https://us3.assetplanner.com/service_request?ID=100441" TargetMode="External"/><Relationship Id="rId66" Type="http://schemas.openxmlformats.org/officeDocument/2006/relationships/hyperlink" Target="https://us3.assetplanner.com/service_request?ID=101029" TargetMode="External"/><Relationship Id="rId5" Type="http://schemas.openxmlformats.org/officeDocument/2006/relationships/hyperlink" Target="https://us3.assetplanner.com/service_request?ID=099306" TargetMode="External"/><Relationship Id="rId61" Type="http://schemas.openxmlformats.org/officeDocument/2006/relationships/hyperlink" Target="https://us3.assetplanner.com/service_request?ID=098503" TargetMode="External"/><Relationship Id="rId19" Type="http://schemas.openxmlformats.org/officeDocument/2006/relationships/hyperlink" Target="https://us3.assetplanner.com/service_request?ID=100146" TargetMode="External"/><Relationship Id="rId14" Type="http://schemas.openxmlformats.org/officeDocument/2006/relationships/hyperlink" Target="https://us3.assetplanner.com/service_request?ID=099859"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8821" TargetMode="External"/><Relationship Id="rId30" Type="http://schemas.openxmlformats.org/officeDocument/2006/relationships/hyperlink" Target="https://us3.assetplanner.com/service_request?ID=100159" TargetMode="External"/><Relationship Id="rId35" Type="http://schemas.openxmlformats.org/officeDocument/2006/relationships/hyperlink" Target="https://us3.assetplanner.com/service_request?ID=099745" TargetMode="External"/><Relationship Id="rId43" Type="http://schemas.openxmlformats.org/officeDocument/2006/relationships/hyperlink" Target="https://us3.assetplanner.com/service_request?ID=100353" TargetMode="External"/><Relationship Id="rId48" Type="http://schemas.openxmlformats.org/officeDocument/2006/relationships/hyperlink" Target="https://us3.assetplanner.com/service_request?ID=100435" TargetMode="External"/><Relationship Id="rId56" Type="http://schemas.openxmlformats.org/officeDocument/2006/relationships/hyperlink" Target="https://us3.assetplanner.com/service_request?ID=100018" TargetMode="External"/><Relationship Id="rId64" Type="http://schemas.openxmlformats.org/officeDocument/2006/relationships/hyperlink" Target="https://us3.assetplanner.com/service_request?ID=099815" TargetMode="External"/><Relationship Id="rId69" Type="http://schemas.openxmlformats.org/officeDocument/2006/relationships/hyperlink" Target="https://us3.assetplanner.com/service_request?ID=099359" TargetMode="External"/><Relationship Id="rId8" Type="http://schemas.openxmlformats.org/officeDocument/2006/relationships/hyperlink" Target="https://us3.assetplanner.com/service_request?ID=099921" TargetMode="External"/><Relationship Id="rId51" Type="http://schemas.openxmlformats.org/officeDocument/2006/relationships/hyperlink" Target="https://us3.assetplanner.com/service_request?ID=100033" TargetMode="External"/><Relationship Id="rId3" Type="http://schemas.openxmlformats.org/officeDocument/2006/relationships/hyperlink" Target="https://us3.assetplanner.com/service_request?ID=099397" TargetMode="External"/><Relationship Id="rId12" Type="http://schemas.openxmlformats.org/officeDocument/2006/relationships/hyperlink" Target="https://us3.assetplanner.com/service_request?ID=100605"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795"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100063" TargetMode="External"/><Relationship Id="rId59" Type="http://schemas.openxmlformats.org/officeDocument/2006/relationships/hyperlink" Target="https://us3.assetplanner.com/service_request?ID=100710" TargetMode="External"/><Relationship Id="rId67" Type="http://schemas.openxmlformats.org/officeDocument/2006/relationships/hyperlink" Target="https://us3.assetplanner.com/service_request?ID=100140" TargetMode="External"/><Relationship Id="rId20" Type="http://schemas.openxmlformats.org/officeDocument/2006/relationships/hyperlink" Target="https://us3.assetplanner.com/service_request?ID=099765" TargetMode="External"/><Relationship Id="rId41" Type="http://schemas.openxmlformats.org/officeDocument/2006/relationships/hyperlink" Target="https://us3.assetplanner.com/service_request?ID=100391" TargetMode="External"/><Relationship Id="rId54" Type="http://schemas.openxmlformats.org/officeDocument/2006/relationships/hyperlink" Target="https://us3.assetplanner.com/service_request?ID=099534" TargetMode="External"/><Relationship Id="rId62" Type="http://schemas.openxmlformats.org/officeDocument/2006/relationships/hyperlink" Target="https://us3.assetplanner.com/service_request?ID=099298" TargetMode="External"/><Relationship Id="rId1" Type="http://schemas.openxmlformats.org/officeDocument/2006/relationships/hyperlink" Target="https://us3.assetplanner.com/service_request?ID=099883" TargetMode="External"/><Relationship Id="rId6" Type="http://schemas.openxmlformats.org/officeDocument/2006/relationships/hyperlink" Target="https://us3.assetplanner.com/service_request?ID=100148"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9331" TargetMode="External"/><Relationship Id="rId36" Type="http://schemas.openxmlformats.org/officeDocument/2006/relationships/hyperlink" Target="https://us3.assetplanner.com/service_request?ID=097560" TargetMode="External"/><Relationship Id="rId49" Type="http://schemas.openxmlformats.org/officeDocument/2006/relationships/hyperlink" Target="https://us3.assetplanner.com/service_request?ID=100437" TargetMode="External"/><Relationship Id="rId57" Type="http://schemas.openxmlformats.org/officeDocument/2006/relationships/hyperlink" Target="https://us3.assetplanner.com/service_request?ID=100440" TargetMode="External"/><Relationship Id="rId10" Type="http://schemas.openxmlformats.org/officeDocument/2006/relationships/hyperlink" Target="https://us3.assetplanner.com/service_request?ID=100023" TargetMode="External"/><Relationship Id="rId31" Type="http://schemas.openxmlformats.org/officeDocument/2006/relationships/hyperlink" Target="https://us3.assetplanner.com/service_request?ID=099616" TargetMode="External"/><Relationship Id="rId44" Type="http://schemas.openxmlformats.org/officeDocument/2006/relationships/hyperlink" Target="https://us3.assetplanner.com/service_request?ID=098405" TargetMode="External"/><Relationship Id="rId52" Type="http://schemas.openxmlformats.org/officeDocument/2006/relationships/hyperlink" Target="https://us3.assetplanner.com/service_request?ID=100475" TargetMode="External"/><Relationship Id="rId60" Type="http://schemas.openxmlformats.org/officeDocument/2006/relationships/hyperlink" Target="https://us3.assetplanner.com/service_request?ID=098468" TargetMode="External"/><Relationship Id="rId65" Type="http://schemas.openxmlformats.org/officeDocument/2006/relationships/hyperlink" Target="https://us3.assetplanner.com/service_request?ID=099920" TargetMode="External"/><Relationship Id="rId4" Type="http://schemas.openxmlformats.org/officeDocument/2006/relationships/hyperlink" Target="https://us3.assetplanner.com/service_request?ID=100147" TargetMode="External"/><Relationship Id="rId9" Type="http://schemas.openxmlformats.org/officeDocument/2006/relationships/hyperlink" Target="https://us3.assetplanner.com/service_request?ID=099998" TargetMode="External"/><Relationship Id="rId13" Type="http://schemas.openxmlformats.org/officeDocument/2006/relationships/hyperlink" Target="https://us3.assetplanner.com/service_request?ID=10063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9993" TargetMode="External"/><Relationship Id="rId34" Type="http://schemas.openxmlformats.org/officeDocument/2006/relationships/hyperlink" Target="https://us3.assetplanner.com/service_request?ID=087370" TargetMode="External"/><Relationship Id="rId50" Type="http://schemas.openxmlformats.org/officeDocument/2006/relationships/hyperlink" Target="https://us3.assetplanner.com/service_request?ID=100463" TargetMode="External"/><Relationship Id="rId55" Type="http://schemas.openxmlformats.org/officeDocument/2006/relationships/hyperlink" Target="https://us3.assetplanner.com/service_request?ID=101357"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2083" TargetMode="External"/><Relationship Id="rId18" Type="http://schemas.openxmlformats.org/officeDocument/2006/relationships/hyperlink" Target="https://us3.assetplanner.com/service_request?ID=088450" TargetMode="External"/><Relationship Id="rId26" Type="http://schemas.openxmlformats.org/officeDocument/2006/relationships/hyperlink" Target="https://us3.assetplanner.com/service_request?ID=100982" TargetMode="External"/><Relationship Id="rId39" Type="http://schemas.openxmlformats.org/officeDocument/2006/relationships/hyperlink" Target="https://us3.assetplanner.com/service_request?ID=101935" TargetMode="External"/><Relationship Id="rId21" Type="http://schemas.openxmlformats.org/officeDocument/2006/relationships/hyperlink" Target="https://us3.assetplanner.com/service_request?ID=097799" TargetMode="External"/><Relationship Id="rId34" Type="http://schemas.openxmlformats.org/officeDocument/2006/relationships/hyperlink" Target="https://us3.assetplanner.com/service_request?ID=101061" TargetMode="External"/><Relationship Id="rId42" Type="http://schemas.openxmlformats.org/officeDocument/2006/relationships/hyperlink" Target="https://us3.assetplanner.com/service_request?ID=094254" TargetMode="External"/><Relationship Id="rId47" Type="http://schemas.openxmlformats.org/officeDocument/2006/relationships/hyperlink" Target="https://us3.assetplanner.com/service_request?ID=102010" TargetMode="External"/><Relationship Id="rId50" Type="http://schemas.openxmlformats.org/officeDocument/2006/relationships/hyperlink" Target="https://us3.assetplanner.com/service_request?ID=101231" TargetMode="External"/><Relationship Id="rId55" Type="http://schemas.openxmlformats.org/officeDocument/2006/relationships/hyperlink" Target="https://us3.assetplanner.com/service_request?ID=101508" TargetMode="External"/><Relationship Id="rId7" Type="http://schemas.openxmlformats.org/officeDocument/2006/relationships/hyperlink" Target="https://us3.assetplanner.com/service_request?ID=100943" TargetMode="External"/><Relationship Id="rId2" Type="http://schemas.openxmlformats.org/officeDocument/2006/relationships/hyperlink" Target="https://us3.assetplanner.com/service_request?ID=101378" TargetMode="External"/><Relationship Id="rId16" Type="http://schemas.openxmlformats.org/officeDocument/2006/relationships/hyperlink" Target="https://us3.assetplanner.com/service_request?ID=102226" TargetMode="External"/><Relationship Id="rId29" Type="http://schemas.openxmlformats.org/officeDocument/2006/relationships/hyperlink" Target="https://us3.assetplanner.com/service_request?ID=101178" TargetMode="External"/><Relationship Id="rId11" Type="http://schemas.openxmlformats.org/officeDocument/2006/relationships/hyperlink" Target="https://us3.assetplanner.com/service_request?ID=100968" TargetMode="External"/><Relationship Id="rId24" Type="http://schemas.openxmlformats.org/officeDocument/2006/relationships/hyperlink" Target="https://us3.assetplanner.com/service_request?ID=099331" TargetMode="External"/><Relationship Id="rId32" Type="http://schemas.openxmlformats.org/officeDocument/2006/relationships/hyperlink" Target="https://us3.assetplanner.com/service_request?ID=087370" TargetMode="External"/><Relationship Id="rId37" Type="http://schemas.openxmlformats.org/officeDocument/2006/relationships/hyperlink" Target="https://us3.assetplanner.com/service_request?ID=100358" TargetMode="External"/><Relationship Id="rId40" Type="http://schemas.openxmlformats.org/officeDocument/2006/relationships/hyperlink" Target="https://us3.assetplanner.com/service_request?ID=101916" TargetMode="External"/><Relationship Id="rId45" Type="http://schemas.openxmlformats.org/officeDocument/2006/relationships/hyperlink" Target="https://us3.assetplanner.com/service_request?ID=102009" TargetMode="External"/><Relationship Id="rId53" Type="http://schemas.openxmlformats.org/officeDocument/2006/relationships/hyperlink" Target="https://us3.assetplanner.com/service_request?ID=101920" TargetMode="External"/><Relationship Id="rId58" Type="http://schemas.openxmlformats.org/officeDocument/2006/relationships/hyperlink" Target="https://us3.assetplanner.com/service_request?ID=099815" TargetMode="External"/><Relationship Id="rId5" Type="http://schemas.openxmlformats.org/officeDocument/2006/relationships/hyperlink" Target="https://us3.assetplanner.com/service_request?ID=101404" TargetMode="External"/><Relationship Id="rId61" Type="http://schemas.openxmlformats.org/officeDocument/2006/relationships/hyperlink" Target="https://us3.assetplanner.com/service_request?ID=101985" TargetMode="External"/><Relationship Id="rId19" Type="http://schemas.openxmlformats.org/officeDocument/2006/relationships/hyperlink" Target="https://us3.assetplanner.com/service_request?ID=102089" TargetMode="External"/><Relationship Id="rId14" Type="http://schemas.openxmlformats.org/officeDocument/2006/relationships/hyperlink" Target="https://us3.assetplanner.com/service_request?ID=099765"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101104" TargetMode="External"/><Relationship Id="rId30" Type="http://schemas.openxmlformats.org/officeDocument/2006/relationships/hyperlink" Target="https://us3.assetplanner.com/service_request?ID=101062" TargetMode="External"/><Relationship Id="rId35" Type="http://schemas.openxmlformats.org/officeDocument/2006/relationships/hyperlink" Target="https://us3.assetplanner.com/service_request?ID=100353" TargetMode="External"/><Relationship Id="rId43" Type="http://schemas.openxmlformats.org/officeDocument/2006/relationships/hyperlink" Target="https://us3.assetplanner.com/service_request?ID=101041" TargetMode="External"/><Relationship Id="rId48" Type="http://schemas.openxmlformats.org/officeDocument/2006/relationships/hyperlink" Target="https://us3.assetplanner.com/service_request?ID=100988" TargetMode="External"/><Relationship Id="rId56" Type="http://schemas.openxmlformats.org/officeDocument/2006/relationships/hyperlink" Target="https://us3.assetplanner.com/service_request?ID=098468" TargetMode="External"/><Relationship Id="rId8" Type="http://schemas.openxmlformats.org/officeDocument/2006/relationships/hyperlink" Target="https://us3.assetplanner.com/service_request?ID=101960" TargetMode="External"/><Relationship Id="rId51" Type="http://schemas.openxmlformats.org/officeDocument/2006/relationships/hyperlink" Target="https://us3.assetplanner.com/service_request?ID=101357" TargetMode="External"/><Relationship Id="rId3" Type="http://schemas.openxmlformats.org/officeDocument/2006/relationships/hyperlink" Target="https://us3.assetplanner.com/service_request?ID=101504" TargetMode="External"/><Relationship Id="rId12" Type="http://schemas.openxmlformats.org/officeDocument/2006/relationships/hyperlink" Target="https://us3.assetplanner.com/service_request?ID=100633" TargetMode="External"/><Relationship Id="rId17" Type="http://schemas.openxmlformats.org/officeDocument/2006/relationships/hyperlink" Target="https://us3.assetplanner.com/service_request?ID=088449" TargetMode="External"/><Relationship Id="rId25" Type="http://schemas.openxmlformats.org/officeDocument/2006/relationships/hyperlink" Target="https://us3.assetplanner.com/service_request?ID=101423" TargetMode="External"/><Relationship Id="rId33" Type="http://schemas.openxmlformats.org/officeDocument/2006/relationships/hyperlink" Target="https://us3.assetplanner.com/service_request?ID=101031" TargetMode="External"/><Relationship Id="rId38" Type="http://schemas.openxmlformats.org/officeDocument/2006/relationships/hyperlink" Target="https://us3.assetplanner.com/service_request?ID=101648" TargetMode="External"/><Relationship Id="rId46" Type="http://schemas.openxmlformats.org/officeDocument/2006/relationships/hyperlink" Target="https://us3.assetplanner.com/service_request?ID=101042" TargetMode="External"/><Relationship Id="rId59" Type="http://schemas.openxmlformats.org/officeDocument/2006/relationships/hyperlink" Target="https://us3.assetplanner.com/service_request?ID=099920" TargetMode="External"/><Relationship Id="rId20" Type="http://schemas.openxmlformats.org/officeDocument/2006/relationships/hyperlink" Target="https://us3.assetplanner.com/service_request?ID=091962" TargetMode="External"/><Relationship Id="rId41" Type="http://schemas.openxmlformats.org/officeDocument/2006/relationships/hyperlink" Target="https://us3.assetplanner.com/service_request?ID=101787" TargetMode="External"/><Relationship Id="rId54" Type="http://schemas.openxmlformats.org/officeDocument/2006/relationships/hyperlink" Target="https://us3.assetplanner.com/service_request?ID=100710" TargetMode="External"/><Relationship Id="rId62"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0967" TargetMode="External"/><Relationship Id="rId6" Type="http://schemas.openxmlformats.org/officeDocument/2006/relationships/hyperlink" Target="https://us3.assetplanner.com/service_request?ID=102179" TargetMode="External"/><Relationship Id="rId15" Type="http://schemas.openxmlformats.org/officeDocument/2006/relationships/hyperlink" Target="https://us3.assetplanner.com/service_request?ID=101869" TargetMode="External"/><Relationship Id="rId23" Type="http://schemas.openxmlformats.org/officeDocument/2006/relationships/hyperlink" Target="https://us3.assetplanner.com/service_request?ID=095816" TargetMode="External"/><Relationship Id="rId28" Type="http://schemas.openxmlformats.org/officeDocument/2006/relationships/hyperlink" Target="https://us3.assetplanner.com/service_request?ID=099616" TargetMode="External"/><Relationship Id="rId36" Type="http://schemas.openxmlformats.org/officeDocument/2006/relationships/hyperlink" Target="https://us3.assetplanner.com/service_request?ID=101879" TargetMode="External"/><Relationship Id="rId49" Type="http://schemas.openxmlformats.org/officeDocument/2006/relationships/hyperlink" Target="https://us3.assetplanner.com/service_request?ID=101074" TargetMode="External"/><Relationship Id="rId57" Type="http://schemas.openxmlformats.org/officeDocument/2006/relationships/hyperlink" Target="https://us3.assetplanner.com/service_request?ID=099298" TargetMode="External"/><Relationship Id="rId10" Type="http://schemas.openxmlformats.org/officeDocument/2006/relationships/hyperlink" Target="https://us3.assetplanner.com/service_request?ID=101111" TargetMode="External"/><Relationship Id="rId31" Type="http://schemas.openxmlformats.org/officeDocument/2006/relationships/hyperlink" Target="https://us3.assetplanner.com/service_request?ID=101921" TargetMode="External"/><Relationship Id="rId44" Type="http://schemas.openxmlformats.org/officeDocument/2006/relationships/hyperlink" Target="https://us3.assetplanner.com/service_request?ID=101051" TargetMode="External"/><Relationship Id="rId52" Type="http://schemas.openxmlformats.org/officeDocument/2006/relationships/hyperlink" Target="https://us3.assetplanner.com/service_request?ID=102183" TargetMode="External"/><Relationship Id="rId60" Type="http://schemas.openxmlformats.org/officeDocument/2006/relationships/hyperlink" Target="https://us3.assetplanner.com/service_request?ID=101029" TargetMode="External"/><Relationship Id="rId4" Type="http://schemas.openxmlformats.org/officeDocument/2006/relationships/hyperlink" Target="https://us3.assetplanner.com/service_request?ID=101739" TargetMode="External"/><Relationship Id="rId9" Type="http://schemas.openxmlformats.org/officeDocument/2006/relationships/hyperlink" Target="https://us3.assetplanner.com/service_request?ID=10205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13" TargetMode="External"/><Relationship Id="rId13" Type="http://schemas.openxmlformats.org/officeDocument/2006/relationships/hyperlink" Target="https://us3.assetplanner.com/service_request?ID=102793" TargetMode="External"/><Relationship Id="rId18" Type="http://schemas.openxmlformats.org/officeDocument/2006/relationships/hyperlink" Target="https://us3.assetplanner.com/service_request?ID=102471" TargetMode="External"/><Relationship Id="rId26" Type="http://schemas.openxmlformats.org/officeDocument/2006/relationships/hyperlink" Target="https://us3.assetplanner.com/service_request?ID=102764" TargetMode="External"/><Relationship Id="rId3" Type="http://schemas.openxmlformats.org/officeDocument/2006/relationships/hyperlink" Target="https://us3.assetplanner.com/service_request?ID=102179" TargetMode="External"/><Relationship Id="rId21" Type="http://schemas.openxmlformats.org/officeDocument/2006/relationships/hyperlink" Target="https://us3.assetplanner.com/service_request?ID=103780" TargetMode="External"/><Relationship Id="rId7" Type="http://schemas.openxmlformats.org/officeDocument/2006/relationships/hyperlink" Target="https://us3.assetplanner.com/service_request?ID=102609" TargetMode="External"/><Relationship Id="rId12" Type="http://schemas.openxmlformats.org/officeDocument/2006/relationships/hyperlink" Target="https://us3.assetplanner.com/service_request?ID=087370" TargetMode="External"/><Relationship Id="rId17" Type="http://schemas.openxmlformats.org/officeDocument/2006/relationships/hyperlink" Target="https://us3.assetplanner.com/service_request?ID=103522" TargetMode="External"/><Relationship Id="rId25" Type="http://schemas.openxmlformats.org/officeDocument/2006/relationships/hyperlink" Target="https://us3.assetplanner.com/service_request?ID=102977" TargetMode="External"/><Relationship Id="rId2" Type="http://schemas.openxmlformats.org/officeDocument/2006/relationships/hyperlink" Target="https://us3.assetplanner.com/service_request?ID=101404" TargetMode="External"/><Relationship Id="rId16" Type="http://schemas.openxmlformats.org/officeDocument/2006/relationships/hyperlink" Target="https://us3.assetplanner.com/service_request?ID=103272" TargetMode="External"/><Relationship Id="rId20" Type="http://schemas.openxmlformats.org/officeDocument/2006/relationships/hyperlink" Target="https://us3.assetplanner.com/service_request?ID=103767" TargetMode="External"/><Relationship Id="rId29"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2739" TargetMode="External"/><Relationship Id="rId6" Type="http://schemas.openxmlformats.org/officeDocument/2006/relationships/hyperlink" Target="https://us3.assetplanner.com/service_request?ID=102083" TargetMode="External"/><Relationship Id="rId11" Type="http://schemas.openxmlformats.org/officeDocument/2006/relationships/hyperlink" Target="https://us3.assetplanner.com/service_request?ID=103462" TargetMode="External"/><Relationship Id="rId24" Type="http://schemas.openxmlformats.org/officeDocument/2006/relationships/hyperlink" Target="https://us3.assetplanner.com/service_request?ID=102555" TargetMode="External"/><Relationship Id="rId5" Type="http://schemas.openxmlformats.org/officeDocument/2006/relationships/hyperlink" Target="https://us3.assetplanner.com/service_request?ID=100943" TargetMode="External"/><Relationship Id="rId15" Type="http://schemas.openxmlformats.org/officeDocument/2006/relationships/hyperlink" Target="https://us3.assetplanner.com/service_request?ID=102978" TargetMode="External"/><Relationship Id="rId23" Type="http://schemas.openxmlformats.org/officeDocument/2006/relationships/hyperlink" Target="https://us3.assetplanner.com/service_request?ID=102294" TargetMode="External"/><Relationship Id="rId28" Type="http://schemas.openxmlformats.org/officeDocument/2006/relationships/hyperlink" Target="https://us3.assetplanner.com/service_request?ID=103531" TargetMode="External"/><Relationship Id="rId10" Type="http://schemas.openxmlformats.org/officeDocument/2006/relationships/hyperlink" Target="https://us3.assetplanner.com/service_request?ID=103728" TargetMode="External"/><Relationship Id="rId19" Type="http://schemas.openxmlformats.org/officeDocument/2006/relationships/hyperlink" Target="https://us3.assetplanner.com/service_request?ID=103328" TargetMode="External"/><Relationship Id="rId4" Type="http://schemas.openxmlformats.org/officeDocument/2006/relationships/hyperlink" Target="https://us3.assetplanner.com/service_request?ID=102051" TargetMode="External"/><Relationship Id="rId9" Type="http://schemas.openxmlformats.org/officeDocument/2006/relationships/hyperlink" Target="https://us3.assetplanner.com/service_request?ID=102994" TargetMode="External"/><Relationship Id="rId14" Type="http://schemas.openxmlformats.org/officeDocument/2006/relationships/hyperlink" Target="https://us3.assetplanner.com/service_request?ID=102374" TargetMode="External"/><Relationship Id="rId22" Type="http://schemas.openxmlformats.org/officeDocument/2006/relationships/hyperlink" Target="https://us3.assetplanner.com/service_request?ID=102985" TargetMode="External"/><Relationship Id="rId27" Type="http://schemas.openxmlformats.org/officeDocument/2006/relationships/hyperlink" Target="https://us3.assetplanner.com/service_request?ID=09846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D14" activePane="bottomRight" state="frozen"/>
      <selection pane="bottomRight" activeCell="D4" sqref="D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Lodestar</v>
      </c>
      <c r="B1" s="87"/>
      <c r="C1" s="87"/>
      <c r="D1" s="88" t="s">
        <v>0</v>
      </c>
      <c r="E1" s="88"/>
      <c r="F1" s="88"/>
      <c r="G1" s="86" t="s">
        <v>1</v>
      </c>
      <c r="H1" s="86"/>
      <c r="I1" s="86"/>
    </row>
    <row r="2" spans="1:9" ht="19.5" customHeight="1">
      <c r="A2" s="89" t="s">
        <v>2</v>
      </c>
      <c r="B2" s="89"/>
      <c r="C2" s="5">
        <f>SUM(C4:C103)</f>
        <v>53543747.210699998</v>
      </c>
      <c r="D2" s="5">
        <f>SUM(D4:D103)</f>
        <v>49984810.858459987</v>
      </c>
      <c r="E2" s="5">
        <f>C2-D2</f>
        <v>3558936.3522400111</v>
      </c>
      <c r="F2" s="6">
        <f>IFERROR(E2/D2, 0)</f>
        <v>7.1200356490648944E-2</v>
      </c>
      <c r="G2" s="5">
        <f>SUM(G4:G103)</f>
        <v>50901480.350000001</v>
      </c>
      <c r="H2" s="7">
        <f>C2-G2</f>
        <v>2642266.8606999964</v>
      </c>
      <c r="I2" s="6">
        <f>IFERROR(H2/G2, 0)</f>
        <v>5.1909430581030168E-2</v>
      </c>
    </row>
    <row r="3" spans="1:9" ht="14.25" customHeight="1">
      <c r="A3" s="8" t="s">
        <v>3</v>
      </c>
      <c r="B3" s="8" t="s">
        <v>4</v>
      </c>
      <c r="C3" s="23" t="s">
        <v>5</v>
      </c>
      <c r="D3" s="33" t="s">
        <v>6</v>
      </c>
      <c r="E3" s="33" t="s">
        <v>7</v>
      </c>
      <c r="F3" s="34" t="s">
        <v>8</v>
      </c>
      <c r="G3" s="35" t="s">
        <v>9</v>
      </c>
      <c r="H3" s="36" t="s">
        <v>7</v>
      </c>
      <c r="I3" s="37" t="s">
        <v>8</v>
      </c>
    </row>
    <row r="4" spans="1:9" ht="15.6">
      <c r="A4" s="12" t="str" cm="1">
        <f t="array" ref="A4:A34">Sites[Site]</f>
        <v>Barkhamsted</v>
      </c>
      <c r="B4" s="9" t="str" cm="1">
        <f t="array" ref="B4:B34">Sites[State]</f>
        <v>CT</v>
      </c>
      <c r="C4" s="24">
        <f>SUM('1st Qtr'!C4, '2nd Qtr'!C4, '3rd Qtr'!C4, '4th Qtr'!C4)</f>
        <v>928412</v>
      </c>
      <c r="D4" s="13">
        <f>SUM('1st Qtr'!D4, '2nd Qtr'!D4, '3rd Qtr'!D4, '4th Qtr'!D4)</f>
        <v>1109451.3</v>
      </c>
      <c r="E4" s="13">
        <f>IF(AND(ISNUMBER(C4),ISNUMBER(D4)), C4-D4, "")</f>
        <v>-181039.30000000005</v>
      </c>
      <c r="F4" s="14">
        <f>IFERROR(E4/D4, "")</f>
        <v>-0.16317913188258018</v>
      </c>
      <c r="G4" s="15">
        <f>SUM('1st Qtr'!G4, '2nd Qtr'!G4, '3rd Qtr'!G4, '4th Qtr'!G4)</f>
        <v>1116386.74</v>
      </c>
      <c r="H4" s="15">
        <f>SUM('1st Qtr'!H4, '2nd Qtr'!H4, '3rd Qtr'!H4, '4th Qtr'!H4)</f>
        <v>-187974.74000000002</v>
      </c>
      <c r="I4" s="16">
        <f>IFERROR(H4/G4, "")</f>
        <v>-0.16837779710640421</v>
      </c>
    </row>
    <row r="5" spans="1:9" ht="15.6">
      <c r="A5" s="17" t="str">
        <v>Bunce</v>
      </c>
      <c r="B5" s="10" t="str">
        <v>CT</v>
      </c>
      <c r="C5" s="11">
        <f>SUM('1st Qtr'!C5, '2nd Qtr'!C5, '3rd Qtr'!C5, '4th Qtr'!C5)</f>
        <v>1897104</v>
      </c>
      <c r="D5" s="18">
        <f>SUM('1st Qtr'!D5, '2nd Qtr'!D5, '3rd Qtr'!D5, '4th Qtr'!D5)</f>
        <v>1517235.4</v>
      </c>
      <c r="E5" s="18">
        <f t="shared" ref="E5:E15" si="0">IF(AND(ISNUMBER(C5),ISNUMBER(D5)), C5-D5, "")</f>
        <v>379868.60000000009</v>
      </c>
      <c r="F5" s="19">
        <f>IFERROR(E5/D5, "")</f>
        <v>0.25036892759027379</v>
      </c>
      <c r="G5" s="20">
        <f>SUM('1st Qtr'!G5, '2nd Qtr'!G5, '3rd Qtr'!G5, '4th Qtr'!G5)</f>
        <v>0</v>
      </c>
      <c r="H5" s="20">
        <f>SUM('1st Qtr'!H5, '2nd Qtr'!H5, '3rd Qtr'!H5, '4th Qtr'!H5)</f>
        <v>642704</v>
      </c>
      <c r="I5" s="19" t="str">
        <f>IFERROR(H5/G5, "")</f>
        <v/>
      </c>
    </row>
    <row r="6" spans="1:9" ht="15.6">
      <c r="A6" s="12" t="str">
        <v>Norcap North</v>
      </c>
      <c r="B6" s="9" t="str">
        <v>CT</v>
      </c>
      <c r="C6" s="24">
        <f>SUM('1st Qtr'!C6, '2nd Qtr'!C6, '3rd Qtr'!C6, '4th Qtr'!C6)</f>
        <v>1985830.5</v>
      </c>
      <c r="D6" s="13">
        <f>SUM('1st Qtr'!D6, '2nd Qtr'!D6, '3rd Qtr'!D6, '4th Qtr'!D6)</f>
        <v>2159347.5</v>
      </c>
      <c r="E6" s="13">
        <f t="shared" si="0"/>
        <v>-173517</v>
      </c>
      <c r="F6" s="14">
        <f t="shared" ref="F6:F15" si="1">IFERROR(E6/D6, "")</f>
        <v>-8.0356218718849098E-2</v>
      </c>
      <c r="G6" s="15">
        <f>SUM('1st Qtr'!G6, '2nd Qtr'!G6, '3rd Qtr'!G6, '4th Qtr'!G6)</f>
        <v>2111330.2000000002</v>
      </c>
      <c r="H6" s="15">
        <f>SUM('1st Qtr'!H6, '2nd Qtr'!H6, '3rd Qtr'!H6, '4th Qtr'!H6)</f>
        <v>-125499.69999999998</v>
      </c>
      <c r="I6" s="16">
        <f t="shared" ref="I6:I15" si="2">IFERROR(H6/G6, "")</f>
        <v>-5.944105758540278E-2</v>
      </c>
    </row>
    <row r="7" spans="1:9" ht="15.6">
      <c r="A7" s="17" t="str">
        <v>Norcap South</v>
      </c>
      <c r="B7" s="10" t="str">
        <v>CT</v>
      </c>
      <c r="C7" s="11">
        <f>SUM('1st Qtr'!C7, '2nd Qtr'!C7, '3rd Qtr'!C7, '4th Qtr'!C7)</f>
        <v>2105225</v>
      </c>
      <c r="D7" s="18">
        <f>SUM('1st Qtr'!D7, '2nd Qtr'!D7, '3rd Qtr'!D7, '4th Qtr'!D7)</f>
        <v>2292619.6</v>
      </c>
      <c r="E7" s="18">
        <f t="shared" si="0"/>
        <v>-187394.60000000009</v>
      </c>
      <c r="F7" s="19">
        <f t="shared" si="1"/>
        <v>-8.1738200266629535E-2</v>
      </c>
      <c r="G7" s="20">
        <f>SUM('1st Qtr'!G7, '2nd Qtr'!G7, '3rd Qtr'!G7, '4th Qtr'!G7)</f>
        <v>2043248.5</v>
      </c>
      <c r="H7" s="20">
        <f>SUM('1st Qtr'!H7, '2nd Qtr'!H7, '3rd Qtr'!H7, '4th Qtr'!H7)</f>
        <v>61976.5</v>
      </c>
      <c r="I7" s="19">
        <f t="shared" si="2"/>
        <v>3.0332335983606497E-2</v>
      </c>
    </row>
    <row r="8" spans="1:9" ht="15.6">
      <c r="A8" s="12" t="str">
        <v>Platt Hill</v>
      </c>
      <c r="B8" s="9" t="str">
        <v>CT</v>
      </c>
      <c r="C8" s="24">
        <f>SUM('1st Qtr'!C8, '2nd Qtr'!C8, '3rd Qtr'!C8, '4th Qtr'!C8)</f>
        <v>2019067</v>
      </c>
      <c r="D8" s="13">
        <f>SUM('1st Qtr'!D8, '2nd Qtr'!D8, '3rd Qtr'!D8, '4th Qtr'!D8)</f>
        <v>2319805.5999999996</v>
      </c>
      <c r="E8" s="13">
        <f t="shared" si="0"/>
        <v>-300738.59999999963</v>
      </c>
      <c r="F8" s="14">
        <f t="shared" si="1"/>
        <v>-0.12963956979843469</v>
      </c>
      <c r="G8" s="15">
        <f>SUM('1st Qtr'!G8, '2nd Qtr'!G8, '3rd Qtr'!G8, '4th Qtr'!G8)</f>
        <v>2477244.1</v>
      </c>
      <c r="H8" s="15">
        <f>SUM('1st Qtr'!H8, '2nd Qtr'!H8, '3rd Qtr'!H8, '4th Qtr'!H8)</f>
        <v>-458177.10000000003</v>
      </c>
      <c r="I8" s="16">
        <f t="shared" si="2"/>
        <v>-0.18495436117902148</v>
      </c>
    </row>
    <row r="9" spans="1:9" ht="15.6">
      <c r="A9" s="17" t="str">
        <v>Powder Hill</v>
      </c>
      <c r="B9" s="10" t="str">
        <v>CT</v>
      </c>
      <c r="C9" s="11">
        <f>SUM('1st Qtr'!C9, '2nd Qtr'!C9, '3rd Qtr'!C9, '4th Qtr'!C9)</f>
        <v>1987227</v>
      </c>
      <c r="D9" s="18">
        <f>SUM('1st Qtr'!D9, '2nd Qtr'!D9, '3rd Qtr'!D9, '4th Qtr'!D9)</f>
        <v>2099774.1</v>
      </c>
      <c r="E9" s="18">
        <f t="shared" si="0"/>
        <v>-112547.10000000009</v>
      </c>
      <c r="F9" s="19">
        <f t="shared" si="1"/>
        <v>-5.3599622930866751E-2</v>
      </c>
      <c r="G9" s="20">
        <f>SUM('1st Qtr'!G9, '2nd Qtr'!G9, '3rd Qtr'!G9, '4th Qtr'!G9)</f>
        <v>1688422</v>
      </c>
      <c r="H9" s="20">
        <f>SUM('1st Qtr'!H9, '2nd Qtr'!H9, '3rd Qtr'!H9, '4th Qtr'!H9)</f>
        <v>298805</v>
      </c>
      <c r="I9" s="19">
        <f t="shared" si="2"/>
        <v>0.17697293686057158</v>
      </c>
    </row>
    <row r="10" spans="1:9" ht="15.6">
      <c r="A10" s="12" t="str">
        <v>Sand Road</v>
      </c>
      <c r="B10" s="9" t="str">
        <v>CT</v>
      </c>
      <c r="C10" s="24">
        <f>SUM('1st Qtr'!C10, '2nd Qtr'!C10, '3rd Qtr'!C10, '4th Qtr'!C10)</f>
        <v>1996064</v>
      </c>
      <c r="D10" s="13">
        <f>SUM('1st Qtr'!D10, '2nd Qtr'!D10, '3rd Qtr'!D10, '4th Qtr'!D10)</f>
        <v>1884520.9</v>
      </c>
      <c r="E10" s="13">
        <f t="shared" si="0"/>
        <v>111543.10000000009</v>
      </c>
      <c r="F10" s="14">
        <f t="shared" si="1"/>
        <v>5.9189102121393347E-2</v>
      </c>
      <c r="G10" s="15">
        <f>SUM('1st Qtr'!G10, '2nd Qtr'!G10, '3rd Qtr'!G10, '4th Qtr'!G10)</f>
        <v>1932751.2</v>
      </c>
      <c r="H10" s="15">
        <f>SUM('1st Qtr'!H10, '2nd Qtr'!H10, '3rd Qtr'!H10, '4th Qtr'!H10)</f>
        <v>63312.799999999988</v>
      </c>
      <c r="I10" s="16">
        <f t="shared" si="2"/>
        <v>3.27578635056597E-2</v>
      </c>
    </row>
    <row r="11" spans="1:9" ht="15.6">
      <c r="A11" s="17" t="str">
        <v>Suffield</v>
      </c>
      <c r="B11" s="10" t="str">
        <v>CT</v>
      </c>
      <c r="C11" s="11">
        <f>SUM('1st Qtr'!C11, '2nd Qtr'!C11, '3rd Qtr'!C11, '4th Qtr'!C11)</f>
        <v>2006711</v>
      </c>
      <c r="D11" s="18">
        <f>SUM('1st Qtr'!D11, '2nd Qtr'!D11, '3rd Qtr'!D11, '4th Qtr'!D11)</f>
        <v>2055795.7000000002</v>
      </c>
      <c r="E11" s="18">
        <f t="shared" si="0"/>
        <v>-49084.700000000186</v>
      </c>
      <c r="F11" s="19">
        <f t="shared" si="1"/>
        <v>-2.387625385148932E-2</v>
      </c>
      <c r="G11" s="20">
        <f>SUM('1st Qtr'!G11, '2nd Qtr'!G11, '3rd Qtr'!G11, '4th Qtr'!G11)</f>
        <v>2179463.1</v>
      </c>
      <c r="H11" s="20">
        <f>SUM('1st Qtr'!H11, '2nd Qtr'!H11, '3rd Qtr'!H11, '4th Qtr'!H11)</f>
        <v>-172752.10000000009</v>
      </c>
      <c r="I11" s="19">
        <f t="shared" si="2"/>
        <v>-7.9263603958240947E-2</v>
      </c>
    </row>
    <row r="12" spans="1:9" ht="15.6">
      <c r="A12" s="12" t="str">
        <v>Ashby-Duffy</v>
      </c>
      <c r="B12" s="9" t="str">
        <v>MA</v>
      </c>
      <c r="C12" s="24">
        <f>SUM('1st Qtr'!C12, '2nd Qtr'!C12, '3rd Qtr'!C12, '4th Qtr'!C12)</f>
        <v>1801982</v>
      </c>
      <c r="D12" s="13">
        <f>SUM('1st Qtr'!D12, '2nd Qtr'!D12, '3rd Qtr'!D12, '4th Qtr'!D12)</f>
        <v>2389381.7000000002</v>
      </c>
      <c r="E12" s="13">
        <f t="shared" si="0"/>
        <v>-587399.70000000019</v>
      </c>
      <c r="F12" s="14">
        <f t="shared" si="1"/>
        <v>-0.24583753194393351</v>
      </c>
      <c r="G12" s="15">
        <f>SUM('1st Qtr'!G12, '2nd Qtr'!G12, '3rd Qtr'!G12, '4th Qtr'!G12)</f>
        <v>1995706.2999999998</v>
      </c>
      <c r="H12" s="15">
        <f>SUM('1st Qtr'!H12, '2nd Qtr'!H12, '3rd Qtr'!H12, '4th Qtr'!H12)</f>
        <v>-193724.30000000002</v>
      </c>
      <c r="I12" s="16">
        <f t="shared" si="2"/>
        <v>-9.7070545901468588E-2</v>
      </c>
    </row>
    <row r="13" spans="1:9" ht="15.6">
      <c r="A13" s="17" t="str">
        <v>Ashland</v>
      </c>
      <c r="B13" s="10" t="str">
        <v>MA</v>
      </c>
      <c r="C13" s="11">
        <f>SUM('1st Qtr'!C13, '2nd Qtr'!C13, '3rd Qtr'!C13, '4th Qtr'!C13)</f>
        <v>1850103</v>
      </c>
      <c r="D13" s="18">
        <f>SUM('1st Qtr'!D13, '2nd Qtr'!D13, '3rd Qtr'!D13, '4th Qtr'!D13)</f>
        <v>2161247.1</v>
      </c>
      <c r="E13" s="18">
        <f t="shared" si="0"/>
        <v>-311144.10000000009</v>
      </c>
      <c r="F13" s="19">
        <f t="shared" si="1"/>
        <v>-0.14396507460900704</v>
      </c>
      <c r="G13" s="20">
        <f>SUM('1st Qtr'!G13, '2nd Qtr'!G13, '3rd Qtr'!G13, '4th Qtr'!G13)</f>
        <v>2207105.5</v>
      </c>
      <c r="H13" s="20">
        <f>SUM('1st Qtr'!H13, '2nd Qtr'!H13, '3rd Qtr'!H13, '4th Qtr'!H13)</f>
        <v>-357002.50000000006</v>
      </c>
      <c r="I13" s="19">
        <f t="shared" si="2"/>
        <v>-0.16175144323640173</v>
      </c>
    </row>
    <row r="14" spans="1:9" ht="15.6">
      <c r="A14" s="12" t="str">
        <v>Barrington</v>
      </c>
      <c r="B14" s="9" t="str">
        <v>MA</v>
      </c>
      <c r="C14" s="24">
        <f>SUM('1st Qtr'!C14, '2nd Qtr'!C14, '3rd Qtr'!C14, '4th Qtr'!C14)</f>
        <v>403590.5</v>
      </c>
      <c r="D14" s="13">
        <f>SUM('1st Qtr'!D14, '2nd Qtr'!D14, '3rd Qtr'!D14, '4th Qtr'!D14)</f>
        <v>258008.38</v>
      </c>
      <c r="E14" s="13">
        <f t="shared" si="0"/>
        <v>145582.12</v>
      </c>
      <c r="F14" s="14">
        <f t="shared" si="1"/>
        <v>0.56425345564357243</v>
      </c>
      <c r="G14" s="15">
        <f>SUM('1st Qtr'!G14, '2nd Qtr'!G14, '3rd Qtr'!G14, '4th Qtr'!G14)</f>
        <v>493869.4</v>
      </c>
      <c r="H14" s="15">
        <f>SUM('1st Qtr'!H14, '2nd Qtr'!H14, '3rd Qtr'!H14, '4th Qtr'!H14)</f>
        <v>-90278.9</v>
      </c>
      <c r="I14" s="16">
        <f t="shared" si="2"/>
        <v>-0.18279913677583587</v>
      </c>
    </row>
    <row r="15" spans="1:9" ht="15.6">
      <c r="A15" s="17" t="str">
        <v>Bedford - 205 Burlington Rd</v>
      </c>
      <c r="B15" s="10" t="str">
        <v>MA</v>
      </c>
      <c r="C15" s="11">
        <f>SUM('1st Qtr'!C15, '2nd Qtr'!C15, '3rd Qtr'!C15, '4th Qtr'!C15)</f>
        <v>177534</v>
      </c>
      <c r="D15" s="18">
        <f>SUM('1st Qtr'!D15, '2nd Qtr'!D15, '3rd Qtr'!D15, '4th Qtr'!D15)</f>
        <v>0</v>
      </c>
      <c r="E15" s="18">
        <f t="shared" si="0"/>
        <v>177534</v>
      </c>
      <c r="F15" s="19" t="str">
        <f t="shared" si="1"/>
        <v/>
      </c>
      <c r="G15" s="20">
        <f>SUM('1st Qtr'!G15, '2nd Qtr'!G15, '3rd Qtr'!G15, '4th Qtr'!G15)</f>
        <v>0</v>
      </c>
      <c r="H15" s="20">
        <f>SUM('1st Qtr'!H15, '2nd Qtr'!H15, '3rd Qtr'!H15, '4th Qtr'!H15)</f>
        <v>0</v>
      </c>
      <c r="I15" s="19" t="str">
        <f t="shared" si="2"/>
        <v/>
      </c>
    </row>
    <row r="16" spans="1:9" ht="15.6">
      <c r="A16" s="12" t="str">
        <v>Billerica - 6 Cook Street</v>
      </c>
      <c r="B16" s="9" t="str">
        <v>MA</v>
      </c>
      <c r="C16" s="24">
        <f>SUM('1st Qtr'!C16, '2nd Qtr'!C16, '3rd Qtr'!C16, '4th Qtr'!C16)</f>
        <v>160153</v>
      </c>
      <c r="D16" s="13">
        <f>SUM('1st Qtr'!D16, '2nd Qtr'!D16, '3rd Qtr'!D16, '4th Qtr'!D16)</f>
        <v>0</v>
      </c>
      <c r="E16" s="13">
        <f t="shared" ref="E16:E19" si="3">IF(AND(ISNUMBER(C16),ISNUMBER(D16)), C16-D16, "")</f>
        <v>160153</v>
      </c>
      <c r="F16" s="14" t="str">
        <f t="shared" ref="F16:F19" si="4">IFERROR(E16/D16, "")</f>
        <v/>
      </c>
      <c r="G16" s="15">
        <f>SUM('1st Qtr'!G16, '2nd Qtr'!G16, '3rd Qtr'!G16, '4th Qtr'!G16)</f>
        <v>0</v>
      </c>
      <c r="H16" s="15">
        <f>SUM('1st Qtr'!H16, '2nd Qtr'!H16, '3rd Qtr'!H16, '4th Qtr'!H16)</f>
        <v>0</v>
      </c>
      <c r="I16" s="16" t="str">
        <f t="shared" ref="I16:I19" si="5">IFERROR(H16/G16, "")</f>
        <v/>
      </c>
    </row>
    <row r="17" spans="1:9" ht="15.6">
      <c r="A17" s="17" t="str">
        <v>Billerica - 780 Boston Road</v>
      </c>
      <c r="B17" s="10" t="str">
        <v>MA</v>
      </c>
      <c r="C17" s="11">
        <f>SUM('1st Qtr'!C17, '2nd Qtr'!C17, '3rd Qtr'!C17, '4th Qtr'!C17)</f>
        <v>181492</v>
      </c>
      <c r="D17" s="18">
        <f>SUM('1st Qtr'!D17, '2nd Qtr'!D17, '3rd Qtr'!D17, '4th Qtr'!D17)</f>
        <v>0</v>
      </c>
      <c r="E17" s="18">
        <f t="shared" si="3"/>
        <v>181492</v>
      </c>
      <c r="F17" s="19" t="str">
        <f t="shared" si="4"/>
        <v/>
      </c>
      <c r="G17" s="20">
        <f>SUM('1st Qtr'!G17, '2nd Qtr'!G17, '3rd Qtr'!G17, '4th Qtr'!G17)</f>
        <v>0</v>
      </c>
      <c r="H17" s="20">
        <f>SUM('1st Qtr'!H17, '2nd Qtr'!H17, '3rd Qtr'!H17, '4th Qtr'!H17)</f>
        <v>0</v>
      </c>
      <c r="I17" s="19" t="str">
        <f t="shared" si="5"/>
        <v/>
      </c>
    </row>
    <row r="18" spans="1:9" ht="12.75" customHeight="1">
      <c r="A18" s="12" t="str">
        <v>Cheshire</v>
      </c>
      <c r="B18" s="9" t="str">
        <v>MA</v>
      </c>
      <c r="C18" s="24">
        <f>SUM('1st Qtr'!C18, '2nd Qtr'!C18, '3rd Qtr'!C18, '4th Qtr'!C18)</f>
        <v>405698.5</v>
      </c>
      <c r="D18" s="13">
        <f>SUM('1st Qtr'!D18, '2nd Qtr'!D18, '3rd Qtr'!D18, '4th Qtr'!D18)</f>
        <v>468463.32999999996</v>
      </c>
      <c r="E18" s="13">
        <f t="shared" si="3"/>
        <v>-62764.829999999958</v>
      </c>
      <c r="F18" s="14">
        <f t="shared" si="4"/>
        <v>-0.13398024131365835</v>
      </c>
      <c r="G18" s="15">
        <f>SUM('1st Qtr'!G18, '2nd Qtr'!G18, '3rd Qtr'!G18, '4th Qtr'!G18)</f>
        <v>373013.3</v>
      </c>
      <c r="H18" s="15">
        <f>SUM('1st Qtr'!H18, '2nd Qtr'!H18, '3rd Qtr'!H18, '4th Qtr'!H18)</f>
        <v>32685.200000000001</v>
      </c>
      <c r="I18" s="16">
        <f t="shared" si="5"/>
        <v>8.762475761588126E-2</v>
      </c>
    </row>
    <row r="19" spans="1:9" ht="15.6">
      <c r="A19" s="17" t="str">
        <v>Lilly Lane</v>
      </c>
      <c r="B19" s="10" t="str">
        <v>MA</v>
      </c>
      <c r="C19" s="11">
        <f>SUM('1st Qtr'!C19, '2nd Qtr'!C19, '3rd Qtr'!C19, '4th Qtr'!C19)</f>
        <v>954301</v>
      </c>
      <c r="D19" s="18">
        <f>SUM('1st Qtr'!D19, '2nd Qtr'!D19, '3rd Qtr'!D19, '4th Qtr'!D19)</f>
        <v>977629.99</v>
      </c>
      <c r="E19" s="18">
        <f t="shared" si="3"/>
        <v>-23328.989999999991</v>
      </c>
      <c r="F19" s="19">
        <f t="shared" si="4"/>
        <v>-2.3862801099217498E-2</v>
      </c>
      <c r="G19" s="20">
        <f>SUM('1st Qtr'!G19, '2nd Qtr'!G19, '3rd Qtr'!G19, '4th Qtr'!G19)</f>
        <v>1113728.8999999999</v>
      </c>
      <c r="H19" s="20">
        <f>SUM('1st Qtr'!H19, '2nd Qtr'!H19, '3rd Qtr'!H19, '4th Qtr'!H19)</f>
        <v>-159427.90000000002</v>
      </c>
      <c r="I19" s="19">
        <f t="shared" si="5"/>
        <v>-0.14314785222867077</v>
      </c>
    </row>
    <row r="20" spans="1:9" ht="15.6">
      <c r="A20" s="12" t="str">
        <v>Monument Valley</v>
      </c>
      <c r="B20" s="9" t="str">
        <v>MA</v>
      </c>
      <c r="C20" s="24">
        <f>SUM('1st Qtr'!C20, '2nd Qtr'!C20, '3rd Qtr'!C20, '4th Qtr'!C20)</f>
        <v>1861763</v>
      </c>
      <c r="D20" s="13">
        <f>SUM('1st Qtr'!D20, '2nd Qtr'!D20, '3rd Qtr'!D20, '4th Qtr'!D20)</f>
        <v>614334.36</v>
      </c>
      <c r="E20" s="13">
        <f t="shared" ref="E20:E22" si="6">IF(AND(ISNUMBER(C20),ISNUMBER(D20)), C20-D20, "")</f>
        <v>1247428.6400000001</v>
      </c>
      <c r="F20" s="14">
        <f t="shared" ref="F20:F23" si="7">IFERROR(E20/D20, "")</f>
        <v>2.0305369864059046</v>
      </c>
      <c r="G20" s="15">
        <f>SUM('1st Qtr'!G20, '2nd Qtr'!G20, '3rd Qtr'!G20, '4th Qtr'!G20)</f>
        <v>0</v>
      </c>
      <c r="H20" s="15">
        <f>SUM('1st Qtr'!H20, '2nd Qtr'!H20, '3rd Qtr'!H20, '4th Qtr'!H20)</f>
        <v>1044429.710000001</v>
      </c>
      <c r="I20" s="16" t="str">
        <f t="shared" ref="I20:I23" si="8">IFERROR(H20/G20, "")</f>
        <v/>
      </c>
    </row>
    <row r="21" spans="1:9" ht="15.6">
      <c r="A21" s="17" t="str">
        <v>Nationwide</v>
      </c>
      <c r="B21" s="10" t="str">
        <v>MA</v>
      </c>
      <c r="C21" s="11">
        <f>SUM('1st Qtr'!C21, '2nd Qtr'!C21, '3rd Qtr'!C21, '4th Qtr'!C21)</f>
        <v>3016430</v>
      </c>
      <c r="D21" s="18">
        <f>SUM('1st Qtr'!D21, '2nd Qtr'!D21, '3rd Qtr'!D21, '4th Qtr'!D21)</f>
        <v>3066674.5999999996</v>
      </c>
      <c r="E21" s="18">
        <f t="shared" si="6"/>
        <v>-50244.599999999627</v>
      </c>
      <c r="F21" s="19">
        <f t="shared" si="7"/>
        <v>-1.6384066310784859E-2</v>
      </c>
      <c r="G21" s="20">
        <f>SUM('1st Qtr'!G21, '2nd Qtr'!G21, '3rd Qtr'!G21, '4th Qtr'!G21)</f>
        <v>3234570.8</v>
      </c>
      <c r="H21" s="20">
        <f>SUM('1st Qtr'!H21, '2nd Qtr'!H21, '3rd Qtr'!H21, '4th Qtr'!H21)</f>
        <v>-218140.79999999993</v>
      </c>
      <c r="I21" s="19">
        <f t="shared" si="8"/>
        <v>-6.7440415896909703E-2</v>
      </c>
    </row>
    <row r="22" spans="1:9" ht="15.6">
      <c r="A22" s="12" t="str">
        <v>Pulpit Hill</v>
      </c>
      <c r="B22" s="9" t="str">
        <v>MA</v>
      </c>
      <c r="C22" s="24">
        <f>SUM('1st Qtr'!C22, '2nd Qtr'!C22, '3rd Qtr'!C22, '4th Qtr'!C22)</f>
        <v>4315629.5</v>
      </c>
      <c r="D22" s="13">
        <f>SUM('1st Qtr'!D22, '2nd Qtr'!D22, '3rd Qtr'!D22, '4th Qtr'!D22)</f>
        <v>4444676.1000000006</v>
      </c>
      <c r="E22" s="13">
        <f t="shared" si="6"/>
        <v>-129046.60000000056</v>
      </c>
      <c r="F22" s="14">
        <f t="shared" si="7"/>
        <v>-2.9033971676811397E-2</v>
      </c>
      <c r="G22" s="15">
        <f>SUM('1st Qtr'!G22, '2nd Qtr'!G22, '3rd Qtr'!G22, '4th Qtr'!G22)</f>
        <v>4547116.2</v>
      </c>
      <c r="H22" s="15">
        <f>SUM('1st Qtr'!H22, '2nd Qtr'!H22, '3rd Qtr'!H22, '4th Qtr'!H22)</f>
        <v>-231486.6999999999</v>
      </c>
      <c r="I22" s="16">
        <f t="shared" si="8"/>
        <v>-5.0908463698376538E-2</v>
      </c>
    </row>
    <row r="23" spans="1:9" ht="15.6">
      <c r="A23" s="17" t="str">
        <v>Sandwich</v>
      </c>
      <c r="B23" s="10" t="str">
        <v>MA</v>
      </c>
      <c r="C23" s="11">
        <f>SUM('1st Qtr'!C23, '2nd Qtr'!C23, '3rd Qtr'!C23, '4th Qtr'!C23)</f>
        <v>3763136</v>
      </c>
      <c r="D23" s="18">
        <f>SUM('1st Qtr'!D23, '2nd Qtr'!D23, '3rd Qtr'!D23, '4th Qtr'!D23)</f>
        <v>2937181</v>
      </c>
      <c r="E23" s="18">
        <f t="shared" ref="E23:E34" si="9">IF(AND(ISNUMBER(C23),ISNUMBER(D23)), C23-D23, "")</f>
        <v>825955</v>
      </c>
      <c r="F23" s="19">
        <f t="shared" si="7"/>
        <v>0.28120670806463749</v>
      </c>
      <c r="G23" s="20">
        <f>SUM('1st Qtr'!G23, '2nd Qtr'!G23, '3rd Qtr'!G23, '4th Qtr'!G23)</f>
        <v>4569544</v>
      </c>
      <c r="H23" s="20">
        <f>SUM('1st Qtr'!H23, '2nd Qtr'!H23, '3rd Qtr'!H23, '4th Qtr'!H23)</f>
        <v>-806408</v>
      </c>
      <c r="I23" s="19">
        <f t="shared" si="8"/>
        <v>-0.17647450161329009</v>
      </c>
    </row>
    <row r="24" spans="1:9" ht="15.6">
      <c r="A24" s="12" t="str">
        <v>Sturbridge Barn</v>
      </c>
      <c r="B24" s="9" t="str">
        <v>MA</v>
      </c>
      <c r="C24" s="24">
        <f>SUM('1st Qtr'!C24, '2nd Qtr'!C24, '3rd Qtr'!C24, '4th Qtr'!C24)</f>
        <v>980580.5</v>
      </c>
      <c r="D24" s="13">
        <f>SUM('1st Qtr'!D24, '2nd Qtr'!D24, '3rd Qtr'!D24, '4th Qtr'!D24)</f>
        <v>1078100.8</v>
      </c>
      <c r="E24" s="13">
        <f t="shared" si="9"/>
        <v>-97520.300000000047</v>
      </c>
      <c r="F24" s="14">
        <f t="shared" ref="F24:F34" si="10">IFERROR(E24/D24, "")</f>
        <v>-9.0455641995627903E-2</v>
      </c>
      <c r="G24" s="15">
        <f>SUM('1st Qtr'!G24, '2nd Qtr'!G24, '3rd Qtr'!G24, '4th Qtr'!G24)</f>
        <v>1178941.1000000001</v>
      </c>
      <c r="H24" s="15">
        <f>SUM('1st Qtr'!H24, '2nd Qtr'!H24, '3rd Qtr'!H24, '4th Qtr'!H24)</f>
        <v>-198360.6</v>
      </c>
      <c r="I24" s="16">
        <f t="shared" ref="I24:I34" si="11">IFERROR(H24/G24, "")</f>
        <v>-0.16825318923905527</v>
      </c>
    </row>
    <row r="25" spans="1:9" ht="15.6">
      <c r="A25" s="17" t="str">
        <v>Sturbridge Garage</v>
      </c>
      <c r="B25" s="10" t="str">
        <v>MA</v>
      </c>
      <c r="C25" s="11">
        <f>SUM('1st Qtr'!C25, '2nd Qtr'!C25, '3rd Qtr'!C25, '4th Qtr'!C25)</f>
        <v>481532.75</v>
      </c>
      <c r="D25" s="18">
        <f>SUM('1st Qtr'!D25, '2nd Qtr'!D25, '3rd Qtr'!D25, '4th Qtr'!D25)</f>
        <v>512644.81999999995</v>
      </c>
      <c r="E25" s="18">
        <f t="shared" si="9"/>
        <v>-31112.069999999949</v>
      </c>
      <c r="F25" s="19">
        <f t="shared" si="10"/>
        <v>-6.068932872471032E-2</v>
      </c>
      <c r="G25" s="20">
        <f>SUM('1st Qtr'!G25, '2nd Qtr'!G25, '3rd Qtr'!G25, '4th Qtr'!G25)</f>
        <v>550143.92000000004</v>
      </c>
      <c r="H25" s="20">
        <f>SUM('1st Qtr'!H25, '2nd Qtr'!H25, '3rd Qtr'!H25, '4th Qtr'!H25)</f>
        <v>-68611.170000000013</v>
      </c>
      <c r="I25" s="19">
        <f t="shared" si="11"/>
        <v>-0.12471494731778551</v>
      </c>
    </row>
    <row r="26" spans="1:9" ht="15.6">
      <c r="A26" s="12" t="str">
        <v>Halsey Valley</v>
      </c>
      <c r="B26" s="9" t="str">
        <v>NY</v>
      </c>
      <c r="C26" s="24">
        <f>SUM('1st Qtr'!C26, '2nd Qtr'!C26, '3rd Qtr'!C26, '4th Qtr'!C26)</f>
        <v>4876836</v>
      </c>
      <c r="D26" s="13">
        <f>SUM('1st Qtr'!D26, '2nd Qtr'!D26, '3rd Qtr'!D26, '4th Qtr'!D26)</f>
        <v>5038925.5999999996</v>
      </c>
      <c r="E26" s="13">
        <f t="shared" si="9"/>
        <v>-162089.59999999963</v>
      </c>
      <c r="F26" s="14">
        <f t="shared" si="10"/>
        <v>-3.2167492213022481E-2</v>
      </c>
      <c r="G26" s="15">
        <f>SUM('1st Qtr'!G26, '2nd Qtr'!G26, '3rd Qtr'!G26, '4th Qtr'!G26)</f>
        <v>5486133</v>
      </c>
      <c r="H26" s="15">
        <f>SUM('1st Qtr'!H26, '2nd Qtr'!H26, '3rd Qtr'!H26, '4th Qtr'!H26)</f>
        <v>-609297</v>
      </c>
      <c r="I26" s="16">
        <f t="shared" si="11"/>
        <v>-0.1110612885250868</v>
      </c>
    </row>
    <row r="27" spans="1:9" ht="15.6">
      <c r="A27" s="17" t="str">
        <v>Hunt Creek</v>
      </c>
      <c r="B27" s="10" t="str">
        <v>NY</v>
      </c>
      <c r="C27" s="11">
        <f>SUM('1st Qtr'!C27, '2nd Qtr'!C27, '3rd Qtr'!C27, '4th Qtr'!C27)</f>
        <v>3289466</v>
      </c>
      <c r="D27" s="18">
        <f>SUM('1st Qtr'!D27, '2nd Qtr'!D27, '3rd Qtr'!D27, '4th Qtr'!D27)</f>
        <v>3659324.9000000004</v>
      </c>
      <c r="E27" s="18">
        <f t="shared" si="9"/>
        <v>-369858.90000000037</v>
      </c>
      <c r="F27" s="19">
        <f t="shared" si="10"/>
        <v>-0.1010729875338482</v>
      </c>
      <c r="G27" s="20">
        <f>SUM('1st Qtr'!G27, '2nd Qtr'!G27, '3rd Qtr'!G27, '4th Qtr'!G27)</f>
        <v>3859589</v>
      </c>
      <c r="H27" s="20">
        <f>SUM('1st Qtr'!H27, '2nd Qtr'!H27, '3rd Qtr'!H27, '4th Qtr'!H27)</f>
        <v>-570123</v>
      </c>
      <c r="I27" s="19">
        <f t="shared" si="11"/>
        <v>-0.14771598737585789</v>
      </c>
    </row>
    <row r="28" spans="1:9" ht="15.6">
      <c r="A28" s="12" t="str">
        <v>Smith Creek</v>
      </c>
      <c r="B28" s="9" t="str">
        <v>NY</v>
      </c>
      <c r="C28" s="24">
        <f>SUM('1st Qtr'!C28, '2nd Qtr'!C28, '3rd Qtr'!C28, '4th Qtr'!C28)</f>
        <v>3782529</v>
      </c>
      <c r="D28" s="13">
        <f>SUM('1st Qtr'!D28, '2nd Qtr'!D28, '3rd Qtr'!D28, '4th Qtr'!D28)</f>
        <v>4024952.3</v>
      </c>
      <c r="E28" s="13">
        <f t="shared" si="9"/>
        <v>-242423.29999999981</v>
      </c>
      <c r="F28" s="14">
        <f t="shared" si="10"/>
        <v>-6.0230105087208073E-2</v>
      </c>
      <c r="G28" s="15">
        <f>SUM('1st Qtr'!G28, '2nd Qtr'!G28, '3rd Qtr'!G28, '4th Qtr'!G28)</f>
        <v>4378140.2</v>
      </c>
      <c r="H28" s="15">
        <f>SUM('1st Qtr'!H28, '2nd Qtr'!H28, '3rd Qtr'!H28, '4th Qtr'!H28)</f>
        <v>-595611.19999999995</v>
      </c>
      <c r="I28" s="16">
        <f t="shared" si="11"/>
        <v>-0.13604205731008795</v>
      </c>
    </row>
    <row r="29" spans="1:9" ht="15.6">
      <c r="A29" s="17" t="str">
        <v>Bradford - 256 Presidential Dr</v>
      </c>
      <c r="B29" s="10" t="str">
        <v>MA</v>
      </c>
      <c r="C29" s="11">
        <f>SUM('1st Qtr'!C29, '2nd Qtr'!C29, '3rd Qtr'!C29, '4th Qtr'!C29)</f>
        <v>3195676.0980000002</v>
      </c>
      <c r="D29" s="18">
        <f>SUM('1st Qtr'!D29, '2nd Qtr'!D29, '3rd Qtr'!D29, '4th Qtr'!D29)</f>
        <v>1382228.9071</v>
      </c>
      <c r="E29" s="18">
        <f>IF(AND(ISNUMBER(C29),ISNUMBER(D29)), C29-D29, "")</f>
        <v>1813447.1909000003</v>
      </c>
      <c r="F29" s="19">
        <f>IFERROR(E29/D29, "")</f>
        <v>1.3119731338166862</v>
      </c>
      <c r="G29" s="20">
        <f>SUM('1st Qtr'!G29, '2nd Qtr'!G29, '3rd Qtr'!G29, '4th Qtr'!G29)</f>
        <v>1600941.7000000002</v>
      </c>
      <c r="H29" s="20">
        <f>SUM('1st Qtr'!H29, '2nd Qtr'!H29, '3rd Qtr'!H29, '4th Qtr'!H29)</f>
        <v>-306879.20000000007</v>
      </c>
      <c r="I29" s="19">
        <f>IFERROR(H29/G29, "")</f>
        <v>-0.19168668040816228</v>
      </c>
    </row>
    <row r="30" spans="1:9" ht="15.6">
      <c r="A30" s="12" t="str">
        <v>Charlton – 111 Brookfield Road - Bus Lot</v>
      </c>
      <c r="B30" s="9" t="str">
        <v>MA</v>
      </c>
      <c r="C30" s="24">
        <f>SUM('1st Qtr'!C30, '2nd Qtr'!C30, '3rd Qtr'!C30, '4th Qtr'!C30)</f>
        <v>392602.15600000002</v>
      </c>
      <c r="D30" s="13">
        <f>SUM('1st Qtr'!D30, '2nd Qtr'!D30, '3rd Qtr'!D30, '4th Qtr'!D30)</f>
        <v>128503.38427000001</v>
      </c>
      <c r="E30" s="13">
        <f t="shared" si="9"/>
        <v>264098.77173000004</v>
      </c>
      <c r="F30" s="14">
        <f t="shared" si="10"/>
        <v>2.0551892327994952</v>
      </c>
      <c r="G30" s="15">
        <f>SUM('1st Qtr'!G30, '2nd Qtr'!G30, '3rd Qtr'!G30, '4th Qtr'!G30)</f>
        <v>198897.25</v>
      </c>
      <c r="H30" s="15">
        <f>SUM('1st Qtr'!H30, '2nd Qtr'!H30, '3rd Qtr'!H30, '4th Qtr'!H30)</f>
        <v>-53359.250000000007</v>
      </c>
      <c r="I30" s="16">
        <f t="shared" si="11"/>
        <v>-0.2682754537832977</v>
      </c>
    </row>
    <row r="31" spans="1:9" ht="15.6">
      <c r="A31" s="17" t="str">
        <v>Charlton – 154 Center Depot Road KMARD</v>
      </c>
      <c r="B31" s="10" t="str">
        <v>MA</v>
      </c>
      <c r="C31" s="11">
        <f>SUM('1st Qtr'!C31, '2nd Qtr'!C31, '3rd Qtr'!C31, '4th Qtr'!C31)</f>
        <v>320263.97200000001</v>
      </c>
      <c r="D31" s="18">
        <f>SUM('1st Qtr'!D31, '2nd Qtr'!D31, '3rd Qtr'!D31, '4th Qtr'!D31)</f>
        <v>176882.00101000001</v>
      </c>
      <c r="E31" s="18">
        <f t="shared" si="9"/>
        <v>143381.97099</v>
      </c>
      <c r="F31" s="19">
        <f t="shared" si="10"/>
        <v>0.81060803344198895</v>
      </c>
      <c r="G31" s="20">
        <f>SUM('1st Qtr'!G31, '2nd Qtr'!G31, '3rd Qtr'!G31, '4th Qtr'!G31)</f>
        <v>192235.16</v>
      </c>
      <c r="H31" s="20">
        <f>SUM('1st Qtr'!H31, '2nd Qtr'!H31, '3rd Qtr'!H31, '4th Qtr'!H31)</f>
        <v>-86185.16</v>
      </c>
      <c r="I31" s="19">
        <f t="shared" si="11"/>
        <v>-0.44833192845679221</v>
      </c>
    </row>
    <row r="32" spans="1:9" ht="15.6">
      <c r="A32" s="12" t="str">
        <v>Charlton – 142A Brookfield Rd (Mitchell)</v>
      </c>
      <c r="B32" s="9" t="str">
        <v>MA</v>
      </c>
      <c r="C32" s="24">
        <f>SUM('1st Qtr'!C32, '2nd Qtr'!C32, '3rd Qtr'!C32, '4th Qtr'!C32)</f>
        <v>363425.94799999997</v>
      </c>
      <c r="D32" s="13">
        <f>SUM('1st Qtr'!D32, '2nd Qtr'!D32, '3rd Qtr'!D32, '4th Qtr'!D32)</f>
        <v>187579.0295</v>
      </c>
      <c r="E32" s="13">
        <f t="shared" si="9"/>
        <v>175846.91849999997</v>
      </c>
      <c r="F32" s="14">
        <f t="shared" si="10"/>
        <v>0.93745510342348781</v>
      </c>
      <c r="G32" s="15">
        <f>SUM('1st Qtr'!G32, '2nd Qtr'!G32, '3rd Qtr'!G32, '4th Qtr'!G32)</f>
        <v>200400.58000000002</v>
      </c>
      <c r="H32" s="15">
        <f>SUM('1st Qtr'!H32, '2nd Qtr'!H32, '3rd Qtr'!H32, '4th Qtr'!H32)</f>
        <v>-61250.58</v>
      </c>
      <c r="I32" s="16">
        <f t="shared" si="11"/>
        <v>-0.30564073217752163</v>
      </c>
    </row>
    <row r="33" spans="1:9" ht="15.6">
      <c r="A33" s="17" t="str">
        <v>Great Barrington – 3 Nolan  Drive</v>
      </c>
      <c r="B33" s="10" t="str">
        <v>MA</v>
      </c>
      <c r="C33" s="11">
        <f>SUM('1st Qtr'!C33, '2nd Qtr'!C33, '3rd Qtr'!C33, '4th Qtr'!C33)</f>
        <v>712841.59270000004</v>
      </c>
      <c r="D33" s="18">
        <f>SUM('1st Qtr'!D33, '2nd Qtr'!D33, '3rd Qtr'!D33, '4th Qtr'!D33)</f>
        <v>358533.43728000001</v>
      </c>
      <c r="E33" s="18">
        <f t="shared" si="9"/>
        <v>354308.15542000002</v>
      </c>
      <c r="F33" s="19">
        <f t="shared" si="10"/>
        <v>0.98821509677854613</v>
      </c>
      <c r="G33" s="20">
        <f>SUM('1st Qtr'!G33, '2nd Qtr'!G33, '3rd Qtr'!G33, '4th Qtr'!G33)</f>
        <v>397534.78</v>
      </c>
      <c r="H33" s="20">
        <f>SUM('1st Qtr'!H33, '2nd Qtr'!H33, '3rd Qtr'!H33, '4th Qtr'!H33)</f>
        <v>-146799.28330000001</v>
      </c>
      <c r="I33" s="19">
        <f t="shared" si="11"/>
        <v>-0.36927406276250846</v>
      </c>
    </row>
    <row r="34" spans="1:9" ht="15.6">
      <c r="A34" s="12" t="str">
        <v>Stockbridge – 92 State Line Road Truck Stop</v>
      </c>
      <c r="B34" s="9" t="str">
        <v>MA</v>
      </c>
      <c r="C34" s="24">
        <f>SUM('1st Qtr'!C34, '2nd Qtr'!C34, '3rd Qtr'!C34, '4th Qtr'!C34)</f>
        <v>1330540.1940000001</v>
      </c>
      <c r="D34" s="13">
        <f>SUM('1st Qtr'!D34, '2nd Qtr'!D34, '3rd Qtr'!D34, '4th Qtr'!D34)</f>
        <v>680989.01930000004</v>
      </c>
      <c r="E34" s="13">
        <f t="shared" si="9"/>
        <v>649551.17470000009</v>
      </c>
      <c r="F34" s="14">
        <f t="shared" si="10"/>
        <v>0.95383501978884266</v>
      </c>
      <c r="G34" s="15">
        <f>SUM('1st Qtr'!G34, '2nd Qtr'!G34, '3rd Qtr'!G34, '4th Qtr'!G34)</f>
        <v>775023.41999999993</v>
      </c>
      <c r="H34" s="15">
        <f>SUM('1st Qtr'!H34, '2nd Qtr'!H34, '3rd Qtr'!H34, '4th Qtr'!H34)</f>
        <v>-313585.42</v>
      </c>
      <c r="I34" s="16">
        <f t="shared" si="11"/>
        <v>-0.40461412120939522</v>
      </c>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9" priority="1" stopIfTrue="1" operator="lessThanOrEqual">
      <formula>-0.1</formula>
    </cfRule>
    <cfRule type="expression" dxfId="5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C4" activePane="bottomRight" state="frozen"/>
      <selection pane="bottomRight" activeCell="E39" sqref="E39"/>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Lodestar</v>
      </c>
      <c r="B1" s="87"/>
      <c r="C1" s="87"/>
      <c r="D1" s="88" t="s">
        <v>10</v>
      </c>
      <c r="E1" s="88"/>
      <c r="F1" s="88"/>
      <c r="G1" s="86" t="s">
        <v>11</v>
      </c>
      <c r="H1" s="86"/>
      <c r="I1" s="86"/>
    </row>
    <row r="2" spans="1:9" ht="19.5" customHeight="1">
      <c r="A2" s="89" t="s">
        <v>2</v>
      </c>
      <c r="B2" s="89"/>
      <c r="C2" s="5">
        <f>SUM(C4:C103)</f>
        <v>16452264.070525758</v>
      </c>
      <c r="D2" s="5">
        <f>SUM(D4:D103)</f>
        <v>19797903.058459997</v>
      </c>
      <c r="E2" s="5">
        <f>C2-D2</f>
        <v>-3345638.9879342392</v>
      </c>
      <c r="F2" s="6">
        <f>IFERROR(E2/D2, 0)</f>
        <v>-0.1689895630893388</v>
      </c>
      <c r="G2" s="5">
        <f>SUM(G4:G103)</f>
        <v>18375451.880000003</v>
      </c>
      <c r="H2" s="7">
        <f>C2-G2</f>
        <v>-1923187.8094742447</v>
      </c>
      <c r="I2" s="6">
        <f>IFERROR(H2/G2, 0)</f>
        <v>-0.10466070832072753</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SUM(Jan!C4, Feb!C4, Mar!C4)</f>
        <v>268344</v>
      </c>
      <c r="D4" s="13">
        <f>SUM(Jan!D4, Feb!D4, Mar!D4)</f>
        <v>421750.9</v>
      </c>
      <c r="E4" s="13">
        <f>IF(AND(ISNUMBER(C4),ISNUMBER(D4)), C4-D4, "")</f>
        <v>-153406.90000000002</v>
      </c>
      <c r="F4" s="14">
        <f>IFERROR(E4/D4, "")</f>
        <v>-0.36373816866780845</v>
      </c>
      <c r="G4" s="15">
        <f>SUM(Jan!G4, Feb!G4, Mar!G4)</f>
        <v>378669.74</v>
      </c>
      <c r="H4" s="15">
        <f>SUM(Jan!H4, Feb!H4, Mar!H4)</f>
        <v>-110325.74</v>
      </c>
      <c r="I4" s="16">
        <f>IFERROR(H4/G4, "")</f>
        <v>-0.29135082195899786</v>
      </c>
    </row>
    <row r="5" spans="1:9" ht="15.6">
      <c r="A5" s="43" t="str">
        <v>Bunce</v>
      </c>
      <c r="B5" s="10" t="str">
        <v>CT</v>
      </c>
      <c r="C5" s="11">
        <f>SUM(Jan!C5, Feb!C5, Mar!C5)</f>
        <v>601753.5</v>
      </c>
      <c r="D5" s="18">
        <f>SUM(Jan!D5, Feb!D5, Mar!D5)</f>
        <v>684621.1</v>
      </c>
      <c r="E5" s="18">
        <f t="shared" ref="E5:E15" si="0">IF(AND(ISNUMBER(C5),ISNUMBER(D5)), C5-D5, "")</f>
        <v>-82867.599999999977</v>
      </c>
      <c r="F5" s="19">
        <f>IFERROR(E5/D5, "")</f>
        <v>-0.121041551304802</v>
      </c>
      <c r="G5" s="20">
        <f>SUM(Jan!G5, Feb!G5, Mar!G5)</f>
        <v>0</v>
      </c>
      <c r="H5" s="20">
        <f>SUM(Jan!H5, Feb!H5, Mar!H5)</f>
        <v>0</v>
      </c>
      <c r="I5" s="19" t="str">
        <f>IFERROR(H5/G5, "")</f>
        <v/>
      </c>
    </row>
    <row r="6" spans="1:9" ht="15.6">
      <c r="A6" s="42" t="str">
        <v>Norcap North</v>
      </c>
      <c r="B6" s="9" t="str">
        <v>CT</v>
      </c>
      <c r="C6" s="24">
        <f>SUM(Jan!C6, Feb!C6, Mar!C6)</f>
        <v>665544</v>
      </c>
      <c r="D6" s="13">
        <f>SUM(Jan!D6, Feb!D6, Mar!D6)</f>
        <v>901318.4</v>
      </c>
      <c r="E6" s="13">
        <f t="shared" si="0"/>
        <v>-235774.40000000002</v>
      </c>
      <c r="F6" s="14">
        <f t="shared" ref="F6:F15" si="1">IFERROR(E6/D6, "")</f>
        <v>-0.26158835767693195</v>
      </c>
      <c r="G6" s="15">
        <f>SUM(Jan!G6, Feb!G6, Mar!G6)</f>
        <v>696719.6</v>
      </c>
      <c r="H6" s="15">
        <f>SUM(Jan!H6, Feb!H6, Mar!H6)</f>
        <v>-31175.600000000006</v>
      </c>
      <c r="I6" s="16">
        <f t="shared" ref="I6:I15" si="2">IFERROR(H6/G6, "")</f>
        <v>-4.4746265212002083E-2</v>
      </c>
    </row>
    <row r="7" spans="1:9" ht="15.6">
      <c r="A7" s="43" t="str">
        <v>Norcap South</v>
      </c>
      <c r="B7" s="10" t="str">
        <v>CT</v>
      </c>
      <c r="C7" s="11">
        <f>SUM(Jan!C7, Feb!C7, Mar!C7)</f>
        <v>722340.5</v>
      </c>
      <c r="D7" s="18">
        <f>SUM(Jan!D7, Feb!D7, Mar!D7)</f>
        <v>975622.90000000014</v>
      </c>
      <c r="E7" s="18">
        <f t="shared" si="0"/>
        <v>-253282.40000000014</v>
      </c>
      <c r="F7" s="19">
        <f t="shared" si="1"/>
        <v>-0.25961096239130926</v>
      </c>
      <c r="G7" s="20">
        <f>SUM(Jan!G7, Feb!G7, Mar!G7)</f>
        <v>656577.69999999995</v>
      </c>
      <c r="H7" s="20">
        <f>SUM(Jan!H7, Feb!H7, Mar!H7)</f>
        <v>65762.799999999988</v>
      </c>
      <c r="I7" s="19">
        <f t="shared" si="2"/>
        <v>0.10015996583496514</v>
      </c>
    </row>
    <row r="8" spans="1:9" ht="15.6">
      <c r="A8" s="42" t="str">
        <v>Platt Hill</v>
      </c>
      <c r="B8" s="9" t="str">
        <v>CT</v>
      </c>
      <c r="C8" s="24">
        <f>SUM(Jan!C8, Feb!C8, Mar!C8)</f>
        <v>558121</v>
      </c>
      <c r="D8" s="13">
        <f>SUM(Jan!D8, Feb!D8, Mar!D8)</f>
        <v>824707.8</v>
      </c>
      <c r="E8" s="13">
        <f t="shared" si="0"/>
        <v>-266586.80000000005</v>
      </c>
      <c r="F8" s="14">
        <f t="shared" si="1"/>
        <v>-0.32325000442580998</v>
      </c>
      <c r="G8" s="15">
        <f>SUM(Jan!G8, Feb!G8, Mar!G8)</f>
        <v>857153.4</v>
      </c>
      <c r="H8" s="15">
        <f>SUM(Jan!H8, Feb!H8, Mar!H8)</f>
        <v>-299032.40000000002</v>
      </c>
      <c r="I8" s="16">
        <f t="shared" si="2"/>
        <v>-0.34886684227117343</v>
      </c>
    </row>
    <row r="9" spans="1:9" ht="15.6">
      <c r="A9" s="43" t="str">
        <v>Powder Hill</v>
      </c>
      <c r="B9" s="10" t="str">
        <v>CT</v>
      </c>
      <c r="C9" s="11">
        <f>SUM(Jan!C9, Feb!C9, Mar!C9)</f>
        <v>636559</v>
      </c>
      <c r="D9" s="18">
        <f>SUM(Jan!D9, Feb!D9, Mar!D9)</f>
        <v>764818.10000000009</v>
      </c>
      <c r="E9" s="18">
        <f t="shared" si="0"/>
        <v>-128259.10000000009</v>
      </c>
      <c r="F9" s="19">
        <f t="shared" si="1"/>
        <v>-0.1676988293033338</v>
      </c>
      <c r="G9" s="20">
        <f>SUM(Jan!G9, Feb!G9, Mar!G9)</f>
        <v>566964</v>
      </c>
      <c r="H9" s="20">
        <f>SUM(Jan!H9, Feb!H9, Mar!H9)</f>
        <v>69595</v>
      </c>
      <c r="I9" s="19">
        <f t="shared" si="2"/>
        <v>0.12275029807889037</v>
      </c>
    </row>
    <row r="10" spans="1:9" ht="15.6">
      <c r="A10" s="42" t="str">
        <v>Sand Road</v>
      </c>
      <c r="B10" s="9" t="str">
        <v>CT</v>
      </c>
      <c r="C10" s="24">
        <f>SUM(Jan!C10, Feb!C10, Mar!C10)</f>
        <v>629363</v>
      </c>
      <c r="D10" s="13">
        <f>SUM(Jan!D10, Feb!D10, Mar!D10)</f>
        <v>693953.2</v>
      </c>
      <c r="E10" s="13">
        <f t="shared" si="0"/>
        <v>-64590.199999999953</v>
      </c>
      <c r="F10" s="14">
        <f t="shared" si="1"/>
        <v>-9.3075729026107182E-2</v>
      </c>
      <c r="G10" s="15">
        <f>SUM(Jan!G10, Feb!G10, Mar!G10)</f>
        <v>602989</v>
      </c>
      <c r="H10" s="15">
        <f>SUM(Jan!H10, Feb!H10, Mar!H10)</f>
        <v>26374</v>
      </c>
      <c r="I10" s="16">
        <f t="shared" si="2"/>
        <v>4.3738774670848059E-2</v>
      </c>
    </row>
    <row r="11" spans="1:9" ht="15.6">
      <c r="A11" s="43" t="str">
        <v>Suffield</v>
      </c>
      <c r="B11" s="10" t="str">
        <v>CT</v>
      </c>
      <c r="C11" s="11">
        <f>SUM(Jan!C11, Feb!C11, Mar!C11)</f>
        <v>646808</v>
      </c>
      <c r="D11" s="18">
        <f>SUM(Jan!D11, Feb!D11, Mar!D11)</f>
        <v>747386.4</v>
      </c>
      <c r="E11" s="18">
        <f t="shared" si="0"/>
        <v>-100578.40000000002</v>
      </c>
      <c r="F11" s="19">
        <f t="shared" si="1"/>
        <v>-0.13457349504887969</v>
      </c>
      <c r="G11" s="20">
        <f>SUM(Jan!G11, Feb!G11, Mar!G11)</f>
        <v>728845.7</v>
      </c>
      <c r="H11" s="20">
        <f>SUM(Jan!H11, Feb!H11, Mar!H11)</f>
        <v>-82037.700000000012</v>
      </c>
      <c r="I11" s="19">
        <f t="shared" si="2"/>
        <v>-0.1125583919888668</v>
      </c>
    </row>
    <row r="12" spans="1:9" ht="15.6">
      <c r="A12" s="42" t="str">
        <v>Ashby-Duffy</v>
      </c>
      <c r="B12" s="9" t="str">
        <v>MA</v>
      </c>
      <c r="C12" s="24">
        <f>SUM(Jan!C12, Feb!C12, Mar!C12)</f>
        <v>531938</v>
      </c>
      <c r="D12" s="13">
        <f>SUM(Jan!D12, Feb!D12, Mar!D12)</f>
        <v>986411</v>
      </c>
      <c r="E12" s="13">
        <f t="shared" si="0"/>
        <v>-454473</v>
      </c>
      <c r="F12" s="14">
        <f t="shared" si="1"/>
        <v>-0.46073391314573742</v>
      </c>
      <c r="G12" s="15">
        <f>SUM(Jan!G12, Feb!G12, Mar!G12)</f>
        <v>648393.39999999991</v>
      </c>
      <c r="H12" s="15">
        <f>SUM(Jan!H12, Feb!H12, Mar!H12)</f>
        <v>-116455.4</v>
      </c>
      <c r="I12" s="16">
        <f t="shared" si="2"/>
        <v>-0.17960608482442914</v>
      </c>
    </row>
    <row r="13" spans="1:9" ht="15.6">
      <c r="A13" s="43" t="str">
        <v>Ashland</v>
      </c>
      <c r="B13" s="10" t="str">
        <v>MA</v>
      </c>
      <c r="C13" s="11">
        <f>SUM(Jan!C13, Feb!C13, Mar!C13)</f>
        <v>531484</v>
      </c>
      <c r="D13" s="18">
        <f>SUM(Jan!D13, Feb!D13, Mar!D13)</f>
        <v>790545.5</v>
      </c>
      <c r="E13" s="18">
        <f t="shared" si="0"/>
        <v>-259061.5</v>
      </c>
      <c r="F13" s="19">
        <f t="shared" si="1"/>
        <v>-0.32769967067044214</v>
      </c>
      <c r="G13" s="20">
        <f>SUM(Jan!G13, Feb!G13, Mar!G13)</f>
        <v>680224.10000000009</v>
      </c>
      <c r="H13" s="20">
        <f>SUM(Jan!H13, Feb!H13, Mar!H13)</f>
        <v>-148740.10000000003</v>
      </c>
      <c r="I13" s="19">
        <f t="shared" si="2"/>
        <v>-0.21866337873062719</v>
      </c>
    </row>
    <row r="14" spans="1:9" ht="15.6">
      <c r="A14" s="42" t="str">
        <v>Barrington</v>
      </c>
      <c r="B14" s="9" t="str">
        <v>MA</v>
      </c>
      <c r="C14" s="24">
        <f>SUM(Jan!C14, Feb!C14, Mar!C14)</f>
        <v>112260.5</v>
      </c>
      <c r="D14" s="13">
        <f>SUM(Jan!D14, Feb!D14, Mar!D14)</f>
        <v>75219.05</v>
      </c>
      <c r="E14" s="13">
        <f t="shared" si="0"/>
        <v>37041.449999999997</v>
      </c>
      <c r="F14" s="14">
        <f t="shared" si="1"/>
        <v>0.49244772434642547</v>
      </c>
      <c r="G14" s="15">
        <f>SUM(Jan!G14, Feb!G14, Mar!G14)</f>
        <v>159190</v>
      </c>
      <c r="H14" s="15">
        <f>SUM(Jan!H14, Feb!H14, Mar!H14)</f>
        <v>-46929.5</v>
      </c>
      <c r="I14" s="16">
        <f t="shared" si="2"/>
        <v>-0.29480180915886678</v>
      </c>
    </row>
    <row r="15" spans="1:9" ht="15.6">
      <c r="A15" s="43" t="str">
        <v>Bedford - 205 Burlington Rd</v>
      </c>
      <c r="B15" s="10" t="str">
        <v>MA</v>
      </c>
      <c r="C15" s="11">
        <f>SUM(Jan!C15, Feb!C15, Mar!C15)</f>
        <v>54600</v>
      </c>
      <c r="D15" s="18">
        <f>SUM(Jan!D15, Feb!D15, Mar!D15)</f>
        <v>0</v>
      </c>
      <c r="E15" s="18">
        <f t="shared" si="0"/>
        <v>54600</v>
      </c>
      <c r="F15" s="19" t="str">
        <f t="shared" si="1"/>
        <v/>
      </c>
      <c r="G15" s="20">
        <f>SUM(Jan!G15, Feb!G15, Mar!G15)</f>
        <v>0</v>
      </c>
      <c r="H15" s="20">
        <f>SUM(Jan!H15, Feb!H15, Mar!H15)</f>
        <v>0</v>
      </c>
      <c r="I15" s="19" t="str">
        <f t="shared" si="2"/>
        <v/>
      </c>
    </row>
    <row r="16" spans="1:9" ht="15.6">
      <c r="A16" s="42" t="str">
        <v>Billerica - 6 Cook Street</v>
      </c>
      <c r="B16" s="9" t="str">
        <v>MA</v>
      </c>
      <c r="C16" s="24">
        <f>SUM(Jan!C16, Feb!C16, Mar!C16)</f>
        <v>47090</v>
      </c>
      <c r="D16" s="13">
        <f>SUM(Jan!D16, Feb!D16, Mar!D16)</f>
        <v>0</v>
      </c>
      <c r="E16" s="13">
        <f t="shared" ref="E16:E18" si="3">IF(AND(ISNUMBER(C16),ISNUMBER(D16)), C16-D16, "")</f>
        <v>47090</v>
      </c>
      <c r="F16" s="14" t="str">
        <f t="shared" ref="F16:F22" si="4">IFERROR(E16/D16, "")</f>
        <v/>
      </c>
      <c r="G16" s="15">
        <f>SUM(Jan!G16, Feb!G16, Mar!G16)</f>
        <v>0</v>
      </c>
      <c r="H16" s="15">
        <f>SUM(Jan!H16, Feb!H16, Mar!H16)</f>
        <v>0</v>
      </c>
      <c r="I16" s="16" t="str">
        <f t="shared" ref="I16:I22" si="5">IFERROR(H16/G16, "")</f>
        <v/>
      </c>
    </row>
    <row r="17" spans="1:9" ht="15.6">
      <c r="A17" s="43" t="str">
        <v>Billerica - 780 Boston Road</v>
      </c>
      <c r="B17" s="10" t="str">
        <v>MA</v>
      </c>
      <c r="C17" s="11">
        <f>SUM(Jan!C17, Feb!C17, Mar!C17)</f>
        <v>52916</v>
      </c>
      <c r="D17" s="18">
        <f>SUM(Jan!D17, Feb!D17, Mar!D17)</f>
        <v>0</v>
      </c>
      <c r="E17" s="18">
        <f t="shared" si="3"/>
        <v>52916</v>
      </c>
      <c r="F17" s="19" t="str">
        <f t="shared" si="4"/>
        <v/>
      </c>
      <c r="G17" s="20">
        <f>SUM(Jan!G17, Feb!G17, Mar!G17)</f>
        <v>0</v>
      </c>
      <c r="H17" s="20">
        <f>SUM(Jan!H17, Feb!H17, Mar!H17)</f>
        <v>0</v>
      </c>
      <c r="I17" s="19" t="str">
        <f t="shared" si="5"/>
        <v/>
      </c>
    </row>
    <row r="18" spans="1:9" ht="12.75" customHeight="1">
      <c r="A18" s="42" t="str">
        <v>Cheshire</v>
      </c>
      <c r="B18" s="9" t="str">
        <v>MA</v>
      </c>
      <c r="C18" s="24">
        <f>SUM(Jan!C18, Feb!C18, Mar!C18)</f>
        <v>105971.0388257578</v>
      </c>
      <c r="D18" s="13">
        <f>SUM(Jan!D18, Feb!D18, Mar!D18)</f>
        <v>161225.96</v>
      </c>
      <c r="E18" s="13">
        <f t="shared" si="3"/>
        <v>-55254.92117424219</v>
      </c>
      <c r="F18" s="14">
        <f t="shared" si="4"/>
        <v>-0.34271727192222762</v>
      </c>
      <c r="G18" s="15">
        <f>SUM(Jan!G18, Feb!G18, Mar!G18)</f>
        <v>105817.65</v>
      </c>
      <c r="H18" s="15">
        <f>SUM(Jan!H18, Feb!H18, Mar!H18)</f>
        <v>153.38882575780372</v>
      </c>
      <c r="I18" s="16">
        <f t="shared" si="5"/>
        <v>1.449558044029552E-3</v>
      </c>
    </row>
    <row r="19" spans="1:9" ht="15.6">
      <c r="A19" s="43" t="str">
        <v>Lilly Lane</v>
      </c>
      <c r="B19" s="10" t="str">
        <v>MA</v>
      </c>
      <c r="C19" s="11">
        <f>SUM(Jan!C19, Feb!C19, Mar!C19)</f>
        <v>287612.5</v>
      </c>
      <c r="D19" s="18">
        <f>SUM(Jan!D19, Feb!D19, Mar!D19)</f>
        <v>337821.29</v>
      </c>
      <c r="E19" s="18">
        <f t="shared" ref="E19:E34" si="6">IF(AND(ISNUMBER(C19),ISNUMBER(D19)), C19-D19, "")</f>
        <v>-50208.789999999979</v>
      </c>
      <c r="F19" s="19">
        <f t="shared" ref="F19:F34" si="7">IFERROR(E19/D19, "")</f>
        <v>-0.14862529830491139</v>
      </c>
      <c r="G19" s="20">
        <f>SUM(Jan!G19, Feb!G19, Mar!G19)</f>
        <v>405645</v>
      </c>
      <c r="H19" s="20">
        <f>SUM(Jan!H19, Feb!H19, Mar!H19)</f>
        <v>-118032.50000000001</v>
      </c>
      <c r="I19" s="19">
        <f t="shared" ref="I19:I34" si="8">IFERROR(H19/G19, "")</f>
        <v>-0.29097486718682597</v>
      </c>
    </row>
    <row r="20" spans="1:9" ht="15.6">
      <c r="A20" s="42" t="str">
        <v>Monument Valley</v>
      </c>
      <c r="B20" s="9" t="str">
        <v>MA</v>
      </c>
      <c r="C20" s="24">
        <f>SUM(Jan!C20, Feb!C20, Mar!C20)</f>
        <v>504123.78499999997</v>
      </c>
      <c r="D20" s="13">
        <f>SUM(Jan!D20, Feb!D20, Mar!D20)</f>
        <v>150513.18</v>
      </c>
      <c r="E20" s="13">
        <f t="shared" si="6"/>
        <v>353610.60499999998</v>
      </c>
      <c r="F20" s="14">
        <f t="shared" si="4"/>
        <v>2.3493663810704151</v>
      </c>
      <c r="G20" s="15">
        <f>SUM(Jan!G20, Feb!G20, Mar!G20)</f>
        <v>0</v>
      </c>
      <c r="H20" s="15">
        <f>SUM(Jan!H20, Feb!H20, Mar!H20)</f>
        <v>0</v>
      </c>
      <c r="I20" s="16" t="str">
        <f t="shared" si="5"/>
        <v/>
      </c>
    </row>
    <row r="21" spans="1:9" ht="15.6">
      <c r="A21" s="43" t="str">
        <v>Nationwide</v>
      </c>
      <c r="B21" s="10" t="str">
        <v>MA</v>
      </c>
      <c r="C21" s="11">
        <f>SUM(Jan!C21, Feb!C21, Mar!C21)</f>
        <v>727663</v>
      </c>
      <c r="D21" s="18">
        <f>SUM(Jan!D21, Feb!D21, Mar!D21)</f>
        <v>1141247.2</v>
      </c>
      <c r="E21" s="18">
        <f t="shared" si="6"/>
        <v>-413584.19999999995</v>
      </c>
      <c r="F21" s="19">
        <f t="shared" si="7"/>
        <v>-0.36239668320763457</v>
      </c>
      <c r="G21" s="20">
        <f>SUM(Jan!G21, Feb!G21, Mar!G21)</f>
        <v>1092285.2</v>
      </c>
      <c r="H21" s="20">
        <f>SUM(Jan!H21, Feb!H21, Mar!H21)</f>
        <v>-364622.19999999995</v>
      </c>
      <c r="I21" s="19">
        <f t="shared" si="8"/>
        <v>-0.33381593012520905</v>
      </c>
    </row>
    <row r="22" spans="1:9" ht="15.6">
      <c r="A22" s="42" t="str">
        <v>Pulpit Hill</v>
      </c>
      <c r="B22" s="9" t="str">
        <v>MA</v>
      </c>
      <c r="C22" s="24">
        <f>SUM(Jan!C22, Feb!C22, Mar!C22)</f>
        <v>1299577.25</v>
      </c>
      <c r="D22" s="13">
        <f>SUM(Jan!D22, Feb!D22, Mar!D22)</f>
        <v>1581139.1</v>
      </c>
      <c r="E22" s="13">
        <f t="shared" si="6"/>
        <v>-281561.85000000009</v>
      </c>
      <c r="F22" s="14">
        <f t="shared" si="4"/>
        <v>-0.17807531924294331</v>
      </c>
      <c r="G22" s="15">
        <f>SUM(Jan!G22, Feb!G22, Mar!G22)</f>
        <v>1505519.0999999999</v>
      </c>
      <c r="H22" s="15">
        <f>SUM(Jan!H22, Feb!H22, Mar!H22)</f>
        <v>-205941.84999999992</v>
      </c>
      <c r="I22" s="16">
        <f t="shared" si="5"/>
        <v>-0.13679125691596999</v>
      </c>
    </row>
    <row r="23" spans="1:9" ht="15.6">
      <c r="A23" s="43" t="str">
        <v>Sandwich</v>
      </c>
      <c r="B23" s="10" t="str">
        <v>MA</v>
      </c>
      <c r="C23" s="11">
        <f>SUM(Jan!C23, Feb!C23, Mar!C23)</f>
        <v>953865</v>
      </c>
      <c r="D23" s="18">
        <f>SUM(Jan!D23, Feb!D23, Mar!D23)</f>
        <v>787243</v>
      </c>
      <c r="E23" s="18">
        <f t="shared" si="6"/>
        <v>166622</v>
      </c>
      <c r="F23" s="19">
        <f t="shared" si="7"/>
        <v>0.21165256471000696</v>
      </c>
      <c r="G23" s="20">
        <f>SUM(Jan!G23, Feb!G23, Mar!G23)</f>
        <v>1158752</v>
      </c>
      <c r="H23" s="20">
        <f>SUM(Jan!H23, Feb!H23, Mar!H23)</f>
        <v>-204887</v>
      </c>
      <c r="I23" s="19">
        <f t="shared" si="8"/>
        <v>-0.17681695479274254</v>
      </c>
    </row>
    <row r="24" spans="1:9" ht="15.6">
      <c r="A24" s="42" t="str">
        <v>Sturbridge Barn</v>
      </c>
      <c r="B24" s="9" t="str">
        <v>MA</v>
      </c>
      <c r="C24" s="24">
        <f>SUM(Jan!C24, Feb!C24, Mar!C24)</f>
        <v>306719.5</v>
      </c>
      <c r="D24" s="13">
        <f>SUM(Jan!D24, Feb!D24, Mar!D24)</f>
        <v>405365.2</v>
      </c>
      <c r="E24" s="13">
        <f t="shared" si="6"/>
        <v>-98645.700000000012</v>
      </c>
      <c r="F24" s="14">
        <f t="shared" si="7"/>
        <v>-0.24335019384989143</v>
      </c>
      <c r="G24" s="15">
        <f>SUM(Jan!G24, Feb!G24, Mar!G24)</f>
        <v>415888.3</v>
      </c>
      <c r="H24" s="15">
        <f>SUM(Jan!H24, Feb!H24, Mar!H24)</f>
        <v>-109168.79999999999</v>
      </c>
      <c r="I24" s="16">
        <f t="shared" si="8"/>
        <v>-0.26249548256106264</v>
      </c>
    </row>
    <row r="25" spans="1:9" ht="15.6">
      <c r="A25" s="43" t="str">
        <v>Sturbridge Garage</v>
      </c>
      <c r="B25" s="10" t="str">
        <v>MA</v>
      </c>
      <c r="C25" s="11">
        <f>SUM(Jan!C25, Feb!C25, Mar!C25)</f>
        <v>150401.5</v>
      </c>
      <c r="D25" s="18">
        <f>SUM(Jan!D25, Feb!D25, Mar!D25)</f>
        <v>193175.9</v>
      </c>
      <c r="E25" s="18">
        <f t="shared" si="6"/>
        <v>-42774.399999999994</v>
      </c>
      <c r="F25" s="19">
        <f t="shared" si="7"/>
        <v>-0.22142720701702437</v>
      </c>
      <c r="G25" s="20">
        <f>SUM(Jan!G25, Feb!G25, Mar!G25)</f>
        <v>200379.40000000002</v>
      </c>
      <c r="H25" s="20">
        <f>SUM(Jan!H25, Feb!H25, Mar!H25)</f>
        <v>-49977.9</v>
      </c>
      <c r="I25" s="19">
        <f t="shared" si="8"/>
        <v>-0.24941635717044763</v>
      </c>
    </row>
    <row r="26" spans="1:9" ht="15.6">
      <c r="A26" s="42" t="str">
        <v>Halsey Valley</v>
      </c>
      <c r="B26" s="9" t="str">
        <v>NY</v>
      </c>
      <c r="C26" s="24">
        <f>SUM(Jan!C26, Feb!C26, Mar!C26)</f>
        <v>1532926</v>
      </c>
      <c r="D26" s="13">
        <f>SUM(Jan!D26, Feb!D26, Mar!D26)</f>
        <v>1689825.7999999998</v>
      </c>
      <c r="E26" s="13">
        <f t="shared" si="6"/>
        <v>-156899.79999999981</v>
      </c>
      <c r="F26" s="14">
        <f t="shared" si="7"/>
        <v>-9.2849689003446284E-2</v>
      </c>
      <c r="G26" s="15">
        <f>SUM(Jan!G26, Feb!G26, Mar!G26)</f>
        <v>1609000</v>
      </c>
      <c r="H26" s="15">
        <f>SUM(Jan!H26, Feb!H26, Mar!H26)</f>
        <v>-76074</v>
      </c>
      <c r="I26" s="16">
        <f t="shared" si="8"/>
        <v>-4.7280298321939092E-2</v>
      </c>
    </row>
    <row r="27" spans="1:9" ht="15.6">
      <c r="A27" s="43" t="str">
        <v>Hunt Creek</v>
      </c>
      <c r="B27" s="10" t="str">
        <v>NY</v>
      </c>
      <c r="C27" s="11">
        <f>SUM(Jan!C27, Feb!C27, Mar!C27)</f>
        <v>937590</v>
      </c>
      <c r="D27" s="18">
        <f>SUM(Jan!D27, Feb!D27, Mar!D27)</f>
        <v>1217312.3</v>
      </c>
      <c r="E27" s="18">
        <f t="shared" si="6"/>
        <v>-279722.30000000005</v>
      </c>
      <c r="F27" s="19">
        <f t="shared" si="7"/>
        <v>-0.22978680162847284</v>
      </c>
      <c r="G27" s="20">
        <f>SUM(Jan!G27, Feb!G27, Mar!G27)</f>
        <v>1067900</v>
      </c>
      <c r="H27" s="20">
        <f>SUM(Jan!H27, Feb!H27, Mar!H27)</f>
        <v>-130310</v>
      </c>
      <c r="I27" s="19">
        <f t="shared" si="8"/>
        <v>-0.12202453413240941</v>
      </c>
    </row>
    <row r="28" spans="1:9" ht="15.6">
      <c r="A28" s="42" t="str">
        <v>Smith Creek</v>
      </c>
      <c r="B28" s="9" t="str">
        <v>NY</v>
      </c>
      <c r="C28" s="24">
        <f>SUM(Jan!C28, Feb!C28, Mar!C28)</f>
        <v>1189719</v>
      </c>
      <c r="D28" s="13">
        <f>SUM(Jan!D28, Feb!D28, Mar!D28)</f>
        <v>1351964</v>
      </c>
      <c r="E28" s="13">
        <f t="shared" si="6"/>
        <v>-162245</v>
      </c>
      <c r="F28" s="14">
        <f t="shared" si="7"/>
        <v>-0.12000689367468365</v>
      </c>
      <c r="G28" s="15">
        <f>SUM(Jan!G28, Feb!G28, Mar!G28)</f>
        <v>1473505.7000000002</v>
      </c>
      <c r="H28" s="15">
        <f>SUM(Jan!H28, Feb!H28, Mar!H28)</f>
        <v>-283786.7</v>
      </c>
      <c r="I28" s="16">
        <f t="shared" si="8"/>
        <v>-0.19259287561629385</v>
      </c>
    </row>
    <row r="29" spans="1:9" ht="15.6">
      <c r="A29" s="43" t="str">
        <v>Bradford - 256 Presidential Dr</v>
      </c>
      <c r="B29" s="10" t="str">
        <v>MA</v>
      </c>
      <c r="C29" s="11">
        <f>SUM(Jan!C29, Feb!C29, Mar!C29)</f>
        <v>1294062.5</v>
      </c>
      <c r="D29" s="18">
        <f>SUM(Jan!D29, Feb!D29, Mar!D29)</f>
        <v>1382228.9071</v>
      </c>
      <c r="E29" s="18">
        <f>IF(AND(ISNUMBER(C29),ISNUMBER(D29)), C29-D29, "")</f>
        <v>-88166.407099999953</v>
      </c>
      <c r="F29" s="19">
        <f>IFERROR(E29/D29, "")</f>
        <v>-6.3785677355698206E-2</v>
      </c>
      <c r="G29" s="20">
        <f>SUM(Jan!G29, Feb!G29, Mar!G29)</f>
        <v>1600941.7000000002</v>
      </c>
      <c r="H29" s="20">
        <f>SUM(Jan!H29, Feb!H29, Mar!H29)</f>
        <v>-306879.20000000007</v>
      </c>
      <c r="I29" s="19">
        <f>IFERROR(H29/G29, "")</f>
        <v>-0.19168668040816228</v>
      </c>
    </row>
    <row r="30" spans="1:9" ht="15.6">
      <c r="A30" s="42" t="str">
        <v>Charlton – 111 Brookfield Road - Bus Lot</v>
      </c>
      <c r="B30" s="9" t="str">
        <v>MA</v>
      </c>
      <c r="C30" s="24">
        <f>SUM(Jan!C30, Feb!C30, Mar!C30)</f>
        <v>145538</v>
      </c>
      <c r="D30" s="13">
        <f>SUM(Jan!D30, Feb!D30, Mar!D30)</f>
        <v>128503.38427000001</v>
      </c>
      <c r="E30" s="13">
        <f t="shared" si="6"/>
        <v>17034.61572999999</v>
      </c>
      <c r="F30" s="14">
        <f t="shared" si="7"/>
        <v>0.13256161171762101</v>
      </c>
      <c r="G30" s="15">
        <f>SUM(Jan!G30, Feb!G30, Mar!G30)</f>
        <v>198897.25</v>
      </c>
      <c r="H30" s="15">
        <f>SUM(Jan!H30, Feb!H30, Mar!H30)</f>
        <v>-53359.250000000007</v>
      </c>
      <c r="I30" s="16">
        <f t="shared" si="8"/>
        <v>-0.2682754537832977</v>
      </c>
    </row>
    <row r="31" spans="1:9" ht="15.6">
      <c r="A31" s="43" t="str">
        <v>Charlton – 154 Center Depot Road KMARD</v>
      </c>
      <c r="B31" s="10" t="str">
        <v>MA</v>
      </c>
      <c r="C31" s="11">
        <f>SUM(Jan!C31, Feb!C31, Mar!C31)</f>
        <v>106050</v>
      </c>
      <c r="D31" s="18">
        <f>SUM(Jan!D31, Feb!D31, Mar!D31)</f>
        <v>176882.00101000001</v>
      </c>
      <c r="E31" s="18">
        <f t="shared" si="6"/>
        <v>-70832.001010000007</v>
      </c>
      <c r="F31" s="19">
        <f t="shared" si="7"/>
        <v>-0.40044775955466222</v>
      </c>
      <c r="G31" s="20">
        <f>SUM(Jan!G31, Feb!G31, Mar!G31)</f>
        <v>192235.16</v>
      </c>
      <c r="H31" s="20">
        <f>SUM(Jan!H31, Feb!H31, Mar!H31)</f>
        <v>-86185.16</v>
      </c>
      <c r="I31" s="19">
        <f t="shared" si="8"/>
        <v>-0.44833192845679221</v>
      </c>
    </row>
    <row r="32" spans="1:9" ht="15.6">
      <c r="A32" s="42" t="str">
        <v>Charlton – 142A Brookfield Rd (Mitchell)</v>
      </c>
      <c r="B32" s="9" t="str">
        <v>MA</v>
      </c>
      <c r="C32" s="24">
        <f>SUM(Jan!C32, Feb!C32, Mar!C32)</f>
        <v>139150</v>
      </c>
      <c r="D32" s="13">
        <f>SUM(Jan!D32, Feb!D32, Mar!D32)</f>
        <v>187579.0295</v>
      </c>
      <c r="E32" s="13">
        <f t="shared" si="6"/>
        <v>-48429.029500000004</v>
      </c>
      <c r="F32" s="14">
        <f t="shared" si="7"/>
        <v>-0.25817933715239744</v>
      </c>
      <c r="G32" s="15">
        <f>SUM(Jan!G32, Feb!G32, Mar!G32)</f>
        <v>200400.58000000002</v>
      </c>
      <c r="H32" s="15">
        <f>SUM(Jan!H32, Feb!H32, Mar!H32)</f>
        <v>-61250.58</v>
      </c>
      <c r="I32" s="16">
        <f t="shared" si="8"/>
        <v>-0.30564073217752163</v>
      </c>
    </row>
    <row r="33" spans="1:9" ht="15.6">
      <c r="A33" s="43" t="str">
        <v>Great Barrington – 3 Nolan  Drive</v>
      </c>
      <c r="B33" s="10" t="str">
        <v>MA</v>
      </c>
      <c r="C33" s="11">
        <f>SUM(Jan!C33, Feb!C33, Mar!C33)</f>
        <v>250735.49669999999</v>
      </c>
      <c r="D33" s="18">
        <f>SUM(Jan!D33, Feb!D33, Mar!D33)</f>
        <v>358533.43728000001</v>
      </c>
      <c r="E33" s="18">
        <f t="shared" si="6"/>
        <v>-107797.94058000002</v>
      </c>
      <c r="F33" s="19">
        <f t="shared" si="7"/>
        <v>-0.30066356264510474</v>
      </c>
      <c r="G33" s="20">
        <f>SUM(Jan!G33, Feb!G33, Mar!G33)</f>
        <v>397534.78</v>
      </c>
      <c r="H33" s="20">
        <f>SUM(Jan!H33, Feb!H33, Mar!H33)</f>
        <v>-146799.28330000001</v>
      </c>
      <c r="I33" s="19">
        <f t="shared" si="8"/>
        <v>-0.36927406276250846</v>
      </c>
    </row>
    <row r="34" spans="1:9" ht="15.6">
      <c r="A34" s="42" t="str">
        <v>Stockbridge – 92 State Line Road Truck Stop</v>
      </c>
      <c r="B34" s="9" t="str">
        <v>MA</v>
      </c>
      <c r="C34" s="24">
        <f>SUM(Jan!C34, Feb!C34, Mar!C34)</f>
        <v>461438</v>
      </c>
      <c r="D34" s="13">
        <f>SUM(Jan!D34, Feb!D34, Mar!D34)</f>
        <v>680989.01930000004</v>
      </c>
      <c r="E34" s="13">
        <f t="shared" si="6"/>
        <v>-219551.01930000004</v>
      </c>
      <c r="F34" s="14">
        <f t="shared" si="7"/>
        <v>-0.32240023418539143</v>
      </c>
      <c r="G34" s="15">
        <f>SUM(Jan!G34, Feb!G34, Mar!G34)</f>
        <v>775023.41999999993</v>
      </c>
      <c r="H34" s="15">
        <f>SUM(Jan!H34, Feb!H34, Mar!H34)</f>
        <v>-313585.42</v>
      </c>
      <c r="I34" s="16">
        <f t="shared" si="8"/>
        <v>-0.40461412120939522</v>
      </c>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4" activePane="bottomRight" state="frozen"/>
      <selection pane="bottomRight" activeCell="E39" sqref="E39"/>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Lodestar</v>
      </c>
      <c r="B1" s="87"/>
      <c r="C1" s="87"/>
      <c r="D1" s="88" t="s">
        <v>12</v>
      </c>
      <c r="E1" s="88"/>
      <c r="F1" s="88"/>
      <c r="G1" s="86" t="s">
        <v>13</v>
      </c>
      <c r="H1" s="86"/>
      <c r="I1" s="86"/>
    </row>
    <row r="2" spans="1:9" ht="19.5" customHeight="1">
      <c r="A2" s="89" t="s">
        <v>2</v>
      </c>
      <c r="B2" s="89"/>
      <c r="C2" s="5">
        <f>SUM(C4:C103)</f>
        <v>27399920.64017424</v>
      </c>
      <c r="D2" s="5">
        <f>SUM(D4:D103)</f>
        <v>21173548.800000001</v>
      </c>
      <c r="E2" s="5">
        <f>C2-D2</f>
        <v>6226371.8401742391</v>
      </c>
      <c r="F2" s="6">
        <f>IFERROR(E2/D2, 0)</f>
        <v>0.29406368762208812</v>
      </c>
      <c r="G2" s="5">
        <f>SUM(G4:G103)</f>
        <v>23426327.77</v>
      </c>
      <c r="H2" s="7">
        <f>C2-G2</f>
        <v>3973592.8701742403</v>
      </c>
      <c r="I2" s="6">
        <f>IFERROR(H2/G2, 0)</f>
        <v>0.16962081761968964</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SUM(Apr!C4, May!C4, Jun!C4)</f>
        <v>488022</v>
      </c>
      <c r="D4" s="13">
        <f>SUM(Apr!D4, May!D4, Jun!D4)</f>
        <v>499602.4</v>
      </c>
      <c r="E4" s="13">
        <f>IF(AND(ISNUMBER(C4),ISNUMBER(D4)), C4-D4, "")</f>
        <v>-11580.400000000023</v>
      </c>
      <c r="F4" s="14">
        <f>IFERROR(E4/D4, "")</f>
        <v>-2.3179232125386154E-2</v>
      </c>
      <c r="G4" s="15">
        <f>SUM(Apr!G4,May!G4,Jun!G4)</f>
        <v>552800.60000000009</v>
      </c>
      <c r="H4" s="15">
        <f>SUM(Apr!H4, May!H4, Jun!H4)</f>
        <v>-64778.600000000006</v>
      </c>
      <c r="I4" s="16">
        <f>IFERROR(H4/G4, "")</f>
        <v>-0.11718257903482737</v>
      </c>
    </row>
    <row r="5" spans="1:9" ht="15.6">
      <c r="A5" s="43" t="str">
        <v>Bunce</v>
      </c>
      <c r="B5" s="10" t="str">
        <v>CT</v>
      </c>
      <c r="C5" s="11">
        <f>SUM(Apr!C5, May!C5, Jun!C5)</f>
        <v>939190.5</v>
      </c>
      <c r="D5" s="18">
        <f>SUM(Apr!D5, May!D5, Jun!D5)</f>
        <v>617730.30000000005</v>
      </c>
      <c r="E5" s="18">
        <f t="shared" ref="E5:E15" si="0">IF(AND(ISNUMBER(C5),ISNUMBER(D5)), C5-D5, "")</f>
        <v>321460.19999999995</v>
      </c>
      <c r="F5" s="19">
        <f>IFERROR(E5/D5, "")</f>
        <v>0.52038923782757607</v>
      </c>
      <c r="G5" s="51">
        <f>SUM(Apr!G5,May!G5,Jun!G5)</f>
        <v>0</v>
      </c>
      <c r="H5" s="20">
        <f>SUM(Apr!H5, May!H5, Jun!H5)</f>
        <v>642704</v>
      </c>
      <c r="I5" s="19" t="str">
        <f>IFERROR(H5/G5, "")</f>
        <v/>
      </c>
    </row>
    <row r="6" spans="1:9" ht="15.6">
      <c r="A6" s="42" t="str">
        <v>Norcap North</v>
      </c>
      <c r="B6" s="9" t="str">
        <v>CT</v>
      </c>
      <c r="C6" s="24">
        <f>SUM(Apr!C6, May!C6, Jun!C6)</f>
        <v>966580.5</v>
      </c>
      <c r="D6" s="13">
        <f>SUM(Apr!D6, May!D6, Jun!D6)</f>
        <v>907589.10000000009</v>
      </c>
      <c r="E6" s="13">
        <f t="shared" si="0"/>
        <v>58991.399999999907</v>
      </c>
      <c r="F6" s="14">
        <f t="shared" ref="F6:F15" si="1">IFERROR(E6/D6, "")</f>
        <v>6.499791590709926E-2</v>
      </c>
      <c r="G6" s="15">
        <f>SUM(Apr!G6,May!G6,Jun!G6)</f>
        <v>1056079.1000000001</v>
      </c>
      <c r="H6" s="15">
        <f>SUM(Apr!H6, May!H6, Jun!H6)</f>
        <v>-89498.599999999977</v>
      </c>
      <c r="I6" s="16">
        <f t="shared" ref="I6:I15" si="2">IFERROR(H6/G6, "")</f>
        <v>-8.4746114187848207E-2</v>
      </c>
    </row>
    <row r="7" spans="1:9" ht="15.6">
      <c r="A7" s="43" t="str">
        <v>Norcap South</v>
      </c>
      <c r="B7" s="10" t="str">
        <v>CT</v>
      </c>
      <c r="C7" s="11">
        <f>SUM(Apr!C7, May!C7, Jun!C7)</f>
        <v>1004243.5</v>
      </c>
      <c r="D7" s="18">
        <f>SUM(Apr!D7, May!D7, Jun!D7)</f>
        <v>949566.9</v>
      </c>
      <c r="E7" s="18">
        <f t="shared" si="0"/>
        <v>54676.599999999977</v>
      </c>
      <c r="F7" s="19">
        <f t="shared" si="1"/>
        <v>5.7580566466670202E-2</v>
      </c>
      <c r="G7" s="51">
        <f>SUM(Apr!G7,May!G7,Jun!G7)</f>
        <v>1034687.7999999999</v>
      </c>
      <c r="H7" s="20">
        <f>SUM(Apr!H7, May!H7, Jun!H7)</f>
        <v>-30444.299999999988</v>
      </c>
      <c r="I7" s="19">
        <f t="shared" si="2"/>
        <v>-2.942365803481977E-2</v>
      </c>
    </row>
    <row r="8" spans="1:9" ht="15.6">
      <c r="A8" s="42" t="str">
        <v>Platt Hill</v>
      </c>
      <c r="B8" s="9" t="str">
        <v>CT</v>
      </c>
      <c r="C8" s="24">
        <f>SUM(Apr!C8, May!C8, Jun!C8)</f>
        <v>1072739</v>
      </c>
      <c r="D8" s="13">
        <f>SUM(Apr!D8, May!D8, Jun!D8)</f>
        <v>1085877.7999999998</v>
      </c>
      <c r="E8" s="13">
        <f t="shared" si="0"/>
        <v>-13138.799999999814</v>
      </c>
      <c r="F8" s="14">
        <f t="shared" si="1"/>
        <v>-1.2099704036678727E-2</v>
      </c>
      <c r="G8" s="15">
        <f>SUM(Apr!G8,May!G8,Jun!G8)</f>
        <v>1208681</v>
      </c>
      <c r="H8" s="15">
        <f>SUM(Apr!H8, May!H8, Jun!H8)</f>
        <v>-135942</v>
      </c>
      <c r="I8" s="16">
        <f t="shared" si="2"/>
        <v>-0.11247136341185143</v>
      </c>
    </row>
    <row r="9" spans="1:9" ht="15.6">
      <c r="A9" s="43" t="str">
        <v>Powder Hill</v>
      </c>
      <c r="B9" s="10" t="str">
        <v>CT</v>
      </c>
      <c r="C9" s="11">
        <f>SUM(Apr!C9, May!C9, Jun!C9)</f>
        <v>989969</v>
      </c>
      <c r="D9" s="18">
        <f>SUM(Apr!D9, May!D9, Jun!D9)</f>
        <v>972850</v>
      </c>
      <c r="E9" s="18">
        <f t="shared" si="0"/>
        <v>17119</v>
      </c>
      <c r="F9" s="19">
        <f t="shared" si="1"/>
        <v>1.7596751811687312E-2</v>
      </c>
      <c r="G9" s="51">
        <f>SUM(Apr!G9,May!G9,Jun!G9)</f>
        <v>838176</v>
      </c>
      <c r="H9" s="20">
        <f>SUM(Apr!H9, May!H9, Jun!H9)</f>
        <v>151793</v>
      </c>
      <c r="I9" s="19">
        <f t="shared" si="2"/>
        <v>0.18109919635016988</v>
      </c>
    </row>
    <row r="10" spans="1:9" ht="15.6">
      <c r="A10" s="42" t="str">
        <v>Sand Road</v>
      </c>
      <c r="B10" s="9" t="str">
        <v>CT</v>
      </c>
      <c r="C10" s="24">
        <f>SUM(Apr!C10, May!C10, Jun!C10)</f>
        <v>980092</v>
      </c>
      <c r="D10" s="13">
        <f>SUM(Apr!D10, May!D10, Jun!D10)</f>
        <v>847138.8</v>
      </c>
      <c r="E10" s="13">
        <f t="shared" si="0"/>
        <v>132953.19999999995</v>
      </c>
      <c r="F10" s="14">
        <f t="shared" si="1"/>
        <v>0.15694382077647717</v>
      </c>
      <c r="G10" s="15">
        <f>SUM(Apr!G10,May!G10,Jun!G10)</f>
        <v>1002416</v>
      </c>
      <c r="H10" s="15">
        <f>SUM(Apr!H10, May!H10, Jun!H10)</f>
        <v>-22324</v>
      </c>
      <c r="I10" s="16">
        <f t="shared" si="2"/>
        <v>-2.2270195208376562E-2</v>
      </c>
    </row>
    <row r="11" spans="1:9" ht="15.6">
      <c r="A11" s="43" t="str">
        <v>Suffield</v>
      </c>
      <c r="B11" s="10" t="str">
        <v>CT</v>
      </c>
      <c r="C11" s="11">
        <f>SUM(Apr!C11, May!C11, Jun!C11)</f>
        <v>994731</v>
      </c>
      <c r="D11" s="18">
        <f>SUM(Apr!D11, May!D11, Jun!D11)</f>
        <v>950464.3</v>
      </c>
      <c r="E11" s="18">
        <f t="shared" si="0"/>
        <v>44266.699999999953</v>
      </c>
      <c r="F11" s="19">
        <f t="shared" si="1"/>
        <v>4.6573764001446402E-2</v>
      </c>
      <c r="G11" s="51">
        <f>SUM(Apr!G11,May!G11,Jun!G11)</f>
        <v>1089283</v>
      </c>
      <c r="H11" s="20">
        <f>SUM(Apr!H11, May!H11, Jun!H11)</f>
        <v>-94552.000000000058</v>
      </c>
      <c r="I11" s="19">
        <f t="shared" si="2"/>
        <v>-8.6802052359212484E-2</v>
      </c>
    </row>
    <row r="12" spans="1:9" ht="15.6">
      <c r="A12" s="42" t="str">
        <v>Ashby-Duffy</v>
      </c>
      <c r="B12" s="9" t="str">
        <v>MA</v>
      </c>
      <c r="C12" s="24">
        <f>SUM(Apr!C12, May!C12, Jun!C12)</f>
        <v>925117</v>
      </c>
      <c r="D12" s="13">
        <f>SUM(Apr!D12, May!D12, Jun!D12)</f>
        <v>1044535.7</v>
      </c>
      <c r="E12" s="13">
        <f t="shared" si="0"/>
        <v>-119418.69999999995</v>
      </c>
      <c r="F12" s="14">
        <f t="shared" si="1"/>
        <v>-0.11432706416831896</v>
      </c>
      <c r="G12" s="15">
        <f>SUM(Apr!G12,May!G12,Jun!G12)</f>
        <v>996418.8</v>
      </c>
      <c r="H12" s="15">
        <f>SUM(Apr!H12, May!H12, Jun!H12)</f>
        <v>-71301.800000000047</v>
      </c>
      <c r="I12" s="16">
        <f t="shared" si="2"/>
        <v>-7.1558063737858058E-2</v>
      </c>
    </row>
    <row r="13" spans="1:9" ht="15.6">
      <c r="A13" s="43" t="str">
        <v>Ashland</v>
      </c>
      <c r="B13" s="10" t="str">
        <v>MA</v>
      </c>
      <c r="C13" s="11">
        <f>SUM(Apr!C13, May!C13, Jun!C13)</f>
        <v>957468</v>
      </c>
      <c r="D13" s="18">
        <f>SUM(Apr!D13, May!D13, Jun!D13)</f>
        <v>995983.60000000009</v>
      </c>
      <c r="E13" s="18">
        <f t="shared" si="0"/>
        <v>-38515.600000000093</v>
      </c>
      <c r="F13" s="19">
        <f t="shared" si="1"/>
        <v>-3.8670917874551437E-2</v>
      </c>
      <c r="G13" s="51">
        <f>SUM(Apr!G13,May!G13,Jun!G13)</f>
        <v>1145089.9000000001</v>
      </c>
      <c r="H13" s="20">
        <f>SUM(Apr!H13, May!H13, Jun!H13)</f>
        <v>-187621.90000000002</v>
      </c>
      <c r="I13" s="19">
        <f t="shared" si="2"/>
        <v>-0.16384905674218242</v>
      </c>
    </row>
    <row r="14" spans="1:9" ht="15.6">
      <c r="A14" s="42" t="str">
        <v>Barrington</v>
      </c>
      <c r="B14" s="9" t="str">
        <v>MA</v>
      </c>
      <c r="C14" s="24">
        <f>SUM(Apr!C14, May!C14, Jun!C14)</f>
        <v>214385</v>
      </c>
      <c r="D14" s="13">
        <f>SUM(Apr!D14, May!D14, Jun!D14)</f>
        <v>115602.33</v>
      </c>
      <c r="E14" s="13">
        <f t="shared" si="0"/>
        <v>98782.67</v>
      </c>
      <c r="F14" s="14">
        <f t="shared" si="1"/>
        <v>0.85450414364485561</v>
      </c>
      <c r="G14" s="15">
        <f>SUM(Apr!G14,May!G14,Jun!G14)</f>
        <v>248210</v>
      </c>
      <c r="H14" s="15">
        <f>SUM(Apr!H14, May!H14, Jun!H14)</f>
        <v>-33825</v>
      </c>
      <c r="I14" s="16">
        <f t="shared" si="2"/>
        <v>-0.13627573425728215</v>
      </c>
    </row>
    <row r="15" spans="1:9" ht="15.6">
      <c r="A15" s="43" t="str">
        <v>Bedford - 205 Burlington Rd</v>
      </c>
      <c r="B15" s="10" t="str">
        <v>MA</v>
      </c>
      <c r="C15" s="11">
        <f>SUM(Apr!C15, May!C15, Jun!C15)</f>
        <v>122934</v>
      </c>
      <c r="D15" s="18">
        <f>SUM(Apr!D15, May!D15, Jun!D15)</f>
        <v>0</v>
      </c>
      <c r="E15" s="18">
        <f t="shared" si="0"/>
        <v>122934</v>
      </c>
      <c r="F15" s="19" t="str">
        <f t="shared" si="1"/>
        <v/>
      </c>
      <c r="G15" s="51">
        <f>SUM(Apr!G15,May!G15,Jun!G15)</f>
        <v>0</v>
      </c>
      <c r="H15" s="20">
        <f>SUM(Apr!H15, May!H15, Jun!H15)</f>
        <v>0</v>
      </c>
      <c r="I15" s="19" t="str">
        <f t="shared" si="2"/>
        <v/>
      </c>
    </row>
    <row r="16" spans="1:9" ht="15.6">
      <c r="A16" s="42" t="str">
        <v>Billerica - 6 Cook Street</v>
      </c>
      <c r="B16" s="9" t="str">
        <v>MA</v>
      </c>
      <c r="C16" s="24">
        <f>SUM(Apr!C16, May!C16, Jun!C16)</f>
        <v>113063</v>
      </c>
      <c r="D16" s="13">
        <f>SUM(Apr!D16, May!D16, Jun!D16)</f>
        <v>0</v>
      </c>
      <c r="E16" s="13">
        <f t="shared" ref="E16:E18" si="3">IF(AND(ISNUMBER(C16),ISNUMBER(D16)), C16-D16, "")</f>
        <v>113063</v>
      </c>
      <c r="F16" s="14" t="str">
        <f t="shared" ref="F16:F18" si="4">IFERROR(E16/D16, "")</f>
        <v/>
      </c>
      <c r="G16" s="15">
        <f>SUM(Apr!G16,May!G16,Jun!G16)</f>
        <v>0</v>
      </c>
      <c r="H16" s="15">
        <f>SUM(Apr!H16, May!H16, Jun!H16)</f>
        <v>0</v>
      </c>
      <c r="I16" s="16" t="str">
        <f t="shared" ref="I16:I18" si="5">IFERROR(H16/G16, "")</f>
        <v/>
      </c>
    </row>
    <row r="17" spans="1:9" ht="15.6">
      <c r="A17" s="43" t="str">
        <v>Billerica - 780 Boston Road</v>
      </c>
      <c r="B17" s="10" t="str">
        <v>MA</v>
      </c>
      <c r="C17" s="11">
        <f>SUM(Apr!C17, May!C17, Jun!C17)</f>
        <v>128576</v>
      </c>
      <c r="D17" s="18">
        <f>SUM(Apr!D17, May!D17, Jun!D17)</f>
        <v>0</v>
      </c>
      <c r="E17" s="18">
        <f t="shared" si="3"/>
        <v>128576</v>
      </c>
      <c r="F17" s="19" t="str">
        <f t="shared" si="4"/>
        <v/>
      </c>
      <c r="G17" s="51">
        <f>SUM(Apr!G17,May!G17,Jun!G17)</f>
        <v>0</v>
      </c>
      <c r="H17" s="20">
        <f>SUM(Apr!H17, May!H17, Jun!H17)</f>
        <v>0</v>
      </c>
      <c r="I17" s="19" t="str">
        <f t="shared" si="5"/>
        <v/>
      </c>
    </row>
    <row r="18" spans="1:9" ht="12.75" customHeight="1">
      <c r="A18" s="42" t="str">
        <v>Cheshire</v>
      </c>
      <c r="B18" s="9" t="str">
        <v>MA</v>
      </c>
      <c r="C18" s="24">
        <f>SUM(Apr!C18, May!C18, Jun!C18)</f>
        <v>217590.4611742422</v>
      </c>
      <c r="D18" s="13">
        <f>SUM(Apr!D18, May!D18, Jun!D18)</f>
        <v>223989.77000000002</v>
      </c>
      <c r="E18" s="13">
        <f t="shared" si="3"/>
        <v>-6399.3088257578202</v>
      </c>
      <c r="F18" s="14">
        <f t="shared" si="4"/>
        <v>-2.8569647737741861E-2</v>
      </c>
      <c r="G18" s="15">
        <f>SUM(Apr!G18,May!G18,Jun!G18)</f>
        <v>202311.65</v>
      </c>
      <c r="H18" s="15">
        <f>SUM(Apr!H18, May!H18, Jun!H18)</f>
        <v>15278.811174242197</v>
      </c>
      <c r="I18" s="16">
        <f t="shared" si="5"/>
        <v>7.5521163384521833E-2</v>
      </c>
    </row>
    <row r="19" spans="1:9" ht="15.6">
      <c r="A19" s="43" t="str">
        <v>Lilly Lane</v>
      </c>
      <c r="B19" s="10" t="str">
        <v>MA</v>
      </c>
      <c r="C19" s="11">
        <f>SUM(Apr!C19, May!C19, Jun!C19)</f>
        <v>490698.5</v>
      </c>
      <c r="D19" s="18">
        <f>SUM(Apr!D19, May!D19, Jun!D19)</f>
        <v>466177.7</v>
      </c>
      <c r="E19" s="18">
        <f t="shared" ref="E19:E34" si="6">IF(AND(ISNUMBER(C19),ISNUMBER(D19)), C19-D19, "")</f>
        <v>24520.799999999988</v>
      </c>
      <c r="F19" s="19">
        <f t="shared" ref="F19:F34" si="7">IFERROR(E19/D19, "")</f>
        <v>5.2599684626699193E-2</v>
      </c>
      <c r="G19" s="51">
        <f>SUM(Apr!G19,May!G19,Jun!G19)</f>
        <v>530125.9</v>
      </c>
      <c r="H19" s="20">
        <f>SUM(Apr!H19, May!H19, Jun!H19)</f>
        <v>-39427.399999999994</v>
      </c>
      <c r="I19" s="19">
        <f t="shared" ref="I19:I34" si="8">IFERROR(H19/G19, "")</f>
        <v>-7.437365350381861E-2</v>
      </c>
    </row>
    <row r="20" spans="1:9" ht="15.6">
      <c r="A20" s="42" t="str">
        <v>Monument Valley</v>
      </c>
      <c r="B20" s="9" t="str">
        <v>MA</v>
      </c>
      <c r="C20" s="52">
        <f>SUM(Apr!C20, May!C20, Jun!C20)</f>
        <v>977275.21500000008</v>
      </c>
      <c r="D20" s="13">
        <f>SUM(Apr!D20, May!D20, Jun!D20)</f>
        <v>181192.68</v>
      </c>
      <c r="E20" s="13">
        <f>IF(AND(ISNUMBER(C20),ISNUMBER(D20)), C20-D20, "")</f>
        <v>796082.53500000015</v>
      </c>
      <c r="F20" s="54">
        <f>IFERROR(E20/D20, "")</f>
        <v>4.393568962057409</v>
      </c>
      <c r="G20" s="15">
        <f>SUM(Apr!G20,May!G20,Jun!G20)</f>
        <v>0</v>
      </c>
      <c r="H20" s="50">
        <f>SUM(Apr!H20, May!H20, Jun!H20)</f>
        <v>664065.71000000101</v>
      </c>
      <c r="I20" s="55" t="str">
        <f>IFERROR(H20/G20, "")</f>
        <v/>
      </c>
    </row>
    <row r="21" spans="1:9" ht="15.6">
      <c r="A21" s="43" t="str">
        <v>Nationwide</v>
      </c>
      <c r="B21" s="10" t="str">
        <v>MA</v>
      </c>
      <c r="C21" s="11">
        <f>SUM(Apr!C21, May!C21, Jun!C21)</f>
        <v>1738166</v>
      </c>
      <c r="D21" s="18">
        <f>SUM(Apr!D21, May!D21, Jun!D21)</f>
        <v>1389197.4</v>
      </c>
      <c r="E21" s="18">
        <f>IF(AND(ISNUMBER(C21),ISNUMBER(D21)), C21-D21, "")</f>
        <v>348968.60000000009</v>
      </c>
      <c r="F21" s="19">
        <f>IFERROR(E21/D21, "")</f>
        <v>0.25120159309252965</v>
      </c>
      <c r="G21" s="51">
        <f>SUM(Apr!G21,May!G21,Jun!G21)</f>
        <v>1605958.6</v>
      </c>
      <c r="H21" s="20">
        <f>SUM(Apr!H21, May!H21, Jun!H21)</f>
        <v>132207.40000000002</v>
      </c>
      <c r="I21" s="19">
        <f>IFERROR(H21/G21, "")</f>
        <v>8.2323043694899747E-2</v>
      </c>
    </row>
    <row r="22" spans="1:9" ht="15.6">
      <c r="A22" s="42" t="str">
        <v>Pulpit Hill</v>
      </c>
      <c r="B22" s="9" t="str">
        <v>MA</v>
      </c>
      <c r="C22" s="52">
        <f>SUM(Apr!C22, May!C22, Jun!C22)</f>
        <v>2205243.25</v>
      </c>
      <c r="D22" s="13">
        <f>SUM(Apr!D22, May!D22, Jun!D22)</f>
        <v>2088898.3000000003</v>
      </c>
      <c r="E22" s="13">
        <f>IF(AND(ISNUMBER(C22),ISNUMBER(D22)), C22-D22, "")</f>
        <v>116344.94999999972</v>
      </c>
      <c r="F22" s="54">
        <f>IFERROR(E22/D22, "")</f>
        <v>5.5696799600056981E-2</v>
      </c>
      <c r="G22" s="15">
        <f>SUM(Apr!G22,May!G22,Jun!G22)</f>
        <v>2264471.1</v>
      </c>
      <c r="H22" s="50">
        <f>SUM(Apr!H22, May!H22, Jun!H22)</f>
        <v>-59227.849999999977</v>
      </c>
      <c r="I22" s="55">
        <f>IFERROR(H22/G22, "")</f>
        <v>-2.615526866295621E-2</v>
      </c>
    </row>
    <row r="23" spans="1:9" ht="15.6">
      <c r="A23" s="43" t="str">
        <v>Sandwich</v>
      </c>
      <c r="B23" s="10" t="str">
        <v>MA</v>
      </c>
      <c r="C23" s="11">
        <f>SUM(Apr!C23, May!C23, Jun!C23)</f>
        <v>1277538</v>
      </c>
      <c r="D23" s="18">
        <f>SUM(Apr!D23, May!D23, Jun!D23)</f>
        <v>1064094</v>
      </c>
      <c r="E23" s="18">
        <f>IF(AND(ISNUMBER(C23),ISNUMBER(D23)), C23-D23, "")</f>
        <v>213444</v>
      </c>
      <c r="F23" s="19">
        <f>IFERROR(E23/D23, "")</f>
        <v>0.20058754207804949</v>
      </c>
      <c r="G23" s="51">
        <f>SUM(Apr!G23,May!G23,Jun!G23)</f>
        <v>1699406</v>
      </c>
      <c r="H23" s="20">
        <f>SUM(Apr!H23, May!H23, Jun!H23)</f>
        <v>-421868</v>
      </c>
      <c r="I23" s="19">
        <f>IFERROR(H23/G23, "")</f>
        <v>-0.24824438656801259</v>
      </c>
    </row>
    <row r="24" spans="1:9" ht="15.6">
      <c r="A24" s="42" t="str">
        <v>Sturbridge Barn</v>
      </c>
      <c r="B24" s="9" t="str">
        <v>MA</v>
      </c>
      <c r="C24" s="24">
        <f>SUM(Apr!C24, May!C24, Jun!C24)</f>
        <v>497702</v>
      </c>
      <c r="D24" s="13">
        <f>SUM(Apr!D24, May!D24, Jun!D24)</f>
        <v>489727.6</v>
      </c>
      <c r="E24" s="13">
        <f t="shared" si="6"/>
        <v>7974.4000000000233</v>
      </c>
      <c r="F24" s="14">
        <f t="shared" si="7"/>
        <v>1.6283337920917719E-2</v>
      </c>
      <c r="G24" s="15">
        <f>SUM(Apr!G24,May!G24,Jun!G24)</f>
        <v>572486.30000000005</v>
      </c>
      <c r="H24" s="15">
        <f>SUM(Apr!H24, May!H24, Jun!H24)</f>
        <v>-74784.300000000017</v>
      </c>
      <c r="I24" s="16">
        <f t="shared" si="8"/>
        <v>-0.13063072426361996</v>
      </c>
    </row>
    <row r="25" spans="1:9" ht="15.6">
      <c r="A25" s="43" t="str">
        <v>Sturbridge Garage</v>
      </c>
      <c r="B25" s="10" t="str">
        <v>MA</v>
      </c>
      <c r="C25" s="11">
        <f>SUM(Apr!C25, May!C25, Jun!C25)</f>
        <v>245158.75</v>
      </c>
      <c r="D25" s="18">
        <f>SUM(Apr!D25, May!D25, Jun!D25)</f>
        <v>233090.91999999998</v>
      </c>
      <c r="E25" s="18">
        <f t="shared" si="6"/>
        <v>12067.830000000016</v>
      </c>
      <c r="F25" s="19">
        <f t="shared" si="7"/>
        <v>5.1773059199388877E-2</v>
      </c>
      <c r="G25" s="51">
        <f>SUM(Apr!G25,May!G25,Jun!G25)</f>
        <v>261868.52</v>
      </c>
      <c r="H25" s="20">
        <f>SUM(Apr!H25, May!H25, Jun!H25)</f>
        <v>-16709.770000000004</v>
      </c>
      <c r="I25" s="19">
        <f t="shared" si="8"/>
        <v>-6.3809769879938236E-2</v>
      </c>
    </row>
    <row r="26" spans="1:9" ht="15.6">
      <c r="A26" s="42" t="str">
        <v>Halsey Valley</v>
      </c>
      <c r="B26" s="9" t="str">
        <v>NY</v>
      </c>
      <c r="C26" s="24">
        <f>SUM(Apr!C26, May!C26, Jun!C26)</f>
        <v>2370262</v>
      </c>
      <c r="D26" s="13">
        <f>SUM(Apr!D26, May!D26, Jun!D26)</f>
        <v>2383502.7999999998</v>
      </c>
      <c r="E26" s="13">
        <f t="shared" si="6"/>
        <v>-13240.799999999814</v>
      </c>
      <c r="F26" s="14">
        <f t="shared" si="7"/>
        <v>-5.555185418703857E-3</v>
      </c>
      <c r="G26" s="15">
        <f>SUM(Apr!G26,May!G26,Jun!G26)</f>
        <v>2876000</v>
      </c>
      <c r="H26" s="15">
        <f>SUM(Apr!H26, May!H26, Jun!H26)</f>
        <v>-505738</v>
      </c>
      <c r="I26" s="16">
        <f t="shared" si="8"/>
        <v>-0.17584770514603615</v>
      </c>
    </row>
    <row r="27" spans="1:9" ht="15.6">
      <c r="A27" s="43" t="str">
        <v>Hunt Creek</v>
      </c>
      <c r="B27" s="10" t="str">
        <v>NY</v>
      </c>
      <c r="C27" s="11">
        <f>SUM(Apr!C27, May!C27, Jun!C27)</f>
        <v>1699800</v>
      </c>
      <c r="D27" s="18">
        <f>SUM(Apr!D27, May!D27, Jun!D27)</f>
        <v>1747439.1</v>
      </c>
      <c r="E27" s="18">
        <f t="shared" si="6"/>
        <v>-47639.100000000093</v>
      </c>
      <c r="F27" s="19">
        <f t="shared" si="7"/>
        <v>-2.7262237636779495E-2</v>
      </c>
      <c r="G27" s="51">
        <f>SUM(Apr!G27,May!G27,Jun!G27)</f>
        <v>2078200</v>
      </c>
      <c r="H27" s="20">
        <f>SUM(Apr!H27, May!H27, Jun!H27)</f>
        <v>-378400</v>
      </c>
      <c r="I27" s="19">
        <f t="shared" si="8"/>
        <v>-0.18208064671350208</v>
      </c>
    </row>
    <row r="28" spans="1:9" ht="15.6">
      <c r="A28" s="42" t="str">
        <v>Smith Creek</v>
      </c>
      <c r="B28" s="9" t="str">
        <v>NY</v>
      </c>
      <c r="C28" s="24">
        <f>SUM(Apr!C28, May!C28, Jun!C28)</f>
        <v>1865000</v>
      </c>
      <c r="D28" s="13">
        <f>SUM(Apr!D28, May!D28, Jun!D28)</f>
        <v>1919297.2999999998</v>
      </c>
      <c r="E28" s="13">
        <f t="shared" si="6"/>
        <v>-54297.299999999814</v>
      </c>
      <c r="F28" s="14">
        <f t="shared" si="7"/>
        <v>-2.8290197667656711E-2</v>
      </c>
      <c r="G28" s="15">
        <f>SUM(Apr!G28,May!G28,Jun!G28)</f>
        <v>2163657.5</v>
      </c>
      <c r="H28" s="15">
        <f>SUM(Apr!H28, May!H28, Jun!H28)</f>
        <v>-298657.5</v>
      </c>
      <c r="I28" s="16">
        <f t="shared" si="8"/>
        <v>-0.13803363055381918</v>
      </c>
    </row>
    <row r="29" spans="1:9" ht="15.6">
      <c r="A29" s="43" t="str">
        <v>Bradford - 256 Presidential Dr</v>
      </c>
      <c r="B29" s="10" t="str">
        <v>MA</v>
      </c>
      <c r="C29" s="11">
        <f>SUM(Apr!C29, May!C29, Jun!C29)</f>
        <v>1901613.5980000002</v>
      </c>
      <c r="D29" s="18">
        <f>SUM(Apr!D29, May!D29, Jun!D29)</f>
        <v>0</v>
      </c>
      <c r="E29" s="18">
        <f t="shared" si="6"/>
        <v>1901613.5980000002</v>
      </c>
      <c r="F29" s="19" t="str">
        <f t="shared" si="7"/>
        <v/>
      </c>
      <c r="G29" s="51">
        <f>SUM(Apr!G29,May!G29,Jun!G29)</f>
        <v>0</v>
      </c>
      <c r="H29" s="20">
        <f>SUM(Apr!H29, May!H29, Jun!H29)</f>
        <v>0</v>
      </c>
      <c r="I29" s="19" t="str">
        <f t="shared" si="8"/>
        <v/>
      </c>
    </row>
    <row r="30" spans="1:9" ht="15.6">
      <c r="A30" s="42" t="str">
        <v>Charlton – 111 Brookfield Road - Bus Lot</v>
      </c>
      <c r="B30" s="9" t="str">
        <v>MA</v>
      </c>
      <c r="C30" s="24">
        <f>SUM(Apr!C30, May!C30, Jun!C30)</f>
        <v>247064.15600000002</v>
      </c>
      <c r="D30" s="13">
        <f>SUM(Apr!D30, May!D30, Jun!D30)</f>
        <v>0</v>
      </c>
      <c r="E30" s="13">
        <f t="shared" si="6"/>
        <v>247064.15600000002</v>
      </c>
      <c r="F30" s="14" t="str">
        <f t="shared" si="7"/>
        <v/>
      </c>
      <c r="G30" s="15">
        <f>SUM(Apr!G30,May!G30,Jun!G30)</f>
        <v>0</v>
      </c>
      <c r="H30" s="15">
        <f>SUM(Apr!H30, May!H30, Jun!H30)</f>
        <v>0</v>
      </c>
      <c r="I30" s="16" t="str">
        <f t="shared" si="8"/>
        <v/>
      </c>
    </row>
    <row r="31" spans="1:9" ht="15.6">
      <c r="A31" s="43" t="str">
        <v>Charlton – 154 Center Depot Road KMARD</v>
      </c>
      <c r="B31" s="10" t="str">
        <v>MA</v>
      </c>
      <c r="C31" s="11">
        <f>SUM(Apr!C31, May!C31, Jun!C31)</f>
        <v>214213.97200000001</v>
      </c>
      <c r="D31" s="18">
        <f>SUM(Apr!D31, May!D31, Jun!D31)</f>
        <v>0</v>
      </c>
      <c r="E31" s="18">
        <f t="shared" si="6"/>
        <v>214213.97200000001</v>
      </c>
      <c r="F31" s="19" t="str">
        <f t="shared" si="7"/>
        <v/>
      </c>
      <c r="G31" s="51">
        <f>SUM(Apr!G31,May!G31,Jun!G31)</f>
        <v>0</v>
      </c>
      <c r="H31" s="20">
        <f>SUM(Apr!H31, May!H31, Jun!H31)</f>
        <v>0</v>
      </c>
      <c r="I31" s="19" t="str">
        <f t="shared" si="8"/>
        <v/>
      </c>
    </row>
    <row r="32" spans="1:9" ht="15.6">
      <c r="A32" s="42" t="str">
        <v>Charlton – 142A Brookfield Rd (Mitchell)</v>
      </c>
      <c r="B32" s="9" t="str">
        <v>MA</v>
      </c>
      <c r="C32" s="24">
        <f>SUM(Apr!C32, May!C32, Jun!C32)</f>
        <v>224275.94799999997</v>
      </c>
      <c r="D32" s="13">
        <f>SUM(Apr!D32, May!D32, Jun!D32)</f>
        <v>0</v>
      </c>
      <c r="E32" s="13">
        <f t="shared" si="6"/>
        <v>224275.94799999997</v>
      </c>
      <c r="F32" s="14" t="str">
        <f t="shared" si="7"/>
        <v/>
      </c>
      <c r="G32" s="15">
        <f>SUM(Apr!G32,May!G32,Jun!G32)</f>
        <v>0</v>
      </c>
      <c r="H32" s="15">
        <f>SUM(Apr!H32, May!H32, Jun!H32)</f>
        <v>0</v>
      </c>
      <c r="I32" s="16" t="str">
        <f t="shared" si="8"/>
        <v/>
      </c>
    </row>
    <row r="33" spans="1:9" ht="15.6">
      <c r="A33" s="43" t="str">
        <v>Great Barrington – 3 Nolan  Drive</v>
      </c>
      <c r="B33" s="10" t="str">
        <v>MA</v>
      </c>
      <c r="C33" s="11">
        <f>SUM(Apr!C33, May!C33, Jun!C33)</f>
        <v>462106.09600000002</v>
      </c>
      <c r="D33" s="18">
        <f>SUM(Apr!D33, May!D33, Jun!D33)</f>
        <v>0</v>
      </c>
      <c r="E33" s="18">
        <f t="shared" si="6"/>
        <v>462106.09600000002</v>
      </c>
      <c r="F33" s="19" t="str">
        <f t="shared" si="7"/>
        <v/>
      </c>
      <c r="G33" s="51">
        <f>SUM(Apr!G33,May!G33,Jun!G33)</f>
        <v>0</v>
      </c>
      <c r="H33" s="20">
        <f>SUM(Apr!H33, May!H33, Jun!H33)</f>
        <v>0</v>
      </c>
      <c r="I33" s="19" t="str">
        <f t="shared" si="8"/>
        <v/>
      </c>
    </row>
    <row r="34" spans="1:9" ht="15.6">
      <c r="A34" s="42" t="str">
        <v>Stockbridge – 92 State Line Road Truck Stop</v>
      </c>
      <c r="B34" s="9" t="str">
        <v>MA</v>
      </c>
      <c r="C34" s="24">
        <f>SUM(Apr!C34, May!C34, Jun!C34)</f>
        <v>869102.19400000002</v>
      </c>
      <c r="D34" s="13">
        <f>SUM(Apr!D34, May!D34, Jun!D34)</f>
        <v>0</v>
      </c>
      <c r="E34" s="13">
        <f t="shared" si="6"/>
        <v>869102.19400000002</v>
      </c>
      <c r="F34" s="14" t="str">
        <f t="shared" si="7"/>
        <v/>
      </c>
      <c r="G34" s="15">
        <f>SUM(Apr!G34,May!G34,Jun!G34)</f>
        <v>0</v>
      </c>
      <c r="H34" s="15">
        <f>SUM(Apr!H34, May!H34, Jun!H34)</f>
        <v>0</v>
      </c>
      <c r="I34" s="16" t="str">
        <f t="shared" si="8"/>
        <v/>
      </c>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21" activePane="bottomRight" state="frozen"/>
      <selection pane="bottomRight" activeCell="F23" sqref="F23"/>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Lodestar</v>
      </c>
      <c r="B1" s="87"/>
      <c r="C1" s="87"/>
      <c r="D1" s="88" t="s">
        <v>14</v>
      </c>
      <c r="E1" s="88"/>
      <c r="F1" s="88"/>
      <c r="G1" s="86" t="s">
        <v>15</v>
      </c>
      <c r="H1" s="86"/>
      <c r="I1" s="86"/>
    </row>
    <row r="2" spans="1:9" ht="19.5" customHeight="1">
      <c r="A2" s="89" t="s">
        <v>2</v>
      </c>
      <c r="B2" s="89"/>
      <c r="C2" s="5">
        <f>SUM(C4:C103)</f>
        <v>9691562.5</v>
      </c>
      <c r="D2" s="5">
        <f>SUM(D4:D103)</f>
        <v>9013359</v>
      </c>
      <c r="E2" s="5">
        <f>C2-D2</f>
        <v>678203.5</v>
      </c>
      <c r="F2" s="6">
        <f>IFERROR(E2/D2, 0)</f>
        <v>7.5244256885806951E-2</v>
      </c>
      <c r="G2" s="5">
        <f>SUM(G4:G103)</f>
        <v>9099700.6999999993</v>
      </c>
      <c r="H2" s="7">
        <f>C2-G2</f>
        <v>591861.80000000075</v>
      </c>
      <c r="I2" s="6">
        <f>IFERROR(H2/G2, 0)</f>
        <v>6.5041897476913801E-2</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SUM(Jul!C4, Aug!C4, Sep!C4)</f>
        <v>172046</v>
      </c>
      <c r="D4" s="13">
        <f>SUM(Jul!D4, Aug!D4, Sep!D4)</f>
        <v>188098</v>
      </c>
      <c r="E4" s="13">
        <f>IF(AND(ISNUMBER(C4),ISNUMBER(D4)), C4-D4, "")</f>
        <v>-16052</v>
      </c>
      <c r="F4" s="14">
        <f>IFERROR(E4/D4, "")</f>
        <v>-8.5338493763889037E-2</v>
      </c>
      <c r="G4" s="15">
        <f xml:space="preserve"> SUM(Jul!G4,Aug!G4,Sep!G4)</f>
        <v>184916.4</v>
      </c>
      <c r="H4" s="15">
        <f>SUM(Jul!H4, Aug!H4, Sep!H4)</f>
        <v>-12870.399999999994</v>
      </c>
      <c r="I4" s="16">
        <f>IFERROR(H4/G4, "")</f>
        <v>-6.9601181939514256E-2</v>
      </c>
    </row>
    <row r="5" spans="1:9" ht="15.6">
      <c r="A5" s="43" t="str">
        <v>Bunce</v>
      </c>
      <c r="B5" s="10" t="str">
        <v>CT</v>
      </c>
      <c r="C5" s="11">
        <f>SUM(Jul!C5, Aug!C5, Sep!C5)</f>
        <v>356160</v>
      </c>
      <c r="D5" s="18">
        <f>SUM(Jul!D5, Aug!D5, Sep!D5)</f>
        <v>214884</v>
      </c>
      <c r="E5" s="18">
        <f t="shared" ref="E5:E15" si="0">IF(AND(ISNUMBER(C5),ISNUMBER(D5)), C5-D5, "")</f>
        <v>141276</v>
      </c>
      <c r="F5" s="19">
        <f>IFERROR(E5/D5, "")</f>
        <v>0.65745239291897029</v>
      </c>
      <c r="G5" s="18">
        <f xml:space="preserve"> SUM(Jul!G5,Aug!G5,Sep!G5)</f>
        <v>0</v>
      </c>
      <c r="H5" s="20">
        <f>SUM(Jul!H5, Aug!H5, Sep!H5)</f>
        <v>0</v>
      </c>
      <c r="I5" s="19" t="str">
        <f>IFERROR(H5/G5, "")</f>
        <v/>
      </c>
    </row>
    <row r="6" spans="1:9" ht="15.6">
      <c r="A6" s="42" t="str">
        <v>Norcap North</v>
      </c>
      <c r="B6" s="9" t="str">
        <v>CT</v>
      </c>
      <c r="C6" s="24">
        <f>SUM(Jul!C6, Aug!C6, Sep!C6)</f>
        <v>353706</v>
      </c>
      <c r="D6" s="13">
        <f>SUM(Jul!D6, Aug!D6, Sep!D6)</f>
        <v>350440</v>
      </c>
      <c r="E6" s="13">
        <f t="shared" si="0"/>
        <v>3266</v>
      </c>
      <c r="F6" s="14">
        <f t="shared" ref="F6:F15" si="1">IFERROR(E6/D6, "")</f>
        <v>9.319712361602556E-3</v>
      </c>
      <c r="G6" s="15">
        <f xml:space="preserve"> SUM(Jul!G6,Aug!G6,Sep!G6)</f>
        <v>358531.5</v>
      </c>
      <c r="H6" s="15">
        <f>SUM(Jul!H6, Aug!H6, Sep!H6)</f>
        <v>-4825.5</v>
      </c>
      <c r="I6" s="16">
        <f t="shared" ref="I6:I15" si="2">IFERROR(H6/G6, "")</f>
        <v>-1.3459068450052505E-2</v>
      </c>
    </row>
    <row r="7" spans="1:9" ht="15.6">
      <c r="A7" s="43" t="str">
        <v>Norcap South</v>
      </c>
      <c r="B7" s="10" t="str">
        <v>CT</v>
      </c>
      <c r="C7" s="11">
        <f>SUM(Jul!C7, Aug!C7, Sep!C7)</f>
        <v>378641</v>
      </c>
      <c r="D7" s="18">
        <f>SUM(Jul!D7, Aug!D7, Sep!D7)</f>
        <v>367429.8</v>
      </c>
      <c r="E7" s="18">
        <f t="shared" si="0"/>
        <v>11211.200000000012</v>
      </c>
      <c r="F7" s="19">
        <f t="shared" si="1"/>
        <v>3.051249517594929E-2</v>
      </c>
      <c r="G7" s="18">
        <f xml:space="preserve"> SUM(Jul!G7,Aug!G7,Sep!G7)</f>
        <v>351983</v>
      </c>
      <c r="H7" s="20">
        <f>SUM(Jul!H7, Aug!H7, Sep!H7)</f>
        <v>26658</v>
      </c>
      <c r="I7" s="19">
        <f t="shared" si="2"/>
        <v>7.573661227957032E-2</v>
      </c>
    </row>
    <row r="8" spans="1:9" ht="15.6">
      <c r="A8" s="42" t="str">
        <v>Platt Hill</v>
      </c>
      <c r="B8" s="9" t="str">
        <v>CT</v>
      </c>
      <c r="C8" s="24">
        <f>SUM(Jul!C8, Aug!C8, Sep!C8)</f>
        <v>388207</v>
      </c>
      <c r="D8" s="13">
        <f>SUM(Jul!D8, Aug!D8, Sep!D8)</f>
        <v>409220</v>
      </c>
      <c r="E8" s="13">
        <f t="shared" si="0"/>
        <v>-21013</v>
      </c>
      <c r="F8" s="14">
        <f t="shared" si="1"/>
        <v>-5.1348907678021603E-2</v>
      </c>
      <c r="G8" s="15">
        <f xml:space="preserve"> SUM(Jul!G8,Aug!G8,Sep!G8)</f>
        <v>411409.7</v>
      </c>
      <c r="H8" s="15">
        <f>SUM(Jul!H8, Aug!H8, Sep!H8)</f>
        <v>-23202.700000000012</v>
      </c>
      <c r="I8" s="16">
        <f t="shared" si="2"/>
        <v>-5.6398038257240921E-2</v>
      </c>
    </row>
    <row r="9" spans="1:9" ht="15.6">
      <c r="A9" s="43" t="str">
        <v>Powder Hill</v>
      </c>
      <c r="B9" s="10" t="str">
        <v>CT</v>
      </c>
      <c r="C9" s="11">
        <f>SUM(Jul!C9, Aug!C9, Sep!C9)</f>
        <v>360699</v>
      </c>
      <c r="D9" s="18">
        <f>SUM(Jul!D9, Aug!D9, Sep!D9)</f>
        <v>362106</v>
      </c>
      <c r="E9" s="18">
        <f t="shared" si="0"/>
        <v>-1407</v>
      </c>
      <c r="F9" s="19">
        <f t="shared" si="1"/>
        <v>-3.8856025583668872E-3</v>
      </c>
      <c r="G9" s="18">
        <f xml:space="preserve"> SUM(Jul!G9,Aug!G9,Sep!G9)</f>
        <v>283282</v>
      </c>
      <c r="H9" s="20">
        <f>SUM(Jul!H9, Aug!H9, Sep!H9)</f>
        <v>77417</v>
      </c>
      <c r="I9" s="19">
        <f t="shared" si="2"/>
        <v>0.27328598357820122</v>
      </c>
    </row>
    <row r="10" spans="1:9" ht="15.6">
      <c r="A10" s="42" t="str">
        <v>Sand Road</v>
      </c>
      <c r="B10" s="9" t="str">
        <v>CT</v>
      </c>
      <c r="C10" s="24">
        <f>SUM(Jul!C10, Aug!C10, Sep!C10)</f>
        <v>386609</v>
      </c>
      <c r="D10" s="13">
        <f>SUM(Jul!D10, Aug!D10, Sep!D10)</f>
        <v>343428.9</v>
      </c>
      <c r="E10" s="13">
        <f t="shared" si="0"/>
        <v>43180.099999999977</v>
      </c>
      <c r="F10" s="14">
        <f t="shared" si="1"/>
        <v>0.12573228403317244</v>
      </c>
      <c r="G10" s="15">
        <f xml:space="preserve"> SUM(Jul!G10,Aug!G10,Sep!G10)</f>
        <v>327346.2</v>
      </c>
      <c r="H10" s="15">
        <f>SUM(Jul!H10, Aug!H10, Sep!H10)</f>
        <v>59262.799999999988</v>
      </c>
      <c r="I10" s="16">
        <f t="shared" si="2"/>
        <v>0.18104013426763466</v>
      </c>
    </row>
    <row r="11" spans="1:9" ht="15.6">
      <c r="A11" s="43" t="str">
        <v>Suffield</v>
      </c>
      <c r="B11" s="10" t="str">
        <v>CT</v>
      </c>
      <c r="C11" s="11">
        <f>SUM(Jul!C11, Aug!C11, Sep!C11)</f>
        <v>365172</v>
      </c>
      <c r="D11" s="18">
        <f>SUM(Jul!D11, Aug!D11, Sep!D11)</f>
        <v>357945</v>
      </c>
      <c r="E11" s="18">
        <f t="shared" si="0"/>
        <v>7227</v>
      </c>
      <c r="F11" s="19">
        <f t="shared" si="1"/>
        <v>2.019025269245275E-2</v>
      </c>
      <c r="G11" s="18">
        <f xml:space="preserve"> SUM(Jul!G11,Aug!G11,Sep!G11)</f>
        <v>361334.4</v>
      </c>
      <c r="H11" s="20">
        <f>SUM(Jul!H11, Aug!H11, Sep!H11)</f>
        <v>3837.5999999999767</v>
      </c>
      <c r="I11" s="19">
        <f t="shared" si="2"/>
        <v>1.0620632854220291E-2</v>
      </c>
    </row>
    <row r="12" spans="1:9" ht="15.6">
      <c r="A12" s="42" t="str">
        <v>Ashby-Duffy</v>
      </c>
      <c r="B12" s="9" t="str">
        <v>MA</v>
      </c>
      <c r="C12" s="24">
        <f>SUM(Jul!C12, Aug!C12, Sep!C12)</f>
        <v>344927</v>
      </c>
      <c r="D12" s="13">
        <f>SUM(Jul!D12, Aug!D12, Sep!D12)</f>
        <v>358435</v>
      </c>
      <c r="E12" s="13">
        <f t="shared" si="0"/>
        <v>-13508</v>
      </c>
      <c r="F12" s="14">
        <f t="shared" si="1"/>
        <v>-3.7686051864354767E-2</v>
      </c>
      <c r="G12" s="15">
        <f xml:space="preserve"> SUM(Jul!G12,Aug!G12,Sep!G12)</f>
        <v>350894.1</v>
      </c>
      <c r="H12" s="15">
        <f>SUM(Jul!H12, Aug!H12, Sep!H12)</f>
        <v>-5967.0999999999767</v>
      </c>
      <c r="I12" s="16">
        <f t="shared" si="2"/>
        <v>-1.7005415594049535E-2</v>
      </c>
    </row>
    <row r="13" spans="1:9" ht="15.6">
      <c r="A13" s="43" t="str">
        <v>Ashland</v>
      </c>
      <c r="B13" s="10" t="str">
        <v>MA</v>
      </c>
      <c r="C13" s="11">
        <f>SUM(Jul!C13, Aug!C13, Sep!C13)</f>
        <v>361151</v>
      </c>
      <c r="D13" s="18">
        <f>SUM(Jul!D13, Aug!D13, Sep!D13)</f>
        <v>374718</v>
      </c>
      <c r="E13" s="18">
        <f t="shared" si="0"/>
        <v>-13567</v>
      </c>
      <c r="F13" s="19">
        <f t="shared" si="1"/>
        <v>-3.6205893498577599E-2</v>
      </c>
      <c r="G13" s="18">
        <f xml:space="preserve"> SUM(Jul!G13,Aug!G13,Sep!G13)</f>
        <v>381791.5</v>
      </c>
      <c r="H13" s="20">
        <f>SUM(Jul!H13, Aug!H13, Sep!H13)</f>
        <v>-20640.5</v>
      </c>
      <c r="I13" s="19">
        <f t="shared" si="2"/>
        <v>-5.406223030109366E-2</v>
      </c>
    </row>
    <row r="14" spans="1:9" ht="15.6">
      <c r="A14" s="42" t="str">
        <v>Barrington</v>
      </c>
      <c r="B14" s="9" t="str">
        <v>MA</v>
      </c>
      <c r="C14" s="24">
        <f>SUM(Jul!C14, Aug!C14, Sep!C14)</f>
        <v>76945</v>
      </c>
      <c r="D14" s="13">
        <f>SUM(Jul!D14, Aug!D14, Sep!D14)</f>
        <v>67187</v>
      </c>
      <c r="E14" s="13">
        <f t="shared" si="0"/>
        <v>9758</v>
      </c>
      <c r="F14" s="14">
        <f t="shared" si="1"/>
        <v>0.14523642966645334</v>
      </c>
      <c r="G14" s="15">
        <f xml:space="preserve"> SUM(Jul!G14,Aug!G14,Sep!G14)</f>
        <v>86469.4</v>
      </c>
      <c r="H14" s="15">
        <f>SUM(Jul!H14, Aug!H14, Sep!H14)</f>
        <v>-9524.3999999999942</v>
      </c>
      <c r="I14" s="16">
        <f t="shared" si="2"/>
        <v>-0.11014763604234555</v>
      </c>
    </row>
    <row r="15" spans="1:9" ht="15.6">
      <c r="A15" s="43" t="str">
        <v>Bedford - 205 Burlington Rd</v>
      </c>
      <c r="B15" s="10" t="str">
        <v>MA</v>
      </c>
      <c r="C15" s="11">
        <f>SUM(Jul!C15, Aug!C15, Sep!C15)</f>
        <v>0</v>
      </c>
      <c r="D15" s="18">
        <f>SUM(Jul!D15, Aug!D15, Sep!D15)</f>
        <v>0</v>
      </c>
      <c r="E15" s="18">
        <f t="shared" si="0"/>
        <v>0</v>
      </c>
      <c r="F15" s="19" t="str">
        <f t="shared" si="1"/>
        <v/>
      </c>
      <c r="G15" s="18">
        <f xml:space="preserve"> SUM(Jul!G15,Aug!G15,Sep!G15)</f>
        <v>0</v>
      </c>
      <c r="H15" s="20">
        <f>SUM(Jul!H15, Aug!H15, Sep!H15)</f>
        <v>0</v>
      </c>
      <c r="I15" s="19" t="str">
        <f t="shared" si="2"/>
        <v/>
      </c>
    </row>
    <row r="16" spans="1:9" ht="15.6">
      <c r="A16" s="42" t="str">
        <v>Billerica - 6 Cook Street</v>
      </c>
      <c r="B16" s="9" t="str">
        <v>MA</v>
      </c>
      <c r="C16" s="24">
        <f>SUM(Jul!C16, Aug!C16, Sep!C16)</f>
        <v>0</v>
      </c>
      <c r="D16" s="13">
        <f>SUM(Jul!D16, Aug!D16, Sep!D16)</f>
        <v>0</v>
      </c>
      <c r="E16" s="13">
        <f t="shared" ref="E16:E22" si="3">IF(AND(ISNUMBER(C16),ISNUMBER(D16)), C16-D16, "")</f>
        <v>0</v>
      </c>
      <c r="F16" s="14" t="str">
        <f t="shared" ref="F16:F23" si="4">IFERROR(E16/D16, "")</f>
        <v/>
      </c>
      <c r="G16" s="15">
        <f xml:space="preserve"> SUM(Jul!G16,Aug!G16,Sep!G16)</f>
        <v>0</v>
      </c>
      <c r="H16" s="15">
        <f>SUM(Jul!H16, Aug!H16, Sep!H16)</f>
        <v>0</v>
      </c>
      <c r="I16" s="16" t="str">
        <f t="shared" ref="I16:I23" si="5">IFERROR(H16/G16, "")</f>
        <v/>
      </c>
    </row>
    <row r="17" spans="1:9" ht="15.6">
      <c r="A17" s="43" t="str">
        <v>Billerica - 780 Boston Road</v>
      </c>
      <c r="B17" s="10" t="str">
        <v>MA</v>
      </c>
      <c r="C17" s="11">
        <f>SUM(Jul!C17, Aug!C17, Sep!C17)</f>
        <v>0</v>
      </c>
      <c r="D17" s="18">
        <f>SUM(Jul!D17, Aug!D17, Sep!D17)</f>
        <v>0</v>
      </c>
      <c r="E17" s="18">
        <f t="shared" si="3"/>
        <v>0</v>
      </c>
      <c r="F17" s="19" t="str">
        <f t="shared" si="4"/>
        <v/>
      </c>
      <c r="G17" s="18">
        <f xml:space="preserve"> SUM(Jul!G17,Aug!G17,Sep!G17)</f>
        <v>0</v>
      </c>
      <c r="H17" s="20">
        <f>SUM(Jul!H17, Aug!H17, Sep!H17)</f>
        <v>0</v>
      </c>
      <c r="I17" s="19" t="str">
        <f t="shared" si="5"/>
        <v/>
      </c>
    </row>
    <row r="18" spans="1:9" ht="12.75" customHeight="1">
      <c r="A18" s="42" t="str">
        <v>Cheshire</v>
      </c>
      <c r="B18" s="9" t="str">
        <v>MA</v>
      </c>
      <c r="C18" s="24">
        <f>SUM(Jul!C18, Aug!C18, Sep!C18)</f>
        <v>82137</v>
      </c>
      <c r="D18" s="13">
        <f>SUM(Jul!D18, Aug!D18, Sep!D18)</f>
        <v>83247.600000000006</v>
      </c>
      <c r="E18" s="13">
        <f t="shared" si="3"/>
        <v>-1110.6000000000058</v>
      </c>
      <c r="F18" s="14">
        <f t="shared" si="4"/>
        <v>-1.3340925143787999E-2</v>
      </c>
      <c r="G18" s="15">
        <f xml:space="preserve"> SUM(Jul!G18,Aug!G18,Sep!G18)</f>
        <v>64884</v>
      </c>
      <c r="H18" s="15">
        <f>SUM(Jul!H18, Aug!H18, Sep!H18)</f>
        <v>17253</v>
      </c>
      <c r="I18" s="16">
        <f t="shared" si="5"/>
        <v>0.2659053079341594</v>
      </c>
    </row>
    <row r="19" spans="1:9" ht="15.6">
      <c r="A19" s="43" t="str">
        <v>Lilly Lane</v>
      </c>
      <c r="B19" s="10" t="str">
        <v>MA</v>
      </c>
      <c r="C19" s="11">
        <f>SUM(Jul!C19, Aug!C19, Sep!C19)</f>
        <v>175990</v>
      </c>
      <c r="D19" s="18">
        <f>SUM(Jul!D19, Aug!D19, Sep!D19)</f>
        <v>173631</v>
      </c>
      <c r="E19" s="18">
        <f t="shared" si="3"/>
        <v>2359</v>
      </c>
      <c r="F19" s="19">
        <f t="shared" si="4"/>
        <v>1.3586283555355898E-2</v>
      </c>
      <c r="G19" s="18">
        <f xml:space="preserve"> SUM(Jul!G19,Aug!G19,Sep!G19)</f>
        <v>177958</v>
      </c>
      <c r="H19" s="20">
        <f>SUM(Jul!H19, Aug!H19, Sep!H19)</f>
        <v>-1968</v>
      </c>
      <c r="I19" s="19">
        <f t="shared" si="5"/>
        <v>-1.1058789152496657E-2</v>
      </c>
    </row>
    <row r="20" spans="1:9" ht="15.6">
      <c r="A20" s="42" t="str">
        <v>Monument Valley</v>
      </c>
      <c r="B20" s="9" t="str">
        <v>MA</v>
      </c>
      <c r="C20" s="24">
        <f>SUM(Jul!C20, Aug!C20, Sep!C20)</f>
        <v>380364</v>
      </c>
      <c r="D20" s="13">
        <f>SUM(Jul!D20, Aug!D20, Sep!D20)</f>
        <v>282628.5</v>
      </c>
      <c r="E20" s="13">
        <f t="shared" si="3"/>
        <v>97735.5</v>
      </c>
      <c r="F20" s="14">
        <f t="shared" si="4"/>
        <v>0.34580907445639769</v>
      </c>
      <c r="G20" s="15">
        <f xml:space="preserve"> SUM(Jul!G20,Aug!G20,Sep!G20)</f>
        <v>0</v>
      </c>
      <c r="H20" s="15">
        <f>SUM(Jul!H20, Aug!H20, Sep!H20)</f>
        <v>380364</v>
      </c>
      <c r="I20" s="16" t="str">
        <f t="shared" si="5"/>
        <v/>
      </c>
    </row>
    <row r="21" spans="1:9" ht="15.6">
      <c r="A21" s="43" t="str">
        <v>Nationwide</v>
      </c>
      <c r="B21" s="10" t="str">
        <v>MA</v>
      </c>
      <c r="C21" s="11">
        <f>SUM(Jul!C21, Aug!C21, Sep!C21)</f>
        <v>550601</v>
      </c>
      <c r="D21" s="18">
        <f>SUM(Jul!D21, Aug!D21, Sep!D21)</f>
        <v>536230</v>
      </c>
      <c r="E21" s="18">
        <f t="shared" si="3"/>
        <v>14371</v>
      </c>
      <c r="F21" s="19">
        <f t="shared" si="4"/>
        <v>2.6800067135371017E-2</v>
      </c>
      <c r="G21" s="18">
        <f xml:space="preserve"> SUM(Jul!G21,Aug!G21,Sep!G21)</f>
        <v>536327</v>
      </c>
      <c r="H21" s="20">
        <f>SUM(Jul!H21, Aug!H21, Sep!H21)</f>
        <v>14274</v>
      </c>
      <c r="I21" s="19">
        <f t="shared" si="5"/>
        <v>2.6614360269014984E-2</v>
      </c>
    </row>
    <row r="22" spans="1:9" ht="15.6">
      <c r="A22" s="42" t="str">
        <v>Pulpit Hill</v>
      </c>
      <c r="B22" s="9" t="str">
        <v>MA</v>
      </c>
      <c r="C22" s="24">
        <f>SUM(Jul!C22, Aug!C22, Sep!C22)</f>
        <v>810809</v>
      </c>
      <c r="D22" s="13">
        <f>SUM(Jul!D22, Aug!D22, Sep!D22)</f>
        <v>774638.7</v>
      </c>
      <c r="E22" s="13">
        <f t="shared" si="3"/>
        <v>36170.300000000047</v>
      </c>
      <c r="F22" s="14">
        <f t="shared" si="4"/>
        <v>4.6693122871346408E-2</v>
      </c>
      <c r="G22" s="15">
        <f xml:space="preserve"> SUM(Jul!G22,Aug!G22,Sep!G22)</f>
        <v>777126</v>
      </c>
      <c r="H22" s="15">
        <f>SUM(Jul!H22, Aug!H22, Sep!H22)</f>
        <v>33683</v>
      </c>
      <c r="I22" s="16">
        <f t="shared" si="5"/>
        <v>4.3343035749672514E-2</v>
      </c>
    </row>
    <row r="23" spans="1:9" ht="15.6">
      <c r="A23" s="43" t="str">
        <v>Sandwich</v>
      </c>
      <c r="B23" s="10" t="str">
        <v>MA</v>
      </c>
      <c r="C23" s="11">
        <f>SUM(Jul!C23, Aug!C23, Sep!C23)</f>
        <v>1531733</v>
      </c>
      <c r="D23" s="18">
        <f>SUM(Jul!D23, Aug!D23, Sep!D23)</f>
        <v>1085844</v>
      </c>
      <c r="E23" s="18">
        <f t="shared" ref="E23:E28" si="6">IF(AND(ISNUMBER(C23),ISNUMBER(D23)), C23-D23, "")</f>
        <v>445889</v>
      </c>
      <c r="F23" s="19">
        <f t="shared" si="4"/>
        <v>0.41063817638629491</v>
      </c>
      <c r="G23" s="18">
        <f xml:space="preserve"> SUM(Jul!G23,Aug!G23,Sep!G23)</f>
        <v>1711386</v>
      </c>
      <c r="H23" s="20">
        <f>SUM(Jul!H23, Aug!H23, Sep!H23)</f>
        <v>-179653</v>
      </c>
      <c r="I23" s="19">
        <f t="shared" si="5"/>
        <v>-0.10497514879752434</v>
      </c>
    </row>
    <row r="24" spans="1:9" ht="15.6">
      <c r="A24" s="42" t="str">
        <v>Sturbridge Barn</v>
      </c>
      <c r="B24" s="9" t="str">
        <v>MA</v>
      </c>
      <c r="C24" s="24">
        <f>SUM(Jul!C24, Aug!C24, Sep!C24)</f>
        <v>176159</v>
      </c>
      <c r="D24" s="13">
        <f>SUM(Jul!D24, Aug!D24, Sep!D24)</f>
        <v>183008</v>
      </c>
      <c r="E24" s="13">
        <f t="shared" si="6"/>
        <v>-6849</v>
      </c>
      <c r="F24" s="14">
        <f t="shared" ref="F24:F28" si="7">IFERROR(E24/D24, "")</f>
        <v>-3.7424593460395172E-2</v>
      </c>
      <c r="G24" s="15">
        <f xml:space="preserve"> SUM(Jul!G24,Aug!G24,Sep!G24)</f>
        <v>190566.5</v>
      </c>
      <c r="H24" s="15">
        <f>SUM(Jul!H24, Aug!H24, Sep!H24)</f>
        <v>-14407.5</v>
      </c>
      <c r="I24" s="16">
        <f t="shared" ref="I24:I28" si="8">IFERROR(H24/G24, "")</f>
        <v>-7.5603529476586911E-2</v>
      </c>
    </row>
    <row r="25" spans="1:9" ht="15.6">
      <c r="A25" s="43" t="str">
        <v>Sturbridge Garage</v>
      </c>
      <c r="B25" s="10" t="str">
        <v>MA</v>
      </c>
      <c r="C25" s="11">
        <f>SUM(Jul!C25, Aug!C25, Sep!C25)</f>
        <v>85972.5</v>
      </c>
      <c r="D25" s="18">
        <f>SUM(Jul!D25, Aug!D25, Sep!D25)</f>
        <v>86378</v>
      </c>
      <c r="E25" s="18">
        <f t="shared" si="6"/>
        <v>-405.5</v>
      </c>
      <c r="F25" s="19">
        <f t="shared" si="7"/>
        <v>-4.6944823913496496E-3</v>
      </c>
      <c r="G25" s="18">
        <f xml:space="preserve"> SUM(Jul!G25,Aug!G25,Sep!G25)</f>
        <v>87896</v>
      </c>
      <c r="H25" s="20">
        <f>SUM(Jul!H25, Aug!H25, Sep!H25)</f>
        <v>-1923.5</v>
      </c>
      <c r="I25" s="19">
        <f t="shared" si="8"/>
        <v>-2.1883817238554655E-2</v>
      </c>
    </row>
    <row r="26" spans="1:9" ht="15.6">
      <c r="A26" s="42" t="str">
        <v>Halsey Valley</v>
      </c>
      <c r="B26" s="9" t="str">
        <v>NY</v>
      </c>
      <c r="C26" s="24">
        <f>SUM(Jul!C26, Aug!C26, Sep!C26)</f>
        <v>973648</v>
      </c>
      <c r="D26" s="13">
        <f>SUM(Jul!D26, Aug!D26, Sep!D26)</f>
        <v>965597</v>
      </c>
      <c r="E26" s="13">
        <f t="shared" si="6"/>
        <v>8051</v>
      </c>
      <c r="F26" s="14">
        <f t="shared" si="7"/>
        <v>8.3378469485717119E-3</v>
      </c>
      <c r="G26" s="15">
        <f xml:space="preserve"> SUM(Jul!G26,Aug!G26,Sep!G26)</f>
        <v>1001133</v>
      </c>
      <c r="H26" s="15">
        <f>SUM(Jul!H26, Aug!H26, Sep!H26)</f>
        <v>-27485</v>
      </c>
      <c r="I26" s="16">
        <f t="shared" si="8"/>
        <v>-2.7453894737262681E-2</v>
      </c>
    </row>
    <row r="27" spans="1:9" ht="15.6">
      <c r="A27" s="43" t="str">
        <v>Hunt Creek</v>
      </c>
      <c r="B27" s="10" t="str">
        <v>NY</v>
      </c>
      <c r="C27" s="11">
        <f>SUM(Jul!C27, Aug!C27, Sep!C27)</f>
        <v>652076</v>
      </c>
      <c r="D27" s="18">
        <f>SUM(Jul!D27, Aug!D27, Sep!D27)</f>
        <v>694573.5</v>
      </c>
      <c r="E27" s="18">
        <f t="shared" si="6"/>
        <v>-42497.5</v>
      </c>
      <c r="F27" s="19">
        <f t="shared" si="7"/>
        <v>-6.1185029374141109E-2</v>
      </c>
      <c r="G27" s="18">
        <f xml:space="preserve"> SUM(Jul!G27,Aug!G27,Sep!G27)</f>
        <v>713489</v>
      </c>
      <c r="H27" s="20">
        <f>SUM(Jul!H27, Aug!H27, Sep!H27)</f>
        <v>-61413</v>
      </c>
      <c r="I27" s="19">
        <f t="shared" si="8"/>
        <v>-8.607420717067818E-2</v>
      </c>
    </row>
    <row r="28" spans="1:9" ht="15.6">
      <c r="A28" s="42" t="str">
        <v>Smith Creek</v>
      </c>
      <c r="B28" s="9" t="str">
        <v>NY</v>
      </c>
      <c r="C28" s="24">
        <f>SUM(Jul!C28, Aug!C28, Sep!C28)</f>
        <v>727810</v>
      </c>
      <c r="D28" s="13">
        <f>SUM(Jul!D28, Aug!D28, Sep!D28)</f>
        <v>753691</v>
      </c>
      <c r="E28" s="13">
        <f t="shared" si="6"/>
        <v>-25881</v>
      </c>
      <c r="F28" s="14">
        <f t="shared" si="7"/>
        <v>-3.433900630364433E-2</v>
      </c>
      <c r="G28" s="15">
        <f xml:space="preserve"> SUM(Jul!G28,Aug!G28,Sep!G28)</f>
        <v>740977</v>
      </c>
      <c r="H28" s="15">
        <f>SUM(Jul!H28, Aug!H28, Sep!H28)</f>
        <v>-13167</v>
      </c>
      <c r="I28" s="16">
        <f t="shared" si="8"/>
        <v>-1.7769782327926507E-2</v>
      </c>
    </row>
    <row r="29" spans="1:9" ht="15.6">
      <c r="A29" s="17" t="str">
        <v>Bradford - 256 Presidential Dr</v>
      </c>
      <c r="B29" s="21" t="str">
        <v>MA</v>
      </c>
      <c r="C29" s="21"/>
      <c r="D29" s="21"/>
      <c r="E29" s="21"/>
      <c r="F29" s="21"/>
      <c r="G29" s="21"/>
      <c r="H29" s="21"/>
      <c r="I29" s="21"/>
    </row>
    <row r="30" spans="1:9" ht="15.6">
      <c r="A30" s="17" t="str">
        <v>Charlton – 111 Brookfield Road - Bus Lot</v>
      </c>
      <c r="B30" s="21" t="str">
        <v>MA</v>
      </c>
      <c r="C30" s="21"/>
      <c r="D30" s="21"/>
      <c r="E30" s="21"/>
      <c r="F30" s="21"/>
      <c r="G30" s="21"/>
      <c r="H30" s="21"/>
      <c r="I30" s="21"/>
    </row>
    <row r="31" spans="1:9" ht="15.6">
      <c r="A31" s="17" t="str">
        <v>Charlton – 154 Center Depot Road KMARD</v>
      </c>
      <c r="B31" s="21" t="str">
        <v>MA</v>
      </c>
      <c r="C31" s="21"/>
      <c r="D31" s="21"/>
      <c r="E31" s="21"/>
      <c r="F31" s="21"/>
      <c r="G31" s="21"/>
      <c r="H31" s="21"/>
      <c r="I31" s="21"/>
    </row>
    <row r="32" spans="1:9" ht="15.6">
      <c r="A32" s="17" t="str">
        <v>Charlton – 142A Brookfield Rd (Mitchell)</v>
      </c>
      <c r="B32" s="21" t="str">
        <v>MA</v>
      </c>
      <c r="C32" s="21"/>
      <c r="D32" s="21"/>
      <c r="E32" s="21"/>
      <c r="F32" s="21"/>
      <c r="G32" s="21"/>
      <c r="H32" s="21"/>
      <c r="I32" s="21"/>
    </row>
    <row r="33" spans="1:9" ht="15.6">
      <c r="A33" s="17" t="str">
        <v>Great Barrington – 3 Nolan  Drive</v>
      </c>
      <c r="B33" s="21" t="str">
        <v>MA</v>
      </c>
      <c r="C33" s="21"/>
      <c r="D33" s="21"/>
      <c r="E33" s="21"/>
      <c r="F33" s="21"/>
      <c r="G33" s="21"/>
      <c r="H33" s="21"/>
      <c r="I33" s="21"/>
    </row>
    <row r="34" spans="1:9" ht="15.6">
      <c r="A34" s="17" t="str">
        <v>Stockbridge – 92 State Line Road Truck Stop</v>
      </c>
      <c r="B34" s="21" t="str">
        <v>MA</v>
      </c>
      <c r="C34" s="21"/>
      <c r="D34" s="21"/>
      <c r="E34" s="21"/>
      <c r="F34" s="21"/>
      <c r="G34" s="21"/>
      <c r="H34" s="21"/>
      <c r="I34" s="21"/>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L26" activePane="bottomRight" state="frozen"/>
      <selection pane="bottomRight" activeCell="L26" sqref="L26"/>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Lodestar</v>
      </c>
      <c r="B1" s="87"/>
      <c r="C1" s="87"/>
      <c r="D1" s="88" t="s">
        <v>16</v>
      </c>
      <c r="E1" s="88"/>
      <c r="F1" s="88"/>
      <c r="G1" s="86" t="s">
        <v>17</v>
      </c>
      <c r="H1" s="86"/>
      <c r="I1" s="86"/>
    </row>
    <row r="2" spans="1:9" ht="19.5" customHeight="1">
      <c r="A2" s="89" t="s">
        <v>2</v>
      </c>
      <c r="B2" s="89"/>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3" t="str">
        <v>Bunce</v>
      </c>
      <c r="B5" s="10" t="str">
        <v>CT</v>
      </c>
      <c r="C5" s="11">
        <f>SUM(Oct!C5, Nov!C5, Dec!C5)</f>
        <v>0</v>
      </c>
      <c r="D5" s="18">
        <f>SUM(Oct!D5, Nov!D5, Dec!D5)</f>
        <v>0</v>
      </c>
      <c r="E5" s="18">
        <f t="shared" ref="E5:E15" si="0">IF(AND(ISNUMBER(C5),ISNUMBER(D5)), C5-D5, "")</f>
        <v>0</v>
      </c>
      <c r="F5" s="19" t="str">
        <f>IFERROR(E5/D5, "")</f>
        <v/>
      </c>
      <c r="G5" s="18">
        <f>SUM(Oct!G5,Nov!G5,Dec!G5)</f>
        <v>0</v>
      </c>
      <c r="H5" s="20">
        <f>SUM(Oct!H5, Nov!H5, Dec!H5)</f>
        <v>0</v>
      </c>
      <c r="I5" s="19" t="str">
        <f>IFERROR(H5/G5, "")</f>
        <v/>
      </c>
    </row>
    <row r="6" spans="1:9" ht="15.6">
      <c r="A6" s="42" t="str">
        <v>Norcap North</v>
      </c>
      <c r="B6" s="9" t="str">
        <v>CT</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3" t="str">
        <v>Norcap South</v>
      </c>
      <c r="B7" s="10" t="str">
        <v>CT</v>
      </c>
      <c r="C7" s="11">
        <f>SUM(Oct!C7, Nov!C7, Dec!C7)</f>
        <v>0</v>
      </c>
      <c r="D7" s="18">
        <f>SUM(Oct!D7, Nov!D7, Dec!D7)</f>
        <v>0</v>
      </c>
      <c r="E7" s="18">
        <f t="shared" si="0"/>
        <v>0</v>
      </c>
      <c r="F7" s="19" t="str">
        <f t="shared" si="1"/>
        <v/>
      </c>
      <c r="G7" s="18">
        <f>SUM(Oct!G7,Nov!G7,Dec!G7)</f>
        <v>0</v>
      </c>
      <c r="H7" s="20">
        <f>SUM(Oct!H7, Nov!H7, Dec!H7)</f>
        <v>0</v>
      </c>
      <c r="I7" s="19" t="str">
        <f t="shared" si="2"/>
        <v/>
      </c>
    </row>
    <row r="8" spans="1:9" ht="15.6">
      <c r="A8" s="42" t="str">
        <v>Platt Hill</v>
      </c>
      <c r="B8" s="9" t="str">
        <v>CT</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3" t="str">
        <v>Powder Hill</v>
      </c>
      <c r="B9" s="10" t="str">
        <v>CT</v>
      </c>
      <c r="C9" s="11">
        <f>SUM(Oct!C9, Nov!C9, Dec!C9)</f>
        <v>0</v>
      </c>
      <c r="D9" s="18">
        <f>SUM(Oct!D9, Nov!D9, Dec!D9)</f>
        <v>0</v>
      </c>
      <c r="E9" s="18">
        <f t="shared" si="0"/>
        <v>0</v>
      </c>
      <c r="F9" s="19" t="str">
        <f t="shared" si="1"/>
        <v/>
      </c>
      <c r="G9" s="18">
        <f>SUM(Oct!G9,Nov!G9,Dec!G9)</f>
        <v>0</v>
      </c>
      <c r="H9" s="20">
        <f>SUM(Oct!H9, Nov!H9, Dec!H9)</f>
        <v>0</v>
      </c>
      <c r="I9" s="19" t="str">
        <f t="shared" si="2"/>
        <v/>
      </c>
    </row>
    <row r="10" spans="1:9" ht="15.6">
      <c r="A10" s="42" t="str">
        <v>Sand Road</v>
      </c>
      <c r="B10" s="9" t="str">
        <v>CT</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3" t="str">
        <v>Suffield</v>
      </c>
      <c r="B11" s="10" t="str">
        <v>CT</v>
      </c>
      <c r="C11" s="11">
        <f>SUM(Oct!C11, Nov!C11, Dec!C11)</f>
        <v>0</v>
      </c>
      <c r="D11" s="18">
        <f>SUM(Oct!D11, Nov!D11, Dec!D11)</f>
        <v>0</v>
      </c>
      <c r="E11" s="18">
        <f t="shared" si="0"/>
        <v>0</v>
      </c>
      <c r="F11" s="19" t="str">
        <f t="shared" si="1"/>
        <v/>
      </c>
      <c r="G11" s="18">
        <f>SUM(Oct!G11,Nov!G11,Dec!G11)</f>
        <v>0</v>
      </c>
      <c r="H11" s="20">
        <f>SUM(Oct!H11, Nov!H11, Dec!H11)</f>
        <v>0</v>
      </c>
      <c r="I11" s="19" t="str">
        <f t="shared" si="2"/>
        <v/>
      </c>
    </row>
    <row r="12" spans="1:9" ht="15.6">
      <c r="A12" s="42" t="str">
        <v>Ashby-Duffy</v>
      </c>
      <c r="B12" s="9" t="str">
        <v>MA</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3" t="str">
        <v>Ashland</v>
      </c>
      <c r="B13" s="10" t="str">
        <v>MA</v>
      </c>
      <c r="C13" s="11">
        <f>SUM(Oct!C13, Nov!C13, Dec!C13)</f>
        <v>0</v>
      </c>
      <c r="D13" s="18">
        <f>SUM(Oct!D13, Nov!D13, Dec!D13)</f>
        <v>0</v>
      </c>
      <c r="E13" s="18">
        <f t="shared" si="0"/>
        <v>0</v>
      </c>
      <c r="F13" s="19" t="str">
        <f t="shared" si="1"/>
        <v/>
      </c>
      <c r="G13" s="18">
        <f>SUM(Oct!G13,Nov!G13,Dec!G13)</f>
        <v>0</v>
      </c>
      <c r="H13" s="20">
        <f>SUM(Oct!H13, Nov!H13, Dec!H13)</f>
        <v>0</v>
      </c>
      <c r="I13" s="19" t="str">
        <f t="shared" si="2"/>
        <v/>
      </c>
    </row>
    <row r="14" spans="1:9" ht="15.6">
      <c r="A14" s="42" t="str">
        <v>Barrington</v>
      </c>
      <c r="B14" s="9" t="str">
        <v>MA</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3" t="str">
        <v>Bedford - 205 Burlington Rd</v>
      </c>
      <c r="B15" s="10" t="str">
        <v>MA</v>
      </c>
      <c r="C15" s="11">
        <f>SUM(Oct!C15, Nov!C15, Dec!C15)</f>
        <v>0</v>
      </c>
      <c r="D15" s="18">
        <f>SUM(Oct!D15, Nov!D15, Dec!D15)</f>
        <v>0</v>
      </c>
      <c r="E15" s="18">
        <f t="shared" si="0"/>
        <v>0</v>
      </c>
      <c r="F15" s="19" t="str">
        <f t="shared" si="1"/>
        <v/>
      </c>
      <c r="G15" s="18">
        <f>SUM(Oct!G15,Nov!G15,Dec!G15)</f>
        <v>0</v>
      </c>
      <c r="H15" s="20">
        <f>SUM(Oct!H15, Nov!H15, Dec!H15)</f>
        <v>0</v>
      </c>
      <c r="I15" s="19" t="str">
        <f t="shared" si="2"/>
        <v/>
      </c>
    </row>
    <row r="16" spans="1:9" ht="15.6">
      <c r="A16" s="42" t="str">
        <v>Billerica - 6 Cook Street</v>
      </c>
      <c r="B16" s="9" t="str">
        <v>MA</v>
      </c>
      <c r="C16" s="24">
        <f>SUM(Oct!C16, Nov!C16, Dec!C16)</f>
        <v>0</v>
      </c>
      <c r="D16" s="13">
        <f>SUM(Oct!D16, Nov!D16, Dec!D16)</f>
        <v>0</v>
      </c>
      <c r="E16" s="13">
        <f t="shared" ref="E16:E18" si="3">IF(AND(ISNUMBER(C16),ISNUMBER(D16)), C16-D16, "")</f>
        <v>0</v>
      </c>
      <c r="F16" s="14" t="str">
        <f t="shared" ref="F16:F18" si="4">IFERROR(E16/D16, "")</f>
        <v/>
      </c>
      <c r="G16" s="15">
        <f>SUM(Oct!G16,Nov!G16,Dec!G16)</f>
        <v>0</v>
      </c>
      <c r="H16" s="15">
        <f>SUM(Oct!H16, Nov!H16, Dec!H16)</f>
        <v>0</v>
      </c>
      <c r="I16" s="16" t="str">
        <f t="shared" ref="I16:I18" si="5">IFERROR(H16/G16, "")</f>
        <v/>
      </c>
    </row>
    <row r="17" spans="1:9" ht="15.6">
      <c r="A17" s="43" t="str">
        <v>Billerica - 780 Boston Road</v>
      </c>
      <c r="B17" s="10" t="str">
        <v>MA</v>
      </c>
      <c r="C17" s="11">
        <f>SUM(Oct!C17, Nov!C17, Dec!C17)</f>
        <v>0</v>
      </c>
      <c r="D17" s="18">
        <f>SUM(Oct!D17, Nov!D17, Dec!D17)</f>
        <v>0</v>
      </c>
      <c r="E17" s="18">
        <f t="shared" si="3"/>
        <v>0</v>
      </c>
      <c r="F17" s="19" t="str">
        <f t="shared" si="4"/>
        <v/>
      </c>
      <c r="G17" s="18">
        <f>SUM(Oct!G17,Nov!G17,Dec!G17)</f>
        <v>0</v>
      </c>
      <c r="H17" s="20">
        <f>SUM(Oct!H17, Nov!H17, Dec!H17)</f>
        <v>0</v>
      </c>
      <c r="I17" s="19" t="str">
        <f t="shared" si="5"/>
        <v/>
      </c>
    </row>
    <row r="18" spans="1:9" ht="12.75" customHeight="1">
      <c r="A18" s="42" t="str">
        <v>Cheshire</v>
      </c>
      <c r="B18" s="9" t="str">
        <v>MA</v>
      </c>
      <c r="C18" s="24">
        <f>SUM(Oct!C18, Nov!C18, Dec!C18)</f>
        <v>0</v>
      </c>
      <c r="D18" s="13">
        <f>SUM(Oct!D18, Nov!D18, Dec!D18)</f>
        <v>0</v>
      </c>
      <c r="E18" s="13">
        <f t="shared" si="3"/>
        <v>0</v>
      </c>
      <c r="F18" s="14" t="str">
        <f t="shared" si="4"/>
        <v/>
      </c>
      <c r="G18" s="15">
        <f>SUM(Oct!G18,Nov!G18,Dec!G18)</f>
        <v>0</v>
      </c>
      <c r="H18" s="15">
        <f>SUM(Oct!H18, Nov!H18, Dec!H18)</f>
        <v>0</v>
      </c>
      <c r="I18" s="16" t="str">
        <f t="shared" si="5"/>
        <v/>
      </c>
    </row>
    <row r="19" spans="1:9" ht="15.6">
      <c r="A19" s="43" t="str">
        <v>Lilly Lane</v>
      </c>
      <c r="B19" s="10" t="str">
        <v>MA</v>
      </c>
      <c r="C19" s="11">
        <f>SUM(Oct!C19, Nov!C19, Dec!C19)</f>
        <v>0</v>
      </c>
      <c r="D19" s="18">
        <f>SUM(Oct!D19, Nov!D19, Dec!D19)</f>
        <v>0</v>
      </c>
      <c r="E19" s="18">
        <f t="shared" ref="E19:E28" si="6">IF(AND(ISNUMBER(C19),ISNUMBER(D19)), C19-D19, "")</f>
        <v>0</v>
      </c>
      <c r="F19" s="19" t="str">
        <f t="shared" ref="F19:F28" si="7">IFERROR(E19/D19, "")</f>
        <v/>
      </c>
      <c r="G19" s="18">
        <f>SUM(Oct!G19,Nov!G19,Dec!G19)</f>
        <v>0</v>
      </c>
      <c r="H19" s="20">
        <f>SUM(Oct!H19, Nov!H19, Dec!H19)</f>
        <v>0</v>
      </c>
      <c r="I19" s="19" t="str">
        <f t="shared" ref="I19:I28" si="8">IFERROR(H19/G19, "")</f>
        <v/>
      </c>
    </row>
    <row r="20" spans="1:9" ht="15.6">
      <c r="A20" s="42" t="str">
        <v>Monument Valley</v>
      </c>
      <c r="B20" s="9" t="str">
        <v>MA</v>
      </c>
      <c r="C20" s="24">
        <f>SUM(Oct!C20, Nov!C20, Dec!C20)</f>
        <v>0</v>
      </c>
      <c r="D20" s="13">
        <f>SUM(Oct!D20, Nov!D20, Dec!D20)</f>
        <v>0</v>
      </c>
      <c r="E20" s="13">
        <f>IF(AND(ISNUMBER(C20),ISNUMBER(D20)), C20-D20, "")</f>
        <v>0</v>
      </c>
      <c r="F20" s="14" t="str">
        <f>IFERROR(E20/D20, "")</f>
        <v/>
      </c>
      <c r="G20" s="15">
        <f>SUM(Oct!G20,Nov!G20,Dec!G20)</f>
        <v>0</v>
      </c>
      <c r="H20" s="15">
        <f>SUM(Oct!H20, Nov!H20, Dec!H20)</f>
        <v>0</v>
      </c>
      <c r="I20" s="16" t="str">
        <f>IFERROR(H20/G20, "")</f>
        <v/>
      </c>
    </row>
    <row r="21" spans="1:9" ht="15.6">
      <c r="A21" s="43" t="str">
        <v>Nationwide</v>
      </c>
      <c r="B21" s="10" t="str">
        <v>MA</v>
      </c>
      <c r="C21" s="11">
        <f>SUM(Oct!C21, Nov!C21, Dec!C21)</f>
        <v>0</v>
      </c>
      <c r="D21" s="18">
        <f>SUM(Oct!D21, Nov!D21, Dec!D21)</f>
        <v>0</v>
      </c>
      <c r="E21" s="18">
        <f>IF(AND(ISNUMBER(C21),ISNUMBER(D21)), C21-D21, "")</f>
        <v>0</v>
      </c>
      <c r="F21" s="19" t="str">
        <f>IFERROR(E21/D21, "")</f>
        <v/>
      </c>
      <c r="G21" s="18">
        <f>SUM(Oct!G21,Nov!G21,Dec!G21)</f>
        <v>0</v>
      </c>
      <c r="H21" s="20">
        <f>SUM(Oct!H21, Nov!H21, Dec!H21)</f>
        <v>0</v>
      </c>
      <c r="I21" s="19" t="str">
        <f>IFERROR(H21/G21, "")</f>
        <v/>
      </c>
    </row>
    <row r="22" spans="1:9" ht="15.6">
      <c r="A22" s="42" t="str">
        <v>Pulpit Hill</v>
      </c>
      <c r="B22" s="9" t="str">
        <v>MA</v>
      </c>
      <c r="C22" s="24">
        <f>SUM(Oct!C22, Nov!C22, Dec!C22)</f>
        <v>0</v>
      </c>
      <c r="D22" s="13">
        <f>SUM(Oct!D22, Nov!D22, Dec!D22)</f>
        <v>0</v>
      </c>
      <c r="E22" s="13">
        <f>IF(AND(ISNUMBER(C22),ISNUMBER(D22)), C22-D22, "")</f>
        <v>0</v>
      </c>
      <c r="F22" s="14" t="str">
        <f>IFERROR(E22/D22, "")</f>
        <v/>
      </c>
      <c r="G22" s="15">
        <f>SUM(Oct!G22,Nov!G22,Dec!G22)</f>
        <v>0</v>
      </c>
      <c r="H22" s="15">
        <f>SUM(Oct!H22, Nov!H22, Dec!H22)</f>
        <v>0</v>
      </c>
      <c r="I22" s="16" t="str">
        <f>IFERROR(H22/G22, "")</f>
        <v/>
      </c>
    </row>
    <row r="23" spans="1:9" ht="15.6">
      <c r="A23" s="43" t="str">
        <v>Sandwich</v>
      </c>
      <c r="B23" s="10" t="str">
        <v>MA</v>
      </c>
      <c r="C23" s="11">
        <f>SUM(Oct!C23, Nov!C23, Dec!C23)</f>
        <v>0</v>
      </c>
      <c r="D23" s="18">
        <f>SUM(Oct!D23, Nov!D23, Dec!D23)</f>
        <v>0</v>
      </c>
      <c r="E23" s="18">
        <f t="shared" si="6"/>
        <v>0</v>
      </c>
      <c r="F23" s="19" t="str">
        <f>IFERROR(E23/D23, "")</f>
        <v/>
      </c>
      <c r="G23" s="18">
        <f>SUM(Oct!G23,Nov!G23,Dec!G23)</f>
        <v>0</v>
      </c>
      <c r="H23" s="20">
        <f>SUM(Oct!H23, Nov!H23, Dec!H23)</f>
        <v>0</v>
      </c>
      <c r="I23" s="19" t="str">
        <f>IFERROR(H23/G23, "")</f>
        <v/>
      </c>
    </row>
    <row r="24" spans="1:9" ht="15.6">
      <c r="A24" s="42" t="str">
        <v>Sturbridge Barn</v>
      </c>
      <c r="B24" s="9" t="str">
        <v>MA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3" t="str">
        <v>Sturbridge Garage</v>
      </c>
      <c r="B25" s="10" t="str">
        <v>MA</v>
      </c>
      <c r="C25" s="11">
        <f>SUM(Oct!C25, Nov!C25, Dec!C25)</f>
        <v>0</v>
      </c>
      <c r="D25" s="18">
        <f>SUM(Oct!D25, Nov!D25, Dec!D25)</f>
        <v>0</v>
      </c>
      <c r="E25" s="18">
        <f t="shared" si="6"/>
        <v>0</v>
      </c>
      <c r="F25" s="19" t="str">
        <f t="shared" si="7"/>
        <v/>
      </c>
      <c r="G25" s="18">
        <f>SUM(Oct!G25,Nov!G25,Dec!G25)</f>
        <v>0</v>
      </c>
      <c r="H25" s="20">
        <f>SUM(Oct!H25, Nov!H25, Dec!H25)</f>
        <v>0</v>
      </c>
      <c r="I25" s="19" t="str">
        <f t="shared" si="8"/>
        <v/>
      </c>
    </row>
    <row r="26" spans="1:9" ht="15.6">
      <c r="A26" s="42" t="str">
        <v>Halsey Valley</v>
      </c>
      <c r="B26" s="9" t="str">
        <v>NY</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3" t="str">
        <v>Hunt Creek</v>
      </c>
      <c r="B27" s="10" t="str">
        <v>NY</v>
      </c>
      <c r="C27" s="11">
        <f>SUM(Oct!C27, Nov!C27, Dec!C27)</f>
        <v>0</v>
      </c>
      <c r="D27" s="18">
        <f>SUM(Oct!D27, Nov!D27, Dec!D27)</f>
        <v>0</v>
      </c>
      <c r="E27" s="18">
        <f t="shared" si="6"/>
        <v>0</v>
      </c>
      <c r="F27" s="19" t="str">
        <f t="shared" si="7"/>
        <v/>
      </c>
      <c r="G27" s="18">
        <f>SUM(Oct!G27,Nov!G27,Dec!G27)</f>
        <v>0</v>
      </c>
      <c r="H27" s="20">
        <f>SUM(Oct!H27, Nov!H27, Dec!H27)</f>
        <v>0</v>
      </c>
      <c r="I27" s="19" t="str">
        <f t="shared" si="8"/>
        <v/>
      </c>
    </row>
    <row r="28" spans="1:9" ht="15.6">
      <c r="A28" s="42" t="str">
        <v>Smith Creek</v>
      </c>
      <c r="B28" s="9" t="str">
        <v>NY</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17" t="str">
        <v>Bradford - 256 Presidential Dr</v>
      </c>
      <c r="B29" s="10" t="str">
        <v>MA</v>
      </c>
      <c r="C29" s="41"/>
      <c r="D29" s="18"/>
      <c r="E29" s="18"/>
      <c r="F29" s="19"/>
      <c r="G29" s="20"/>
      <c r="H29" s="20"/>
      <c r="I29" s="19"/>
    </row>
    <row r="30" spans="1:9" ht="14.45">
      <c r="A30" s="21" t="str">
        <v>Charlton – 111 Brookfield Road - Bus Lot</v>
      </c>
      <c r="B30" s="10" t="str">
        <v>MA</v>
      </c>
      <c r="C30" s="41"/>
      <c r="D30" s="18"/>
      <c r="E30" s="18"/>
      <c r="F30" s="19"/>
      <c r="G30" s="20"/>
      <c r="H30" s="20"/>
      <c r="I30" s="19"/>
    </row>
    <row r="31" spans="1:9" ht="14.45">
      <c r="A31" s="21" t="str">
        <v>Charlton – 154 Center Depot Road KMARD</v>
      </c>
      <c r="B31" s="10" t="str">
        <v>MA</v>
      </c>
      <c r="C31" s="41"/>
      <c r="D31" s="18"/>
      <c r="E31" s="18"/>
      <c r="F31" s="19"/>
      <c r="G31" s="20"/>
      <c r="H31" s="20"/>
      <c r="I31" s="19"/>
    </row>
    <row r="32" spans="1:9" ht="14.45">
      <c r="A32" s="21" t="str">
        <v>Charlton – 142A Brookfield Rd (Mitchell)</v>
      </c>
      <c r="B32" s="10" t="str">
        <v>MA</v>
      </c>
      <c r="C32" s="41"/>
      <c r="D32" s="18"/>
      <c r="E32" s="18"/>
      <c r="F32" s="19"/>
      <c r="G32" s="20"/>
      <c r="H32" s="20"/>
      <c r="I32" s="19"/>
    </row>
    <row r="33" spans="1:9" ht="14.45">
      <c r="A33" s="21" t="str">
        <v>Great Barrington – 3 Nolan  Drive</v>
      </c>
      <c r="B33" s="10" t="str">
        <v>MA</v>
      </c>
      <c r="C33" s="41"/>
      <c r="D33" s="18"/>
      <c r="E33" s="18"/>
      <c r="F33" s="19"/>
      <c r="G33" s="20"/>
      <c r="H33" s="20"/>
      <c r="I33" s="19"/>
    </row>
    <row r="34" spans="1:9" ht="13.9">
      <c r="A34" s="21" t="str">
        <v>Stockbridge – 92 State Line Road Truck Stop</v>
      </c>
      <c r="B34" s="21" t="str">
        <v>MA</v>
      </c>
      <c r="C34" s="21"/>
      <c r="D34" s="21"/>
      <c r="E34" s="21"/>
      <c r="F34" s="21"/>
      <c r="G34" s="21"/>
      <c r="H34" s="21"/>
      <c r="I34" s="21"/>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K344"/>
  <sheetViews>
    <sheetView zoomScale="80" zoomScaleNormal="80" workbookViewId="0">
      <pane xSplit="2" ySplit="3" topLeftCell="C18" activePane="bottomRight" state="frozen"/>
      <selection pane="bottomRight" activeCell="D24" sqref="D24"/>
      <selection pane="bottomLeft" activeCell="B32" sqref="B32:C32"/>
      <selection pane="topRight" activeCell="B32" sqref="B32:C32"/>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Lodestar</v>
      </c>
      <c r="B1" s="87"/>
      <c r="C1" s="87"/>
      <c r="D1" s="88" t="s">
        <v>18</v>
      </c>
      <c r="E1" s="88"/>
      <c r="F1" s="88"/>
      <c r="G1" s="86" t="s">
        <v>19</v>
      </c>
      <c r="H1" s="86"/>
      <c r="I1" s="86"/>
      <c r="J1" s="4"/>
      <c r="K1" s="4"/>
    </row>
    <row r="2" spans="1:11" ht="19.5" customHeight="1">
      <c r="A2" s="89" t="s">
        <v>2</v>
      </c>
      <c r="B2" s="89"/>
      <c r="C2" s="5">
        <f>SUM(C4:C102)</f>
        <v>3838099.3873393969</v>
      </c>
      <c r="D2" s="5">
        <f>SUM(D4:D102)</f>
        <v>5622912.8674400011</v>
      </c>
      <c r="E2" s="5">
        <f>C2-D2</f>
        <v>-1784813.4801006042</v>
      </c>
      <c r="F2" s="6">
        <f>IFERROR(E2/D2, 0)</f>
        <v>-0.31741795083394098</v>
      </c>
      <c r="G2" s="5">
        <f>SUM(G4:G102)</f>
        <v>4641331.9099999992</v>
      </c>
      <c r="H2" s="7">
        <f>C2-G2</f>
        <v>-803232.52266060235</v>
      </c>
      <c r="I2" s="6">
        <f>IFERROR(H2/G2, 0)</f>
        <v>-0.17306078044752513</v>
      </c>
      <c r="J2" s="26" t="str">
        <f ca="1">IF(AND(TODAY()&gt;DATE(2024, 1,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72.9">
      <c r="A4" s="30" t="str" cm="1">
        <f t="array" ref="A4:A34">Sites[Site]</f>
        <v>Barkhamsted</v>
      </c>
      <c r="B4" s="27" t="str" cm="1">
        <f t="array" ref="B4:B34">Sites[State]</f>
        <v>CT</v>
      </c>
      <c r="C4" s="24">
        <v>42488</v>
      </c>
      <c r="D4" s="13">
        <v>130906.1</v>
      </c>
      <c r="E4" s="13">
        <f>IF(AND(ISNUMBER(C4),ISNUMBER(D4)), C4-D4, "")</f>
        <v>-88418.1</v>
      </c>
      <c r="F4" s="14">
        <f>IFERROR(E4/D4, "")</f>
        <v>-0.67543147339963527</v>
      </c>
      <c r="G4" s="15">
        <v>95618.240000000005</v>
      </c>
      <c r="H4" s="15">
        <f>IF(AND(ISNUMBER(C4),ISNUMBER(G4)), C4-G4, "")</f>
        <v>-53130.240000000005</v>
      </c>
      <c r="I4" s="16">
        <f>IFERROR(H4/G4, "")</f>
        <v>-0.55564963337538953</v>
      </c>
      <c r="J4" s="60" t="s">
        <v>22</v>
      </c>
      <c r="K4" s="60" t="s">
        <v>23</v>
      </c>
    </row>
    <row r="5" spans="1:11" ht="43.15">
      <c r="A5" s="28" t="str">
        <v>Bunce</v>
      </c>
      <c r="B5" s="29" t="str">
        <v>CT</v>
      </c>
      <c r="C5" s="11">
        <v>147884</v>
      </c>
      <c r="D5" s="18">
        <v>196766.8</v>
      </c>
      <c r="E5" s="18">
        <f t="shared" ref="E5:E35" si="0">IF(AND(ISNUMBER(C5),ISNUMBER(D5)), C5-D5, "")</f>
        <v>-48882.799999999988</v>
      </c>
      <c r="F5" s="19">
        <f>IFERROR(E5/D5, "")</f>
        <v>-0.24843012134160838</v>
      </c>
      <c r="G5" s="67" t="s">
        <v>24</v>
      </c>
      <c r="H5" s="20" t="str">
        <f t="shared" ref="H5:H34" si="1">IF(AND(ISNUMBER(C5),ISNUMBER(G5)), C5-G5, "")</f>
        <v/>
      </c>
      <c r="I5" s="19" t="str">
        <f t="shared" ref="I5:I34" si="2">IFERROR(H5/G5, "")</f>
        <v/>
      </c>
      <c r="J5" s="90" t="s">
        <v>25</v>
      </c>
      <c r="K5" s="91" t="s">
        <v>26</v>
      </c>
    </row>
    <row r="6" spans="1:11" ht="129.6">
      <c r="A6" s="30" t="str">
        <v>Norcap North</v>
      </c>
      <c r="B6" s="27" t="str">
        <v>CT</v>
      </c>
      <c r="C6" s="24">
        <v>162639</v>
      </c>
      <c r="D6" s="13">
        <v>288186.5</v>
      </c>
      <c r="E6" s="13">
        <f t="shared" si="0"/>
        <v>-125547.5</v>
      </c>
      <c r="F6" s="14">
        <f t="shared" ref="F6:F34" si="3">IFERROR(E6/D6, "")</f>
        <v>-0.43564670794780463</v>
      </c>
      <c r="G6" s="15">
        <v>178945.5</v>
      </c>
      <c r="H6" s="15">
        <f t="shared" si="1"/>
        <v>-16306.5</v>
      </c>
      <c r="I6" s="16">
        <f t="shared" si="2"/>
        <v>-9.1125510281063235E-2</v>
      </c>
      <c r="J6" s="60" t="s">
        <v>27</v>
      </c>
      <c r="K6" s="60" t="s">
        <v>28</v>
      </c>
    </row>
    <row r="7" spans="1:11" ht="48" customHeight="1">
      <c r="A7" s="28" t="str">
        <v>Norcap South</v>
      </c>
      <c r="B7" s="29" t="str">
        <v>CT</v>
      </c>
      <c r="C7" s="59">
        <v>184293.5</v>
      </c>
      <c r="D7" s="18">
        <v>319084.7</v>
      </c>
      <c r="E7" s="18">
        <f t="shared" si="0"/>
        <v>-134791.20000000001</v>
      </c>
      <c r="F7" s="53">
        <f t="shared" si="3"/>
        <v>-0.42243078405200879</v>
      </c>
      <c r="G7" s="51">
        <v>155781</v>
      </c>
      <c r="H7" s="51">
        <f t="shared" si="1"/>
        <v>28512.5</v>
      </c>
      <c r="I7" s="53">
        <f t="shared" si="2"/>
        <v>0.18302938098997953</v>
      </c>
      <c r="J7" s="91" t="s">
        <v>29</v>
      </c>
      <c r="K7" s="91" t="s">
        <v>30</v>
      </c>
    </row>
    <row r="8" spans="1:11" ht="115.15">
      <c r="A8" s="30" t="str">
        <v>Platt Hill</v>
      </c>
      <c r="B8" s="27" t="str">
        <v>CT</v>
      </c>
      <c r="C8" s="24">
        <v>115129.745000001</v>
      </c>
      <c r="D8" s="13">
        <v>228108.9</v>
      </c>
      <c r="E8" s="13">
        <f t="shared" si="0"/>
        <v>-112979.15499999899</v>
      </c>
      <c r="F8" s="14">
        <f t="shared" si="3"/>
        <v>-0.49528604539322663</v>
      </c>
      <c r="G8" s="15">
        <v>231339.2</v>
      </c>
      <c r="H8" s="15">
        <f t="shared" si="1"/>
        <v>-116209.45499999901</v>
      </c>
      <c r="I8" s="16">
        <f t="shared" si="2"/>
        <v>-0.50233360796613369</v>
      </c>
      <c r="J8" s="60" t="s">
        <v>31</v>
      </c>
      <c r="K8" s="60" t="s">
        <v>32</v>
      </c>
    </row>
    <row r="9" spans="1:11" ht="115.15">
      <c r="A9" s="28" t="str">
        <v>Powder Hill</v>
      </c>
      <c r="B9" s="29" t="str">
        <v>CT</v>
      </c>
      <c r="C9" s="11">
        <v>157653</v>
      </c>
      <c r="D9" s="18">
        <v>225761.3</v>
      </c>
      <c r="E9" s="18">
        <f t="shared" si="0"/>
        <v>-68108.299999999988</v>
      </c>
      <c r="F9" s="19">
        <f t="shared" si="3"/>
        <v>-0.30168279505832041</v>
      </c>
      <c r="G9" s="20">
        <v>155676</v>
      </c>
      <c r="H9" s="20">
        <f t="shared" si="1"/>
        <v>1977</v>
      </c>
      <c r="I9" s="19">
        <f t="shared" si="2"/>
        <v>1.2699452709473522E-2</v>
      </c>
      <c r="J9" s="91" t="s">
        <v>33</v>
      </c>
      <c r="K9" s="91" t="s">
        <v>34</v>
      </c>
    </row>
    <row r="10" spans="1:11" ht="57.6">
      <c r="A10" s="30" t="str">
        <v>Sand Road</v>
      </c>
      <c r="B10" s="27" t="str">
        <v>CT</v>
      </c>
      <c r="C10" s="24">
        <v>151595</v>
      </c>
      <c r="D10" s="13">
        <v>198096.8</v>
      </c>
      <c r="E10" s="13">
        <f t="shared" si="0"/>
        <v>-46501.799999999988</v>
      </c>
      <c r="F10" s="14">
        <f t="shared" si="3"/>
        <v>-0.23474281260474672</v>
      </c>
      <c r="G10" s="15">
        <v>145302</v>
      </c>
      <c r="H10" s="15">
        <f t="shared" si="1"/>
        <v>6293</v>
      </c>
      <c r="I10" s="16">
        <f>IFERROR(H10/G10, "")</f>
        <v>4.3309796148710958E-2</v>
      </c>
      <c r="J10" s="60" t="s">
        <v>35</v>
      </c>
      <c r="K10" s="60" t="s">
        <v>36</v>
      </c>
    </row>
    <row r="11" spans="1:11" ht="15.6">
      <c r="A11" s="28" t="str">
        <v>Suffield</v>
      </c>
      <c r="B11" s="29" t="str">
        <v>CT</v>
      </c>
      <c r="C11" s="11">
        <v>177443</v>
      </c>
      <c r="D11" s="18">
        <v>223979.4</v>
      </c>
      <c r="E11" s="18">
        <f t="shared" si="0"/>
        <v>-46536.399999999994</v>
      </c>
      <c r="F11" s="19">
        <f t="shared" si="3"/>
        <v>-0.20777089321607253</v>
      </c>
      <c r="G11" s="20">
        <v>190993.6</v>
      </c>
      <c r="H11" s="20">
        <f t="shared" si="1"/>
        <v>-13550.600000000006</v>
      </c>
      <c r="I11" s="19">
        <f t="shared" si="2"/>
        <v>-7.0947927050958801E-2</v>
      </c>
      <c r="J11" s="90" t="s">
        <v>37</v>
      </c>
      <c r="K11" s="90"/>
    </row>
    <row r="12" spans="1:11" ht="144">
      <c r="A12" s="30" t="str">
        <v>Ashby-Duffy</v>
      </c>
      <c r="B12" s="27" t="str">
        <v>MA</v>
      </c>
      <c r="C12" s="24">
        <v>153090</v>
      </c>
      <c r="D12" s="13">
        <v>301950.09999999998</v>
      </c>
      <c r="E12" s="13">
        <f t="shared" si="0"/>
        <v>-148860.09999999998</v>
      </c>
      <c r="F12" s="14">
        <f t="shared" si="3"/>
        <v>-0.492995696971122</v>
      </c>
      <c r="G12" s="15">
        <v>157476.5</v>
      </c>
      <c r="H12" s="15">
        <f t="shared" si="1"/>
        <v>-4386.5</v>
      </c>
      <c r="I12" s="16">
        <f t="shared" si="2"/>
        <v>-2.7854949786158569E-2</v>
      </c>
      <c r="J12" s="60" t="s">
        <v>38</v>
      </c>
      <c r="K12" s="60" t="s">
        <v>39</v>
      </c>
    </row>
    <row r="13" spans="1:11" ht="144">
      <c r="A13" s="28" t="str">
        <v>Ashland</v>
      </c>
      <c r="B13" s="29" t="str">
        <v>MA</v>
      </c>
      <c r="C13" s="11">
        <v>125168.5</v>
      </c>
      <c r="D13" s="18">
        <v>243462.5</v>
      </c>
      <c r="E13" s="18">
        <f t="shared" si="0"/>
        <v>-118294</v>
      </c>
      <c r="F13" s="19">
        <f t="shared" si="3"/>
        <v>-0.4858818093135493</v>
      </c>
      <c r="G13" s="20">
        <v>133620.20000000001</v>
      </c>
      <c r="H13" s="20">
        <f t="shared" si="1"/>
        <v>-8451.7000000000116</v>
      </c>
      <c r="I13" s="19">
        <f t="shared" si="2"/>
        <v>-6.3251664044807684E-2</v>
      </c>
      <c r="J13" s="90" t="s">
        <v>40</v>
      </c>
      <c r="K13" s="91" t="s">
        <v>41</v>
      </c>
    </row>
    <row r="14" spans="1:11" ht="21.75" customHeight="1">
      <c r="A14" s="30" t="str">
        <v>Barrington</v>
      </c>
      <c r="B14" s="27" t="str">
        <v>MA</v>
      </c>
      <c r="C14" s="24">
        <v>21905.5</v>
      </c>
      <c r="D14" s="13">
        <v>31381.54</v>
      </c>
      <c r="E14" s="13">
        <f t="shared" si="0"/>
        <v>-9476.0400000000009</v>
      </c>
      <c r="F14" s="14">
        <f t="shared" si="3"/>
        <v>-0.30196223639757641</v>
      </c>
      <c r="G14" s="15">
        <v>35820</v>
      </c>
      <c r="H14" s="15">
        <f t="shared" si="1"/>
        <v>-13914.5</v>
      </c>
      <c r="I14" s="16">
        <f t="shared" si="2"/>
        <v>-0.3884561697375768</v>
      </c>
      <c r="J14" s="70" t="s">
        <v>42</v>
      </c>
      <c r="K14" s="60"/>
    </row>
    <row r="15" spans="1:11" ht="15.6">
      <c r="A15" s="28" t="str">
        <v>Bedford - 205 Burlington Rd</v>
      </c>
      <c r="B15" s="29" t="str">
        <v>MA</v>
      </c>
      <c r="C15" s="59">
        <v>12393</v>
      </c>
      <c r="D15" s="18" t="s">
        <v>24</v>
      </c>
      <c r="E15" s="18" t="str">
        <f t="shared" si="0"/>
        <v/>
      </c>
      <c r="F15" s="19" t="str">
        <f t="shared" si="3"/>
        <v/>
      </c>
      <c r="G15" s="71" t="s">
        <v>24</v>
      </c>
      <c r="H15" s="20" t="str">
        <f t="shared" si="1"/>
        <v/>
      </c>
      <c r="I15" s="19" t="str">
        <f t="shared" si="2"/>
        <v/>
      </c>
      <c r="J15" s="90"/>
      <c r="K15" s="90"/>
    </row>
    <row r="16" spans="1:11" ht="15.6">
      <c r="A16" s="30" t="str">
        <v>Billerica - 6 Cook Street</v>
      </c>
      <c r="B16" s="27" t="str">
        <v>MA</v>
      </c>
      <c r="C16" s="24">
        <v>9769</v>
      </c>
      <c r="D16" s="13" t="s">
        <v>24</v>
      </c>
      <c r="E16" s="13" t="str">
        <f t="shared" si="0"/>
        <v/>
      </c>
      <c r="F16" s="14" t="str">
        <f t="shared" si="3"/>
        <v/>
      </c>
      <c r="G16" s="68" t="s">
        <v>24</v>
      </c>
      <c r="H16" s="15" t="str">
        <f t="shared" si="1"/>
        <v/>
      </c>
      <c r="I16" s="16" t="str">
        <f t="shared" si="2"/>
        <v/>
      </c>
      <c r="J16" s="60"/>
      <c r="K16" s="60"/>
    </row>
    <row r="17" spans="1:11" ht="15.6">
      <c r="A17" s="28" t="str">
        <v>Billerica - 780 Boston Road</v>
      </c>
      <c r="B17" s="29" t="str">
        <v>MA</v>
      </c>
      <c r="C17" s="11">
        <v>10676</v>
      </c>
      <c r="D17" s="18" t="s">
        <v>24</v>
      </c>
      <c r="E17" s="18" t="str">
        <f t="shared" si="0"/>
        <v/>
      </c>
      <c r="F17" s="19" t="str">
        <f t="shared" si="3"/>
        <v/>
      </c>
      <c r="G17" s="67" t="s">
        <v>24</v>
      </c>
      <c r="H17" s="20" t="str">
        <f t="shared" si="1"/>
        <v/>
      </c>
      <c r="I17" s="19" t="str">
        <f t="shared" si="2"/>
        <v/>
      </c>
      <c r="J17" s="90"/>
      <c r="K17" s="90"/>
    </row>
    <row r="18" spans="1:11" ht="15.6">
      <c r="A18" s="30" t="str">
        <v>Cheshire</v>
      </c>
      <c r="B18" s="27" t="str">
        <v>MA</v>
      </c>
      <c r="C18" s="24">
        <v>20350.206439394002</v>
      </c>
      <c r="D18" s="13">
        <v>43079.92</v>
      </c>
      <c r="E18" s="13">
        <f t="shared" si="0"/>
        <v>-22729.713560605996</v>
      </c>
      <c r="F18" s="14">
        <f t="shared" si="3"/>
        <v>-0.52761735770646734</v>
      </c>
      <c r="G18" s="15">
        <v>24192.560000000001</v>
      </c>
      <c r="H18" s="15">
        <f t="shared" si="1"/>
        <v>-3842.3535606059995</v>
      </c>
      <c r="I18" s="16">
        <f t="shared" si="2"/>
        <v>-0.15882376898542358</v>
      </c>
      <c r="J18" s="60" t="s">
        <v>37</v>
      </c>
      <c r="K18" s="60"/>
    </row>
    <row r="19" spans="1:11" ht="75.75" customHeight="1">
      <c r="A19" s="28" t="str">
        <v>Lilly Lane</v>
      </c>
      <c r="B19" s="29" t="str">
        <v>MA</v>
      </c>
      <c r="C19" s="11">
        <v>66477</v>
      </c>
      <c r="D19" s="18">
        <v>93441.89</v>
      </c>
      <c r="E19" s="18">
        <f t="shared" si="0"/>
        <v>-26964.89</v>
      </c>
      <c r="F19" s="19">
        <f t="shared" si="3"/>
        <v>-0.2885738933576793</v>
      </c>
      <c r="G19" s="20">
        <v>112568.7</v>
      </c>
      <c r="H19" s="20">
        <f t="shared" si="1"/>
        <v>-46091.7</v>
      </c>
      <c r="I19" s="19">
        <f t="shared" si="2"/>
        <v>-0.40945396011502305</v>
      </c>
      <c r="J19" s="90" t="s">
        <v>43</v>
      </c>
      <c r="K19" s="91" t="s">
        <v>44</v>
      </c>
    </row>
    <row r="20" spans="1:11" ht="100.9">
      <c r="A20" s="56" t="str">
        <v>Monument Valley</v>
      </c>
      <c r="B20" s="27" t="str">
        <v>MA</v>
      </c>
      <c r="C20" s="24">
        <v>92298</v>
      </c>
      <c r="D20" s="13">
        <v>36912.89</v>
      </c>
      <c r="E20" s="13">
        <f t="shared" si="0"/>
        <v>55385.11</v>
      </c>
      <c r="F20" s="14">
        <f t="shared" si="3"/>
        <v>1.500427357489484</v>
      </c>
      <c r="G20" s="68" t="s">
        <v>24</v>
      </c>
      <c r="H20" s="15" t="str">
        <f t="shared" si="1"/>
        <v/>
      </c>
      <c r="I20" s="16" t="str">
        <f t="shared" si="2"/>
        <v/>
      </c>
      <c r="J20" s="60" t="s">
        <v>45</v>
      </c>
      <c r="K20" s="60" t="s">
        <v>46</v>
      </c>
    </row>
    <row r="21" spans="1:11" ht="43.15">
      <c r="A21" s="28" t="str">
        <v>Nationwide</v>
      </c>
      <c r="B21" s="29" t="str">
        <v>MA</v>
      </c>
      <c r="C21" s="11">
        <v>149646</v>
      </c>
      <c r="D21" s="18">
        <v>334678.8</v>
      </c>
      <c r="E21" s="18">
        <f t="shared" si="0"/>
        <v>-185032.8</v>
      </c>
      <c r="F21" s="19">
        <f t="shared" si="3"/>
        <v>-0.55286680841451563</v>
      </c>
      <c r="G21" s="20">
        <v>297479.59999999998</v>
      </c>
      <c r="H21" s="20">
        <f t="shared" si="1"/>
        <v>-147833.59999999998</v>
      </c>
      <c r="I21" s="19">
        <f t="shared" si="2"/>
        <v>-0.49695374069347947</v>
      </c>
      <c r="J21" s="90" t="s">
        <v>47</v>
      </c>
      <c r="K21" s="91" t="s">
        <v>48</v>
      </c>
    </row>
    <row r="22" spans="1:11" ht="144">
      <c r="A22" s="56" t="str">
        <v>Pulpit Hill</v>
      </c>
      <c r="B22" s="27" t="str">
        <v>MA</v>
      </c>
      <c r="C22" s="24">
        <v>316117.75</v>
      </c>
      <c r="D22" s="13">
        <v>470954.2</v>
      </c>
      <c r="E22" s="13">
        <f t="shared" si="0"/>
        <v>-154836.45000000001</v>
      </c>
      <c r="F22" s="14">
        <f t="shared" si="3"/>
        <v>-0.32877177865703289</v>
      </c>
      <c r="G22" s="15">
        <v>355177.1</v>
      </c>
      <c r="H22" s="15">
        <f t="shared" si="1"/>
        <v>-39059.349999999977</v>
      </c>
      <c r="I22" s="16">
        <f t="shared" si="2"/>
        <v>-0.10997147620159065</v>
      </c>
      <c r="J22" s="60" t="s">
        <v>49</v>
      </c>
      <c r="K22" s="60" t="s">
        <v>50</v>
      </c>
    </row>
    <row r="23" spans="1:11" ht="86.45">
      <c r="A23" s="28" t="str">
        <v>Sandwich</v>
      </c>
      <c r="B23" s="29" t="str">
        <v>MA</v>
      </c>
      <c r="C23" s="11">
        <v>284645</v>
      </c>
      <c r="D23" s="18">
        <v>240479</v>
      </c>
      <c r="E23" s="18">
        <f t="shared" si="0"/>
        <v>44166</v>
      </c>
      <c r="F23" s="19">
        <f t="shared" si="3"/>
        <v>0.18365844834684109</v>
      </c>
      <c r="G23" s="20">
        <v>295751</v>
      </c>
      <c r="H23" s="20">
        <f t="shared" si="1"/>
        <v>-11106</v>
      </c>
      <c r="I23" s="19">
        <f t="shared" si="2"/>
        <v>-3.7551859503433635E-2</v>
      </c>
      <c r="J23" s="90" t="s">
        <v>51</v>
      </c>
      <c r="K23" s="92" t="s">
        <v>52</v>
      </c>
    </row>
    <row r="24" spans="1:11" ht="86.45">
      <c r="A24" s="56" t="str">
        <v>Sturbridge Barn</v>
      </c>
      <c r="B24" s="27" t="str">
        <v>MA</v>
      </c>
      <c r="C24" s="24">
        <v>75410.5</v>
      </c>
      <c r="D24" s="13">
        <v>125791.1</v>
      </c>
      <c r="E24" s="13">
        <f t="shared" si="0"/>
        <v>-50380.600000000006</v>
      </c>
      <c r="F24" s="14">
        <f t="shared" si="3"/>
        <v>-0.40051005198300993</v>
      </c>
      <c r="G24" s="15">
        <v>110058.4</v>
      </c>
      <c r="H24" s="15">
        <f t="shared" si="1"/>
        <v>-34647.899999999994</v>
      </c>
      <c r="I24" s="16">
        <f t="shared" si="2"/>
        <v>-0.31481377159762447</v>
      </c>
      <c r="J24" s="60" t="s">
        <v>53</v>
      </c>
      <c r="K24" s="60" t="s">
        <v>54</v>
      </c>
    </row>
    <row r="25" spans="1:11" ht="129.6">
      <c r="A25" s="28" t="str">
        <v>Sturbridge Garage</v>
      </c>
      <c r="B25" s="29" t="str">
        <v>MA</v>
      </c>
      <c r="C25" s="11">
        <v>36683.75</v>
      </c>
      <c r="D25" s="18">
        <v>59181.43</v>
      </c>
      <c r="E25" s="18">
        <f t="shared" si="0"/>
        <v>-22497.68</v>
      </c>
      <c r="F25" s="19">
        <f t="shared" si="3"/>
        <v>-0.38014762400976115</v>
      </c>
      <c r="G25" s="20">
        <v>55606.07</v>
      </c>
      <c r="H25" s="20">
        <f t="shared" si="1"/>
        <v>-18922.32</v>
      </c>
      <c r="I25" s="19">
        <f t="shared" si="2"/>
        <v>-0.34029234578167455</v>
      </c>
      <c r="J25" s="90" t="s">
        <v>55</v>
      </c>
      <c r="K25" s="91" t="s">
        <v>56</v>
      </c>
    </row>
    <row r="26" spans="1:11" ht="100.9">
      <c r="A26" s="56" t="str">
        <v>Halsey Valley</v>
      </c>
      <c r="B26" s="27" t="str">
        <v>NY</v>
      </c>
      <c r="C26" s="24">
        <v>352603.00000000198</v>
      </c>
      <c r="D26" s="13">
        <v>438815.8</v>
      </c>
      <c r="E26" s="13">
        <f t="shared" si="0"/>
        <v>-86212.799999998009</v>
      </c>
      <c r="F26" s="14">
        <f t="shared" si="3"/>
        <v>-0.19646694581188281</v>
      </c>
      <c r="G26" s="15">
        <v>384000</v>
      </c>
      <c r="H26" s="15">
        <f t="shared" si="1"/>
        <v>-31396.999999998021</v>
      </c>
      <c r="I26" s="16">
        <f t="shared" si="2"/>
        <v>-8.1763020833328176E-2</v>
      </c>
      <c r="J26" s="60" t="s">
        <v>57</v>
      </c>
      <c r="K26" s="60" t="s">
        <v>58</v>
      </c>
    </row>
    <row r="27" spans="1:11" ht="172.9">
      <c r="A27" s="28" t="str">
        <v>Hunt Creek</v>
      </c>
      <c r="B27" s="29" t="str">
        <v>NY</v>
      </c>
      <c r="C27" s="11">
        <v>155889</v>
      </c>
      <c r="D27" s="18">
        <v>294214.5</v>
      </c>
      <c r="E27" s="18">
        <f t="shared" si="0"/>
        <v>-138325.5</v>
      </c>
      <c r="F27" s="19">
        <f t="shared" si="3"/>
        <v>-0.47015187898624983</v>
      </c>
      <c r="G27" s="20">
        <v>228700</v>
      </c>
      <c r="H27" s="20">
        <f t="shared" si="1"/>
        <v>-72811</v>
      </c>
      <c r="I27" s="19">
        <f t="shared" si="2"/>
        <v>-0.31836904241364233</v>
      </c>
      <c r="J27" s="90" t="s">
        <v>59</v>
      </c>
      <c r="K27" s="92" t="s">
        <v>60</v>
      </c>
    </row>
    <row r="28" spans="1:11" ht="86.45">
      <c r="A28" s="56" t="str">
        <v>Smith Creek</v>
      </c>
      <c r="B28" s="27" t="str">
        <v>NY</v>
      </c>
      <c r="C28" s="24">
        <v>264193</v>
      </c>
      <c r="D28" s="13">
        <v>337115.3</v>
      </c>
      <c r="E28" s="13">
        <f t="shared" si="0"/>
        <v>-72922.299999999988</v>
      </c>
      <c r="F28" s="14">
        <f t="shared" si="3"/>
        <v>-0.2163126384355738</v>
      </c>
      <c r="G28" s="15">
        <v>398598.40000000002</v>
      </c>
      <c r="H28" s="15">
        <f t="shared" si="1"/>
        <v>-134405.40000000002</v>
      </c>
      <c r="I28" s="16">
        <f t="shared" si="2"/>
        <v>-0.33719503138999057</v>
      </c>
      <c r="J28" s="60" t="s">
        <v>61</v>
      </c>
      <c r="K28" s="60" t="s">
        <v>62</v>
      </c>
    </row>
    <row r="29" spans="1:11" ht="43.15">
      <c r="A29" s="28" t="str">
        <v>Bradford - 256 Presidential Dr</v>
      </c>
      <c r="B29" s="29" t="str">
        <v>MA</v>
      </c>
      <c r="C29" s="59">
        <v>306816.5</v>
      </c>
      <c r="D29" s="18">
        <v>339000</v>
      </c>
      <c r="E29" s="18">
        <f>IF(AND(ISNUMBER(C29),ISNUMBER(D29)), C29-D29, "")</f>
        <v>-32183.5</v>
      </c>
      <c r="F29" s="53">
        <f>IFERROR(E29/D29, "")</f>
        <v>-9.493657817109144E-2</v>
      </c>
      <c r="G29" s="51">
        <v>401656.5</v>
      </c>
      <c r="H29" s="51">
        <f>IF(AND(ISNUMBER(C29),ISNUMBER(G29)), C29-G29, "")</f>
        <v>-94840</v>
      </c>
      <c r="I29" s="53">
        <f>IFERROR(H29/G29, "")</f>
        <v>-0.23612215910859155</v>
      </c>
      <c r="J29" s="90" t="s">
        <v>63</v>
      </c>
      <c r="K29" s="91" t="s">
        <v>64</v>
      </c>
    </row>
    <row r="30" spans="1:11" ht="53.25" customHeight="1">
      <c r="A30" s="30" t="str">
        <v>Charlton – 111 Brookfield Road - Bus Lot</v>
      </c>
      <c r="B30" s="27" t="str">
        <v>MA</v>
      </c>
      <c r="C30" s="24">
        <v>36616</v>
      </c>
      <c r="D30" s="13">
        <v>27710.099610000001</v>
      </c>
      <c r="E30" s="13">
        <f t="shared" si="0"/>
        <v>8905.9003899999989</v>
      </c>
      <c r="F30" s="14">
        <f t="shared" si="3"/>
        <v>0.32139546646689221</v>
      </c>
      <c r="G30" s="15">
        <v>56965.72</v>
      </c>
      <c r="H30" s="15">
        <f t="shared" si="1"/>
        <v>-20349.72</v>
      </c>
      <c r="I30" s="16">
        <f t="shared" si="2"/>
        <v>-0.35722746943249378</v>
      </c>
      <c r="J30" s="69" t="s">
        <v>65</v>
      </c>
      <c r="K30" s="60" t="s">
        <v>66</v>
      </c>
    </row>
    <row r="31" spans="1:11" ht="13.9" customHeight="1">
      <c r="A31" s="28" t="str">
        <v>Charlton – 154 Center Depot Road KMARD</v>
      </c>
      <c r="B31" s="29" t="str">
        <v>MA</v>
      </c>
      <c r="C31" s="59">
        <v>31310</v>
      </c>
      <c r="D31" s="18">
        <v>53271.494859999999</v>
      </c>
      <c r="E31" s="18">
        <f t="shared" si="0"/>
        <v>-21961.494859999999</v>
      </c>
      <c r="F31" s="53">
        <f t="shared" si="3"/>
        <v>-0.41225602768827574</v>
      </c>
      <c r="G31" s="51">
        <v>54358.81</v>
      </c>
      <c r="H31" s="51">
        <f t="shared" si="1"/>
        <v>-23048.809999999998</v>
      </c>
      <c r="I31" s="53">
        <f t="shared" si="2"/>
        <v>-0.42401240939601142</v>
      </c>
      <c r="J31" s="90" t="s">
        <v>67</v>
      </c>
      <c r="K31" s="91"/>
    </row>
    <row r="32" spans="1:11" ht="45" customHeight="1">
      <c r="A32" s="30" t="str">
        <v>Charlton – 142A Brookfield Rd (Mitchell)</v>
      </c>
      <c r="B32" s="27" t="str">
        <v>MA</v>
      </c>
      <c r="C32" s="24">
        <v>35707.435899999997</v>
      </c>
      <c r="D32" s="13">
        <v>52376.024989999998</v>
      </c>
      <c r="E32" s="13">
        <f t="shared" si="0"/>
        <v>-16668.589090000001</v>
      </c>
      <c r="F32" s="14">
        <f t="shared" si="3"/>
        <v>-0.31824845610529789</v>
      </c>
      <c r="G32" s="15">
        <v>57257.31</v>
      </c>
      <c r="H32" s="15">
        <f t="shared" si="1"/>
        <v>-21549.874100000001</v>
      </c>
      <c r="I32" s="16">
        <f t="shared" si="2"/>
        <v>-0.37636895795488823</v>
      </c>
      <c r="J32" s="60" t="s">
        <v>68</v>
      </c>
      <c r="K32" s="60" t="s">
        <v>69</v>
      </c>
    </row>
    <row r="33" spans="1:11" ht="15.6">
      <c r="A33" s="28" t="str">
        <v>Great Barrington – 3 Nolan  Drive</v>
      </c>
      <c r="B33" s="29" t="str">
        <v>MA</v>
      </c>
      <c r="C33" s="59">
        <v>55040</v>
      </c>
      <c r="D33" s="18">
        <v>97230.93058</v>
      </c>
      <c r="E33" s="18">
        <f t="shared" si="0"/>
        <v>-42190.93058</v>
      </c>
      <c r="F33" s="53">
        <f t="shared" si="3"/>
        <v>-0.43392499000393708</v>
      </c>
      <c r="G33" s="51">
        <v>112112.88</v>
      </c>
      <c r="H33" s="51">
        <f t="shared" si="1"/>
        <v>-57072.880000000005</v>
      </c>
      <c r="I33" s="53">
        <f t="shared" si="2"/>
        <v>-0.50906621968858534</v>
      </c>
      <c r="J33" s="90" t="s">
        <v>67</v>
      </c>
      <c r="K33" s="91"/>
    </row>
    <row r="34" spans="1:11" ht="18.75" customHeight="1">
      <c r="A34" s="30" t="str">
        <v>Stockbridge – 92 State Line Road Truck Stop</v>
      </c>
      <c r="B34" s="27" t="str">
        <v>MA</v>
      </c>
      <c r="C34" s="24">
        <v>86169</v>
      </c>
      <c r="D34" s="13">
        <v>190974.8474</v>
      </c>
      <c r="E34" s="13">
        <f t="shared" si="0"/>
        <v>-104805.8474</v>
      </c>
      <c r="F34" s="14">
        <f t="shared" si="3"/>
        <v>-0.54879398426999348</v>
      </c>
      <c r="G34" s="15">
        <v>216276.62</v>
      </c>
      <c r="H34" s="15">
        <f t="shared" si="1"/>
        <v>-130107.62</v>
      </c>
      <c r="I34" s="16">
        <f t="shared" si="2"/>
        <v>-0.60157968068855527</v>
      </c>
      <c r="J34" s="60" t="s">
        <v>67</v>
      </c>
      <c r="K34" s="60"/>
    </row>
    <row r="35" spans="1:11" ht="14.45">
      <c r="A35" s="21"/>
      <c r="B35" s="31"/>
      <c r="C35" s="21"/>
      <c r="D35" s="21"/>
      <c r="E35" s="18" t="str">
        <f t="shared" si="0"/>
        <v/>
      </c>
      <c r="F35" s="22"/>
      <c r="G35" s="21"/>
      <c r="H35" s="21"/>
      <c r="I35" s="22"/>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C344" s="21"/>
      <c r="D344" s="21"/>
      <c r="E344" s="21"/>
      <c r="F344" s="22"/>
      <c r="G344" s="21"/>
      <c r="H344" s="21"/>
      <c r="I344" s="22"/>
    </row>
  </sheetData>
  <mergeCells count="4">
    <mergeCell ref="A1:C1"/>
    <mergeCell ref="D1:F1"/>
    <mergeCell ref="G1:I1"/>
    <mergeCell ref="A2:B2"/>
  </mergeCells>
  <conditionalFormatting sqref="F2 I2 F4:F102 I4:I102">
    <cfRule type="cellIs" dxfId="49" priority="3" stopIfTrue="1" operator="lessThanOrEqual">
      <formula>-0.1</formula>
    </cfRule>
    <cfRule type="expression" dxfId="48" priority="4">
      <formula>AND(ISNUMBER(F2), F2&gt;=0.1)</formula>
    </cfRule>
  </conditionalFormatting>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T345"/>
  <sheetViews>
    <sheetView zoomScale="60" zoomScaleNormal="60" workbookViewId="0">
      <pane xSplit="2" ySplit="3" topLeftCell="C21" activePane="bottomRight" state="frozen"/>
      <selection pane="bottomRight" activeCell="E23" sqref="E2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87" t="str" cm="1">
        <f t="array" ref="A1">portfolio</f>
        <v>Lodestar</v>
      </c>
      <c r="B1" s="87"/>
      <c r="C1" s="87"/>
      <c r="D1" s="88" t="s">
        <v>70</v>
      </c>
      <c r="E1" s="88"/>
      <c r="F1" s="88"/>
      <c r="G1" s="86" t="s">
        <v>71</v>
      </c>
      <c r="H1" s="86"/>
      <c r="I1" s="86"/>
      <c r="J1" s="4"/>
      <c r="K1" s="4"/>
    </row>
    <row r="2" spans="1:20" ht="19.5" customHeight="1">
      <c r="A2" s="89" t="s">
        <v>2</v>
      </c>
      <c r="B2" s="89"/>
      <c r="C2" s="5">
        <f>SUM(C4:C103)</f>
        <v>4097242.2184298332</v>
      </c>
      <c r="D2" s="5">
        <f>SUM(D4:D103)</f>
        <v>5950668.1617099997</v>
      </c>
      <c r="E2" s="5">
        <f>C2-D2</f>
        <v>-1853425.9432801665</v>
      </c>
      <c r="F2" s="6">
        <f>IFERROR(E2/D2, 0)</f>
        <v>-0.31146518221368291</v>
      </c>
      <c r="G2" s="5">
        <f>SUM(G4:G103)</f>
        <v>5844278.04</v>
      </c>
      <c r="H2" s="7">
        <f>C2-G2</f>
        <v>-1747035.8215701669</v>
      </c>
      <c r="I2" s="6">
        <f>IFERROR(H2/G2, 0)</f>
        <v>-0.29893099021178104</v>
      </c>
      <c r="J2" s="26" t="str">
        <f ca="1">IF(AND(TODAY()&gt;DATE(2024, 2, 1), COUNTA(Sites[Site])&lt;&gt;(COUNT(C:C)-1)), "Some sites are missing actual data; if new sites were added, make sure they are aligned correctly (including prior months!)", "")</f>
        <v/>
      </c>
      <c r="K2" s="4"/>
    </row>
    <row r="3" spans="1:20" ht="14.25" customHeight="1">
      <c r="A3" s="8" t="s">
        <v>3</v>
      </c>
      <c r="B3" s="8" t="s">
        <v>4</v>
      </c>
      <c r="C3" s="23" t="s">
        <v>5</v>
      </c>
      <c r="D3" s="33" t="s">
        <v>6</v>
      </c>
      <c r="E3" s="33" t="s">
        <v>7</v>
      </c>
      <c r="F3" s="34" t="s">
        <v>8</v>
      </c>
      <c r="G3" s="35" t="s">
        <v>9</v>
      </c>
      <c r="H3" s="36" t="s">
        <v>7</v>
      </c>
      <c r="I3" s="37" t="s">
        <v>8</v>
      </c>
      <c r="J3" s="25" t="s">
        <v>20</v>
      </c>
      <c r="K3" s="25" t="s">
        <v>21</v>
      </c>
    </row>
    <row r="4" spans="1:20" ht="72">
      <c r="A4" s="62" t="str" cm="1">
        <f t="array" ref="A4:A34">Sites[Site]</f>
        <v>Barkhamsted</v>
      </c>
      <c r="B4" s="27" t="str" cm="1">
        <f t="array" ref="B4:B34">Sites[State]</f>
        <v>CT</v>
      </c>
      <c r="C4" s="24">
        <v>65600</v>
      </c>
      <c r="D4" s="13">
        <v>127981.8</v>
      </c>
      <c r="E4" s="13">
        <f>IF(AND(ISNUMBER(C4),ISNUMBER(D4)), C4-D4, "")</f>
        <v>-62381.8</v>
      </c>
      <c r="F4" s="14">
        <f>IFERROR(E4/D4, "")</f>
        <v>-0.48742711854341791</v>
      </c>
      <c r="G4" s="15">
        <v>118820.5</v>
      </c>
      <c r="H4" s="15">
        <f>IF(AND(ISNUMBER(C4),ISNUMBER(G4)), C4-G4, "")</f>
        <v>-53220.5</v>
      </c>
      <c r="I4" s="16">
        <f>IFERROR(H4/G4, "")</f>
        <v>-0.44790671643361202</v>
      </c>
      <c r="J4" s="38" t="s">
        <v>72</v>
      </c>
      <c r="K4" s="72" t="s">
        <v>73</v>
      </c>
      <c r="L4" s="76"/>
      <c r="M4" s="76"/>
      <c r="N4" s="76"/>
      <c r="O4" s="76"/>
      <c r="P4" s="76"/>
      <c r="Q4" s="76"/>
      <c r="R4" s="76"/>
      <c r="S4" s="76"/>
      <c r="T4" s="76"/>
    </row>
    <row r="5" spans="1:20" ht="86.45">
      <c r="A5" s="45" t="str">
        <v>Bunce</v>
      </c>
      <c r="B5" s="29" t="str">
        <v>CT</v>
      </c>
      <c r="C5" s="11">
        <v>152247</v>
      </c>
      <c r="D5" s="18">
        <v>205046.7</v>
      </c>
      <c r="E5" s="18">
        <f t="shared" ref="E5:E34" si="0">IF(AND(ISNUMBER(C5),ISNUMBER(D5)), C5-D5, "")</f>
        <v>-52799.700000000012</v>
      </c>
      <c r="F5" s="19">
        <f>IFERROR(E5/D5, "")</f>
        <v>-0.2575008522448789</v>
      </c>
      <c r="G5" s="67" t="s">
        <v>24</v>
      </c>
      <c r="H5" s="20" t="str">
        <f t="shared" ref="H5:H34" si="1">IF(AND(ISNUMBER(C5),ISNUMBER(G5)), C5-G5, "")</f>
        <v/>
      </c>
      <c r="I5" s="19" t="str">
        <f t="shared" ref="I5:I27" si="2">IFERROR(H5/G5, "")</f>
        <v/>
      </c>
      <c r="J5" s="39" t="s">
        <v>74</v>
      </c>
      <c r="K5" s="73" t="s">
        <v>75</v>
      </c>
      <c r="L5" s="77" t="s">
        <v>76</v>
      </c>
      <c r="M5" s="76"/>
      <c r="N5" s="76"/>
      <c r="O5" s="76"/>
      <c r="P5" s="76"/>
      <c r="Q5" s="76"/>
      <c r="R5" s="76"/>
      <c r="S5" s="76"/>
      <c r="T5" s="76"/>
    </row>
    <row r="6" spans="1:20" ht="129.6">
      <c r="A6" s="62" t="str">
        <v>Norcap North</v>
      </c>
      <c r="B6" s="27" t="str">
        <v>CT</v>
      </c>
      <c r="C6" s="24">
        <v>196301.5</v>
      </c>
      <c r="D6" s="13">
        <v>283245.5</v>
      </c>
      <c r="E6" s="13">
        <f t="shared" si="0"/>
        <v>-86944</v>
      </c>
      <c r="F6" s="14">
        <f t="shared" ref="F6:F34" si="3">IFERROR(E6/D6, "")</f>
        <v>-0.3069563329337977</v>
      </c>
      <c r="G6" s="15">
        <v>212347.1</v>
      </c>
      <c r="H6" s="15">
        <f t="shared" si="1"/>
        <v>-16045.600000000006</v>
      </c>
      <c r="I6" s="16">
        <f t="shared" si="2"/>
        <v>-7.5563075737789712E-2</v>
      </c>
      <c r="J6" s="38" t="s">
        <v>77</v>
      </c>
      <c r="K6" s="72" t="s">
        <v>78</v>
      </c>
      <c r="L6" s="77" t="s">
        <v>79</v>
      </c>
      <c r="M6" s="77" t="s">
        <v>80</v>
      </c>
      <c r="N6" s="77" t="s">
        <v>81</v>
      </c>
      <c r="O6" s="76"/>
      <c r="P6" s="76"/>
      <c r="Q6" s="76"/>
      <c r="R6" s="76"/>
      <c r="S6" s="76"/>
      <c r="T6" s="76"/>
    </row>
    <row r="7" spans="1:20" ht="43.15">
      <c r="A7" s="45" t="str">
        <v>Norcap South</v>
      </c>
      <c r="B7" s="29" t="str">
        <v>CT</v>
      </c>
      <c r="C7" s="11">
        <v>217072.5</v>
      </c>
      <c r="D7" s="18">
        <v>306757.90000000002</v>
      </c>
      <c r="E7" s="18">
        <f t="shared" si="0"/>
        <v>-89685.400000000023</v>
      </c>
      <c r="F7" s="19">
        <f t="shared" si="3"/>
        <v>-0.29236541259410115</v>
      </c>
      <c r="G7" s="20">
        <v>202120.5</v>
      </c>
      <c r="H7" s="20">
        <f t="shared" si="1"/>
        <v>14952</v>
      </c>
      <c r="I7" s="19">
        <f t="shared" si="2"/>
        <v>7.3975672927783176E-2</v>
      </c>
      <c r="J7" s="39" t="s">
        <v>82</v>
      </c>
      <c r="K7" s="74" t="s">
        <v>83</v>
      </c>
      <c r="L7" s="76"/>
      <c r="M7" s="76"/>
      <c r="N7" s="76"/>
      <c r="O7" s="76"/>
      <c r="P7" s="76"/>
      <c r="Q7" s="76"/>
      <c r="R7" s="76"/>
      <c r="S7" s="76"/>
      <c r="T7" s="76"/>
    </row>
    <row r="8" spans="1:20" ht="81.75" customHeight="1">
      <c r="A8" s="62" t="str">
        <v>Platt Hill</v>
      </c>
      <c r="B8" s="27" t="str">
        <v>CT</v>
      </c>
      <c r="C8" s="24">
        <v>142609.25499999899</v>
      </c>
      <c r="D8" s="13">
        <v>252288</v>
      </c>
      <c r="E8" s="13">
        <f t="shared" si="0"/>
        <v>-109678.74500000101</v>
      </c>
      <c r="F8" s="14">
        <f t="shared" si="3"/>
        <v>-0.43473627362379907</v>
      </c>
      <c r="G8" s="15">
        <v>273596.90000000002</v>
      </c>
      <c r="H8" s="15">
        <f t="shared" si="1"/>
        <v>-130987.64500000104</v>
      </c>
      <c r="I8" s="16">
        <f t="shared" si="2"/>
        <v>-0.47876143698996965</v>
      </c>
      <c r="J8" s="38" t="s">
        <v>84</v>
      </c>
      <c r="K8" s="72" t="s">
        <v>85</v>
      </c>
      <c r="L8" s="76"/>
      <c r="M8" s="76"/>
      <c r="N8" s="76"/>
      <c r="O8" s="76"/>
      <c r="P8" s="76"/>
      <c r="Q8" s="76"/>
      <c r="R8" s="76"/>
      <c r="S8" s="76"/>
      <c r="T8" s="76"/>
    </row>
    <row r="9" spans="1:20" ht="46.5" customHeight="1">
      <c r="A9" s="45" t="str">
        <v>Powder Hill</v>
      </c>
      <c r="B9" s="29" t="str">
        <v>CT</v>
      </c>
      <c r="C9" s="11">
        <v>173406</v>
      </c>
      <c r="D9" s="18">
        <v>236232.6</v>
      </c>
      <c r="E9" s="18">
        <f t="shared" si="0"/>
        <v>-62826.600000000006</v>
      </c>
      <c r="F9" s="19">
        <f t="shared" si="3"/>
        <v>-0.26595228600963627</v>
      </c>
      <c r="G9" s="20">
        <v>178140</v>
      </c>
      <c r="H9" s="20">
        <f t="shared" si="1"/>
        <v>-4734</v>
      </c>
      <c r="I9" s="19">
        <f t="shared" si="2"/>
        <v>-2.6574604243853148E-2</v>
      </c>
      <c r="J9" s="49" t="s">
        <v>86</v>
      </c>
      <c r="K9" s="75" t="s">
        <v>87</v>
      </c>
      <c r="L9" s="77" t="s">
        <v>88</v>
      </c>
      <c r="M9" s="76"/>
      <c r="N9" s="76"/>
      <c r="O9" s="76"/>
      <c r="P9" s="76"/>
      <c r="Q9" s="76"/>
      <c r="R9" s="76"/>
      <c r="S9" s="76"/>
      <c r="T9" s="76"/>
    </row>
    <row r="10" spans="1:20" ht="72">
      <c r="A10" s="62" t="str">
        <v>Sand Road</v>
      </c>
      <c r="B10" s="27" t="str">
        <v>CT</v>
      </c>
      <c r="C10" s="24">
        <v>157864</v>
      </c>
      <c r="D10" s="13">
        <v>194906.2</v>
      </c>
      <c r="E10" s="13">
        <f t="shared" si="0"/>
        <v>-37042.200000000012</v>
      </c>
      <c r="F10" s="14">
        <f t="shared" si="3"/>
        <v>-0.19005141960594382</v>
      </c>
      <c r="G10" s="15">
        <v>179737</v>
      </c>
      <c r="H10" s="15">
        <f t="shared" si="1"/>
        <v>-21873</v>
      </c>
      <c r="I10" s="16">
        <f t="shared" si="2"/>
        <v>-0.12169447581744437</v>
      </c>
      <c r="J10" s="38" t="s">
        <v>89</v>
      </c>
      <c r="K10" s="72" t="s">
        <v>90</v>
      </c>
      <c r="L10" s="77" t="s">
        <v>91</v>
      </c>
      <c r="M10" s="77" t="s">
        <v>92</v>
      </c>
      <c r="N10" s="76"/>
      <c r="O10" s="76"/>
      <c r="P10" s="76"/>
      <c r="Q10" s="76"/>
      <c r="R10" s="76"/>
      <c r="S10" s="76"/>
      <c r="T10" s="76"/>
    </row>
    <row r="11" spans="1:20" ht="43.15">
      <c r="A11" s="45" t="str">
        <v>Suffield</v>
      </c>
      <c r="B11" s="29" t="str">
        <v>CT</v>
      </c>
      <c r="C11" s="11">
        <v>160474</v>
      </c>
      <c r="D11" s="18">
        <v>229753.5</v>
      </c>
      <c r="E11" s="18">
        <f t="shared" si="0"/>
        <v>-69279.5</v>
      </c>
      <c r="F11" s="19">
        <f t="shared" si="3"/>
        <v>-0.30153838788092457</v>
      </c>
      <c r="G11" s="20">
        <v>221930.9</v>
      </c>
      <c r="H11" s="20">
        <f t="shared" si="1"/>
        <v>-61456.899999999994</v>
      </c>
      <c r="I11" s="19">
        <f t="shared" si="2"/>
        <v>-0.27691907706407715</v>
      </c>
      <c r="J11" s="39" t="s">
        <v>93</v>
      </c>
      <c r="K11" s="73" t="s">
        <v>94</v>
      </c>
      <c r="L11" s="77" t="s">
        <v>95</v>
      </c>
      <c r="M11" s="76"/>
      <c r="N11" s="76"/>
      <c r="O11" s="76"/>
      <c r="P11" s="76"/>
      <c r="Q11" s="76"/>
      <c r="R11" s="76"/>
      <c r="S11" s="76"/>
      <c r="T11" s="76"/>
    </row>
    <row r="12" spans="1:20" ht="72">
      <c r="A12" s="62" t="str">
        <v>Ashby-Duffy</v>
      </c>
      <c r="B12" s="27" t="str">
        <v>MA</v>
      </c>
      <c r="C12" s="24">
        <v>85456</v>
      </c>
      <c r="D12" s="13">
        <v>296805.59999999998</v>
      </c>
      <c r="E12" s="13">
        <f t="shared" si="0"/>
        <v>-211349.59999999998</v>
      </c>
      <c r="F12" s="14">
        <f t="shared" si="3"/>
        <v>-0.71208090413388425</v>
      </c>
      <c r="G12" s="15">
        <v>209076.1</v>
      </c>
      <c r="H12" s="15">
        <f t="shared" si="1"/>
        <v>-123620.1</v>
      </c>
      <c r="I12" s="16">
        <f t="shared" si="2"/>
        <v>-0.59126844244751076</v>
      </c>
      <c r="J12" s="38" t="s">
        <v>96</v>
      </c>
      <c r="K12" s="72" t="s">
        <v>97</v>
      </c>
      <c r="L12" s="77" t="s">
        <v>98</v>
      </c>
      <c r="M12" s="77" t="s">
        <v>99</v>
      </c>
      <c r="N12" s="77" t="s">
        <v>100</v>
      </c>
      <c r="O12" s="76"/>
      <c r="P12" s="76"/>
      <c r="Q12" s="76"/>
      <c r="R12" s="76"/>
      <c r="S12" s="76"/>
      <c r="T12" s="76"/>
    </row>
    <row r="13" spans="1:20" ht="187.15">
      <c r="A13" s="45" t="str">
        <v>Ashland</v>
      </c>
      <c r="B13" s="29" t="str">
        <v>MA</v>
      </c>
      <c r="C13" s="11">
        <v>115560</v>
      </c>
      <c r="D13" s="18">
        <v>235192.7</v>
      </c>
      <c r="E13" s="18">
        <f t="shared" si="0"/>
        <v>-119632.70000000001</v>
      </c>
      <c r="F13" s="19">
        <f t="shared" si="3"/>
        <v>-0.50865821940902078</v>
      </c>
      <c r="G13" s="20">
        <v>225868</v>
      </c>
      <c r="H13" s="20">
        <f t="shared" si="1"/>
        <v>-110308</v>
      </c>
      <c r="I13" s="19">
        <f t="shared" si="2"/>
        <v>-0.48837374041475551</v>
      </c>
      <c r="J13" s="39" t="s">
        <v>101</v>
      </c>
      <c r="K13" s="73" t="s">
        <v>102</v>
      </c>
      <c r="L13" s="77" t="s">
        <v>103</v>
      </c>
      <c r="M13" s="77" t="s">
        <v>104</v>
      </c>
      <c r="N13" s="77" t="s">
        <v>105</v>
      </c>
      <c r="O13" s="77" t="s">
        <v>106</v>
      </c>
      <c r="P13" s="77" t="s">
        <v>107</v>
      </c>
      <c r="Q13" s="77" t="s">
        <v>108</v>
      </c>
      <c r="R13" s="77" t="s">
        <v>109</v>
      </c>
      <c r="S13" s="77" t="s">
        <v>110</v>
      </c>
      <c r="T13" s="76"/>
    </row>
    <row r="14" spans="1:20" ht="15.6">
      <c r="A14" s="44" t="str">
        <v>Barrington</v>
      </c>
      <c r="B14" s="27" t="str">
        <v>MA</v>
      </c>
      <c r="C14" s="24">
        <v>22100</v>
      </c>
      <c r="D14" s="13">
        <v>27320.93</v>
      </c>
      <c r="E14" s="13">
        <f t="shared" si="0"/>
        <v>-5220.93</v>
      </c>
      <c r="F14" s="14">
        <f t="shared" si="3"/>
        <v>-0.19109634994123553</v>
      </c>
      <c r="G14" s="15">
        <v>54460</v>
      </c>
      <c r="H14" s="15">
        <f t="shared" si="1"/>
        <v>-32360</v>
      </c>
      <c r="I14" s="16">
        <f t="shared" si="2"/>
        <v>-0.59419757620271763</v>
      </c>
      <c r="J14" s="38" t="s">
        <v>37</v>
      </c>
      <c r="K14" s="38"/>
      <c r="L14" s="76"/>
      <c r="M14" s="76"/>
      <c r="N14" s="76"/>
      <c r="O14" s="76"/>
      <c r="P14" s="76"/>
      <c r="Q14" s="76"/>
      <c r="R14" s="76"/>
      <c r="S14" s="76"/>
      <c r="T14" s="76"/>
    </row>
    <row r="15" spans="1:20" ht="15.6">
      <c r="A15" s="45" t="str">
        <v>Bedford - 205 Burlington Rd</v>
      </c>
      <c r="B15" s="29" t="str">
        <v>MA</v>
      </c>
      <c r="C15" s="61">
        <v>6760</v>
      </c>
      <c r="D15" s="18" t="s">
        <v>24</v>
      </c>
      <c r="E15" s="18" t="str">
        <f t="shared" si="0"/>
        <v/>
      </c>
      <c r="F15" s="19" t="str">
        <f t="shared" si="3"/>
        <v/>
      </c>
      <c r="G15" s="67" t="s">
        <v>24</v>
      </c>
      <c r="H15" s="20" t="str">
        <f t="shared" si="1"/>
        <v/>
      </c>
      <c r="I15" s="19" t="str">
        <f t="shared" si="2"/>
        <v/>
      </c>
      <c r="J15" s="39"/>
      <c r="K15" s="39"/>
      <c r="L15" s="76"/>
      <c r="M15" s="76"/>
      <c r="N15" s="76"/>
      <c r="O15" s="76"/>
      <c r="P15" s="76"/>
      <c r="Q15" s="76"/>
      <c r="R15" s="76"/>
      <c r="S15" s="76"/>
      <c r="T15" s="76"/>
    </row>
    <row r="16" spans="1:20" ht="15.6">
      <c r="A16" s="44" t="str">
        <v>Billerica - 6 Cook Street</v>
      </c>
      <c r="B16" s="27" t="str">
        <v>MA</v>
      </c>
      <c r="C16" s="24">
        <v>5612</v>
      </c>
      <c r="D16" s="13" t="s">
        <v>24</v>
      </c>
      <c r="E16" s="13" t="str">
        <f t="shared" si="0"/>
        <v/>
      </c>
      <c r="F16" s="14" t="str">
        <f t="shared" si="3"/>
        <v/>
      </c>
      <c r="G16" s="68" t="s">
        <v>24</v>
      </c>
      <c r="H16" s="15" t="str">
        <f t="shared" si="1"/>
        <v/>
      </c>
      <c r="I16" s="16" t="str">
        <f t="shared" si="2"/>
        <v/>
      </c>
      <c r="J16" s="38"/>
      <c r="K16" s="38"/>
      <c r="L16" s="76"/>
      <c r="M16" s="76"/>
      <c r="N16" s="76"/>
      <c r="O16" s="76"/>
      <c r="P16" s="76"/>
      <c r="Q16" s="76"/>
      <c r="R16" s="76"/>
      <c r="S16" s="76"/>
      <c r="T16" s="76"/>
    </row>
    <row r="17" spans="1:20" ht="28.9">
      <c r="A17" s="45" t="str">
        <v>Billerica - 780 Boston Road</v>
      </c>
      <c r="B17" s="29" t="str">
        <v>MA</v>
      </c>
      <c r="C17" s="11">
        <v>6214</v>
      </c>
      <c r="D17" s="18" t="s">
        <v>24</v>
      </c>
      <c r="E17" s="18" t="str">
        <f t="shared" si="0"/>
        <v/>
      </c>
      <c r="F17" s="19" t="str">
        <f t="shared" si="3"/>
        <v/>
      </c>
      <c r="G17" s="67" t="s">
        <v>24</v>
      </c>
      <c r="H17" s="20" t="str">
        <f t="shared" si="1"/>
        <v/>
      </c>
      <c r="I17" s="19" t="str">
        <f t="shared" si="2"/>
        <v/>
      </c>
      <c r="J17" s="39" t="s">
        <v>111</v>
      </c>
      <c r="K17" s="75" t="s">
        <v>112</v>
      </c>
      <c r="L17" s="76"/>
      <c r="M17" s="76"/>
      <c r="N17" s="76"/>
      <c r="O17" s="76"/>
      <c r="P17" s="76"/>
      <c r="Q17" s="76"/>
      <c r="R17" s="76"/>
      <c r="S17" s="76"/>
      <c r="T17" s="76"/>
    </row>
    <row r="18" spans="1:20" ht="16.5" customHeight="1">
      <c r="A18" s="44" t="str">
        <v>Cheshire</v>
      </c>
      <c r="B18" s="27" t="str">
        <v>MA</v>
      </c>
      <c r="C18" s="24">
        <v>16209.043560606</v>
      </c>
      <c r="D18" s="13">
        <v>46433.279999999999</v>
      </c>
      <c r="E18" s="13">
        <f t="shared" si="0"/>
        <v>-30224.236439394001</v>
      </c>
      <c r="F18" s="14">
        <f t="shared" si="3"/>
        <v>-0.65091754102647936</v>
      </c>
      <c r="G18" s="15">
        <v>34106.99</v>
      </c>
      <c r="H18" s="15">
        <f t="shared" si="1"/>
        <v>-17897.946439394</v>
      </c>
      <c r="I18" s="16">
        <f t="shared" si="2"/>
        <v>-0.52475889661896291</v>
      </c>
      <c r="J18" s="38" t="s">
        <v>37</v>
      </c>
      <c r="K18" s="38"/>
      <c r="L18" s="76"/>
      <c r="M18" s="76"/>
      <c r="N18" s="76"/>
      <c r="O18" s="76"/>
      <c r="P18" s="76"/>
      <c r="Q18" s="76"/>
      <c r="R18" s="76"/>
      <c r="S18" s="76"/>
      <c r="T18" s="76"/>
    </row>
    <row r="19" spans="1:20" ht="172.9">
      <c r="A19" s="45" t="str">
        <v>Lilly Lane</v>
      </c>
      <c r="B19" s="29" t="str">
        <v>MA</v>
      </c>
      <c r="C19" s="11">
        <v>70582.5</v>
      </c>
      <c r="D19" s="18">
        <v>102338.9</v>
      </c>
      <c r="E19" s="18">
        <f t="shared" si="0"/>
        <v>-31756.399999999994</v>
      </c>
      <c r="F19" s="19">
        <f t="shared" si="3"/>
        <v>-0.31030624718459937</v>
      </c>
      <c r="G19" s="20">
        <v>133421.20000000001</v>
      </c>
      <c r="H19" s="20">
        <f t="shared" si="1"/>
        <v>-62838.700000000012</v>
      </c>
      <c r="I19" s="19">
        <f t="shared" si="2"/>
        <v>-0.47097987426286081</v>
      </c>
      <c r="J19" s="39" t="s">
        <v>113</v>
      </c>
      <c r="K19" s="73" t="s">
        <v>114</v>
      </c>
      <c r="L19" s="77" t="s">
        <v>115</v>
      </c>
      <c r="M19" s="77" t="s">
        <v>116</v>
      </c>
      <c r="N19" s="77" t="s">
        <v>117</v>
      </c>
      <c r="O19" s="77" t="s">
        <v>118</v>
      </c>
      <c r="P19" s="76"/>
      <c r="Q19" s="76"/>
      <c r="R19" s="76"/>
      <c r="S19" s="76"/>
      <c r="T19" s="76"/>
    </row>
    <row r="20" spans="1:20" ht="86.45">
      <c r="A20" s="62" t="str">
        <v>Monument Valley</v>
      </c>
      <c r="B20" s="27" t="str">
        <v>MA</v>
      </c>
      <c r="C20" s="24">
        <v>117707.10576922999</v>
      </c>
      <c r="D20" s="13">
        <v>46997.43</v>
      </c>
      <c r="E20" s="13">
        <f t="shared" si="0"/>
        <v>70709.675769230002</v>
      </c>
      <c r="F20" s="14">
        <f t="shared" si="3"/>
        <v>1.5045434562960145</v>
      </c>
      <c r="G20" s="68" t="s">
        <v>24</v>
      </c>
      <c r="H20" s="15" t="str">
        <f t="shared" si="1"/>
        <v/>
      </c>
      <c r="I20" s="16" t="str">
        <f t="shared" si="2"/>
        <v/>
      </c>
      <c r="J20" s="38" t="s">
        <v>119</v>
      </c>
      <c r="K20" s="72" t="s">
        <v>120</v>
      </c>
      <c r="L20" s="77" t="s">
        <v>121</v>
      </c>
      <c r="M20" s="76"/>
      <c r="N20" s="76"/>
      <c r="O20" s="76"/>
      <c r="P20" s="76"/>
      <c r="Q20" s="76"/>
      <c r="R20" s="76"/>
      <c r="S20" s="76"/>
      <c r="T20" s="76"/>
    </row>
    <row r="21" spans="1:20" ht="28.9">
      <c r="A21" s="45" t="str">
        <v>Nationwide</v>
      </c>
      <c r="B21" s="29" t="str">
        <v>MA</v>
      </c>
      <c r="C21" s="11">
        <v>52369</v>
      </c>
      <c r="D21" s="18">
        <v>335928.3</v>
      </c>
      <c r="E21" s="18">
        <f t="shared" si="0"/>
        <v>-283559.3</v>
      </c>
      <c r="F21" s="19">
        <f t="shared" si="3"/>
        <v>-0.84410661441742185</v>
      </c>
      <c r="G21" s="20">
        <v>339349.6</v>
      </c>
      <c r="H21" s="20">
        <f t="shared" si="1"/>
        <v>-286980.59999999998</v>
      </c>
      <c r="I21" s="19">
        <f t="shared" si="2"/>
        <v>-0.84567832111780883</v>
      </c>
      <c r="J21" s="39" t="s">
        <v>122</v>
      </c>
      <c r="K21" s="73" t="s">
        <v>123</v>
      </c>
      <c r="L21" s="76"/>
      <c r="M21" s="76"/>
      <c r="N21" s="76"/>
      <c r="O21" s="76"/>
      <c r="P21" s="76"/>
      <c r="Q21" s="76"/>
      <c r="R21" s="76"/>
      <c r="S21" s="76"/>
      <c r="T21" s="76"/>
    </row>
    <row r="22" spans="1:20" ht="144">
      <c r="A22" s="62" t="str">
        <v>Pulpit Hill</v>
      </c>
      <c r="B22" s="27" t="str">
        <v>MA</v>
      </c>
      <c r="C22" s="24">
        <v>334214.25</v>
      </c>
      <c r="D22" s="13">
        <v>482625.5</v>
      </c>
      <c r="E22" s="13">
        <f t="shared" si="0"/>
        <v>-148411.25</v>
      </c>
      <c r="F22" s="14">
        <f t="shared" si="3"/>
        <v>-0.30750809892970843</v>
      </c>
      <c r="G22" s="15">
        <v>489731.3</v>
      </c>
      <c r="H22" s="15">
        <f t="shared" si="1"/>
        <v>-155517.04999999999</v>
      </c>
      <c r="I22" s="16">
        <f t="shared" si="2"/>
        <v>-0.31755587196489177</v>
      </c>
      <c r="J22" s="38" t="s">
        <v>124</v>
      </c>
      <c r="K22" s="72" t="s">
        <v>125</v>
      </c>
      <c r="L22" s="77" t="s">
        <v>126</v>
      </c>
      <c r="M22" s="77" t="s">
        <v>127</v>
      </c>
      <c r="N22" s="77" t="s">
        <v>128</v>
      </c>
      <c r="O22" s="77" t="s">
        <v>129</v>
      </c>
      <c r="P22" s="76"/>
      <c r="Q22" s="76"/>
      <c r="R22" s="76"/>
      <c r="S22" s="76"/>
      <c r="T22" s="76"/>
    </row>
    <row r="23" spans="1:20" ht="244.9">
      <c r="A23" s="45" t="str">
        <v>Sandwich</v>
      </c>
      <c r="B23" s="29" t="str">
        <v>MA</v>
      </c>
      <c r="C23" s="11">
        <v>315624</v>
      </c>
      <c r="D23" s="18">
        <v>243679</v>
      </c>
      <c r="E23" s="18">
        <f t="shared" si="0"/>
        <v>71945</v>
      </c>
      <c r="F23" s="19">
        <f t="shared" si="3"/>
        <v>0.29524497392060867</v>
      </c>
      <c r="G23" s="20">
        <v>367963</v>
      </c>
      <c r="H23" s="20">
        <f t="shared" si="1"/>
        <v>-52339</v>
      </c>
      <c r="I23" s="19">
        <f t="shared" si="2"/>
        <v>-0.14223984476700102</v>
      </c>
      <c r="J23" s="39" t="s">
        <v>130</v>
      </c>
      <c r="K23" s="73" t="s">
        <v>131</v>
      </c>
      <c r="L23" s="77" t="s">
        <v>132</v>
      </c>
      <c r="M23" s="77" t="s">
        <v>133</v>
      </c>
      <c r="N23" s="76"/>
      <c r="O23" s="76"/>
      <c r="P23" s="76"/>
      <c r="Q23" s="76"/>
      <c r="R23" s="76"/>
      <c r="S23" s="76"/>
      <c r="T23" s="76"/>
    </row>
    <row r="24" spans="1:20" ht="100.9">
      <c r="A24" s="62" t="str">
        <v>Sturbridge Barn</v>
      </c>
      <c r="B24" s="27" t="str">
        <v>MA</v>
      </c>
      <c r="C24" s="24">
        <v>77009</v>
      </c>
      <c r="D24" s="13">
        <v>121747.9</v>
      </c>
      <c r="E24" s="13">
        <f t="shared" si="0"/>
        <v>-44738.899999999994</v>
      </c>
      <c r="F24" s="14">
        <f t="shared" si="3"/>
        <v>-0.36747163606107369</v>
      </c>
      <c r="G24" s="15">
        <v>133486.9</v>
      </c>
      <c r="H24" s="15">
        <f t="shared" si="1"/>
        <v>-56477.899999999994</v>
      </c>
      <c r="I24" s="16">
        <f t="shared" si="2"/>
        <v>-0.42309694809003728</v>
      </c>
      <c r="J24" s="38" t="s">
        <v>134</v>
      </c>
      <c r="K24" s="72" t="s">
        <v>135</v>
      </c>
      <c r="L24" s="77" t="s">
        <v>136</v>
      </c>
      <c r="M24" s="76"/>
      <c r="N24" s="76"/>
      <c r="O24" s="76"/>
      <c r="P24" s="76"/>
      <c r="Q24" s="76"/>
      <c r="R24" s="76"/>
      <c r="S24" s="76"/>
      <c r="T24" s="76"/>
    </row>
    <row r="25" spans="1:20" ht="15.6">
      <c r="A25" s="45" t="str">
        <v>Sturbridge Garage</v>
      </c>
      <c r="B25" s="29" t="str">
        <v>MA</v>
      </c>
      <c r="C25" s="11">
        <v>36142.5</v>
      </c>
      <c r="D25" s="18">
        <v>58118.59</v>
      </c>
      <c r="E25" s="18">
        <f t="shared" si="0"/>
        <v>-21976.089999999997</v>
      </c>
      <c r="F25" s="19">
        <f t="shared" si="3"/>
        <v>-0.37812496827607134</v>
      </c>
      <c r="G25" s="20">
        <v>65907.13</v>
      </c>
      <c r="H25" s="20">
        <f t="shared" si="1"/>
        <v>-29764.630000000005</v>
      </c>
      <c r="I25" s="19">
        <f t="shared" si="2"/>
        <v>-0.45161471907515927</v>
      </c>
      <c r="J25" s="39" t="s">
        <v>67</v>
      </c>
      <c r="K25" s="39"/>
      <c r="L25" s="76"/>
      <c r="M25" s="76"/>
      <c r="N25" s="76"/>
      <c r="O25" s="76"/>
      <c r="P25" s="76"/>
      <c r="Q25" s="76"/>
      <c r="R25" s="76"/>
      <c r="S25" s="76"/>
      <c r="T25" s="76"/>
    </row>
    <row r="26" spans="1:20" ht="15.6">
      <c r="A26" s="44" t="str">
        <v>Halsey Valley</v>
      </c>
      <c r="B26" s="27" t="str">
        <v>NY</v>
      </c>
      <c r="C26" s="24">
        <v>433613.99999999802</v>
      </c>
      <c r="D26" s="13">
        <v>486830.4</v>
      </c>
      <c r="E26" s="13">
        <f t="shared" si="0"/>
        <v>-53216.400000002002</v>
      </c>
      <c r="F26" s="14">
        <f t="shared" si="3"/>
        <v>-0.10931199037694031</v>
      </c>
      <c r="G26" s="15">
        <v>528000</v>
      </c>
      <c r="H26" s="15">
        <f t="shared" si="1"/>
        <v>-94386.000000001979</v>
      </c>
      <c r="I26" s="16">
        <f t="shared" si="2"/>
        <v>-0.17876136363636738</v>
      </c>
      <c r="J26" s="38" t="s">
        <v>67</v>
      </c>
      <c r="K26" s="38"/>
      <c r="L26" s="76"/>
      <c r="M26" s="76"/>
      <c r="N26" s="76"/>
      <c r="O26" s="76"/>
      <c r="P26" s="76"/>
      <c r="Q26" s="76"/>
      <c r="R26" s="76"/>
      <c r="S26" s="76"/>
      <c r="T26" s="76"/>
    </row>
    <row r="27" spans="1:20" ht="115.15">
      <c r="A27" s="45" t="str">
        <v>Hunt Creek</v>
      </c>
      <c r="B27" s="29" t="str">
        <v>NY</v>
      </c>
      <c r="C27" s="11">
        <v>238580</v>
      </c>
      <c r="D27" s="18">
        <v>348340.5</v>
      </c>
      <c r="E27" s="18">
        <f t="shared" si="0"/>
        <v>-109760.5</v>
      </c>
      <c r="F27" s="19">
        <f t="shared" si="3"/>
        <v>-0.31509543105094012</v>
      </c>
      <c r="G27" s="20">
        <v>340300</v>
      </c>
      <c r="H27" s="20">
        <f t="shared" si="1"/>
        <v>-101720</v>
      </c>
      <c r="I27" s="19">
        <f t="shared" si="2"/>
        <v>-0.2989127240669997</v>
      </c>
      <c r="J27" s="39" t="s">
        <v>137</v>
      </c>
      <c r="K27" s="73" t="s">
        <v>138</v>
      </c>
      <c r="L27" s="77" t="s">
        <v>139</v>
      </c>
      <c r="M27" s="77" t="s">
        <v>140</v>
      </c>
      <c r="N27" s="76"/>
      <c r="O27" s="76"/>
      <c r="P27" s="76"/>
      <c r="Q27" s="76"/>
      <c r="R27" s="76"/>
      <c r="S27" s="76"/>
      <c r="T27" s="76"/>
    </row>
    <row r="28" spans="1:20" ht="50.25" customHeight="1">
      <c r="A28" s="62" t="str">
        <v>Smith Creek</v>
      </c>
      <c r="B28" s="27" t="str">
        <v>NY</v>
      </c>
      <c r="C28" s="24">
        <v>329908</v>
      </c>
      <c r="D28" s="13">
        <v>395368.9</v>
      </c>
      <c r="E28" s="13">
        <f t="shared" si="0"/>
        <v>-65460.900000000023</v>
      </c>
      <c r="F28" s="14">
        <f t="shared" si="3"/>
        <v>-0.16556916843990516</v>
      </c>
      <c r="G28" s="15">
        <v>472752.2</v>
      </c>
      <c r="H28" s="15">
        <f t="shared" si="1"/>
        <v>-142844.20000000001</v>
      </c>
      <c r="I28" s="16">
        <f>IFERROR(H28/G28, "")</f>
        <v>-0.30215449023822633</v>
      </c>
      <c r="J28" s="38" t="s">
        <v>141</v>
      </c>
      <c r="K28" s="72" t="s">
        <v>142</v>
      </c>
      <c r="L28" s="76"/>
      <c r="M28" s="76"/>
      <c r="N28" s="76"/>
      <c r="O28" s="76"/>
      <c r="P28" s="76"/>
      <c r="Q28" s="76"/>
      <c r="R28" s="76"/>
      <c r="S28" s="76"/>
      <c r="T28" s="76"/>
    </row>
    <row r="29" spans="1:20" ht="57.6">
      <c r="A29" s="45" t="str">
        <v>Bradford - 256 Presidential Dr</v>
      </c>
      <c r="B29" s="29" t="str">
        <v>MA</v>
      </c>
      <c r="C29" s="59">
        <v>341831</v>
      </c>
      <c r="D29" s="18">
        <v>434992</v>
      </c>
      <c r="E29" s="18">
        <f>IF(AND(ISNUMBER(C29),ISNUMBER(D29)), C29-D29, "")</f>
        <v>-93161</v>
      </c>
      <c r="F29" s="53">
        <f>IFERROR(E29/D29, "")</f>
        <v>-0.21416715709714201</v>
      </c>
      <c r="G29" s="51">
        <v>529201.80000000005</v>
      </c>
      <c r="H29" s="51">
        <f>IF(AND(ISNUMBER(C29),ISNUMBER(G29)), C29-G29, "")</f>
        <v>-187370.80000000005</v>
      </c>
      <c r="I29" s="53">
        <f>IFERROR(H29/G29, "")</f>
        <v>-0.35406304362532409</v>
      </c>
      <c r="J29" s="39" t="s">
        <v>143</v>
      </c>
      <c r="K29" s="73" t="s">
        <v>144</v>
      </c>
      <c r="L29" s="77" t="s">
        <v>145</v>
      </c>
      <c r="M29" s="77" t="s">
        <v>146</v>
      </c>
      <c r="N29" s="76"/>
      <c r="O29" s="76"/>
      <c r="P29" s="76"/>
      <c r="Q29" s="76"/>
      <c r="R29" s="76"/>
      <c r="S29" s="76"/>
      <c r="T29" s="76"/>
    </row>
    <row r="30" spans="1:20" ht="62.25" customHeight="1">
      <c r="A30" s="62" t="str">
        <v>Charlton – 111 Brookfield Road - Bus Lot</v>
      </c>
      <c r="B30" s="27" t="str">
        <v>MA</v>
      </c>
      <c r="C30" s="24">
        <v>33288</v>
      </c>
      <c r="D30" s="13">
        <v>40369.284070000002</v>
      </c>
      <c r="E30" s="13">
        <f t="shared" si="0"/>
        <v>-7081.2840700000015</v>
      </c>
      <c r="F30" s="14">
        <f t="shared" si="3"/>
        <v>-0.17541267409451983</v>
      </c>
      <c r="G30" s="15">
        <v>61889.87</v>
      </c>
      <c r="H30" s="15">
        <f t="shared" si="1"/>
        <v>-28601.870000000003</v>
      </c>
      <c r="I30" s="16">
        <f t="shared" ref="I30:I34" si="4">IFERROR(H30/G30, "")</f>
        <v>-0.46214138113394004</v>
      </c>
      <c r="J30" s="38" t="s">
        <v>147</v>
      </c>
      <c r="K30" s="72" t="s">
        <v>148</v>
      </c>
      <c r="L30" s="77" t="s">
        <v>149</v>
      </c>
      <c r="M30" s="76"/>
      <c r="N30" s="76"/>
      <c r="O30" s="76"/>
      <c r="P30" s="76"/>
      <c r="Q30" s="76"/>
      <c r="R30" s="76"/>
      <c r="S30" s="76"/>
      <c r="T30" s="76"/>
    </row>
    <row r="31" spans="1:20" ht="100.9">
      <c r="A31" s="45" t="str">
        <v>Charlton – 154 Center Depot Road KMARD</v>
      </c>
      <c r="B31" s="29" t="str">
        <v>MA</v>
      </c>
      <c r="C31" s="11">
        <v>20320</v>
      </c>
      <c r="D31" s="18">
        <v>53693.110959999998</v>
      </c>
      <c r="E31" s="18">
        <f t="shared" si="0"/>
        <v>-33373.110959999998</v>
      </c>
      <c r="F31" s="53">
        <f t="shared" si="3"/>
        <v>-0.62155293972185965</v>
      </c>
      <c r="G31" s="20">
        <v>59765.73</v>
      </c>
      <c r="H31" s="51">
        <f t="shared" si="1"/>
        <v>-39445.730000000003</v>
      </c>
      <c r="I31" s="53">
        <f t="shared" si="4"/>
        <v>-0.66000582608126768</v>
      </c>
      <c r="J31" s="39" t="s">
        <v>150</v>
      </c>
      <c r="K31" s="73" t="s">
        <v>151</v>
      </c>
      <c r="L31" s="77" t="s">
        <v>152</v>
      </c>
      <c r="M31" s="77" t="s">
        <v>153</v>
      </c>
      <c r="N31" s="76"/>
      <c r="O31" s="76"/>
      <c r="P31" s="76"/>
      <c r="Q31" s="76"/>
      <c r="R31" s="76"/>
      <c r="S31" s="76"/>
      <c r="T31" s="76"/>
    </row>
    <row r="32" spans="1:20" ht="72">
      <c r="A32" s="44" t="str">
        <v>Charlton – 142A Brookfield Rd (Mitchell)</v>
      </c>
      <c r="B32" s="27" t="str">
        <v>MA</v>
      </c>
      <c r="C32" s="24">
        <v>33022.564100000003</v>
      </c>
      <c r="D32" s="13">
        <v>58822.545980000003</v>
      </c>
      <c r="E32" s="13">
        <f t="shared" si="0"/>
        <v>-25799.981879999999</v>
      </c>
      <c r="F32" s="14">
        <f t="shared" si="3"/>
        <v>-0.43860702474136598</v>
      </c>
      <c r="G32" s="15">
        <v>62829.33</v>
      </c>
      <c r="H32" s="15">
        <f t="shared" si="1"/>
        <v>-29806.765899999999</v>
      </c>
      <c r="I32" s="16">
        <f t="shared" si="4"/>
        <v>-0.4744084633721225</v>
      </c>
      <c r="J32" s="38" t="s">
        <v>154</v>
      </c>
      <c r="K32" s="72" t="s">
        <v>155</v>
      </c>
      <c r="L32" s="77" t="s">
        <v>156</v>
      </c>
      <c r="M32" s="76"/>
      <c r="N32" s="76"/>
      <c r="O32" s="76"/>
      <c r="P32" s="76"/>
      <c r="Q32" s="76"/>
      <c r="R32" s="76"/>
      <c r="S32" s="76"/>
      <c r="T32" s="76"/>
    </row>
    <row r="33" spans="1:20" ht="86.45">
      <c r="A33" s="45" t="str">
        <v>Great Barrington – 3 Nolan  Drive</v>
      </c>
      <c r="B33" s="29" t="str">
        <v>MA</v>
      </c>
      <c r="C33" s="11">
        <v>50410</v>
      </c>
      <c r="D33" s="18">
        <v>106085.9679</v>
      </c>
      <c r="E33" s="18">
        <f t="shared" si="0"/>
        <v>-55675.967900000003</v>
      </c>
      <c r="F33" s="53">
        <f t="shared" si="3"/>
        <v>-0.52481934229493887</v>
      </c>
      <c r="G33" s="20">
        <v>123737.26</v>
      </c>
      <c r="H33" s="51">
        <f t="shared" si="1"/>
        <v>-73327.259999999995</v>
      </c>
      <c r="I33" s="53">
        <f t="shared" si="4"/>
        <v>-0.59260452348791304</v>
      </c>
      <c r="J33" s="39" t="s">
        <v>157</v>
      </c>
      <c r="K33" s="75" t="s">
        <v>158</v>
      </c>
      <c r="L33" s="77" t="s">
        <v>159</v>
      </c>
      <c r="M33" s="76"/>
      <c r="N33" s="76"/>
      <c r="O33" s="76"/>
      <c r="P33" s="76"/>
      <c r="Q33" s="76"/>
      <c r="R33" s="76"/>
      <c r="S33" s="76"/>
      <c r="T33" s="76"/>
    </row>
    <row r="34" spans="1:20" ht="259.14999999999998">
      <c r="A34" s="62" t="str">
        <v>Stockbridge – 92 State Line Road Truck Stop</v>
      </c>
      <c r="B34" s="27" t="str">
        <v>MA</v>
      </c>
      <c r="C34" s="24">
        <v>89135</v>
      </c>
      <c r="D34" s="13">
        <v>192765.12280000001</v>
      </c>
      <c r="E34" s="13">
        <f t="shared" si="0"/>
        <v>-103630.12280000001</v>
      </c>
      <c r="F34" s="14">
        <f t="shared" si="3"/>
        <v>-0.53759788749502979</v>
      </c>
      <c r="G34" s="15">
        <v>225738.73</v>
      </c>
      <c r="H34" s="15">
        <f t="shared" si="1"/>
        <v>-136603.73000000001</v>
      </c>
      <c r="I34" s="16">
        <f t="shared" si="4"/>
        <v>-0.60514086351066121</v>
      </c>
      <c r="J34" s="38" t="s">
        <v>160</v>
      </c>
      <c r="K34" s="72" t="s">
        <v>161</v>
      </c>
      <c r="L34" s="77" t="s">
        <v>162</v>
      </c>
      <c r="M34" s="77" t="s">
        <v>162</v>
      </c>
      <c r="N34" s="77" t="s">
        <v>163</v>
      </c>
      <c r="O34" s="77" t="s">
        <v>164</v>
      </c>
      <c r="P34" s="77" t="s">
        <v>164</v>
      </c>
      <c r="Q34" s="77" t="s">
        <v>165</v>
      </c>
      <c r="R34" s="77" t="s">
        <v>166</v>
      </c>
      <c r="S34" s="77" t="s">
        <v>167</v>
      </c>
      <c r="T34" s="76"/>
    </row>
    <row r="35" spans="1:20" ht="14.45">
      <c r="A35" s="21"/>
      <c r="B35" s="31"/>
      <c r="C35" s="21"/>
      <c r="D35" s="21"/>
      <c r="E35" s="21"/>
      <c r="F35" s="21"/>
      <c r="G35" s="21"/>
      <c r="H35" s="21"/>
      <c r="I35" s="66"/>
      <c r="J35" s="21"/>
      <c r="K35" s="21"/>
    </row>
    <row r="36" spans="1:20" ht="15.6">
      <c r="A36" s="45"/>
      <c r="B36" s="29"/>
      <c r="C36" s="11"/>
      <c r="D36" s="18"/>
      <c r="E36" s="18"/>
      <c r="F36" s="53"/>
      <c r="G36" s="20"/>
      <c r="H36" s="51"/>
      <c r="I36" s="65"/>
      <c r="J36" s="39"/>
      <c r="K36" s="39"/>
    </row>
    <row r="37" spans="1:20" ht="14.45">
      <c r="A37" s="21"/>
      <c r="B37" s="31"/>
      <c r="C37" s="21"/>
      <c r="D37" s="21"/>
      <c r="E37" s="21"/>
      <c r="F37" s="22"/>
      <c r="G37" s="21"/>
      <c r="H37" s="21"/>
      <c r="I37" s="22"/>
      <c r="J37" s="21"/>
      <c r="K37" s="21"/>
    </row>
    <row r="38" spans="1:20" ht="14.45">
      <c r="A38" s="21"/>
      <c r="B38" s="31"/>
      <c r="C38" s="21"/>
      <c r="D38" s="21"/>
      <c r="E38" s="21"/>
      <c r="F38" s="22"/>
      <c r="G38" s="21"/>
      <c r="H38" s="21"/>
      <c r="I38" s="22"/>
      <c r="J38" s="21"/>
      <c r="K38" s="21"/>
    </row>
    <row r="39" spans="1:20" ht="14.45">
      <c r="A39" s="21"/>
      <c r="B39" s="31"/>
      <c r="C39" s="21"/>
      <c r="D39" s="21"/>
      <c r="E39" s="21"/>
      <c r="F39" s="22"/>
      <c r="G39" s="21"/>
      <c r="H39" s="21"/>
      <c r="I39" s="22"/>
      <c r="J39" s="21"/>
      <c r="K39" s="21"/>
    </row>
    <row r="40" spans="1:20" ht="14.45">
      <c r="A40" s="21"/>
      <c r="B40" s="31"/>
      <c r="C40" s="21"/>
      <c r="D40" s="21"/>
      <c r="E40" s="21"/>
      <c r="F40" s="22"/>
      <c r="G40" s="21"/>
      <c r="H40" s="21"/>
      <c r="I40" s="22"/>
      <c r="J40" s="21"/>
      <c r="K40" s="21"/>
    </row>
    <row r="41" spans="1:20" ht="14.45">
      <c r="A41" s="21"/>
      <c r="B41" s="31"/>
      <c r="C41" s="21"/>
      <c r="D41" s="21"/>
      <c r="E41" s="21"/>
      <c r="F41" s="22"/>
      <c r="G41" s="21"/>
      <c r="H41" s="21"/>
      <c r="I41" s="22"/>
      <c r="J41" s="21"/>
      <c r="K41" s="21"/>
    </row>
    <row r="42" spans="1:20" ht="14.45">
      <c r="A42" s="21"/>
      <c r="B42" s="31"/>
      <c r="C42" s="21"/>
      <c r="D42" s="21"/>
      <c r="E42" s="21"/>
      <c r="F42" s="22"/>
      <c r="G42" s="21"/>
      <c r="H42" s="21"/>
      <c r="I42" s="22"/>
      <c r="J42" s="21"/>
      <c r="K42" s="21"/>
    </row>
    <row r="43" spans="1:20" ht="14.45">
      <c r="A43" s="21"/>
      <c r="B43" s="31"/>
      <c r="C43" s="21"/>
      <c r="D43" s="21"/>
      <c r="E43" s="21"/>
      <c r="F43" s="22"/>
      <c r="G43" s="21"/>
      <c r="H43" s="21"/>
      <c r="I43" s="22"/>
      <c r="J43" s="21"/>
      <c r="K43" s="21"/>
    </row>
    <row r="44" spans="1:20" ht="14.45">
      <c r="A44" s="21"/>
      <c r="B44" s="31"/>
      <c r="C44" s="21"/>
      <c r="D44" s="21"/>
      <c r="E44" s="21"/>
      <c r="F44" s="22"/>
      <c r="G44" s="21"/>
      <c r="H44" s="21"/>
      <c r="I44" s="22"/>
      <c r="J44" s="21"/>
      <c r="K44" s="21"/>
    </row>
    <row r="45" spans="1:20" ht="14.45">
      <c r="A45" s="21"/>
      <c r="B45" s="31"/>
      <c r="C45" s="21"/>
      <c r="D45" s="21"/>
      <c r="E45" s="21"/>
      <c r="F45" s="22"/>
      <c r="G45" s="21"/>
      <c r="H45" s="21"/>
      <c r="I45" s="22"/>
      <c r="J45" s="21"/>
      <c r="K45" s="21"/>
    </row>
    <row r="46" spans="1:20" ht="14.45">
      <c r="A46" s="21"/>
      <c r="B46" s="31"/>
      <c r="C46" s="21"/>
      <c r="D46" s="21"/>
      <c r="E46" s="21"/>
      <c r="F46" s="22"/>
      <c r="G46" s="21"/>
      <c r="H46" s="21"/>
      <c r="I46" s="22"/>
      <c r="J46" s="21"/>
      <c r="K46" s="21"/>
    </row>
    <row r="47" spans="1:20" ht="14.45">
      <c r="A47" s="21"/>
      <c r="B47" s="31"/>
      <c r="C47" s="21"/>
      <c r="D47" s="21"/>
      <c r="E47" s="21"/>
      <c r="F47" s="22"/>
      <c r="G47" s="21"/>
      <c r="H47" s="21"/>
      <c r="I47" s="22"/>
      <c r="J47" s="21"/>
      <c r="K47" s="21"/>
    </row>
    <row r="48" spans="1:20"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7" priority="1" stopIfTrue="1" operator="lessThanOrEqual">
      <formula>-0.1</formula>
    </cfRule>
    <cfRule type="expression" dxfId="46" priority="2">
      <formula>AND(ISNUMBER(F2), F2&gt;=0.1)</formula>
    </cfRule>
  </conditionalFormatting>
  <hyperlinks>
    <hyperlink ref="K4" r:id="rId1" display="https://us3.assetplanner.com/service_request?ID=095215" xr:uid="{12939BC4-1E1F-45BE-8A4F-CE688D99D419}"/>
    <hyperlink ref="K5" r:id="rId2" display="https://us3.assetplanner.com/service_request?ID=097327" xr:uid="{86A99DB6-37A5-420D-97ED-B7696AACAADF}"/>
    <hyperlink ref="L5" r:id="rId3" display="https://us3.assetplanner.com/service_request?ID=097832" xr:uid="{E082481D-EB4F-4749-957A-C0662D0A34C8}"/>
    <hyperlink ref="K6" r:id="rId4" display="https://us3.assetplanner.com/service_request?ID=096190" xr:uid="{1A110A6C-8E1C-44EE-9081-1CB9C0F59862}"/>
    <hyperlink ref="L6" r:id="rId5" display="https://us3.assetplanner.com/service_request?ID=097171" xr:uid="{354C63EE-ACD7-4D27-81B1-F480A6B12829}"/>
    <hyperlink ref="M6" r:id="rId6" display="https://us3.assetplanner.com/service_request?ID=097549" xr:uid="{108A3798-33AD-410A-BEDC-457746749D6A}"/>
    <hyperlink ref="N6" r:id="rId7" display="https://us3.assetplanner.com/service_request?ID=097792" xr:uid="{F9968F34-F04A-4356-8306-612E774B3C71}"/>
    <hyperlink ref="K7" r:id="rId8" display="https://us3.assetplanner.com/service_request?ID=096465" xr:uid="{C1DF834D-2717-4913-951A-51C951A9B1DD}"/>
    <hyperlink ref="K8" r:id="rId9" display="https://us3.assetplanner.com/service_request?ID=096295" xr:uid="{7057BE08-D25E-4E37-987E-6BBDC2EEDD40}"/>
    <hyperlink ref="K9" r:id="rId10" display="https://us3.assetplanner.com/service_request?ID=096471" xr:uid="{2FE8C33B-2DEB-4F00-8F68-6C137F4396CB}"/>
    <hyperlink ref="L9" r:id="rId11" display="https://us3.assetplanner.com/service_request?ID=095513" xr:uid="{E4DF58E9-3A03-43EC-ADF0-BD02214F2C5A}"/>
    <hyperlink ref="K10" r:id="rId12" display="https://us3.assetplanner.com/service_request?ID=097562" xr:uid="{4C5F61AB-8923-4D16-8718-17B94FEA3A33}"/>
    <hyperlink ref="L10" r:id="rId13" display="https://us3.assetplanner.com/service_request?ID=097648" xr:uid="{CD015A49-F5CF-4E41-8809-AD4E61A635E7}"/>
    <hyperlink ref="M10" r:id="rId14" display="https://us3.assetplanner.com/service_request?ID=097870" xr:uid="{6C3B1B44-50E9-4731-8F4A-DBBC123A6E13}"/>
    <hyperlink ref="K11" r:id="rId15" display="https://us3.assetplanner.com/service_request?ID=089923" xr:uid="{41059C6E-40D3-4577-83A1-FF27B0ECF403}"/>
    <hyperlink ref="L11" r:id="rId16" display="https://us3.assetplanner.com/service_request?ID=090122" xr:uid="{A1EE0B1C-6419-48CC-921E-751220588030}"/>
    <hyperlink ref="K12" r:id="rId17" display="https://us3.assetplanner.com/service_request?ID=093777" xr:uid="{EB5DFD31-79B8-4039-A81E-EC51E4026684}"/>
    <hyperlink ref="L12" r:id="rId18" display="https://us3.assetplanner.com/service_request?ID=097797" xr:uid="{15C9BD5C-6984-4697-8C47-C5CB42D479D9}"/>
    <hyperlink ref="M12" r:id="rId19" display="https://us3.assetplanner.com/service_request?ID=094302" xr:uid="{50E4D795-EDCF-4047-B4B0-2BAEF978A0C5}"/>
    <hyperlink ref="N12" r:id="rId20" display="https://us3.assetplanner.com/service_request?ID=097796" xr:uid="{97695286-9150-439B-96D2-D588BFEB427B}"/>
    <hyperlink ref="K13" r:id="rId21" display="https://us3.assetplanner.com/service_request?ID=088449" xr:uid="{D7F862A1-5603-49B7-8E66-472D77B66F71}"/>
    <hyperlink ref="L13" r:id="rId22" display="https://us3.assetplanner.com/service_request?ID=088450" xr:uid="{27B916E0-203A-49A8-8F7E-D762F97811DC}"/>
    <hyperlink ref="M13" r:id="rId23" display="https://us3.assetplanner.com/service_request?ID=091962" xr:uid="{2AF75185-43B1-46D3-AC38-B7C804BAE526}"/>
    <hyperlink ref="N13" r:id="rId24" display="https://us3.assetplanner.com/service_request?ID=093117" xr:uid="{26B3E5EF-FCF1-4FDC-90B8-23F2CAACF29B}"/>
    <hyperlink ref="O13" r:id="rId25" display="https://us3.assetplanner.com/service_request?ID=097799" xr:uid="{A14ECF3B-B287-4A58-9223-239A5A0388CA}"/>
    <hyperlink ref="P13" r:id="rId26" display="https://us3.assetplanner.com/service_request?ID=095816" xr:uid="{056F64AC-B49D-4110-BFD6-675A1F1C6B05}"/>
    <hyperlink ref="Q13" r:id="rId27" display="https://us3.assetplanner.com/service_request?ID=096271" xr:uid="{BB7BFEEA-470E-4E8D-A93C-C84086C2BC3C}"/>
    <hyperlink ref="R13" r:id="rId28" display="https://us3.assetplanner.com/service_request?ID=096370" xr:uid="{60BE2AE6-C20E-40A5-AB3A-AC7B0F918E23}"/>
    <hyperlink ref="S13" r:id="rId29" display="https://us3.assetplanner.com/service_request?ID=097060" xr:uid="{3E6EF47C-9D92-4768-9392-B6E566DAC4EB}"/>
    <hyperlink ref="K17" r:id="rId30" display="https://us3.assetplanner.com/service_request?ID=097899" xr:uid="{E69CF90E-B451-4E27-90D7-425EC74C6508}"/>
    <hyperlink ref="K19" r:id="rId31" display="https://us3.assetplanner.com/service_request?ID=095846" xr:uid="{2A896B4E-FC6D-46D6-B787-3A25D428ADE2}"/>
    <hyperlink ref="L19" r:id="rId32" display="https://us3.assetplanner.com/service_request?ID=097795" xr:uid="{05328BFC-97B0-4099-8C14-E22126E5A109}"/>
    <hyperlink ref="M19" r:id="rId33" display="https://us3.assetplanner.com/service_request?ID=097191" xr:uid="{9014F228-C75B-4422-97E7-8BC2629B761A}"/>
    <hyperlink ref="N19" r:id="rId34" display="https://us3.assetplanner.com/service_request?ID=097690" xr:uid="{A77A4FD5-52D9-43C6-B759-3B6F09D2F69C}"/>
    <hyperlink ref="O19" r:id="rId35" display="https://us3.assetplanner.com/service_request?ID=097747" xr:uid="{EB30AC24-80CA-4761-B75F-71737898A332}"/>
    <hyperlink ref="K20" r:id="rId36" display="https://us3.assetplanner.com/service_request?ID=097561" xr:uid="{ED9202F0-6040-4EE1-BCF7-0082A2498A18}"/>
    <hyperlink ref="L20" r:id="rId37" display="https://us3.assetplanner.com/service_request?ID=087370" xr:uid="{29B215C9-B5EC-490C-A1CE-8578317ED7EF}"/>
    <hyperlink ref="K21" r:id="rId38" display="https://us3.assetplanner.com/service_request?ID=097881" xr:uid="{C29A3853-BADA-41CA-8F11-331DAA7AD7F3}"/>
    <hyperlink ref="K22" r:id="rId39" display="https://us3.assetplanner.com/service_request?ID=093591" xr:uid="{CED53813-BF30-489E-97A1-6962B3D4D9B7}"/>
    <hyperlink ref="L22" r:id="rId40" display="https://us3.assetplanner.com/service_request?ID=097798" xr:uid="{696A2E4E-19F4-4465-A0FA-E80EAA9263E0}"/>
    <hyperlink ref="M22" r:id="rId41" display="https://us3.assetplanner.com/service_request?ID=095984" xr:uid="{EE377F6A-7397-4B5F-A62F-6871B81BD0CF}"/>
    <hyperlink ref="N22" r:id="rId42" display="https://us3.assetplanner.com/service_request?ID=096108" xr:uid="{6F6BBD0B-7C79-4203-A5B0-2F1AF13D4F38}"/>
    <hyperlink ref="O22" r:id="rId43" display="https://us3.assetplanner.com/service_request?ID=097793" xr:uid="{73A226BA-FB0B-4A00-B8A5-E11793FF3B06}"/>
    <hyperlink ref="K23" r:id="rId44" display="https://us3.assetplanner.com/service_request?ID=096680" xr:uid="{97E7EEB7-A2BF-410F-8BEA-7DED22B024BE}"/>
    <hyperlink ref="L23" r:id="rId45" display="https://us3.assetplanner.com/service_request?ID=097547" xr:uid="{22A512EC-D370-4521-A9C6-B8833A7434E6}"/>
    <hyperlink ref="M23" r:id="rId46" display="https://us3.assetplanner.com/service_request?ID=095262" xr:uid="{76BF1832-4B53-47A9-87CE-6D674515E3E7}"/>
    <hyperlink ref="K24" r:id="rId47" display="https://us3.assetplanner.com/service_request?ID=097066" xr:uid="{0E82B08D-FA37-42C6-A808-E0EC46ACAC7D}"/>
    <hyperlink ref="L24" r:id="rId48" display="https://us3.assetplanner.com/service_request?ID=097198" xr:uid="{BE287A16-B1FF-45BC-B815-2E3A39D9F9CA}"/>
    <hyperlink ref="K27" r:id="rId49" display="https://us3.assetplanner.com/service_request?ID=097182" xr:uid="{FDBBF57F-F91F-435B-A6EE-134865A8B698}"/>
    <hyperlink ref="L27" r:id="rId50" display="https://us3.assetplanner.com/service_request?ID=097150" xr:uid="{5D1A3DA3-C69E-4832-B413-CC9C289BBB70}"/>
    <hyperlink ref="M27" r:id="rId51" display="https://us3.assetplanner.com/service_request?ID=094254" xr:uid="{31D03F6A-7676-4E37-96D3-2C64C6B3F42C}"/>
    <hyperlink ref="K28" r:id="rId52" display="https://us3.assetplanner.com/service_request?ID=097151" xr:uid="{61DCDCD6-D6C5-46FA-BCD1-45AEF41DB8C2}"/>
    <hyperlink ref="K29" r:id="rId53" display="https://us3.assetplanner.com/service_request?ID=096051" xr:uid="{61246252-0561-4A8E-B75C-788BD5AD7C10}"/>
    <hyperlink ref="L29" r:id="rId54" display="https://us3.assetplanner.com/service_request?ID=097794" xr:uid="{DFF10C5C-9A21-4EB2-98F6-0792E8B39BD6}"/>
    <hyperlink ref="M29" r:id="rId55" display="https://us3.assetplanner.com/service_request?ID=097657" xr:uid="{A5394EC0-DEE6-4889-A241-37C410DBD3F3}"/>
    <hyperlink ref="K30" r:id="rId56" display="https://us3.assetplanner.com/service_request?ID=096287" xr:uid="{B8473044-0202-40B7-B53B-C590E89CB3C6}"/>
    <hyperlink ref="L30" r:id="rId57" display="https://us3.assetplanner.com/service_request?ID=097195" xr:uid="{2782810D-1D7F-4B8F-ADA8-9FD900F810C8}"/>
    <hyperlink ref="K31" r:id="rId58" display="https://us3.assetplanner.com/service_request?ID=096880" xr:uid="{580A58FF-AE17-4811-BA31-0D78E5CDE7EF}"/>
    <hyperlink ref="L31" r:id="rId59" display="https://us3.assetplanner.com/service_request?ID=097194" xr:uid="{1379FBF1-8A00-4E86-8C7D-2A9CED07F2C5}"/>
    <hyperlink ref="M31" r:id="rId60" display="https://us3.assetplanner.com/service_request?ID=097744" xr:uid="{E15548A8-4F7F-4711-8D63-52EB674C02C3}"/>
    <hyperlink ref="K32" r:id="rId61" display="https://us3.assetplanner.com/service_request?ID=096242" xr:uid="{01C8EA32-88D2-4A97-9472-AF858D26015B}"/>
    <hyperlink ref="L32" r:id="rId62" display="https://us3.assetplanner.com/service_request?ID=097809" xr:uid="{261C5140-3253-48D2-A4A0-09AB03FE5489}"/>
    <hyperlink ref="K33" r:id="rId63" display="https://us3.assetplanner.com/service_request?ID=097148" xr:uid="{CF814B9B-851C-48B3-9ACA-1BB6F31509BC}"/>
    <hyperlink ref="L33" r:id="rId64" display="https://us3.assetplanner.com/service_request?ID=097662" xr:uid="{F9591039-0C7E-49A4-A9CF-745204952699}"/>
    <hyperlink ref="K34" r:id="rId65" display="https://us3.assetplanner.com/service_request?ID=096270" xr:uid="{CB40F8D8-71E0-4020-BDAF-87C741E95278}"/>
    <hyperlink ref="L34" r:id="rId66" display="https://us3.assetplanner.com/service_request?ID=097154" xr:uid="{3E08CBAD-A565-43AF-825C-D6F59B14B892}"/>
    <hyperlink ref="M34" r:id="rId67" display="https://us3.assetplanner.com/service_request?ID=097154" xr:uid="{5E8B1218-E409-4D63-A78D-26060BE38451}"/>
    <hyperlink ref="N34" r:id="rId68" display="https://us3.assetplanner.com/service_request?ID=097155" xr:uid="{A2A1971E-CEE2-4BDD-8B90-CF2B5B43B96B}"/>
    <hyperlink ref="O34" r:id="rId69" display="https://us3.assetplanner.com/service_request?ID=097338" xr:uid="{B92220D3-FBB8-474C-974D-4ADCE2E79557}"/>
    <hyperlink ref="P34" r:id="rId70" display="https://us3.assetplanner.com/service_request?ID=097338" xr:uid="{13E5EE0E-D0E6-4411-9B79-DDE1ABB4E59E}"/>
    <hyperlink ref="Q34" r:id="rId71" display="https://us3.assetplanner.com/service_request?ID=097654" xr:uid="{91CDC527-4E27-493E-9823-1A42480C77F6}"/>
    <hyperlink ref="R34" r:id="rId72" display="https://us3.assetplanner.com/service_request?ID=097807" xr:uid="{FE40CB72-4609-462E-893C-65153474E26D}"/>
    <hyperlink ref="S34" r:id="rId73" display="https://us3.assetplanner.com/service_request?ID=097851" xr:uid="{E90131DE-07C5-472A-8DFB-F13B0D9B9D2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V345"/>
  <sheetViews>
    <sheetView zoomScale="60" zoomScaleNormal="60" workbookViewId="0">
      <pane xSplit="2" ySplit="3" topLeftCell="C13" activePane="bottomRight" state="frozen"/>
      <selection pane="bottomRight" activeCell="G23" sqref="G23"/>
      <selection pane="bottomLeft" activeCell="J38" sqref="J38"/>
      <selection pane="topRight" activeCell="J38" sqref="J38"/>
    </sheetView>
  </sheetViews>
  <sheetFormatPr defaultRowHeight="13.9"/>
  <cols>
    <col min="1" max="1" width="41.2851562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87" t="str" cm="1">
        <f t="array" ref="A1">portfolio</f>
        <v>Lodestar</v>
      </c>
      <c r="B1" s="87"/>
      <c r="C1" s="87"/>
      <c r="D1" s="88" t="s">
        <v>18</v>
      </c>
      <c r="E1" s="88"/>
      <c r="F1" s="88"/>
      <c r="G1" s="86" t="s">
        <v>19</v>
      </c>
      <c r="H1" s="86"/>
      <c r="I1" s="86"/>
      <c r="J1" s="4"/>
      <c r="K1" s="4"/>
    </row>
    <row r="2" spans="1:22" ht="19.5" customHeight="1">
      <c r="A2" s="89" t="s">
        <v>2</v>
      </c>
      <c r="B2" s="89"/>
      <c r="C2" s="5">
        <f>SUM(C4:C103)</f>
        <v>8516922.4647565279</v>
      </c>
      <c r="D2" s="5">
        <f>SUM(D4:D103)</f>
        <v>8224322.0293100001</v>
      </c>
      <c r="E2" s="5">
        <f>C2-D2</f>
        <v>292600.43544652779</v>
      </c>
      <c r="F2" s="6">
        <f>IFERROR(E2/D2, 0)</f>
        <v>3.557745360696634E-2</v>
      </c>
      <c r="G2" s="5">
        <f>SUM(G4:G103)</f>
        <v>7889841.9300000006</v>
      </c>
      <c r="H2" s="7">
        <f>C2-G2</f>
        <v>627080.53475652728</v>
      </c>
      <c r="I2" s="6">
        <f>IFERROR(H2/G2, 0)</f>
        <v>7.9479480111273565E-2</v>
      </c>
      <c r="J2" s="26" t="str">
        <f ca="1">IF(AND(TODAY()&gt;DATE(2024, 3, 1), COUNTA(Sites[Site])&lt;&gt;(COUNT(C:C)-1)), "Some sites are missing actual data; if new sites were added, make sure they are aligned correctly (including prior months!)", "")</f>
        <v/>
      </c>
      <c r="K2" s="4"/>
    </row>
    <row r="3" spans="1:22" ht="14.25" customHeight="1">
      <c r="A3" s="8" t="s">
        <v>3</v>
      </c>
      <c r="B3" s="8" t="s">
        <v>4</v>
      </c>
      <c r="C3" s="23" t="s">
        <v>5</v>
      </c>
      <c r="D3" s="33" t="s">
        <v>6</v>
      </c>
      <c r="E3" s="33" t="s">
        <v>7</v>
      </c>
      <c r="F3" s="34" t="s">
        <v>8</v>
      </c>
      <c r="G3" s="35" t="s">
        <v>9</v>
      </c>
      <c r="H3" s="36" t="s">
        <v>7</v>
      </c>
      <c r="I3" s="37" t="s">
        <v>8</v>
      </c>
      <c r="J3" s="25" t="s">
        <v>20</v>
      </c>
      <c r="K3" s="25" t="s">
        <v>21</v>
      </c>
    </row>
    <row r="4" spans="1:22" ht="43.15">
      <c r="A4" s="30" t="str" cm="1">
        <f t="array" ref="A4:A34">Sites[Site]</f>
        <v>Barkhamsted</v>
      </c>
      <c r="B4" s="27" t="str" cm="1">
        <f t="array" ref="B4:B34">Sites[State]</f>
        <v>CT</v>
      </c>
      <c r="C4" s="24">
        <v>160256</v>
      </c>
      <c r="D4" s="13">
        <v>162863</v>
      </c>
      <c r="E4" s="13">
        <f>IF(AND(ISNUMBER(C4),ISNUMBER(D4)), C4-D4, "")</f>
        <v>-2607</v>
      </c>
      <c r="F4" s="14">
        <f>IFERROR(E4/D4, "")</f>
        <v>-1.6007319035017162E-2</v>
      </c>
      <c r="G4" s="15">
        <v>164231</v>
      </c>
      <c r="H4" s="15">
        <f>IF(AND(ISNUMBER(C4),ISNUMBER(G4)), C4-G4, "")</f>
        <v>-3975</v>
      </c>
      <c r="I4" s="16">
        <f>IFERROR(H4/G4, "")</f>
        <v>-2.4203713062698272E-2</v>
      </c>
      <c r="J4" s="38" t="s">
        <v>168</v>
      </c>
      <c r="K4" s="72" t="s">
        <v>169</v>
      </c>
      <c r="L4" s="77" t="s">
        <v>170</v>
      </c>
      <c r="M4" s="76"/>
      <c r="N4" s="76"/>
      <c r="O4" s="76"/>
      <c r="P4" s="76"/>
      <c r="Q4" s="76"/>
      <c r="R4" s="76"/>
      <c r="S4" s="76"/>
      <c r="T4" s="76"/>
      <c r="U4" s="76"/>
      <c r="V4" s="76"/>
    </row>
    <row r="5" spans="1:22" ht="15.6">
      <c r="A5" s="28" t="str">
        <v>Bunce</v>
      </c>
      <c r="B5" s="29" t="str">
        <v>CT</v>
      </c>
      <c r="C5" s="11">
        <v>301622.5</v>
      </c>
      <c r="D5" s="18">
        <v>282807.59999999998</v>
      </c>
      <c r="E5" s="18">
        <f t="shared" ref="E5:E34" si="0">IF(AND(ISNUMBER(C5),ISNUMBER(D5)), C5-D5, "")</f>
        <v>18814.900000000023</v>
      </c>
      <c r="F5" s="19">
        <f>IFERROR(E5/D5, "")</f>
        <v>6.6528975883250754E-2</v>
      </c>
      <c r="G5" s="67" t="s">
        <v>171</v>
      </c>
      <c r="H5" s="20" t="str">
        <f t="shared" ref="H5:H34" si="1">IF(AND(ISNUMBER(C5),ISNUMBER(G5)), C5-G5, "")</f>
        <v/>
      </c>
      <c r="I5" s="19" t="str">
        <f t="shared" ref="I5:I34" si="2">IFERROR(H5/G5, "")</f>
        <v/>
      </c>
      <c r="J5" s="49"/>
      <c r="K5" s="49"/>
      <c r="L5" s="76"/>
      <c r="M5" s="76"/>
      <c r="N5" s="76"/>
      <c r="O5" s="76"/>
      <c r="P5" s="76"/>
      <c r="Q5" s="76"/>
      <c r="R5" s="76"/>
      <c r="S5" s="76"/>
      <c r="T5" s="76"/>
      <c r="U5" s="76"/>
      <c r="V5" s="76"/>
    </row>
    <row r="6" spans="1:22" ht="86.45">
      <c r="A6" s="30" t="str">
        <v>Norcap North</v>
      </c>
      <c r="B6" s="27" t="str">
        <v>CT</v>
      </c>
      <c r="C6" s="24">
        <v>306603.5</v>
      </c>
      <c r="D6" s="13">
        <v>329886.40000000002</v>
      </c>
      <c r="E6" s="13">
        <f t="shared" si="0"/>
        <v>-23282.900000000023</v>
      </c>
      <c r="F6" s="14">
        <f t="shared" ref="F6:F34" si="3">IFERROR(E6/D6, "")</f>
        <v>-7.0578538551452935E-2</v>
      </c>
      <c r="G6" s="15">
        <v>305427</v>
      </c>
      <c r="H6" s="15">
        <f t="shared" si="1"/>
        <v>1176.5</v>
      </c>
      <c r="I6" s="16">
        <f t="shared" si="2"/>
        <v>3.8519842712006471E-3</v>
      </c>
      <c r="J6" s="38" t="s">
        <v>172</v>
      </c>
      <c r="K6" s="72" t="s">
        <v>173</v>
      </c>
      <c r="L6" s="77" t="s">
        <v>174</v>
      </c>
      <c r="M6" s="77" t="s">
        <v>175</v>
      </c>
      <c r="N6" s="76"/>
      <c r="O6" s="76"/>
      <c r="P6" s="76"/>
      <c r="Q6" s="76"/>
      <c r="R6" s="76"/>
      <c r="S6" s="76"/>
      <c r="T6" s="76"/>
      <c r="U6" s="76"/>
      <c r="V6" s="76"/>
    </row>
    <row r="7" spans="1:22" ht="57.6">
      <c r="A7" s="28" t="str">
        <v>Norcap South</v>
      </c>
      <c r="B7" s="29" t="str">
        <v>CT</v>
      </c>
      <c r="C7" s="11">
        <v>320974.5</v>
      </c>
      <c r="D7" s="18">
        <v>349780.3</v>
      </c>
      <c r="E7" s="18">
        <f t="shared" si="0"/>
        <v>-28805.799999999988</v>
      </c>
      <c r="F7" s="19">
        <f t="shared" si="3"/>
        <v>-8.2353980484321132E-2</v>
      </c>
      <c r="G7" s="20">
        <v>298676.2</v>
      </c>
      <c r="H7" s="20">
        <f t="shared" si="1"/>
        <v>22298.299999999988</v>
      </c>
      <c r="I7" s="19">
        <f t="shared" si="2"/>
        <v>7.4657103579059816E-2</v>
      </c>
      <c r="J7" s="39" t="s">
        <v>176</v>
      </c>
      <c r="K7" s="73" t="s">
        <v>177</v>
      </c>
      <c r="L7" s="77" t="s">
        <v>178</v>
      </c>
      <c r="M7" s="76"/>
      <c r="N7" s="76"/>
      <c r="O7" s="76"/>
      <c r="P7" s="76"/>
      <c r="Q7" s="76"/>
      <c r="R7" s="76"/>
      <c r="S7" s="76"/>
      <c r="T7" s="76"/>
      <c r="U7" s="76"/>
      <c r="V7" s="76"/>
    </row>
    <row r="8" spans="1:22" ht="144">
      <c r="A8" s="30" t="str">
        <v>Platt Hill</v>
      </c>
      <c r="B8" s="27" t="str">
        <v>CT</v>
      </c>
      <c r="C8" s="24">
        <v>300382</v>
      </c>
      <c r="D8" s="13">
        <v>344310.9</v>
      </c>
      <c r="E8" s="13">
        <f t="shared" si="0"/>
        <v>-43928.900000000023</v>
      </c>
      <c r="F8" s="14">
        <f t="shared" si="3"/>
        <v>-0.12758498206127084</v>
      </c>
      <c r="G8" s="15">
        <v>352217.3</v>
      </c>
      <c r="H8" s="15">
        <f t="shared" si="1"/>
        <v>-51835.299999999988</v>
      </c>
      <c r="I8" s="16">
        <f t="shared" si="2"/>
        <v>-0.14716852352226875</v>
      </c>
      <c r="J8" s="38" t="s">
        <v>179</v>
      </c>
      <c r="K8" s="72" t="s">
        <v>180</v>
      </c>
      <c r="L8" s="77" t="s">
        <v>181</v>
      </c>
      <c r="M8" s="77" t="s">
        <v>182</v>
      </c>
      <c r="N8" s="77" t="s">
        <v>183</v>
      </c>
      <c r="O8" s="77" t="s">
        <v>184</v>
      </c>
      <c r="P8" s="76"/>
      <c r="Q8" s="76"/>
      <c r="R8" s="76"/>
      <c r="S8" s="76"/>
      <c r="T8" s="76"/>
      <c r="U8" s="76"/>
      <c r="V8" s="76"/>
    </row>
    <row r="9" spans="1:22" ht="43.15">
      <c r="A9" s="28" t="str">
        <v>Powder Hill</v>
      </c>
      <c r="B9" s="29" t="str">
        <v>CT</v>
      </c>
      <c r="C9" s="11">
        <v>305500</v>
      </c>
      <c r="D9" s="18">
        <v>302824.2</v>
      </c>
      <c r="E9" s="18">
        <f t="shared" si="0"/>
        <v>2675.7999999999884</v>
      </c>
      <c r="F9" s="19">
        <f t="shared" si="3"/>
        <v>8.8361498189378131E-3</v>
      </c>
      <c r="G9" s="20">
        <v>233148</v>
      </c>
      <c r="H9" s="20">
        <f t="shared" si="1"/>
        <v>72352</v>
      </c>
      <c r="I9" s="19">
        <f t="shared" si="2"/>
        <v>0.31032648789610034</v>
      </c>
      <c r="J9" s="39" t="s">
        <v>185</v>
      </c>
      <c r="K9" s="73" t="s">
        <v>186</v>
      </c>
      <c r="L9" s="76"/>
      <c r="M9" s="76"/>
      <c r="N9" s="76"/>
      <c r="O9" s="76"/>
      <c r="P9" s="76"/>
      <c r="Q9" s="76"/>
      <c r="R9" s="76"/>
      <c r="S9" s="76"/>
      <c r="T9" s="76"/>
      <c r="U9" s="76"/>
      <c r="V9" s="76"/>
    </row>
    <row r="10" spans="1:22" ht="15.6">
      <c r="A10" s="30" t="str">
        <v>Sand Road</v>
      </c>
      <c r="B10" s="27" t="str">
        <v>CT</v>
      </c>
      <c r="C10" s="24">
        <v>319904</v>
      </c>
      <c r="D10" s="13">
        <v>300950.2</v>
      </c>
      <c r="E10" s="13">
        <f t="shared" si="0"/>
        <v>18953.799999999988</v>
      </c>
      <c r="F10" s="14">
        <f t="shared" si="3"/>
        <v>6.2979855138823593E-2</v>
      </c>
      <c r="G10" s="15">
        <v>277950</v>
      </c>
      <c r="H10" s="15">
        <f t="shared" si="1"/>
        <v>41954</v>
      </c>
      <c r="I10" s="16">
        <f>IFERROR(H10/G10, "")</f>
        <v>0.15094081669364995</v>
      </c>
      <c r="J10" s="38"/>
      <c r="K10" s="38"/>
      <c r="L10" s="76"/>
      <c r="M10" s="76"/>
      <c r="N10" s="76"/>
      <c r="O10" s="76"/>
      <c r="P10" s="76"/>
      <c r="Q10" s="76"/>
      <c r="R10" s="76"/>
      <c r="S10" s="76"/>
      <c r="T10" s="76"/>
      <c r="U10" s="76"/>
      <c r="V10" s="76"/>
    </row>
    <row r="11" spans="1:22" ht="43.15">
      <c r="A11" s="28" t="str">
        <v>Suffield</v>
      </c>
      <c r="B11" s="29" t="str">
        <v>CT</v>
      </c>
      <c r="C11" s="11">
        <v>308891</v>
      </c>
      <c r="D11" s="18">
        <v>293653.5</v>
      </c>
      <c r="E11" s="18">
        <f t="shared" si="0"/>
        <v>15237.5</v>
      </c>
      <c r="F11" s="19">
        <f t="shared" si="3"/>
        <v>5.1889386641058251E-2</v>
      </c>
      <c r="G11" s="20">
        <v>315921.2</v>
      </c>
      <c r="H11" s="20">
        <f t="shared" si="1"/>
        <v>-7030.2000000000116</v>
      </c>
      <c r="I11" s="19">
        <f t="shared" si="2"/>
        <v>-2.2253017524623265E-2</v>
      </c>
      <c r="J11" s="39" t="s">
        <v>187</v>
      </c>
      <c r="K11" s="75" t="s">
        <v>188</v>
      </c>
      <c r="L11" s="76"/>
      <c r="M11" s="76"/>
      <c r="N11" s="76"/>
      <c r="O11" s="76"/>
      <c r="P11" s="76"/>
      <c r="Q11" s="76"/>
      <c r="R11" s="76"/>
      <c r="S11" s="76"/>
      <c r="T11" s="76"/>
      <c r="U11" s="76"/>
      <c r="V11" s="76"/>
    </row>
    <row r="12" spans="1:22" ht="172.9">
      <c r="A12" s="30" t="str">
        <v>Ashby-Duffy</v>
      </c>
      <c r="B12" s="27" t="str">
        <v>MA</v>
      </c>
      <c r="C12" s="24">
        <v>293392</v>
      </c>
      <c r="D12" s="13">
        <v>387655.3</v>
      </c>
      <c r="E12" s="13">
        <f t="shared" si="0"/>
        <v>-94263.299999999988</v>
      </c>
      <c r="F12" s="14">
        <f t="shared" si="3"/>
        <v>-0.24316267570700051</v>
      </c>
      <c r="G12" s="15">
        <v>281840.8</v>
      </c>
      <c r="H12" s="15">
        <f t="shared" si="1"/>
        <v>11551.200000000012</v>
      </c>
      <c r="I12" s="16">
        <f t="shared" si="2"/>
        <v>4.098483966835182E-2</v>
      </c>
      <c r="J12" s="38" t="s">
        <v>189</v>
      </c>
      <c r="K12" s="72" t="s">
        <v>190</v>
      </c>
      <c r="L12" s="77" t="s">
        <v>191</v>
      </c>
      <c r="M12" s="77" t="s">
        <v>192</v>
      </c>
      <c r="N12" s="77" t="s">
        <v>193</v>
      </c>
      <c r="O12" s="76"/>
      <c r="P12" s="76"/>
      <c r="Q12" s="76"/>
      <c r="R12" s="76"/>
      <c r="S12" s="76"/>
      <c r="T12" s="76"/>
      <c r="U12" s="76"/>
      <c r="V12" s="76"/>
    </row>
    <row r="13" spans="1:22" ht="230.45">
      <c r="A13" s="28" t="str">
        <v>Ashland</v>
      </c>
      <c r="B13" s="29" t="str">
        <v>MA</v>
      </c>
      <c r="C13" s="11">
        <v>290755.5</v>
      </c>
      <c r="D13" s="18">
        <v>311890.3</v>
      </c>
      <c r="E13" s="18">
        <f t="shared" si="0"/>
        <v>-21134.799999999988</v>
      </c>
      <c r="F13" s="19">
        <f t="shared" si="3"/>
        <v>-6.7763569434509466E-2</v>
      </c>
      <c r="G13" s="20">
        <v>320735.90000000002</v>
      </c>
      <c r="H13" s="20">
        <f t="shared" si="1"/>
        <v>-29980.400000000023</v>
      </c>
      <c r="I13" s="19">
        <f t="shared" si="2"/>
        <v>-9.3473789494721418E-2</v>
      </c>
      <c r="J13" s="39" t="s">
        <v>194</v>
      </c>
      <c r="K13" s="73" t="s">
        <v>195</v>
      </c>
      <c r="L13" s="77" t="s">
        <v>103</v>
      </c>
      <c r="M13" s="77" t="s">
        <v>104</v>
      </c>
      <c r="N13" s="77" t="s">
        <v>105</v>
      </c>
      <c r="O13" s="77" t="s">
        <v>106</v>
      </c>
      <c r="P13" s="77" t="s">
        <v>107</v>
      </c>
      <c r="Q13" s="77" t="s">
        <v>110</v>
      </c>
      <c r="R13" s="77" t="s">
        <v>196</v>
      </c>
      <c r="S13" s="77" t="s">
        <v>197</v>
      </c>
      <c r="T13" s="77" t="s">
        <v>198</v>
      </c>
      <c r="U13" s="77" t="s">
        <v>199</v>
      </c>
      <c r="V13" s="76"/>
    </row>
    <row r="14" spans="1:22" ht="28.9">
      <c r="A14" s="30" t="str">
        <v>Barrington</v>
      </c>
      <c r="B14" s="27" t="str">
        <v>MA</v>
      </c>
      <c r="C14" s="24">
        <v>68255</v>
      </c>
      <c r="D14" s="13">
        <v>16516.580000000002</v>
      </c>
      <c r="E14" s="13">
        <f t="shared" si="0"/>
        <v>51738.42</v>
      </c>
      <c r="F14" s="14">
        <f t="shared" si="3"/>
        <v>3.1325141161184695</v>
      </c>
      <c r="G14" s="15">
        <v>68910</v>
      </c>
      <c r="H14" s="15">
        <f t="shared" si="1"/>
        <v>-655</v>
      </c>
      <c r="I14" s="16">
        <f t="shared" si="2"/>
        <v>-9.5051516470758962E-3</v>
      </c>
      <c r="J14" s="38" t="s">
        <v>200</v>
      </c>
      <c r="K14" s="72" t="s">
        <v>201</v>
      </c>
      <c r="L14" s="76"/>
      <c r="M14" s="76"/>
      <c r="N14" s="76"/>
      <c r="O14" s="76"/>
      <c r="P14" s="76"/>
      <c r="Q14" s="76"/>
      <c r="R14" s="76"/>
      <c r="S14" s="76"/>
      <c r="T14" s="76"/>
      <c r="U14" s="76"/>
      <c r="V14" s="76"/>
    </row>
    <row r="15" spans="1:22" ht="15.6">
      <c r="A15" s="28" t="str">
        <v>Bedford - 205 Burlington Rd</v>
      </c>
      <c r="B15" s="29" t="str">
        <v>MA</v>
      </c>
      <c r="C15" s="11">
        <v>35447</v>
      </c>
      <c r="D15" s="18" t="s">
        <v>171</v>
      </c>
      <c r="E15" s="18" t="str">
        <f t="shared" si="0"/>
        <v/>
      </c>
      <c r="F15" s="19" t="str">
        <f t="shared" si="3"/>
        <v/>
      </c>
      <c r="G15" s="67" t="s">
        <v>171</v>
      </c>
      <c r="H15" s="20" t="str">
        <f t="shared" si="1"/>
        <v/>
      </c>
      <c r="I15" s="19" t="str">
        <f t="shared" si="2"/>
        <v/>
      </c>
      <c r="J15" s="39"/>
      <c r="K15" s="39"/>
      <c r="L15" s="76"/>
      <c r="M15" s="76"/>
      <c r="N15" s="76"/>
      <c r="O15" s="76"/>
      <c r="P15" s="76"/>
      <c r="Q15" s="76"/>
      <c r="R15" s="76"/>
      <c r="S15" s="76"/>
      <c r="T15" s="76"/>
      <c r="U15" s="76"/>
      <c r="V15" s="76"/>
    </row>
    <row r="16" spans="1:22" ht="15.6">
      <c r="A16" s="30" t="str">
        <v>Billerica - 6 Cook Street</v>
      </c>
      <c r="B16" s="27" t="str">
        <v>MA</v>
      </c>
      <c r="C16" s="24">
        <v>31709</v>
      </c>
      <c r="D16" s="13" t="s">
        <v>171</v>
      </c>
      <c r="E16" s="13" t="str">
        <f t="shared" si="0"/>
        <v/>
      </c>
      <c r="F16" s="14" t="str">
        <f t="shared" si="3"/>
        <v/>
      </c>
      <c r="G16" s="68" t="s">
        <v>171</v>
      </c>
      <c r="H16" s="15" t="str">
        <f t="shared" si="1"/>
        <v/>
      </c>
      <c r="I16" s="16" t="str">
        <f t="shared" si="2"/>
        <v/>
      </c>
      <c r="J16" s="38"/>
      <c r="K16" s="38"/>
      <c r="L16" s="76"/>
      <c r="M16" s="76"/>
      <c r="N16" s="76"/>
      <c r="O16" s="76"/>
      <c r="P16" s="76"/>
      <c r="Q16" s="76"/>
      <c r="R16" s="76"/>
      <c r="S16" s="76"/>
      <c r="T16" s="76"/>
      <c r="U16" s="76"/>
      <c r="V16" s="76"/>
    </row>
    <row r="17" spans="1:22" ht="15.6">
      <c r="A17" s="28" t="str">
        <v>Billerica - 780 Boston Road</v>
      </c>
      <c r="B17" s="29" t="str">
        <v>MA</v>
      </c>
      <c r="C17" s="11">
        <v>36026</v>
      </c>
      <c r="D17" s="18" t="s">
        <v>171</v>
      </c>
      <c r="E17" s="18" t="str">
        <f t="shared" si="0"/>
        <v/>
      </c>
      <c r="F17" s="19" t="str">
        <f t="shared" si="3"/>
        <v/>
      </c>
      <c r="G17" s="67" t="s">
        <v>171</v>
      </c>
      <c r="H17" s="20" t="str">
        <f t="shared" si="1"/>
        <v/>
      </c>
      <c r="I17" s="19" t="str">
        <f t="shared" si="2"/>
        <v/>
      </c>
      <c r="J17" s="39"/>
      <c r="K17" s="39"/>
      <c r="L17" s="76"/>
      <c r="M17" s="76"/>
      <c r="N17" s="76"/>
      <c r="O17" s="76"/>
      <c r="P17" s="76"/>
      <c r="Q17" s="76"/>
      <c r="R17" s="76"/>
      <c r="S17" s="76"/>
      <c r="T17" s="76"/>
      <c r="U17" s="76"/>
      <c r="V17" s="76"/>
    </row>
    <row r="18" spans="1:22" ht="15.6">
      <c r="A18" s="30" t="str">
        <v>Cheshire</v>
      </c>
      <c r="B18" s="27" t="str">
        <v>MA</v>
      </c>
      <c r="C18" s="24">
        <v>69411.788825757802</v>
      </c>
      <c r="D18" s="13">
        <v>71712.759999999995</v>
      </c>
      <c r="E18" s="13">
        <f t="shared" si="0"/>
        <v>-2300.9711742421932</v>
      </c>
      <c r="F18" s="14">
        <f t="shared" si="3"/>
        <v>-3.208593804285588E-2</v>
      </c>
      <c r="G18" s="15">
        <v>47518.1</v>
      </c>
      <c r="H18" s="15">
        <f t="shared" si="1"/>
        <v>21893.688825757803</v>
      </c>
      <c r="I18" s="16">
        <f t="shared" si="2"/>
        <v>0.46074419696405799</v>
      </c>
      <c r="J18" s="38"/>
      <c r="K18" s="38"/>
      <c r="L18" s="76"/>
      <c r="M18" s="76"/>
      <c r="N18" s="76"/>
      <c r="O18" s="76"/>
      <c r="P18" s="76"/>
      <c r="Q18" s="76"/>
      <c r="R18" s="76"/>
      <c r="S18" s="76"/>
      <c r="T18" s="76"/>
      <c r="U18" s="76"/>
      <c r="V18" s="76"/>
    </row>
    <row r="19" spans="1:22" ht="15.6">
      <c r="A19" s="28" t="str">
        <v>Lilly Lane</v>
      </c>
      <c r="B19" s="29" t="str">
        <v>MA</v>
      </c>
      <c r="C19" s="11">
        <v>150553</v>
      </c>
      <c r="D19" s="18">
        <v>142040.5</v>
      </c>
      <c r="E19" s="18">
        <f t="shared" si="0"/>
        <v>8512.5</v>
      </c>
      <c r="F19" s="19">
        <f t="shared" si="3"/>
        <v>5.9930090361551808E-2</v>
      </c>
      <c r="G19">
        <v>159655.1</v>
      </c>
      <c r="H19" s="20">
        <f t="shared" si="1"/>
        <v>-9102.1000000000058</v>
      </c>
      <c r="I19" s="19">
        <f t="shared" si="2"/>
        <v>-5.701101937864813E-2</v>
      </c>
      <c r="J19" s="39" t="s">
        <v>202</v>
      </c>
      <c r="K19" s="75" t="s">
        <v>203</v>
      </c>
      <c r="L19" s="76"/>
      <c r="M19" s="76"/>
      <c r="N19" s="76"/>
      <c r="O19" s="76"/>
      <c r="P19" s="76"/>
      <c r="Q19" s="76"/>
      <c r="R19" s="76"/>
      <c r="S19" s="76"/>
      <c r="T19" s="76"/>
      <c r="U19" s="76"/>
      <c r="V19" s="76"/>
    </row>
    <row r="20" spans="1:22" ht="86.45">
      <c r="A20" s="30" t="str">
        <v>Monument Valley</v>
      </c>
      <c r="B20" s="27" t="str">
        <v>MA</v>
      </c>
      <c r="C20" s="24">
        <v>294118.67923076998</v>
      </c>
      <c r="D20" s="13">
        <v>66602.86</v>
      </c>
      <c r="E20" s="13">
        <f t="shared" si="0"/>
        <v>227515.81923076999</v>
      </c>
      <c r="F20" s="14">
        <f t="shared" si="3"/>
        <v>3.4160067485205587</v>
      </c>
      <c r="G20" s="68" t="s">
        <v>171</v>
      </c>
      <c r="H20" s="15" t="str">
        <f t="shared" si="1"/>
        <v/>
      </c>
      <c r="I20" s="16" t="str">
        <f t="shared" si="2"/>
        <v/>
      </c>
      <c r="J20" s="38" t="s">
        <v>204</v>
      </c>
      <c r="K20" s="72" t="s">
        <v>205</v>
      </c>
      <c r="L20" s="77" t="s">
        <v>121</v>
      </c>
      <c r="M20" s="76"/>
      <c r="N20" s="76"/>
      <c r="O20" s="76"/>
      <c r="P20" s="76"/>
      <c r="Q20" s="76"/>
      <c r="R20" s="76"/>
      <c r="S20" s="76"/>
      <c r="T20" s="76"/>
      <c r="U20" s="76"/>
      <c r="V20" s="76"/>
    </row>
    <row r="21" spans="1:22" ht="15.6">
      <c r="A21" s="28" t="str">
        <v>Nationwide</v>
      </c>
      <c r="B21" s="29" t="str">
        <v>MA</v>
      </c>
      <c r="C21" s="11">
        <v>525648</v>
      </c>
      <c r="D21" s="18">
        <v>470640.1</v>
      </c>
      <c r="E21" s="18">
        <f t="shared" si="0"/>
        <v>55007.900000000023</v>
      </c>
      <c r="F21" s="19">
        <f t="shared" si="3"/>
        <v>0.11687890598357434</v>
      </c>
      <c r="G21" s="20">
        <v>455456</v>
      </c>
      <c r="H21" s="20">
        <f t="shared" si="1"/>
        <v>70192</v>
      </c>
      <c r="I21" s="19">
        <f t="shared" si="2"/>
        <v>0.15411367947727114</v>
      </c>
      <c r="J21" s="39" t="s">
        <v>206</v>
      </c>
      <c r="K21" s="78" t="s">
        <v>207</v>
      </c>
      <c r="L21" s="76"/>
      <c r="M21" s="76"/>
      <c r="N21" s="76"/>
      <c r="O21" s="76"/>
      <c r="P21" s="76"/>
      <c r="Q21" s="76"/>
      <c r="R21" s="76"/>
      <c r="S21" s="76"/>
      <c r="T21" s="76"/>
      <c r="U21" s="76"/>
      <c r="V21" s="76"/>
    </row>
    <row r="22" spans="1:22" ht="140.25" customHeight="1">
      <c r="A22" s="56" t="str">
        <v>Pulpit Hill</v>
      </c>
      <c r="B22" s="27" t="str">
        <v>MA</v>
      </c>
      <c r="C22" s="24">
        <v>649245.25</v>
      </c>
      <c r="D22" s="13">
        <v>627559.4</v>
      </c>
      <c r="E22" s="13">
        <f t="shared" si="0"/>
        <v>21685.849999999977</v>
      </c>
      <c r="F22" s="14">
        <f t="shared" si="3"/>
        <v>3.4555852402178941E-2</v>
      </c>
      <c r="G22" s="15">
        <v>660610.69999999995</v>
      </c>
      <c r="H22" s="15">
        <f t="shared" si="1"/>
        <v>-11365.449999999953</v>
      </c>
      <c r="I22" s="16">
        <f t="shared" si="2"/>
        <v>-1.7204459449415448E-2</v>
      </c>
      <c r="J22" s="38" t="s">
        <v>208</v>
      </c>
      <c r="K22" s="72" t="s">
        <v>209</v>
      </c>
      <c r="L22" s="77" t="s">
        <v>129</v>
      </c>
      <c r="M22" s="77" t="s">
        <v>129</v>
      </c>
      <c r="N22" s="77" t="s">
        <v>127</v>
      </c>
      <c r="O22" s="77" t="s">
        <v>210</v>
      </c>
      <c r="P22" s="77" t="s">
        <v>126</v>
      </c>
      <c r="Q22" s="76"/>
      <c r="R22" s="76"/>
      <c r="S22" s="76"/>
      <c r="T22" s="76"/>
      <c r="U22" s="76"/>
      <c r="V22" s="76"/>
    </row>
    <row r="23" spans="1:22" ht="57.6">
      <c r="A23" s="28" t="str">
        <v>Sandwich</v>
      </c>
      <c r="B23" s="29" t="str">
        <v>MA</v>
      </c>
      <c r="C23" s="11">
        <v>353596</v>
      </c>
      <c r="D23" s="18">
        <v>303085</v>
      </c>
      <c r="E23" s="18">
        <f t="shared" si="0"/>
        <v>50511</v>
      </c>
      <c r="F23" s="19">
        <f t="shared" si="3"/>
        <v>0.16665621855255128</v>
      </c>
      <c r="G23" s="67">
        <v>495038</v>
      </c>
      <c r="H23" s="20">
        <f t="shared" si="1"/>
        <v>-141442</v>
      </c>
      <c r="I23" s="19">
        <f t="shared" si="2"/>
        <v>-0.28571948012071802</v>
      </c>
      <c r="J23" s="39" t="s">
        <v>211</v>
      </c>
      <c r="K23" s="79" t="s">
        <v>212</v>
      </c>
      <c r="L23" s="77" t="s">
        <v>213</v>
      </c>
      <c r="M23" s="76"/>
      <c r="N23" s="76"/>
      <c r="O23" s="76"/>
      <c r="P23" s="76"/>
      <c r="Q23" s="76"/>
      <c r="R23" s="76"/>
      <c r="S23" s="76"/>
      <c r="T23" s="76"/>
      <c r="U23" s="76"/>
      <c r="V23" s="76"/>
    </row>
    <row r="24" spans="1:22" ht="100.9">
      <c r="A24" s="30" t="str">
        <v>Sturbridge Barn</v>
      </c>
      <c r="B24" s="27" t="str">
        <v>MA</v>
      </c>
      <c r="C24" s="24">
        <v>154300</v>
      </c>
      <c r="D24" s="13">
        <v>157826.20000000001</v>
      </c>
      <c r="E24" s="13">
        <f t="shared" si="0"/>
        <v>-3526.2000000000116</v>
      </c>
      <c r="F24" s="14">
        <f t="shared" si="3"/>
        <v>-2.2342298046838936E-2</v>
      </c>
      <c r="G24" s="15">
        <v>172343</v>
      </c>
      <c r="H24" s="15">
        <f t="shared" si="1"/>
        <v>-18043</v>
      </c>
      <c r="I24" s="16">
        <f t="shared" si="2"/>
        <v>-0.10469238669397654</v>
      </c>
      <c r="J24" s="38" t="s">
        <v>214</v>
      </c>
      <c r="K24" s="72" t="s">
        <v>215</v>
      </c>
      <c r="L24" s="77" t="s">
        <v>216</v>
      </c>
      <c r="M24" s="77" t="s">
        <v>217</v>
      </c>
      <c r="N24" s="76"/>
      <c r="O24" s="76"/>
      <c r="P24" s="76"/>
      <c r="Q24" s="76"/>
      <c r="R24" s="76"/>
      <c r="S24" s="76"/>
      <c r="T24" s="76"/>
      <c r="U24" s="76"/>
      <c r="V24" s="76"/>
    </row>
    <row r="25" spans="1:22" ht="15.6">
      <c r="A25" s="28" t="str">
        <v>Sturbridge Garage</v>
      </c>
      <c r="B25" s="29" t="str">
        <v>MA</v>
      </c>
      <c r="C25" s="11">
        <v>77575.25</v>
      </c>
      <c r="D25" s="18">
        <v>75875.88</v>
      </c>
      <c r="E25" s="18">
        <f t="shared" si="0"/>
        <v>1699.3699999999953</v>
      </c>
      <c r="F25" s="19">
        <f t="shared" si="3"/>
        <v>2.2396708940970376E-2</v>
      </c>
      <c r="G25" s="20">
        <v>78866.2</v>
      </c>
      <c r="H25" s="20">
        <f t="shared" si="1"/>
        <v>-1290.9499999999971</v>
      </c>
      <c r="I25" s="19">
        <f t="shared" si="2"/>
        <v>-1.6368862706710823E-2</v>
      </c>
      <c r="J25" s="39"/>
      <c r="K25" s="39"/>
      <c r="L25" s="76"/>
      <c r="M25" s="76"/>
      <c r="N25" s="76"/>
      <c r="O25" s="76"/>
      <c r="P25" s="76"/>
      <c r="Q25" s="76"/>
      <c r="R25" s="76"/>
      <c r="S25" s="76"/>
      <c r="T25" s="76"/>
      <c r="U25" s="76"/>
      <c r="V25" s="76"/>
    </row>
    <row r="26" spans="1:22" ht="28.9">
      <c r="A26" s="30" t="str">
        <v>Halsey Valley</v>
      </c>
      <c r="B26" s="27" t="str">
        <v>NY</v>
      </c>
      <c r="C26" s="24">
        <v>746709</v>
      </c>
      <c r="D26" s="13">
        <v>764179.6</v>
      </c>
      <c r="E26" s="13">
        <f t="shared" si="0"/>
        <v>-17470.599999999977</v>
      </c>
      <c r="F26" s="14">
        <f t="shared" si="3"/>
        <v>-2.2861903144234651E-2</v>
      </c>
      <c r="G26" s="15">
        <v>697000</v>
      </c>
      <c r="H26" s="15">
        <f t="shared" si="1"/>
        <v>49709</v>
      </c>
      <c r="I26" s="16">
        <f t="shared" si="2"/>
        <v>7.1318507890961266E-2</v>
      </c>
      <c r="J26" s="38" t="s">
        <v>218</v>
      </c>
      <c r="K26" s="72" t="s">
        <v>219</v>
      </c>
      <c r="L26" s="76"/>
      <c r="M26" s="76"/>
      <c r="N26" s="76"/>
      <c r="O26" s="76"/>
      <c r="P26" s="76"/>
      <c r="Q26" s="76"/>
      <c r="R26" s="76"/>
      <c r="S26" s="76"/>
      <c r="T26" s="76"/>
      <c r="U26" s="76"/>
      <c r="V26" s="76"/>
    </row>
    <row r="27" spans="1:22" ht="144">
      <c r="A27" s="28" t="str">
        <v>Hunt Creek</v>
      </c>
      <c r="B27" s="29" t="str">
        <v>NY</v>
      </c>
      <c r="C27" s="11">
        <v>543121</v>
      </c>
      <c r="D27" s="18">
        <v>574757.30000000005</v>
      </c>
      <c r="E27" s="18">
        <f t="shared" si="0"/>
        <v>-31636.300000000047</v>
      </c>
      <c r="F27" s="19">
        <f t="shared" si="3"/>
        <v>-5.5042885057745322E-2</v>
      </c>
      <c r="G27" s="20">
        <v>498900</v>
      </c>
      <c r="H27" s="20">
        <f t="shared" si="1"/>
        <v>44221</v>
      </c>
      <c r="I27" s="19">
        <f t="shared" si="2"/>
        <v>8.8637001403086793E-2</v>
      </c>
      <c r="J27" s="49" t="s">
        <v>220</v>
      </c>
      <c r="K27" s="73" t="s">
        <v>221</v>
      </c>
      <c r="L27" s="77" t="s">
        <v>222</v>
      </c>
      <c r="M27" s="77" t="s">
        <v>223</v>
      </c>
      <c r="N27" s="77" t="s">
        <v>224</v>
      </c>
      <c r="O27" s="77" t="s">
        <v>225</v>
      </c>
      <c r="P27" s="76"/>
      <c r="Q27" s="76"/>
      <c r="R27" s="76"/>
      <c r="S27" s="76"/>
      <c r="T27" s="76"/>
      <c r="U27" s="76"/>
      <c r="V27" s="76"/>
    </row>
    <row r="28" spans="1:22" ht="28.9">
      <c r="A28" s="30" t="str">
        <v>Smith Creek</v>
      </c>
      <c r="B28" s="27" t="str">
        <v>NY</v>
      </c>
      <c r="C28" s="24">
        <v>595618</v>
      </c>
      <c r="D28" s="13">
        <v>619479.80000000005</v>
      </c>
      <c r="E28" s="13">
        <f t="shared" si="0"/>
        <v>-23861.800000000047</v>
      </c>
      <c r="F28" s="14">
        <f t="shared" si="3"/>
        <v>-3.8519092955089165E-2</v>
      </c>
      <c r="G28" s="15">
        <v>602155.1</v>
      </c>
      <c r="H28" s="15">
        <f t="shared" si="1"/>
        <v>-6537.0999999999767</v>
      </c>
      <c r="I28" s="16">
        <f t="shared" si="2"/>
        <v>-1.0856173102245546E-2</v>
      </c>
      <c r="J28" s="38" t="s">
        <v>226</v>
      </c>
      <c r="K28" s="72" t="s">
        <v>227</v>
      </c>
      <c r="L28" s="76"/>
      <c r="M28" s="76"/>
      <c r="N28" s="76"/>
      <c r="O28" s="76"/>
      <c r="P28" s="76"/>
      <c r="Q28" s="76"/>
      <c r="R28" s="76"/>
      <c r="S28" s="76"/>
      <c r="T28" s="76"/>
      <c r="U28" s="76"/>
      <c r="V28" s="76"/>
    </row>
    <row r="29" spans="1:22" ht="100.9">
      <c r="A29" s="28" t="str">
        <v>Bradford - 256 Presidential Dr</v>
      </c>
      <c r="B29" s="29" t="str">
        <v>MA</v>
      </c>
      <c r="C29" s="11">
        <v>645415</v>
      </c>
      <c r="D29" s="18">
        <v>608236.90709999995</v>
      </c>
      <c r="E29" s="18">
        <f t="shared" si="0"/>
        <v>37178.092900000047</v>
      </c>
      <c r="F29" s="19">
        <f t="shared" si="3"/>
        <v>6.112436201423669E-2</v>
      </c>
      <c r="G29" s="20">
        <v>670083.4</v>
      </c>
      <c r="H29" s="20">
        <f t="shared" si="1"/>
        <v>-24668.400000000023</v>
      </c>
      <c r="I29" s="19">
        <f t="shared" si="2"/>
        <v>-3.6813924953222277E-2</v>
      </c>
      <c r="J29" s="49" t="s">
        <v>228</v>
      </c>
      <c r="K29" s="73" t="s">
        <v>229</v>
      </c>
      <c r="L29" s="77" t="s">
        <v>145</v>
      </c>
      <c r="M29" s="77" t="s">
        <v>230</v>
      </c>
      <c r="N29" s="77" t="s">
        <v>231</v>
      </c>
      <c r="O29" s="77" t="s">
        <v>232</v>
      </c>
      <c r="P29" s="76"/>
      <c r="Q29" s="76"/>
      <c r="R29" s="76"/>
      <c r="S29" s="76"/>
      <c r="T29" s="76"/>
      <c r="U29" s="76"/>
      <c r="V29" s="76"/>
    </row>
    <row r="30" spans="1:22" ht="28.9">
      <c r="A30" s="30" t="str">
        <v>Charlton – 111 Brookfield Road - Bus Lot</v>
      </c>
      <c r="B30" s="27" t="str">
        <v>MA</v>
      </c>
      <c r="C30" s="24">
        <v>75634</v>
      </c>
      <c r="D30" s="13">
        <v>60424.000590000003</v>
      </c>
      <c r="E30" s="13">
        <f t="shared" si="0"/>
        <v>15209.999409999997</v>
      </c>
      <c r="F30" s="14">
        <f t="shared" si="3"/>
        <v>0.2517211581736481</v>
      </c>
      <c r="G30" s="15">
        <v>80041.66</v>
      </c>
      <c r="H30" s="15">
        <f t="shared" si="1"/>
        <v>-4407.6600000000035</v>
      </c>
      <c r="I30" s="16">
        <f t="shared" si="2"/>
        <v>-5.5067073821307592E-2</v>
      </c>
      <c r="J30" s="38" t="s">
        <v>233</v>
      </c>
      <c r="K30" s="72" t="s">
        <v>234</v>
      </c>
      <c r="L30" s="76"/>
      <c r="M30" s="76"/>
      <c r="N30" s="76"/>
      <c r="O30" s="76"/>
      <c r="P30" s="76"/>
      <c r="Q30" s="76"/>
      <c r="R30" s="76"/>
      <c r="S30" s="76"/>
      <c r="T30" s="76"/>
      <c r="U30" s="76"/>
      <c r="V30" s="76"/>
    </row>
    <row r="31" spans="1:22" ht="86.45">
      <c r="A31" s="28" t="str">
        <v>Charlton – 154 Center Depot Road KMARD</v>
      </c>
      <c r="B31" s="29" t="str">
        <v>MA</v>
      </c>
      <c r="C31" s="11">
        <v>54420</v>
      </c>
      <c r="D31" s="18">
        <v>69917.395189999996</v>
      </c>
      <c r="E31" s="18">
        <f t="shared" si="0"/>
        <v>-15497.395189999996</v>
      </c>
      <c r="F31" s="19">
        <f t="shared" si="3"/>
        <v>-0.22165292554000246</v>
      </c>
      <c r="G31" s="20">
        <v>78110.62</v>
      </c>
      <c r="H31" s="20">
        <f t="shared" si="1"/>
        <v>-23690.619999999995</v>
      </c>
      <c r="I31" s="19">
        <f t="shared" si="2"/>
        <v>-0.30329576183110563</v>
      </c>
      <c r="J31" s="49" t="s">
        <v>235</v>
      </c>
      <c r="K31" s="73" t="s">
        <v>236</v>
      </c>
      <c r="L31" s="77" t="s">
        <v>237</v>
      </c>
      <c r="M31" s="77" t="s">
        <v>238</v>
      </c>
      <c r="N31" s="76"/>
      <c r="O31" s="76"/>
      <c r="P31" s="76"/>
      <c r="Q31" s="76"/>
      <c r="R31" s="76"/>
      <c r="S31" s="76"/>
      <c r="T31" s="76"/>
      <c r="U31" s="76"/>
      <c r="V31" s="76"/>
    </row>
    <row r="32" spans="1:22" ht="43.15">
      <c r="A32" s="30" t="str">
        <v>Charlton – 142A Brookfield Rd (Mitchell)</v>
      </c>
      <c r="B32" s="27" t="str">
        <v>MA</v>
      </c>
      <c r="C32" s="24">
        <v>70420</v>
      </c>
      <c r="D32" s="13">
        <v>76380.458530000004</v>
      </c>
      <c r="E32" s="13">
        <f t="shared" si="0"/>
        <v>-5960.4585300000035</v>
      </c>
      <c r="F32" s="14">
        <f t="shared" si="3"/>
        <v>-7.8036432939963443E-2</v>
      </c>
      <c r="G32" s="15">
        <v>80313.94</v>
      </c>
      <c r="H32" s="15">
        <f t="shared" si="1"/>
        <v>-9893.9400000000023</v>
      </c>
      <c r="I32" s="16">
        <f t="shared" si="2"/>
        <v>-0.12319081843077306</v>
      </c>
      <c r="J32" s="38" t="s">
        <v>239</v>
      </c>
      <c r="K32" s="72" t="s">
        <v>240</v>
      </c>
      <c r="L32" s="76"/>
      <c r="M32" s="76"/>
      <c r="N32" s="76"/>
      <c r="O32" s="76"/>
      <c r="P32" s="76"/>
      <c r="Q32" s="76"/>
      <c r="R32" s="76"/>
      <c r="S32" s="76"/>
      <c r="T32" s="76"/>
      <c r="U32" s="76"/>
      <c r="V32" s="76"/>
    </row>
    <row r="33" spans="1:22" ht="141.75" customHeight="1">
      <c r="A33" s="28" t="str">
        <v>Great Barrington – 3 Nolan  Drive</v>
      </c>
      <c r="B33" s="29" t="str">
        <v>MA</v>
      </c>
      <c r="C33" s="11">
        <v>145285.49669999999</v>
      </c>
      <c r="D33" s="18">
        <v>155216.53880000001</v>
      </c>
      <c r="E33" s="18">
        <f t="shared" si="0"/>
        <v>-9931.0421000000206</v>
      </c>
      <c r="F33" s="19">
        <f t="shared" si="3"/>
        <v>-6.398185513462834E-2</v>
      </c>
      <c r="G33" s="20">
        <v>161684.64000000001</v>
      </c>
      <c r="H33" s="20">
        <f t="shared" si="1"/>
        <v>-16399.143300000025</v>
      </c>
      <c r="I33" s="19">
        <f t="shared" si="2"/>
        <v>-0.1014267236516717</v>
      </c>
      <c r="J33" s="49" t="s">
        <v>241</v>
      </c>
      <c r="K33" s="73" t="s">
        <v>242</v>
      </c>
      <c r="L33" s="77" t="s">
        <v>243</v>
      </c>
      <c r="M33" s="77" t="s">
        <v>244</v>
      </c>
      <c r="N33" s="77" t="s">
        <v>245</v>
      </c>
      <c r="O33" s="76"/>
      <c r="P33" s="76"/>
      <c r="Q33" s="76"/>
      <c r="R33" s="76"/>
      <c r="S33" s="76"/>
      <c r="T33" s="76"/>
      <c r="U33" s="76"/>
      <c r="V33" s="76"/>
    </row>
    <row r="34" spans="1:22" ht="86.45">
      <c r="A34" s="30" t="str">
        <v>Stockbridge – 92 State Line Road Truck Stop</v>
      </c>
      <c r="B34" s="27" t="str">
        <v>MA</v>
      </c>
      <c r="C34" s="24">
        <v>286134</v>
      </c>
      <c r="D34" s="13">
        <v>297249.0491</v>
      </c>
      <c r="E34" s="13">
        <f t="shared" si="0"/>
        <v>-11115.049100000004</v>
      </c>
      <c r="F34" s="14">
        <f t="shared" si="3"/>
        <v>-3.7393051831969691E-2</v>
      </c>
      <c r="G34" s="15">
        <v>333008.07</v>
      </c>
      <c r="H34" s="15">
        <f t="shared" si="1"/>
        <v>-46874.070000000007</v>
      </c>
      <c r="I34" s="16">
        <f t="shared" si="2"/>
        <v>-0.14075956177278229</v>
      </c>
      <c r="J34" s="38" t="s">
        <v>246</v>
      </c>
      <c r="K34" s="72" t="s">
        <v>247</v>
      </c>
      <c r="L34" s="77" t="s">
        <v>248</v>
      </c>
      <c r="M34" s="77" t="s">
        <v>249</v>
      </c>
      <c r="N34" s="76"/>
      <c r="O34" s="76"/>
      <c r="P34" s="76"/>
      <c r="Q34" s="76"/>
      <c r="R34" s="76"/>
      <c r="S34" s="76"/>
      <c r="T34" s="76"/>
      <c r="U34" s="76"/>
      <c r="V34" s="76"/>
    </row>
    <row r="35" spans="1:22" ht="14.45">
      <c r="A35" s="21"/>
      <c r="B35" s="31"/>
      <c r="C35" s="21"/>
      <c r="D35" s="21"/>
      <c r="E35" s="21"/>
      <c r="F35" s="21"/>
      <c r="G35" s="21"/>
      <c r="H35" s="21"/>
      <c r="I35" s="21"/>
      <c r="J35" s="21"/>
      <c r="K35" s="21"/>
    </row>
    <row r="36" spans="1:22" ht="14.45">
      <c r="A36" s="21"/>
      <c r="B36" s="31"/>
      <c r="C36" s="21"/>
      <c r="D36" s="21"/>
      <c r="E36" s="21"/>
      <c r="F36" s="22"/>
      <c r="G36" s="21"/>
      <c r="H36" s="21"/>
      <c r="I36" s="22"/>
      <c r="J36" s="21"/>
      <c r="K36" s="21"/>
    </row>
    <row r="37" spans="1:22" ht="14.45">
      <c r="A37" s="21"/>
      <c r="B37" s="31"/>
      <c r="C37" s="21"/>
      <c r="D37" s="21"/>
      <c r="E37" s="21"/>
      <c r="F37" s="22"/>
      <c r="G37" s="21"/>
      <c r="H37" s="21"/>
      <c r="I37" s="22"/>
      <c r="J37" s="21"/>
      <c r="K37" s="21"/>
    </row>
    <row r="38" spans="1:22" ht="14.45">
      <c r="A38" s="21"/>
      <c r="B38" s="31"/>
      <c r="C38" s="21"/>
      <c r="D38" s="21"/>
      <c r="E38" s="21"/>
      <c r="F38" s="22"/>
      <c r="G38" s="21"/>
      <c r="H38" s="21"/>
      <c r="I38" s="22"/>
      <c r="J38" s="21"/>
      <c r="K38" s="21"/>
    </row>
    <row r="39" spans="1:22" ht="14.45">
      <c r="A39" s="21"/>
      <c r="B39" s="31"/>
      <c r="C39" s="21"/>
      <c r="D39" s="21"/>
      <c r="E39" s="21"/>
      <c r="F39" s="22"/>
      <c r="G39" s="21"/>
      <c r="H39" s="21"/>
      <c r="I39" s="22"/>
      <c r="J39" s="21"/>
      <c r="K39" s="21"/>
    </row>
    <row r="40" spans="1:22" ht="14.45">
      <c r="A40" s="21"/>
      <c r="B40" s="31"/>
      <c r="C40" s="21"/>
      <c r="D40" s="21"/>
      <c r="E40" s="21"/>
      <c r="F40" s="22"/>
      <c r="G40" s="21"/>
      <c r="H40" s="21"/>
      <c r="I40" s="22"/>
      <c r="J40" s="21"/>
      <c r="K40" s="21"/>
    </row>
    <row r="41" spans="1:22" ht="14.45">
      <c r="A41" s="21"/>
      <c r="B41" s="31"/>
      <c r="C41" s="21"/>
      <c r="D41" s="21"/>
      <c r="E41" s="21"/>
      <c r="F41" s="22"/>
      <c r="G41" s="21"/>
      <c r="H41" s="21"/>
      <c r="I41" s="22"/>
      <c r="J41" s="21"/>
      <c r="K41" s="21"/>
    </row>
    <row r="42" spans="1:22" ht="14.45">
      <c r="A42" s="21"/>
      <c r="B42" s="31"/>
      <c r="C42" s="21"/>
      <c r="D42" s="21"/>
      <c r="E42" s="21"/>
      <c r="F42" s="22"/>
      <c r="G42" s="21"/>
      <c r="H42" s="21"/>
      <c r="I42" s="22"/>
      <c r="J42" s="21"/>
      <c r="K42" s="21"/>
    </row>
    <row r="43" spans="1:22" ht="14.45">
      <c r="A43" s="21"/>
      <c r="B43" s="31"/>
      <c r="C43" s="21"/>
      <c r="D43" s="21"/>
      <c r="E43" s="21"/>
      <c r="F43" s="22"/>
      <c r="G43" s="21"/>
      <c r="H43" s="21"/>
      <c r="I43" s="22"/>
      <c r="J43" s="21"/>
      <c r="K43" s="21"/>
    </row>
    <row r="44" spans="1:22" ht="14.45">
      <c r="A44" s="21"/>
      <c r="B44" s="31"/>
      <c r="C44" s="21"/>
      <c r="D44" s="21"/>
      <c r="E44" s="21"/>
      <c r="F44" s="22"/>
      <c r="G44" s="21"/>
      <c r="H44" s="21"/>
      <c r="I44" s="22"/>
      <c r="J44" s="21"/>
      <c r="K44" s="21"/>
    </row>
    <row r="45" spans="1:22" ht="14.45">
      <c r="A45" s="21"/>
      <c r="B45" s="31"/>
      <c r="C45" s="21"/>
      <c r="D45" s="21"/>
      <c r="E45" s="21"/>
      <c r="F45" s="22"/>
      <c r="G45" s="21"/>
      <c r="H45" s="21"/>
      <c r="I45" s="22"/>
      <c r="J45" s="21"/>
      <c r="K45" s="21"/>
    </row>
    <row r="46" spans="1:22" ht="14.45">
      <c r="A46" s="21"/>
      <c r="B46" s="31"/>
      <c r="C46" s="21"/>
      <c r="D46" s="21"/>
      <c r="E46" s="21"/>
      <c r="F46" s="22"/>
      <c r="G46" s="21"/>
      <c r="H46" s="21"/>
      <c r="I46" s="22"/>
      <c r="J46" s="21"/>
      <c r="K46" s="21"/>
    </row>
    <row r="47" spans="1:22" ht="14.45">
      <c r="A47" s="21"/>
      <c r="B47" s="31"/>
      <c r="C47" s="21"/>
      <c r="D47" s="21"/>
      <c r="E47" s="21"/>
      <c r="F47" s="22"/>
      <c r="G47" s="21"/>
      <c r="H47" s="21"/>
      <c r="I47" s="22"/>
      <c r="J47" s="21"/>
      <c r="K47" s="21"/>
    </row>
    <row r="48" spans="1:2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5" priority="3" stopIfTrue="1" operator="lessThanOrEqual">
      <formula>-0.1</formula>
    </cfRule>
    <cfRule type="expression" dxfId="44" priority="4">
      <formula>AND(ISNUMBER(F2), F2&gt;=0.1)</formula>
    </cfRule>
  </conditionalFormatting>
  <conditionalFormatting sqref="F4:F103 I4:I103">
    <cfRule type="cellIs" dxfId="43" priority="1" stopIfTrue="1" operator="lessThanOrEqual">
      <formula>-0.1</formula>
    </cfRule>
    <cfRule type="expression" dxfId="42" priority="2">
      <formula>AND(ISNUMBER(F4), F4&gt;=0.1)</formula>
    </cfRule>
  </conditionalFormatting>
  <hyperlinks>
    <hyperlink ref="K4" r:id="rId1" display="https://us3.assetplanner.com/service_request?ID=098455" xr:uid="{731FFE9B-2235-43C0-A67C-5582240C5B8D}"/>
    <hyperlink ref="L4" r:id="rId2" display="https://us3.assetplanner.com/service_request?ID=095215" xr:uid="{6FC86820-8B17-4F99-8985-E3DB29B65240}"/>
    <hyperlink ref="K6" r:id="rId3" display="https://us3.assetplanner.com/service_request?ID=097792" xr:uid="{66A647C8-5DF4-4505-86FB-5AF30F577922}"/>
    <hyperlink ref="L6" r:id="rId4" display="https://us3.assetplanner.com/service_request?ID=098395" xr:uid="{E567B2F0-EA96-42CB-8DF2-40F6034B9067}"/>
    <hyperlink ref="M6" r:id="rId5" display="https://us3.assetplanner.com/service_request?ID=098889" xr:uid="{4492A15C-EBFD-41D3-9EF9-11757ABB4BD1}"/>
    <hyperlink ref="K7" r:id="rId6" display="https://us3.assetplanner.com/service_request?ID=096465" xr:uid="{DD8934F9-619A-4469-8D19-5DF94CEDA9F7}"/>
    <hyperlink ref="L7" r:id="rId7" display="https://us3.assetplanner.com/service_request?ID=098890" xr:uid="{38D38780-DBED-4999-BF95-FC867F73EDC3}"/>
    <hyperlink ref="K8" r:id="rId8" display="https://us3.assetplanner.com/service_request?ID=098238" xr:uid="{57669F5B-BBB4-4C9A-897A-177F681AED36}"/>
    <hyperlink ref="L8" r:id="rId9" display="https://us3.assetplanner.com/service_request?ID=098398" xr:uid="{84CAAF79-103C-4FBB-8CE4-B6F167BF8C38}"/>
    <hyperlink ref="M8" r:id="rId10" display="https://us3.assetplanner.com/service_request?ID=098862" xr:uid="{234225F1-94F3-4147-81A3-6E2A5CD7B3B5}"/>
    <hyperlink ref="N8" r:id="rId11" display="https://us3.assetplanner.com/service_request?ID=098926" xr:uid="{8D6C0159-8A55-4965-8A3E-4EB29AA91F6F}"/>
    <hyperlink ref="O8" r:id="rId12" display="https://us3.assetplanner.com/service_request?ID=099192" xr:uid="{4190096E-EC3B-4A2D-A31A-A20B1C89DE17}"/>
    <hyperlink ref="K9" r:id="rId13" display="https://us3.assetplanner.com/service_request?ID=095513" xr:uid="{799FFB21-1AF1-4A59-95AD-D99CDB313DA7}"/>
    <hyperlink ref="K11" r:id="rId14" display="https://us3.assetplanner.com/service_request?ID=099128" xr:uid="{5DDEA7B6-72BE-4FE5-A812-0CBA1DB1B825}"/>
    <hyperlink ref="K12" r:id="rId15" display="https://us3.assetplanner.com/service_request?ID=097797" xr:uid="{C72E8391-CB2E-4E88-9418-97D223FEA029}"/>
    <hyperlink ref="L12" r:id="rId16" display="https://us3.assetplanner.com/service_request?ID=098200" xr:uid="{6483B173-8FD1-4F35-93F2-E04DD4962B72}"/>
    <hyperlink ref="M12" r:id="rId17" display="https://us3.assetplanner.com/service_request?ID=098383" xr:uid="{B537BA9F-E04E-44F6-B89F-17F5D95A74E5}"/>
    <hyperlink ref="N12" r:id="rId18" display="https://us3.assetplanner.com/service_request?ID=098407" xr:uid="{4B0EC1ED-FBF7-4AA2-AD8F-9FB9F1CBEF43}"/>
    <hyperlink ref="K13" r:id="rId19" display="https://us3.assetplanner.com/service_request?ID=088450" xr:uid="{41ACD2B9-7756-42FE-ACC1-337A9FDD2D56}"/>
    <hyperlink ref="L13" r:id="rId20" display="https://us3.assetplanner.com/service_request?ID=088450" xr:uid="{E9D1805A-9FF8-4FB9-90A6-2F13053F0A51}"/>
    <hyperlink ref="M13" r:id="rId21" display="https://us3.assetplanner.com/service_request?ID=091962" xr:uid="{88C7C96D-7A72-4B26-AB99-B671BE01837D}"/>
    <hyperlink ref="N13" r:id="rId22" display="https://us3.assetplanner.com/service_request?ID=093117" xr:uid="{50DA7D04-FF2F-46E5-B472-FFE89068EA1E}"/>
    <hyperlink ref="O13" r:id="rId23" display="https://us3.assetplanner.com/service_request?ID=097799" xr:uid="{73AA2687-0957-4D87-A057-F27AE36E6406}"/>
    <hyperlink ref="P13" r:id="rId24" display="https://us3.assetplanner.com/service_request?ID=095816" xr:uid="{8FF460D1-B40F-4BD0-BCB4-BD420C95A4AB}"/>
    <hyperlink ref="Q13" r:id="rId25" display="https://us3.assetplanner.com/service_request?ID=097060" xr:uid="{A1F3763D-E0ED-4202-944E-87C81CD5AEED}"/>
    <hyperlink ref="R13" r:id="rId26" display="https://us3.assetplanner.com/service_request?ID=097563" xr:uid="{B615D966-E24A-4344-9C4B-F10D6BF0A48E}"/>
    <hyperlink ref="S13" r:id="rId27" display="https://us3.assetplanner.com/service_request?ID=098396" xr:uid="{DAFF4363-8923-4926-AE18-50CC8F62937E}"/>
    <hyperlink ref="T13" r:id="rId28" display="https://us3.assetplanner.com/service_request?ID=098679" xr:uid="{617DB2A1-DE0A-46B6-9DA4-CFEF67CFB89A}"/>
    <hyperlink ref="U13" r:id="rId29" display="https://us3.assetplanner.com/service_request?ID=098821" xr:uid="{946675D4-0AA9-417A-91C9-C75AD7A2C0CB}"/>
    <hyperlink ref="K14" r:id="rId30" display="https://us3.assetplanner.com/service_request?ID=099616" xr:uid="{D7A3427F-55E4-423D-A07D-9481EF0BDFBA}"/>
    <hyperlink ref="K19" r:id="rId31" display="https://us3.assetplanner.com/service_request?ID=097795" xr:uid="{28687456-4DD3-4FD8-9FE0-7BF1F6E70A9E}"/>
    <hyperlink ref="K20" r:id="rId32" display="https://us3.assetplanner.com/service_request?ID=098250" xr:uid="{7CF9DEC0-AAF4-4E41-BD2D-D492AA67EEAD}"/>
    <hyperlink ref="L20" r:id="rId33" display="https://us3.assetplanner.com/service_request?ID=087370" xr:uid="{76A500D7-CF14-4556-B03D-B34434D2D3FB}"/>
    <hyperlink ref="K21" r:id="rId34" display="https://us3.assetplanner.com/service_request?ID=097881" xr:uid="{89796792-735C-47EC-854C-14D2ED3BA251}"/>
    <hyperlink ref="K22" r:id="rId35" display="https://us3.assetplanner.com/service_request?ID=095984" xr:uid="{8B7CFADC-140A-4FB6-8BC4-0855CF9780D8}"/>
    <hyperlink ref="L22" r:id="rId36" display="https://us3.assetplanner.com/service_request?ID=097793" xr:uid="{DE44C26C-3A1E-4DF4-BC6C-F072396114E7}"/>
    <hyperlink ref="M22" r:id="rId37" display="https://us3.assetplanner.com/service_request?ID=097793" xr:uid="{A8E2FF1E-3C63-4614-80B9-4D7C5C218DB6}"/>
    <hyperlink ref="N22" r:id="rId38" display="https://us3.assetplanner.com/service_request?ID=095984" xr:uid="{A5136015-AF73-4FE9-A460-AF260A1FFD7A}"/>
    <hyperlink ref="O22" r:id="rId39" display="https://us3.assetplanner.com/service_request?ID=093591" xr:uid="{F4979AEB-B483-41A0-B89B-36B970E97F62}"/>
    <hyperlink ref="P22" r:id="rId40" display="https://us3.assetplanner.com/service_request?ID=097798" xr:uid="{79319FD0-7AD6-42B7-8D75-8A016A3055A3}"/>
    <hyperlink ref="K23" r:id="rId41" display="https://us3.assetplanner.com/service_request?ID=098286" xr:uid="{CC2B730E-8915-485B-99FE-3A7244246B5C}"/>
    <hyperlink ref="L23" r:id="rId42" display="https://us3.assetplanner.com/service_request?ID=098405" xr:uid="{F21C8FA1-D7D1-48A8-BAE1-EBE90FB971DF}"/>
    <hyperlink ref="K24" r:id="rId43" display="https://us3.assetplanner.com/service_request?ID=097966" xr:uid="{1AFF0E91-5D42-46BC-83AE-B625ECF3729E}"/>
    <hyperlink ref="L24" r:id="rId44" display="https://us3.assetplanner.com/service_request?ID=098186" xr:uid="{8FBBF620-76BA-4C44-B9DC-F8F6C2E17359}"/>
    <hyperlink ref="M24" r:id="rId45" display="https://us3.assetplanner.com/service_request?ID=098223" xr:uid="{1C9A9652-DC5A-48AC-AFC4-FB64D611223B}"/>
    <hyperlink ref="K26" r:id="rId46" display="https://us3.assetplanner.com/service_request?ID=098333" xr:uid="{399E783E-4FC6-44D6-B537-111ADCD210A6}"/>
    <hyperlink ref="K27" r:id="rId47" display="https://us3.assetplanner.com/service_request?ID=094254" xr:uid="{10EBAFE5-E688-4509-BDBA-7BE783986D1B}"/>
    <hyperlink ref="L27" r:id="rId48" display="https://us3.assetplanner.com/service_request?ID=095965" xr:uid="{DE3F4E0C-BA69-45A3-9AB6-E0445B15E086}"/>
    <hyperlink ref="M27" r:id="rId49" display="https://us3.assetplanner.com/service_request?ID=098301" xr:uid="{6891BFCA-B194-475E-B606-5828D5E67830}"/>
    <hyperlink ref="N27" r:id="rId50" display="https://us3.assetplanner.com/service_request?ID=098316" xr:uid="{83260963-614F-4D6B-9973-57B0388858D6}"/>
    <hyperlink ref="O27" r:id="rId51" display="https://us3.assetplanner.com/service_request?ID=098993" xr:uid="{18E92D1E-EF07-4CDD-B073-B7ED16751ACD}"/>
    <hyperlink ref="K28" r:id="rId52" display="https://us3.assetplanner.com/service_request?ID=098300" xr:uid="{ABF74FF4-E829-4B1D-8370-111EC540A4FF}"/>
    <hyperlink ref="K29" r:id="rId53" display="https://us3.assetplanner.com/service_request?ID=096051" xr:uid="{54F90073-7239-4B32-9525-B19BCAFADCAB}"/>
    <hyperlink ref="L29" r:id="rId54" display="https://us3.assetplanner.com/service_request?ID=097794" xr:uid="{786F6CBF-ABE0-4B48-B0F9-0D443B3F676E}"/>
    <hyperlink ref="M29" r:id="rId55" display="https://us3.assetplanner.com/service_request?ID=099300" xr:uid="{F446BF22-E36A-4B95-8153-E8671AC0EB34}"/>
    <hyperlink ref="N29" r:id="rId56" display="https://us3.assetplanner.com/service_request?ID=098265" xr:uid="{6B43FFF5-2559-4C24-80C0-FD24556676DC}"/>
    <hyperlink ref="O29" r:id="rId57" display="https://us3.assetplanner.com/service_request?ID=098601" xr:uid="{C78C6AE4-6FFB-49C1-B1AC-02AE8A145CCE}"/>
    <hyperlink ref="K30" r:id="rId58" display="https://us3.assetplanner.com/service_request?ID=098211" xr:uid="{F96A3677-5B76-46EB-9894-87BAF69267B1}"/>
    <hyperlink ref="K31" r:id="rId59" display="https://us3.assetplanner.com/service_request?ID=096880" xr:uid="{42C0D706-A117-4655-934E-229358FFF9B4}"/>
    <hyperlink ref="L31" r:id="rId60" display="https://us3.assetplanner.com/service_request?ID=098203" xr:uid="{DC4BFF1D-177C-4CF8-A7B5-636615C3BB72}"/>
    <hyperlink ref="M31" r:id="rId61" display="https://us3.assetplanner.com/service_request?ID=098685" xr:uid="{B990F3CE-72D3-4435-9087-CCF5A4CC4AD0}"/>
    <hyperlink ref="K32" r:id="rId62" display="https://us3.assetplanner.com/service_request?ID=098182" xr:uid="{1B5979AF-A42E-4836-9DB2-E8CE598BBB7A}"/>
    <hyperlink ref="K33" r:id="rId63" display="https://us3.assetplanner.com/service_request?ID=097843" xr:uid="{9B80EFD6-10C9-4EAB-BAF2-C4FF6D46CDDB}"/>
    <hyperlink ref="L33" r:id="rId64" display="https://us3.assetplanner.com/service_request?ID=098468" xr:uid="{534D4FFF-1021-4A79-9793-B1BF31A34767}"/>
    <hyperlink ref="M33" r:id="rId65" display="https://us3.assetplanner.com/service_request?ID=098503" xr:uid="{B1A68A55-94ED-4A41-AF70-A7EF89BD0B95}"/>
    <hyperlink ref="N33" r:id="rId66" display="https://us3.assetplanner.com/service_request?ID=098604" xr:uid="{13822243-7A4F-4F4B-8DC7-D3DCD9232412}"/>
    <hyperlink ref="K34" r:id="rId67" display="https://us3.assetplanner.com/service_request?ID=098230" xr:uid="{6535E25B-AE02-48FC-9337-6DDB06A7C9EF}"/>
    <hyperlink ref="L34" r:id="rId68" display="https://us3.assetplanner.com/service_request?ID=098492" xr:uid="{782BBE99-2E1A-4A24-9B25-C87310AF26FF}"/>
    <hyperlink ref="M34" r:id="rId69" display="https://us3.assetplanner.com/service_request?ID=099148" xr:uid="{E6C4A321-1B01-487C-9A92-E779DF592F9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U345"/>
  <sheetViews>
    <sheetView zoomScale="70" zoomScaleNormal="70" workbookViewId="0">
      <pane xSplit="2" ySplit="3" topLeftCell="C22" activePane="bottomRight" state="frozen"/>
      <selection pane="bottomRight" activeCell="E23" sqref="E2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 min="13" max="13" width="11.85546875" customWidth="1"/>
    <col min="14" max="14" width="11.7109375" customWidth="1"/>
  </cols>
  <sheetData>
    <row r="1" spans="1:21" ht="19.5" customHeight="1">
      <c r="A1" s="87" t="str" cm="1">
        <f t="array" ref="A1">portfolio</f>
        <v>Lodestar</v>
      </c>
      <c r="B1" s="87"/>
      <c r="C1" s="87"/>
      <c r="D1" s="88" t="s">
        <v>250</v>
      </c>
      <c r="E1" s="88"/>
      <c r="F1" s="88"/>
      <c r="G1" s="86" t="s">
        <v>251</v>
      </c>
      <c r="H1" s="86"/>
      <c r="I1" s="86"/>
      <c r="J1" s="4"/>
      <c r="K1" s="4"/>
    </row>
    <row r="2" spans="1:21" ht="19.5" customHeight="1">
      <c r="A2" s="89" t="s">
        <v>2</v>
      </c>
      <c r="B2" s="89"/>
      <c r="C2" s="5">
        <f>SUM(C4:C103)</f>
        <v>8834355.5521742404</v>
      </c>
      <c r="D2" s="5">
        <f>SUM(D4:D103)</f>
        <v>7084891.5500000017</v>
      </c>
      <c r="E2" s="5">
        <f>C2-D2</f>
        <v>1749464.0021742387</v>
      </c>
      <c r="F2" s="6">
        <f>IFERROR(E2/D2, 0)</f>
        <v>0.24692883297193707</v>
      </c>
      <c r="G2" s="5">
        <f>SUM(G4:G103)</f>
        <v>7209999.9100000001</v>
      </c>
      <c r="H2" s="7">
        <f>C2-G2</f>
        <v>1624355.6421742402</v>
      </c>
      <c r="I2" s="6">
        <f>IFERROR(H2/G2, 0)</f>
        <v>0.22529204749660534</v>
      </c>
      <c r="J2" s="26" t="str">
        <f ca="1">IF(AND(TODAY()&gt;DATE(2024, 4, 1), COUNTA(Sites[Site])&lt;&gt;(COUNT(C:C)-1)), "Some sites are missing actual data; if new sites were added, make sure they are aligned correctly (including prior months!)", "")</f>
        <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6">
      <c r="A4" s="30" t="str" cm="1">
        <f t="array" ref="A4:A34">Sites[Site]</f>
        <v>Barkhamsted</v>
      </c>
      <c r="B4" s="27" t="str" cm="1">
        <f t="array" ref="B4:B34">Sites[State]</f>
        <v>CT</v>
      </c>
      <c r="C4" s="24">
        <v>169174</v>
      </c>
      <c r="D4" s="13">
        <v>167270.5</v>
      </c>
      <c r="E4" s="13">
        <f>IF(AND(ISNUMBER(C4),ISNUMBER(D4)), C4-D4, "")</f>
        <v>1903.5</v>
      </c>
      <c r="F4" s="14">
        <f>IFERROR(E4/D4, "")</f>
        <v>1.1379771089343309E-2</v>
      </c>
      <c r="G4" s="15">
        <v>171195.3</v>
      </c>
      <c r="H4" s="15">
        <f>IF(AND(ISNUMBER(C4),ISNUMBER(G4)), C4-G4, "")</f>
        <v>-2021.2999999999884</v>
      </c>
      <c r="I4" s="16">
        <f>IFERROR(H4/G4, "")</f>
        <v>-1.1806983018809444E-2</v>
      </c>
      <c r="J4" s="38"/>
      <c r="K4" s="38"/>
    </row>
    <row r="5" spans="1:21" ht="28.9">
      <c r="A5" s="28" t="str">
        <v>Bunce</v>
      </c>
      <c r="B5" s="29" t="str">
        <v>CT</v>
      </c>
      <c r="C5" s="11">
        <v>296486.5</v>
      </c>
      <c r="D5" s="18">
        <v>247773</v>
      </c>
      <c r="E5" s="18">
        <f t="shared" ref="E5:E28" si="0">IF(AND(ISNUMBER(C5),ISNUMBER(D5)), C5-D5, "")</f>
        <v>48713.5</v>
      </c>
      <c r="F5" s="19">
        <f>IFERROR(E5/D5, "")</f>
        <v>0.19660536055179539</v>
      </c>
      <c r="G5" s="67" t="s">
        <v>24</v>
      </c>
      <c r="H5" s="20" t="str">
        <f t="shared" ref="H5:H28" si="1">IF(AND(ISNUMBER(C5),ISNUMBER(G5)), C5-G5, "")</f>
        <v/>
      </c>
      <c r="I5" s="19" t="str">
        <f t="shared" ref="I5:I28" si="2">IFERROR(H5/G5, "")</f>
        <v/>
      </c>
      <c r="J5" s="39" t="s">
        <v>252</v>
      </c>
      <c r="K5" s="74" t="s">
        <v>253</v>
      </c>
      <c r="L5" s="76"/>
      <c r="M5" s="76"/>
      <c r="N5" s="76"/>
      <c r="O5" s="76"/>
      <c r="P5" s="76"/>
      <c r="Q5" s="76"/>
      <c r="R5" s="76"/>
      <c r="S5" s="76"/>
      <c r="T5" s="76"/>
      <c r="U5" s="76"/>
    </row>
    <row r="6" spans="1:21" ht="238.15" customHeight="1">
      <c r="A6" s="56" t="str">
        <v>Norcap North</v>
      </c>
      <c r="B6" s="27" t="str">
        <v>CT</v>
      </c>
      <c r="C6" s="24">
        <v>313660</v>
      </c>
      <c r="D6" s="13">
        <v>312566.3</v>
      </c>
      <c r="E6" s="13">
        <f t="shared" si="0"/>
        <v>1093.7000000000116</v>
      </c>
      <c r="F6" s="14">
        <f t="shared" ref="F6:F28" si="3">IFERROR(E6/D6, "")</f>
        <v>3.4990976314465496E-3</v>
      </c>
      <c r="G6" s="15">
        <v>324191.40000000002</v>
      </c>
      <c r="H6" s="15">
        <f t="shared" si="1"/>
        <v>-10531.400000000023</v>
      </c>
      <c r="I6" s="16">
        <f t="shared" si="2"/>
        <v>-3.24851306974831E-2</v>
      </c>
      <c r="J6" s="38" t="s">
        <v>254</v>
      </c>
      <c r="K6" s="72" t="s">
        <v>255</v>
      </c>
      <c r="L6" s="77" t="s">
        <v>256</v>
      </c>
      <c r="M6" s="77" t="s">
        <v>257</v>
      </c>
      <c r="N6" s="77" t="s">
        <v>258</v>
      </c>
      <c r="O6" s="77" t="s">
        <v>259</v>
      </c>
      <c r="P6" s="77" t="s">
        <v>260</v>
      </c>
      <c r="Q6" s="77" t="s">
        <v>261</v>
      </c>
      <c r="R6" s="77" t="s">
        <v>262</v>
      </c>
      <c r="S6" s="77" t="s">
        <v>263</v>
      </c>
      <c r="T6" s="76"/>
      <c r="U6" s="76"/>
    </row>
    <row r="7" spans="1:21" ht="43.15">
      <c r="A7" s="28" t="str">
        <v>Norcap South</v>
      </c>
      <c r="B7" s="29" t="str">
        <v>CT</v>
      </c>
      <c r="C7" s="11">
        <v>330292</v>
      </c>
      <c r="D7" s="18">
        <v>325075.90000000002</v>
      </c>
      <c r="E7" s="18">
        <f t="shared" si="0"/>
        <v>5216.0999999999767</v>
      </c>
      <c r="F7" s="19">
        <f t="shared" si="3"/>
        <v>1.6045791152158546E-2</v>
      </c>
      <c r="G7" s="20">
        <v>317829.09999999998</v>
      </c>
      <c r="H7" s="20">
        <f t="shared" si="1"/>
        <v>12462.900000000023</v>
      </c>
      <c r="I7" s="19">
        <f t="shared" si="2"/>
        <v>3.9212583114636212E-2</v>
      </c>
      <c r="J7" s="39" t="s">
        <v>264</v>
      </c>
      <c r="K7" s="74" t="s">
        <v>265</v>
      </c>
      <c r="L7" s="76"/>
      <c r="M7" s="76"/>
      <c r="N7" s="76"/>
      <c r="O7" s="76"/>
      <c r="P7" s="76"/>
      <c r="Q7" s="76"/>
      <c r="R7" s="76"/>
      <c r="S7" s="76"/>
      <c r="T7" s="76"/>
      <c r="U7" s="76"/>
    </row>
    <row r="8" spans="1:21" ht="15.6">
      <c r="A8" s="30" t="str">
        <v>Platt Hill</v>
      </c>
      <c r="B8" s="27" t="str">
        <v>CT</v>
      </c>
      <c r="C8" s="24">
        <v>354320</v>
      </c>
      <c r="D8" s="13">
        <v>354561.8</v>
      </c>
      <c r="E8" s="13">
        <f t="shared" si="0"/>
        <v>-241.79999999998836</v>
      </c>
      <c r="F8" s="14">
        <f t="shared" si="3"/>
        <v>-6.8196855950073689E-4</v>
      </c>
      <c r="G8" s="15">
        <v>382722.5</v>
      </c>
      <c r="H8" s="15">
        <f t="shared" si="1"/>
        <v>-28402.5</v>
      </c>
      <c r="I8" s="16">
        <f t="shared" si="2"/>
        <v>-7.4211733044176914E-2</v>
      </c>
      <c r="J8" s="38"/>
      <c r="K8" s="38"/>
      <c r="L8" s="76"/>
      <c r="M8" s="76"/>
      <c r="N8" s="76"/>
      <c r="O8" s="76"/>
      <c r="P8" s="76"/>
      <c r="Q8" s="76"/>
      <c r="R8" s="76"/>
      <c r="S8" s="76"/>
      <c r="T8" s="76"/>
      <c r="U8" s="76"/>
    </row>
    <row r="9" spans="1:21" ht="48.75" customHeight="1">
      <c r="A9" s="28" t="str">
        <v>Powder Hill</v>
      </c>
      <c r="B9" s="29" t="str">
        <v>CT</v>
      </c>
      <c r="C9" s="11">
        <v>328808</v>
      </c>
      <c r="D9" s="18">
        <v>319049.2</v>
      </c>
      <c r="E9" s="18">
        <f t="shared" si="0"/>
        <v>9758.7999999999884</v>
      </c>
      <c r="F9" s="19">
        <f t="shared" si="3"/>
        <v>3.0587132016002511E-2</v>
      </c>
      <c r="G9" s="20">
        <v>265344</v>
      </c>
      <c r="H9" s="20">
        <f t="shared" si="1"/>
        <v>63464</v>
      </c>
      <c r="I9" s="19">
        <f t="shared" si="2"/>
        <v>0.23917631452001931</v>
      </c>
      <c r="J9" s="48" t="s">
        <v>266</v>
      </c>
      <c r="K9" s="74" t="s">
        <v>267</v>
      </c>
      <c r="L9" s="77" t="s">
        <v>268</v>
      </c>
      <c r="M9" s="76"/>
      <c r="N9" s="76"/>
      <c r="O9" s="76"/>
      <c r="P9" s="76"/>
      <c r="Q9" s="76"/>
      <c r="R9" s="76"/>
      <c r="S9" s="76"/>
      <c r="T9" s="76"/>
      <c r="U9" s="76"/>
    </row>
    <row r="10" spans="1:21" ht="40.5" customHeight="1">
      <c r="A10" s="30" t="str">
        <v>Sand Road</v>
      </c>
      <c r="B10" s="27" t="str">
        <v>CT</v>
      </c>
      <c r="C10" s="24">
        <v>324229</v>
      </c>
      <c r="D10" s="13">
        <v>292043</v>
      </c>
      <c r="E10" s="13">
        <f t="shared" si="0"/>
        <v>32186</v>
      </c>
      <c r="F10" s="14">
        <f t="shared" si="3"/>
        <v>0.11020979787223115</v>
      </c>
      <c r="G10" s="15">
        <v>308583</v>
      </c>
      <c r="H10" s="15">
        <f t="shared" si="1"/>
        <v>15646</v>
      </c>
      <c r="I10" s="16">
        <f t="shared" si="2"/>
        <v>5.0702728277319233E-2</v>
      </c>
      <c r="J10" s="38" t="s">
        <v>269</v>
      </c>
      <c r="K10" s="72" t="s">
        <v>270</v>
      </c>
      <c r="L10" s="76"/>
      <c r="M10" s="76"/>
      <c r="N10" s="76"/>
      <c r="O10" s="76"/>
      <c r="P10" s="76"/>
      <c r="Q10" s="76"/>
      <c r="R10" s="76"/>
      <c r="S10" s="76"/>
      <c r="T10" s="76"/>
      <c r="U10" s="76"/>
    </row>
    <row r="11" spans="1:21" ht="15.6">
      <c r="A11" s="28" t="str">
        <v>Suffield</v>
      </c>
      <c r="B11" s="29" t="str">
        <v>CT</v>
      </c>
      <c r="C11" s="11">
        <v>335727</v>
      </c>
      <c r="D11" s="18">
        <v>319914.3</v>
      </c>
      <c r="E11" s="18">
        <f t="shared" si="0"/>
        <v>15812.700000000012</v>
      </c>
      <c r="F11" s="19">
        <f t="shared" si="3"/>
        <v>4.942792491614164E-2</v>
      </c>
      <c r="G11" s="20">
        <v>334689.90000000002</v>
      </c>
      <c r="H11" s="20">
        <f t="shared" si="1"/>
        <v>1037.0999999999767</v>
      </c>
      <c r="I11" s="19">
        <f t="shared" si="2"/>
        <v>3.0986892643010042E-3</v>
      </c>
      <c r="J11" s="39"/>
      <c r="K11" s="39"/>
      <c r="L11" s="76"/>
      <c r="M11" s="76"/>
      <c r="N11" s="76"/>
      <c r="O11" s="76"/>
      <c r="P11" s="76"/>
      <c r="Q11" s="76"/>
      <c r="R11" s="76"/>
      <c r="S11" s="76"/>
      <c r="T11" s="76"/>
      <c r="U11" s="76"/>
    </row>
    <row r="12" spans="1:21" ht="261.75" customHeight="1">
      <c r="A12" s="56" t="str">
        <v>Ashby-Duffy</v>
      </c>
      <c r="B12" s="27" t="str">
        <v>MA</v>
      </c>
      <c r="C12" s="24">
        <v>312117</v>
      </c>
      <c r="D12" s="13">
        <v>392272.6</v>
      </c>
      <c r="E12" s="13">
        <f t="shared" si="0"/>
        <v>-80155.599999999977</v>
      </c>
      <c r="F12" s="14">
        <f t="shared" si="3"/>
        <v>-0.20433647417637629</v>
      </c>
      <c r="G12" s="15">
        <v>295108.7</v>
      </c>
      <c r="H12" s="15">
        <f t="shared" si="1"/>
        <v>17008.299999999988</v>
      </c>
      <c r="I12" s="16">
        <f t="shared" si="2"/>
        <v>5.7634017567086256E-2</v>
      </c>
      <c r="J12" s="38" t="s">
        <v>271</v>
      </c>
      <c r="K12" s="72" t="s">
        <v>272</v>
      </c>
      <c r="L12" s="77" t="s">
        <v>191</v>
      </c>
      <c r="M12" s="77" t="s">
        <v>192</v>
      </c>
      <c r="N12" s="77" t="s">
        <v>193</v>
      </c>
      <c r="O12" s="77" t="s">
        <v>273</v>
      </c>
      <c r="P12" s="77" t="s">
        <v>274</v>
      </c>
      <c r="Q12" s="76"/>
      <c r="R12" s="76"/>
      <c r="S12" s="76"/>
      <c r="T12" s="76"/>
      <c r="U12" s="76"/>
    </row>
    <row r="13" spans="1:21" ht="209.25" customHeight="1">
      <c r="A13" s="28" t="str">
        <v>Ashland</v>
      </c>
      <c r="B13" s="29" t="str">
        <v>MA</v>
      </c>
      <c r="C13" s="11">
        <v>331279.5</v>
      </c>
      <c r="D13" s="18">
        <v>338334.4</v>
      </c>
      <c r="E13" s="18">
        <f t="shared" si="0"/>
        <v>-7054.9000000000233</v>
      </c>
      <c r="F13" s="19">
        <f t="shared" si="3"/>
        <v>-2.0851855442426258E-2</v>
      </c>
      <c r="G13" s="20">
        <v>349936.7</v>
      </c>
      <c r="H13" s="20">
        <f t="shared" si="1"/>
        <v>-18657.200000000012</v>
      </c>
      <c r="I13" s="19">
        <f t="shared" si="2"/>
        <v>-5.3315928280743378E-2</v>
      </c>
      <c r="J13" s="48" t="s">
        <v>275</v>
      </c>
      <c r="K13" s="74" t="s">
        <v>276</v>
      </c>
      <c r="L13" s="77" t="s">
        <v>103</v>
      </c>
      <c r="M13" s="77" t="s">
        <v>104</v>
      </c>
      <c r="N13" s="77" t="s">
        <v>105</v>
      </c>
      <c r="O13" s="77" t="s">
        <v>106</v>
      </c>
      <c r="P13" s="77" t="s">
        <v>107</v>
      </c>
      <c r="Q13" s="77" t="s">
        <v>199</v>
      </c>
      <c r="R13" s="77" t="s">
        <v>277</v>
      </c>
      <c r="S13" s="77" t="s">
        <v>278</v>
      </c>
      <c r="T13" s="77" t="s">
        <v>279</v>
      </c>
      <c r="U13" s="76"/>
    </row>
    <row r="14" spans="1:21" ht="57.75" customHeight="1">
      <c r="A14" s="56" t="str">
        <v>Barrington</v>
      </c>
      <c r="B14" s="27" t="str">
        <v>MA</v>
      </c>
      <c r="C14" s="24">
        <v>69022.5</v>
      </c>
      <c r="D14" s="13">
        <v>13735.87</v>
      </c>
      <c r="E14" s="13">
        <f t="shared" si="0"/>
        <v>55286.63</v>
      </c>
      <c r="F14" s="14">
        <f t="shared" si="3"/>
        <v>4.0249820360850821</v>
      </c>
      <c r="G14" s="15">
        <v>74480</v>
      </c>
      <c r="H14" s="15">
        <f t="shared" si="1"/>
        <v>-5457.5</v>
      </c>
      <c r="I14" s="16">
        <f t="shared" si="2"/>
        <v>-7.3274704618689582E-2</v>
      </c>
      <c r="J14" s="38" t="s">
        <v>280</v>
      </c>
      <c r="K14" s="72" t="s">
        <v>201</v>
      </c>
      <c r="L14" s="76"/>
      <c r="M14" s="76"/>
      <c r="N14" s="76"/>
      <c r="O14" s="76"/>
      <c r="P14" s="76"/>
      <c r="Q14" s="76"/>
      <c r="R14" s="76"/>
      <c r="S14" s="76"/>
      <c r="T14" s="76"/>
      <c r="U14" s="76"/>
    </row>
    <row r="15" spans="1:21" ht="15.6">
      <c r="A15" s="28" t="str">
        <v>Bedford - 205 Burlington Rd</v>
      </c>
      <c r="B15" s="29" t="str">
        <v>MA</v>
      </c>
      <c r="C15" s="11">
        <v>40866</v>
      </c>
      <c r="D15" s="18" t="s">
        <v>24</v>
      </c>
      <c r="E15" s="18" t="str">
        <f t="shared" si="0"/>
        <v/>
      </c>
      <c r="F15" s="18" t="str">
        <f t="shared" si="3"/>
        <v/>
      </c>
      <c r="G15" s="81" t="s">
        <v>24</v>
      </c>
      <c r="H15" s="20" t="str">
        <f t="shared" si="1"/>
        <v/>
      </c>
      <c r="I15" s="20" t="str">
        <f t="shared" si="2"/>
        <v/>
      </c>
      <c r="J15" s="39"/>
      <c r="K15" s="39"/>
      <c r="L15" s="76"/>
      <c r="M15" s="76"/>
      <c r="N15" s="76"/>
      <c r="O15" s="76"/>
      <c r="P15" s="76"/>
      <c r="Q15" s="76"/>
      <c r="R15" s="76"/>
      <c r="S15" s="76"/>
      <c r="T15" s="76"/>
      <c r="U15" s="76"/>
    </row>
    <row r="16" spans="1:21" ht="15.6">
      <c r="A16" s="56" t="str">
        <v>Billerica - 6 Cook Street</v>
      </c>
      <c r="B16" s="27" t="str">
        <v>MA</v>
      </c>
      <c r="C16" s="24">
        <v>37661</v>
      </c>
      <c r="D16" s="13" t="s">
        <v>24</v>
      </c>
      <c r="E16" s="13" t="str">
        <f t="shared" si="0"/>
        <v/>
      </c>
      <c r="F16" s="14" t="str">
        <f t="shared" si="3"/>
        <v/>
      </c>
      <c r="G16" s="82" t="s">
        <v>24</v>
      </c>
      <c r="H16" s="15" t="str">
        <f t="shared" si="1"/>
        <v/>
      </c>
      <c r="I16" s="16" t="str">
        <f t="shared" si="2"/>
        <v/>
      </c>
      <c r="J16" s="38"/>
      <c r="K16" s="38"/>
      <c r="L16" s="76"/>
      <c r="M16" s="76"/>
      <c r="N16" s="76"/>
      <c r="O16" s="76"/>
      <c r="P16" s="76"/>
      <c r="Q16" s="76"/>
      <c r="R16" s="76"/>
      <c r="S16" s="76"/>
      <c r="T16" s="76"/>
      <c r="U16" s="76"/>
    </row>
    <row r="17" spans="1:21" ht="15.6">
      <c r="A17" s="28" t="str">
        <v>Billerica - 780 Boston Road</v>
      </c>
      <c r="B17" s="29" t="str">
        <v>MA</v>
      </c>
      <c r="C17" s="11">
        <v>42603</v>
      </c>
      <c r="D17" s="18" t="s">
        <v>24</v>
      </c>
      <c r="E17" s="18" t="str">
        <f t="shared" si="0"/>
        <v/>
      </c>
      <c r="F17" s="18" t="str">
        <f t="shared" si="3"/>
        <v/>
      </c>
      <c r="G17" s="81" t="s">
        <v>24</v>
      </c>
      <c r="H17" s="20" t="str">
        <f t="shared" si="1"/>
        <v/>
      </c>
      <c r="I17" s="20" t="str">
        <f t="shared" si="2"/>
        <v/>
      </c>
      <c r="J17" s="39"/>
      <c r="K17" s="48"/>
      <c r="L17" s="76"/>
      <c r="M17" s="76"/>
      <c r="N17" s="76"/>
      <c r="O17" s="76"/>
      <c r="P17" s="76"/>
      <c r="Q17" s="76"/>
      <c r="R17" s="76"/>
      <c r="S17" s="76"/>
      <c r="T17" s="76"/>
      <c r="U17" s="76"/>
    </row>
    <row r="18" spans="1:21" ht="15.6">
      <c r="A18" s="56" t="str">
        <v>Cheshire</v>
      </c>
      <c r="B18" s="27" t="str">
        <v>MA</v>
      </c>
      <c r="C18" s="24">
        <v>72208.711174242198</v>
      </c>
      <c r="D18" s="13">
        <v>75657.47</v>
      </c>
      <c r="E18" s="13">
        <f t="shared" si="0"/>
        <v>-3448.7588257578027</v>
      </c>
      <c r="F18" s="14">
        <f t="shared" si="3"/>
        <v>-4.5583850818138677E-2</v>
      </c>
      <c r="G18" s="15">
        <v>59684.24</v>
      </c>
      <c r="H18" s="15">
        <f t="shared" si="1"/>
        <v>12524.471174242201</v>
      </c>
      <c r="I18" s="16">
        <f t="shared" si="2"/>
        <v>0.20984553333077879</v>
      </c>
      <c r="J18" s="38"/>
      <c r="K18" s="38"/>
      <c r="L18" s="76"/>
      <c r="M18" s="76"/>
      <c r="N18" s="76"/>
      <c r="O18" s="76"/>
      <c r="P18" s="76"/>
      <c r="Q18" s="76"/>
      <c r="R18" s="76"/>
      <c r="S18" s="76"/>
      <c r="T18" s="76"/>
      <c r="U18" s="76"/>
    </row>
    <row r="19" spans="1:21" ht="81.75" customHeight="1">
      <c r="A19" s="28" t="str">
        <v>Lilly Lane</v>
      </c>
      <c r="B19" s="29" t="str">
        <v>MA</v>
      </c>
      <c r="C19" s="11">
        <v>160353</v>
      </c>
      <c r="D19" s="18">
        <v>155638.70000000001</v>
      </c>
      <c r="E19" s="18">
        <f t="shared" si="0"/>
        <v>4714.2999999999884</v>
      </c>
      <c r="F19" s="19">
        <f t="shared" si="3"/>
        <v>3.0290024267743101E-2</v>
      </c>
      <c r="G19" s="20">
        <v>178160.1</v>
      </c>
      <c r="H19" s="20">
        <f t="shared" si="1"/>
        <v>-17807.100000000006</v>
      </c>
      <c r="I19" s="19">
        <f t="shared" si="2"/>
        <v>-9.9949988802206582E-2</v>
      </c>
      <c r="J19" s="48" t="s">
        <v>281</v>
      </c>
      <c r="K19" s="74" t="s">
        <v>282</v>
      </c>
      <c r="L19" s="77" t="s">
        <v>115</v>
      </c>
      <c r="M19" s="76"/>
      <c r="N19" s="76"/>
      <c r="O19" s="76"/>
      <c r="P19" s="76"/>
      <c r="Q19" s="76"/>
      <c r="R19" s="76"/>
      <c r="S19" s="76"/>
      <c r="T19" s="76"/>
      <c r="U19" s="76"/>
    </row>
    <row r="20" spans="1:21" ht="57.6">
      <c r="A20" s="56" t="str">
        <v>Monument Valley</v>
      </c>
      <c r="B20" s="27" t="str">
        <v>MA</v>
      </c>
      <c r="C20" s="24">
        <v>313209.50499999902</v>
      </c>
      <c r="D20" s="13">
        <v>61391.81</v>
      </c>
      <c r="E20" s="13">
        <f t="shared" si="0"/>
        <v>251817.69499999902</v>
      </c>
      <c r="F20" s="14">
        <f t="shared" si="3"/>
        <v>4.1018125218982631</v>
      </c>
      <c r="G20" s="68" t="s">
        <v>24</v>
      </c>
      <c r="H20" s="15" t="str">
        <f t="shared" si="1"/>
        <v/>
      </c>
      <c r="I20" s="16" t="str">
        <f t="shared" si="2"/>
        <v/>
      </c>
      <c r="J20" s="38" t="s">
        <v>283</v>
      </c>
      <c r="K20" s="72" t="s">
        <v>284</v>
      </c>
      <c r="L20" s="76"/>
      <c r="M20" s="76"/>
      <c r="N20" s="76"/>
      <c r="O20" s="76"/>
      <c r="P20" s="76"/>
      <c r="Q20" s="76"/>
      <c r="R20" s="76"/>
      <c r="S20" s="76"/>
      <c r="T20" s="76"/>
      <c r="U20" s="76"/>
    </row>
    <row r="21" spans="1:21" ht="115.15">
      <c r="A21" s="28" t="str">
        <v>Nationwide</v>
      </c>
      <c r="B21" s="29" t="str">
        <v>MA</v>
      </c>
      <c r="C21" s="11">
        <v>553059</v>
      </c>
      <c r="D21" s="18">
        <v>457546.6</v>
      </c>
      <c r="E21" s="18">
        <f t="shared" si="0"/>
        <v>95512.400000000023</v>
      </c>
      <c r="F21" s="19">
        <f t="shared" si="3"/>
        <v>0.20874901048330383</v>
      </c>
      <c r="G21" s="20">
        <v>507015.9</v>
      </c>
      <c r="H21" s="20">
        <f t="shared" si="1"/>
        <v>46043.099999999977</v>
      </c>
      <c r="I21" s="19">
        <f t="shared" si="2"/>
        <v>9.0811944950838774E-2</v>
      </c>
      <c r="J21" s="39" t="s">
        <v>285</v>
      </c>
      <c r="K21" s="74" t="s">
        <v>286</v>
      </c>
      <c r="L21" s="77" t="s">
        <v>287</v>
      </c>
      <c r="M21" s="77" t="s">
        <v>288</v>
      </c>
      <c r="N21" s="77" t="s">
        <v>289</v>
      </c>
      <c r="O21" s="76"/>
      <c r="P21" s="76"/>
      <c r="Q21" s="76"/>
      <c r="R21" s="76"/>
      <c r="S21" s="76"/>
      <c r="T21" s="76"/>
      <c r="U21" s="76"/>
    </row>
    <row r="22" spans="1:21" ht="197.25" customHeight="1">
      <c r="A22" s="56" t="str">
        <v>Pulpit Hill</v>
      </c>
      <c r="B22" s="27" t="str">
        <v>MA</v>
      </c>
      <c r="C22" s="24">
        <v>730135</v>
      </c>
      <c r="D22" s="13">
        <v>693972.8</v>
      </c>
      <c r="E22" s="13">
        <f t="shared" si="0"/>
        <v>36162.199999999953</v>
      </c>
      <c r="F22" s="14">
        <f t="shared" si="3"/>
        <v>5.2108958737287617E-2</v>
      </c>
      <c r="G22" s="15">
        <v>685244.1</v>
      </c>
      <c r="H22" s="15">
        <f t="shared" si="1"/>
        <v>44890.900000000023</v>
      </c>
      <c r="I22" s="16">
        <f t="shared" si="2"/>
        <v>6.5510815780829082E-2</v>
      </c>
      <c r="J22" s="38" t="s">
        <v>290</v>
      </c>
      <c r="K22" s="72" t="s">
        <v>291</v>
      </c>
      <c r="L22" s="77" t="s">
        <v>292</v>
      </c>
      <c r="M22" s="77" t="s">
        <v>293</v>
      </c>
      <c r="N22" s="77" t="s">
        <v>294</v>
      </c>
      <c r="O22" s="77" t="s">
        <v>295</v>
      </c>
      <c r="P22" s="76"/>
      <c r="Q22" s="76"/>
      <c r="R22" s="76"/>
      <c r="S22" s="76"/>
      <c r="T22" s="76"/>
      <c r="U22" s="76"/>
    </row>
    <row r="23" spans="1:21" ht="122.25" customHeight="1">
      <c r="A23" s="28" t="str">
        <v>Sandwich</v>
      </c>
      <c r="B23" s="29" t="str">
        <v>MA</v>
      </c>
      <c r="C23" s="11">
        <v>342502</v>
      </c>
      <c r="D23" s="18">
        <v>330907</v>
      </c>
      <c r="E23" s="18">
        <f t="shared" si="0"/>
        <v>11595</v>
      </c>
      <c r="F23" s="19">
        <f t="shared" si="3"/>
        <v>3.5040056571786028E-2</v>
      </c>
      <c r="G23" s="20">
        <v>528189</v>
      </c>
      <c r="H23" s="20">
        <f t="shared" si="1"/>
        <v>-185687</v>
      </c>
      <c r="I23" s="19">
        <f t="shared" si="2"/>
        <v>-0.35155408386013343</v>
      </c>
      <c r="J23" s="48" t="s">
        <v>296</v>
      </c>
      <c r="K23" s="74" t="s">
        <v>297</v>
      </c>
      <c r="L23" s="77" t="s">
        <v>298</v>
      </c>
      <c r="M23" s="77" t="s">
        <v>299</v>
      </c>
      <c r="N23" s="77" t="s">
        <v>300</v>
      </c>
      <c r="O23" s="76"/>
      <c r="P23" s="76"/>
      <c r="Q23" s="76"/>
      <c r="R23" s="76"/>
      <c r="S23" s="76"/>
      <c r="T23" s="76"/>
      <c r="U23" s="76"/>
    </row>
    <row r="24" spans="1:21" ht="53.25" customHeight="1">
      <c r="A24" s="56" t="str">
        <v>Sturbridge Barn</v>
      </c>
      <c r="B24" s="27" t="str">
        <v>MA</v>
      </c>
      <c r="C24" s="24">
        <v>163275.5</v>
      </c>
      <c r="D24" s="13">
        <v>162749</v>
      </c>
      <c r="E24" s="13">
        <f t="shared" si="0"/>
        <v>526.5</v>
      </c>
      <c r="F24" s="14">
        <f t="shared" si="3"/>
        <v>3.2350429188505001E-3</v>
      </c>
      <c r="G24" s="15">
        <v>176761.7</v>
      </c>
      <c r="H24" s="15">
        <f t="shared" si="1"/>
        <v>-13486.200000000012</v>
      </c>
      <c r="I24" s="16">
        <f t="shared" si="2"/>
        <v>-7.6295939674714666E-2</v>
      </c>
      <c r="J24" s="38" t="s">
        <v>301</v>
      </c>
      <c r="K24" s="72" t="s">
        <v>302</v>
      </c>
      <c r="L24" s="76"/>
      <c r="M24" s="76"/>
      <c r="N24" s="76"/>
      <c r="O24" s="76"/>
      <c r="P24" s="76"/>
      <c r="Q24" s="76"/>
      <c r="R24" s="76"/>
      <c r="S24" s="76"/>
      <c r="T24" s="76"/>
      <c r="U24" s="76"/>
    </row>
    <row r="25" spans="1:21" ht="78" customHeight="1">
      <c r="A25" s="28" t="str">
        <v>Sturbridge Garage</v>
      </c>
      <c r="B25" s="29" t="str">
        <v>MA</v>
      </c>
      <c r="C25" s="11">
        <v>82222.5</v>
      </c>
      <c r="D25" s="18">
        <v>78086.2</v>
      </c>
      <c r="E25" s="18">
        <f t="shared" si="0"/>
        <v>4136.3000000000029</v>
      </c>
      <c r="F25" s="19">
        <f t="shared" si="3"/>
        <v>5.297094749136215E-2</v>
      </c>
      <c r="G25" s="20">
        <v>88006.27</v>
      </c>
      <c r="H25" s="20">
        <f t="shared" si="1"/>
        <v>-5783.7700000000041</v>
      </c>
      <c r="I25" s="19">
        <f t="shared" si="2"/>
        <v>-6.571997654258048E-2</v>
      </c>
      <c r="J25" s="39" t="s">
        <v>303</v>
      </c>
      <c r="K25" s="74" t="s">
        <v>304</v>
      </c>
      <c r="L25" s="77" t="s">
        <v>305</v>
      </c>
      <c r="M25" s="76"/>
      <c r="N25" s="76"/>
      <c r="O25" s="76"/>
      <c r="P25" s="76"/>
      <c r="Q25" s="76"/>
      <c r="R25" s="76"/>
      <c r="S25" s="76"/>
      <c r="T25" s="76"/>
      <c r="U25" s="76"/>
    </row>
    <row r="26" spans="1:21" ht="86.45">
      <c r="A26" s="56" t="str">
        <v>Halsey Valley</v>
      </c>
      <c r="B26" s="27" t="str">
        <v>NY</v>
      </c>
      <c r="C26" s="24">
        <v>760486.28000000096</v>
      </c>
      <c r="D26" s="13">
        <v>784321.5</v>
      </c>
      <c r="E26" s="13">
        <f t="shared" si="0"/>
        <v>-23835.219999999041</v>
      </c>
      <c r="F26" s="14">
        <f t="shared" si="3"/>
        <v>-3.0389604263046519E-2</v>
      </c>
      <c r="G26" s="15">
        <v>868000</v>
      </c>
      <c r="H26" s="15">
        <f t="shared" si="1"/>
        <v>-107513.71999999904</v>
      </c>
      <c r="I26" s="16">
        <f t="shared" si="2"/>
        <v>-0.12386373271889291</v>
      </c>
      <c r="J26" s="38" t="s">
        <v>306</v>
      </c>
      <c r="K26" s="72" t="s">
        <v>307</v>
      </c>
      <c r="L26" s="77" t="s">
        <v>308</v>
      </c>
      <c r="M26" s="76"/>
      <c r="N26" s="76"/>
      <c r="O26" s="76"/>
      <c r="P26" s="76"/>
      <c r="Q26" s="76"/>
      <c r="R26" s="76"/>
      <c r="S26" s="76"/>
      <c r="T26" s="76"/>
      <c r="U26" s="76"/>
    </row>
    <row r="27" spans="1:21" ht="28.9">
      <c r="A27" s="28" t="str">
        <v>Hunt Creek</v>
      </c>
      <c r="B27" s="29" t="str">
        <v>NY</v>
      </c>
      <c r="C27" s="11">
        <v>561176.99999999802</v>
      </c>
      <c r="D27" s="18">
        <v>576760.4</v>
      </c>
      <c r="E27" s="18">
        <f t="shared" si="0"/>
        <v>-15583.400000002002</v>
      </c>
      <c r="F27" s="19">
        <f t="shared" si="3"/>
        <v>-2.7018845260531065E-2</v>
      </c>
      <c r="G27" s="20">
        <v>629400</v>
      </c>
      <c r="H27" s="20">
        <f t="shared" si="1"/>
        <v>-68223.000000001979</v>
      </c>
      <c r="I27" s="19">
        <f t="shared" si="2"/>
        <v>-0.10839370829361611</v>
      </c>
      <c r="J27" s="39" t="s">
        <v>309</v>
      </c>
      <c r="K27" s="74" t="s">
        <v>310</v>
      </c>
      <c r="L27" s="76"/>
      <c r="M27" s="76"/>
      <c r="N27" s="76"/>
      <c r="O27" s="76"/>
      <c r="P27" s="76"/>
      <c r="Q27" s="76"/>
      <c r="R27" s="76"/>
      <c r="S27" s="76"/>
      <c r="T27" s="76"/>
      <c r="U27" s="76"/>
    </row>
    <row r="28" spans="1:21" ht="15.6">
      <c r="A28" s="56" t="str">
        <v>Smith Creek</v>
      </c>
      <c r="B28" s="27" t="str">
        <v>NY</v>
      </c>
      <c r="C28" s="24">
        <v>609919</v>
      </c>
      <c r="D28" s="13">
        <v>625263.19999999995</v>
      </c>
      <c r="E28" s="13">
        <f t="shared" si="0"/>
        <v>-15344.199999999953</v>
      </c>
      <c r="F28" s="14">
        <f t="shared" si="3"/>
        <v>-2.4540385552835917E-2</v>
      </c>
      <c r="G28" s="15">
        <v>665458</v>
      </c>
      <c r="H28" s="15">
        <f t="shared" si="1"/>
        <v>-55539</v>
      </c>
      <c r="I28" s="16">
        <f t="shared" si="2"/>
        <v>-8.3459812640316891E-2</v>
      </c>
      <c r="J28" s="38"/>
      <c r="K28" s="38"/>
      <c r="L28" s="76"/>
      <c r="M28" s="76"/>
      <c r="N28" s="76"/>
      <c r="O28" s="76"/>
      <c r="P28" s="76"/>
      <c r="Q28" s="76"/>
      <c r="R28" s="76"/>
      <c r="S28" s="76"/>
      <c r="T28" s="76"/>
      <c r="U28" s="76"/>
    </row>
    <row r="29" spans="1:21" ht="57.6">
      <c r="A29" s="28" t="str">
        <v>Bradford - 256 Presidential Dr</v>
      </c>
      <c r="B29" s="29" t="str">
        <v>MA</v>
      </c>
      <c r="C29" s="59">
        <v>627768.98899999994</v>
      </c>
      <c r="D29" s="18" t="s">
        <v>24</v>
      </c>
      <c r="E29" s="18"/>
      <c r="F29" s="53"/>
      <c r="G29" s="51" t="s">
        <v>24</v>
      </c>
      <c r="H29" s="51"/>
      <c r="I29" s="53"/>
      <c r="J29" s="39" t="s">
        <v>311</v>
      </c>
      <c r="K29" s="74" t="s">
        <v>312</v>
      </c>
      <c r="L29" s="77" t="s">
        <v>313</v>
      </c>
      <c r="M29" s="76"/>
      <c r="N29" s="76"/>
      <c r="O29" s="76"/>
      <c r="P29" s="76"/>
      <c r="Q29" s="76"/>
      <c r="R29" s="76"/>
      <c r="S29" s="76"/>
      <c r="T29" s="76"/>
      <c r="U29" s="76"/>
    </row>
    <row r="30" spans="1:21" ht="124.15" customHeight="1">
      <c r="A30" s="56" t="str">
        <v>Charlton – 111 Brookfield Road - Bus Lot</v>
      </c>
      <c r="B30" s="27" t="str">
        <v>MA</v>
      </c>
      <c r="C30" s="52">
        <v>80771.100000000006</v>
      </c>
      <c r="D30" s="13" t="s">
        <v>24</v>
      </c>
      <c r="E30" s="13"/>
      <c r="F30" s="54"/>
      <c r="G30" s="50" t="s">
        <v>24</v>
      </c>
      <c r="H30" s="50"/>
      <c r="I30" s="55"/>
      <c r="J30" s="80" t="s">
        <v>314</v>
      </c>
      <c r="K30" s="83" t="s">
        <v>315</v>
      </c>
      <c r="L30" s="77" t="s">
        <v>316</v>
      </c>
      <c r="M30" s="76"/>
      <c r="N30" s="76"/>
      <c r="O30" s="76"/>
      <c r="P30" s="76"/>
      <c r="Q30" s="76"/>
      <c r="R30" s="76"/>
      <c r="S30" s="76"/>
      <c r="T30" s="76"/>
      <c r="U30" s="76"/>
    </row>
    <row r="31" spans="1:21" ht="50.25" customHeight="1">
      <c r="A31" s="28" t="str">
        <v>Charlton – 154 Center Depot Road KMARD</v>
      </c>
      <c r="B31" s="29" t="str">
        <v>MA</v>
      </c>
      <c r="C31" s="59">
        <v>70886.100000000006</v>
      </c>
      <c r="D31" s="18" t="s">
        <v>24</v>
      </c>
      <c r="E31" s="18"/>
      <c r="F31" s="53"/>
      <c r="G31" s="51" t="s">
        <v>24</v>
      </c>
      <c r="H31" s="51"/>
      <c r="I31" s="53"/>
      <c r="J31" s="48" t="s">
        <v>317</v>
      </c>
      <c r="K31" s="74" t="s">
        <v>318</v>
      </c>
      <c r="L31" s="77" t="s">
        <v>319</v>
      </c>
      <c r="M31" s="76"/>
      <c r="N31" s="76"/>
      <c r="O31" s="76"/>
      <c r="P31" s="76"/>
      <c r="Q31" s="76"/>
      <c r="R31" s="76"/>
      <c r="S31" s="76"/>
      <c r="T31" s="76"/>
      <c r="U31" s="76"/>
    </row>
    <row r="32" spans="1:21" ht="15.6">
      <c r="A32" s="56" t="str">
        <v>Charlton – 142A Brookfield Rd (Mitchell)</v>
      </c>
      <c r="B32" s="27" t="str">
        <v>MA</v>
      </c>
      <c r="C32" s="52">
        <v>73137.899999999994</v>
      </c>
      <c r="D32" s="13" t="s">
        <v>24</v>
      </c>
      <c r="E32" s="13"/>
      <c r="F32" s="54"/>
      <c r="G32" s="50" t="s">
        <v>24</v>
      </c>
      <c r="H32" s="50"/>
      <c r="I32" s="55"/>
      <c r="J32" s="80"/>
      <c r="K32" s="80"/>
      <c r="L32" s="76"/>
      <c r="M32" s="76"/>
      <c r="N32" s="76"/>
      <c r="O32" s="76"/>
      <c r="P32" s="76"/>
      <c r="Q32" s="76"/>
      <c r="R32" s="76"/>
      <c r="S32" s="76"/>
      <c r="T32" s="76"/>
      <c r="U32" s="76"/>
    </row>
    <row r="33" spans="1:21" ht="315.75" customHeight="1">
      <c r="A33" s="28" t="str">
        <v>Great Barrington – 3 Nolan  Drive</v>
      </c>
      <c r="B33" s="29" t="str">
        <v>MA</v>
      </c>
      <c r="C33" s="59">
        <v>141021.6</v>
      </c>
      <c r="D33" s="18" t="s">
        <v>24</v>
      </c>
      <c r="E33" s="18"/>
      <c r="F33" s="53"/>
      <c r="G33" s="51" t="s">
        <v>24</v>
      </c>
      <c r="H33" s="51"/>
      <c r="I33" s="53"/>
      <c r="J33" s="48" t="s">
        <v>320</v>
      </c>
      <c r="K33" s="73" t="s">
        <v>321</v>
      </c>
      <c r="L33" s="77" t="s">
        <v>244</v>
      </c>
      <c r="M33" s="77" t="s">
        <v>322</v>
      </c>
      <c r="N33" s="77" t="s">
        <v>323</v>
      </c>
      <c r="O33" s="77" t="s">
        <v>324</v>
      </c>
      <c r="P33" s="77" t="s">
        <v>325</v>
      </c>
      <c r="Q33" s="77" t="s">
        <v>326</v>
      </c>
      <c r="R33" s="76"/>
      <c r="S33" s="76"/>
      <c r="T33" s="76"/>
      <c r="U33" s="76"/>
    </row>
    <row r="34" spans="1:21" ht="166.5" customHeight="1">
      <c r="A34" s="56" t="str">
        <v>Stockbridge – 92 State Line Road Truck Stop</v>
      </c>
      <c r="B34" s="27" t="str">
        <v>MA</v>
      </c>
      <c r="C34" s="52">
        <v>205976.867</v>
      </c>
      <c r="D34" s="13" t="s">
        <v>24</v>
      </c>
      <c r="E34" s="13"/>
      <c r="F34" s="54"/>
      <c r="G34" s="50" t="s">
        <v>24</v>
      </c>
      <c r="H34" s="50"/>
      <c r="I34" s="55"/>
      <c r="J34" s="80" t="s">
        <v>327</v>
      </c>
      <c r="K34" s="83" t="s">
        <v>328</v>
      </c>
      <c r="L34" s="77" t="s">
        <v>329</v>
      </c>
      <c r="M34" s="77" t="s">
        <v>330</v>
      </c>
      <c r="N34" s="76"/>
      <c r="O34" s="76"/>
      <c r="P34" s="76"/>
      <c r="Q34" s="76"/>
      <c r="R34" s="76"/>
      <c r="S34" s="76"/>
      <c r="T34" s="76"/>
      <c r="U34" s="76"/>
    </row>
    <row r="35" spans="1:21" ht="14.45">
      <c r="A35" s="21"/>
      <c r="B35" s="31"/>
      <c r="C35" s="21"/>
      <c r="D35" s="21"/>
      <c r="E35" s="21"/>
      <c r="F35" s="21"/>
      <c r="G35" s="21"/>
      <c r="H35" s="21"/>
      <c r="I35" s="21"/>
      <c r="J35" s="21"/>
      <c r="K35" s="21"/>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1" priority="3" stopIfTrue="1" operator="lessThanOrEqual">
      <formula>-0.1</formula>
    </cfRule>
    <cfRule type="expression" dxfId="40" priority="4">
      <formula>AND(ISNUMBER(F2), F2&gt;=0.1)</formula>
    </cfRule>
  </conditionalFormatting>
  <conditionalFormatting sqref="F4:F14 I4:I14 F16 I16 F18:F103 I18:I103">
    <cfRule type="cellIs" dxfId="39" priority="1" stopIfTrue="1" operator="lessThanOrEqual">
      <formula>-0.1</formula>
    </cfRule>
    <cfRule type="expression" dxfId="38" priority="2">
      <formula>AND(ISNUMBER(F4), F4&gt;=0.1)</formula>
    </cfRule>
  </conditionalFormatting>
  <hyperlinks>
    <hyperlink ref="K5" r:id="rId1" display="https://us3.assetplanner.com/service_request?ID=099883" xr:uid="{EA80C132-8870-4E09-9499-F84432112264}"/>
    <hyperlink ref="K6" r:id="rId2" display="https://us3.assetplanner.com/service_request?ID=099262" xr:uid="{DCC5202A-A46B-4976-B8C4-96919826CEEB}"/>
    <hyperlink ref="L6" r:id="rId3" display="https://us3.assetplanner.com/service_request?ID=099397" xr:uid="{AA80F279-F321-4AAD-9577-AFCC3625E0F5}"/>
    <hyperlink ref="M6" r:id="rId4" display="https://us3.assetplanner.com/service_request?ID=100147" xr:uid="{777BC868-452A-4213-B9E2-1BD078B24DD5}"/>
    <hyperlink ref="N6" r:id="rId5" display="https://us3.assetplanner.com/service_request?ID=099306" xr:uid="{6A8771B5-FDCC-4209-B8A4-DEEABF1C84FC}"/>
    <hyperlink ref="O6" r:id="rId6" display="https://us3.assetplanner.com/service_request?ID=100148" xr:uid="{4A64EDF8-3AF0-421B-8BDE-F10CFB485582}"/>
    <hyperlink ref="P6" r:id="rId7" display="https://us3.assetplanner.com/service_request?ID=099586" xr:uid="{07514E85-1EC4-4BEA-8C1D-2BD0CBC33C8F}"/>
    <hyperlink ref="Q6" r:id="rId8" display="https://us3.assetplanner.com/service_request?ID=099921" xr:uid="{494FC126-5DB6-4E86-B452-80D3EE3168A5}"/>
    <hyperlink ref="R6" r:id="rId9" display="https://us3.assetplanner.com/service_request?ID=099998" xr:uid="{53CF768C-4681-4522-829C-C75FC0D3C3D1}"/>
    <hyperlink ref="S6" r:id="rId10" display="https://us3.assetplanner.com/service_request?ID=100023" xr:uid="{1E2CE0C6-B566-4886-856C-0653C368137B}"/>
    <hyperlink ref="K7" r:id="rId11" display="https://us3.assetplanner.com/service_request?ID=100021" xr:uid="{09729645-4E5E-44A0-9ED6-E220D9A9E2BA}"/>
    <hyperlink ref="K9" r:id="rId12" display="https://us3.assetplanner.com/service_request?ID=100605" xr:uid="{114FEB64-6DA8-4CF2-899F-817C887CD2AD}"/>
    <hyperlink ref="L9" r:id="rId13" display="https://us3.assetplanner.com/service_request?ID=100633" xr:uid="{01DA8FB6-1EB1-422A-94A4-E67625BACE87}"/>
    <hyperlink ref="K10" r:id="rId14" display="https://us3.assetplanner.com/service_request?ID=099859" xr:uid="{F6656FD8-192D-4994-A6E8-0AFD95A983DC}"/>
    <hyperlink ref="K12" r:id="rId15" display="https://us3.assetplanner.com/service_request?ID=097797" xr:uid="{677606A9-535B-4D43-916B-B01D86ECD73B}"/>
    <hyperlink ref="L12" r:id="rId16" display="https://us3.assetplanner.com/service_request?ID=098200" xr:uid="{B00699F3-48BE-4D99-BD3A-2746B4AB62C1}"/>
    <hyperlink ref="M12" r:id="rId17" display="https://us3.assetplanner.com/service_request?ID=098383" xr:uid="{E0AACCD4-70B1-4C7E-BB36-3DB68895C7EA}"/>
    <hyperlink ref="N12" r:id="rId18" display="https://us3.assetplanner.com/service_request?ID=098407" xr:uid="{A303F5DF-726D-4E31-82F0-6C1E116CFD60}"/>
    <hyperlink ref="O12" r:id="rId19" display="https://us3.assetplanner.com/service_request?ID=100146" xr:uid="{3C059D4D-D8E3-4DDC-985E-91D55DDDA7C2}"/>
    <hyperlink ref="P12" r:id="rId20" display="https://us3.assetplanner.com/service_request?ID=099765" xr:uid="{DE38DE63-A71A-48A8-AE19-7A32B53EEA68}"/>
    <hyperlink ref="K13" r:id="rId21" display="https://us3.assetplanner.com/service_request?ID=088449" xr:uid="{D7039660-135E-4FEE-B92E-EA45D509986C}"/>
    <hyperlink ref="L13" r:id="rId22" display="https://us3.assetplanner.com/service_request?ID=088450" xr:uid="{B5F4BE73-6FEA-42B3-818C-D2832530AA07}"/>
    <hyperlink ref="M13" r:id="rId23" display="https://us3.assetplanner.com/service_request?ID=091962" xr:uid="{1E35A156-CCFD-44C4-A4B8-3AE1AF7EAFB8}"/>
    <hyperlink ref="N13" r:id="rId24" display="https://us3.assetplanner.com/service_request?ID=093117" xr:uid="{2F2BC865-806C-417F-8C87-B88A81DD240F}"/>
    <hyperlink ref="O13" r:id="rId25" display="https://us3.assetplanner.com/service_request?ID=097799" xr:uid="{1D0E7C5C-DAD9-4FC0-B1C5-7187B3869C86}"/>
    <hyperlink ref="P13" r:id="rId26" display="https://us3.assetplanner.com/service_request?ID=095816" xr:uid="{9B073686-0A30-409E-BCBC-378B6387F485}"/>
    <hyperlink ref="Q13" r:id="rId27" display="https://us3.assetplanner.com/service_request?ID=098821" xr:uid="{84681FA2-5706-4ECE-AABA-F827CD683620}"/>
    <hyperlink ref="R13" r:id="rId28" display="https://us3.assetplanner.com/service_request?ID=099331" xr:uid="{C6BC4B9A-0827-4B83-8B5C-FDB64DBD4171}"/>
    <hyperlink ref="S13" r:id="rId29" display="https://us3.assetplanner.com/service_request?ID=099519" xr:uid="{C5190A6C-CF98-4102-88E1-087B20005CC3}"/>
    <hyperlink ref="T13" r:id="rId30" display="https://us3.assetplanner.com/service_request?ID=100159" xr:uid="{635FEBAE-B030-4101-8C51-CCF83DBD5FEC}"/>
    <hyperlink ref="K14" r:id="rId31" display="https://us3.assetplanner.com/service_request?ID=099616" xr:uid="{DDD09CC5-3726-4384-96B7-1D8510E062FB}"/>
    <hyperlink ref="K19" r:id="rId32" display="https://us3.assetplanner.com/service_request?ID=100436" xr:uid="{07DDD154-9B32-429D-93A0-DAFA1AA1CEFE}"/>
    <hyperlink ref="L19" r:id="rId33" display="https://us3.assetplanner.com/service_request?ID=097795" xr:uid="{98366D5A-F33C-49DD-8A4F-9773A86909E3}"/>
    <hyperlink ref="K20" r:id="rId34" display="https://us3.assetplanner.com/service_request?ID=087370" xr:uid="{0850C45E-8A1C-43DE-960E-77238E862E3C}"/>
    <hyperlink ref="K21" r:id="rId35" display="https://us3.assetplanner.com/service_request?ID=099745" xr:uid="{873C0CFF-CCFC-43DE-AC74-45410F7AEBA4}"/>
    <hyperlink ref="L21" r:id="rId36" display="https://us3.assetplanner.com/service_request?ID=097560" xr:uid="{9F56D2EF-C378-47A8-8CE6-C975F2E9E569}"/>
    <hyperlink ref="M21" r:id="rId37" display="https://us3.assetplanner.com/service_request?ID=100184" xr:uid="{3585E8CC-A227-4973-A48C-AAC049D071CF}"/>
    <hyperlink ref="N21" r:id="rId38" display="https://us3.assetplanner.com/service_request?ID=097881" xr:uid="{4389766F-A7E8-42CE-81D0-22FDDED4A2DB}"/>
    <hyperlink ref="K22" r:id="rId39" display="https://us3.assetplanner.com/service_request?ID=099993" xr:uid="{8B310AFF-7D41-460B-A007-F6F3D53567AA}"/>
    <hyperlink ref="L22" r:id="rId40" display="https://us3.assetplanner.com/service_request?ID=100279" xr:uid="{FDED3E2E-7248-4E77-A7F4-571E27F07F0C}"/>
    <hyperlink ref="M22" r:id="rId41" display="https://us3.assetplanner.com/service_request?ID=100391" xr:uid="{962594AB-2609-480E-915F-8829361EA90C}"/>
    <hyperlink ref="N22" r:id="rId42" display="https://us3.assetplanner.com/service_request?ID=100230" xr:uid="{9414B2DE-83F1-42F6-A41B-0C1F22C0E77D}"/>
    <hyperlink ref="O22" r:id="rId43" display="https://us3.assetplanner.com/service_request?ID=100353" xr:uid="{6E676D12-BB5F-4681-87BB-3E5C9F027AB7}"/>
    <hyperlink ref="K23" r:id="rId44" display="https://us3.assetplanner.com/service_request?ID=098405" xr:uid="{202B4252-CEFD-4EC4-B425-16B7E8394E79}"/>
    <hyperlink ref="L23" r:id="rId45" display="https://us3.assetplanner.com/service_request?ID=099855" xr:uid="{D2581E2F-0403-4C81-BFD1-49693968C74E}"/>
    <hyperlink ref="M23" r:id="rId46" display="https://us3.assetplanner.com/service_request?ID=100063" xr:uid="{970A2609-1D76-4098-9A7A-61F38A27214D}"/>
    <hyperlink ref="N23" r:id="rId47" display="https://us3.assetplanner.com/service_request?ID=100358" xr:uid="{BB491E24-90DF-4676-A78F-302F134803DE}"/>
    <hyperlink ref="K24" r:id="rId48" display="https://us3.assetplanner.com/service_request?ID=100435" xr:uid="{274BB346-4D92-4100-BA0E-FEFF3BF2B1DF}"/>
    <hyperlink ref="K25" r:id="rId49" display="https://us3.assetplanner.com/service_request?ID=100437" xr:uid="{F5B2A24E-FE4A-4D0F-917E-127268994686}"/>
    <hyperlink ref="L25" r:id="rId50" display="https://us3.assetplanner.com/service_request?ID=100463" xr:uid="{2F2B5A99-A375-41DA-B71B-7679AA44D7EC}"/>
    <hyperlink ref="K26" r:id="rId51" display="https://us3.assetplanner.com/service_request?ID=100033" xr:uid="{D7589492-B728-4293-BEF6-78BE27EC6DA4}"/>
    <hyperlink ref="L26" r:id="rId52" display="https://us3.assetplanner.com/service_request?ID=100475" xr:uid="{9DADA7D8-7085-48E2-B509-DFDC1001042B}"/>
    <hyperlink ref="K27" r:id="rId53" display="https://us3.assetplanner.com/service_request?ID=094254" xr:uid="{9914E299-538C-4740-A8CD-55B2450BEC99}"/>
    <hyperlink ref="K29" r:id="rId54" display="https://us3.assetplanner.com/service_request?ID=099534" xr:uid="{5AD43E6A-EB66-405B-9A6E-B6E2C031B5CE}"/>
    <hyperlink ref="L29" r:id="rId55" display="https://us3.assetplanner.com/service_request?ID=101357" xr:uid="{1DB57C67-5DBF-40D2-8FE9-1EA64947E9B9}"/>
    <hyperlink ref="K30" r:id="rId56" display="https://us3.assetplanner.com/service_request?ID=100018" xr:uid="{3E57CDB6-8D97-4A54-9384-6045EDAFC5A5}"/>
    <hyperlink ref="L30" r:id="rId57" display="https://us3.assetplanner.com/service_request?ID=100440" xr:uid="{C3353A43-E4F6-4FD5-8DFC-BBFC4F9A8200}"/>
    <hyperlink ref="K31" r:id="rId58" display="https://us3.assetplanner.com/service_request?ID=100441" xr:uid="{C49C8927-0370-432F-A3E3-40CC2584AE6A}"/>
    <hyperlink ref="L31" r:id="rId59" display="https://us3.assetplanner.com/service_request?ID=100710" xr:uid="{BB980E05-0908-47E6-B510-42C57B59DF72}"/>
    <hyperlink ref="K33" r:id="rId60" display="https://us3.assetplanner.com/service_request?ID=098468" xr:uid="{F43282DE-69F6-47C3-86B8-367B843FE24B}"/>
    <hyperlink ref="L33" r:id="rId61" display="https://us3.assetplanner.com/service_request?ID=098503" xr:uid="{E29F5293-1C6B-4A60-BE6C-54A1C108C99F}"/>
    <hyperlink ref="M33" r:id="rId62" display="https://us3.assetplanner.com/service_request?ID=099298" xr:uid="{5DEBEFEC-F0DB-4C45-A314-7D7B20454EC4}"/>
    <hyperlink ref="N33" r:id="rId63" display="https://us3.assetplanner.com/service_request?ID=099438" xr:uid="{7225E479-5700-4826-9D85-CB0158B9CCF5}"/>
    <hyperlink ref="O33" r:id="rId64" display="https://us3.assetplanner.com/service_request?ID=099815" xr:uid="{F791A2B0-DBF7-4908-A6AF-0EA1CDA932D0}"/>
    <hyperlink ref="P33" r:id="rId65" display="https://us3.assetplanner.com/service_request?ID=099920" xr:uid="{EC39187D-574A-4022-9FDC-DC9A560C6EE6}"/>
    <hyperlink ref="Q33" r:id="rId66" display="https://us3.assetplanner.com/service_request?ID=101029" xr:uid="{ED5D193A-E41D-4D23-8E6D-39576DFB1179}"/>
    <hyperlink ref="K34" r:id="rId67" display="https://us3.assetplanner.com/service_request?ID=100140" xr:uid="{15FD2BC5-C6B3-45F9-8203-E7435336D867}"/>
    <hyperlink ref="L34" r:id="rId68" display="https://us3.assetplanner.com/service_request?ID=099806" xr:uid="{C59060DC-56AB-4813-BBAE-ECDD5967A1D5}"/>
    <hyperlink ref="M34" r:id="rId69" display="https://us3.assetplanner.com/service_request?ID=099359" xr:uid="{86B7B515-4FB9-43AD-8424-B2CE55849BC7}"/>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5"/>
  <sheetViews>
    <sheetView zoomScale="60" zoomScaleNormal="60" workbookViewId="0">
      <pane xSplit="2" ySplit="3" topLeftCell="C21" activePane="bottomRight" state="frozen"/>
      <selection pane="bottomRight" activeCell="H23" sqref="H2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6"/>
  </cols>
  <sheetData>
    <row r="1" spans="1:21" ht="19.5" customHeight="1">
      <c r="A1" s="87" t="str" cm="1">
        <f t="array" ref="A1">portfolio</f>
        <v>Lodestar</v>
      </c>
      <c r="B1" s="87"/>
      <c r="C1" s="87"/>
      <c r="D1" s="88" t="s">
        <v>331</v>
      </c>
      <c r="E1" s="88"/>
      <c r="F1" s="88"/>
      <c r="G1" s="86" t="s">
        <v>332</v>
      </c>
      <c r="H1" s="86"/>
      <c r="I1" s="86"/>
      <c r="J1" s="4"/>
      <c r="K1" s="4"/>
    </row>
    <row r="2" spans="1:21" ht="19.5" customHeight="1">
      <c r="A2" s="89" t="s">
        <v>2</v>
      </c>
      <c r="B2" s="89"/>
      <c r="C2" s="5">
        <f>SUM(C4:C103)</f>
        <v>8563110.6214950494</v>
      </c>
      <c r="D2" s="5">
        <f>SUM(D4:D103)</f>
        <v>6483348.6600000001</v>
      </c>
      <c r="E2" s="5">
        <f>C2-D2</f>
        <v>2079761.9614950493</v>
      </c>
      <c r="F2" s="6">
        <f>IFERROR(E2/D2, 0)</f>
        <v>0.32078514831794491</v>
      </c>
      <c r="G2" s="5">
        <f>SUM(G4:G103)</f>
        <v>8159055.4300000006</v>
      </c>
      <c r="H2" s="7">
        <f>C2-G2</f>
        <v>404055.19149504881</v>
      </c>
      <c r="I2" s="6">
        <f>IFERROR(H2/G2, 0)</f>
        <v>4.9522300094858994E-2</v>
      </c>
      <c r="J2" s="26" t="str">
        <f ca="1">IF(AND(TODAY()&gt;DATE(2024, 5, 1), COUNTA(Sites[Site])&lt;&gt;(COUNT(C:C)-1)), "Some sites are missing actual data; if new sites were added, make sure they are aligned correctly (including prior months!)", "")</f>
        <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0" customHeight="1">
      <c r="A4" s="56" t="str" cm="1">
        <f t="array" ref="A4:A34">Sites[Site]</f>
        <v>Barkhamsted</v>
      </c>
      <c r="B4" s="27" t="str" cm="1">
        <f t="array" ref="B4:B34">Sites[State]</f>
        <v>CT</v>
      </c>
      <c r="C4" s="24">
        <v>146345</v>
      </c>
      <c r="D4" s="13">
        <v>151700</v>
      </c>
      <c r="E4" s="13">
        <f>IF(AND(ISNUMBER(C4),ISNUMBER(D4)), C4-D4, "")</f>
        <v>-5355</v>
      </c>
      <c r="F4" s="14">
        <f>IFERROR(E4/D4, "")</f>
        <v>-3.5299934080421883E-2</v>
      </c>
      <c r="G4" s="15">
        <v>187719.6</v>
      </c>
      <c r="H4" s="15">
        <f>IF(AND(ISNUMBER(C4),ISNUMBER(G4)), C4-G4, "")</f>
        <v>-41374.600000000006</v>
      </c>
      <c r="I4" s="16">
        <f>IFERROR(H4/G4, "")</f>
        <v>-0.22040639336542378</v>
      </c>
      <c r="J4" s="38" t="s">
        <v>333</v>
      </c>
      <c r="K4" s="72" t="s">
        <v>334</v>
      </c>
      <c r="L4" s="77" t="s">
        <v>335</v>
      </c>
      <c r="M4" s="77" t="s">
        <v>336</v>
      </c>
      <c r="N4" s="77" t="s">
        <v>337</v>
      </c>
    </row>
    <row r="5" spans="1:21" ht="100.9">
      <c r="A5" s="28" t="str">
        <v>Bunce</v>
      </c>
      <c r="B5" s="29" t="str">
        <v>CT</v>
      </c>
      <c r="C5" s="11">
        <v>298241.5</v>
      </c>
      <c r="D5" s="18">
        <v>170854.3</v>
      </c>
      <c r="E5" s="18">
        <f t="shared" ref="E5:E28" si="0">IF(AND(ISNUMBER(C5),ISNUMBER(D5)), C5-D5, "")</f>
        <v>127387.20000000001</v>
      </c>
      <c r="F5" s="19">
        <f>IFERROR(E5/D5, "")</f>
        <v>0.74558966323938014</v>
      </c>
      <c r="G5" s="20">
        <v>0</v>
      </c>
      <c r="H5" s="20">
        <f t="shared" ref="H5:H28" si="1">IF(AND(ISNUMBER(C5),ISNUMBER(G5)), C5-G5, "")</f>
        <v>298241.5</v>
      </c>
      <c r="I5" s="19" t="str">
        <f t="shared" ref="I5:I28" si="2">IFERROR(H5/G5, "")</f>
        <v/>
      </c>
      <c r="J5" s="39" t="s">
        <v>338</v>
      </c>
      <c r="K5" s="74" t="s">
        <v>339</v>
      </c>
      <c r="L5" s="77" t="s">
        <v>340</v>
      </c>
    </row>
    <row r="6" spans="1:21" ht="168" customHeight="1">
      <c r="A6" s="56" t="str">
        <v>Norcap North</v>
      </c>
      <c r="B6" s="27" t="str">
        <v>CT</v>
      </c>
      <c r="C6" s="24">
        <v>301406</v>
      </c>
      <c r="D6" s="13">
        <v>279733</v>
      </c>
      <c r="E6" s="13">
        <f t="shared" si="0"/>
        <v>21673</v>
      </c>
      <c r="F6" s="14">
        <f t="shared" ref="F6:F28" si="3">IFERROR(E6/D6, "")</f>
        <v>7.7477451712883352E-2</v>
      </c>
      <c r="G6" s="15">
        <v>361445.6</v>
      </c>
      <c r="H6" s="15">
        <f t="shared" si="1"/>
        <v>-60039.599999999977</v>
      </c>
      <c r="I6" s="16">
        <f t="shared" si="2"/>
        <v>-0.16610964416221966</v>
      </c>
      <c r="J6" s="38" t="s">
        <v>341</v>
      </c>
      <c r="K6" s="72" t="s">
        <v>342</v>
      </c>
      <c r="L6" s="77" t="s">
        <v>343</v>
      </c>
      <c r="M6" s="77" t="s">
        <v>344</v>
      </c>
      <c r="N6" s="77" t="s">
        <v>345</v>
      </c>
    </row>
    <row r="7" spans="1:21" ht="15.6">
      <c r="A7" s="28" t="str">
        <v>Norcap South</v>
      </c>
      <c r="B7" s="29" t="str">
        <v>CT</v>
      </c>
      <c r="C7" s="11">
        <v>311807</v>
      </c>
      <c r="D7" s="18">
        <v>292824.40000000002</v>
      </c>
      <c r="E7" s="18">
        <f t="shared" si="0"/>
        <v>18982.599999999977</v>
      </c>
      <c r="F7" s="19">
        <f t="shared" si="3"/>
        <v>6.4825881996172369E-2</v>
      </c>
      <c r="G7" s="20">
        <v>353736.8</v>
      </c>
      <c r="H7" s="20">
        <f t="shared" si="1"/>
        <v>-41929.799999999988</v>
      </c>
      <c r="I7" s="19">
        <f t="shared" si="2"/>
        <v>-0.11853389299614853</v>
      </c>
      <c r="J7" s="39"/>
      <c r="K7" s="48"/>
    </row>
    <row r="8" spans="1:21" ht="28.9">
      <c r="A8" s="56" t="str">
        <v>Platt Hill</v>
      </c>
      <c r="B8" s="27" t="str">
        <v>CT</v>
      </c>
      <c r="C8" s="24">
        <v>325672</v>
      </c>
      <c r="D8" s="13">
        <v>333533.09999999998</v>
      </c>
      <c r="E8" s="13">
        <f t="shared" si="0"/>
        <v>-7861.0999999999767</v>
      </c>
      <c r="F8" s="14">
        <f t="shared" si="3"/>
        <v>-2.3569174993426371E-2</v>
      </c>
      <c r="G8" s="15">
        <v>419927.5</v>
      </c>
      <c r="H8" s="15">
        <f t="shared" si="1"/>
        <v>-94255.5</v>
      </c>
      <c r="I8" s="16">
        <f t="shared" si="2"/>
        <v>-0.22445660262783457</v>
      </c>
      <c r="J8" s="38" t="s">
        <v>346</v>
      </c>
      <c r="K8" s="72" t="s">
        <v>347</v>
      </c>
    </row>
    <row r="9" spans="1:21" ht="86.45">
      <c r="A9" s="28" t="str">
        <v>Powder Hill</v>
      </c>
      <c r="B9" s="29" t="str">
        <v>CT</v>
      </c>
      <c r="C9" s="11">
        <v>299984</v>
      </c>
      <c r="D9" s="18">
        <v>301833.2</v>
      </c>
      <c r="E9" s="18">
        <f t="shared" si="0"/>
        <v>-1849.2000000000116</v>
      </c>
      <c r="F9" s="19">
        <f t="shared" si="3"/>
        <v>-6.1265626180288038E-3</v>
      </c>
      <c r="G9" s="20">
        <v>285876</v>
      </c>
      <c r="H9" s="20">
        <f t="shared" si="1"/>
        <v>14108</v>
      </c>
      <c r="I9" s="19">
        <f t="shared" si="2"/>
        <v>4.9350067861590338E-2</v>
      </c>
      <c r="J9" s="39" t="s">
        <v>348</v>
      </c>
      <c r="K9" s="74" t="s">
        <v>349</v>
      </c>
      <c r="L9" s="77" t="s">
        <v>350</v>
      </c>
    </row>
    <row r="10" spans="1:21" ht="43.15">
      <c r="A10" s="56" t="str">
        <v>Sand Road</v>
      </c>
      <c r="B10" s="27" t="str">
        <v>CT</v>
      </c>
      <c r="C10" s="24">
        <v>311887.95049504703</v>
      </c>
      <c r="D10" s="13">
        <v>267765.40000000002</v>
      </c>
      <c r="E10" s="13">
        <f t="shared" si="0"/>
        <v>44122.550495047006</v>
      </c>
      <c r="F10" s="14">
        <f t="shared" si="3"/>
        <v>0.16478062697811965</v>
      </c>
      <c r="G10" s="15">
        <v>345518</v>
      </c>
      <c r="H10" s="15">
        <f t="shared" si="1"/>
        <v>-33630.049504952971</v>
      </c>
      <c r="I10" s="16">
        <f t="shared" si="2"/>
        <v>-9.7332264903573676E-2</v>
      </c>
      <c r="J10" s="38" t="s">
        <v>351</v>
      </c>
      <c r="K10" s="38" t="s">
        <v>352</v>
      </c>
    </row>
    <row r="11" spans="1:21" ht="32.25" customHeight="1">
      <c r="A11" s="28" t="str">
        <v>Suffield</v>
      </c>
      <c r="B11" s="29" t="str">
        <v>CT</v>
      </c>
      <c r="C11" s="11">
        <v>309689</v>
      </c>
      <c r="D11" s="18">
        <v>293001.3</v>
      </c>
      <c r="E11" s="18">
        <f t="shared" si="0"/>
        <v>16687.700000000012</v>
      </c>
      <c r="F11" s="19">
        <f t="shared" si="3"/>
        <v>5.6954354810029896E-2</v>
      </c>
      <c r="G11" s="20">
        <v>370616.2</v>
      </c>
      <c r="H11" s="20">
        <f t="shared" si="1"/>
        <v>-60927.200000000012</v>
      </c>
      <c r="I11" s="19">
        <f t="shared" si="2"/>
        <v>-0.16439432491078373</v>
      </c>
      <c r="J11" s="48" t="s">
        <v>353</v>
      </c>
      <c r="K11" s="48"/>
    </row>
    <row r="12" spans="1:21" ht="72">
      <c r="A12" s="56" t="str">
        <v>Ashby-Duffy</v>
      </c>
      <c r="B12" s="27" t="str">
        <v>MA</v>
      </c>
      <c r="C12" s="24">
        <v>278428</v>
      </c>
      <c r="D12" s="13">
        <v>317015</v>
      </c>
      <c r="E12" s="13">
        <f t="shared" si="0"/>
        <v>-38587</v>
      </c>
      <c r="F12" s="14">
        <f t="shared" si="3"/>
        <v>-0.12171979243884359</v>
      </c>
      <c r="G12" s="15">
        <v>346494.4</v>
      </c>
      <c r="H12" s="15">
        <f t="shared" si="1"/>
        <v>-68066.400000000023</v>
      </c>
      <c r="I12" s="16">
        <f t="shared" si="2"/>
        <v>-0.19644300167621762</v>
      </c>
      <c r="J12" s="38" t="s">
        <v>354</v>
      </c>
      <c r="K12" s="72" t="s">
        <v>355</v>
      </c>
      <c r="L12" s="77" t="s">
        <v>356</v>
      </c>
      <c r="M12" s="77" t="s">
        <v>357</v>
      </c>
    </row>
    <row r="13" spans="1:21" ht="218.25" customHeight="1">
      <c r="A13" s="28" t="str">
        <v>Ashland</v>
      </c>
      <c r="B13" s="29" t="str">
        <v>MA</v>
      </c>
      <c r="C13" s="11">
        <v>297877.5</v>
      </c>
      <c r="D13" s="18">
        <v>302492.5</v>
      </c>
      <c r="E13" s="18">
        <f t="shared" si="0"/>
        <v>-4615</v>
      </c>
      <c r="F13" s="19">
        <f t="shared" si="3"/>
        <v>-1.5256576609337422E-2</v>
      </c>
      <c r="G13" s="20">
        <v>395984.4</v>
      </c>
      <c r="H13" s="20">
        <f t="shared" si="1"/>
        <v>-98106.900000000023</v>
      </c>
      <c r="I13" s="19">
        <f t="shared" si="2"/>
        <v>-0.24775445699376039</v>
      </c>
      <c r="J13" s="48" t="s">
        <v>358</v>
      </c>
      <c r="K13" s="74" t="s">
        <v>359</v>
      </c>
      <c r="L13" s="77" t="s">
        <v>103</v>
      </c>
      <c r="M13" s="77" t="s">
        <v>360</v>
      </c>
      <c r="N13" s="77" t="s">
        <v>104</v>
      </c>
      <c r="O13" s="77" t="s">
        <v>106</v>
      </c>
      <c r="P13" s="77" t="s">
        <v>105</v>
      </c>
      <c r="Q13" s="84" t="s">
        <v>107</v>
      </c>
      <c r="R13" s="84" t="s">
        <v>277</v>
      </c>
      <c r="S13" s="84" t="s">
        <v>361</v>
      </c>
      <c r="T13" s="84" t="s">
        <v>362</v>
      </c>
      <c r="U13" s="84" t="s">
        <v>363</v>
      </c>
    </row>
    <row r="14" spans="1:21" ht="86.45">
      <c r="A14" s="56" t="str">
        <v>Barrington</v>
      </c>
      <c r="B14" s="27" t="str">
        <v>MA</v>
      </c>
      <c r="C14" s="24">
        <v>68376.5</v>
      </c>
      <c r="D14" s="13">
        <v>37937.870000000003</v>
      </c>
      <c r="E14" s="13">
        <f t="shared" si="0"/>
        <v>30438.629999999997</v>
      </c>
      <c r="F14" s="14">
        <f t="shared" si="3"/>
        <v>0.80232838585824651</v>
      </c>
      <c r="G14" s="15">
        <v>88630</v>
      </c>
      <c r="H14" s="15">
        <f t="shared" si="1"/>
        <v>-20253.5</v>
      </c>
      <c r="I14" s="16">
        <f t="shared" si="2"/>
        <v>-0.22851743202076047</v>
      </c>
      <c r="J14" s="38" t="s">
        <v>364</v>
      </c>
      <c r="K14" s="72" t="s">
        <v>365</v>
      </c>
      <c r="L14" s="77" t="s">
        <v>366</v>
      </c>
    </row>
    <row r="15" spans="1:21" ht="74.25" customHeight="1">
      <c r="A15" s="28" t="str">
        <v>Bedford - 205 Burlington Rd</v>
      </c>
      <c r="B15" s="29" t="str">
        <v>MA</v>
      </c>
      <c r="C15" s="11">
        <v>38548</v>
      </c>
      <c r="D15" s="18" t="s">
        <v>24</v>
      </c>
      <c r="E15" s="18" t="str">
        <f t="shared" si="0"/>
        <v/>
      </c>
      <c r="F15" s="19" t="str">
        <f t="shared" si="3"/>
        <v/>
      </c>
      <c r="G15" s="67" t="s">
        <v>24</v>
      </c>
      <c r="H15" s="20" t="str">
        <f t="shared" si="1"/>
        <v/>
      </c>
      <c r="I15" s="19" t="str">
        <f t="shared" si="2"/>
        <v/>
      </c>
      <c r="J15" s="48"/>
      <c r="K15" s="48"/>
    </row>
    <row r="16" spans="1:21" ht="15.6">
      <c r="A16" s="56" t="str">
        <v>Billerica - 6 Cook Street</v>
      </c>
      <c r="B16" s="27" t="str">
        <v>MA</v>
      </c>
      <c r="C16" s="24">
        <v>33772</v>
      </c>
      <c r="D16" s="13" t="s">
        <v>24</v>
      </c>
      <c r="E16" s="13" t="str">
        <f t="shared" si="0"/>
        <v/>
      </c>
      <c r="F16" s="14" t="str">
        <f t="shared" si="3"/>
        <v/>
      </c>
      <c r="G16" s="68" t="s">
        <v>24</v>
      </c>
      <c r="H16" s="15" t="str">
        <f t="shared" si="1"/>
        <v/>
      </c>
      <c r="I16" s="16" t="str">
        <f t="shared" si="2"/>
        <v/>
      </c>
      <c r="J16" s="38"/>
      <c r="K16" s="38"/>
    </row>
    <row r="17" spans="1:15" ht="43.15">
      <c r="A17" s="28" t="str">
        <v>Billerica - 780 Boston Road</v>
      </c>
      <c r="B17" s="29" t="str">
        <v>MA</v>
      </c>
      <c r="C17" s="11">
        <v>39963</v>
      </c>
      <c r="D17" s="18" t="s">
        <v>24</v>
      </c>
      <c r="E17" s="18" t="str">
        <f t="shared" si="0"/>
        <v/>
      </c>
      <c r="F17" s="19" t="str">
        <f t="shared" si="3"/>
        <v/>
      </c>
      <c r="G17" s="67" t="s">
        <v>24</v>
      </c>
      <c r="H17" s="20" t="str">
        <f t="shared" si="1"/>
        <v/>
      </c>
      <c r="I17" s="19" t="str">
        <f t="shared" si="2"/>
        <v/>
      </c>
      <c r="J17" s="39" t="s">
        <v>367</v>
      </c>
      <c r="K17" s="74" t="s">
        <v>368</v>
      </c>
    </row>
    <row r="18" spans="1:15" ht="33.75" customHeight="1">
      <c r="A18" s="56" t="str">
        <v>Cheshire</v>
      </c>
      <c r="B18" s="27" t="str">
        <v>MA</v>
      </c>
      <c r="C18" s="24">
        <v>65020.75</v>
      </c>
      <c r="D18" s="13">
        <v>66082.880000000005</v>
      </c>
      <c r="E18" s="13">
        <f t="shared" si="0"/>
        <v>-1062.1300000000047</v>
      </c>
      <c r="F18" s="14">
        <f t="shared" si="3"/>
        <v>-1.6072695378893966E-2</v>
      </c>
      <c r="G18" s="15">
        <v>72176.47</v>
      </c>
      <c r="H18" s="15">
        <f t="shared" si="1"/>
        <v>-7155.7200000000012</v>
      </c>
      <c r="I18" s="16">
        <f t="shared" si="2"/>
        <v>-9.9142005697978874E-2</v>
      </c>
      <c r="J18" s="38" t="s">
        <v>369</v>
      </c>
      <c r="K18" s="38"/>
    </row>
    <row r="19" spans="1:15" ht="15.6">
      <c r="A19" s="28" t="str">
        <v>Lilly Lane</v>
      </c>
      <c r="B19" s="29" t="str">
        <v>MA</v>
      </c>
      <c r="C19" s="11">
        <v>150622.5</v>
      </c>
      <c r="D19" s="18">
        <v>141067.20000000001</v>
      </c>
      <c r="E19" s="18">
        <f t="shared" si="0"/>
        <v>9555.2999999999884</v>
      </c>
      <c r="F19" s="19">
        <f t="shared" si="3"/>
        <v>6.7735802511143542E-2</v>
      </c>
      <c r="G19" s="20">
        <v>174942.4</v>
      </c>
      <c r="H19" s="20">
        <f t="shared" si="1"/>
        <v>-24319.899999999994</v>
      </c>
      <c r="I19" s="19">
        <f t="shared" si="2"/>
        <v>-0.13901661346820438</v>
      </c>
      <c r="J19" s="39" t="s">
        <v>370</v>
      </c>
      <c r="K19" s="74" t="s">
        <v>371</v>
      </c>
    </row>
    <row r="20" spans="1:15" ht="57.6">
      <c r="A20" s="56" t="str">
        <v>Monument Valley</v>
      </c>
      <c r="B20" s="27" t="str">
        <v>MA</v>
      </c>
      <c r="C20" s="24">
        <v>308672.71000000101</v>
      </c>
      <c r="D20" s="13">
        <v>56841.47</v>
      </c>
      <c r="E20" s="13">
        <f t="shared" si="0"/>
        <v>251831.24000000101</v>
      </c>
      <c r="F20" s="14">
        <f t="shared" si="3"/>
        <v>4.4304139213852318</v>
      </c>
      <c r="G20" s="15">
        <v>0</v>
      </c>
      <c r="H20" s="15">
        <f t="shared" si="1"/>
        <v>308672.71000000101</v>
      </c>
      <c r="I20" s="16" t="str">
        <f t="shared" si="2"/>
        <v/>
      </c>
      <c r="J20" s="38" t="s">
        <v>283</v>
      </c>
      <c r="K20" s="72" t="s">
        <v>372</v>
      </c>
    </row>
    <row r="21" spans="1:15" ht="115.15">
      <c r="A21" s="28" t="str">
        <v>Nationwide</v>
      </c>
      <c r="B21" s="29" t="str">
        <v>MA</v>
      </c>
      <c r="C21" s="11">
        <v>557878</v>
      </c>
      <c r="D21" s="18">
        <v>442386.1</v>
      </c>
      <c r="E21" s="18">
        <f t="shared" si="0"/>
        <v>115491.90000000002</v>
      </c>
      <c r="F21" s="19">
        <f t="shared" si="3"/>
        <v>0.26106584271070005</v>
      </c>
      <c r="G21" s="20">
        <v>549147.6</v>
      </c>
      <c r="H21" s="20">
        <f t="shared" si="1"/>
        <v>8730.4000000000233</v>
      </c>
      <c r="I21" s="19">
        <f t="shared" si="2"/>
        <v>1.5898093700127295E-2</v>
      </c>
      <c r="J21" s="39" t="s">
        <v>373</v>
      </c>
      <c r="K21" s="74" t="s">
        <v>374</v>
      </c>
      <c r="L21" s="77" t="s">
        <v>375</v>
      </c>
    </row>
    <row r="22" spans="1:15" ht="57.6">
      <c r="A22" s="56" t="str">
        <v>Pulpit Hill</v>
      </c>
      <c r="B22" s="27" t="str">
        <v>MA</v>
      </c>
      <c r="C22" s="24">
        <v>673176.5</v>
      </c>
      <c r="D22" s="13">
        <v>639653.9</v>
      </c>
      <c r="E22" s="13">
        <f t="shared" si="0"/>
        <v>33522.599999999977</v>
      </c>
      <c r="F22" s="14">
        <f t="shared" si="3"/>
        <v>5.2407403441142114E-2</v>
      </c>
      <c r="G22" s="15">
        <v>781076.6</v>
      </c>
      <c r="H22" s="15">
        <f t="shared" si="1"/>
        <v>-107900.09999999998</v>
      </c>
      <c r="I22" s="16">
        <f t="shared" si="2"/>
        <v>-0.13814278906831925</v>
      </c>
      <c r="J22" s="38" t="s">
        <v>376</v>
      </c>
      <c r="K22" s="72" t="s">
        <v>377</v>
      </c>
      <c r="L22" s="77" t="s">
        <v>378</v>
      </c>
    </row>
    <row r="23" spans="1:15" ht="57.6">
      <c r="A23" s="28" t="str">
        <v>Sandwich</v>
      </c>
      <c r="B23" s="29" t="str">
        <v>MA</v>
      </c>
      <c r="C23" s="11">
        <v>469119</v>
      </c>
      <c r="D23" s="18">
        <v>354640</v>
      </c>
      <c r="E23" s="18">
        <f t="shared" si="0"/>
        <v>114479</v>
      </c>
      <c r="F23" s="19">
        <f t="shared" si="3"/>
        <v>0.32280340627114823</v>
      </c>
      <c r="G23" s="20">
        <v>627279</v>
      </c>
      <c r="H23" s="20">
        <f t="shared" si="1"/>
        <v>-158160</v>
      </c>
      <c r="I23" s="19">
        <f t="shared" si="2"/>
        <v>-0.2521366090686919</v>
      </c>
      <c r="J23" s="39" t="s">
        <v>379</v>
      </c>
      <c r="K23" s="74" t="s">
        <v>380</v>
      </c>
      <c r="L23" s="85" t="s">
        <v>381</v>
      </c>
    </row>
    <row r="24" spans="1:15" ht="43.15">
      <c r="A24" s="56" t="str">
        <v>Sturbridge Barn</v>
      </c>
      <c r="B24" s="27" t="str">
        <v>MA</v>
      </c>
      <c r="C24" s="24">
        <v>152276</v>
      </c>
      <c r="D24" s="13">
        <v>149278</v>
      </c>
      <c r="E24" s="13">
        <f t="shared" si="0"/>
        <v>2998</v>
      </c>
      <c r="F24" s="14">
        <f t="shared" si="3"/>
        <v>2.0083334449818458E-2</v>
      </c>
      <c r="G24" s="15">
        <v>199702.9</v>
      </c>
      <c r="H24" s="15">
        <f t="shared" si="1"/>
        <v>-47426.899999999994</v>
      </c>
      <c r="I24" s="16">
        <f t="shared" si="2"/>
        <v>-0.23748728736538124</v>
      </c>
      <c r="J24" s="38" t="s">
        <v>382</v>
      </c>
      <c r="K24" s="72" t="s">
        <v>383</v>
      </c>
    </row>
    <row r="25" spans="1:15" ht="43.15">
      <c r="A25" s="28" t="str">
        <v>Sturbridge Garage</v>
      </c>
      <c r="B25" s="29" t="str">
        <v>MA</v>
      </c>
      <c r="C25" s="11">
        <v>77321</v>
      </c>
      <c r="D25" s="18">
        <v>70679.64</v>
      </c>
      <c r="E25" s="18">
        <f t="shared" si="0"/>
        <v>6641.3600000000006</v>
      </c>
      <c r="F25" s="19">
        <f t="shared" si="3"/>
        <v>9.396425901433568E-2</v>
      </c>
      <c r="G25" s="20">
        <v>86417.16</v>
      </c>
      <c r="H25" s="20">
        <f t="shared" si="1"/>
        <v>-9096.1600000000035</v>
      </c>
      <c r="I25" s="19">
        <f t="shared" si="2"/>
        <v>-0.1052587240774865</v>
      </c>
      <c r="J25" s="39" t="s">
        <v>384</v>
      </c>
      <c r="K25" s="74" t="s">
        <v>385</v>
      </c>
    </row>
    <row r="26" spans="1:15" ht="28.9">
      <c r="A26" s="56" t="str">
        <v>Halsey Valley</v>
      </c>
      <c r="B26" s="27" t="str">
        <v>NY</v>
      </c>
      <c r="C26" s="24">
        <v>734511.71999999904</v>
      </c>
      <c r="D26" s="13">
        <v>715084.5</v>
      </c>
      <c r="E26" s="13">
        <f t="shared" si="0"/>
        <v>19427.219999999041</v>
      </c>
      <c r="F26" s="14">
        <f t="shared" si="3"/>
        <v>2.7167726331641981E-2</v>
      </c>
      <c r="G26" s="15">
        <v>1022000</v>
      </c>
      <c r="H26" s="15">
        <f t="shared" si="1"/>
        <v>-287488.28000000096</v>
      </c>
      <c r="I26" s="16">
        <f t="shared" si="2"/>
        <v>-0.28129968688845497</v>
      </c>
      <c r="J26" s="38" t="s">
        <v>386</v>
      </c>
      <c r="K26" s="72" t="s">
        <v>387</v>
      </c>
    </row>
    <row r="27" spans="1:15" ht="144">
      <c r="A27" s="28" t="str">
        <v>Hunt Creek</v>
      </c>
      <c r="B27" s="29" t="str">
        <v>NY</v>
      </c>
      <c r="C27" s="11">
        <v>512431.00000000198</v>
      </c>
      <c r="D27" s="18">
        <v>522549.3</v>
      </c>
      <c r="E27" s="18">
        <f t="shared" si="0"/>
        <v>-10118.299999998009</v>
      </c>
      <c r="F27" s="19">
        <f t="shared" si="3"/>
        <v>-1.9363340454188742E-2</v>
      </c>
      <c r="G27" s="20">
        <v>742100</v>
      </c>
      <c r="H27" s="20">
        <f t="shared" si="1"/>
        <v>-229668.99999999802</v>
      </c>
      <c r="I27" s="19">
        <f t="shared" si="2"/>
        <v>-0.30948524457620002</v>
      </c>
      <c r="J27" s="39" t="s">
        <v>388</v>
      </c>
      <c r="K27" s="74" t="s">
        <v>389</v>
      </c>
      <c r="L27" s="77" t="s">
        <v>390</v>
      </c>
      <c r="M27" s="77" t="s">
        <v>391</v>
      </c>
      <c r="N27" s="77" t="s">
        <v>392</v>
      </c>
    </row>
    <row r="28" spans="1:15" ht="72">
      <c r="A28" s="56" t="str">
        <v>Smith Creek</v>
      </c>
      <c r="B28" s="27" t="str">
        <v>NY</v>
      </c>
      <c r="C28" s="24">
        <v>563289</v>
      </c>
      <c r="D28" s="13">
        <v>576395.6</v>
      </c>
      <c r="E28" s="13">
        <f t="shared" si="0"/>
        <v>-13106.599999999977</v>
      </c>
      <c r="F28" s="14">
        <f t="shared" si="3"/>
        <v>-2.273889668831611E-2</v>
      </c>
      <c r="G28" s="15">
        <v>748264.8</v>
      </c>
      <c r="H28" s="15">
        <f t="shared" si="1"/>
        <v>-184975.80000000005</v>
      </c>
      <c r="I28" s="16">
        <f t="shared" si="2"/>
        <v>-0.24720633658031227</v>
      </c>
      <c r="J28" s="38" t="s">
        <v>393</v>
      </c>
      <c r="K28" s="72" t="s">
        <v>394</v>
      </c>
      <c r="L28" s="77" t="s">
        <v>395</v>
      </c>
    </row>
    <row r="29" spans="1:15" ht="172.9">
      <c r="A29" s="28" t="str">
        <v>Bradford - 256 Presidential Dr</v>
      </c>
      <c r="B29" s="29" t="str">
        <v>MA</v>
      </c>
      <c r="C29" s="11">
        <v>578903.10800000001</v>
      </c>
      <c r="D29" s="18" t="s">
        <v>24</v>
      </c>
      <c r="E29" s="18"/>
      <c r="F29" s="19"/>
      <c r="G29" s="67" t="s">
        <v>24</v>
      </c>
      <c r="H29" s="20"/>
      <c r="I29" s="19"/>
      <c r="J29" s="39" t="s">
        <v>396</v>
      </c>
      <c r="K29" s="73" t="s">
        <v>397</v>
      </c>
      <c r="L29" s="77" t="s">
        <v>398</v>
      </c>
      <c r="M29" s="77" t="s">
        <v>399</v>
      </c>
      <c r="N29" s="77" t="s">
        <v>313</v>
      </c>
      <c r="O29" s="77" t="s">
        <v>400</v>
      </c>
    </row>
    <row r="30" spans="1:15" ht="43.15">
      <c r="A30" s="56" t="str">
        <v>Charlton – 111 Brookfield Road - Bus Lot</v>
      </c>
      <c r="B30" s="27" t="str">
        <v>MA</v>
      </c>
      <c r="C30" s="24">
        <v>75038.016000000003</v>
      </c>
      <c r="D30" s="13" t="s">
        <v>24</v>
      </c>
      <c r="E30" s="13"/>
      <c r="F30" s="14"/>
      <c r="G30" s="68" t="s">
        <v>24</v>
      </c>
      <c r="H30" s="15"/>
      <c r="I30" s="16"/>
      <c r="J30" s="38" t="s">
        <v>401</v>
      </c>
      <c r="K30" s="72" t="s">
        <v>402</v>
      </c>
    </row>
    <row r="31" spans="1:15" ht="43.15">
      <c r="A31" s="28" t="str">
        <v>Charlton – 154 Center Depot Road KMARD</v>
      </c>
      <c r="B31" s="29" t="str">
        <v>MA</v>
      </c>
      <c r="C31" s="11">
        <v>65512.063999999998</v>
      </c>
      <c r="D31" s="18" t="s">
        <v>24</v>
      </c>
      <c r="E31" s="18"/>
      <c r="F31" s="19"/>
      <c r="G31" s="67" t="s">
        <v>24</v>
      </c>
      <c r="H31" s="20"/>
      <c r="I31" s="19"/>
      <c r="J31" s="39" t="s">
        <v>403</v>
      </c>
      <c r="K31" s="75" t="s">
        <v>404</v>
      </c>
      <c r="L31" s="77" t="s">
        <v>405</v>
      </c>
    </row>
    <row r="32" spans="1:15" ht="15.6">
      <c r="A32" s="56" t="str">
        <v>Charlton – 142A Brookfield Rd (Mitchell)</v>
      </c>
      <c r="B32" s="27" t="str">
        <v>MA</v>
      </c>
      <c r="C32" s="24">
        <v>69400.063999999998</v>
      </c>
      <c r="D32" s="13" t="s">
        <v>24</v>
      </c>
      <c r="E32" s="13"/>
      <c r="F32" s="14"/>
      <c r="G32" s="68" t="s">
        <v>24</v>
      </c>
      <c r="H32" s="15"/>
      <c r="I32" s="16"/>
      <c r="J32" s="38"/>
      <c r="K32" s="38"/>
    </row>
    <row r="33" spans="1:15" ht="158.44999999999999">
      <c r="A33" s="28" t="str">
        <v>Great Barrington – 3 Nolan  Drive</v>
      </c>
      <c r="B33" s="29" t="str">
        <v>MA</v>
      </c>
      <c r="C33" s="11">
        <v>151014.33600000001</v>
      </c>
      <c r="D33" s="18" t="s">
        <v>24</v>
      </c>
      <c r="E33" s="18"/>
      <c r="F33" s="19"/>
      <c r="G33" s="67" t="s">
        <v>24</v>
      </c>
      <c r="H33" s="20"/>
      <c r="I33" s="19"/>
      <c r="J33" s="39" t="s">
        <v>406</v>
      </c>
      <c r="K33" s="73" t="s">
        <v>407</v>
      </c>
      <c r="L33" s="77" t="s">
        <v>322</v>
      </c>
      <c r="M33" s="77" t="s">
        <v>324</v>
      </c>
      <c r="N33" s="77" t="s">
        <v>325</v>
      </c>
      <c r="O33" s="77" t="s">
        <v>326</v>
      </c>
    </row>
    <row r="34" spans="1:15" ht="72">
      <c r="A34" s="56" t="str">
        <v>Stockbridge – 92 State Line Road Truck Stop</v>
      </c>
      <c r="B34" s="27" t="str">
        <v>MA</v>
      </c>
      <c r="C34" s="24">
        <v>296927.40299999999</v>
      </c>
      <c r="D34" s="13" t="s">
        <v>24</v>
      </c>
      <c r="E34" s="13"/>
      <c r="F34" s="14"/>
      <c r="G34" s="68" t="s">
        <v>24</v>
      </c>
      <c r="H34" s="15"/>
      <c r="I34" s="16"/>
      <c r="J34" s="38" t="s">
        <v>408</v>
      </c>
      <c r="K34" s="72" t="s">
        <v>409</v>
      </c>
      <c r="L34" s="77" t="s">
        <v>410</v>
      </c>
    </row>
    <row r="35" spans="1:15" ht="14.45">
      <c r="A35" s="21"/>
      <c r="B35" s="31"/>
      <c r="C35" s="21"/>
      <c r="D35" s="21"/>
      <c r="E35" s="21"/>
      <c r="F35" s="21"/>
      <c r="G35" s="21"/>
      <c r="H35" s="21"/>
      <c r="I35" s="21"/>
      <c r="J35" s="21"/>
      <c r="K35" s="21"/>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7" priority="3" stopIfTrue="1" operator="lessThanOrEqual">
      <formula>-0.1</formula>
    </cfRule>
    <cfRule type="expression" dxfId="36" priority="4">
      <formula>AND(ISNUMBER(F2), F2&gt;=0.1)</formula>
    </cfRule>
  </conditionalFormatting>
  <conditionalFormatting sqref="F4:F103 I4:I103">
    <cfRule type="cellIs" dxfId="35" priority="1" stopIfTrue="1" operator="lessThanOrEqual">
      <formula>-0.1</formula>
    </cfRule>
    <cfRule type="expression" dxfId="34" priority="2">
      <formula>AND(ISNUMBER(F4), F4&gt;=0.1)</formula>
    </cfRule>
  </conditionalFormatting>
  <hyperlinks>
    <hyperlink ref="K4" r:id="rId1" display="https://us3.assetplanner.com/service_request?ID=100967" xr:uid="{D7405734-2C2F-4F98-B99C-F46AFB035FF5}"/>
    <hyperlink ref="L4" r:id="rId2" display="https://us3.assetplanner.com/service_request?ID=101378" xr:uid="{4C55111C-B716-4628-B5F1-1A71BCE64D94}"/>
    <hyperlink ref="M4" r:id="rId3" display="https://us3.assetplanner.com/service_request?ID=101504" xr:uid="{44289809-D6A2-48A8-8F4B-7F0132F60ED6}"/>
    <hyperlink ref="N4" r:id="rId4" display="https://us3.assetplanner.com/service_request?ID=101739" xr:uid="{05820648-E0DF-418F-9798-FFC619C6BE39}"/>
    <hyperlink ref="K5" r:id="rId5" display="https://us3.assetplanner.com/service_request?ID=101404" xr:uid="{8FDB224B-CF60-43EC-8657-BEC11F2F98F2}"/>
    <hyperlink ref="L5" r:id="rId6" display="https://us3.assetplanner.com/service_request?ID=102179" xr:uid="{118F1613-A67F-4DF6-A4FE-80B40A025D77}"/>
    <hyperlink ref="K6" r:id="rId7" display="https://us3.assetplanner.com/service_request?ID=100943" xr:uid="{B32AB5F4-1A0A-41AE-BD08-7814EEF5AE15}"/>
    <hyperlink ref="L6" r:id="rId8" display="https://us3.assetplanner.com/service_request?ID=101960" xr:uid="{4E6148EE-E194-4AD8-A6FF-096E1309258D}"/>
    <hyperlink ref="M6" r:id="rId9" display="https://us3.assetplanner.com/service_request?ID=102051" xr:uid="{A7529B32-EE5B-4FFC-9613-0A6E82F69CFC}"/>
    <hyperlink ref="N6" r:id="rId10" display="https://us3.assetplanner.com/service_request?ID=101111" xr:uid="{F9387ADD-AB3A-4A66-A07A-82900DCDB2E4}"/>
    <hyperlink ref="K8" r:id="rId11" display="https://us3.assetplanner.com/service_request?ID=100968" xr:uid="{3A51A5FB-A946-4D9C-BF92-8E15EA8B1010}"/>
    <hyperlink ref="K9" r:id="rId12" display="https://us3.assetplanner.com/service_request?ID=100633" xr:uid="{7AEA5787-A96D-461C-8627-9560A6A8F0FA}"/>
    <hyperlink ref="L9" r:id="rId13" display="https://us3.assetplanner.com/service_request?ID=102083" xr:uid="{3F25346D-EB4F-4377-923B-D6494615637C}"/>
    <hyperlink ref="K12" r:id="rId14" display="https://us3.assetplanner.com/service_request?ID=099765" xr:uid="{6284F0B7-5534-4F4D-818C-44E405B534E7}"/>
    <hyperlink ref="L12" r:id="rId15" display="https://us3.assetplanner.com/service_request?ID=101869" xr:uid="{FE0FAF96-DBDE-49DA-A3BD-61EA7EA21132}"/>
    <hyperlink ref="M12" r:id="rId16" display="https://us3.assetplanner.com/service_request?ID=102226" xr:uid="{905359AB-69F8-4207-8855-17AA9C69F5DF}"/>
    <hyperlink ref="K13" r:id="rId17" display="https://us3.assetplanner.com/service_request?ID=088449" xr:uid="{97C1B093-3AFB-4841-A7D7-05C52BE1CDB0}"/>
    <hyperlink ref="L13" r:id="rId18" display="https://us3.assetplanner.com/service_request?ID=088450" xr:uid="{098DFF3B-56EE-47CD-BD48-20254211C13B}"/>
    <hyperlink ref="M13" r:id="rId19" display="https://us3.assetplanner.com/service_request?ID=102089" xr:uid="{BFE630EA-00CA-4976-823C-A9FA10925B04}"/>
    <hyperlink ref="N13" r:id="rId20" display="https://us3.assetplanner.com/service_request?ID=091962" xr:uid="{B6CFE41B-5D93-4D5E-825A-10AB6AE41E85}"/>
    <hyperlink ref="O13" r:id="rId21" display="https://us3.assetplanner.com/service_request?ID=097799" xr:uid="{1B9C3F41-A218-4D1C-9048-1FC8F9EE9F7B}"/>
    <hyperlink ref="P13" r:id="rId22" display="https://us3.assetplanner.com/service_request?ID=093117" xr:uid="{45E7FB8B-950D-4263-A296-B0E82090B56A}"/>
    <hyperlink ref="Q13" r:id="rId23" display="https://us3.assetplanner.com/service_request?ID=095816" xr:uid="{D44AA832-AEB8-4581-9376-8CE29A0F61EE}"/>
    <hyperlink ref="R13" r:id="rId24" display="https://us3.assetplanner.com/service_request?ID=099331" xr:uid="{2301738E-01D3-4060-BD4E-70B2310C7F9D}"/>
    <hyperlink ref="S13" r:id="rId25" display="https://us3.assetplanner.com/service_request?ID=101423" xr:uid="{9C4F0573-0D45-4D5D-97EA-F06921EBB04C}"/>
    <hyperlink ref="T13" r:id="rId26" display="https://us3.assetplanner.com/service_request?ID=100982" xr:uid="{6BA3F8AD-115D-4110-946E-163027AC3D6A}"/>
    <hyperlink ref="U13" r:id="rId27" display="https://us3.assetplanner.com/service_request?ID=101104" xr:uid="{1C56F8E5-BD45-43B7-8C0A-A08E7FAB17DD}"/>
    <hyperlink ref="K14" r:id="rId28" display="https://us3.assetplanner.com/service_request?ID=099616" xr:uid="{A6FCAFE2-F847-474F-ABAF-3CBDF26389D8}"/>
    <hyperlink ref="L14" r:id="rId29" display="https://us3.assetplanner.com/service_request?ID=101178" xr:uid="{6A4140A5-576A-4582-9D13-23412EA0DD9E}"/>
    <hyperlink ref="K17" r:id="rId30" display="https://us3.assetplanner.com/service_request?ID=101062" xr:uid="{BBBF851D-6A07-4D21-8D43-4F7FCE8CF573}"/>
    <hyperlink ref="K19" r:id="rId31" display="https://us3.assetplanner.com/service_request?ID=101921" xr:uid="{48C4774B-E845-408C-94B1-D1F13F0A9054}"/>
    <hyperlink ref="K20" r:id="rId32" display="https://us3.assetplanner.com/service_request?ID=087370" xr:uid="{01B510C9-E739-44F3-8ED8-E15F409E4FA3}"/>
    <hyperlink ref="K21" r:id="rId33" display="https://us3.assetplanner.com/service_request?ID=101031" xr:uid="{4B4A39C4-E51E-4F04-AD37-400EBCCEFE76}"/>
    <hyperlink ref="L21" r:id="rId34" display="https://us3.assetplanner.com/service_request?ID=101061" xr:uid="{C684B6AC-C28D-4F6C-9E1B-5A332F964EDA}"/>
    <hyperlink ref="K22" r:id="rId35" display="https://us3.assetplanner.com/service_request?ID=100353" xr:uid="{A8497A21-0884-4E89-B7C2-3FE6C542275D}"/>
    <hyperlink ref="L22" r:id="rId36" display="https://us3.assetplanner.com/service_request?ID=101879" xr:uid="{25423DB2-406B-4D6A-965D-F4ED8724EA73}"/>
    <hyperlink ref="K23" r:id="rId37" display="https://us3.assetplanner.com/service_request?ID=100358" xr:uid="{2F712DF0-DAE9-4585-A220-12D98D1FB0A5}"/>
    <hyperlink ref="L23" r:id="rId38" display="https://us3.assetplanner.com/service_request?ID=101648" xr:uid="{D781EFCB-9779-4681-876A-4DBBA955E9DC}"/>
    <hyperlink ref="K24" r:id="rId39" display="https://us3.assetplanner.com/service_request?ID=101935" xr:uid="{2049AC54-0A13-40BB-8723-EF00565E584F}"/>
    <hyperlink ref="K25" r:id="rId40" display="https://us3.assetplanner.com/service_request?ID=101916" xr:uid="{CEB33E64-3714-4F8F-BFC5-A90537309F5E}"/>
    <hyperlink ref="K26" r:id="rId41" display="https://us3.assetplanner.com/service_request?ID=101787" xr:uid="{A1E4C20F-DDCB-4EFF-8844-FE3BFBE85933}"/>
    <hyperlink ref="K27" r:id="rId42" display="https://us3.assetplanner.com/service_request?ID=094254" xr:uid="{6017991D-B058-4623-A1A4-CEF6F49DB08F}"/>
    <hyperlink ref="L27" r:id="rId43" display="https://us3.assetplanner.com/service_request?ID=101041" xr:uid="{B5BD9598-43D0-46C5-BF80-0F97D4CABB50}"/>
    <hyperlink ref="M27" r:id="rId44" display="https://us3.assetplanner.com/service_request?ID=101051" xr:uid="{65596BCD-247F-4BCC-A623-E9963AD0974D}"/>
    <hyperlink ref="N27" r:id="rId45" display="https://us3.assetplanner.com/service_request?ID=102009" xr:uid="{A82B8F48-00E3-4D85-B268-353E0E43414E}"/>
    <hyperlink ref="K28" r:id="rId46" display="https://us3.assetplanner.com/service_request?ID=101042" xr:uid="{567C63FD-BB5D-4EC8-A5D9-297024CDD6B4}"/>
    <hyperlink ref="L28" r:id="rId47" display="https://us3.assetplanner.com/service_request?ID=102010" xr:uid="{2F3404A4-4034-4A56-BB4B-64ADC195BF5E}"/>
    <hyperlink ref="K29" r:id="rId48" display="https://us3.assetplanner.com/service_request?ID=100988" xr:uid="{6AD887EF-6A41-4816-97FB-8164CEB15A91}"/>
    <hyperlink ref="L29" r:id="rId49" display="https://us3.assetplanner.com/service_request?ID=101074" xr:uid="{92D9F286-F0BD-412E-AF21-F7AA60975E78}"/>
    <hyperlink ref="M29" r:id="rId50" display="https://us3.assetplanner.com/service_request?ID=101231" xr:uid="{78747D17-DEEA-4D41-ADCB-57917E8A5959}"/>
    <hyperlink ref="N29" r:id="rId51" display="https://us3.assetplanner.com/service_request?ID=101357" xr:uid="{B939DB3D-96B8-443F-8EB8-34A278F5AD3C}"/>
    <hyperlink ref="O29" r:id="rId52" display="https://us3.assetplanner.com/service_request?ID=102183" xr:uid="{F2D90B3D-8066-441A-A2D7-E5625EF7940B}"/>
    <hyperlink ref="K30" r:id="rId53" display="https://us3.assetplanner.com/service_request?ID=101920" xr:uid="{9B174862-9118-44B3-A4A7-2602E14EBEE1}"/>
    <hyperlink ref="K31" r:id="rId54" display="https://us3.assetplanner.com/service_request?ID=100710" xr:uid="{9C8B1B5E-B883-4593-97CD-FD9A830971E9}"/>
    <hyperlink ref="L31" r:id="rId55" display="https://us3.assetplanner.com/service_request?ID=101508" xr:uid="{3C4C7F94-AA86-4ECD-9409-433F3F4141F5}"/>
    <hyperlink ref="K33" r:id="rId56" display="https://us3.assetplanner.com/service_request?ID=098468" xr:uid="{594A7498-67F6-40A1-9DBB-BA9B19694E5B}"/>
    <hyperlink ref="L33" r:id="rId57" display="https://us3.assetplanner.com/service_request?ID=099298" xr:uid="{BDDEE214-144A-4035-B2C9-FDE6CDA91B85}"/>
    <hyperlink ref="M33" r:id="rId58" display="https://us3.assetplanner.com/service_request?ID=099815" xr:uid="{AC3281B3-0529-422A-9E33-4D119134FC5A}"/>
    <hyperlink ref="N33" r:id="rId59" display="https://us3.assetplanner.com/service_request?ID=099920" xr:uid="{040D5A01-FE4A-408A-9B71-EAA9B41C4B1A}"/>
    <hyperlink ref="O33" r:id="rId60" display="https://us3.assetplanner.com/service_request?ID=101029" xr:uid="{699E1E4C-BDF9-4078-87D7-8809A296AB75}"/>
    <hyperlink ref="K34" r:id="rId61" display="https://us3.assetplanner.com/service_request?ID=101985" xr:uid="{4635F401-0921-4CF9-BF37-F283ADAE6617}"/>
    <hyperlink ref="L34" r:id="rId62" display="https://us3.assetplanner.com/service_request?ID=102231" xr:uid="{7DF45881-8300-4812-A85F-D4F1AF1CC473}"/>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45"/>
  <sheetViews>
    <sheetView zoomScale="95" zoomScaleNormal="95" workbookViewId="0">
      <pane xSplit="2" ySplit="3" topLeftCell="C23" activePane="bottomRight" state="frozen"/>
      <selection pane="bottomRight" activeCell="G23" sqref="G2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6"/>
  </cols>
  <sheetData>
    <row r="1" spans="1:12" ht="19.5" customHeight="1">
      <c r="A1" s="87" t="str" cm="1">
        <f t="array" ref="A1">portfolio</f>
        <v>Lodestar</v>
      </c>
      <c r="B1" s="87"/>
      <c r="C1" s="87"/>
      <c r="D1" s="88" t="s">
        <v>411</v>
      </c>
      <c r="E1" s="88"/>
      <c r="F1" s="88"/>
      <c r="G1" s="86" t="s">
        <v>412</v>
      </c>
      <c r="H1" s="86"/>
      <c r="I1" s="86"/>
      <c r="J1" s="4"/>
      <c r="K1" s="4"/>
    </row>
    <row r="2" spans="1:12" ht="19.5" customHeight="1">
      <c r="A2" s="89" t="s">
        <v>2</v>
      </c>
      <c r="B2" s="89"/>
      <c r="C2" s="5">
        <f>SUM(C4:C103)</f>
        <v>10002454.466504952</v>
      </c>
      <c r="D2" s="5">
        <f>SUM(D4:D103)</f>
        <v>7605308.5899999999</v>
      </c>
      <c r="E2" s="5">
        <f>C2-D2</f>
        <v>2397145.8765049521</v>
      </c>
      <c r="F2" s="6">
        <f>IFERROR(E2/D2, 0)</f>
        <v>0.31519376868637389</v>
      </c>
      <c r="G2" s="5">
        <f>SUM(G4:G103)</f>
        <v>8057272.4300000006</v>
      </c>
      <c r="H2" s="7">
        <f>C2-G2</f>
        <v>1945182.0365049513</v>
      </c>
      <c r="I2" s="6">
        <f>IFERROR(H2/G2, 0)</f>
        <v>0.24141941995933619</v>
      </c>
      <c r="J2" s="26"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3" t="s">
        <v>5</v>
      </c>
      <c r="D3" s="33" t="s">
        <v>6</v>
      </c>
      <c r="E3" s="33" t="s">
        <v>7</v>
      </c>
      <c r="F3" s="34" t="s">
        <v>8</v>
      </c>
      <c r="G3" s="35" t="s">
        <v>9</v>
      </c>
      <c r="H3" s="36" t="s">
        <v>7</v>
      </c>
      <c r="I3" s="37" t="s">
        <v>8</v>
      </c>
      <c r="J3" s="25" t="s">
        <v>20</v>
      </c>
      <c r="K3" s="25" t="s">
        <v>21</v>
      </c>
    </row>
    <row r="4" spans="1:12" ht="28.9">
      <c r="A4" s="56" t="str" cm="1">
        <f t="array" ref="A4:A34">Sites[Site]</f>
        <v>Barkhamsted</v>
      </c>
      <c r="B4" s="27" t="str" cm="1">
        <f t="array" ref="B4:B34">Sites[State]</f>
        <v>CT</v>
      </c>
      <c r="C4" s="24">
        <v>172503</v>
      </c>
      <c r="D4" s="13">
        <v>180631.9</v>
      </c>
      <c r="E4" s="13">
        <f>IF(AND(ISNUMBER(C4),ISNUMBER(D4)), C4-D4, "")</f>
        <v>-8128.8999999999942</v>
      </c>
      <c r="F4" s="14">
        <f>IFERROR(E4/D4, "")</f>
        <v>-4.5002571528063397E-2</v>
      </c>
      <c r="G4" s="15">
        <v>193885.7</v>
      </c>
      <c r="H4" s="15">
        <f>IF(AND(ISNUMBER(C4),ISNUMBER(G4)), C4-G4, "")</f>
        <v>-21382.700000000012</v>
      </c>
      <c r="I4" s="16">
        <f>IFERROR(H4/G4, "")</f>
        <v>-0.11028508033341299</v>
      </c>
      <c r="J4" s="38" t="s">
        <v>413</v>
      </c>
      <c r="K4" s="72" t="s">
        <v>414</v>
      </c>
    </row>
    <row r="5" spans="1:12" ht="66" customHeight="1">
      <c r="A5" s="28" t="str">
        <v>Bunce</v>
      </c>
      <c r="B5" s="29" t="str">
        <v>CT</v>
      </c>
      <c r="C5" s="11">
        <v>344462.5</v>
      </c>
      <c r="D5" s="18">
        <v>199103</v>
      </c>
      <c r="E5" s="18">
        <f t="shared" ref="E5:E14" si="0">IF(AND(ISNUMBER(C5),ISNUMBER(D5)), C5-D5, "")</f>
        <v>145359.5</v>
      </c>
      <c r="F5" s="19">
        <f>IFERROR(E5/D5, "")</f>
        <v>0.73007187234747839</v>
      </c>
      <c r="G5" s="20">
        <v>0</v>
      </c>
      <c r="H5" s="20">
        <f t="shared" ref="H5:H14" si="1">IF(AND(ISNUMBER(C5),ISNUMBER(G5)), C5-G5, "")</f>
        <v>344462.5</v>
      </c>
      <c r="I5" s="19" t="str">
        <f t="shared" ref="I5:I14" si="2">IFERROR(H5/G5, "")</f>
        <v/>
      </c>
      <c r="J5" s="48" t="s">
        <v>415</v>
      </c>
      <c r="K5" s="74" t="s">
        <v>416</v>
      </c>
      <c r="L5" s="77" t="s">
        <v>340</v>
      </c>
    </row>
    <row r="6" spans="1:12" ht="28.9">
      <c r="A6" s="56" t="str">
        <v>Norcap North</v>
      </c>
      <c r="B6" s="27" t="str">
        <v>CT</v>
      </c>
      <c r="C6" s="24">
        <v>351514.5</v>
      </c>
      <c r="D6" s="13">
        <v>315289.8</v>
      </c>
      <c r="E6" s="13">
        <f t="shared" si="0"/>
        <v>36224.700000000012</v>
      </c>
      <c r="F6" s="14">
        <f t="shared" ref="F6:F14" si="3">IFERROR(E6/D6, "")</f>
        <v>0.11489334574096598</v>
      </c>
      <c r="G6" s="15">
        <v>370442.1</v>
      </c>
      <c r="H6" s="15">
        <f t="shared" si="1"/>
        <v>-18927.599999999977</v>
      </c>
      <c r="I6" s="16">
        <f t="shared" si="2"/>
        <v>-5.1094624504072234E-2</v>
      </c>
      <c r="J6" s="38" t="s">
        <v>417</v>
      </c>
      <c r="K6" s="72" t="s">
        <v>418</v>
      </c>
      <c r="L6" s="77" t="s">
        <v>419</v>
      </c>
    </row>
    <row r="7" spans="1:12" ht="15.6">
      <c r="A7" s="28" t="str">
        <v>Norcap South</v>
      </c>
      <c r="B7" s="29" t="str">
        <v>CT</v>
      </c>
      <c r="C7" s="11">
        <v>362144.5</v>
      </c>
      <c r="D7" s="18">
        <v>331666.59999999998</v>
      </c>
      <c r="E7" s="18">
        <f t="shared" si="0"/>
        <v>30477.900000000023</v>
      </c>
      <c r="F7" s="19">
        <f t="shared" si="3"/>
        <v>9.1893184300137626E-2</v>
      </c>
      <c r="G7" s="20">
        <v>363121.9</v>
      </c>
      <c r="H7" s="20">
        <f t="shared" si="1"/>
        <v>-977.40000000002328</v>
      </c>
      <c r="I7" s="19">
        <f t="shared" si="2"/>
        <v>-2.6916580905751572E-3</v>
      </c>
      <c r="J7" s="39"/>
      <c r="K7" s="48"/>
    </row>
    <row r="8" spans="1:12" ht="15.6">
      <c r="A8" s="56" t="str">
        <v>Platt Hill</v>
      </c>
      <c r="B8" s="27" t="str">
        <v>CT</v>
      </c>
      <c r="C8" s="24">
        <v>392747</v>
      </c>
      <c r="D8" s="13">
        <v>397782.9</v>
      </c>
      <c r="E8" s="13">
        <f t="shared" si="0"/>
        <v>-5035.9000000000233</v>
      </c>
      <c r="F8" s="14">
        <f t="shared" si="3"/>
        <v>-1.265992077588057E-2</v>
      </c>
      <c r="G8" s="15">
        <v>406031</v>
      </c>
      <c r="H8" s="15">
        <f t="shared" si="1"/>
        <v>-13284</v>
      </c>
      <c r="I8" s="16">
        <f t="shared" si="2"/>
        <v>-3.2716713748457631E-2</v>
      </c>
      <c r="J8" s="38"/>
      <c r="K8" s="38"/>
    </row>
    <row r="9" spans="1:12" ht="72">
      <c r="A9" s="28" t="str">
        <v>Powder Hill</v>
      </c>
      <c r="B9" s="29" t="str">
        <v>CT</v>
      </c>
      <c r="C9" s="11">
        <v>361177</v>
      </c>
      <c r="D9" s="18">
        <v>351967.6</v>
      </c>
      <c r="E9" s="18">
        <f t="shared" si="0"/>
        <v>9209.4000000000233</v>
      </c>
      <c r="F9" s="19">
        <f t="shared" si="3"/>
        <v>2.6165476595004837E-2</v>
      </c>
      <c r="G9" s="20">
        <v>286956</v>
      </c>
      <c r="H9" s="20">
        <f t="shared" si="1"/>
        <v>74221</v>
      </c>
      <c r="I9" s="19">
        <f t="shared" si="2"/>
        <v>0.25864940966559336</v>
      </c>
      <c r="J9" s="48" t="s">
        <v>420</v>
      </c>
      <c r="K9" s="74" t="s">
        <v>421</v>
      </c>
      <c r="L9" s="77" t="s">
        <v>422</v>
      </c>
    </row>
    <row r="10" spans="1:12" ht="28.9">
      <c r="A10" s="56" t="str">
        <v>Sand Road</v>
      </c>
      <c r="B10" s="27" t="str">
        <v>CT</v>
      </c>
      <c r="C10" s="24">
        <v>343975.04950495297</v>
      </c>
      <c r="D10" s="13">
        <v>287330.40000000002</v>
      </c>
      <c r="E10" s="13">
        <f t="shared" si="0"/>
        <v>56644.649504952948</v>
      </c>
      <c r="F10" s="14">
        <f t="shared" si="3"/>
        <v>0.1971411639873572</v>
      </c>
      <c r="G10" s="15">
        <v>348315</v>
      </c>
      <c r="H10" s="15">
        <f t="shared" si="1"/>
        <v>-4339.9504950470291</v>
      </c>
      <c r="I10" s="16">
        <f t="shared" si="2"/>
        <v>-1.2459843805311368E-2</v>
      </c>
      <c r="J10" s="38" t="s">
        <v>423</v>
      </c>
      <c r="K10" s="72" t="s">
        <v>424</v>
      </c>
    </row>
    <row r="11" spans="1:12" ht="15.6">
      <c r="A11" s="28" t="str">
        <v>Suffield</v>
      </c>
      <c r="B11" s="29" t="str">
        <v>CT</v>
      </c>
      <c r="C11" s="11">
        <v>349315</v>
      </c>
      <c r="D11" s="18">
        <v>337548.7</v>
      </c>
      <c r="E11" s="18">
        <f t="shared" si="0"/>
        <v>11766.299999999988</v>
      </c>
      <c r="F11" s="19">
        <f t="shared" si="3"/>
        <v>3.4858081219095165E-2</v>
      </c>
      <c r="G11" s="20">
        <v>383976.9</v>
      </c>
      <c r="H11" s="20">
        <f t="shared" si="1"/>
        <v>-34661.900000000023</v>
      </c>
      <c r="I11" s="19">
        <f t="shared" si="2"/>
        <v>-9.0270794935841253E-2</v>
      </c>
      <c r="J11" s="39"/>
      <c r="K11" s="39"/>
    </row>
    <row r="12" spans="1:12" ht="15.6">
      <c r="A12" s="56" t="str">
        <v>Ashby-Duffy</v>
      </c>
      <c r="B12" s="27" t="str">
        <v>MA</v>
      </c>
      <c r="C12" s="24">
        <v>334572</v>
      </c>
      <c r="D12" s="13">
        <v>335248.09999999998</v>
      </c>
      <c r="E12" s="13">
        <f t="shared" si="0"/>
        <v>-676.09999999997672</v>
      </c>
      <c r="F12" s="14">
        <f t="shared" si="3"/>
        <v>-2.0167153818320721E-3</v>
      </c>
      <c r="G12" s="15">
        <v>354815.7</v>
      </c>
      <c r="H12" s="15">
        <f t="shared" si="1"/>
        <v>-20243.700000000012</v>
      </c>
      <c r="I12" s="16">
        <f t="shared" si="2"/>
        <v>-5.7054126973524598E-2</v>
      </c>
      <c r="J12" s="38"/>
      <c r="K12" s="38"/>
    </row>
    <row r="13" spans="1:12" ht="28.9">
      <c r="A13" s="28" t="str">
        <v>Ashland</v>
      </c>
      <c r="B13" s="29" t="str">
        <v>MA</v>
      </c>
      <c r="C13" s="11">
        <v>328311</v>
      </c>
      <c r="D13" s="18">
        <v>355156.7</v>
      </c>
      <c r="E13" s="18">
        <f t="shared" si="0"/>
        <v>-26845.700000000012</v>
      </c>
      <c r="F13" s="19">
        <f t="shared" si="3"/>
        <v>-7.558832481549696E-2</v>
      </c>
      <c r="G13" s="20">
        <v>399168.8</v>
      </c>
      <c r="H13" s="20">
        <f t="shared" si="1"/>
        <v>-70857.799999999988</v>
      </c>
      <c r="I13" s="19">
        <f t="shared" si="2"/>
        <v>-0.17751337278865481</v>
      </c>
      <c r="J13" s="39" t="s">
        <v>425</v>
      </c>
      <c r="K13" s="75" t="s">
        <v>426</v>
      </c>
    </row>
    <row r="14" spans="1:12" ht="15.6">
      <c r="A14" s="56" t="str">
        <v>Barrington</v>
      </c>
      <c r="B14" s="27" t="str">
        <v>MA</v>
      </c>
      <c r="C14" s="24">
        <v>76986</v>
      </c>
      <c r="D14" s="13">
        <v>63928.59</v>
      </c>
      <c r="E14" s="13">
        <f t="shared" si="0"/>
        <v>13057.410000000003</v>
      </c>
      <c r="F14" s="14">
        <f t="shared" si="3"/>
        <v>0.20424992949164067</v>
      </c>
      <c r="G14" s="15">
        <v>85100</v>
      </c>
      <c r="H14" s="15">
        <f t="shared" si="1"/>
        <v>-8114</v>
      </c>
      <c r="I14" s="16">
        <f t="shared" si="2"/>
        <v>-9.5346650998824917E-2</v>
      </c>
      <c r="J14" s="38"/>
      <c r="K14" s="38"/>
    </row>
    <row r="15" spans="1:12" ht="28.9">
      <c r="A15" s="28" t="str">
        <v>Bedford - 205 Burlington Rd</v>
      </c>
      <c r="B15" s="29" t="str">
        <v>MA</v>
      </c>
      <c r="C15" s="11">
        <v>43520</v>
      </c>
      <c r="D15" s="18" t="s">
        <v>24</v>
      </c>
      <c r="E15" s="18" t="str">
        <f t="shared" ref="E15:E28" si="4">IF(AND(ISNUMBER(C15),ISNUMBER(D15)), C15-D15, "")</f>
        <v/>
      </c>
      <c r="F15" s="53" t="str">
        <f t="shared" ref="F15:F28" si="5">IFERROR(E15/D15, "")</f>
        <v/>
      </c>
      <c r="G15" s="81" t="s">
        <v>24</v>
      </c>
      <c r="H15" s="51" t="str">
        <f t="shared" ref="H15:H28" si="6">IF(AND(ISNUMBER(C15),ISNUMBER(G15)), C15-G15, "")</f>
        <v/>
      </c>
      <c r="I15" s="53" t="str">
        <f t="shared" ref="I15:I28" si="7">IFERROR(H15/G15, "")</f>
        <v/>
      </c>
      <c r="J15" s="39" t="s">
        <v>427</v>
      </c>
      <c r="K15" s="74" t="s">
        <v>428</v>
      </c>
    </row>
    <row r="16" spans="1:12" ht="15.6">
      <c r="A16" s="56" t="str">
        <v>Billerica - 6 Cook Street</v>
      </c>
      <c r="B16" s="27" t="str">
        <v>MA</v>
      </c>
      <c r="C16" s="24">
        <v>41630</v>
      </c>
      <c r="D16" s="13" t="s">
        <v>24</v>
      </c>
      <c r="E16" s="13" t="str">
        <f t="shared" si="4"/>
        <v/>
      </c>
      <c r="F16" s="14" t="str">
        <f t="shared" si="5"/>
        <v/>
      </c>
      <c r="G16" s="82" t="s">
        <v>24</v>
      </c>
      <c r="H16" s="15" t="str">
        <f t="shared" si="6"/>
        <v/>
      </c>
      <c r="I16" s="16" t="str">
        <f t="shared" si="7"/>
        <v/>
      </c>
      <c r="J16" s="38"/>
      <c r="K16" s="38"/>
    </row>
    <row r="17" spans="1:21" ht="15.6">
      <c r="A17" s="28" t="str">
        <v>Billerica - 780 Boston Road</v>
      </c>
      <c r="B17" s="29" t="str">
        <v>MA</v>
      </c>
      <c r="C17" s="11">
        <v>46010</v>
      </c>
      <c r="D17" s="18" t="s">
        <v>24</v>
      </c>
      <c r="E17" s="18" t="str">
        <f t="shared" si="4"/>
        <v/>
      </c>
      <c r="F17" s="53" t="str">
        <f t="shared" si="5"/>
        <v/>
      </c>
      <c r="G17" s="81" t="s">
        <v>24</v>
      </c>
      <c r="H17" s="51" t="str">
        <f t="shared" si="6"/>
        <v/>
      </c>
      <c r="I17" s="53" t="str">
        <f t="shared" si="7"/>
        <v/>
      </c>
      <c r="J17" s="39"/>
      <c r="K17" s="39"/>
    </row>
    <row r="18" spans="1:21" ht="37.5" customHeight="1">
      <c r="A18" s="56" t="str">
        <v>Cheshire</v>
      </c>
      <c r="B18" s="27" t="str">
        <v>MA</v>
      </c>
      <c r="C18" s="24">
        <v>80361</v>
      </c>
      <c r="D18" s="13">
        <v>82249.42</v>
      </c>
      <c r="E18" s="13">
        <f t="shared" si="4"/>
        <v>-1888.4199999999983</v>
      </c>
      <c r="F18" s="14">
        <f t="shared" si="5"/>
        <v>-2.2959675581906817E-2</v>
      </c>
      <c r="G18" s="15">
        <v>70450.94</v>
      </c>
      <c r="H18" s="15">
        <f t="shared" si="6"/>
        <v>9910.0599999999977</v>
      </c>
      <c r="I18" s="16">
        <f t="shared" si="7"/>
        <v>0.14066611460400666</v>
      </c>
      <c r="J18" s="38" t="s">
        <v>429</v>
      </c>
      <c r="K18" s="72" t="s">
        <v>430</v>
      </c>
    </row>
    <row r="19" spans="1:21" ht="15.6">
      <c r="A19" s="28" t="str">
        <v>Lilly Lane</v>
      </c>
      <c r="B19" s="29" t="str">
        <v>MA</v>
      </c>
      <c r="C19" s="11">
        <v>179723</v>
      </c>
      <c r="D19" s="18">
        <v>169471.8</v>
      </c>
      <c r="E19" s="18">
        <f t="shared" si="4"/>
        <v>10251.200000000012</v>
      </c>
      <c r="F19" s="53">
        <f t="shared" si="5"/>
        <v>6.0489119723753523E-2</v>
      </c>
      <c r="G19" s="20">
        <v>177023.4</v>
      </c>
      <c r="H19" s="51">
        <f t="shared" si="6"/>
        <v>2699.6000000000058</v>
      </c>
      <c r="I19" s="53">
        <f t="shared" si="7"/>
        <v>1.5249961304550731E-2</v>
      </c>
      <c r="J19" s="39"/>
      <c r="K19" s="39"/>
    </row>
    <row r="20" spans="1:21" ht="57.6">
      <c r="A20" s="56" t="str">
        <v>Monument Valley</v>
      </c>
      <c r="B20" s="27" t="str">
        <v>MA</v>
      </c>
      <c r="C20" s="24">
        <v>355393</v>
      </c>
      <c r="D20" s="13">
        <v>62959.4</v>
      </c>
      <c r="E20" s="13">
        <f t="shared" si="4"/>
        <v>292433.59999999998</v>
      </c>
      <c r="F20" s="14">
        <f t="shared" si="5"/>
        <v>4.6447964878953734</v>
      </c>
      <c r="G20" s="15">
        <v>0</v>
      </c>
      <c r="H20" s="15">
        <f t="shared" si="6"/>
        <v>355393</v>
      </c>
      <c r="I20" s="16" t="str">
        <f t="shared" si="7"/>
        <v/>
      </c>
      <c r="J20" s="38" t="s">
        <v>283</v>
      </c>
      <c r="K20" s="72" t="s">
        <v>284</v>
      </c>
    </row>
    <row r="21" spans="1:21" ht="43.15">
      <c r="A21" s="28" t="str">
        <v>Nationwide</v>
      </c>
      <c r="B21" s="29" t="str">
        <v>MA</v>
      </c>
      <c r="C21" s="11">
        <v>627229</v>
      </c>
      <c r="D21" s="18">
        <v>489264.7</v>
      </c>
      <c r="E21" s="18">
        <f t="shared" si="4"/>
        <v>137964.29999999999</v>
      </c>
      <c r="F21" s="53">
        <f t="shared" si="5"/>
        <v>0.28198294297544862</v>
      </c>
      <c r="G21" s="20">
        <v>549795.1</v>
      </c>
      <c r="H21" s="51">
        <f t="shared" si="6"/>
        <v>77433.900000000023</v>
      </c>
      <c r="I21" s="53">
        <f t="shared" si="7"/>
        <v>0.14084137890643264</v>
      </c>
      <c r="J21" s="39" t="s">
        <v>431</v>
      </c>
      <c r="K21" s="75" t="s">
        <v>432</v>
      </c>
      <c r="L21" s="77" t="s">
        <v>433</v>
      </c>
    </row>
    <row r="22" spans="1:21" ht="15.6">
      <c r="A22" s="56" t="str">
        <v>Pulpit Hill</v>
      </c>
      <c r="B22" s="27" t="str">
        <v>MA</v>
      </c>
      <c r="C22" s="24">
        <v>801931.75</v>
      </c>
      <c r="D22" s="13">
        <v>755271.6</v>
      </c>
      <c r="E22" s="13">
        <f t="shared" si="4"/>
        <v>46660.150000000023</v>
      </c>
      <c r="F22" s="14">
        <f t="shared" si="5"/>
        <v>6.1779298996546439E-2</v>
      </c>
      <c r="G22" s="15">
        <v>798150.4</v>
      </c>
      <c r="H22" s="15">
        <f t="shared" si="6"/>
        <v>3781.3499999999767</v>
      </c>
      <c r="I22" s="16">
        <f t="shared" si="7"/>
        <v>4.7376409258204676E-3</v>
      </c>
      <c r="J22" s="38"/>
      <c r="K22" s="38"/>
    </row>
    <row r="23" spans="1:21" ht="72">
      <c r="A23" s="28" t="str">
        <v>Sandwich</v>
      </c>
      <c r="B23" s="29" t="str">
        <v>MA</v>
      </c>
      <c r="C23" s="11">
        <v>465917</v>
      </c>
      <c r="D23" s="18">
        <v>378547</v>
      </c>
      <c r="E23" s="18">
        <f t="shared" si="4"/>
        <v>87370</v>
      </c>
      <c r="F23" s="53">
        <f t="shared" si="5"/>
        <v>0.2308035726078928</v>
      </c>
      <c r="G23" s="20">
        <v>543938</v>
      </c>
      <c r="H23" s="51">
        <f t="shared" si="6"/>
        <v>-78021</v>
      </c>
      <c r="I23" s="53">
        <f t="shared" si="7"/>
        <v>-0.14343730351620956</v>
      </c>
      <c r="J23" s="39" t="s">
        <v>434</v>
      </c>
      <c r="K23" s="74" t="s">
        <v>435</v>
      </c>
      <c r="L23" s="77" t="s">
        <v>436</v>
      </c>
      <c r="M23" s="77" t="s">
        <v>437</v>
      </c>
      <c r="U23" t="s">
        <v>438</v>
      </c>
    </row>
    <row r="24" spans="1:21" ht="15.6">
      <c r="A24" s="56" t="str">
        <v>Sturbridge Barn</v>
      </c>
      <c r="B24" s="27" t="str">
        <v>MA</v>
      </c>
      <c r="C24" s="24">
        <v>182150.5</v>
      </c>
      <c r="D24" s="13">
        <v>177700.6</v>
      </c>
      <c r="E24" s="13">
        <f t="shared" si="4"/>
        <v>4449.8999999999942</v>
      </c>
      <c r="F24" s="14">
        <f t="shared" si="5"/>
        <v>2.5041558666656128E-2</v>
      </c>
      <c r="G24" s="15">
        <v>196021.7</v>
      </c>
      <c r="H24" s="15">
        <f t="shared" si="6"/>
        <v>-13871.200000000012</v>
      </c>
      <c r="I24" s="16">
        <f t="shared" si="7"/>
        <v>-7.0763594030660945E-2</v>
      </c>
      <c r="J24" s="38"/>
      <c r="K24" s="38"/>
    </row>
    <row r="25" spans="1:21" ht="15.6">
      <c r="A25" s="28" t="str">
        <v>Sturbridge Garage</v>
      </c>
      <c r="B25" s="29" t="str">
        <v>MA</v>
      </c>
      <c r="C25" s="11">
        <v>85615.25</v>
      </c>
      <c r="D25" s="18">
        <v>84325.08</v>
      </c>
      <c r="E25" s="18">
        <f t="shared" si="4"/>
        <v>1290.1699999999983</v>
      </c>
      <c r="F25" s="53">
        <f t="shared" si="5"/>
        <v>1.529995583757523E-2</v>
      </c>
      <c r="G25" s="20">
        <v>87445.09</v>
      </c>
      <c r="H25" s="51">
        <f t="shared" si="6"/>
        <v>-1829.8399999999965</v>
      </c>
      <c r="I25" s="53">
        <f t="shared" si="7"/>
        <v>-2.0925588846669341E-2</v>
      </c>
      <c r="J25" s="39"/>
      <c r="K25" s="39"/>
    </row>
    <row r="26" spans="1:21" ht="86.45">
      <c r="A26" s="56" t="str">
        <v>Halsey Valley</v>
      </c>
      <c r="B26" s="27" t="str">
        <v>NY</v>
      </c>
      <c r="C26" s="24">
        <v>875264</v>
      </c>
      <c r="D26" s="13">
        <v>884096.8</v>
      </c>
      <c r="E26" s="13">
        <f t="shared" si="4"/>
        <v>-8832.8000000000466</v>
      </c>
      <c r="F26" s="14">
        <f t="shared" si="5"/>
        <v>-9.990761192665832E-3</v>
      </c>
      <c r="G26" s="15">
        <v>986000</v>
      </c>
      <c r="H26" s="15">
        <f t="shared" si="6"/>
        <v>-110736</v>
      </c>
      <c r="I26" s="16">
        <f t="shared" si="7"/>
        <v>-0.11230831643002029</v>
      </c>
      <c r="J26" s="38" t="s">
        <v>439</v>
      </c>
      <c r="K26" s="72" t="s">
        <v>440</v>
      </c>
      <c r="L26" s="77" t="s">
        <v>441</v>
      </c>
      <c r="M26" s="77" t="s">
        <v>442</v>
      </c>
      <c r="N26" s="77" t="s">
        <v>443</v>
      </c>
    </row>
    <row r="27" spans="1:21" ht="28.9">
      <c r="A27" s="28" t="str">
        <v>Hunt Creek</v>
      </c>
      <c r="B27" s="29" t="str">
        <v>NY</v>
      </c>
      <c r="C27" s="11">
        <v>626192</v>
      </c>
      <c r="D27" s="18">
        <v>648129.4</v>
      </c>
      <c r="E27" s="18">
        <f t="shared" si="4"/>
        <v>-21937.400000000023</v>
      </c>
      <c r="F27" s="53">
        <f t="shared" si="5"/>
        <v>-3.3847253341693841E-2</v>
      </c>
      <c r="G27" s="20">
        <v>706700</v>
      </c>
      <c r="H27" s="51">
        <f t="shared" si="6"/>
        <v>-80508</v>
      </c>
      <c r="I27" s="53">
        <f t="shared" si="7"/>
        <v>-0.11392104146030847</v>
      </c>
      <c r="J27" s="39" t="s">
        <v>444</v>
      </c>
      <c r="K27" s="74" t="s">
        <v>445</v>
      </c>
    </row>
    <row r="28" spans="1:21" ht="15.6">
      <c r="A28" s="56" t="str">
        <v>Smith Creek</v>
      </c>
      <c r="B28" s="27" t="str">
        <v>NY</v>
      </c>
      <c r="C28" s="24">
        <v>691792</v>
      </c>
      <c r="D28" s="13">
        <v>717638.5</v>
      </c>
      <c r="E28" s="13">
        <f t="shared" si="4"/>
        <v>-25846.5</v>
      </c>
      <c r="F28" s="14">
        <f t="shared" si="5"/>
        <v>-3.6016044289708539E-2</v>
      </c>
      <c r="G28" s="15">
        <v>749934.7</v>
      </c>
      <c r="H28" s="15">
        <f t="shared" si="6"/>
        <v>-58142.699999999953</v>
      </c>
      <c r="I28" s="16">
        <f t="shared" si="7"/>
        <v>-7.7530350309166857E-2</v>
      </c>
      <c r="J28" s="38"/>
      <c r="K28" s="38"/>
    </row>
    <row r="29" spans="1:21" ht="72">
      <c r="A29" s="28" t="str">
        <v>Bradford - 256 Presidential Dr</v>
      </c>
      <c r="B29" s="29" t="str">
        <v>MA</v>
      </c>
      <c r="C29" s="11">
        <v>694941.50100000005</v>
      </c>
      <c r="D29" s="18" t="s">
        <v>24</v>
      </c>
      <c r="E29" s="18"/>
      <c r="F29" s="53"/>
      <c r="G29" s="67" t="s">
        <v>24</v>
      </c>
      <c r="H29" s="51"/>
      <c r="I29" s="53"/>
      <c r="J29" s="39" t="s">
        <v>446</v>
      </c>
      <c r="K29" s="74" t="s">
        <v>447</v>
      </c>
      <c r="L29" s="77" t="s">
        <v>448</v>
      </c>
      <c r="M29" s="77" t="s">
        <v>449</v>
      </c>
    </row>
    <row r="30" spans="1:21" ht="15.6">
      <c r="A30" s="56" t="str">
        <v>Charlton – 111 Brookfield Road - Bus Lot</v>
      </c>
      <c r="B30" s="27" t="str">
        <v>MA</v>
      </c>
      <c r="C30" s="24">
        <v>91255.039999999994</v>
      </c>
      <c r="D30" s="13" t="s">
        <v>24</v>
      </c>
      <c r="E30" s="13"/>
      <c r="F30" s="14"/>
      <c r="G30" s="68" t="s">
        <v>24</v>
      </c>
      <c r="H30" s="15"/>
      <c r="I30" s="16"/>
      <c r="J30" s="38"/>
      <c r="K30" s="38"/>
    </row>
    <row r="31" spans="1:21" ht="28.9">
      <c r="A31" s="28" t="str">
        <v>Charlton – 154 Center Depot Road KMARD</v>
      </c>
      <c r="B31" s="29" t="str">
        <v>MA</v>
      </c>
      <c r="C31" s="11">
        <v>77815.808000000005</v>
      </c>
      <c r="D31" s="18" t="s">
        <v>24</v>
      </c>
      <c r="E31" s="18"/>
      <c r="F31" s="53"/>
      <c r="G31" s="67" t="s">
        <v>24</v>
      </c>
      <c r="H31" s="51"/>
      <c r="I31" s="53"/>
      <c r="J31" s="39" t="s">
        <v>450</v>
      </c>
      <c r="K31" s="74" t="s">
        <v>451</v>
      </c>
    </row>
    <row r="32" spans="1:21" ht="15.6">
      <c r="A32" s="56" t="str">
        <v>Charlton – 142A Brookfield Rd (Mitchell)</v>
      </c>
      <c r="B32" s="27" t="str">
        <v>MA</v>
      </c>
      <c r="C32" s="24">
        <v>81737.983999999997</v>
      </c>
      <c r="D32" s="13" t="s">
        <v>24</v>
      </c>
      <c r="E32" s="13"/>
      <c r="F32" s="14"/>
      <c r="G32" s="68" t="s">
        <v>24</v>
      </c>
      <c r="H32" s="15"/>
      <c r="I32" s="16"/>
      <c r="J32" s="38"/>
      <c r="K32" s="38"/>
    </row>
    <row r="33" spans="1:12" ht="43.15">
      <c r="A33" s="28" t="str">
        <v>Great Barrington – 3 Nolan  Drive</v>
      </c>
      <c r="B33" s="29" t="str">
        <v>MA</v>
      </c>
      <c r="C33" s="11">
        <v>170070.16</v>
      </c>
      <c r="D33" s="18" t="s">
        <v>24</v>
      </c>
      <c r="E33" s="18"/>
      <c r="F33" s="53"/>
      <c r="G33" s="67" t="s">
        <v>24</v>
      </c>
      <c r="H33" s="51"/>
      <c r="I33" s="53"/>
      <c r="J33" s="39" t="s">
        <v>452</v>
      </c>
      <c r="K33" s="74" t="s">
        <v>453</v>
      </c>
      <c r="L33" s="77" t="s">
        <v>454</v>
      </c>
    </row>
    <row r="34" spans="1:12" ht="15.6">
      <c r="A34" s="56" t="str">
        <v>Stockbridge – 92 State Line Road Truck Stop</v>
      </c>
      <c r="B34" s="27" t="str">
        <v>MA</v>
      </c>
      <c r="C34" s="24">
        <v>366197.924</v>
      </c>
      <c r="D34" s="13" t="s">
        <v>24</v>
      </c>
      <c r="E34" s="13"/>
      <c r="F34" s="14"/>
      <c r="G34" s="68" t="s">
        <v>24</v>
      </c>
      <c r="H34" s="15"/>
      <c r="I34" s="16"/>
      <c r="J34" s="38" t="s">
        <v>455</v>
      </c>
      <c r="K34" s="72" t="s">
        <v>456</v>
      </c>
    </row>
    <row r="35" spans="1:12" ht="14.45">
      <c r="A35" s="21"/>
      <c r="B35" s="31"/>
      <c r="C35" s="21"/>
      <c r="D35" s="21"/>
      <c r="E35" s="21"/>
      <c r="F35" s="21"/>
      <c r="G35" s="21"/>
      <c r="H35" s="21"/>
      <c r="I35" s="21"/>
      <c r="J35" s="21"/>
      <c r="K35" s="21"/>
    </row>
    <row r="36" spans="1:12" ht="14.45">
      <c r="A36" s="21"/>
      <c r="B36" s="31"/>
      <c r="C36" s="21"/>
      <c r="D36" s="21"/>
      <c r="E36" s="21"/>
      <c r="F36" s="22"/>
      <c r="G36" s="21"/>
      <c r="H36" s="21"/>
      <c r="I36" s="22"/>
      <c r="J36" s="21"/>
      <c r="K36" s="21"/>
    </row>
    <row r="37" spans="1:12" ht="14.45">
      <c r="A37" s="21"/>
      <c r="B37" s="31"/>
      <c r="C37" s="21"/>
      <c r="D37" s="21"/>
      <c r="E37" s="21"/>
      <c r="F37" s="22"/>
      <c r="G37" s="21"/>
      <c r="H37" s="21"/>
      <c r="I37" s="22"/>
      <c r="J37" s="21"/>
      <c r="K37" s="21"/>
    </row>
    <row r="38" spans="1:12" ht="14.45">
      <c r="A38" s="21"/>
      <c r="B38" s="31"/>
      <c r="C38" s="21"/>
      <c r="D38" s="21"/>
      <c r="E38" s="21"/>
      <c r="F38" s="22"/>
      <c r="G38" s="21"/>
      <c r="H38" s="21"/>
      <c r="I38" s="22"/>
      <c r="J38" s="21"/>
      <c r="K38" s="21"/>
    </row>
    <row r="39" spans="1:12" ht="14.45">
      <c r="A39" s="21"/>
      <c r="B39" s="31"/>
      <c r="C39" s="21"/>
      <c r="D39" s="21"/>
      <c r="E39" s="21"/>
      <c r="F39" s="22"/>
      <c r="G39" s="21"/>
      <c r="H39" s="21"/>
      <c r="I39" s="22"/>
      <c r="J39" s="21"/>
      <c r="K39" s="21"/>
    </row>
    <row r="40" spans="1:12" ht="14.45">
      <c r="A40" s="21"/>
      <c r="B40" s="31"/>
      <c r="C40" s="21"/>
      <c r="D40" s="21"/>
      <c r="E40" s="21"/>
      <c r="F40" s="22"/>
      <c r="G40" s="21"/>
      <c r="H40" s="21"/>
      <c r="I40" s="22"/>
      <c r="J40" s="21"/>
      <c r="K40" s="21"/>
    </row>
    <row r="41" spans="1:12" ht="14.45">
      <c r="A41" s="21"/>
      <c r="B41" s="31"/>
      <c r="C41" s="21"/>
      <c r="D41" s="21"/>
      <c r="E41" s="21"/>
      <c r="F41" s="22"/>
      <c r="G41" s="21"/>
      <c r="H41" s="21"/>
      <c r="I41" s="22"/>
      <c r="J41" s="21"/>
      <c r="K41" s="21"/>
    </row>
    <row r="42" spans="1:12" ht="14.45">
      <c r="A42" s="21"/>
      <c r="B42" s="31"/>
      <c r="C42" s="21"/>
      <c r="D42" s="21"/>
      <c r="E42" s="21"/>
      <c r="F42" s="22"/>
      <c r="G42" s="21"/>
      <c r="H42" s="21"/>
      <c r="I42" s="22"/>
      <c r="J42" s="21"/>
      <c r="K42" s="21"/>
    </row>
    <row r="43" spans="1:12" ht="14.45">
      <c r="A43" s="21"/>
      <c r="B43" s="31"/>
      <c r="C43" s="21"/>
      <c r="D43" s="21"/>
      <c r="E43" s="21"/>
      <c r="F43" s="22"/>
      <c r="G43" s="21"/>
      <c r="H43" s="21"/>
      <c r="I43" s="22"/>
      <c r="J43" s="21"/>
      <c r="K43" s="21"/>
    </row>
    <row r="44" spans="1:12" ht="14.45">
      <c r="A44" s="21"/>
      <c r="B44" s="31"/>
      <c r="C44" s="21"/>
      <c r="D44" s="21"/>
      <c r="E44" s="21"/>
      <c r="F44" s="22"/>
      <c r="G44" s="21"/>
      <c r="H44" s="21"/>
      <c r="I44" s="22"/>
      <c r="J44" s="21"/>
      <c r="K44" s="21"/>
    </row>
    <row r="45" spans="1:12" ht="14.45">
      <c r="A45" s="21"/>
      <c r="B45" s="31"/>
      <c r="C45" s="21"/>
      <c r="D45" s="21"/>
      <c r="E45" s="21"/>
      <c r="F45" s="22"/>
      <c r="G45" s="21"/>
      <c r="H45" s="21"/>
      <c r="I45" s="22"/>
      <c r="J45" s="21"/>
      <c r="K45" s="21"/>
    </row>
    <row r="46" spans="1:12" ht="14.45">
      <c r="A46" s="21"/>
      <c r="B46" s="31"/>
      <c r="C46" s="21"/>
      <c r="D46" s="21"/>
      <c r="E46" s="21"/>
      <c r="F46" s="22"/>
      <c r="G46" s="21"/>
      <c r="H46" s="21"/>
      <c r="I46" s="22"/>
      <c r="J46" s="21"/>
      <c r="K46" s="21"/>
    </row>
    <row r="47" spans="1:12" ht="14.45">
      <c r="A47" s="21"/>
      <c r="B47" s="31"/>
      <c r="C47" s="21"/>
      <c r="D47" s="21"/>
      <c r="E47" s="21"/>
      <c r="F47" s="22"/>
      <c r="G47" s="21"/>
      <c r="H47" s="21"/>
      <c r="I47" s="22"/>
      <c r="J47" s="21"/>
      <c r="K47" s="21"/>
    </row>
    <row r="48" spans="1:1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3" priority="3" stopIfTrue="1" operator="lessThanOrEqual">
      <formula>-0.1</formula>
    </cfRule>
    <cfRule type="expression" dxfId="32" priority="4">
      <formula>AND(ISNUMBER(F2), F2&gt;=0.1)</formula>
    </cfRule>
  </conditionalFormatting>
  <conditionalFormatting sqref="F4:F103 I4:I103">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102739" xr:uid="{1981589E-4C9A-4EDC-9BE7-D75DB943A8AE}"/>
    <hyperlink ref="K5" r:id="rId2" display="https://us3.assetplanner.com/service_request?ID=101404" xr:uid="{59CB0903-1BE6-4D11-B716-8A5812F1E3C2}"/>
    <hyperlink ref="L5" r:id="rId3" display="https://us3.assetplanner.com/service_request?ID=102179" xr:uid="{7F8FC4EB-F397-44CA-8D43-471E4CA17426}"/>
    <hyperlink ref="K6" r:id="rId4" display="https://us3.assetplanner.com/service_request?ID=102051" xr:uid="{3ADAE878-C256-45B3-A497-CF05C3EC6E9A}"/>
    <hyperlink ref="L6" r:id="rId5" display="https://us3.assetplanner.com/service_request?ID=100943" xr:uid="{66816F2E-83B4-45D0-8572-6CCED6A85DF0}"/>
    <hyperlink ref="K9" r:id="rId6" display="https://us3.assetplanner.com/service_request?ID=102083" xr:uid="{F2CFB305-EDD2-47D9-9F0B-9F43F5A8E2A4}"/>
    <hyperlink ref="L9" r:id="rId7" display="https://us3.assetplanner.com/service_request?ID=102609" xr:uid="{DBA68F9A-88D0-4910-A25D-6BFFCD9A9719}"/>
    <hyperlink ref="K10" r:id="rId8" display="https://us3.assetplanner.com/service_request?ID=103213" xr:uid="{F489801A-2D4C-44C6-BED2-ED278CA96C91}"/>
    <hyperlink ref="K13" r:id="rId9" display="https://us3.assetplanner.com/service_request?ID=102994" xr:uid="{564E34F4-DEC3-412C-B415-F9031BF1F13F}"/>
    <hyperlink ref="K15" r:id="rId10" display="https://us3.assetplanner.com/service_request?ID=103728" xr:uid="{B5F53749-F690-4FB1-8CD7-02056AC2DF8F}"/>
    <hyperlink ref="K18" r:id="rId11" display="https://us3.assetplanner.com/service_request?ID=103462" xr:uid="{AE25715C-7E3E-4D7E-9DDF-B7ABEBE87D33}"/>
    <hyperlink ref="K20" r:id="rId12" display="https://us3.assetplanner.com/service_request?ID=087370" xr:uid="{97B420D5-3AC3-4C79-90AF-851DE01D560D}"/>
    <hyperlink ref="K21" r:id="rId13" display="https://us3.assetplanner.com/service_request?ID=102793" xr:uid="{F3DDCE03-8096-49F0-803F-EB74EB23B511}"/>
    <hyperlink ref="L21" r:id="rId14" display="https://us3.assetplanner.com/service_request?ID=102374" xr:uid="{40FEBEDA-3FE7-4A50-BB57-265B064F7914}"/>
    <hyperlink ref="K23" r:id="rId15" display="https://us3.assetplanner.com/service_request?ID=102978" xr:uid="{407F0AD9-C689-4C70-B6D4-1A331A626C9F}"/>
    <hyperlink ref="L23" r:id="rId16" display="https://us3.assetplanner.com/service_request?ID=103272" xr:uid="{916A300A-1F46-4A83-A895-BCEEF4106DD6}"/>
    <hyperlink ref="M23" r:id="rId17" display="https://us3.assetplanner.com/service_request?ID=103522" xr:uid="{81D3F2A1-7B64-43AF-B80F-6F7EC5B172F9}"/>
    <hyperlink ref="K26" r:id="rId18" display="https://us3.assetplanner.com/service_request?ID=102471" xr:uid="{47D43810-2B5C-4CA7-95AC-1AFCF77F3EA3}"/>
    <hyperlink ref="L26" r:id="rId19" display="https://us3.assetplanner.com/service_request?ID=103328" xr:uid="{C09C9AE9-5225-4162-81DF-71CA7B7EC514}"/>
    <hyperlink ref="M26" r:id="rId20" display="https://us3.assetplanner.com/service_request?ID=103767" xr:uid="{8A71D38C-E675-4609-8E28-9116890A9E9E}"/>
    <hyperlink ref="N26" r:id="rId21" display="https://us3.assetplanner.com/service_request?ID=103780" xr:uid="{732C1187-4BC7-4B47-AA7F-F7665457453F}"/>
    <hyperlink ref="K27" r:id="rId22" display="https://us3.assetplanner.com/service_request?ID=102985" xr:uid="{6B54BBE9-D51F-4E50-8C50-33BA08711B5B}"/>
    <hyperlink ref="K29" r:id="rId23" display="https://us3.assetplanner.com/service_request?ID=102294" xr:uid="{CBFFC71B-1162-4065-8152-9D9CDC24F0C2}"/>
    <hyperlink ref="L29" r:id="rId24" display="https://us3.assetplanner.com/service_request?ID=102555" xr:uid="{53E2B266-7BCB-46A3-808C-3A973E4C224C}"/>
    <hyperlink ref="M29" r:id="rId25" display="https://us3.assetplanner.com/service_request?ID=102977" xr:uid="{6BFF82FF-6CD1-4D1C-9F0B-D91844D019A7}"/>
    <hyperlink ref="K31" r:id="rId26" display="https://us3.assetplanner.com/service_request?ID=102764" xr:uid="{FE69ABC5-0388-4B33-966F-F3544896F33E}"/>
    <hyperlink ref="K33" r:id="rId27" display="https://us3.assetplanner.com/service_request?ID=098468" xr:uid="{F9DAE0AB-6235-43EA-9417-36802418845C}"/>
    <hyperlink ref="L33" r:id="rId28" display="https://us3.assetplanner.com/service_request?ID=103531" xr:uid="{371A0B00-A569-4E22-8287-7836BBDBDAA6}"/>
    <hyperlink ref="K34" r:id="rId29" display="https://us3.assetplanner.com/service_request?ID=102231" xr:uid="{D3A825A6-BFB3-4049-8EFC-BE1089BFF66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5"/>
  <sheetViews>
    <sheetView zoomScale="60" zoomScaleNormal="60" workbookViewId="0">
      <pane xSplit="2" ySplit="3" topLeftCell="C4" activePane="bottomRight" state="frozen"/>
      <selection pane="bottomRight" activeCell="G24" sqref="G24"/>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Lodestar</v>
      </c>
      <c r="B1" s="87"/>
      <c r="C1" s="87"/>
      <c r="D1" s="88" t="s">
        <v>457</v>
      </c>
      <c r="E1" s="88"/>
      <c r="F1" s="88"/>
      <c r="G1" s="86" t="s">
        <v>458</v>
      </c>
      <c r="H1" s="86"/>
      <c r="I1" s="86"/>
      <c r="J1" s="4"/>
      <c r="K1" s="4"/>
    </row>
    <row r="2" spans="1:11" ht="19.5" customHeight="1">
      <c r="A2" s="89" t="s">
        <v>2</v>
      </c>
      <c r="B2" s="89"/>
      <c r="C2" s="5">
        <f>SUM(C4:C103)</f>
        <v>540494</v>
      </c>
      <c r="D2" s="5">
        <f>SUM(D4:D103)</f>
        <v>386816</v>
      </c>
      <c r="E2" s="5">
        <f>C2-D2</f>
        <v>153678</v>
      </c>
      <c r="F2" s="6">
        <f>IFERROR(E2/D2, 0)</f>
        <v>0.39728966743878225</v>
      </c>
      <c r="G2" s="5">
        <f>SUM(G4:G103)</f>
        <v>611493</v>
      </c>
      <c r="H2" s="7">
        <f>C2-G2</f>
        <v>-70999</v>
      </c>
      <c r="I2" s="6">
        <f>IFERROR(H2/G2, 0)</f>
        <v>-0.11610762510772814</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96" customHeight="1">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6">
      <c r="A6" s="30"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39"/>
      <c r="K7" s="39"/>
    </row>
    <row r="8" spans="1:11" ht="15.6">
      <c r="A8" s="30"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48"/>
      <c r="K9" s="48"/>
    </row>
    <row r="10" spans="1:11" ht="15.6">
      <c r="A10" s="30"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J11" s="39"/>
      <c r="K11" s="39"/>
    </row>
    <row r="12" spans="1:11" ht="63" customHeight="1">
      <c r="A12" s="30" t="str">
        <v>Ashby-Duffy</v>
      </c>
      <c r="B12" s="27" t="str">
        <v>MA</v>
      </c>
      <c r="C12" s="24"/>
      <c r="D12" s="13"/>
      <c r="E12" s="13" t="str">
        <f t="shared" si="0"/>
        <v/>
      </c>
      <c r="F12" s="14" t="str">
        <f t="shared" si="3"/>
        <v/>
      </c>
      <c r="G12" s="15"/>
      <c r="H12" s="15" t="str">
        <f t="shared" si="1"/>
        <v/>
      </c>
      <c r="I12" s="16" t="str">
        <f t="shared" si="2"/>
        <v/>
      </c>
      <c r="J12" s="38"/>
      <c r="K12" s="38"/>
    </row>
    <row r="13" spans="1:11" ht="57" customHeight="1">
      <c r="A13" s="28" t="str">
        <v>Ashland</v>
      </c>
      <c r="B13" s="29" t="str">
        <v>MA</v>
      </c>
      <c r="C13" s="11"/>
      <c r="D13" s="18"/>
      <c r="E13" s="18" t="str">
        <f t="shared" si="0"/>
        <v/>
      </c>
      <c r="F13" s="19" t="str">
        <f t="shared" si="3"/>
        <v/>
      </c>
      <c r="G13" s="20"/>
      <c r="H13" s="20" t="str">
        <f t="shared" si="1"/>
        <v/>
      </c>
      <c r="I13" s="19" t="str">
        <f t="shared" si="2"/>
        <v/>
      </c>
      <c r="J13" s="48"/>
      <c r="K13" s="48"/>
    </row>
    <row r="14" spans="1:11" ht="15.6">
      <c r="A14" s="30"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39"/>
    </row>
    <row r="16" spans="1:11" ht="15.6">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53" t="str">
        <f t="shared" si="5"/>
        <v/>
      </c>
      <c r="G19" s="20"/>
      <c r="H19" s="51" t="str">
        <f t="shared" si="6"/>
        <v/>
      </c>
      <c r="I19" s="53" t="str">
        <f t="shared" si="7"/>
        <v/>
      </c>
      <c r="J19" s="39"/>
      <c r="K19" s="39"/>
    </row>
    <row r="20" spans="1:11" ht="15.6">
      <c r="A20" s="30" t="str">
        <v>Monument Valley</v>
      </c>
      <c r="B20" s="27" t="str">
        <v>MA</v>
      </c>
      <c r="C20" s="24"/>
      <c r="D20" s="13"/>
      <c r="E20" s="13" t="str">
        <f t="shared" si="4"/>
        <v/>
      </c>
      <c r="F20" s="14" t="str">
        <f t="shared" si="5"/>
        <v/>
      </c>
      <c r="G20" s="15"/>
      <c r="H20" s="15" t="str">
        <f t="shared" si="6"/>
        <v/>
      </c>
      <c r="I20" s="16" t="str">
        <f t="shared" si="7"/>
        <v/>
      </c>
      <c r="J20" s="38"/>
      <c r="K20" s="38"/>
    </row>
    <row r="21" spans="1:11" ht="15.6">
      <c r="A21" s="28" t="str">
        <v>Nationwide</v>
      </c>
      <c r="B21" s="29" t="str">
        <v>MA</v>
      </c>
      <c r="C21" s="11"/>
      <c r="D21" s="18"/>
      <c r="E21" s="18" t="str">
        <f t="shared" si="4"/>
        <v/>
      </c>
      <c r="F21" s="53" t="str">
        <f t="shared" si="5"/>
        <v/>
      </c>
      <c r="G21" s="20"/>
      <c r="H21" s="51" t="str">
        <f t="shared" si="6"/>
        <v/>
      </c>
      <c r="I21" s="53" t="str">
        <f t="shared" si="7"/>
        <v/>
      </c>
      <c r="J21" s="39"/>
      <c r="K21" s="39"/>
    </row>
    <row r="22" spans="1:11" ht="15.6">
      <c r="A22" s="30"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v>540494</v>
      </c>
      <c r="D23" s="18">
        <v>386816</v>
      </c>
      <c r="E23" s="18">
        <f t="shared" si="4"/>
        <v>153678</v>
      </c>
      <c r="F23" s="53">
        <f t="shared" si="5"/>
        <v>0.39728966743878225</v>
      </c>
      <c r="G23" s="20">
        <v>611493</v>
      </c>
      <c r="H23" s="51">
        <f t="shared" si="6"/>
        <v>-70999</v>
      </c>
      <c r="I23" s="53">
        <f t="shared" si="7"/>
        <v>-0.11610762510772814</v>
      </c>
      <c r="J23" s="39"/>
      <c r="K23" s="39"/>
    </row>
    <row r="24" spans="1:11" ht="15.6">
      <c r="A24" s="30"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53" t="str">
        <f t="shared" si="5"/>
        <v/>
      </c>
      <c r="G25" s="20"/>
      <c r="H25" s="51" t="str">
        <f t="shared" si="6"/>
        <v/>
      </c>
      <c r="I25" s="53" t="str">
        <f t="shared" si="7"/>
        <v/>
      </c>
      <c r="J25" s="39"/>
      <c r="K25" s="39"/>
    </row>
    <row r="26" spans="1:11" ht="15.6">
      <c r="A26" s="30" t="str">
        <v>Halsey Valley</v>
      </c>
      <c r="B26" s="27" t="str">
        <v>NY</v>
      </c>
      <c r="C26" s="24"/>
      <c r="D26" s="13"/>
      <c r="E26" s="13" t="str">
        <f t="shared" si="4"/>
        <v/>
      </c>
      <c r="F26" s="14" t="str">
        <f t="shared" si="5"/>
        <v/>
      </c>
      <c r="G26" s="15"/>
      <c r="H26" s="15" t="str">
        <f t="shared" si="6"/>
        <v/>
      </c>
      <c r="I26" s="16" t="str">
        <f t="shared" si="7"/>
        <v/>
      </c>
      <c r="J26" s="38"/>
      <c r="K26" s="38"/>
    </row>
    <row r="27" spans="1:11" ht="95.25" customHeight="1">
      <c r="A27" s="28" t="str">
        <v>Hunt Creek</v>
      </c>
      <c r="B27" s="29" t="str">
        <v>NY</v>
      </c>
      <c r="C27" s="11"/>
      <c r="D27" s="18"/>
      <c r="E27" s="18" t="str">
        <f t="shared" si="4"/>
        <v/>
      </c>
      <c r="F27" s="53" t="str">
        <f t="shared" si="5"/>
        <v/>
      </c>
      <c r="G27" s="20"/>
      <c r="H27" s="51" t="str">
        <f t="shared" si="6"/>
        <v/>
      </c>
      <c r="I27" s="53" t="str">
        <f t="shared" si="7"/>
        <v/>
      </c>
      <c r="J27" s="48"/>
      <c r="K27" s="48"/>
    </row>
    <row r="28" spans="1:11" ht="78" customHeight="1">
      <c r="A28" s="30"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9" priority="3" stopIfTrue="1" operator="lessThanOrEqual">
      <formula>-0.1</formula>
    </cfRule>
    <cfRule type="expression" dxfId="28" priority="4">
      <formula>AND(ISNUMBER(F2), F2&gt;=0.1)</formula>
    </cfRule>
  </conditionalFormatting>
  <conditionalFormatting sqref="F4:F103 I4:I103">
    <cfRule type="cellIs" dxfId="27" priority="1" stopIfTrue="1" operator="lessThanOrEqual">
      <formula>-0.1</formula>
    </cfRule>
    <cfRule type="expression" dxfId="26"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5"/>
  <sheetViews>
    <sheetView zoomScale="60" zoomScaleNormal="60" workbookViewId="0">
      <pane xSplit="2" ySplit="3" topLeftCell="C15" activePane="bottomRight" state="frozen"/>
      <selection pane="bottomRight" activeCell="G24" sqref="G24"/>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Lodestar</v>
      </c>
      <c r="B1" s="87"/>
      <c r="C1" s="87"/>
      <c r="D1" s="88" t="s">
        <v>459</v>
      </c>
      <c r="E1" s="88"/>
      <c r="F1" s="88"/>
      <c r="G1" s="86" t="s">
        <v>460</v>
      </c>
      <c r="H1" s="86"/>
      <c r="I1" s="86"/>
      <c r="J1" s="4"/>
      <c r="K1" s="4"/>
    </row>
    <row r="2" spans="1:11" ht="19.5" customHeight="1">
      <c r="A2" s="89" t="s">
        <v>2</v>
      </c>
      <c r="B2" s="89"/>
      <c r="C2" s="5">
        <f>SUM(C4:C103)</f>
        <v>10149474.5</v>
      </c>
      <c r="D2" s="5">
        <f>SUM(D4:D103)</f>
        <v>8314331.0000000009</v>
      </c>
      <c r="E2" s="5">
        <f>C2-D2</f>
        <v>1835143.4999999991</v>
      </c>
      <c r="F2" s="6">
        <f>IFERROR(E2/D2, 0)</f>
        <v>0.22072052459782981</v>
      </c>
      <c r="G2" s="5">
        <f>SUM(G4:G103)</f>
        <v>9651096.6999999993</v>
      </c>
      <c r="H2" s="7">
        <f>C2-G2</f>
        <v>498377.80000000075</v>
      </c>
      <c r="I2" s="6">
        <f>IFERROR(H2/G2, 0)</f>
        <v>5.1639499166970401E-2</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75">
      <c r="A4" s="30" t="str" cm="1">
        <f t="array" ref="A4:A34">Sites[Site]</f>
        <v>Barkhamsted</v>
      </c>
      <c r="B4" s="27" t="str" cm="1">
        <f t="array" ref="B4:B34">Sites[State]</f>
        <v>CT</v>
      </c>
      <c r="C4" s="24">
        <v>172046</v>
      </c>
      <c r="D4" s="13">
        <v>188098</v>
      </c>
      <c r="E4" s="13">
        <f>IF(AND(ISNUMBER(C4),ISNUMBER(D4)), C4-D4, "")</f>
        <v>-16052</v>
      </c>
      <c r="F4" s="14">
        <f>IFERROR(E4/D4, "")</f>
        <v>-8.5338493763889037E-2</v>
      </c>
      <c r="G4" s="15">
        <v>184916.4</v>
      </c>
      <c r="H4" s="15">
        <f>IF(AND(ISNUMBER(C4),ISNUMBER(G4)), C4-G4, "")</f>
        <v>-12870.399999999994</v>
      </c>
      <c r="I4" s="16">
        <f>IFERROR(H4/G4, "")</f>
        <v>-6.9601181939514256E-2</v>
      </c>
      <c r="J4" s="38"/>
      <c r="K4" s="38"/>
    </row>
    <row r="5" spans="1:11" ht="15.75">
      <c r="A5" s="28" t="str">
        <v>Bunce</v>
      </c>
      <c r="B5" s="29" t="str">
        <v>CT</v>
      </c>
      <c r="C5" s="11">
        <v>356160</v>
      </c>
      <c r="D5" s="18">
        <v>214884</v>
      </c>
      <c r="E5" s="18">
        <f t="shared" ref="E5:E34" si="0">IF(AND(ISNUMBER(C5),ISNUMBER(D5)), C5-D5, "")</f>
        <v>141276</v>
      </c>
      <c r="F5" s="19">
        <f>IFERROR(E5/D5, "")</f>
        <v>0.65745239291897029</v>
      </c>
      <c r="G5" s="67" t="s">
        <v>171</v>
      </c>
      <c r="H5" s="20" t="str">
        <f t="shared" ref="H5:H34" si="1">IF(AND(ISNUMBER(C5),ISNUMBER(G5)), C5-G5, "")</f>
        <v/>
      </c>
      <c r="I5" s="19" t="str">
        <f t="shared" ref="I5:I34" si="2">IFERROR(H5/G5, "")</f>
        <v/>
      </c>
      <c r="J5" s="39"/>
      <c r="K5" s="39"/>
    </row>
    <row r="6" spans="1:11" ht="15.75">
      <c r="A6" s="30" t="str">
        <v>Norcap North</v>
      </c>
      <c r="B6" s="27" t="str">
        <v>CT</v>
      </c>
      <c r="C6" s="24">
        <v>353706</v>
      </c>
      <c r="D6" s="13">
        <v>350440</v>
      </c>
      <c r="E6" s="13">
        <f t="shared" si="0"/>
        <v>3266</v>
      </c>
      <c r="F6" s="14">
        <f t="shared" ref="F6:F34" si="3">IFERROR(E6/D6, "")</f>
        <v>9.319712361602556E-3</v>
      </c>
      <c r="G6" s="15">
        <v>358531.5</v>
      </c>
      <c r="H6" s="15">
        <f t="shared" si="1"/>
        <v>-4825.5</v>
      </c>
      <c r="I6" s="16">
        <f t="shared" si="2"/>
        <v>-1.3459068450052505E-2</v>
      </c>
      <c r="J6" s="38"/>
      <c r="K6" s="38"/>
    </row>
    <row r="7" spans="1:11" ht="15.75">
      <c r="A7" s="28" t="str">
        <v>Norcap South</v>
      </c>
      <c r="B7" s="29" t="str">
        <v>CT</v>
      </c>
      <c r="C7" s="11">
        <v>378641</v>
      </c>
      <c r="D7" s="18">
        <v>367429.8</v>
      </c>
      <c r="E7" s="18">
        <f t="shared" si="0"/>
        <v>11211.200000000012</v>
      </c>
      <c r="F7" s="19">
        <f t="shared" si="3"/>
        <v>3.051249517594929E-2</v>
      </c>
      <c r="G7" s="20">
        <v>351983</v>
      </c>
      <c r="H7" s="20">
        <f t="shared" si="1"/>
        <v>26658</v>
      </c>
      <c r="I7" s="19">
        <f t="shared" si="2"/>
        <v>7.573661227957032E-2</v>
      </c>
      <c r="J7" s="39"/>
      <c r="K7" s="48"/>
    </row>
    <row r="8" spans="1:11" ht="15.75">
      <c r="A8" s="30" t="str">
        <v>Platt Hill</v>
      </c>
      <c r="B8" s="27" t="str">
        <v>CT</v>
      </c>
      <c r="C8" s="24">
        <v>388207</v>
      </c>
      <c r="D8" s="13">
        <v>409220</v>
      </c>
      <c r="E8" s="13">
        <f t="shared" si="0"/>
        <v>-21013</v>
      </c>
      <c r="F8" s="14">
        <f t="shared" si="3"/>
        <v>-5.1348907678021603E-2</v>
      </c>
      <c r="G8" s="15">
        <v>411409.7</v>
      </c>
      <c r="H8" s="15">
        <f t="shared" si="1"/>
        <v>-23202.700000000012</v>
      </c>
      <c r="I8" s="16">
        <f t="shared" si="2"/>
        <v>-5.6398038257240921E-2</v>
      </c>
      <c r="J8" s="38"/>
      <c r="K8" s="38"/>
    </row>
    <row r="9" spans="1:11" ht="15.75">
      <c r="A9" s="28" t="str">
        <v>Powder Hill</v>
      </c>
      <c r="B9" s="29" t="str">
        <v>CT</v>
      </c>
      <c r="C9" s="11">
        <v>360699</v>
      </c>
      <c r="D9" s="18">
        <v>362106</v>
      </c>
      <c r="E9" s="18">
        <f t="shared" si="0"/>
        <v>-1407</v>
      </c>
      <c r="F9" s="19">
        <f t="shared" si="3"/>
        <v>-3.8856025583668872E-3</v>
      </c>
      <c r="G9" s="20">
        <v>283282</v>
      </c>
      <c r="H9" s="20">
        <f t="shared" si="1"/>
        <v>77417</v>
      </c>
      <c r="I9" s="19">
        <f t="shared" si="2"/>
        <v>0.27328598357820122</v>
      </c>
      <c r="J9" s="39"/>
      <c r="K9" s="39"/>
    </row>
    <row r="10" spans="1:11" ht="15.75">
      <c r="A10" s="30" t="str">
        <v>Sand Road</v>
      </c>
      <c r="B10" s="27" t="str">
        <v>CT</v>
      </c>
      <c r="C10" s="24">
        <v>386609</v>
      </c>
      <c r="D10" s="13">
        <v>343428.9</v>
      </c>
      <c r="E10" s="13">
        <f t="shared" si="0"/>
        <v>43180.099999999977</v>
      </c>
      <c r="F10" s="14">
        <f t="shared" si="3"/>
        <v>0.12573228403317244</v>
      </c>
      <c r="G10" s="15">
        <v>327346.2</v>
      </c>
      <c r="H10" s="15">
        <f t="shared" si="1"/>
        <v>59262.799999999988</v>
      </c>
      <c r="I10" s="16">
        <f t="shared" si="2"/>
        <v>0.18104013426763466</v>
      </c>
      <c r="J10" s="38"/>
      <c r="K10" s="38"/>
    </row>
    <row r="11" spans="1:11" ht="15.75">
      <c r="A11" s="28" t="str">
        <v>Suffield</v>
      </c>
      <c r="B11" s="29" t="str">
        <v>CT</v>
      </c>
      <c r="C11" s="11">
        <v>365172</v>
      </c>
      <c r="D11" s="18">
        <v>357945</v>
      </c>
      <c r="E11" s="18">
        <f t="shared" si="0"/>
        <v>7227</v>
      </c>
      <c r="F11" s="19">
        <f t="shared" si="3"/>
        <v>2.019025269245275E-2</v>
      </c>
      <c r="G11" s="20">
        <v>361334.4</v>
      </c>
      <c r="H11" s="20">
        <f t="shared" si="1"/>
        <v>3837.5999999999767</v>
      </c>
      <c r="I11" s="19">
        <f t="shared" si="2"/>
        <v>1.0620632854220291E-2</v>
      </c>
      <c r="J11" s="39"/>
      <c r="K11" s="39"/>
    </row>
    <row r="12" spans="1:11" ht="15.75">
      <c r="A12" s="30" t="str">
        <v>Ashby-Duffy</v>
      </c>
      <c r="B12" s="27" t="str">
        <v>MA</v>
      </c>
      <c r="C12" s="24">
        <v>344927</v>
      </c>
      <c r="D12" s="13">
        <v>358435</v>
      </c>
      <c r="E12" s="13">
        <f t="shared" si="0"/>
        <v>-13508</v>
      </c>
      <c r="F12" s="14">
        <f t="shared" si="3"/>
        <v>-3.7686051864354767E-2</v>
      </c>
      <c r="G12" s="15">
        <v>350894.1</v>
      </c>
      <c r="H12" s="15">
        <f t="shared" si="1"/>
        <v>-5967.0999999999767</v>
      </c>
      <c r="I12" s="16">
        <f t="shared" si="2"/>
        <v>-1.7005415594049535E-2</v>
      </c>
      <c r="J12" s="38"/>
      <c r="K12" s="38"/>
    </row>
    <row r="13" spans="1:11" ht="15.75">
      <c r="A13" s="28" t="str">
        <v>Ashland</v>
      </c>
      <c r="B13" s="29" t="str">
        <v>MA</v>
      </c>
      <c r="C13" s="11">
        <v>361151</v>
      </c>
      <c r="D13" s="18">
        <v>374718</v>
      </c>
      <c r="E13" s="18">
        <f t="shared" si="0"/>
        <v>-13567</v>
      </c>
      <c r="F13" s="19">
        <f t="shared" si="3"/>
        <v>-3.6205893498577599E-2</v>
      </c>
      <c r="G13" s="20">
        <v>381791.5</v>
      </c>
      <c r="H13" s="20">
        <f t="shared" si="1"/>
        <v>-20640.5</v>
      </c>
      <c r="I13" s="19">
        <f t="shared" si="2"/>
        <v>-5.406223030109366E-2</v>
      </c>
      <c r="J13" s="39"/>
      <c r="K13" s="48"/>
    </row>
    <row r="14" spans="1:11" ht="15.75">
      <c r="A14" s="30" t="str">
        <v>Barrington</v>
      </c>
      <c r="B14" s="27" t="str">
        <v>MA</v>
      </c>
      <c r="C14" s="24">
        <v>76945</v>
      </c>
      <c r="D14" s="13">
        <v>67187</v>
      </c>
      <c r="E14" s="13">
        <f t="shared" si="0"/>
        <v>9758</v>
      </c>
      <c r="F14" s="14">
        <f t="shared" si="3"/>
        <v>0.14523642966645334</v>
      </c>
      <c r="G14" s="15">
        <v>86469.4</v>
      </c>
      <c r="H14" s="15">
        <f t="shared" si="1"/>
        <v>-9524.3999999999942</v>
      </c>
      <c r="I14" s="16">
        <f t="shared" si="2"/>
        <v>-0.11014763604234555</v>
      </c>
      <c r="J14" s="38"/>
      <c r="K14" s="38"/>
    </row>
    <row r="15" spans="1:11" ht="15.75">
      <c r="A15" s="28" t="str">
        <v>Bedford - 205 Burlington Rd</v>
      </c>
      <c r="B15" s="29" t="str">
        <v>MA</v>
      </c>
      <c r="C15" s="11"/>
      <c r="D15" s="18"/>
      <c r="E15" s="18" t="str">
        <f t="shared" si="0"/>
        <v/>
      </c>
      <c r="F15" s="53" t="str">
        <f t="shared" si="3"/>
        <v/>
      </c>
      <c r="G15" s="20"/>
      <c r="H15" s="51" t="str">
        <f t="shared" si="1"/>
        <v/>
      </c>
      <c r="I15" s="53" t="str">
        <f t="shared" si="2"/>
        <v/>
      </c>
      <c r="J15" s="39"/>
      <c r="K15" s="39"/>
    </row>
    <row r="16" spans="1:11" ht="15.75">
      <c r="A16" s="30" t="str">
        <v>Billerica - 6 Cook Street</v>
      </c>
      <c r="B16" s="27" t="str">
        <v>MA</v>
      </c>
      <c r="C16" s="24"/>
      <c r="D16" s="13"/>
      <c r="E16" s="13" t="str">
        <f t="shared" si="0"/>
        <v/>
      </c>
      <c r="F16" s="14" t="str">
        <f t="shared" si="3"/>
        <v/>
      </c>
      <c r="G16" s="15"/>
      <c r="H16" s="15" t="str">
        <f t="shared" si="1"/>
        <v/>
      </c>
      <c r="I16" s="16" t="str">
        <f t="shared" si="2"/>
        <v/>
      </c>
      <c r="J16" s="38"/>
      <c r="K16" s="38"/>
    </row>
    <row r="17" spans="1:11" ht="15.75">
      <c r="A17" s="28" t="str">
        <v>Billerica - 780 Boston Road</v>
      </c>
      <c r="B17" s="29" t="str">
        <v>MA</v>
      </c>
      <c r="C17" s="11"/>
      <c r="D17" s="18"/>
      <c r="E17" s="18" t="str">
        <f t="shared" si="0"/>
        <v/>
      </c>
      <c r="F17" s="53" t="str">
        <f t="shared" si="3"/>
        <v/>
      </c>
      <c r="G17" s="20"/>
      <c r="H17" s="51" t="str">
        <f t="shared" si="1"/>
        <v/>
      </c>
      <c r="I17" s="53" t="str">
        <f t="shared" si="2"/>
        <v/>
      </c>
      <c r="J17" s="39"/>
      <c r="K17" s="39"/>
    </row>
    <row r="18" spans="1:11" ht="12.75" customHeight="1">
      <c r="A18" s="30" t="str">
        <v>Cheshire</v>
      </c>
      <c r="B18" s="27" t="str">
        <v>MA</v>
      </c>
      <c r="C18" s="24">
        <v>82137</v>
      </c>
      <c r="D18" s="13">
        <v>83247.600000000006</v>
      </c>
      <c r="E18" s="13">
        <f t="shared" si="0"/>
        <v>-1110.6000000000058</v>
      </c>
      <c r="F18" s="14">
        <f t="shared" si="3"/>
        <v>-1.3340925143787999E-2</v>
      </c>
      <c r="G18" s="15">
        <v>64884</v>
      </c>
      <c r="H18" s="15">
        <f t="shared" si="1"/>
        <v>17253</v>
      </c>
      <c r="I18" s="16">
        <f t="shared" si="2"/>
        <v>0.2659053079341594</v>
      </c>
      <c r="J18" s="38"/>
      <c r="K18" s="38"/>
    </row>
    <row r="19" spans="1:11" ht="15.75">
      <c r="A19" s="28" t="str">
        <v>Lilly Lane</v>
      </c>
      <c r="B19" s="29" t="str">
        <v>MA</v>
      </c>
      <c r="C19" s="11">
        <v>175990</v>
      </c>
      <c r="D19" s="18">
        <v>173631</v>
      </c>
      <c r="E19" s="18">
        <f t="shared" si="0"/>
        <v>2359</v>
      </c>
      <c r="F19" s="53">
        <f t="shared" si="3"/>
        <v>1.3586283555355898E-2</v>
      </c>
      <c r="G19" s="20">
        <v>177958</v>
      </c>
      <c r="H19" s="51">
        <f t="shared" si="1"/>
        <v>-1968</v>
      </c>
      <c r="I19" s="53">
        <f t="shared" si="2"/>
        <v>-1.1058789152496657E-2</v>
      </c>
      <c r="J19" s="39"/>
      <c r="K19" s="39"/>
    </row>
    <row r="20" spans="1:11" ht="15.75">
      <c r="A20" s="30" t="str">
        <v>Monument Valley</v>
      </c>
      <c r="B20" s="27" t="str">
        <v>MA</v>
      </c>
      <c r="C20" s="24">
        <v>380364</v>
      </c>
      <c r="D20" s="13">
        <v>282628.5</v>
      </c>
      <c r="E20" s="13">
        <f t="shared" si="0"/>
        <v>97735.5</v>
      </c>
      <c r="F20" s="14">
        <f t="shared" si="3"/>
        <v>0.34580907445639769</v>
      </c>
      <c r="G20" s="15">
        <v>0</v>
      </c>
      <c r="H20" s="15">
        <f t="shared" si="1"/>
        <v>380364</v>
      </c>
      <c r="I20" s="16" t="str">
        <f t="shared" si="2"/>
        <v/>
      </c>
      <c r="J20" s="38"/>
      <c r="K20" s="38"/>
    </row>
    <row r="21" spans="1:11" ht="15.75">
      <c r="A21" s="28" t="str">
        <v>Nationwide</v>
      </c>
      <c r="B21" s="29" t="str">
        <v>MA</v>
      </c>
      <c r="C21" s="11">
        <v>550601</v>
      </c>
      <c r="D21" s="18">
        <v>536230</v>
      </c>
      <c r="E21" s="18">
        <f t="shared" si="0"/>
        <v>14371</v>
      </c>
      <c r="F21" s="53">
        <f t="shared" si="3"/>
        <v>2.6800067135371017E-2</v>
      </c>
      <c r="G21" s="20">
        <v>536327</v>
      </c>
      <c r="H21" s="51">
        <f t="shared" si="1"/>
        <v>14274</v>
      </c>
      <c r="I21" s="53">
        <f t="shared" si="2"/>
        <v>2.6614360269014984E-2</v>
      </c>
      <c r="J21" s="39"/>
      <c r="K21" s="39"/>
    </row>
    <row r="22" spans="1:11" ht="15.75">
      <c r="A22" s="30" t="str">
        <v>Pulpit Hill</v>
      </c>
      <c r="B22" s="27" t="str">
        <v>MA</v>
      </c>
      <c r="C22" s="24">
        <v>810809</v>
      </c>
      <c r="D22" s="13">
        <v>774638.7</v>
      </c>
      <c r="E22" s="13">
        <f t="shared" si="0"/>
        <v>36170.300000000047</v>
      </c>
      <c r="F22" s="14">
        <f t="shared" si="3"/>
        <v>4.6693122871346408E-2</v>
      </c>
      <c r="G22" s="15">
        <v>777126</v>
      </c>
      <c r="H22" s="15">
        <f t="shared" si="1"/>
        <v>33683</v>
      </c>
      <c r="I22" s="16">
        <f t="shared" si="2"/>
        <v>4.3343035749672514E-2</v>
      </c>
      <c r="J22" s="38"/>
      <c r="K22" s="38"/>
    </row>
    <row r="23" spans="1:11" ht="15.75">
      <c r="A23" s="28" t="str">
        <v>Sandwich</v>
      </c>
      <c r="B23" s="29" t="str">
        <v>MA</v>
      </c>
      <c r="C23" s="11">
        <v>540494</v>
      </c>
      <c r="D23" s="18">
        <v>386816</v>
      </c>
      <c r="E23" s="18">
        <f t="shared" si="0"/>
        <v>153678</v>
      </c>
      <c r="F23" s="53">
        <f t="shared" si="3"/>
        <v>0.39728966743878225</v>
      </c>
      <c r="G23" s="20">
        <v>589949</v>
      </c>
      <c r="H23" s="51">
        <f t="shared" si="1"/>
        <v>-49455</v>
      </c>
      <c r="I23" s="53">
        <f t="shared" si="2"/>
        <v>-8.382928015811536E-2</v>
      </c>
      <c r="J23" s="39"/>
      <c r="K23" s="39"/>
    </row>
    <row r="24" spans="1:11" ht="15.75">
      <c r="A24" s="30" t="str">
        <v>Sturbridge Barn</v>
      </c>
      <c r="B24" s="27" t="str">
        <v>MA</v>
      </c>
      <c r="C24" s="24">
        <v>176159</v>
      </c>
      <c r="D24" s="13">
        <v>183008</v>
      </c>
      <c r="E24" s="13">
        <f t="shared" si="0"/>
        <v>-6849</v>
      </c>
      <c r="F24" s="14">
        <f t="shared" si="3"/>
        <v>-3.7424593460395172E-2</v>
      </c>
      <c r="G24" s="15">
        <v>190566.5</v>
      </c>
      <c r="H24" s="15">
        <f t="shared" si="1"/>
        <v>-14407.5</v>
      </c>
      <c r="I24" s="16">
        <f t="shared" si="2"/>
        <v>-7.5603529476586911E-2</v>
      </c>
      <c r="J24" s="38"/>
      <c r="K24" s="38"/>
    </row>
    <row r="25" spans="1:11" ht="15.75">
      <c r="A25" s="28" t="str">
        <v>Sturbridge Garage</v>
      </c>
      <c r="B25" s="29" t="str">
        <v>MA</v>
      </c>
      <c r="C25" s="11">
        <v>85972.5</v>
      </c>
      <c r="D25" s="18">
        <v>86378</v>
      </c>
      <c r="E25" s="18">
        <f t="shared" si="0"/>
        <v>-405.5</v>
      </c>
      <c r="F25" s="53">
        <f t="shared" si="3"/>
        <v>-4.6944823913496496E-3</v>
      </c>
      <c r="G25" s="20">
        <v>87896</v>
      </c>
      <c r="H25" s="51">
        <f t="shared" si="1"/>
        <v>-1923.5</v>
      </c>
      <c r="I25" s="53">
        <f t="shared" si="2"/>
        <v>-2.1883817238554655E-2</v>
      </c>
      <c r="J25" s="39"/>
      <c r="K25" s="39"/>
    </row>
    <row r="26" spans="1:11" ht="15.75">
      <c r="A26" s="30" t="str">
        <v>Halsey Valley</v>
      </c>
      <c r="B26" s="27" t="str">
        <v>NY</v>
      </c>
      <c r="C26" s="24">
        <v>973648</v>
      </c>
      <c r="D26" s="13">
        <v>965597</v>
      </c>
      <c r="E26" s="13">
        <f t="shared" si="0"/>
        <v>8051</v>
      </c>
      <c r="F26" s="14">
        <f t="shared" si="3"/>
        <v>8.3378469485717119E-3</v>
      </c>
      <c r="G26" s="15">
        <v>1001133</v>
      </c>
      <c r="H26" s="15">
        <f t="shared" si="1"/>
        <v>-27485</v>
      </c>
      <c r="I26" s="16">
        <f t="shared" si="2"/>
        <v>-2.7453894737262681E-2</v>
      </c>
      <c r="J26" s="38"/>
      <c r="K26" s="38"/>
    </row>
    <row r="27" spans="1:11" ht="15.75">
      <c r="A27" s="28" t="str">
        <v>Hunt Creek</v>
      </c>
      <c r="B27" s="29" t="str">
        <v>NY</v>
      </c>
      <c r="C27" s="11">
        <v>652076</v>
      </c>
      <c r="D27" s="18">
        <v>694573.5</v>
      </c>
      <c r="E27" s="18">
        <f t="shared" si="0"/>
        <v>-42497.5</v>
      </c>
      <c r="F27" s="53">
        <f t="shared" si="3"/>
        <v>-6.1185029374141109E-2</v>
      </c>
      <c r="G27" s="20">
        <v>713489</v>
      </c>
      <c r="H27" s="51">
        <f t="shared" si="1"/>
        <v>-61413</v>
      </c>
      <c r="I27" s="53">
        <f t="shared" si="2"/>
        <v>-8.607420717067818E-2</v>
      </c>
      <c r="J27" s="39"/>
      <c r="K27" s="48"/>
    </row>
    <row r="28" spans="1:11" ht="15.75">
      <c r="A28" s="30" t="str">
        <v>Smith Creek</v>
      </c>
      <c r="B28" s="27" t="str">
        <v>NY</v>
      </c>
      <c r="C28" s="24">
        <v>727810</v>
      </c>
      <c r="D28" s="13">
        <v>753691</v>
      </c>
      <c r="E28" s="13">
        <f t="shared" si="0"/>
        <v>-25881</v>
      </c>
      <c r="F28" s="14">
        <f t="shared" si="3"/>
        <v>-3.433900630364433E-2</v>
      </c>
      <c r="G28" s="15">
        <v>740977</v>
      </c>
      <c r="H28" s="15">
        <f t="shared" si="1"/>
        <v>-13167</v>
      </c>
      <c r="I28" s="53">
        <f t="shared" si="2"/>
        <v>-1.7769782327926507E-2</v>
      </c>
      <c r="J28" s="38"/>
      <c r="K28" s="38"/>
    </row>
    <row r="29" spans="1:11" ht="15.75">
      <c r="A29" s="28" t="str">
        <v>Bradford - 256 Presidential Dr</v>
      </c>
      <c r="B29" s="28" t="str">
        <v>MA</v>
      </c>
      <c r="C29" s="11">
        <v>810488</v>
      </c>
      <c r="D29" s="18" t="s">
        <v>24</v>
      </c>
      <c r="E29" s="18" t="str">
        <f t="shared" si="0"/>
        <v/>
      </c>
      <c r="F29" s="53" t="str">
        <f t="shared" si="3"/>
        <v/>
      </c>
      <c r="G29" s="20">
        <v>810307</v>
      </c>
      <c r="H29" s="51">
        <f t="shared" si="1"/>
        <v>181</v>
      </c>
      <c r="I29" s="53">
        <f t="shared" si="2"/>
        <v>2.2337212932876059E-4</v>
      </c>
      <c r="J29" s="39"/>
      <c r="K29" s="39"/>
    </row>
    <row r="30" spans="1:11" ht="15.75">
      <c r="A30" s="30" t="str">
        <v>Charlton – 111 Brookfield Road - Bus Lot</v>
      </c>
      <c r="B30" s="30" t="str">
        <v>MA</v>
      </c>
      <c r="C30" s="24">
        <v>82680</v>
      </c>
      <c r="D30" s="13" t="s">
        <v>24</v>
      </c>
      <c r="E30" s="13" t="str">
        <f t="shared" si="0"/>
        <v/>
      </c>
      <c r="F30" s="14" t="str">
        <f t="shared" si="3"/>
        <v/>
      </c>
      <c r="G30" s="15">
        <v>94856</v>
      </c>
      <c r="H30" s="15">
        <f t="shared" si="1"/>
        <v>-12176</v>
      </c>
      <c r="I30" s="53">
        <f t="shared" si="2"/>
        <v>-0.12836299232520873</v>
      </c>
      <c r="J30" s="38"/>
      <c r="K30" s="38"/>
    </row>
    <row r="31" spans="1:11" ht="15.75">
      <c r="A31" s="28" t="str">
        <v>Charlton – 154 Center Depot Road KMARD</v>
      </c>
      <c r="B31" s="28" t="str">
        <v>MA</v>
      </c>
      <c r="C31" s="11">
        <v>77250</v>
      </c>
      <c r="D31" s="18" t="s">
        <v>24</v>
      </c>
      <c r="E31" s="18" t="str">
        <f t="shared" si="0"/>
        <v/>
      </c>
      <c r="F31" s="53" t="str">
        <f t="shared" si="3"/>
        <v/>
      </c>
      <c r="G31" s="20">
        <v>91832</v>
      </c>
      <c r="H31" s="51">
        <f t="shared" si="1"/>
        <v>-14582</v>
      </c>
      <c r="I31" s="53">
        <f t="shared" si="2"/>
        <v>-0.158789964282603</v>
      </c>
      <c r="J31" s="39"/>
      <c r="K31" s="48"/>
    </row>
    <row r="32" spans="1:11" ht="15.75">
      <c r="A32" s="30" t="str">
        <v>Charlton – 142A Brookfield Rd (Mitchell)</v>
      </c>
      <c r="B32" s="30" t="str">
        <v>MA</v>
      </c>
      <c r="C32" s="24">
        <v>79236</v>
      </c>
      <c r="D32" s="13" t="s">
        <v>24</v>
      </c>
      <c r="E32" s="13" t="str">
        <f t="shared" si="0"/>
        <v/>
      </c>
      <c r="F32" s="14" t="str">
        <f t="shared" si="3"/>
        <v/>
      </c>
      <c r="G32" s="15">
        <v>93318</v>
      </c>
      <c r="H32" s="15">
        <f t="shared" si="1"/>
        <v>-14082</v>
      </c>
      <c r="I32" s="53">
        <f t="shared" si="2"/>
        <v>-0.15090336269529994</v>
      </c>
      <c r="J32" s="38"/>
      <c r="K32" s="38"/>
    </row>
    <row r="33" spans="1:11" ht="15.75">
      <c r="A33" s="28" t="str">
        <v>Great Barrington – 3 Nolan  Drive</v>
      </c>
      <c r="B33" s="28" t="str">
        <v>MA</v>
      </c>
      <c r="C33" s="11">
        <v>62374</v>
      </c>
      <c r="D33" s="18" t="s">
        <v>24</v>
      </c>
      <c r="E33" s="18" t="str">
        <f t="shared" si="0"/>
        <v/>
      </c>
      <c r="F33" s="53" t="str">
        <f t="shared" si="3"/>
        <v/>
      </c>
      <c r="G33" s="20">
        <v>189713</v>
      </c>
      <c r="H33" s="51">
        <f t="shared" si="1"/>
        <v>-127339</v>
      </c>
      <c r="I33" s="53">
        <f t="shared" si="2"/>
        <v>-0.67121915735874715</v>
      </c>
      <c r="J33" s="39"/>
      <c r="K33" s="39"/>
    </row>
    <row r="34" spans="1:11" ht="15.75">
      <c r="A34" s="30" t="str">
        <v>Stockbridge – 92 State Line Road Truck Stop</v>
      </c>
      <c r="B34" s="30" t="str">
        <v>MA</v>
      </c>
      <c r="C34" s="24">
        <v>337123</v>
      </c>
      <c r="D34" s="13" t="s">
        <v>24</v>
      </c>
      <c r="E34" s="13" t="str">
        <f t="shared" si="0"/>
        <v/>
      </c>
      <c r="F34" s="14" t="str">
        <f t="shared" si="3"/>
        <v/>
      </c>
      <c r="G34" s="15">
        <v>392807</v>
      </c>
      <c r="H34" s="15">
        <f t="shared" si="1"/>
        <v>-55684</v>
      </c>
      <c r="I34" s="53">
        <f t="shared" si="2"/>
        <v>-0.14175918453591713</v>
      </c>
      <c r="J34" s="38"/>
      <c r="K34" s="38"/>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35:F103 I35:I103">
    <cfRule type="cellIs" dxfId="23" priority="3" stopIfTrue="1" operator="lessThanOrEqual">
      <formula>-0.1</formula>
    </cfRule>
    <cfRule type="expression" dxfId="22" priority="4">
      <formula>AND(ISNUMBER(F35), F35&gt;=0.1)</formula>
    </cfRule>
  </conditionalFormatting>
  <conditionalFormatting sqref="I4:I34 F4:F34">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5"/>
  <sheetViews>
    <sheetView tabSelected="1" zoomScale="60" zoomScaleNormal="60" workbookViewId="0">
      <pane xSplit="2" ySplit="3" topLeftCell="C9" activePane="bottomRight" state="frozen"/>
      <selection pane="bottomRight" activeCell="G24" sqref="G24"/>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Lodestar</v>
      </c>
      <c r="B1" s="87"/>
      <c r="C1" s="87"/>
      <c r="D1" s="88" t="s">
        <v>461</v>
      </c>
      <c r="E1" s="88"/>
      <c r="F1" s="88"/>
      <c r="G1" s="86" t="s">
        <v>462</v>
      </c>
      <c r="H1" s="86"/>
      <c r="I1" s="86"/>
      <c r="J1" s="4"/>
      <c r="K1" s="4"/>
    </row>
    <row r="2" spans="1:11" ht="19.5" customHeight="1">
      <c r="A2" s="89" t="s">
        <v>2</v>
      </c>
      <c r="B2" s="89"/>
      <c r="C2" s="5">
        <f>SUM(C4:C103)</f>
        <v>450745</v>
      </c>
      <c r="D2" s="5">
        <f>SUM(D4:D103)</f>
        <v>312212</v>
      </c>
      <c r="E2" s="5">
        <f>C2-D2</f>
        <v>138533</v>
      </c>
      <c r="F2" s="6">
        <f>IFERROR(E2/D2, 0)</f>
        <v>0.44371452730836741</v>
      </c>
      <c r="G2" s="5">
        <f>SUM(G4:G103)</f>
        <v>509944</v>
      </c>
      <c r="H2" s="7">
        <f>C2-G2</f>
        <v>-59199</v>
      </c>
      <c r="I2" s="6">
        <f>IFERROR(H2/G2, 0)</f>
        <v>-0.11608921763958395</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6">
      <c r="A6" s="30"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39"/>
      <c r="K7" s="39"/>
    </row>
    <row r="8" spans="1:11" ht="15.6">
      <c r="A8" s="30"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39"/>
      <c r="K9" s="39"/>
    </row>
    <row r="10" spans="1:11" ht="15.6">
      <c r="A10" s="30"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J11" s="39"/>
      <c r="K11" s="39"/>
    </row>
    <row r="12" spans="1:11" ht="120" customHeight="1">
      <c r="A12" s="30" t="str">
        <v>Ashby-Duffy</v>
      </c>
      <c r="B12" s="27" t="str">
        <v>MA</v>
      </c>
      <c r="C12" s="24"/>
      <c r="D12" s="13"/>
      <c r="E12" s="13" t="str">
        <f t="shared" si="0"/>
        <v/>
      </c>
      <c r="F12" s="14" t="str">
        <f t="shared" si="3"/>
        <v/>
      </c>
      <c r="G12" s="15"/>
      <c r="H12" s="15" t="str">
        <f t="shared" si="1"/>
        <v/>
      </c>
      <c r="I12" s="16" t="str">
        <f t="shared" si="2"/>
        <v/>
      </c>
      <c r="J12" s="38"/>
      <c r="K12" s="38"/>
    </row>
    <row r="13" spans="1:11" ht="15.6">
      <c r="A13" s="28" t="str">
        <v>Ashland</v>
      </c>
      <c r="B13" s="29" t="str">
        <v>MA</v>
      </c>
      <c r="C13" s="11"/>
      <c r="D13" s="18"/>
      <c r="E13" s="18" t="str">
        <f t="shared" si="0"/>
        <v/>
      </c>
      <c r="F13" s="19" t="str">
        <f t="shared" si="3"/>
        <v/>
      </c>
      <c r="G13" s="20"/>
      <c r="H13" s="20" t="str">
        <f t="shared" si="1"/>
        <v/>
      </c>
      <c r="I13" s="19" t="str">
        <f t="shared" si="2"/>
        <v/>
      </c>
      <c r="J13" s="39"/>
      <c r="K13" s="39"/>
    </row>
    <row r="14" spans="1:11" ht="15.6">
      <c r="A14" s="30"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39"/>
    </row>
    <row r="16" spans="1:11" ht="15.6">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53" t="str">
        <f t="shared" si="5"/>
        <v/>
      </c>
      <c r="G19" s="20"/>
      <c r="H19" s="51" t="str">
        <f t="shared" si="6"/>
        <v/>
      </c>
      <c r="I19" s="53" t="str">
        <f t="shared" si="7"/>
        <v/>
      </c>
      <c r="J19" s="39"/>
      <c r="K19" s="39"/>
    </row>
    <row r="20" spans="1:11" ht="88.5" customHeight="1">
      <c r="A20" s="30" t="str">
        <v>Monument Valley</v>
      </c>
      <c r="B20" s="27" t="str">
        <v>MA</v>
      </c>
      <c r="C20" s="24"/>
      <c r="D20" s="13"/>
      <c r="E20" s="13" t="str">
        <f t="shared" si="4"/>
        <v/>
      </c>
      <c r="F20" s="14" t="str">
        <f t="shared" si="5"/>
        <v/>
      </c>
      <c r="G20" s="15"/>
      <c r="H20" s="15" t="str">
        <f t="shared" si="6"/>
        <v/>
      </c>
      <c r="I20" s="16" t="str">
        <f t="shared" si="7"/>
        <v/>
      </c>
      <c r="J20" s="38"/>
      <c r="K20" s="38"/>
    </row>
    <row r="21" spans="1:11" ht="15.6">
      <c r="A21" s="28" t="str">
        <v>Nationwide</v>
      </c>
      <c r="B21" s="29" t="str">
        <v>MA</v>
      </c>
      <c r="C21" s="11"/>
      <c r="D21" s="18"/>
      <c r="E21" s="18" t="str">
        <f t="shared" si="4"/>
        <v/>
      </c>
      <c r="F21" s="53" t="str">
        <f t="shared" si="5"/>
        <v/>
      </c>
      <c r="G21" s="20"/>
      <c r="H21" s="51" t="str">
        <f t="shared" si="6"/>
        <v/>
      </c>
      <c r="I21" s="53" t="str">
        <f t="shared" si="7"/>
        <v/>
      </c>
      <c r="J21" s="39"/>
      <c r="K21" s="39"/>
    </row>
    <row r="22" spans="1:11" ht="15.6">
      <c r="A22" s="30"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v>450745</v>
      </c>
      <c r="D23" s="18">
        <v>312212</v>
      </c>
      <c r="E23" s="18">
        <f t="shared" si="4"/>
        <v>138533</v>
      </c>
      <c r="F23" s="53">
        <f t="shared" si="5"/>
        <v>0.44371452730836741</v>
      </c>
      <c r="G23" s="20">
        <v>509944</v>
      </c>
      <c r="H23" s="51">
        <f t="shared" si="6"/>
        <v>-59199</v>
      </c>
      <c r="I23" s="53">
        <f t="shared" si="7"/>
        <v>-0.11608921763958395</v>
      </c>
      <c r="J23" s="39"/>
      <c r="K23" s="39"/>
    </row>
    <row r="24" spans="1:11" ht="15.6">
      <c r="A24" s="30"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53" t="str">
        <f t="shared" si="5"/>
        <v/>
      </c>
      <c r="G25" s="20"/>
      <c r="H25" s="51" t="str">
        <f t="shared" si="6"/>
        <v/>
      </c>
      <c r="I25" s="53" t="str">
        <f t="shared" si="7"/>
        <v/>
      </c>
      <c r="J25" s="39"/>
      <c r="K25" s="39"/>
    </row>
    <row r="26" spans="1:11" ht="15.6">
      <c r="A26" s="30" t="str">
        <v>Halsey Valley</v>
      </c>
      <c r="B26" s="27" t="str">
        <v>NY</v>
      </c>
      <c r="C26" s="24"/>
      <c r="D26" s="13"/>
      <c r="E26" s="13" t="str">
        <f t="shared" si="4"/>
        <v/>
      </c>
      <c r="F26" s="14" t="str">
        <f t="shared" si="5"/>
        <v/>
      </c>
      <c r="G26" s="15"/>
      <c r="H26" s="15" t="str">
        <f t="shared" si="6"/>
        <v/>
      </c>
      <c r="I26" s="16" t="str">
        <f t="shared" si="7"/>
        <v/>
      </c>
      <c r="J26" s="38"/>
      <c r="K26" s="38"/>
    </row>
    <row r="27" spans="1:11" ht="15.6">
      <c r="A27" s="28" t="str">
        <v>Hunt Creek</v>
      </c>
      <c r="B27" s="29" t="str">
        <v>NY</v>
      </c>
      <c r="C27" s="11"/>
      <c r="D27" s="18"/>
      <c r="E27" s="18" t="str">
        <f t="shared" si="4"/>
        <v/>
      </c>
      <c r="F27" s="53" t="str">
        <f t="shared" si="5"/>
        <v/>
      </c>
      <c r="G27" s="20"/>
      <c r="H27" s="51" t="str">
        <f t="shared" si="6"/>
        <v/>
      </c>
      <c r="I27" s="53" t="str">
        <f t="shared" si="7"/>
        <v/>
      </c>
      <c r="J27" s="39"/>
      <c r="K27" s="39"/>
    </row>
    <row r="28" spans="1:11" ht="15.6">
      <c r="A28" s="30"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5"/>
  <sheetViews>
    <sheetView zoomScale="40" zoomScaleNormal="4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4.25" customHeight="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141.7109375" customWidth="1"/>
    <col min="11" max="11" width="22.42578125" customWidth="1"/>
  </cols>
  <sheetData>
    <row r="1" spans="1:11" ht="19.5" customHeight="1">
      <c r="A1" s="87" t="str" cm="1">
        <f t="array" ref="A1">portfolio</f>
        <v>Lodestar</v>
      </c>
      <c r="B1" s="87"/>
      <c r="C1" s="87"/>
      <c r="D1" s="88" t="s">
        <v>463</v>
      </c>
      <c r="E1" s="88"/>
      <c r="F1" s="88"/>
      <c r="G1" s="86" t="s">
        <v>464</v>
      </c>
      <c r="H1" s="86"/>
      <c r="I1" s="86"/>
      <c r="J1" s="4"/>
      <c r="K1" s="4"/>
    </row>
    <row r="2" spans="1:11" ht="19.5" customHeight="1">
      <c r="A2" s="89" t="s">
        <v>2</v>
      </c>
      <c r="B2" s="89"/>
      <c r="C2" s="5">
        <f>SUM(C4:C103)</f>
        <v>0</v>
      </c>
      <c r="D2" s="5">
        <f>SUM(D4:D103)</f>
        <v>0</v>
      </c>
      <c r="E2" s="5">
        <f>C2-D2</f>
        <v>0</v>
      </c>
      <c r="F2" s="6">
        <f>IFERROR(E2/D2, 0)</f>
        <v>0</v>
      </c>
      <c r="G2" s="5">
        <f>SUM(G4:G103)</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56"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54" customHeight="1">
      <c r="A6" s="56"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49"/>
      <c r="K7" s="39"/>
    </row>
    <row r="8" spans="1:11" ht="57.75" customHeight="1">
      <c r="A8" s="56"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49"/>
      <c r="K9" s="39"/>
    </row>
    <row r="10" spans="1:11" ht="15.6">
      <c r="A10" s="56"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K11" s="39"/>
    </row>
    <row r="12" spans="1:11" ht="61.5" customHeight="1">
      <c r="A12" s="56" t="str">
        <v>Ashby-Duffy</v>
      </c>
      <c r="B12" s="27" t="str">
        <v>MA</v>
      </c>
      <c r="C12" s="24"/>
      <c r="D12" s="13"/>
      <c r="E12" s="13" t="str">
        <f t="shared" si="0"/>
        <v/>
      </c>
      <c r="F12" s="14" t="str">
        <f t="shared" si="3"/>
        <v/>
      </c>
      <c r="G12" s="15"/>
      <c r="H12" s="15" t="str">
        <f t="shared" si="1"/>
        <v/>
      </c>
      <c r="I12" s="16" t="str">
        <f t="shared" si="2"/>
        <v/>
      </c>
      <c r="J12" s="38"/>
      <c r="K12" s="38"/>
    </row>
    <row r="13" spans="1:11" ht="15.6">
      <c r="A13" s="28" t="str">
        <v>Ashland</v>
      </c>
      <c r="B13" s="29" t="str">
        <v>MA</v>
      </c>
      <c r="C13" s="11"/>
      <c r="D13" s="18"/>
      <c r="E13" s="18" t="str">
        <f t="shared" si="0"/>
        <v/>
      </c>
      <c r="F13" s="19" t="str">
        <f>IFERROR(E13/D13, "")</f>
        <v/>
      </c>
      <c r="G13" s="20"/>
      <c r="H13" s="20" t="str">
        <f t="shared" si="1"/>
        <v/>
      </c>
      <c r="I13" s="19" t="str">
        <f t="shared" si="2"/>
        <v/>
      </c>
      <c r="J13" s="49"/>
      <c r="K13" s="39"/>
    </row>
    <row r="14" spans="1:11" ht="15.6">
      <c r="A14" s="56"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19" t="str">
        <f t="shared" ref="F15:F28" si="5">IFERROR(E15/D15, "")</f>
        <v/>
      </c>
      <c r="G15" s="20"/>
      <c r="H15" s="20" t="str">
        <f t="shared" ref="H15:H28" si="6">IF(AND(ISNUMBER(C15),ISNUMBER(G15)), C15-G15, "")</f>
        <v/>
      </c>
      <c r="I15" s="19" t="str">
        <f t="shared" ref="I15:I28" si="7">IFERROR(H15/G15, "")</f>
        <v/>
      </c>
      <c r="J15" s="39"/>
      <c r="K15" s="39"/>
    </row>
    <row r="16" spans="1:11" ht="15.6">
      <c r="A16" s="56"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19" t="str">
        <f t="shared" si="5"/>
        <v/>
      </c>
      <c r="G17" s="20"/>
      <c r="H17" s="20" t="str">
        <f t="shared" si="6"/>
        <v/>
      </c>
      <c r="I17" s="19" t="str">
        <f t="shared" si="7"/>
        <v/>
      </c>
      <c r="J17" s="39"/>
      <c r="K17" s="39"/>
    </row>
    <row r="18" spans="1:11" ht="12.75" customHeight="1">
      <c r="A18" s="56"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19" t="str">
        <f t="shared" si="5"/>
        <v/>
      </c>
      <c r="G19" s="20"/>
      <c r="H19" s="20" t="str">
        <f t="shared" si="6"/>
        <v/>
      </c>
      <c r="I19" s="19" t="str">
        <f t="shared" si="7"/>
        <v/>
      </c>
      <c r="J19" s="39"/>
      <c r="K19" s="39"/>
    </row>
    <row r="20" spans="1:11" ht="15.6">
      <c r="A20" s="56" t="str">
        <v>Monument Valley</v>
      </c>
      <c r="B20" s="27" t="str">
        <v>MA</v>
      </c>
      <c r="C20" s="24"/>
      <c r="D20" s="13"/>
      <c r="E20" s="13" t="str">
        <f t="shared" si="4"/>
        <v/>
      </c>
      <c r="F20" s="14" t="str">
        <f t="shared" si="5"/>
        <v/>
      </c>
      <c r="G20" s="15"/>
      <c r="H20" s="15" t="str">
        <f t="shared" si="6"/>
        <v/>
      </c>
      <c r="I20" s="16" t="str">
        <f t="shared" si="7"/>
        <v/>
      </c>
      <c r="J20" s="38"/>
      <c r="K20" s="57"/>
    </row>
    <row r="21" spans="1:11" ht="27" customHeight="1">
      <c r="A21" s="28" t="str">
        <v>Nationwide</v>
      </c>
      <c r="B21" s="29" t="str">
        <v>MA</v>
      </c>
      <c r="C21" s="11"/>
      <c r="D21" s="18"/>
      <c r="E21" s="18" t="str">
        <f t="shared" si="4"/>
        <v/>
      </c>
      <c r="F21" s="19" t="str">
        <f t="shared" si="5"/>
        <v/>
      </c>
      <c r="G21" s="20"/>
      <c r="H21" s="20" t="str">
        <f t="shared" si="6"/>
        <v/>
      </c>
      <c r="I21" s="19" t="str">
        <f t="shared" si="7"/>
        <v/>
      </c>
      <c r="J21" s="48"/>
      <c r="K21" s="48"/>
    </row>
    <row r="22" spans="1:11" ht="42.75" customHeight="1">
      <c r="A22" s="56"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c r="D23" s="18"/>
      <c r="E23" s="18" t="str">
        <f t="shared" si="4"/>
        <v/>
      </c>
      <c r="F23" s="19" t="str">
        <f t="shared" si="5"/>
        <v/>
      </c>
      <c r="G23" s="20"/>
      <c r="H23" s="20" t="str">
        <f t="shared" si="6"/>
        <v/>
      </c>
      <c r="I23" s="19" t="str">
        <f t="shared" si="7"/>
        <v/>
      </c>
      <c r="J23" s="39"/>
      <c r="K23" s="39"/>
    </row>
    <row r="24" spans="1:11" ht="15.6">
      <c r="A24" s="56"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19" t="str">
        <f t="shared" si="5"/>
        <v/>
      </c>
      <c r="G25" s="20"/>
      <c r="H25" s="20" t="str">
        <f t="shared" si="6"/>
        <v/>
      </c>
      <c r="I25" s="19" t="str">
        <f t="shared" si="7"/>
        <v/>
      </c>
      <c r="J25" s="39"/>
      <c r="K25" s="39"/>
    </row>
    <row r="26" spans="1:11" ht="15.6">
      <c r="A26" s="56" t="str">
        <v>Halsey Valley</v>
      </c>
      <c r="B26" s="27" t="str">
        <v>NY</v>
      </c>
      <c r="C26" s="24"/>
      <c r="D26" s="13"/>
      <c r="E26" s="13" t="str">
        <f t="shared" si="4"/>
        <v/>
      </c>
      <c r="F26" s="14" t="str">
        <f t="shared" si="5"/>
        <v/>
      </c>
      <c r="G26" s="15"/>
      <c r="H26" s="15" t="str">
        <f t="shared" si="6"/>
        <v/>
      </c>
      <c r="I26" s="16" t="str">
        <f t="shared" si="7"/>
        <v/>
      </c>
      <c r="J26" s="38"/>
      <c r="K26" s="38"/>
    </row>
    <row r="27" spans="1:11" ht="15.6">
      <c r="A27" s="28" t="str">
        <v>Hunt Creek</v>
      </c>
      <c r="B27" s="29" t="str">
        <v>NY</v>
      </c>
      <c r="C27" s="11"/>
      <c r="D27" s="18"/>
      <c r="E27" s="18" t="str">
        <f t="shared" si="4"/>
        <v/>
      </c>
      <c r="F27" s="19" t="str">
        <f t="shared" si="5"/>
        <v/>
      </c>
      <c r="G27" s="20"/>
      <c r="H27" s="20" t="str">
        <f t="shared" si="6"/>
        <v/>
      </c>
      <c r="I27" s="19" t="str">
        <f t="shared" si="7"/>
        <v/>
      </c>
      <c r="J27" s="39"/>
      <c r="K27" s="49"/>
    </row>
    <row r="28" spans="1:11" ht="15.6">
      <c r="A28" s="56"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3 I4:I103">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5"/>
  <sheetViews>
    <sheetView zoomScale="60" zoomScaleNormal="60" workbookViewId="0">
      <pane xSplit="2" ySplit="3" topLeftCell="N12" activePane="bottomRight" state="frozen"/>
      <selection pane="bottomRight" activeCell="N12" sqref="N12"/>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Lodestar</v>
      </c>
      <c r="B1" s="87"/>
      <c r="C1" s="87"/>
      <c r="D1" s="88" t="s">
        <v>465</v>
      </c>
      <c r="E1" s="88"/>
      <c r="F1" s="88"/>
      <c r="G1" s="86" t="s">
        <v>466</v>
      </c>
      <c r="H1" s="86"/>
      <c r="I1" s="86"/>
      <c r="J1" s="4"/>
      <c r="K1" s="4"/>
    </row>
    <row r="2" spans="1:11" ht="19.5" customHeight="1">
      <c r="A2" s="89" t="s">
        <v>2</v>
      </c>
      <c r="B2" s="89"/>
      <c r="C2" s="5">
        <f>SUM(C4:C103)</f>
        <v>0</v>
      </c>
      <c r="D2" s="5">
        <f>SUM(D4:D103)</f>
        <v>0</v>
      </c>
      <c r="E2" s="5">
        <f>C2-D2</f>
        <v>0</v>
      </c>
      <c r="F2" s="6">
        <f>IFERROR(E2/D2, 0)</f>
        <v>0</v>
      </c>
      <c r="G2" s="5">
        <f>SUM(G4:G103)</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7" si="0">IF(AND(ISNUMBER(C5),ISNUMBER(D5)), C5-D5, "")</f>
        <v/>
      </c>
      <c r="F5" s="19" t="str">
        <f>IFERROR(E5/D5, "")</f>
        <v/>
      </c>
      <c r="G5" s="20"/>
      <c r="H5" s="20" t="str">
        <f t="shared" ref="H5:H27" si="1">IF(AND(ISNUMBER(C5),ISNUMBER(G5)), C5-G5, "")</f>
        <v/>
      </c>
      <c r="I5" s="19" t="str">
        <f>IFERROR(H5/G5, "")</f>
        <v/>
      </c>
      <c r="J5" s="39"/>
      <c r="K5" s="39"/>
    </row>
    <row r="6" spans="1:11" ht="15.6">
      <c r="A6" s="30" t="str">
        <v>Norcap North</v>
      </c>
      <c r="B6" s="27" t="str">
        <v>CT</v>
      </c>
      <c r="C6" s="24"/>
      <c r="D6" s="13"/>
      <c r="E6" s="13" t="str">
        <f t="shared" si="0"/>
        <v/>
      </c>
      <c r="F6" s="14" t="str">
        <f t="shared" ref="F6:F27" si="2">IFERROR(E6/D6, "")</f>
        <v/>
      </c>
      <c r="G6" s="15"/>
      <c r="H6" s="15" t="str">
        <f t="shared" si="1"/>
        <v/>
      </c>
      <c r="I6" s="16" t="str">
        <f t="shared" ref="I6:I27" si="3">IFERROR(H6/G6, "")</f>
        <v/>
      </c>
      <c r="J6" s="38"/>
      <c r="K6" s="38"/>
    </row>
    <row r="7" spans="1:11" ht="15.6">
      <c r="A7" s="28" t="str">
        <v>Norcap South</v>
      </c>
      <c r="B7" s="29" t="str">
        <v>CT</v>
      </c>
      <c r="C7" s="11"/>
      <c r="D7" s="18"/>
      <c r="E7" s="18" t="str">
        <f t="shared" si="0"/>
        <v/>
      </c>
      <c r="F7" s="19" t="str">
        <f t="shared" si="2"/>
        <v/>
      </c>
      <c r="G7" s="20"/>
      <c r="H7" s="20" t="str">
        <f t="shared" si="1"/>
        <v/>
      </c>
      <c r="I7" s="19" t="str">
        <f t="shared" si="3"/>
        <v/>
      </c>
      <c r="J7" s="39"/>
      <c r="K7" s="39"/>
    </row>
    <row r="8" spans="1:11" ht="66" customHeight="1">
      <c r="A8" s="30" t="str">
        <v>Platt Hill</v>
      </c>
      <c r="B8" s="27" t="str">
        <v>CT</v>
      </c>
      <c r="C8" s="24"/>
      <c r="D8" s="13"/>
      <c r="E8" s="13" t="str">
        <f t="shared" si="0"/>
        <v/>
      </c>
      <c r="F8" s="14" t="str">
        <f t="shared" si="2"/>
        <v/>
      </c>
      <c r="G8" s="15"/>
      <c r="H8" s="15" t="str">
        <f t="shared" si="1"/>
        <v/>
      </c>
      <c r="I8" s="16" t="str">
        <f t="shared" si="3"/>
        <v/>
      </c>
      <c r="J8" s="38"/>
      <c r="K8" s="38"/>
    </row>
    <row r="9" spans="1:11" ht="100.5" customHeight="1">
      <c r="A9" s="28" t="str">
        <v>Powder Hill</v>
      </c>
      <c r="B9" s="29" t="str">
        <v>CT</v>
      </c>
      <c r="C9" s="11"/>
      <c r="D9" s="18"/>
      <c r="E9" s="18" t="str">
        <f t="shared" si="0"/>
        <v/>
      </c>
      <c r="F9" s="19" t="str">
        <f t="shared" si="2"/>
        <v/>
      </c>
      <c r="G9" s="20"/>
      <c r="H9" s="20" t="str">
        <f t="shared" si="1"/>
        <v/>
      </c>
      <c r="I9" s="19" t="str">
        <f t="shared" si="3"/>
        <v/>
      </c>
      <c r="J9" s="48"/>
      <c r="K9" s="48"/>
    </row>
    <row r="10" spans="1:11" ht="15.6">
      <c r="A10" s="30" t="str">
        <v>Sand Road</v>
      </c>
      <c r="B10" s="27" t="str">
        <v>CT</v>
      </c>
      <c r="C10" s="24"/>
      <c r="D10" s="13"/>
      <c r="E10" s="13" t="str">
        <f t="shared" si="0"/>
        <v/>
      </c>
      <c r="F10" s="14" t="str">
        <f t="shared" si="2"/>
        <v/>
      </c>
      <c r="G10" s="15"/>
      <c r="H10" s="15" t="str">
        <f t="shared" si="1"/>
        <v/>
      </c>
      <c r="I10" s="16" t="str">
        <f t="shared" si="3"/>
        <v/>
      </c>
      <c r="J10" s="38"/>
      <c r="K10" s="38"/>
    </row>
    <row r="11" spans="1:11" ht="15.6">
      <c r="A11" s="28" t="str">
        <v>Suffield</v>
      </c>
      <c r="B11" s="29" t="str">
        <v>CT</v>
      </c>
      <c r="C11" s="11"/>
      <c r="D11" s="18"/>
      <c r="E11" s="18" t="str">
        <f t="shared" si="0"/>
        <v/>
      </c>
      <c r="F11" s="19" t="str">
        <f t="shared" si="2"/>
        <v/>
      </c>
      <c r="G11" s="20"/>
      <c r="H11" s="20" t="str">
        <f t="shared" si="1"/>
        <v/>
      </c>
      <c r="I11" s="19" t="str">
        <f t="shared" si="3"/>
        <v/>
      </c>
      <c r="J11" s="39"/>
      <c r="K11" s="39"/>
    </row>
    <row r="12" spans="1:11" ht="51.75" customHeight="1">
      <c r="A12" s="56" t="str">
        <v>Ashby-Duffy</v>
      </c>
      <c r="B12" s="27" t="str">
        <v>MA</v>
      </c>
      <c r="C12" s="24"/>
      <c r="D12" s="13"/>
      <c r="E12" s="13" t="str">
        <f t="shared" si="0"/>
        <v/>
      </c>
      <c r="F12" s="14" t="str">
        <f t="shared" si="2"/>
        <v/>
      </c>
      <c r="G12" s="15"/>
      <c r="H12" s="15" t="str">
        <f t="shared" si="1"/>
        <v/>
      </c>
      <c r="I12" s="16" t="str">
        <f t="shared" si="3"/>
        <v/>
      </c>
      <c r="J12" s="38"/>
      <c r="K12" s="38"/>
    </row>
    <row r="13" spans="1:11" ht="129.75" customHeight="1">
      <c r="A13" s="28" t="str">
        <v>Ashland</v>
      </c>
      <c r="B13" s="29" t="str">
        <v>MA</v>
      </c>
      <c r="C13" s="11"/>
      <c r="D13" s="18"/>
      <c r="E13" s="18" t="str">
        <f t="shared" si="0"/>
        <v/>
      </c>
      <c r="F13" s="19" t="str">
        <f>IFERROR(E13/D13, "")</f>
        <v/>
      </c>
      <c r="G13" s="20"/>
      <c r="H13" s="20" t="str">
        <f t="shared" si="1"/>
        <v/>
      </c>
      <c r="I13" s="19" t="str">
        <f t="shared" si="3"/>
        <v/>
      </c>
      <c r="J13" s="48"/>
      <c r="K13" s="48"/>
    </row>
    <row r="14" spans="1:11" ht="15.6">
      <c r="A14" s="30" t="str">
        <v>Barrington</v>
      </c>
      <c r="B14" s="27" t="str">
        <v>MA</v>
      </c>
      <c r="C14" s="24"/>
      <c r="D14" s="13"/>
      <c r="E14" s="13" t="str">
        <f t="shared" si="0"/>
        <v/>
      </c>
      <c r="F14" s="14" t="str">
        <f t="shared" si="2"/>
        <v/>
      </c>
      <c r="G14" s="15"/>
      <c r="H14" s="15" t="str">
        <f t="shared" si="1"/>
        <v/>
      </c>
      <c r="I14" s="16" t="str">
        <f t="shared" si="3"/>
        <v/>
      </c>
      <c r="J14" s="38"/>
      <c r="K14" s="38"/>
    </row>
    <row r="15" spans="1:11" ht="15.6">
      <c r="A15" s="28" t="str">
        <v>Bedford - 205 Burlington Rd</v>
      </c>
      <c r="B15" s="29" t="str">
        <v>MA</v>
      </c>
      <c r="C15" s="11"/>
      <c r="D15" s="18"/>
      <c r="E15" s="18" t="str">
        <f t="shared" si="0"/>
        <v/>
      </c>
      <c r="F15" s="19" t="str">
        <f>IFERROR(E15/D15, "")</f>
        <v/>
      </c>
      <c r="G15" s="20"/>
      <c r="H15" s="20" t="str">
        <f t="shared" si="1"/>
        <v/>
      </c>
      <c r="I15" s="19" t="str">
        <f t="shared" si="3"/>
        <v/>
      </c>
      <c r="J15" s="39"/>
      <c r="K15" s="39"/>
    </row>
    <row r="16" spans="1:11" ht="15.6">
      <c r="A16" s="30" t="str">
        <v>Billerica - 6 Cook Street</v>
      </c>
      <c r="B16" s="27" t="str">
        <v>MA</v>
      </c>
      <c r="C16" s="24"/>
      <c r="D16" s="13"/>
      <c r="E16" s="13" t="str">
        <f t="shared" si="0"/>
        <v/>
      </c>
      <c r="F16" s="14" t="str">
        <f t="shared" si="2"/>
        <v/>
      </c>
      <c r="G16" s="15"/>
      <c r="H16" s="15" t="str">
        <f t="shared" si="1"/>
        <v/>
      </c>
      <c r="I16" s="16" t="str">
        <f t="shared" si="3"/>
        <v/>
      </c>
      <c r="J16" s="38"/>
      <c r="K16" s="38"/>
    </row>
    <row r="17" spans="1:11" ht="15.6">
      <c r="A17" s="28" t="str">
        <v>Billerica - 780 Boston Road</v>
      </c>
      <c r="B17" s="29" t="str">
        <v>MA</v>
      </c>
      <c r="C17" s="11"/>
      <c r="D17" s="18"/>
      <c r="E17" s="18" t="str">
        <f t="shared" si="0"/>
        <v/>
      </c>
      <c r="F17" s="19" t="str">
        <f t="shared" si="2"/>
        <v/>
      </c>
      <c r="G17" s="20"/>
      <c r="H17" s="20" t="str">
        <f t="shared" si="1"/>
        <v/>
      </c>
      <c r="I17" s="19" t="str">
        <f t="shared" si="3"/>
        <v/>
      </c>
      <c r="J17" s="39"/>
      <c r="K17" s="39"/>
    </row>
    <row r="18" spans="1:11" ht="12.75" customHeight="1">
      <c r="A18" s="30" t="str">
        <v>Cheshire</v>
      </c>
      <c r="B18" s="27" t="str">
        <v>MA</v>
      </c>
      <c r="C18" s="24"/>
      <c r="D18" s="13"/>
      <c r="E18" s="13" t="str">
        <f t="shared" si="0"/>
        <v/>
      </c>
      <c r="F18" s="14" t="str">
        <f t="shared" si="2"/>
        <v/>
      </c>
      <c r="G18" s="15"/>
      <c r="H18" s="15" t="str">
        <f t="shared" si="1"/>
        <v/>
      </c>
      <c r="I18" s="16" t="str">
        <f t="shared" si="3"/>
        <v/>
      </c>
      <c r="J18" s="38"/>
      <c r="K18" s="38"/>
    </row>
    <row r="19" spans="1:11" ht="15.6">
      <c r="A19" s="28" t="str">
        <v>Lilly Lane</v>
      </c>
      <c r="B19" s="29" t="str">
        <v>MA</v>
      </c>
      <c r="C19" s="11"/>
      <c r="D19" s="18"/>
      <c r="E19" s="18" t="str">
        <f t="shared" si="0"/>
        <v/>
      </c>
      <c r="F19" s="19" t="str">
        <f t="shared" si="2"/>
        <v/>
      </c>
      <c r="G19" s="20"/>
      <c r="H19" s="20" t="str">
        <f t="shared" si="1"/>
        <v/>
      </c>
      <c r="I19" s="19" t="str">
        <f t="shared" si="3"/>
        <v/>
      </c>
      <c r="J19" s="39"/>
      <c r="K19" s="39"/>
    </row>
    <row r="20" spans="1:11" ht="93.6" customHeight="1">
      <c r="A20" s="56" t="str">
        <v>Monument Valley</v>
      </c>
      <c r="B20" s="27" t="str">
        <v>MA</v>
      </c>
      <c r="C20" s="24"/>
      <c r="D20" s="13"/>
      <c r="E20" s="13" t="str">
        <f t="shared" si="0"/>
        <v/>
      </c>
      <c r="F20" s="14" t="str">
        <f t="shared" si="2"/>
        <v/>
      </c>
      <c r="G20" s="15"/>
      <c r="H20" s="15" t="str">
        <f t="shared" si="1"/>
        <v/>
      </c>
      <c r="I20" s="16" t="str">
        <f t="shared" si="3"/>
        <v/>
      </c>
      <c r="J20" s="38"/>
      <c r="K20" s="38"/>
    </row>
    <row r="21" spans="1:11" ht="15.6">
      <c r="A21" s="28" t="str">
        <v>Nationwide</v>
      </c>
      <c r="B21" s="29" t="str">
        <v>MA</v>
      </c>
      <c r="C21" s="11"/>
      <c r="D21" s="18"/>
      <c r="E21" s="18" t="str">
        <f t="shared" si="0"/>
        <v/>
      </c>
      <c r="F21" s="19" t="str">
        <f t="shared" si="2"/>
        <v/>
      </c>
      <c r="G21" s="20"/>
      <c r="H21" s="20" t="str">
        <f t="shared" si="1"/>
        <v/>
      </c>
      <c r="I21" s="19" t="str">
        <f t="shared" si="3"/>
        <v/>
      </c>
      <c r="J21" s="39"/>
      <c r="K21" s="39"/>
    </row>
    <row r="22" spans="1:11" ht="36.75" customHeight="1">
      <c r="A22" s="30" t="str">
        <v>Pulpit Hill</v>
      </c>
      <c r="B22" s="27" t="str">
        <v>MA</v>
      </c>
      <c r="C22" s="24"/>
      <c r="D22" s="13"/>
      <c r="E22" s="13" t="str">
        <f t="shared" si="0"/>
        <v/>
      </c>
      <c r="F22" s="14" t="str">
        <f t="shared" si="2"/>
        <v/>
      </c>
      <c r="G22" s="15"/>
      <c r="H22" s="15" t="str">
        <f t="shared" si="1"/>
        <v/>
      </c>
      <c r="I22" s="16" t="str">
        <f t="shared" si="3"/>
        <v/>
      </c>
      <c r="J22" s="38"/>
      <c r="K22" s="38"/>
    </row>
    <row r="23" spans="1:11" ht="15.6">
      <c r="A23" s="28" t="str">
        <v>Sandwich</v>
      </c>
      <c r="B23" s="29" t="str">
        <v>MA</v>
      </c>
      <c r="C23" s="11"/>
      <c r="D23" s="18"/>
      <c r="E23" s="18" t="str">
        <f t="shared" si="0"/>
        <v/>
      </c>
      <c r="F23" s="19" t="str">
        <f t="shared" si="2"/>
        <v/>
      </c>
      <c r="G23" s="20"/>
      <c r="H23" s="20" t="str">
        <f t="shared" si="1"/>
        <v/>
      </c>
      <c r="I23" s="19" t="str">
        <f t="shared" si="3"/>
        <v/>
      </c>
      <c r="J23" s="39"/>
      <c r="K23" s="39"/>
    </row>
    <row r="24" spans="1:11" ht="55.5" customHeight="1">
      <c r="A24" s="30" t="str">
        <v>Sturbridge Barn</v>
      </c>
      <c r="B24" s="27" t="str">
        <v>MA</v>
      </c>
      <c r="C24" s="24"/>
      <c r="D24" s="13"/>
      <c r="E24" s="13" t="str">
        <f t="shared" si="0"/>
        <v/>
      </c>
      <c r="F24" s="14" t="str">
        <f t="shared" si="2"/>
        <v/>
      </c>
      <c r="G24" s="15"/>
      <c r="H24" s="15" t="str">
        <f t="shared" si="1"/>
        <v/>
      </c>
      <c r="I24" s="16" t="str">
        <f t="shared" si="3"/>
        <v/>
      </c>
      <c r="J24" s="38"/>
      <c r="K24" s="38"/>
    </row>
    <row r="25" spans="1:11" ht="57" customHeight="1">
      <c r="A25" s="28" t="str">
        <v>Sturbridge Garage</v>
      </c>
      <c r="B25" s="29" t="str">
        <v>MA</v>
      </c>
      <c r="C25" s="11"/>
      <c r="D25" s="18"/>
      <c r="E25" s="18" t="str">
        <f t="shared" si="0"/>
        <v/>
      </c>
      <c r="F25" s="19" t="str">
        <f t="shared" si="2"/>
        <v/>
      </c>
      <c r="G25" s="20"/>
      <c r="H25" s="20" t="str">
        <f t="shared" si="1"/>
        <v/>
      </c>
      <c r="I25" s="19" t="str">
        <f t="shared" si="3"/>
        <v/>
      </c>
      <c r="J25" s="39"/>
      <c r="K25" s="48"/>
    </row>
    <row r="26" spans="1:11" ht="15.6">
      <c r="A26" s="30" t="str">
        <v>Halsey Valley</v>
      </c>
      <c r="B26" s="27" t="str">
        <v>NY</v>
      </c>
      <c r="C26" s="24"/>
      <c r="D26" s="13"/>
      <c r="E26" s="13" t="str">
        <f t="shared" si="0"/>
        <v/>
      </c>
      <c r="F26" s="14" t="str">
        <f t="shared" si="2"/>
        <v/>
      </c>
      <c r="G26" s="15"/>
      <c r="H26" s="15" t="str">
        <f t="shared" si="1"/>
        <v/>
      </c>
      <c r="I26" s="16" t="str">
        <f t="shared" si="3"/>
        <v/>
      </c>
      <c r="J26" s="38"/>
      <c r="K26" s="38"/>
    </row>
    <row r="27" spans="1:11" ht="72" customHeight="1">
      <c r="A27" s="28" t="str">
        <v>Hunt Creek</v>
      </c>
      <c r="B27" s="29" t="str">
        <v>NY</v>
      </c>
      <c r="C27" s="11"/>
      <c r="D27" s="18"/>
      <c r="E27" s="18" t="str">
        <f t="shared" si="0"/>
        <v/>
      </c>
      <c r="F27" s="19" t="str">
        <f t="shared" si="2"/>
        <v/>
      </c>
      <c r="G27" s="20"/>
      <c r="H27" s="20" t="str">
        <f t="shared" si="1"/>
        <v/>
      </c>
      <c r="I27" s="19" t="str">
        <f t="shared" si="3"/>
        <v/>
      </c>
      <c r="J27" s="49"/>
      <c r="K27" s="48"/>
    </row>
    <row r="28" spans="1:11" ht="31.5" customHeight="1">
      <c r="A28" s="30" t="str">
        <v>Smith Creek</v>
      </c>
      <c r="B28" s="27" t="str">
        <v>NY</v>
      </c>
      <c r="C28" s="24"/>
      <c r="D28" s="13"/>
      <c r="E28" s="13" t="str">
        <f>IF(AND(ISNUMBER(C28),ISNUMBER(D28)), C28-D28, "")</f>
        <v/>
      </c>
      <c r="F28" s="14" t="str">
        <f>IFERROR(E28/D28, "")</f>
        <v/>
      </c>
      <c r="G28" s="15"/>
      <c r="H28" s="15" t="str">
        <f>IF(AND(ISNUMBER(C28),ISNUMBER(G28)), C28-G28, "")</f>
        <v/>
      </c>
      <c r="I28" s="16" t="str">
        <f>IFERROR(H28/G28, "")</f>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5"/>
  <sheetViews>
    <sheetView zoomScale="60" zoomScaleNormal="60" workbookViewId="0">
      <pane xSplit="2" ySplit="3" topLeftCell="C4" activePane="bottomRight" state="frozen"/>
      <selection pane="bottomRight" activeCell="P13" sqref="P1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Lodestar</v>
      </c>
      <c r="B1" s="87"/>
      <c r="C1" s="87"/>
      <c r="D1" s="88" t="s">
        <v>467</v>
      </c>
      <c r="E1" s="88"/>
      <c r="F1" s="88"/>
      <c r="G1" s="86" t="s">
        <v>468</v>
      </c>
      <c r="H1" s="86"/>
      <c r="I1" s="86"/>
      <c r="J1" s="4"/>
      <c r="K1" s="4"/>
    </row>
    <row r="2" spans="1:11" ht="19.5" customHeight="1">
      <c r="A2" s="89" t="s">
        <v>2</v>
      </c>
      <c r="B2" s="89"/>
      <c r="C2" s="5">
        <f>SUM(C4:C103)</f>
        <v>0</v>
      </c>
      <c r="D2" s="5">
        <f>SUM(D4:D103)</f>
        <v>0</v>
      </c>
      <c r="E2" s="5">
        <f>C2-D2</f>
        <v>0</v>
      </c>
      <c r="F2" s="6">
        <f>IFERROR(E2/D2, 0)</f>
        <v>0</v>
      </c>
      <c r="G2" s="5">
        <f>SUM(G4:G103)</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60.75" customHeight="1">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8" si="0">IF(AND(ISNUMBER(C5),ISNUMBER(D5)), C5-D5, "")</f>
        <v/>
      </c>
      <c r="F5" s="19" t="str">
        <f t="shared" ref="F5:F28" si="1">IFERROR(E5/D5, "")</f>
        <v/>
      </c>
      <c r="G5" s="20"/>
      <c r="H5" s="20" t="str">
        <f t="shared" ref="H5:H28" si="2">IF(AND(ISNUMBER(C5),ISNUMBER(G5)), C5-G5, "")</f>
        <v/>
      </c>
      <c r="I5" s="19" t="str">
        <f t="shared" ref="I5:I6" si="3">IFERROR(H5/G5, "")</f>
        <v/>
      </c>
      <c r="J5" s="39"/>
      <c r="K5" s="39"/>
    </row>
    <row r="6" spans="1:11" ht="15.6">
      <c r="A6" s="30" t="str">
        <v>Norcap North</v>
      </c>
      <c r="B6" s="27" t="str">
        <v>CT</v>
      </c>
      <c r="C6" s="24"/>
      <c r="D6" s="13"/>
      <c r="E6" s="13" t="str">
        <f t="shared" si="0"/>
        <v/>
      </c>
      <c r="F6" s="14" t="str">
        <f t="shared" si="1"/>
        <v/>
      </c>
      <c r="G6" s="15"/>
      <c r="H6" s="15" t="str">
        <f t="shared" si="2"/>
        <v/>
      </c>
      <c r="I6" s="16" t="str">
        <f t="shared" si="3"/>
        <v/>
      </c>
      <c r="J6" s="38"/>
      <c r="K6" s="38"/>
    </row>
    <row r="7" spans="1:11" ht="15.6">
      <c r="A7" s="28" t="str">
        <v>Norcap South</v>
      </c>
      <c r="B7" s="29" t="str">
        <v>CT</v>
      </c>
      <c r="C7" s="11"/>
      <c r="D7" s="18"/>
      <c r="E7" s="18" t="str">
        <f t="shared" si="0"/>
        <v/>
      </c>
      <c r="F7" s="19" t="str">
        <f t="shared" si="1"/>
        <v/>
      </c>
      <c r="G7" s="20"/>
      <c r="H7" s="20" t="str">
        <f t="shared" si="2"/>
        <v/>
      </c>
      <c r="I7" s="19" t="str">
        <f t="shared" ref="I7:I28" si="4">IFERROR(H7/G7, "")</f>
        <v/>
      </c>
      <c r="J7" s="49"/>
      <c r="K7" s="48"/>
    </row>
    <row r="8" spans="1:11" ht="37.5" customHeight="1">
      <c r="A8" s="56" t="str">
        <v>Platt Hill</v>
      </c>
      <c r="B8" s="27" t="str">
        <v>CT</v>
      </c>
      <c r="C8" s="24"/>
      <c r="D8" s="13"/>
      <c r="E8" s="13" t="str">
        <f t="shared" si="0"/>
        <v/>
      </c>
      <c r="F8" s="14" t="str">
        <f t="shared" si="1"/>
        <v/>
      </c>
      <c r="G8" s="15"/>
      <c r="H8" s="15" t="str">
        <f t="shared" si="2"/>
        <v/>
      </c>
      <c r="I8" s="16" t="str">
        <f t="shared" si="4"/>
        <v/>
      </c>
      <c r="J8" s="38"/>
      <c r="K8" s="38"/>
    </row>
    <row r="9" spans="1:11" ht="31.5" customHeight="1">
      <c r="A9" s="28" t="str">
        <v>Powder Hill</v>
      </c>
      <c r="B9" s="29" t="str">
        <v>CT</v>
      </c>
      <c r="C9" s="11"/>
      <c r="D9" s="18"/>
      <c r="E9" s="18" t="str">
        <f t="shared" si="0"/>
        <v/>
      </c>
      <c r="F9" s="19" t="str">
        <f t="shared" si="1"/>
        <v/>
      </c>
      <c r="G9" s="20"/>
      <c r="H9" s="20" t="str">
        <f t="shared" si="2"/>
        <v/>
      </c>
      <c r="I9" s="19" t="str">
        <f t="shared" si="4"/>
        <v/>
      </c>
      <c r="J9" s="39"/>
      <c r="K9" s="39"/>
    </row>
    <row r="10" spans="1:11" ht="15.6">
      <c r="A10" s="30" t="str">
        <v>Sand Road</v>
      </c>
      <c r="B10" s="27" t="str">
        <v>CT</v>
      </c>
      <c r="C10" s="24"/>
      <c r="D10" s="13"/>
      <c r="E10" s="13" t="str">
        <f t="shared" si="0"/>
        <v/>
      </c>
      <c r="F10" s="14" t="str">
        <f t="shared" si="1"/>
        <v/>
      </c>
      <c r="G10" s="15"/>
      <c r="H10" s="15" t="str">
        <f t="shared" si="2"/>
        <v/>
      </c>
      <c r="I10" s="16" t="str">
        <f t="shared" si="4"/>
        <v/>
      </c>
      <c r="J10" s="38"/>
      <c r="K10" s="38"/>
    </row>
    <row r="11" spans="1:11" ht="15.6">
      <c r="A11" s="28" t="str">
        <v>Suffield</v>
      </c>
      <c r="B11" s="29" t="str">
        <v>CT</v>
      </c>
      <c r="C11" s="11"/>
      <c r="D11" s="18"/>
      <c r="E11" s="18" t="str">
        <f t="shared" si="0"/>
        <v/>
      </c>
      <c r="F11" s="19" t="str">
        <f t="shared" si="1"/>
        <v/>
      </c>
      <c r="G11" s="20"/>
      <c r="H11" s="20" t="str">
        <f t="shared" si="2"/>
        <v/>
      </c>
      <c r="I11" s="19" t="str">
        <f t="shared" si="4"/>
        <v/>
      </c>
      <c r="J11" s="39"/>
      <c r="K11" s="39"/>
    </row>
    <row r="12" spans="1:11" ht="15.6">
      <c r="A12" s="30" t="str">
        <v>Ashby-Duffy</v>
      </c>
      <c r="B12" s="27" t="str">
        <v>MA</v>
      </c>
      <c r="C12" s="24"/>
      <c r="D12" s="13"/>
      <c r="E12" s="13" t="str">
        <f t="shared" si="0"/>
        <v/>
      </c>
      <c r="F12" s="14" t="str">
        <f t="shared" si="1"/>
        <v/>
      </c>
      <c r="G12" s="15"/>
      <c r="H12" s="15" t="str">
        <f t="shared" si="2"/>
        <v/>
      </c>
      <c r="I12" s="16" t="str">
        <f t="shared" si="4"/>
        <v/>
      </c>
      <c r="J12" s="38"/>
      <c r="K12" s="38"/>
    </row>
    <row r="13" spans="1:11" ht="90" customHeight="1">
      <c r="A13" s="28" t="str">
        <v>Ashland</v>
      </c>
      <c r="B13" s="29" t="str">
        <v>MA</v>
      </c>
      <c r="C13" s="11"/>
      <c r="D13" s="18"/>
      <c r="E13" s="18" t="str">
        <f t="shared" si="0"/>
        <v/>
      </c>
      <c r="F13" s="19" t="str">
        <f t="shared" si="1"/>
        <v/>
      </c>
      <c r="G13" s="20"/>
      <c r="H13" s="20" t="str">
        <f t="shared" si="2"/>
        <v/>
      </c>
      <c r="I13" s="19" t="str">
        <f t="shared" si="4"/>
        <v/>
      </c>
      <c r="J13" s="49"/>
      <c r="K13" s="49"/>
    </row>
    <row r="14" spans="1:11" ht="15.6">
      <c r="A14" s="56" t="str">
        <v>Barrington</v>
      </c>
      <c r="B14" s="27" t="str">
        <v>MA</v>
      </c>
      <c r="C14" s="24"/>
      <c r="D14" s="13"/>
      <c r="E14" s="13" t="str">
        <f t="shared" si="0"/>
        <v/>
      </c>
      <c r="F14" s="14" t="str">
        <f t="shared" si="1"/>
        <v/>
      </c>
      <c r="G14" s="15"/>
      <c r="H14" s="15" t="str">
        <f t="shared" si="2"/>
        <v/>
      </c>
      <c r="I14" s="16" t="str">
        <f t="shared" si="4"/>
        <v/>
      </c>
      <c r="J14" s="38"/>
      <c r="K14" s="38"/>
    </row>
    <row r="15" spans="1:11" ht="15.6">
      <c r="A15" s="28" t="str">
        <v>Bedford - 205 Burlington Rd</v>
      </c>
      <c r="B15" s="29" t="str">
        <v>MA</v>
      </c>
      <c r="C15" s="11"/>
      <c r="D15" s="18"/>
      <c r="E15" s="18" t="str">
        <f t="shared" si="0"/>
        <v/>
      </c>
      <c r="F15" s="19" t="str">
        <f t="shared" si="1"/>
        <v/>
      </c>
      <c r="G15" s="20"/>
      <c r="H15" s="20" t="str">
        <f t="shared" si="2"/>
        <v/>
      </c>
      <c r="I15" s="19" t="str">
        <f t="shared" si="4"/>
        <v/>
      </c>
      <c r="J15" s="39"/>
      <c r="K15" s="39"/>
    </row>
    <row r="16" spans="1:11" ht="15.6">
      <c r="A16" s="30" t="str">
        <v>Billerica - 6 Cook Street</v>
      </c>
      <c r="B16" s="27" t="str">
        <v>MA</v>
      </c>
      <c r="C16" s="24"/>
      <c r="D16" s="13"/>
      <c r="E16" s="13" t="str">
        <f t="shared" si="0"/>
        <v/>
      </c>
      <c r="F16" s="14" t="str">
        <f t="shared" si="1"/>
        <v/>
      </c>
      <c r="G16" s="15"/>
      <c r="H16" s="15" t="str">
        <f t="shared" si="2"/>
        <v/>
      </c>
      <c r="I16" s="16" t="str">
        <f t="shared" si="4"/>
        <v/>
      </c>
      <c r="J16" s="38"/>
      <c r="K16" s="38"/>
    </row>
    <row r="17" spans="1:11" ht="15.6">
      <c r="A17" s="28" t="str">
        <v>Billerica - 780 Boston Road</v>
      </c>
      <c r="B17" s="29" t="str">
        <v>MA</v>
      </c>
      <c r="C17" s="11"/>
      <c r="D17" s="18"/>
      <c r="E17" s="18" t="str">
        <f t="shared" si="0"/>
        <v/>
      </c>
      <c r="F17" s="19" t="str">
        <f t="shared" si="1"/>
        <v/>
      </c>
      <c r="G17" s="20"/>
      <c r="H17" s="20" t="str">
        <f t="shared" si="2"/>
        <v/>
      </c>
      <c r="I17" s="19" t="str">
        <f t="shared" si="4"/>
        <v/>
      </c>
      <c r="J17" s="39"/>
      <c r="K17" s="39"/>
    </row>
    <row r="18" spans="1:11" ht="12.75" customHeight="1">
      <c r="A18" s="58" t="str">
        <v>Cheshire</v>
      </c>
      <c r="B18" s="27" t="str">
        <v>MA</v>
      </c>
      <c r="C18" s="24"/>
      <c r="D18" s="13"/>
      <c r="E18" s="13" t="str">
        <f t="shared" si="0"/>
        <v/>
      </c>
      <c r="F18" s="14" t="str">
        <f t="shared" si="1"/>
        <v/>
      </c>
      <c r="G18" s="15"/>
      <c r="H18" s="15" t="str">
        <f t="shared" si="2"/>
        <v/>
      </c>
      <c r="I18" s="16" t="str">
        <f t="shared" si="4"/>
        <v/>
      </c>
      <c r="J18" s="38"/>
      <c r="K18" s="38"/>
    </row>
    <row r="19" spans="1:11" ht="54" customHeight="1">
      <c r="A19" s="28" t="str">
        <v>Lilly Lane</v>
      </c>
      <c r="B19" s="29" t="str">
        <v>MA</v>
      </c>
      <c r="C19" s="11"/>
      <c r="D19" s="18"/>
      <c r="E19" s="18" t="str">
        <f t="shared" si="0"/>
        <v/>
      </c>
      <c r="F19" s="19" t="str">
        <f t="shared" si="1"/>
        <v/>
      </c>
      <c r="G19" s="20"/>
      <c r="H19" s="20" t="str">
        <f t="shared" si="2"/>
        <v/>
      </c>
      <c r="I19" s="19" t="str">
        <f t="shared" si="4"/>
        <v/>
      </c>
      <c r="J19" s="49"/>
      <c r="K19" s="48"/>
    </row>
    <row r="20" spans="1:11" ht="94.5" customHeight="1">
      <c r="A20" s="56" t="str">
        <v>Monument Valley</v>
      </c>
      <c r="B20" s="27" t="str">
        <v>MA</v>
      </c>
      <c r="C20" s="24"/>
      <c r="D20" s="13"/>
      <c r="E20" s="13" t="str">
        <f t="shared" si="0"/>
        <v/>
      </c>
      <c r="F20" s="14" t="str">
        <f t="shared" si="1"/>
        <v/>
      </c>
      <c r="G20" s="15"/>
      <c r="H20" s="15" t="str">
        <f t="shared" si="2"/>
        <v/>
      </c>
      <c r="I20" s="16" t="str">
        <f t="shared" si="4"/>
        <v/>
      </c>
      <c r="J20" s="57"/>
      <c r="K20" s="57"/>
    </row>
    <row r="21" spans="1:11" ht="15.6">
      <c r="A21" s="28" t="str">
        <v>Nationwide</v>
      </c>
      <c r="B21" s="29" t="str">
        <v>MA</v>
      </c>
      <c r="C21" s="11"/>
      <c r="D21" s="18"/>
      <c r="E21" s="18" t="str">
        <f t="shared" si="0"/>
        <v/>
      </c>
      <c r="F21" s="19" t="str">
        <f t="shared" si="1"/>
        <v/>
      </c>
      <c r="G21" s="20"/>
      <c r="H21" s="20" t="str">
        <f t="shared" si="2"/>
        <v/>
      </c>
      <c r="I21" s="19" t="str">
        <f t="shared" si="4"/>
        <v/>
      </c>
      <c r="J21" s="39"/>
      <c r="K21" s="39"/>
    </row>
    <row r="22" spans="1:11" ht="15.6">
      <c r="A22" s="30" t="str">
        <v>Pulpit Hill</v>
      </c>
      <c r="B22" s="27" t="str">
        <v>MA</v>
      </c>
      <c r="C22" s="24"/>
      <c r="D22" s="13"/>
      <c r="E22" s="13" t="str">
        <f t="shared" si="0"/>
        <v/>
      </c>
      <c r="F22" s="14" t="str">
        <f t="shared" si="1"/>
        <v/>
      </c>
      <c r="G22" s="15"/>
      <c r="H22" s="15" t="str">
        <f t="shared" si="2"/>
        <v/>
      </c>
      <c r="I22" s="16" t="str">
        <f t="shared" si="4"/>
        <v/>
      </c>
      <c r="J22" s="57"/>
      <c r="K22" s="38"/>
    </row>
    <row r="23" spans="1:11" ht="43.5" customHeight="1">
      <c r="A23" s="28" t="str">
        <v>Sandwich</v>
      </c>
      <c r="B23" s="29" t="str">
        <v>MA</v>
      </c>
      <c r="C23" s="11"/>
      <c r="D23" s="18"/>
      <c r="E23" s="18" t="str">
        <f t="shared" si="0"/>
        <v/>
      </c>
      <c r="F23" s="19" t="str">
        <f t="shared" si="1"/>
        <v/>
      </c>
      <c r="G23" s="20"/>
      <c r="H23" s="20" t="str">
        <f t="shared" si="2"/>
        <v/>
      </c>
      <c r="I23" s="19" t="str">
        <f t="shared" si="4"/>
        <v/>
      </c>
      <c r="J23" s="48"/>
      <c r="K23" s="48"/>
    </row>
    <row r="24" spans="1:11" ht="110.25" customHeight="1">
      <c r="A24" s="56" t="str">
        <v>Sturbridge Barn</v>
      </c>
      <c r="B24" s="27" t="str">
        <v>MA</v>
      </c>
      <c r="C24" s="24"/>
      <c r="D24" s="13"/>
      <c r="E24" s="13" t="str">
        <f t="shared" si="0"/>
        <v/>
      </c>
      <c r="F24" s="14" t="str">
        <f t="shared" si="1"/>
        <v/>
      </c>
      <c r="G24" s="15"/>
      <c r="H24" s="15" t="str">
        <f t="shared" si="2"/>
        <v/>
      </c>
      <c r="I24" s="16" t="str">
        <f t="shared" si="4"/>
        <v/>
      </c>
      <c r="J24" s="57"/>
      <c r="K24" s="57"/>
    </row>
    <row r="25" spans="1:11" ht="33.75" customHeight="1">
      <c r="A25" s="28" t="str">
        <v>Sturbridge Garage</v>
      </c>
      <c r="B25" s="29" t="str">
        <v>MA</v>
      </c>
      <c r="C25" s="11"/>
      <c r="D25" s="18"/>
      <c r="E25" s="18" t="str">
        <f t="shared" si="0"/>
        <v/>
      </c>
      <c r="F25" s="19" t="str">
        <f t="shared" si="1"/>
        <v/>
      </c>
      <c r="G25" s="20"/>
      <c r="H25" s="20" t="str">
        <f t="shared" si="2"/>
        <v/>
      </c>
      <c r="I25" s="19" t="str">
        <f t="shared" si="4"/>
        <v/>
      </c>
      <c r="J25" s="39"/>
      <c r="K25" s="39"/>
    </row>
    <row r="26" spans="1:11" ht="91.5" customHeight="1">
      <c r="A26" s="56" t="str">
        <v>Halsey Valley</v>
      </c>
      <c r="B26" s="27" t="str">
        <v>NY</v>
      </c>
      <c r="C26" s="24"/>
      <c r="D26" s="13"/>
      <c r="E26" s="13" t="str">
        <f t="shared" si="0"/>
        <v/>
      </c>
      <c r="F26" s="14" t="str">
        <f t="shared" si="1"/>
        <v/>
      </c>
      <c r="G26" s="15"/>
      <c r="H26" s="15" t="str">
        <f t="shared" si="2"/>
        <v/>
      </c>
      <c r="I26" s="16" t="str">
        <f t="shared" si="4"/>
        <v/>
      </c>
      <c r="J26" s="38"/>
      <c r="K26" s="38"/>
    </row>
    <row r="27" spans="1:11" ht="15.6">
      <c r="A27" s="28" t="str">
        <v>Hunt Creek</v>
      </c>
      <c r="B27" s="29" t="str">
        <v>NY</v>
      </c>
      <c r="C27" s="11"/>
      <c r="D27" s="18"/>
      <c r="E27" s="18" t="str">
        <f t="shared" si="0"/>
        <v/>
      </c>
      <c r="F27" s="19" t="str">
        <f t="shared" si="1"/>
        <v/>
      </c>
      <c r="G27" s="20"/>
      <c r="H27" s="20" t="str">
        <f t="shared" si="2"/>
        <v/>
      </c>
      <c r="I27" s="19" t="str">
        <f t="shared" si="4"/>
        <v/>
      </c>
      <c r="J27" s="39"/>
      <c r="K27" s="39"/>
    </row>
    <row r="28" spans="1:11" ht="24.4" customHeight="1">
      <c r="A28" s="56" t="str">
        <v>Smith Creek</v>
      </c>
      <c r="B28" s="27" t="str">
        <v>NY</v>
      </c>
      <c r="C28" s="24"/>
      <c r="D28" s="13"/>
      <c r="E28" s="13" t="str">
        <f t="shared" si="0"/>
        <v/>
      </c>
      <c r="F28" s="14" t="str">
        <f t="shared" si="1"/>
        <v/>
      </c>
      <c r="G28" s="15"/>
      <c r="H28" s="15" t="str">
        <f t="shared" si="2"/>
        <v/>
      </c>
      <c r="I28" s="16" t="str">
        <f t="shared" si="4"/>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4"/>
  <sheetViews>
    <sheetView workbookViewId="0">
      <pane ySplit="3" topLeftCell="A13" activePane="bottomLeft" state="frozen"/>
      <selection pane="bottomLeft" activeCell="H20" sqref="H2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469</v>
      </c>
      <c r="B1" s="46" t="s">
        <v>470</v>
      </c>
    </row>
    <row r="3" spans="1:12" ht="13.15">
      <c r="A3" t="s">
        <v>471</v>
      </c>
      <c r="B3" t="s">
        <v>3</v>
      </c>
      <c r="C3" t="s">
        <v>4</v>
      </c>
      <c r="D3" t="s">
        <v>472</v>
      </c>
      <c r="E3" s="2" t="s">
        <v>473</v>
      </c>
    </row>
    <row r="4" spans="1:12" ht="14.45">
      <c r="A4" s="47" t="s">
        <v>474</v>
      </c>
      <c r="B4" s="47" t="s">
        <v>475</v>
      </c>
      <c r="C4" s="47" t="s">
        <v>476</v>
      </c>
      <c r="D4" t="s">
        <v>477</v>
      </c>
      <c r="E4" s="47" t="s">
        <v>478</v>
      </c>
      <c r="G4" s="3"/>
    </row>
    <row r="5" spans="1:12" ht="14.45">
      <c r="A5" s="47" t="s">
        <v>479</v>
      </c>
      <c r="B5" s="47" t="s">
        <v>480</v>
      </c>
      <c r="C5" s="47" t="s">
        <v>476</v>
      </c>
      <c r="D5" t="s">
        <v>477</v>
      </c>
      <c r="E5" s="47" t="s">
        <v>478</v>
      </c>
      <c r="G5" s="3"/>
    </row>
    <row r="6" spans="1:12" ht="14.45">
      <c r="A6" s="47" t="s">
        <v>481</v>
      </c>
      <c r="B6" s="47" t="s">
        <v>481</v>
      </c>
      <c r="C6" s="47" t="s">
        <v>476</v>
      </c>
      <c r="D6" t="s">
        <v>477</v>
      </c>
      <c r="E6" s="47" t="s">
        <v>478</v>
      </c>
      <c r="G6" s="3"/>
    </row>
    <row r="7" spans="1:12" ht="12.75" customHeight="1">
      <c r="A7" s="47" t="s">
        <v>482</v>
      </c>
      <c r="B7" s="47" t="s">
        <v>482</v>
      </c>
      <c r="C7" s="47" t="s">
        <v>476</v>
      </c>
      <c r="D7" t="s">
        <v>477</v>
      </c>
      <c r="E7" s="47" t="s">
        <v>478</v>
      </c>
    </row>
    <row r="8" spans="1:12" ht="12.75" customHeight="1">
      <c r="A8" s="47" t="s">
        <v>483</v>
      </c>
      <c r="B8" s="47" t="s">
        <v>483</v>
      </c>
      <c r="C8" s="47" t="s">
        <v>476</v>
      </c>
      <c r="D8" t="s">
        <v>477</v>
      </c>
      <c r="E8" s="47" t="s">
        <v>478</v>
      </c>
    </row>
    <row r="9" spans="1:12" ht="12.75" customHeight="1">
      <c r="A9" s="47" t="s">
        <v>484</v>
      </c>
      <c r="B9" s="47" t="s">
        <v>484</v>
      </c>
      <c r="C9" s="47" t="s">
        <v>476</v>
      </c>
      <c r="D9" t="s">
        <v>477</v>
      </c>
      <c r="E9" s="47" t="s">
        <v>478</v>
      </c>
    </row>
    <row r="10" spans="1:12" ht="12.75" customHeight="1">
      <c r="A10" s="47" t="s">
        <v>485</v>
      </c>
      <c r="B10" s="47" t="s">
        <v>486</v>
      </c>
      <c r="C10" s="47" t="s">
        <v>476</v>
      </c>
      <c r="D10" t="s">
        <v>477</v>
      </c>
      <c r="E10" s="47" t="s">
        <v>478</v>
      </c>
      <c r="K10" s="40"/>
      <c r="L10" s="40"/>
    </row>
    <row r="11" spans="1:12" ht="12.75" customHeight="1">
      <c r="A11" s="47" t="s">
        <v>487</v>
      </c>
      <c r="B11" s="47" t="s">
        <v>488</v>
      </c>
      <c r="C11" s="47" t="s">
        <v>476</v>
      </c>
      <c r="D11" t="s">
        <v>477</v>
      </c>
      <c r="E11" s="47" t="s">
        <v>478</v>
      </c>
      <c r="K11" s="40"/>
      <c r="L11" s="40"/>
    </row>
    <row r="12" spans="1:12" ht="12.75" customHeight="1">
      <c r="A12" s="47" t="s">
        <v>489</v>
      </c>
      <c r="B12" s="47" t="s">
        <v>489</v>
      </c>
      <c r="C12" s="47" t="s">
        <v>490</v>
      </c>
      <c r="D12" t="s">
        <v>477</v>
      </c>
      <c r="E12" s="47" t="s">
        <v>478</v>
      </c>
      <c r="K12" s="40"/>
      <c r="L12" s="40"/>
    </row>
    <row r="13" spans="1:12" ht="12.75" customHeight="1">
      <c r="A13" s="47" t="s">
        <v>491</v>
      </c>
      <c r="B13" s="47" t="s">
        <v>492</v>
      </c>
      <c r="C13" s="47" t="s">
        <v>490</v>
      </c>
      <c r="D13" t="s">
        <v>477</v>
      </c>
      <c r="E13" s="47" t="s">
        <v>478</v>
      </c>
      <c r="K13" s="40"/>
      <c r="L13" s="40"/>
    </row>
    <row r="14" spans="1:12" ht="12.75" customHeight="1">
      <c r="A14" s="47" t="s">
        <v>493</v>
      </c>
      <c r="B14" s="47" t="s">
        <v>494</v>
      </c>
      <c r="C14" s="47" t="s">
        <v>490</v>
      </c>
      <c r="D14" t="s">
        <v>477</v>
      </c>
      <c r="E14" s="47" t="s">
        <v>478</v>
      </c>
      <c r="K14" s="40"/>
      <c r="L14" s="40"/>
    </row>
    <row r="15" spans="1:12" ht="12.75" customHeight="1">
      <c r="A15" s="47" t="s">
        <v>495</v>
      </c>
      <c r="B15" t="s">
        <v>496</v>
      </c>
      <c r="C15" s="47" t="s">
        <v>490</v>
      </c>
      <c r="E15" t="s">
        <v>497</v>
      </c>
      <c r="K15" s="40"/>
      <c r="L15" s="40"/>
    </row>
    <row r="16" spans="1:12" ht="12.75" customHeight="1">
      <c r="A16" s="47" t="s">
        <v>498</v>
      </c>
      <c r="B16" t="s">
        <v>499</v>
      </c>
      <c r="C16" s="47" t="s">
        <v>490</v>
      </c>
      <c r="E16" t="s">
        <v>497</v>
      </c>
      <c r="K16" s="40"/>
      <c r="L16" s="40"/>
    </row>
    <row r="17" spans="1:12" ht="12.75" customHeight="1">
      <c r="A17" s="47" t="s">
        <v>500</v>
      </c>
      <c r="B17" t="s">
        <v>501</v>
      </c>
      <c r="C17" s="47" t="s">
        <v>490</v>
      </c>
      <c r="E17" t="s">
        <v>497</v>
      </c>
      <c r="K17" s="40"/>
      <c r="L17" s="40"/>
    </row>
    <row r="18" spans="1:12" ht="12.75" customHeight="1">
      <c r="A18" s="47" t="s">
        <v>502</v>
      </c>
      <c r="B18" s="47" t="s">
        <v>503</v>
      </c>
      <c r="C18" s="47" t="s">
        <v>490</v>
      </c>
      <c r="D18" t="s">
        <v>477</v>
      </c>
      <c r="E18" s="47" t="s">
        <v>478</v>
      </c>
      <c r="K18" s="40"/>
      <c r="L18" s="40"/>
    </row>
    <row r="19" spans="1:12" ht="12.75" customHeight="1">
      <c r="A19" s="47" t="s">
        <v>504</v>
      </c>
      <c r="B19" s="47" t="s">
        <v>505</v>
      </c>
      <c r="C19" s="47" t="s">
        <v>490</v>
      </c>
      <c r="D19" t="s">
        <v>477</v>
      </c>
      <c r="E19" s="47" t="s">
        <v>478</v>
      </c>
      <c r="K19" s="40"/>
      <c r="L19" s="40"/>
    </row>
    <row r="20" spans="1:12" ht="12.75" customHeight="1">
      <c r="A20" s="47" t="s">
        <v>506</v>
      </c>
      <c r="B20" s="47" t="s">
        <v>506</v>
      </c>
      <c r="C20" s="47" t="s">
        <v>490</v>
      </c>
      <c r="D20" t="s">
        <v>477</v>
      </c>
      <c r="E20" s="47" t="s">
        <v>478</v>
      </c>
      <c r="K20" s="40"/>
      <c r="L20" s="40"/>
    </row>
    <row r="21" spans="1:12" ht="12.75" customHeight="1">
      <c r="A21" s="47" t="s">
        <v>507</v>
      </c>
      <c r="B21" s="47" t="s">
        <v>507</v>
      </c>
      <c r="C21" s="47" t="s">
        <v>490</v>
      </c>
      <c r="D21" t="s">
        <v>477</v>
      </c>
      <c r="E21" s="47" t="s">
        <v>478</v>
      </c>
      <c r="K21" s="40"/>
      <c r="L21" s="40"/>
    </row>
    <row r="22" spans="1:12" ht="12.75" customHeight="1">
      <c r="A22" s="47" t="s">
        <v>508</v>
      </c>
      <c r="B22" s="47" t="s">
        <v>508</v>
      </c>
      <c r="C22" s="47" t="s">
        <v>490</v>
      </c>
      <c r="D22" t="s">
        <v>477</v>
      </c>
      <c r="E22" s="47" t="s">
        <v>478</v>
      </c>
      <c r="K22" s="40"/>
      <c r="L22" s="40"/>
    </row>
    <row r="23" spans="1:12" ht="12.75" customHeight="1">
      <c r="A23" s="47" t="s">
        <v>509</v>
      </c>
      <c r="B23" t="s">
        <v>510</v>
      </c>
      <c r="C23" s="47" t="s">
        <v>490</v>
      </c>
      <c r="E23" t="s">
        <v>478</v>
      </c>
      <c r="K23" s="40"/>
      <c r="L23" s="40"/>
    </row>
    <row r="24" spans="1:12" ht="12.75" customHeight="1">
      <c r="A24" s="47" t="s">
        <v>511</v>
      </c>
      <c r="B24" s="47" t="s">
        <v>512</v>
      </c>
      <c r="C24" s="47" t="s">
        <v>490</v>
      </c>
      <c r="D24" t="s">
        <v>477</v>
      </c>
      <c r="E24" s="47" t="s">
        <v>478</v>
      </c>
      <c r="K24" s="40"/>
      <c r="L24" s="40"/>
    </row>
    <row r="25" spans="1:12" ht="12.75" customHeight="1">
      <c r="A25" s="47" t="s">
        <v>513</v>
      </c>
      <c r="B25" s="47" t="s">
        <v>514</v>
      </c>
      <c r="C25" s="47" t="s">
        <v>490</v>
      </c>
      <c r="D25" t="s">
        <v>477</v>
      </c>
      <c r="E25" s="47" t="s">
        <v>478</v>
      </c>
      <c r="K25" s="40"/>
      <c r="L25" s="40"/>
    </row>
    <row r="26" spans="1:12" ht="12.75" customHeight="1">
      <c r="A26" s="47" t="s">
        <v>515</v>
      </c>
      <c r="B26" s="47" t="s">
        <v>515</v>
      </c>
      <c r="C26" s="47" t="s">
        <v>516</v>
      </c>
      <c r="D26" t="s">
        <v>477</v>
      </c>
      <c r="E26" s="47" t="s">
        <v>478</v>
      </c>
      <c r="K26" s="40"/>
      <c r="L26" s="40"/>
    </row>
    <row r="27" spans="1:12" ht="12.75" customHeight="1">
      <c r="A27" s="47" t="s">
        <v>517</v>
      </c>
      <c r="B27" s="47" t="s">
        <v>518</v>
      </c>
      <c r="C27" s="47" t="s">
        <v>516</v>
      </c>
      <c r="D27" t="s">
        <v>477</v>
      </c>
      <c r="E27" s="47" t="s">
        <v>478</v>
      </c>
      <c r="K27" s="40"/>
      <c r="L27" s="40"/>
    </row>
    <row r="28" spans="1:12" ht="12.75" customHeight="1">
      <c r="A28" s="47" t="s">
        <v>519</v>
      </c>
      <c r="B28" s="47" t="s">
        <v>520</v>
      </c>
      <c r="C28" s="47" t="s">
        <v>516</v>
      </c>
      <c r="D28" t="s">
        <v>477</v>
      </c>
      <c r="E28" s="47" t="s">
        <v>478</v>
      </c>
      <c r="K28" s="40"/>
      <c r="L28" s="40"/>
    </row>
    <row r="29" spans="1:12" ht="12.75" customHeight="1">
      <c r="A29" s="47" t="s">
        <v>521</v>
      </c>
      <c r="B29" s="47" t="s">
        <v>522</v>
      </c>
      <c r="C29" s="47" t="s">
        <v>490</v>
      </c>
      <c r="E29" s="47" t="s">
        <v>523</v>
      </c>
      <c r="K29" s="40"/>
      <c r="L29" s="40"/>
    </row>
    <row r="30" spans="1:12" ht="12.75" customHeight="1">
      <c r="A30" s="63" t="s">
        <v>524</v>
      </c>
      <c r="B30" s="47" t="s">
        <v>525</v>
      </c>
      <c r="C30" s="64" t="s">
        <v>490</v>
      </c>
      <c r="E30" s="47" t="s">
        <v>523</v>
      </c>
      <c r="K30" s="40"/>
      <c r="L30" s="40"/>
    </row>
    <row r="31" spans="1:12" ht="12.75" customHeight="1">
      <c r="A31" s="63" t="s">
        <v>526</v>
      </c>
      <c r="B31" s="47" t="s">
        <v>527</v>
      </c>
      <c r="C31" s="64" t="s">
        <v>490</v>
      </c>
      <c r="E31" s="47" t="s">
        <v>523</v>
      </c>
      <c r="K31" s="40"/>
      <c r="L31" s="40"/>
    </row>
    <row r="32" spans="1:12" ht="12.75" customHeight="1">
      <c r="A32" s="63" t="s">
        <v>528</v>
      </c>
      <c r="B32" s="47" t="s">
        <v>529</v>
      </c>
      <c r="C32" s="64" t="s">
        <v>490</v>
      </c>
      <c r="E32" s="47" t="s">
        <v>523</v>
      </c>
    </row>
    <row r="33" spans="1:5" ht="12.75" customHeight="1">
      <c r="A33" s="63" t="s">
        <v>530</v>
      </c>
      <c r="B33" s="47" t="s">
        <v>531</v>
      </c>
      <c r="C33" s="64" t="s">
        <v>490</v>
      </c>
      <c r="E33" s="47" t="s">
        <v>523</v>
      </c>
    </row>
    <row r="34" spans="1:5" ht="12.75" customHeight="1">
      <c r="A34" s="63" t="s">
        <v>532</v>
      </c>
      <c r="B34" s="47" t="s">
        <v>533</v>
      </c>
      <c r="C34" s="64" t="s">
        <v>490</v>
      </c>
      <c r="E34" s="47" t="s">
        <v>523</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2BC74AAC-D69B-4AF1-9649-B21EF3C1C463}"/>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F6B2B1A1-1C4B-4AC9-9A7D-7A102DD1C942}"/>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0F0F1883-58DB-4C71-B9ED-113D972BADFA}"/>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2025-10-07T19:41:37Z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