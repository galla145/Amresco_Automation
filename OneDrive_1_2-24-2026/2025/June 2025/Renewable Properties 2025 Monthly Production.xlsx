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23D54A4-5CC4-4BAF-99C9-3022AD687F84}"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9" l="1"/>
  <c r="F13" i="29"/>
  <c r="I10" i="19"/>
  <c r="I12" i="19"/>
  <c r="I14" i="19"/>
  <c r="H10" i="19"/>
  <c r="H11" i="19"/>
  <c r="I11" i="19" s="1"/>
  <c r="H12" i="19"/>
  <c r="H13" i="19"/>
  <c r="I13" i="19" s="1"/>
  <c r="H14" i="19"/>
  <c r="F10" i="19"/>
  <c r="F12" i="19"/>
  <c r="F14" i="19"/>
  <c r="E10" i="19"/>
  <c r="E11" i="19"/>
  <c r="F11" i="19" s="1"/>
  <c r="E12" i="19"/>
  <c r="E13" i="19"/>
  <c r="F13" i="19" s="1"/>
  <c r="E14" i="19"/>
  <c r="H14" i="18"/>
  <c r="H14" i="34" s="1"/>
  <c r="G14" i="18"/>
  <c r="G14" i="34" s="1"/>
  <c r="D14" i="18"/>
  <c r="D14" i="34" s="1"/>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E12" i="29"/>
  <c r="E13" i="29"/>
  <c r="D12" i="29"/>
  <c r="D13" i="29"/>
  <c r="C12" i="29"/>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D11" i="34" s="1"/>
  <c r="C10" i="1"/>
  <c r="E10" i="1" s="1"/>
  <c r="F10" i="1" s="1"/>
  <c r="C11" i="1"/>
  <c r="D8" i="1"/>
  <c r="G8" i="1"/>
  <c r="D9" i="1"/>
  <c r="G9" i="1"/>
  <c r="C10" i="30"/>
  <c r="C11" i="30"/>
  <c r="E8" i="29"/>
  <c r="F8" i="29" s="1"/>
  <c r="E10" i="29"/>
  <c r="F10" i="29" s="1"/>
  <c r="E11" i="29"/>
  <c r="F11" i="29" s="1"/>
  <c r="D7" i="29"/>
  <c r="E7" i="29" s="1"/>
  <c r="F7" i="29" s="1"/>
  <c r="D8" i="29"/>
  <c r="D9" i="29"/>
  <c r="D10" i="29"/>
  <c r="D11" i="29"/>
  <c r="C7" i="29"/>
  <c r="C8" i="29"/>
  <c r="C9" i="29"/>
  <c r="E9" i="29" s="1"/>
  <c r="F9" i="29" s="1"/>
  <c r="C10" i="29"/>
  <c r="C11" i="29"/>
  <c r="C2" i="29" s="1"/>
  <c r="H10" i="29"/>
  <c r="I10" i="29" s="1"/>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E8" i="26"/>
  <c r="F8" i="26"/>
  <c r="H8" i="26"/>
  <c r="I8" i="26" s="1"/>
  <c r="E9" i="26"/>
  <c r="F9" i="26"/>
  <c r="H9" i="26"/>
  <c r="H9" i="29" s="1"/>
  <c r="I9" i="29" s="1"/>
  <c r="I9" i="26"/>
  <c r="E8" i="27"/>
  <c r="F8" i="27"/>
  <c r="H8" i="27"/>
  <c r="I8" i="27" s="1"/>
  <c r="E9" i="27"/>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E7" i="26"/>
  <c r="F7" i="26"/>
  <c r="H7" i="26"/>
  <c r="G5" i="29"/>
  <c r="G6" i="29"/>
  <c r="G2" i="29" s="1"/>
  <c r="D4" i="29"/>
  <c r="E4" i="29" s="1"/>
  <c r="F4" i="29" s="1"/>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H5" i="29" s="1"/>
  <c r="I5" i="29" s="1"/>
  <c r="I5" i="27"/>
  <c r="E5" i="27"/>
  <c r="F5" i="27"/>
  <c r="H4" i="27"/>
  <c r="I4" i="27" s="1"/>
  <c r="E4" i="27"/>
  <c r="F4" i="27"/>
  <c r="G2" i="27"/>
  <c r="D2" i="27"/>
  <c r="C2" i="27"/>
  <c r="E2" i="27" s="1"/>
  <c r="F2" i="27" s="1"/>
  <c r="A1" i="27" a="1"/>
  <c r="A1" i="27"/>
  <c r="H6" i="26"/>
  <c r="I6" i="26" s="1"/>
  <c r="E6" i="26"/>
  <c r="F6" i="26"/>
  <c r="H5" i="26"/>
  <c r="I5" i="26" s="1"/>
  <c r="E5" i="26"/>
  <c r="F5" i="26"/>
  <c r="H4" i="26"/>
  <c r="H4" i="29" s="1"/>
  <c r="I4" i="29" s="1"/>
  <c r="I4" i="26"/>
  <c r="E4" i="26"/>
  <c r="F4" i="26"/>
  <c r="G2" i="26"/>
  <c r="D2" i="26"/>
  <c r="C2" i="26"/>
  <c r="H2" i="26" s="1"/>
  <c r="I2" i="26" s="1"/>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E5" i="30"/>
  <c r="F5" i="30" s="1"/>
  <c r="H2" i="27"/>
  <c r="I2" i="27"/>
  <c r="J2" i="27"/>
  <c r="H4" i="33"/>
  <c r="H4" i="30" s="1"/>
  <c r="I4" i="33"/>
  <c r="G2" i="33"/>
  <c r="G4" i="30"/>
  <c r="G4" i="34" l="1"/>
  <c r="E4" i="18"/>
  <c r="F4" i="18" s="1"/>
  <c r="I14" i="18"/>
  <c r="I13" i="18"/>
  <c r="H2" i="19"/>
  <c r="I2" i="19" s="1"/>
  <c r="H5" i="18"/>
  <c r="I5" i="18" s="1"/>
  <c r="I12" i="18"/>
  <c r="C14" i="34"/>
  <c r="E14" i="34" s="1"/>
  <c r="F14" i="34" s="1"/>
  <c r="D13" i="34"/>
  <c r="I14" i="34"/>
  <c r="D9" i="34"/>
  <c r="H7" i="18"/>
  <c r="I7" i="18" s="1"/>
  <c r="E8" i="18"/>
  <c r="F8" i="18" s="1"/>
  <c r="D12" i="34"/>
  <c r="G12" i="34"/>
  <c r="E12" i="18"/>
  <c r="F12" i="18" s="1"/>
  <c r="C13" i="34"/>
  <c r="E13" i="34" s="1"/>
  <c r="F13" i="34" s="1"/>
  <c r="G13" i="34"/>
  <c r="E13" i="18"/>
  <c r="F13" i="18" s="1"/>
  <c r="E9" i="18"/>
  <c r="F9" i="18" s="1"/>
  <c r="I11" i="18"/>
  <c r="G11" i="34"/>
  <c r="C7" i="34"/>
  <c r="E7" i="18"/>
  <c r="F7" i="18" s="1"/>
  <c r="D7" i="34"/>
  <c r="H6" i="18"/>
  <c r="I6" i="18" s="1"/>
  <c r="I10" i="18"/>
  <c r="H12" i="34"/>
  <c r="E5" i="18"/>
  <c r="F5" i="18" s="1"/>
  <c r="D5" i="34"/>
  <c r="D2" i="18"/>
  <c r="E2" i="21"/>
  <c r="F2" i="21" s="1"/>
  <c r="C5" i="34"/>
  <c r="E5" i="34" s="1"/>
  <c r="F5" i="34" s="1"/>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E11" i="34" s="1"/>
  <c r="F11" i="34" s="1"/>
  <c r="C12" i="34"/>
  <c r="E12" i="34" s="1"/>
  <c r="F12" i="34" s="1"/>
  <c r="I12" i="1"/>
  <c r="E2" i="29"/>
  <c r="F2" i="29" s="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E9" i="34" s="1"/>
  <c r="F9" i="34" s="1"/>
  <c r="H8" i="18"/>
  <c r="I8" i="18" s="1"/>
  <c r="H8" i="29"/>
  <c r="I8" i="29" s="1"/>
  <c r="H2" i="29"/>
  <c r="I2"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I5" i="30"/>
  <c r="C2" i="30"/>
  <c r="E2" i="30" s="1"/>
  <c r="F2" i="30" s="1"/>
  <c r="I8" i="30"/>
  <c r="G2" i="30"/>
  <c r="H2" i="32"/>
  <c r="I2" i="32" s="1"/>
  <c r="E2" i="32"/>
  <c r="F2" i="32" s="1"/>
  <c r="H4" i="34"/>
  <c r="I4" i="34" s="1"/>
  <c r="I4" i="30"/>
  <c r="E7" i="34" l="1"/>
  <c r="F7" i="34" s="1"/>
  <c r="H5" i="34"/>
  <c r="I12" i="34"/>
  <c r="I11" i="34"/>
  <c r="I13" i="34"/>
  <c r="I5"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<sst xmlns="http://schemas.openxmlformats.org/spreadsheetml/2006/main" count="438" uniqueCount="215">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</sst>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color rgb="FF000000"/>
      <name val="Calibri"/>
      <charset val="1"/>
    </font>
    <font>
      <sz val="11"/>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0" fontId="37" fillId="0" borderId="0" xfId="0" applyFont="1"/>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8"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H20" sqref="H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0</v>
      </c>
      <c r="E1" s="98"/>
      <c r="F1" s="98"/>
      <c r="G1" s="96" t="s">
        <v>1</v>
      </c>
      <c r="H1" s="96"/>
      <c r="I1" s="96"/>
    </row>
    <row r="2" spans="1:9" ht="19.5" customHeight="1">
      <c r="A2" s="99" t="s">
        <v>2</v>
      </c>
      <c r="B2" s="99"/>
      <c r="C2" s="5">
        <f>SUM(C4:C80)</f>
        <v>27374627.699797314</v>
      </c>
      <c r="D2" s="5">
        <f>SUM(D4:D80)</f>
        <v>30638393.557000004</v>
      </c>
      <c r="E2" s="5">
        <f>C2-D2</f>
        <v>-3263765.8572026901</v>
      </c>
      <c r="F2" s="6">
        <f>IFERROR(E2/D2, 0)</f>
        <v>-0.10652535848952864</v>
      </c>
      <c r="G2" s="5">
        <f>SUM(G4:G80)</f>
        <v>33256422.629999995</v>
      </c>
      <c r="H2" s="7">
        <f>C2-G2</f>
        <v>-5881794.9302026816</v>
      </c>
      <c r="I2" s="6">
        <f>IFERROR(H2/G2, 0)</f>
        <v>-0.17686192515778365</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668447</v>
      </c>
      <c r="D4" s="28">
        <f>SUM('1st Qtr'!D4, '2nd Qtr'!D4, '3rd Qtr'!D4, '4th Qtr'!D4)</f>
        <v>486008.74</v>
      </c>
      <c r="E4" s="28">
        <f>IF(AND(ISNUMBER(C4),ISNUMBER(D4)), C4-D4, "")</f>
        <v>182438.26</v>
      </c>
      <c r="F4" s="29">
        <f>IFERROR(E4/D4, "")</f>
        <v>0.37538061558316832</v>
      </c>
      <c r="G4" s="30">
        <f>SUM('1st Qtr'!G4, '2nd Qtr'!G4, '3rd Qtr'!G4, '4th Qtr'!G4)</f>
        <v>498044.86</v>
      </c>
      <c r="H4" s="30">
        <f>SUM('1st Qtr'!H4, '2nd Qtr'!H4, '3rd Qtr'!H4, '4th Qtr'!H4)</f>
        <v>-11602.859999999993</v>
      </c>
      <c r="I4" s="31">
        <f>IFERROR(H4/G4, "")</f>
        <v>-2.3296817077883294E-2</v>
      </c>
    </row>
    <row r="5" spans="1:9" ht="15.6">
      <c r="A5" s="32" t="str">
        <v>Bullis</v>
      </c>
      <c r="B5" s="33" t="str">
        <v>NY</v>
      </c>
      <c r="C5" s="35">
        <f>SUM('1st Qtr'!C5, '2nd Qtr'!C5, '3rd Qtr'!C5, '4th Qtr'!C5)</f>
        <v>3223009.5</v>
      </c>
      <c r="D5" s="35">
        <f>SUM('1st Qtr'!D5, '2nd Qtr'!D5, '3rd Qtr'!D5, '4th Qtr'!D5)</f>
        <v>3312742</v>
      </c>
      <c r="E5" s="35">
        <f t="shared" ref="E5:E6" si="0">IF(AND(ISNUMBER(C5),ISNUMBER(D5)), C5-D5, "")</f>
        <v>-89732.5</v>
      </c>
      <c r="F5" s="36">
        <f>IFERROR(E5/D5, "")</f>
        <v>-2.7087077713869659E-2</v>
      </c>
      <c r="G5" s="37">
        <f>SUM('1st Qtr'!G5, '2nd Qtr'!G5, '3rd Qtr'!G5, '4th Qtr'!G5)</f>
        <v>4235139.5</v>
      </c>
      <c r="H5" s="37">
        <f>SUM('1st Qtr'!H5, '2nd Qtr'!H5, '3rd Qtr'!H5, '4th Qtr'!H5)</f>
        <v>-1012130</v>
      </c>
      <c r="I5" s="36">
        <f>IFERROR(H5/G5, "")</f>
        <v>-0.23898386345951533</v>
      </c>
    </row>
    <row r="6" spans="1:9" ht="15.6">
      <c r="A6" s="25" t="str">
        <v>Rock Island</v>
      </c>
      <c r="B6" s="26" t="str">
        <v>NY</v>
      </c>
      <c r="C6" s="27">
        <f>SUM('1st Qtr'!C6, '2nd Qtr'!C6, '3rd Qtr'!C6, '4th Qtr'!C6)</f>
        <v>3134735.5</v>
      </c>
      <c r="D6" s="28">
        <f>SUM('1st Qtr'!D6, '2nd Qtr'!D6, '3rd Qtr'!D6, '4th Qtr'!D6)</f>
        <v>3479972</v>
      </c>
      <c r="E6" s="28">
        <f t="shared" si="0"/>
        <v>-345236.5</v>
      </c>
      <c r="F6" s="29">
        <f t="shared" ref="F6" si="1">IFERROR(E6/D6, "")</f>
        <v>-9.9206689019336936E-2</v>
      </c>
      <c r="G6" s="30">
        <f>SUM('1st Qtr'!G6, '2nd Qtr'!G6, '3rd Qtr'!G6, '4th Qtr'!G6)</f>
        <v>3633285.2</v>
      </c>
      <c r="H6" s="30">
        <f>SUM('1st Qtr'!H6, '2nd Qtr'!H6, '3rd Qtr'!H6, '4th Qtr'!H6)</f>
        <v>-498549.7</v>
      </c>
      <c r="I6" s="31">
        <f t="shared" ref="I6" si="2">IFERROR(H6/G6, "")</f>
        <v>-0.13721733157639263</v>
      </c>
    </row>
    <row r="7" spans="1:9" ht="15.6">
      <c r="A7" s="32" t="str">
        <v>Winslow - Roderick</v>
      </c>
      <c r="B7" s="33" t="str">
        <v>ME</v>
      </c>
      <c r="C7" s="35">
        <f>SUM('1st Qtr'!C7, '2nd Qtr'!C7, '3rd Qtr'!C7, '4th Qtr'!C7)</f>
        <v>2638304</v>
      </c>
      <c r="D7" s="35">
        <f>SUM('1st Qtr'!D7, '2nd Qtr'!D7, '3rd Qtr'!D7, '4th Qtr'!D7)</f>
        <v>3023355.3600000003</v>
      </c>
      <c r="E7" s="35">
        <f t="shared" ref="E7" si="3">IF(AND(ISNUMBER(C7),ISNUMBER(D7)), C7-D7, "")</f>
        <v>-385051.36000000034</v>
      </c>
      <c r="F7" s="36">
        <f t="shared" ref="F7:F13" si="4">IFERROR(E7/D7, "")</f>
        <v>-0.12735894863513506</v>
      </c>
      <c r="G7" s="37">
        <f>SUM('1st Qtr'!G7, '2nd Qtr'!G7, '3rd Qtr'!G7, '4th Qtr'!G7)</f>
        <v>3161815</v>
      </c>
      <c r="H7" s="37">
        <f>SUM('1st Qtr'!H7, '2nd Qtr'!H7, '3rd Qtr'!H7, '4th Qtr'!H7)</f>
        <v>-523511</v>
      </c>
      <c r="I7" s="36">
        <f t="shared" ref="I7:I13" si="5">IFERROR(H7/G7, "")</f>
        <v>-0.16557293832814379</v>
      </c>
    </row>
    <row r="8" spans="1:9" ht="15.6">
      <c r="A8" s="25" t="str">
        <v>Minoa - Clemons Rd</v>
      </c>
      <c r="B8" s="26" t="str">
        <v>NY</v>
      </c>
      <c r="C8" s="27">
        <f>SUM('1st Qtr'!C8, '2nd Qtr'!C8, '3rd Qtr'!C8, '4th Qtr'!C8)</f>
        <v>1937388.375</v>
      </c>
      <c r="D8" s="28">
        <f>SUM('1st Qtr'!D8, '2nd Qtr'!D8, '3rd Qtr'!D8, '4th Qtr'!D8)</f>
        <v>2350321.4</v>
      </c>
      <c r="E8" s="28">
        <f t="shared" ref="E8:E14" si="6">IF(AND(ISNUMBER(C8),ISNUMBER(D8)), C8-D8, "")</f>
        <v>-412933.02499999991</v>
      </c>
      <c r="F8" s="29">
        <f t="shared" ref="F8:F14" si="7">IFERROR(E8/D8, "")</f>
        <v>-0.1756921521456597</v>
      </c>
      <c r="G8" s="30">
        <f>SUM('1st Qtr'!G8, '2nd Qtr'!G8, '3rd Qtr'!G8, '4th Qtr'!G8)</f>
        <v>2674599.0999999996</v>
      </c>
      <c r="H8" s="30">
        <f>SUM('1st Qtr'!H8, '2nd Qtr'!H8, '3rd Qtr'!H8, '4th Qtr'!H8)</f>
        <v>-737210.72500000009</v>
      </c>
      <c r="I8" s="31">
        <f t="shared" ref="I8:I14" si="8">IFERROR(H8/G8, "")</f>
        <v>-0.27563410344376477</v>
      </c>
    </row>
    <row r="9" spans="1:9" ht="15.6">
      <c r="A9" s="32" t="str">
        <v>Manchester - Western</v>
      </c>
      <c r="B9" s="33" t="str">
        <v>ME</v>
      </c>
      <c r="C9" s="35">
        <f>SUM('1st Qtr'!C9, '2nd Qtr'!C9, '3rd Qtr'!C9, '4th Qtr'!C9)</f>
        <v>481808</v>
      </c>
      <c r="D9" s="35">
        <f>SUM('1st Qtr'!D9, '2nd Qtr'!D9, '3rd Qtr'!D9, '4th Qtr'!D9)</f>
        <v>119325.8</v>
      </c>
      <c r="E9" s="35">
        <f t="shared" si="6"/>
        <v>362482.2</v>
      </c>
      <c r="F9" s="36">
        <f t="shared" si="4"/>
        <v>3.0377521039037658</v>
      </c>
      <c r="G9" s="37">
        <f>SUM('1st Qtr'!G9, '2nd Qtr'!G9, '3rd Qtr'!G9, '4th Qtr'!G9)</f>
        <v>332824.69999999995</v>
      </c>
      <c r="H9" s="37">
        <f>SUM('1st Qtr'!H9, '2nd Qtr'!H9, '3rd Qtr'!H9, '4th Qtr'!H9)</f>
        <v>148983.29999999999</v>
      </c>
      <c r="I9" s="36">
        <f t="shared" si="5"/>
        <v>0.44763294310788837</v>
      </c>
    </row>
    <row r="10" spans="1:9" ht="15.6">
      <c r="A10" s="25" t="str">
        <v>Batavia - Pike Rd</v>
      </c>
      <c r="B10" s="26" t="str">
        <v>NY</v>
      </c>
      <c r="C10" s="27">
        <f>SUM('1st Qtr'!C10, '2nd Qtr'!C10, '3rd Qtr'!C10, '4th Qtr'!C10)</f>
        <v>2369741.8750499999</v>
      </c>
      <c r="D10" s="28">
        <f>SUM('1st Qtr'!D10, '2nd Qtr'!D10, '3rd Qtr'!D10, '4th Qtr'!D10)</f>
        <v>2613230.5</v>
      </c>
      <c r="E10" s="28">
        <f t="shared" si="6"/>
        <v>-243488.62495000008</v>
      </c>
      <c r="F10" s="29">
        <f t="shared" si="7"/>
        <v>-9.3175334112318098E-2</v>
      </c>
      <c r="G10" s="30">
        <f>SUM('1st Qtr'!G10, '2nd Qtr'!G10, '3rd Qtr'!G10, '4th Qtr'!G10)</f>
        <v>2897948.7</v>
      </c>
      <c r="H10" s="30">
        <f>SUM('1st Qtr'!H10, '2nd Qtr'!H10, '3rd Qtr'!H10, '4th Qtr'!H10)</f>
        <v>-528206.82495000004</v>
      </c>
      <c r="I10" s="31">
        <f t="shared" si="8"/>
        <v>-0.1822692116496058</v>
      </c>
    </row>
    <row r="11" spans="1:9" ht="15.6">
      <c r="A11" s="32" t="str">
        <v>Slayton A &amp; B</v>
      </c>
      <c r="B11" s="33" t="str">
        <v>NY</v>
      </c>
      <c r="C11" s="35">
        <f>SUM('1st Qtr'!C11, '2nd Qtr'!C11, '3rd Qtr'!C11, '4th Qtr'!C11)</f>
        <v>5854001</v>
      </c>
      <c r="D11" s="35">
        <f>SUM('1st Qtr'!D11, '2nd Qtr'!D11, '3rd Qtr'!D11, '4th Qtr'!D11)</f>
        <v>6575501.2000000002</v>
      </c>
      <c r="E11" s="35">
        <f t="shared" si="6"/>
        <v>-721500.20000000019</v>
      </c>
      <c r="F11" s="36">
        <f t="shared" si="4"/>
        <v>-0.10972550655150062</v>
      </c>
      <c r="G11" s="37">
        <f>SUM('1st Qtr'!G11, '2nd Qtr'!G11, '3rd Qtr'!G11, '4th Qtr'!G11)</f>
        <v>6473342.5999999996</v>
      </c>
      <c r="H11" s="37">
        <f>SUM('1st Qtr'!H11, '2nd Qtr'!H11, '3rd Qtr'!H11, '4th Qtr'!H11)</f>
        <v>-619341.6</v>
      </c>
      <c r="I11" s="36">
        <f t="shared" si="5"/>
        <v>-9.5675702379787536E-2</v>
      </c>
    </row>
    <row r="12" spans="1:9" ht="15.6">
      <c r="A12" s="25" t="str">
        <v>Batavia - Alexander Rd</v>
      </c>
      <c r="B12" s="26" t="str">
        <v>NY</v>
      </c>
      <c r="C12" s="27">
        <f>SUM('1st Qtr'!C12, '2nd Qtr'!C12, '3rd Qtr'!C12, '4th Qtr'!C12)</f>
        <v>1318142.4497473128</v>
      </c>
      <c r="D12" s="28">
        <f>SUM('1st Qtr'!D12, '2nd Qtr'!D12, '3rd Qtr'!D12, '4th Qtr'!D12)</f>
        <v>1604812.8</v>
      </c>
      <c r="E12" s="28">
        <f t="shared" si="6"/>
        <v>-286670.35025268723</v>
      </c>
      <c r="F12" s="29">
        <f t="shared" si="7"/>
        <v>-0.17863164492001013</v>
      </c>
      <c r="G12" s="30">
        <f>SUM('1st Qtr'!G12, '2nd Qtr'!G12, '3rd Qtr'!G12, '4th Qtr'!G12)</f>
        <v>1578625.8</v>
      </c>
      <c r="H12" s="30">
        <f>SUM('1st Qtr'!H12, '2nd Qtr'!H12, '3rd Qtr'!H12, '4th Qtr'!H12)</f>
        <v>-260483.35025268706</v>
      </c>
      <c r="I12" s="31">
        <f t="shared" si="8"/>
        <v>-0.16500639369550849</v>
      </c>
    </row>
    <row r="13" spans="1:9" ht="15.6">
      <c r="A13" s="32" t="str">
        <v xml:space="preserve">NC: Gibson – Henry Gibson Solar </v>
      </c>
      <c r="B13" s="33" t="str">
        <v>NC</v>
      </c>
      <c r="C13" s="35">
        <f>SUM('1st Qtr'!C13, '2nd Qtr'!C13, '3rd Qtr'!C13, '4th Qtr'!C13)</f>
        <v>3680049</v>
      </c>
      <c r="D13" s="35">
        <f>SUM('1st Qtr'!D13, '2nd Qtr'!D13, '3rd Qtr'!D13, '4th Qtr'!D13)</f>
        <v>4410155.1999999993</v>
      </c>
      <c r="E13" s="35">
        <f t="shared" si="6"/>
        <v>-730106.19999999925</v>
      </c>
      <c r="F13" s="36">
        <f t="shared" si="4"/>
        <v>-0.16555113525256421</v>
      </c>
      <c r="G13" s="37">
        <f>SUM('1st Qtr'!G13, '2nd Qtr'!G13, '3rd Qtr'!G13, '4th Qtr'!G13)</f>
        <v>4312123.2</v>
      </c>
      <c r="H13" s="37">
        <f>SUM('1st Qtr'!H13, '2nd Qtr'!H13, '3rd Qtr'!H13, '4th Qtr'!H13)</f>
        <v>-632074.19999999995</v>
      </c>
      <c r="I13" s="36">
        <f t="shared" si="5"/>
        <v>-0.14658073776741812</v>
      </c>
    </row>
    <row r="14" spans="1:9" ht="15.6">
      <c r="A14" s="25" t="str">
        <v>Bangor - Pushaw</v>
      </c>
      <c r="B14" s="26" t="str">
        <v>ME</v>
      </c>
      <c r="C14" s="27">
        <f>SUM('1st Qtr'!C14, '2nd Qtr'!C14, '3rd Qtr'!C14, '4th Qtr'!C14)</f>
        <v>2069001</v>
      </c>
      <c r="D14" s="28">
        <f>SUM('1st Qtr'!D14, '2nd Qtr'!D14, '3rd Qtr'!D14, '4th Qtr'!D14)</f>
        <v>2662968.557</v>
      </c>
      <c r="E14" s="28">
        <f t="shared" si="6"/>
        <v>-593967.55700000003</v>
      </c>
      <c r="F14" s="29">
        <f t="shared" si="7"/>
        <v>-0.22304715368819131</v>
      </c>
      <c r="G14" s="30">
        <f>SUM('1st Qtr'!G14, '2nd Qtr'!G14, '3rd Qtr'!G14, '4th Qtr'!G14)</f>
        <v>3458673.9699999997</v>
      </c>
      <c r="H14" s="30">
        <f>SUM('1st Qtr'!H14, '2nd Qtr'!H14, '3rd Qtr'!H14, '4th Qtr'!H14)</f>
        <v>-1389672.97</v>
      </c>
      <c r="I14" s="31">
        <f t="shared" si="8"/>
        <v>-0.4017935723499258</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10</v>
      </c>
      <c r="E1" s="98"/>
      <c r="F1" s="98"/>
      <c r="G1" s="96" t="s">
        <v>11</v>
      </c>
      <c r="H1" s="96"/>
      <c r="I1" s="96"/>
    </row>
    <row r="2" spans="1:9" ht="19.5" customHeight="1">
      <c r="A2" s="99" t="s">
        <v>2</v>
      </c>
      <c r="B2" s="99"/>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12</v>
      </c>
      <c r="E1" s="98"/>
      <c r="F1" s="98"/>
      <c r="G1" s="96" t="s">
        <v>13</v>
      </c>
      <c r="H1" s="96"/>
      <c r="I1" s="96"/>
    </row>
    <row r="2" spans="1:9" ht="19.5" customHeight="1">
      <c r="A2" s="99" t="s">
        <v>2</v>
      </c>
      <c r="B2" s="99"/>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5">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3">
        <f>SUM(Apr!G14, May!G14, Jun!G14)</f>
        <v>1939069</v>
      </c>
      <c r="H14" s="94">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C13" sqref="C1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14</v>
      </c>
      <c r="E1" s="98"/>
      <c r="F1" s="98"/>
      <c r="G1" s="96" t="s">
        <v>15</v>
      </c>
      <c r="H1" s="96"/>
      <c r="I1" s="96"/>
    </row>
    <row r="2" spans="1:9" ht="19.5" customHeight="1">
      <c r="A2" s="99" t="s">
        <v>2</v>
      </c>
      <c r="B2" s="99"/>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0</v>
      </c>
      <c r="D4" s="28">
        <f>SUM(Jul!D4, Aug!D4, Sep!D4)</f>
        <v>0</v>
      </c>
      <c r="E4" s="28">
        <f>IF(AND(ISNUMBER(C4),ISNUMBER(D4)), C4-D4, "")</f>
        <v>0</v>
      </c>
      <c r="F4" s="29" t="str">
        <f>IFERROR(E4/D4, "")</f>
        <v/>
      </c>
      <c r="G4" s="30">
        <f>SUM(Jul!G4, Aug!G4, Sep!G4)</f>
        <v>0</v>
      </c>
      <c r="H4" s="30">
        <f>SUM(Jul!H4, Aug!H4, Sep!H4)</f>
        <v>0</v>
      </c>
      <c r="I4" s="31" t="str">
        <f>IFERROR(H4/G4, "")</f>
        <v/>
      </c>
    </row>
    <row r="5" spans="1:9" ht="15.6">
      <c r="A5" s="39" t="str">
        <v>Bullis</v>
      </c>
      <c r="B5" s="33" t="str">
        <v>NY</v>
      </c>
      <c r="C5" s="34">
        <f>SUM(Jul!C5, Aug!C5, Sep!C5)</f>
        <v>0</v>
      </c>
      <c r="D5" s="35">
        <f>SUM(Jul!D5, Aug!D5, Sep!D5)</f>
        <v>0</v>
      </c>
      <c r="E5" s="35">
        <f t="shared" ref="E5:E13" si="0">IF(AND(ISNUMBER(C5),ISNUMBER(D5)), C5-D5, "")</f>
        <v>0</v>
      </c>
      <c r="F5" s="36" t="str">
        <f>IFERROR(E5/D5, "")</f>
        <v/>
      </c>
      <c r="G5" s="9">
        <f>SUM(Jul!G5, Aug!G5, Sep!G5)</f>
        <v>0</v>
      </c>
      <c r="H5" s="37">
        <f>SUM(Jul!H5, Aug!H5, Sep!H5)</f>
        <v>0</v>
      </c>
      <c r="I5" s="36" t="str">
        <f>IFERROR(H5/G5, "")</f>
        <v/>
      </c>
    </row>
    <row r="6" spans="1:9" ht="15.6">
      <c r="A6" s="38" t="str">
        <v>Rock Island</v>
      </c>
      <c r="B6" s="26" t="str">
        <v>NY</v>
      </c>
      <c r="C6" s="27">
        <f>SUM(Jul!C6, Aug!C6, Sep!C6)</f>
        <v>0</v>
      </c>
      <c r="D6" s="28">
        <f>SUM(Jul!D6, Aug!D6, Sep!D6)</f>
        <v>0</v>
      </c>
      <c r="E6" s="28">
        <f t="shared" si="0"/>
        <v>0</v>
      </c>
      <c r="F6" s="29" t="str">
        <f t="shared" ref="F6:F13" si="1">IFERROR(E6/D6, "")</f>
        <v/>
      </c>
      <c r="G6" s="30">
        <f>SUM(Jul!G6, Aug!G6, Sep!G6)</f>
        <v>0</v>
      </c>
      <c r="H6" s="30">
        <f>SUM(Jul!H6, Aug!H6, Sep!H6)</f>
        <v>0</v>
      </c>
      <c r="I6" s="31" t="str">
        <f t="shared" ref="I6:I11" si="2">IFERROR(H6/G6, "")</f>
        <v/>
      </c>
    </row>
    <row r="7" spans="1:9" ht="15.6">
      <c r="A7" s="39" t="str">
        <v>Winslow - Roderick</v>
      </c>
      <c r="B7" s="33" t="str">
        <v>ME</v>
      </c>
      <c r="C7" s="34">
        <f>SUM(Jul!C7, Aug!C7, Sep!C7)</f>
        <v>0</v>
      </c>
      <c r="D7" s="35">
        <f>SUM(Jul!D7, Aug!D7, Sep!D7)</f>
        <v>0</v>
      </c>
      <c r="E7" s="35">
        <f t="shared" si="0"/>
        <v>0</v>
      </c>
      <c r="F7" s="36" t="str">
        <f t="shared" si="1"/>
        <v/>
      </c>
      <c r="G7" s="9">
        <f>SUM(Jul!G7, Aug!G7, Sep!G7)</f>
        <v>0</v>
      </c>
      <c r="H7" s="37">
        <f>SUM(Jul!H7, Aug!H7, Sep!H7)</f>
        <v>0</v>
      </c>
      <c r="I7" s="36" t="str">
        <f t="shared" si="2"/>
        <v/>
      </c>
    </row>
    <row r="8" spans="1:9" ht="15.6">
      <c r="A8" s="38" t="str">
        <v>Minoa - Clemons Rd</v>
      </c>
      <c r="B8" s="26" t="str">
        <v>NY</v>
      </c>
      <c r="C8" s="27">
        <f>SUM(Jul!C8, Aug!C8, Sep!C8)</f>
        <v>0</v>
      </c>
      <c r="D8" s="28">
        <f>SUM(Jul!D8, Aug!D8, Sep!D8)</f>
        <v>0</v>
      </c>
      <c r="E8" s="28">
        <f t="shared" si="0"/>
        <v>0</v>
      </c>
      <c r="F8" s="29" t="str">
        <f t="shared" si="1"/>
        <v/>
      </c>
      <c r="G8" s="30">
        <f>SUM(Jul!G8, Aug!G8, Sep!G8)</f>
        <v>0</v>
      </c>
      <c r="H8" s="30">
        <f>SUM(Jul!H8, Aug!H8, Sep!H8)</f>
        <v>0</v>
      </c>
      <c r="I8" s="31" t="str">
        <f t="shared" si="2"/>
        <v/>
      </c>
    </row>
    <row r="9" spans="1:9" ht="15.6">
      <c r="A9" s="39" t="str">
        <v>Manchester - Western</v>
      </c>
      <c r="B9" s="33" t="str">
        <v>ME</v>
      </c>
      <c r="C9" s="34">
        <f>SUM(Jul!C9, Aug!C9, Sep!C9)</f>
        <v>0</v>
      </c>
      <c r="D9" s="35">
        <f>SUM(Jul!D9, Aug!D9, Sep!D9)</f>
        <v>0</v>
      </c>
      <c r="E9" s="35">
        <f t="shared" si="0"/>
        <v>0</v>
      </c>
      <c r="F9" s="36" t="str">
        <f t="shared" si="1"/>
        <v/>
      </c>
      <c r="G9" s="9">
        <f>SUM(Jul!G9, Aug!G9, Sep!G9)</f>
        <v>0</v>
      </c>
      <c r="H9" s="37">
        <f>SUM(Jul!H9, Aug!H9, Sep!H9)</f>
        <v>0</v>
      </c>
      <c r="I9" s="36" t="str">
        <f t="shared" si="2"/>
        <v/>
      </c>
    </row>
    <row r="10" spans="1:9" ht="15.6">
      <c r="A10" s="38" t="str">
        <v>Batavia - Pike Rd</v>
      </c>
      <c r="B10" s="26" t="str">
        <v>NY</v>
      </c>
      <c r="C10" s="27">
        <f>SUM(Jul!C10, Aug!C10, Sep!C10)</f>
        <v>0</v>
      </c>
      <c r="D10" s="28">
        <f>SUM(Jul!D10, Aug!D10, Sep!D10)</f>
        <v>0</v>
      </c>
      <c r="E10" s="28">
        <f t="shared" si="0"/>
        <v>0</v>
      </c>
      <c r="F10" s="29" t="str">
        <f t="shared" si="1"/>
        <v/>
      </c>
      <c r="G10" s="69">
        <f>SUM(Jul!G10, Aug!G10, Sep!G10)</f>
        <v>0</v>
      </c>
      <c r="H10" s="30">
        <f>SUM(Jul!H10, Aug!H10, Sep!H10)</f>
        <v>0</v>
      </c>
      <c r="I10" s="31" t="str">
        <f t="shared" si="2"/>
        <v/>
      </c>
    </row>
    <row r="11" spans="1:9" ht="15.6">
      <c r="A11" s="39" t="str">
        <v>Slayton A &amp; B</v>
      </c>
      <c r="B11" s="33" t="str">
        <v>NY</v>
      </c>
      <c r="C11" s="34">
        <f>SUM(Jul!C11, Aug!C11, Sep!C11)</f>
        <v>0</v>
      </c>
      <c r="D11" s="35">
        <f>SUM(Jul!D11, Aug!D11, Sep!D11)</f>
        <v>0</v>
      </c>
      <c r="E11" s="35">
        <f t="shared" si="0"/>
        <v>0</v>
      </c>
      <c r="F11" s="36" t="str">
        <f t="shared" si="1"/>
        <v/>
      </c>
      <c r="G11" s="68">
        <f>SUM(Jul!G11, Aug!G11, Sep!G11)</f>
        <v>0</v>
      </c>
      <c r="H11" s="37">
        <f>SUM(Jul!H11, Aug!H11, Sep!H11)</f>
        <v>0</v>
      </c>
      <c r="I11" s="36" t="str">
        <f t="shared" si="2"/>
        <v/>
      </c>
    </row>
    <row r="12" spans="1:9" ht="15.6">
      <c r="A12" s="38" t="str">
        <v>Batavia - Alexander Rd</v>
      </c>
      <c r="B12" s="26" t="str">
        <v>NY</v>
      </c>
      <c r="C12" s="27">
        <f>SUM(Jul!C12, Aug!C12, Sep!C12)</f>
        <v>0</v>
      </c>
      <c r="D12" s="28">
        <f>SUM(Jul!D12, Aug!D12, Sep!D12)</f>
        <v>0</v>
      </c>
      <c r="E12" s="28">
        <f t="shared" si="0"/>
        <v>0</v>
      </c>
      <c r="F12" s="29" t="str">
        <f t="shared" si="1"/>
        <v/>
      </c>
      <c r="G12" s="69">
        <f>SUM(Jul!G12, Aug!G12, Sep!G12)</f>
        <v>0</v>
      </c>
      <c r="H12" s="30">
        <f>SUM(Jul!H12, Aug!H12, Sep!H12)</f>
        <v>0</v>
      </c>
      <c r="I12" s="31"/>
    </row>
    <row r="13" spans="1:9" ht="15.6">
      <c r="A13" s="39" t="str">
        <v xml:space="preserve">NC: Gibson – Henry Gibson Solar </v>
      </c>
      <c r="B13" s="33" t="str">
        <v>NC</v>
      </c>
      <c r="C13" s="34">
        <f>SUM(Jul!C13, Aug!C13, Sep!C13)</f>
        <v>0</v>
      </c>
      <c r="D13" s="35">
        <f>SUM(Jul!D13, Aug!D13, Sep!D13)</f>
        <v>0</v>
      </c>
      <c r="E13" s="35">
        <f t="shared" si="0"/>
        <v>0</v>
      </c>
      <c r="F13" s="36" t="str">
        <f t="shared" si="1"/>
        <v/>
      </c>
      <c r="G13" s="68">
        <f>SUM(Jul!G13, Aug!G13, Sep!G13)</f>
        <v>0</v>
      </c>
      <c r="H13" s="37">
        <f>SUM(Jul!H13, Aug!H13, Sep!H13)</f>
        <v>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16</v>
      </c>
      <c r="E1" s="98"/>
      <c r="F1" s="98"/>
      <c r="G1" s="96" t="s">
        <v>17</v>
      </c>
      <c r="H1" s="96"/>
      <c r="I1" s="96"/>
    </row>
    <row r="2" spans="1:9" ht="19.5" customHeight="1">
      <c r="A2" s="99" t="s">
        <v>2</v>
      </c>
      <c r="B2" s="99"/>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3"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97" t="str" cm="1">
        <f t="array" ref="A1">portfolio</f>
        <v>Renewable Properties</v>
      </c>
      <c r="B1" s="97"/>
      <c r="C1" s="97"/>
      <c r="D1" s="98" t="s">
        <v>18</v>
      </c>
      <c r="E1" s="98"/>
      <c r="F1" s="98"/>
      <c r="G1" s="96" t="s">
        <v>19</v>
      </c>
      <c r="H1" s="96"/>
      <c r="I1" s="96"/>
      <c r="J1" s="4"/>
      <c r="K1" s="4"/>
    </row>
    <row r="2" spans="1:11" ht="19.5" customHeight="1">
      <c r="A2" s="99" t="s">
        <v>2</v>
      </c>
      <c r="B2" s="99"/>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11" activePane="bottomRight" state="frozen"/>
      <selection pane="bottomRight" activeCell="J13" sqref="J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97" t="str" cm="1">
        <f t="array" ref="A1">portfolio</f>
        <v>Renewable Properties</v>
      </c>
      <c r="B1" s="97"/>
      <c r="C1" s="97"/>
      <c r="D1" s="98" t="s">
        <v>32</v>
      </c>
      <c r="E1" s="98"/>
      <c r="F1" s="98"/>
      <c r="G1" s="96" t="s">
        <v>33</v>
      </c>
      <c r="H1" s="96"/>
      <c r="I1" s="96"/>
      <c r="J1" s="4"/>
      <c r="K1" s="4"/>
    </row>
    <row r="2" spans="1:14" ht="19.5" customHeight="1">
      <c r="A2" s="99" t="s">
        <v>2</v>
      </c>
      <c r="B2" s="99"/>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86"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13"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7" t="str" cm="1">
        <f t="array" ref="A1">portfolio</f>
        <v>Renewable Properties</v>
      </c>
      <c r="B1" s="97"/>
      <c r="C1" s="97"/>
      <c r="D1" s="98" t="s">
        <v>53</v>
      </c>
      <c r="E1" s="98"/>
      <c r="F1" s="98"/>
      <c r="G1" s="96" t="s">
        <v>54</v>
      </c>
      <c r="H1" s="96"/>
      <c r="I1" s="96"/>
      <c r="J1" s="4"/>
      <c r="K1" s="4"/>
    </row>
    <row r="2" spans="1:18" ht="19.5" customHeight="1">
      <c r="A2" s="99" t="s">
        <v>2</v>
      </c>
      <c r="B2" s="99"/>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7"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7"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7"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7"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7"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11"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7" t="str" cm="1">
        <f t="array" ref="A1">portfolio</f>
        <v>Renewable Properties</v>
      </c>
      <c r="B1" s="97"/>
      <c r="C1" s="97"/>
      <c r="D1" s="98" t="s">
        <v>83</v>
      </c>
      <c r="E1" s="98"/>
      <c r="F1" s="98"/>
      <c r="G1" s="96" t="s">
        <v>84</v>
      </c>
      <c r="H1" s="96"/>
      <c r="I1" s="96"/>
      <c r="J1" s="4"/>
      <c r="K1" s="4"/>
    </row>
    <row r="2" spans="1:15" ht="19.5" customHeight="1">
      <c r="A2" s="99" t="s">
        <v>2</v>
      </c>
      <c r="B2" s="99"/>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7"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9"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7"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7"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9"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7"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8" t="s">
        <v>102</v>
      </c>
      <c r="K11" s="89"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7"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9"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7"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10"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1"/>
  </cols>
  <sheetData>
    <row r="1" spans="1:15" ht="15.6">
      <c r="A1" s="97" t="str" cm="1">
        <f t="array" ref="A1">portfolio</f>
        <v>Renewable Properties</v>
      </c>
      <c r="B1" s="97"/>
      <c r="C1" s="97"/>
      <c r="D1" s="98" t="s">
        <v>114</v>
      </c>
      <c r="E1" s="98"/>
      <c r="F1" s="98"/>
      <c r="G1" s="96" t="s">
        <v>115</v>
      </c>
      <c r="H1" s="96"/>
      <c r="I1" s="96"/>
      <c r="J1" s="4"/>
      <c r="K1" s="4"/>
    </row>
    <row r="2" spans="1:15" ht="15.6">
      <c r="A2" s="99" t="s">
        <v>2</v>
      </c>
      <c r="B2" s="99"/>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2" t="s">
        <v>120</v>
      </c>
      <c r="M5" s="92" t="s">
        <v>121</v>
      </c>
      <c r="N5" s="92" t="s">
        <v>122</v>
      </c>
      <c r="O5" s="92"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28.9">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00.9">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2"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90" t="s">
        <v>130</v>
      </c>
      <c r="K9" s="58"/>
    </row>
    <row r="10" spans="1:15" ht="86.45">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2" t="s">
        <v>133</v>
      </c>
      <c r="M10" s="92"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2" t="s">
        <v>141</v>
      </c>
      <c r="M13" s="92" t="s">
        <v>142</v>
      </c>
      <c r="N13" s="92"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2" t="s">
        <v>146</v>
      </c>
      <c r="M14" s="92" t="s">
        <v>147</v>
      </c>
      <c r="N14" s="92" t="s">
        <v>148</v>
      </c>
      <c r="O14" s="92"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tabSelected="1" zoomScale="70" zoomScaleNormal="70" workbookViewId="0">
      <pane xSplit="2" ySplit="3" topLeftCell="C4" activePane="bottomRight" state="frozen"/>
      <selection pane="bottomRight" activeCell="P8" sqref="P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7" t="str" cm="1">
        <f t="array" ref="A1">portfolio</f>
        <v>Renewable Properties</v>
      </c>
      <c r="B1" s="97"/>
      <c r="C1" s="97"/>
      <c r="D1" s="98" t="s">
        <v>150</v>
      </c>
      <c r="E1" s="98"/>
      <c r="F1" s="98"/>
      <c r="G1" s="96" t="s">
        <v>151</v>
      </c>
      <c r="H1" s="96"/>
      <c r="I1" s="96"/>
      <c r="J1" s="4"/>
      <c r="K1" s="4"/>
    </row>
    <row r="2" spans="1:14" ht="19.5" customHeight="1">
      <c r="A2" s="99" t="s">
        <v>2</v>
      </c>
      <c r="B2" s="99"/>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7"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9"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7"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9"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7" t="s">
        <v>75</v>
      </c>
      <c r="L12" s="83"/>
      <c r="M12" s="83"/>
      <c r="N12" s="83"/>
    </row>
    <row r="13" spans="1:14" ht="129.6">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9"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7"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172</v>
      </c>
      <c r="E1" s="98"/>
      <c r="F1" s="98"/>
      <c r="G1" s="96" t="s">
        <v>173</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15.6">
      <c r="A6" s="57" t="str">
        <v>Rock Island</v>
      </c>
      <c r="B6" s="49" t="str">
        <v>NY</v>
      </c>
      <c r="C6" s="27"/>
      <c r="D6" s="28"/>
      <c r="E6" s="28" t="str">
        <f t="shared" si="0"/>
        <v/>
      </c>
      <c r="F6" s="29" t="str">
        <f t="shared" ref="F6" si="3">IFERROR(E6/D6, "")</f>
        <v/>
      </c>
      <c r="G6" s="37"/>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174</v>
      </c>
      <c r="E1" s="98"/>
      <c r="F1" s="98"/>
      <c r="G1" s="96" t="s">
        <v>175</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176</v>
      </c>
      <c r="E1" s="98"/>
      <c r="F1" s="98"/>
      <c r="G1" s="96" t="s">
        <v>177</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178</v>
      </c>
      <c r="E1" s="98"/>
      <c r="F1" s="98"/>
      <c r="G1" s="96" t="s">
        <v>179</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180</v>
      </c>
      <c r="E1" s="98"/>
      <c r="F1" s="98"/>
      <c r="G1" s="96" t="s">
        <v>181</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182</v>
      </c>
      <c r="E1" s="98"/>
      <c r="F1" s="98"/>
      <c r="G1" s="96" t="s">
        <v>183</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184</v>
      </c>
      <c r="B1" t="s">
        <v>185</v>
      </c>
    </row>
    <row r="3" spans="1:12" ht="13.15">
      <c r="A3" t="s">
        <v>186</v>
      </c>
      <c r="B3" t="s">
        <v>3</v>
      </c>
      <c r="C3" t="s">
        <v>4</v>
      </c>
      <c r="D3" t="s">
        <v>187</v>
      </c>
      <c r="E3" s="2" t="s">
        <v>188</v>
      </c>
    </row>
    <row r="4" spans="1:12" ht="14.45">
      <c r="A4" s="24" t="s">
        <v>189</v>
      </c>
      <c r="B4" t="s">
        <v>190</v>
      </c>
      <c r="C4" s="23" t="s">
        <v>191</v>
      </c>
      <c r="D4" s="22"/>
      <c r="E4" t="s">
        <v>192</v>
      </c>
      <c r="G4" s="3"/>
    </row>
    <row r="5" spans="1:12" ht="14.45">
      <c r="A5" s="24" t="s">
        <v>193</v>
      </c>
      <c r="B5" t="s">
        <v>193</v>
      </c>
      <c r="C5" s="23" t="s">
        <v>194</v>
      </c>
      <c r="D5" s="22" t="s">
        <v>195</v>
      </c>
      <c r="E5" t="s">
        <v>192</v>
      </c>
      <c r="G5" s="3"/>
    </row>
    <row r="6" spans="1:12" ht="14.45">
      <c r="A6" s="24" t="s">
        <v>196</v>
      </c>
      <c r="B6" t="s">
        <v>197</v>
      </c>
      <c r="C6" s="23" t="s">
        <v>194</v>
      </c>
      <c r="D6" s="22"/>
      <c r="E6" t="s">
        <v>192</v>
      </c>
      <c r="G6" s="3"/>
    </row>
    <row r="7" spans="1:12" ht="12.75" customHeight="1">
      <c r="A7" s="67" t="s">
        <v>198</v>
      </c>
      <c r="B7" s="60" t="s">
        <v>199</v>
      </c>
      <c r="C7" s="23" t="s">
        <v>200</v>
      </c>
      <c r="E7" t="s">
        <v>192</v>
      </c>
      <c r="K7" s="21"/>
      <c r="L7" s="21"/>
    </row>
    <row r="8" spans="1:12" ht="12.75" customHeight="1">
      <c r="A8" s="67" t="s">
        <v>201</v>
      </c>
      <c r="B8" s="60" t="s">
        <v>202</v>
      </c>
      <c r="C8" s="23" t="s">
        <v>194</v>
      </c>
      <c r="E8" t="s">
        <v>192</v>
      </c>
      <c r="K8" s="21"/>
      <c r="L8" s="21"/>
    </row>
    <row r="9" spans="1:12" ht="12.75" customHeight="1">
      <c r="A9" s="67" t="s">
        <v>203</v>
      </c>
      <c r="B9" s="60" t="s">
        <v>204</v>
      </c>
      <c r="C9" s="23" t="s">
        <v>200</v>
      </c>
      <c r="E9" t="s">
        <v>192</v>
      </c>
      <c r="K9" s="21"/>
      <c r="L9" s="21"/>
    </row>
    <row r="10" spans="1:12" ht="12.75" customHeight="1">
      <c r="A10" s="67" t="s">
        <v>205</v>
      </c>
      <c r="B10" s="60" t="s">
        <v>205</v>
      </c>
      <c r="C10" s="23" t="s">
        <v>194</v>
      </c>
      <c r="E10" t="s">
        <v>192</v>
      </c>
      <c r="K10" s="21"/>
      <c r="L10" s="21"/>
    </row>
    <row r="11" spans="1:12" ht="12.75" customHeight="1">
      <c r="A11" s="63" t="s">
        <v>206</v>
      </c>
      <c r="B11" s="60" t="s">
        <v>207</v>
      </c>
      <c r="C11" s="23" t="s">
        <v>194</v>
      </c>
      <c r="E11" t="s">
        <v>192</v>
      </c>
      <c r="K11" s="21"/>
      <c r="L11" s="21"/>
    </row>
    <row r="12" spans="1:12" ht="12.75" customHeight="1">
      <c r="A12" s="67" t="s">
        <v>208</v>
      </c>
      <c r="B12" s="60" t="s">
        <v>209</v>
      </c>
      <c r="C12" s="23" t="s">
        <v>194</v>
      </c>
      <c r="E12" t="s">
        <v>192</v>
      </c>
      <c r="K12" s="21"/>
      <c r="L12" s="21"/>
    </row>
    <row r="13" spans="1:12" ht="12.75" customHeight="1">
      <c r="A13" s="67" t="s">
        <v>210</v>
      </c>
      <c r="B13" s="60" t="s">
        <v>211</v>
      </c>
      <c r="C13" s="23" t="s">
        <v>212</v>
      </c>
      <c r="D13" t="s">
        <v>195</v>
      </c>
      <c r="E13" s="72" t="s">
        <v>192</v>
      </c>
    </row>
    <row r="14" spans="1:12" ht="12.75" customHeight="1">
      <c r="A14" s="67" t="s">
        <v>213</v>
      </c>
      <c r="B14" s="60" t="s">
        <v>214</v>
      </c>
      <c r="C14" s="23" t="s">
        <v>200</v>
      </c>
      <c r="D14" t="s">
        <v>195</v>
      </c>
      <c r="E14" t="s">
        <v>192</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D97E4CA-096D-4D3F-BBCE-7E2A11009844}"/>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2025-07-04T10:30:03Z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