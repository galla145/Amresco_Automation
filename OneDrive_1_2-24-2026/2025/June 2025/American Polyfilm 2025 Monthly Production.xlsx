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F0036BD-7422-4550-8ED4-17DB06076D2F}" xr6:coauthVersionLast="47" xr6:coauthVersionMax="47" xr10:uidLastSave="{00000000-0000-0000-0000-000000000000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E4" i="4"/>
  <c r="H5" i="3"/>
  <c r="E5" i="3"/>
  <c r="F5" i="3" s="1"/>
  <c r="H5" i="72"/>
  <c r="G5" i="30"/>
  <c r="G4" i="30"/>
  <c r="G4" i="29"/>
  <c r="G2" i="29" s="1"/>
  <c r="G5" i="29"/>
  <c r="G5" i="18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I5" i="3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I5" i="72"/>
  <c r="H4" i="72"/>
  <c r="I4" i="72" s="1"/>
  <c r="G2" i="72"/>
  <c r="D2" i="72"/>
  <c r="C2" i="72"/>
  <c r="J2" i="72" s="1"/>
  <c r="A1" i="72" a="1"/>
  <c r="A1" i="72" s="1"/>
  <c r="D5" i="34" l="1"/>
  <c r="C5" i="34"/>
  <c r="G4" i="34"/>
  <c r="G2" i="18"/>
  <c r="C4" i="34"/>
  <c r="G5" i="34"/>
  <c r="D2" i="18"/>
  <c r="E5" i="18"/>
  <c r="F5" i="18" s="1"/>
  <c r="E5" i="30"/>
  <c r="F5" i="30" s="1"/>
  <c r="D2" i="29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C2" i="29"/>
  <c r="E2" i="29" s="1"/>
  <c r="F2" i="29" s="1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<sst xmlns="http://schemas.openxmlformats.org/spreadsheetml/2006/main" count="271" uniqueCount="64">
  <si>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</si>
  <si>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</si>
  <si>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</si>
  <si>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</si>
  <si>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</si>
  <si>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</si>
  <si>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</si>
  <si>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</si>
  <si>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</si>
  <si>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</si>
  <si>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</si>
  <si>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</si>
  <si>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</si>
  <si>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</si>
  <si>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</si>
  <si>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</si>
  <si>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</si>
  <si>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</si>
  <si>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</si>
  <si>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</si>
  <si>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</si>
  <si>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</si>
  <si>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</si>
  <si>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</si>
  <si>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</si>
  <si>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</si>
  <si>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1.Site was offline from 7:00AM to 14:00 on 02/08.</t>
  </si>
  <si>
    <t>1.SR096528</t>
  </si>
  <si>
    <t>March Actual v. Expected</t>
  </si>
  <si>
    <t>March Actual v. Forecasted</t>
  </si>
  <si>
    <t>1.Inverters 1 and 2 are turning on and off repeatedly during high irradiance, likely an imbalance in the array.</t>
  </si>
  <si>
    <t>1.SR098036</t>
  </si>
  <si>
    <t>April Actual v. Expected</t>
  </si>
  <si>
    <t>April Actual v. Forecasted</t>
  </si>
  <si>
    <t>1.Inverters 1 and 2 are turning on and off repeatedly during  periods of high irradiance due to an imbalance in the array throughout the month.</t>
  </si>
  <si>
    <t>May Actual v. Expected</t>
  </si>
  <si>
    <t>May Actual v. Forecasted</t>
  </si>
  <si>
    <t>June Actual v. Expected</t>
  </si>
  <si>
    <t>June Actual v. Forecasted</t>
  </si>
  <si>
    <t>1. SR098036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</si>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</sst>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242424"/>
      <name val="Aptos Narrow"/>
      <charset val="1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3" fontId="35" fillId="0" borderId="0" xfId="0" applyNumberFormat="1" applyFont="1"/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52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5">
        <f>SUM(C4:C69)</f>
        <v>113389.60800000009</v>
      </c>
      <c r="D2" s="5">
        <f>SUM(D4:D69)</f>
        <v>0</v>
      </c>
      <c r="E2" s="5">
        <f>C2-D2</f>
        <v>113389.60800000009</v>
      </c>
      <c r="F2" s="6">
        <f>IFERROR(E2/D2, 0)</f>
        <v>0</v>
      </c>
      <c r="G2" s="5">
        <f>SUM(G4:G69)</f>
        <v>70608.854999999996</v>
      </c>
      <c r="H2" s="7">
        <f>C2-G2</f>
        <v>42780.753000000099</v>
      </c>
      <c r="I2" s="6">
        <f>IFERROR(H2/G2, 0)</f>
        <v>0.60588368130314674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35663.008000000002</v>
      </c>
      <c r="D4" s="13">
        <f>SUM('1st Qtr'!D4, '2nd Qtr'!D4, '3rd Qtr'!D4, '4th Qtr'!D4)</f>
        <v>0</v>
      </c>
      <c r="E4" s="13">
        <f>IF(AND(ISNUMBER(C4),ISNUMBER(D4)), C4-D4, "")</f>
        <v>35663.008000000002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SUM('1st Qtr'!C5, '2nd Qtr'!C5, '3rd Qtr'!C5, '4th Qtr'!C5)</f>
        <v>77726.600000000093</v>
      </c>
      <c r="D5" s="20">
        <f>SUM('1st Qtr'!D5, '2nd Qtr'!D5, '3rd Qtr'!D5, '4th Qtr'!D5)</f>
        <v>0</v>
      </c>
      <c r="E5" s="18">
        <f t="shared" ref="E5" si="0">IF(AND(ISNUMBER(C5),ISNUMBER(D5)), C5-D5, "")</f>
        <v>77726.600000000093</v>
      </c>
      <c r="F5" s="19" t="str">
        <f>IFERROR(E5/D5, "")</f>
        <v/>
      </c>
      <c r="G5" s="20">
        <f>SUM('1st Qtr'!G5, '2nd Qtr'!G5, '3rd Qtr'!G5, '4th Qtr'!G5)</f>
        <v>70608.854999999996</v>
      </c>
      <c r="H5" s="20">
        <f>SUM('1st Qtr'!H5, '2nd Qtr'!H5, '3rd Qtr'!H5, '4th Qtr'!H5)</f>
        <v>7117.7450000001027</v>
      </c>
      <c r="I5" s="19">
        <f>IFERROR(H5/G5, "")</f>
        <v>0.10080527435263047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E25" sqref="E2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5">
        <f>SUM(C4:C69)</f>
        <v>42694.232000000098</v>
      </c>
      <c r="D2" s="5">
        <f>SUM(D4:D69)</f>
        <v>0</v>
      </c>
      <c r="E2" s="5">
        <f>C2-D2</f>
        <v>42694.232000000098</v>
      </c>
      <c r="F2" s="6">
        <f>IFERROR(E2/D2, 0)</f>
        <v>0</v>
      </c>
      <c r="G2" s="5">
        <f>SUM(G4:G69)</f>
        <v>28703.678</v>
      </c>
      <c r="H2" s="7">
        <f>C2-G2</f>
        <v>13990.554000000098</v>
      </c>
      <c r="I2" s="6">
        <f>IFERROR(H2/G2, 0)</f>
        <v>0.48741328550299717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13764.031999999999</v>
      </c>
      <c r="D4" s="13">
        <f>SUM(Jan!D4, Feb!D4, Mar!D4)</f>
        <v>0</v>
      </c>
      <c r="E4" s="13">
        <f>IF(AND(ISNUMBER(C4),ISNUMBER(D4)), C4-D4, "")</f>
        <v>13764.031999999999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28930.200000000099</v>
      </c>
      <c r="D5" s="18">
        <f>SUM(Jan!D5, Feb!D5, Mar!D5)</f>
        <v>0</v>
      </c>
      <c r="E5" s="18">
        <f t="shared" ref="E5" si="0">IF(AND(ISNUMBER(C5),ISNUMBER(D5)), C5-D5, "")</f>
        <v>28930.200000000099</v>
      </c>
      <c r="F5" s="19" t="str">
        <f>IFERROR(E5/D5, "")</f>
        <v/>
      </c>
      <c r="G5" s="20">
        <f>SUM(Jan!G5, Feb!G5, Mar!G5)</f>
        <v>28703.678</v>
      </c>
      <c r="H5" s="20">
        <f>SUM(Jan!H5, Feb!H5, Mar!H5)</f>
        <v>226.52200000010089</v>
      </c>
      <c r="I5" s="19">
        <f>IFERROR(H5/G5, "")</f>
        <v>7.8917412604789152E-3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D22" sqref="D22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5">
        <f>SUM(C4:C69)</f>
        <v>70695.376000000004</v>
      </c>
      <c r="D2" s="5">
        <f>SUM(D4:D69)</f>
        <v>0</v>
      </c>
      <c r="E2" s="5">
        <f>C2-D2</f>
        <v>70695.376000000004</v>
      </c>
      <c r="F2" s="6">
        <f>IFERROR(E2/D2, 0)</f>
        <v>0</v>
      </c>
      <c r="G2" s="5">
        <f>SUM(G4:G69)</f>
        <v>41905.176999999996</v>
      </c>
      <c r="H2" s="7">
        <f>C2-G2</f>
        <v>28790.199000000008</v>
      </c>
      <c r="I2" s="6">
        <f>IFERROR(H2/G2, 0)</f>
        <v>0.68703203425199733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21898.976000000002</v>
      </c>
      <c r="D4" s="13">
        <f>SUM(Apr!D4, May!D4, Jun!D4)</f>
        <v>0</v>
      </c>
      <c r="E4" s="13">
        <f>IF(AND(ISNUMBER(C4),ISNUMBER(D4)), C4-D4, "")</f>
        <v>21898.976000000002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48796.4</v>
      </c>
      <c r="D5" s="18">
        <f>SUM(Apr!D5, May!D5, Jun!D5)</f>
        <v>0</v>
      </c>
      <c r="E5" s="18">
        <f t="shared" ref="E5" si="0">IF(AND(ISNUMBER(C5),ISNUMBER(D5)), C5-D5, "")</f>
        <v>48796.4</v>
      </c>
      <c r="F5" s="19" t="str">
        <f>IFERROR(E5/D5, "")</f>
        <v/>
      </c>
      <c r="G5" s="18">
        <f>SUM(Apr!G5,May!G5,Jun!G5)</f>
        <v>41905.176999999996</v>
      </c>
      <c r="H5" s="20">
        <f>SUM(Apr!H5, May!H5, Jun!H5)</f>
        <v>6891.2230000000018</v>
      </c>
      <c r="I5" s="19">
        <f>IFERROR(H5/G5, "")</f>
        <v>0.16444801080305668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C5" sqref="C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0</v>
      </c>
      <c r="D5" s="18">
        <f>SUM(Jul!D5, Aug!D5, Sep!D5)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8">
        <f>SUM(Jul!G5,Aug!G5,Sep!G5)</f>
        <v>0</v>
      </c>
      <c r="H5" s="20">
        <f>SUM(Jul!H5, Aug!H5, Sep!H5)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F25" sqref="F2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American Polyfilm, Inc.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SUM(Oct!C5, Nov!C5, Dec!C5)</f>
        <v>0</v>
      </c>
      <c r="D5" s="18">
        <f>SUM(Oct!D5, Nov!D5, Dec!D5)</f>
        <v>0</v>
      </c>
      <c r="E5" s="18">
        <f t="shared" ref="E5" si="0">IF(AND(ISNUMBER(C5),ISNUMBER(D5)), C5-D5, "")</f>
        <v>0</v>
      </c>
      <c r="F5" s="19" t="str">
        <f>IFERROR(E5/D5, "")</f>
        <v/>
      </c>
      <c r="G5" s="11">
        <f>SUM(Oct!G5,Nov!G5,Dec!G5)</f>
        <v>0</v>
      </c>
      <c r="H5" s="20">
        <f>SUM(Oct!H5, Nov!H5, Dec!H5)</f>
        <v>0</v>
      </c>
      <c r="I5" s="19" t="str">
        <f>IFERROR(H5/G5, "")</f>
        <v/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SUM(C4:C68)</f>
        <v>10908.308000000001</v>
      </c>
      <c r="D2" s="5">
        <f>SUM(D4:D68)</f>
        <v>0</v>
      </c>
      <c r="E2" s="5">
        <f>C2-D2</f>
        <v>10908.308000000001</v>
      </c>
      <c r="F2" s="6">
        <f>IFERROR(E2/D2, 0)</f>
        <v>0</v>
      </c>
      <c r="G2" s="5">
        <f>SUM(G4:G68)</f>
        <v>7766.6779999999999</v>
      </c>
      <c r="H2" s="7">
        <f>C2-G2</f>
        <v>3141.630000000001</v>
      </c>
      <c r="I2" s="6">
        <f>IFERROR(H2/G2, 0)</f>
        <v>0.40450112647904302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3975.0079999999998</v>
      </c>
      <c r="D4" s="13" t="s">
        <v>22</v>
      </c>
      <c r="E4" s="13" t="str">
        <f>IF(AND(ISNUMBER(C4),ISNUMBER(D4)), C4-D4, "")</f>
        <v/>
      </c>
      <c r="F4" s="43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8">
        <v>6933.3</v>
      </c>
      <c r="D5" s="18" t="s">
        <v>22</v>
      </c>
      <c r="E5" s="18" t="str">
        <f t="shared" ref="E5" si="0">IF(AND(ISNUMBER(C5),ISNUMBER(D5)), C5-D5, "")</f>
        <v/>
      </c>
      <c r="F5" s="22" t="str">
        <f t="shared" ref="F5" si="1">IFERROR(E5/D5, "")</f>
        <v/>
      </c>
      <c r="G5" s="18">
        <v>7766.6779999999999</v>
      </c>
      <c r="H5" s="32">
        <f>IF(AND(ISNUMBER(C5),ISNUMBER(G5)), C5-G5, "")</f>
        <v>-833.3779999999997</v>
      </c>
      <c r="I5" s="19">
        <f t="shared" ref="I5" si="2">IFERROR(H5/G5, "")</f>
        <v>-0.1073017318343827</v>
      </c>
      <c r="J5" s="41" t="s">
        <v>23</v>
      </c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J4" activePane="bottomRight" state="frozen"/>
      <selection pane="bottomRight" activeCell="J15" sqref="J15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24</v>
      </c>
      <c r="E1" s="59"/>
      <c r="F1" s="59"/>
      <c r="G1" s="57" t="s">
        <v>25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11876.716</v>
      </c>
      <c r="D2" s="5">
        <f>SUM(D4:D69)</f>
        <v>0</v>
      </c>
      <c r="E2" s="5">
        <f>C2-D2</f>
        <v>11876.716</v>
      </c>
      <c r="F2" s="6">
        <f>IFERROR(E2/D2, 0)</f>
        <v>0</v>
      </c>
      <c r="G2" s="5">
        <f>SUM(G4:G69)</f>
        <v>9148</v>
      </c>
      <c r="H2" s="7">
        <f>C2-G2</f>
        <v>2728.7160000000003</v>
      </c>
      <c r="I2" s="6">
        <f>IFERROR(H2/G2, 0)</f>
        <v>0.29828552689112375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3838.0160000000001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8038.7</v>
      </c>
      <c r="D5" s="18" t="s">
        <v>22</v>
      </c>
      <c r="E5" s="18" t="str">
        <f>IF(AND(ISNUMBER(C5),ISNUMBER(D5)), C5-D5, "")</f>
        <v/>
      </c>
      <c r="F5" s="19" t="str">
        <f>IFERROR(E5/D5, "")</f>
        <v/>
      </c>
      <c r="G5" s="52">
        <v>9148</v>
      </c>
      <c r="H5" s="20">
        <f>IF(AND(ISNUMBER(C5),ISNUMBER(G5)), C5-G5, "")</f>
        <v>-1109.3000000000002</v>
      </c>
      <c r="I5" s="19">
        <f t="shared" ref="I5" si="0">IFERROR(H5/G5, "")</f>
        <v>-0.12126147791867077</v>
      </c>
      <c r="J5" s="41" t="s">
        <v>26</v>
      </c>
      <c r="K5" s="54" t="s">
        <v>27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hyperlinks>
    <hyperlink ref="K5" r:id="rId1" display="https://us3.assetplanner.com/service_request?ID=096528" xr:uid="{0CF38391-B0E7-4B8B-9014-3BD39F2D1279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tabSelected="1" zoomScale="80" zoomScaleNormal="80" workbookViewId="0">
      <pane xSplit="2" ySplit="3" topLeftCell="D4" activePane="bottomRight" state="frozen"/>
      <selection pane="bottomRight" activeCell="D12" sqref="D1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28</v>
      </c>
      <c r="E1" s="59"/>
      <c r="F1" s="59"/>
      <c r="G1" s="57" t="s">
        <v>29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19909.208000000101</v>
      </c>
      <c r="D2" s="5">
        <f>SUM(D4:D69)</f>
        <v>0</v>
      </c>
      <c r="E2" s="5">
        <f>C2-D2</f>
        <v>19909.208000000101</v>
      </c>
      <c r="F2" s="6">
        <f>IFERROR(E2/D2, 0)</f>
        <v>0</v>
      </c>
      <c r="G2" s="5">
        <f>SUM(G4:G69)</f>
        <v>11789</v>
      </c>
      <c r="H2" s="7">
        <f>C2-G2</f>
        <v>8120.2080000001006</v>
      </c>
      <c r="I2" s="6">
        <f>IFERROR(H2/G2, 0)</f>
        <v>0.68879531766902202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5951.0079999999998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30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13958.200000000101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11789</v>
      </c>
      <c r="H5" s="20">
        <f t="shared" ref="H5" si="1">IF(AND(ISNUMBER(C5),ISNUMBER(G5)), C5-G5, "")</f>
        <v>2169.2000000001008</v>
      </c>
      <c r="I5" s="19">
        <f t="shared" ref="I5" si="2">IFERROR(H5/G5, "")</f>
        <v>0.18400203579608965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hyperlinks>
    <hyperlink ref="K4" r:id="rId1" display="https://us3.assetplanner.com/service_request?ID=098036" xr:uid="{E68BE015-1BAB-443B-8620-C91DB8ACE79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H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32</v>
      </c>
      <c r="E1" s="59"/>
      <c r="F1" s="59"/>
      <c r="G1" s="57" t="s">
        <v>33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22525.9</v>
      </c>
      <c r="D2" s="5">
        <f>SUM(D4:D69)</f>
        <v>0</v>
      </c>
      <c r="E2" s="5">
        <f>C2-D2</f>
        <v>22525.9</v>
      </c>
      <c r="F2" s="6">
        <f>IFERROR(E2/D2, 0)</f>
        <v>0</v>
      </c>
      <c r="G2" s="5">
        <f>SUM(G4:G69)</f>
        <v>13203</v>
      </c>
      <c r="H2" s="7">
        <f>C2-G2</f>
        <v>9322.9000000000015</v>
      </c>
      <c r="I2" s="6">
        <f>IFERROR(H2/G2, 0)</f>
        <v>0.70611982125274575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6532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15993.9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13203</v>
      </c>
      <c r="H5" s="20">
        <f t="shared" ref="H5" si="1">IF(AND(ISNUMBER(C5),ISNUMBER(G5)), C5-G5, "")</f>
        <v>2790.8999999999996</v>
      </c>
      <c r="I5" s="19">
        <f t="shared" ref="I5" si="2">IFERROR(H5/G5, "")</f>
        <v>0.21138377641445125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4" r:id="rId1" display="https://us3.assetplanner.com/service_request?ID=098036" xr:uid="{92A12D64-ADF1-427E-BCBE-E5B072C8AC2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F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35</v>
      </c>
      <c r="E1" s="59"/>
      <c r="F1" s="59"/>
      <c r="G1" s="57" t="s">
        <v>36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22810.584000000003</v>
      </c>
      <c r="D2" s="5">
        <f>SUM(D4:D69)</f>
        <v>0</v>
      </c>
      <c r="E2" s="5">
        <f>C2-D2</f>
        <v>22810.584000000003</v>
      </c>
      <c r="F2" s="6">
        <f>IFERROR(E2/D2, 0)</f>
        <v>0</v>
      </c>
      <c r="G2" s="5">
        <f>SUM(G4:G69)</f>
        <v>14197.677</v>
      </c>
      <c r="H2" s="7">
        <f>C2-G2</f>
        <v>8612.9070000000029</v>
      </c>
      <c r="I2" s="6">
        <f>IFERROR(H2/G2, 0)</f>
        <v>0.60664198798155522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7225.9840000000004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6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15584.6</v>
      </c>
      <c r="D5" s="18">
        <v>0</v>
      </c>
      <c r="E5" s="18">
        <f t="shared" ref="E5" si="0">IF(AND(ISNUMBER(C5),ISNUMBER(D5)), C5-D5, "")</f>
        <v>15584.6</v>
      </c>
      <c r="F5" s="19" t="str">
        <f>IFERROR(E5/D5, "")</f>
        <v/>
      </c>
      <c r="G5" s="20">
        <v>14197.677</v>
      </c>
      <c r="H5" s="20">
        <f t="shared" ref="H5" si="1">IF(AND(ISNUMBER(C5),ISNUMBER(G5)), C5-G5, "")</f>
        <v>1386.9230000000007</v>
      </c>
      <c r="I5" s="19">
        <f t="shared" ref="I5" si="2">IFERROR(H5/G5, "")</f>
        <v>9.7686614507429687E-2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8036" xr:uid="{1A63750B-9F2D-4703-8945-26CF19F7925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H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37</v>
      </c>
      <c r="E1" s="59"/>
      <c r="F1" s="59"/>
      <c r="G1" s="57" t="s">
        <v>38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25358.892</v>
      </c>
      <c r="D2" s="5">
        <f>SUM(D4:D69)</f>
        <v>0</v>
      </c>
      <c r="E2" s="5">
        <f>C2-D2</f>
        <v>25358.892</v>
      </c>
      <c r="F2" s="6">
        <f>IFERROR(E2/D2, 0)</f>
        <v>0</v>
      </c>
      <c r="G2" s="5">
        <f>SUM(G4:G69)</f>
        <v>14504.5</v>
      </c>
      <c r="H2" s="7">
        <f>C2-G2</f>
        <v>10854.392</v>
      </c>
      <c r="I2" s="6">
        <f>IFERROR(H2/G2, 0)</f>
        <v>0.74834651315109102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8140.9920000000002</v>
      </c>
      <c r="D4" s="13">
        <v>0</v>
      </c>
      <c r="E4" s="13">
        <f>IF(AND(ISNUMBER(C4),ISNUMBER(D4)), C4-D4, "")</f>
        <v>8140.9920000000002</v>
      </c>
      <c r="F4" s="14" t="str">
        <f>IFERROR(E4/D4, "")</f>
        <v/>
      </c>
      <c r="G4" s="56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39</v>
      </c>
    </row>
    <row r="5" spans="1:11" ht="15.6">
      <c r="A5" s="29" t="str">
        <v>8 Sycamore Way</v>
      </c>
      <c r="B5" s="30" t="str">
        <v>CT</v>
      </c>
      <c r="C5" s="11">
        <v>17217.900000000001</v>
      </c>
      <c r="D5" s="18">
        <v>0</v>
      </c>
      <c r="E5" s="18">
        <f t="shared" ref="E5" si="0">IF(AND(ISNUMBER(C5),ISNUMBER(D5)), C5-D5, "")</f>
        <v>17217.900000000001</v>
      </c>
      <c r="F5" s="19" t="str">
        <f>IFERROR(E5/D5, "")</f>
        <v/>
      </c>
      <c r="G5" s="20">
        <v>14504.5</v>
      </c>
      <c r="H5" s="20">
        <f t="shared" ref="H5" si="1">IF(AND(ISNUMBER(C5),ISNUMBER(G5)), C5-G5, "")</f>
        <v>2713.4000000000015</v>
      </c>
      <c r="I5" s="19">
        <f t="shared" ref="I5" si="2">IFERROR(H5/G5, "")</f>
        <v>0.18707297735185643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8036" xr:uid="{D1388199-4D95-4DC7-9966-0A9CDE8463F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G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G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42</v>
      </c>
      <c r="E1" s="59"/>
      <c r="F1" s="59"/>
      <c r="G1" s="57" t="s">
        <v>43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1"/>
  <sheetViews>
    <sheetView workbookViewId="0">
      <pane xSplit="2" ySplit="3" topLeftCell="C4" activePane="bottomRight" state="frozen"/>
      <selection pane="bottomRight" activeCell="G22" sqref="G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1"/>
  <sheetViews>
    <sheetView workbookViewId="0">
      <pane xSplit="2" ySplit="3" topLeftCell="E4" activePane="bottomRight" state="frozen"/>
      <selection pane="bottomRight" activeCell="H11" sqref="H11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American Polyfilm, Inc.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4"/>
      <c r="K1" s="4"/>
    </row>
    <row r="2" spans="1:11" ht="19.5" customHeight="1">
      <c r="A2" s="60" t="s">
        <v>2</v>
      </c>
      <c r="B2" s="60"/>
      <c r="C2" s="5">
        <f>SUM(C4:C69)</f>
        <v>0</v>
      </c>
      <c r="D2" s="5">
        <f>SUM(D4:D69)</f>
        <v>0</v>
      </c>
      <c r="E2" s="5">
        <f>C2-D2</f>
        <v>0</v>
      </c>
      <c r="F2" s="6">
        <f>IFERROR(E2/D2, 0)</f>
        <v>0</v>
      </c>
      <c r="G2" s="5">
        <f>SUM(G4:G69)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29" t="str">
        <v>8 Sycamore Way</v>
      </c>
      <c r="B5" s="30" t="str">
        <v>CT</v>
      </c>
      <c r="C5" s="11"/>
      <c r="D5" s="18">
        <v>0</v>
      </c>
      <c r="E5" s="18" t="str">
        <f t="shared" ref="E5" si="0">IF(AND(ISNUMBER(C5),ISNUMBER(D5)), C5-D5, "")</f>
        <v/>
      </c>
      <c r="F5" s="19" t="str">
        <f>IFERROR(E5/D5, "")</f>
        <v/>
      </c>
      <c r="G5" s="20"/>
      <c r="H5" s="20" t="str">
        <f t="shared" ref="H5" si="1">IF(AND(ISNUMBER(C5),ISNUMBER(G5)), C5-G5, "")</f>
        <v/>
      </c>
      <c r="I5" s="19" t="str">
        <f t="shared" ref="I5" si="2">IFERROR(H5/G5, "")</f>
        <v/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3" t="s">
        <v>57</v>
      </c>
      <c r="B4" s="3" t="s">
        <v>58</v>
      </c>
      <c r="C4" s="51" t="s">
        <v>59</v>
      </c>
      <c r="D4" s="2" t="s">
        <v>60</v>
      </c>
      <c r="E4" t="s">
        <v>61</v>
      </c>
      <c r="G4" s="3"/>
    </row>
    <row r="5" spans="1:12" ht="14.45">
      <c r="A5" s="3" t="s">
        <v>62</v>
      </c>
      <c r="B5" s="3" t="s">
        <v>62</v>
      </c>
      <c r="C5" s="51" t="s">
        <v>59</v>
      </c>
      <c r="D5" s="2" t="s">
        <v>63</v>
      </c>
      <c r="E5" t="s">
        <v>61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A921CE45-AE21-45D5-B786-C31BE61D0C91}"/>
</file>

<file path=customXml/itemProps4.xml><?xml version="1.0" encoding="utf-8"?>
<ds:datastoreItem xmlns:ds="http://schemas.openxmlformats.org/officeDocument/2006/customXml" ds:itemID="{E3716282-BFD2-4ED2-BA47-BFA1123827F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F12EFA50-0068-4A8C-85A0-F1B26389EBC3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98A113BB-8B7A-453C-8BD4-8EFC67FC2D3F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2025-07-17T05:16:53Z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