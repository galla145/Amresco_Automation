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7AA73080-DF93-4A32-8953-9458C41817F5}" xr6:coauthVersionLast="47" xr6:coauthVersionMax="47" xr10:uidLastSave="{00000000-0000-0000-0000-000000000000}"/>
  <bookViews>
    <workbookView xWindow="-108" yWindow="-108" windowWidth="23256" windowHeight="12456" tabRatio="866" firstSheet="5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4" l="1"/>
  <c r="H6" i="34"/>
  <c r="H7" i="34"/>
  <c r="H8" i="34"/>
  <c r="H9" i="34"/>
  <c r="C5" i="34"/>
  <c r="C6" i="34"/>
  <c r="C7" i="34"/>
  <c r="C8" i="34"/>
  <c r="C9" i="34"/>
  <c r="D5" i="34"/>
  <c r="D6" i="34"/>
  <c r="D7" i="34"/>
  <c r="D8" i="34"/>
  <c r="D9" i="34"/>
  <c r="E8" i="20"/>
  <c r="E8" i="21"/>
  <c r="A4" i="19" a="1"/>
  <c r="A4" i="19"/>
  <c r="G6" i="29"/>
  <c r="G7" i="29"/>
  <c r="G8" i="29"/>
  <c r="G9" i="29"/>
  <c r="G5" i="29"/>
  <c r="G4" i="29"/>
  <c r="G6" i="18"/>
  <c r="G7" i="18"/>
  <c r="G8" i="18"/>
  <c r="G9" i="18"/>
  <c r="G5" i="18"/>
  <c r="G4" i="18"/>
  <c r="E4" i="72"/>
  <c r="F4" i="72" s="1"/>
  <c r="H4" i="72"/>
  <c r="I4" i="72" s="1"/>
  <c r="E5" i="72"/>
  <c r="F5" i="72" s="1"/>
  <c r="H5" i="72"/>
  <c r="I5" i="72" s="1"/>
  <c r="E6" i="72"/>
  <c r="F6" i="72" s="1"/>
  <c r="H6" i="72"/>
  <c r="I6" i="72" s="1"/>
  <c r="E7" i="72"/>
  <c r="F7" i="72" s="1"/>
  <c r="H7" i="72"/>
  <c r="I7" i="72" s="1"/>
  <c r="E8" i="72"/>
  <c r="F8" i="72" s="1"/>
  <c r="H8" i="72"/>
  <c r="I8" i="72" s="1"/>
  <c r="E9" i="72"/>
  <c r="F9" i="72" s="1"/>
  <c r="H9" i="72"/>
  <c r="I9" i="72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G6" i="1"/>
  <c r="G6" i="34" s="1"/>
  <c r="G7" i="1"/>
  <c r="G7" i="34" s="1"/>
  <c r="G8" i="1"/>
  <c r="G8" i="34" s="1"/>
  <c r="G9" i="1"/>
  <c r="G9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9" i="30"/>
  <c r="C9" i="30"/>
  <c r="D8" i="30"/>
  <c r="C8" i="30"/>
  <c r="E8" i="30" s="1"/>
  <c r="F8" i="30" s="1"/>
  <c r="D7" i="30"/>
  <c r="C7" i="30"/>
  <c r="D6" i="30"/>
  <c r="C6" i="30"/>
  <c r="D5" i="30"/>
  <c r="C5" i="30"/>
  <c r="E5" i="30" s="1"/>
  <c r="F5" i="30" s="1"/>
  <c r="D4" i="30"/>
  <c r="C4" i="30"/>
  <c r="E4" i="30" s="1"/>
  <c r="F4" i="30" s="1"/>
  <c r="D9" i="29"/>
  <c r="C9" i="29"/>
  <c r="D8" i="29"/>
  <c r="C8" i="29"/>
  <c r="D7" i="29"/>
  <c r="C7" i="29"/>
  <c r="D6" i="29"/>
  <c r="C6" i="29"/>
  <c r="D5" i="29"/>
  <c r="C5" i="29"/>
  <c r="D4" i="29"/>
  <c r="C4" i="29"/>
  <c r="D9" i="18"/>
  <c r="C9" i="18"/>
  <c r="E9" i="18" s="1"/>
  <c r="F9" i="18" s="1"/>
  <c r="D8" i="18"/>
  <c r="C8" i="18"/>
  <c r="D7" i="18"/>
  <c r="C7" i="18"/>
  <c r="E7" i="18" s="1"/>
  <c r="F7" i="18" s="1"/>
  <c r="D6" i="18"/>
  <c r="C6" i="18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9" i="1"/>
  <c r="C8" i="1"/>
  <c r="C7" i="1"/>
  <c r="C6" i="1"/>
  <c r="C5" i="1"/>
  <c r="C4" i="1"/>
  <c r="D6" i="1"/>
  <c r="D7" i="1"/>
  <c r="D8" i="1"/>
  <c r="D9" i="1"/>
  <c r="D5" i="1"/>
  <c r="D4" i="1"/>
  <c r="B4" i="1" a="1"/>
  <c r="B4" i="1" s="1"/>
  <c r="A4" i="1" a="1"/>
  <c r="A4" i="1" s="1"/>
  <c r="A1" i="1" a="1"/>
  <c r="A1" i="1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0" i="27"/>
  <c r="I10" i="27" s="1"/>
  <c r="E10" i="27"/>
  <c r="F10" i="27" s="1"/>
  <c r="H9" i="27"/>
  <c r="I9" i="27" s="1"/>
  <c r="E9" i="27"/>
  <c r="F9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9" i="20"/>
  <c r="I9" i="20" s="1"/>
  <c r="F9" i="20"/>
  <c r="H8" i="20"/>
  <c r="I8" i="20" s="1"/>
  <c r="F8" i="20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9" i="21"/>
  <c r="I9" i="21" s="1"/>
  <c r="E9" i="21"/>
  <c r="F9" i="21" s="1"/>
  <c r="H8" i="21"/>
  <c r="I8" i="21" s="1"/>
  <c r="F8" i="2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E6" i="18" l="1"/>
  <c r="F6" i="18" s="1"/>
  <c r="E6" i="30"/>
  <c r="F6" i="30" s="1"/>
  <c r="E6" i="29"/>
  <c r="F6" i="29" s="1"/>
  <c r="E9" i="29"/>
  <c r="F9" i="29" s="1"/>
  <c r="H9" i="29"/>
  <c r="I9" i="29" s="1"/>
  <c r="E8" i="29"/>
  <c r="F8" i="29" s="1"/>
  <c r="D2" i="29"/>
  <c r="E5" i="29"/>
  <c r="F5" i="29" s="1"/>
  <c r="D2" i="18"/>
  <c r="E8" i="18"/>
  <c r="F8" i="18" s="1"/>
  <c r="H6" i="30"/>
  <c r="I6" i="30" s="1"/>
  <c r="H6" i="29"/>
  <c r="I6" i="29" s="1"/>
  <c r="D4" i="34"/>
  <c r="D2" i="34" s="1"/>
  <c r="H7" i="29"/>
  <c r="I7" i="29" s="1"/>
  <c r="E9" i="30"/>
  <c r="F9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5" i="34"/>
  <c r="F5" i="34" s="1"/>
  <c r="G2" i="1"/>
  <c r="E6" i="34"/>
  <c r="F6" i="34" s="1"/>
  <c r="E8" i="1"/>
  <c r="F8" i="1" s="1"/>
  <c r="E9" i="1"/>
  <c r="F9" i="1" s="1"/>
  <c r="E9" i="34"/>
  <c r="F9" i="34" s="1"/>
  <c r="E5" i="1"/>
  <c r="F5" i="1" s="1"/>
  <c r="E6" i="1"/>
  <c r="F6" i="1" s="1"/>
  <c r="H9" i="30"/>
  <c r="I9" i="30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I9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7" i="18"/>
  <c r="I7" i="18" s="1"/>
  <c r="C4" i="34"/>
  <c r="H5" i="18"/>
  <c r="I5" i="18" s="1"/>
  <c r="H8" i="18"/>
  <c r="I8" i="18" s="1"/>
  <c r="I6" i="34"/>
  <c r="I7" i="34"/>
  <c r="I8" i="34"/>
  <c r="I5" i="34"/>
  <c r="I9" i="34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tc={5502E32E-EA25-4375-830B-D7201034A9B7}</author>
    <author>tc={19908291-39E5-48E8-ADBD-D18B690EAAC1}</author>
    <author>tc={15A665D4-5CA4-40C7-9D51-C8A60BE35F4F}</author>
    <author>tc={B041F97E-109F-4676-BB05-0E67BD9E8337}</author>
    <author>tc={39EF8A12-B4F0-4E06-BC9B-15ECBAA2BB50}</author>
  </authors>
  <commentList>
    <comment ref="D4" authorId="0" shapeId="0" xr:uid="{5502E32E-EA25-4375-830B-D7201034A9B7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5" authorId="1" shapeId="0" xr:uid="{19908291-39E5-48E8-ADBD-D18B690EAAC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15A665D4-5CA4-40C7-9D51-C8A60BE35F4F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B041F97E-109F-4676-BB05-0E67BD9E8337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39EF8A12-B4F0-4E06-BC9B-15ECBAA2BB50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tc={C5553AA2-C40F-4BC2-9230-FAA33DC88F98}</author>
    <author>tc={01FAC6D4-81CA-4EA0-9B50-1E235ADE7284}</author>
    <author>tc={66037218-5119-4150-A511-0405ADBE71A5}</author>
    <author>tc={4B2EB466-2812-4246-884A-89723116166C}</author>
    <author>tc={AC8952D9-97D9-4D3B-8E0A-44A9D150E287}</author>
  </authors>
  <commentList>
    <comment ref="D4" authorId="0" shapeId="0" xr:uid="{C5553AA2-C40F-4BC2-9230-FAA33DC88F9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5" authorId="1" shapeId="0" xr:uid="{01FAC6D4-81CA-4EA0-9B50-1E235ADE7284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6" authorId="2" shapeId="0" xr:uid="{66037218-5119-4150-A511-0405ADBE71A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7" authorId="3" shapeId="0" xr:uid="{4B2EB466-2812-4246-884A-89723116166C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9" authorId="4" shapeId="0" xr:uid="{AC8952D9-97D9-4D3B-8E0A-44A9D150E287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tc={8850B165-5CA4-4B27-B336-5AE603CCE8C5}</author>
    <author>tc={B032335B-56A3-4992-B050-AC6FEA48E72E}</author>
    <author>tc={95541D59-87E7-4A23-A987-250CCB7DB5E1}</author>
    <author>tc={90A03E3D-A8FA-4F4D-BD7D-1C1E49498F8B}</author>
    <author>tc={5009E02D-DAA6-4451-9B0E-7C1B8131D526}</author>
  </authors>
  <commentList>
    <comment ref="D4" authorId="0" shapeId="0" xr:uid="{8850B165-5CA4-4B27-B336-5AE603CCE8C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5" authorId="1" shapeId="0" xr:uid="{B032335B-56A3-4992-B050-AC6FEA48E72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6" authorId="2" shapeId="0" xr:uid="{95541D59-87E7-4A23-A987-250CCB7DB5E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7" authorId="3" shapeId="0" xr:uid="{90A03E3D-A8FA-4F4D-BD7D-1C1E49498F8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9" authorId="4" shapeId="0" xr:uid="{5009E02D-DAA6-4451-9B0E-7C1B8131D526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tc={02F959E3-C967-4127-B6FC-F2E3B1C592E5}</author>
    <author>tc={C70F6874-1E48-4FFD-ABED-B4BA85A2A746}</author>
    <author>tc={C307DA05-1F78-4515-B9A6-4D1879995360}</author>
    <author>tc={04EFDBF3-2517-474A-A8DB-45BDCC156EFD}</author>
    <author>tc={040E15C3-23D2-4671-ACFD-C5F24AF5DB5E}</author>
  </authors>
  <commentList>
    <comment ref="D4" authorId="0" shapeId="0" xr:uid="{02F959E3-C967-4127-B6FC-F2E3B1C592E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5" authorId="1" shapeId="0" xr:uid="{C70F6874-1E48-4FFD-ABED-B4BA85A2A746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6" authorId="2" shapeId="0" xr:uid="{C307DA05-1F78-4515-B9A6-4D1879995360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7" authorId="3" shapeId="0" xr:uid="{04EFDBF3-2517-474A-A8DB-45BDCC156EFD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9" authorId="4" shapeId="0" xr:uid="{040E15C3-23D2-4671-ACFD-C5F24AF5DB5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tc={8F3000CE-379C-4AE9-8E4E-B09069686826}</author>
    <author>tc={9CB3A4F0-B7E5-43D2-9CC2-0DF1D2762343}</author>
    <author>tc={7F3EF801-1FC4-4730-89FE-4EB4EE90F236}</author>
    <author>tc={85BC272B-A46B-4BA8-8297-FE6827148B45}</author>
    <author>tc={838080DC-BF58-4DC7-A1D5-32B9E117FEF7}</author>
  </authors>
  <commentList>
    <comment ref="D4" authorId="0" shapeId="0" xr:uid="{8F3000CE-379C-4AE9-8E4E-B09069686826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5" authorId="1" shapeId="0" xr:uid="{9CB3A4F0-B7E5-43D2-9CC2-0DF1D276234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6" authorId="2" shapeId="0" xr:uid="{7F3EF801-1FC4-4730-89FE-4EB4EE90F236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7" authorId="3" shapeId="0" xr:uid="{85BC272B-A46B-4BA8-8297-FE6827148B4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9" authorId="4" shapeId="0" xr:uid="{838080DC-BF58-4DC7-A1D5-32B9E117FEF7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tc={8432ED0F-5CDA-4985-AE6D-47F5C702C455}</author>
    <author>tc={C15E330E-279E-4D03-91FC-9DD358C7F39E}</author>
    <author>tc={697544E8-7B00-456B-8FED-FF4EC498902B}</author>
    <author>tc={0274537C-1907-4C07-9378-E3A06C109553}</author>
    <author>tc={AC927F2B-F81D-4009-811A-BEF8911969B9}</author>
  </authors>
  <commentList>
    <comment ref="D4" authorId="0" shapeId="0" xr:uid="{8432ED0F-5CDA-4985-AE6D-47F5C702C45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5" authorId="1" shapeId="0" xr:uid="{C15E330E-279E-4D03-91FC-9DD358C7F39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6" authorId="2" shapeId="0" xr:uid="{697544E8-7B00-456B-8FED-FF4EC498902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7" authorId="3" shapeId="0" xr:uid="{0274537C-1907-4C07-9378-E3A06C10955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  <comment ref="D9" authorId="4" shapeId="0" xr:uid="{AC927F2B-F81D-4009-811A-BEF8911969B9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 - 2024.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tc={F6458B33-9B33-4A77-AC10-89DF44A6DAF8}</author>
    <author>tc={D5AFEF53-8390-4BCF-A2A2-89C18CA4D078}</author>
    <author>tc={430DFAB9-72AA-4424-917A-AC67B48E7E23}</author>
    <author>tc={99A38ADF-37E8-4058-8B0D-D48CC2690018}</author>
    <author>tc={51B9C412-DBF2-445F-A129-BF3A0BD4C5D1}</author>
  </authors>
  <commentList>
    <comment ref="D4" authorId="0" shapeId="0" xr:uid="{F6458B33-9B33-4A77-AC10-89DF44A6DAF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5" authorId="1" shapeId="0" xr:uid="{D5AFEF53-8390-4BCF-A2A2-89C18CA4D07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430DFAB9-72AA-4424-917A-AC67B48E7E2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99A38ADF-37E8-4058-8B0D-D48CC269001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51B9C412-DBF2-445F-A129-BF3A0BD4C5D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tc={5256FC0C-6903-4BC1-88E3-DBCD234445C5}</author>
  </authors>
  <commentList>
    <comment ref="D4" authorId="0" shapeId="0" xr:uid="{5256FC0C-6903-4BC1-88E3-DBCD234445C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tc={45B1799B-CD17-4EB5-9CB7-1D284709FC8B}</author>
    <author>tc={66DDE5BC-DA88-4748-91AF-CFE5B8268D89}</author>
    <author>tc={3EFF22BE-9EC5-4171-A99C-3000AB9F8133}</author>
    <author>tc={666E3D53-A946-4D2E-9ABB-510755FE90E2}</author>
    <author>tc={926BE923-B18E-42CE-8803-13B1F23F1382}</author>
  </authors>
  <commentList>
    <comment ref="D4" authorId="0" shapeId="0" xr:uid="{45B1799B-CD17-4EB5-9CB7-1D284709FC8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5" authorId="1" shapeId="0" xr:uid="{66DDE5BC-DA88-4748-91AF-CFE5B8268D89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6" authorId="2" shapeId="0" xr:uid="{3EFF22BE-9EC5-4171-A99C-3000AB9F813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7" authorId="3" shapeId="0" xr:uid="{666E3D53-A946-4D2E-9ABB-510755FE90E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9" authorId="4" shapeId="0" xr:uid="{926BE923-B18E-42CE-8803-13B1F23F138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tc={6079D441-BBE4-420A-9C1B-5F2943D7F459}</author>
    <author>tc={FC6E6EF4-5045-4E01-A5FC-7B8249249F8E}</author>
    <author>tc={5DC661E8-B346-488C-AABB-6D22B94C84D2}</author>
    <author>tc={B6DA3073-0A67-46B3-8175-82B09D4F530E}</author>
    <author>tc={07E75B0F-A9D5-4352-83FA-E12B4965D7A3}</author>
  </authors>
  <commentList>
    <comment ref="D4" authorId="0" shapeId="0" xr:uid="{6079D441-BBE4-420A-9C1B-5F2943D7F459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5" authorId="1" shapeId="0" xr:uid="{FC6E6EF4-5045-4E01-A5FC-7B8249249F8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5DC661E8-B346-488C-AABB-6D22B94C84D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B6DA3073-0A67-46B3-8175-82B09D4F530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07E75B0F-A9D5-4352-83FA-E12B4965D7A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tc={E007D360-A36A-4640-9EA7-1B6C23511362}</author>
    <author>tc={C2D15422-6D8C-4608-B02B-B0F0CC5427E1}</author>
    <author>tc={8C03C4CD-F1E6-470E-A55C-0E0DB680FF0D}</author>
    <author>tc={0269FA90-544F-4138-9F23-16A68C243748}</author>
    <author>tc={80B36D22-EBA9-402D-A358-077899D4FFCA}</author>
  </authors>
  <commentList>
    <comment ref="D4" authorId="0" shapeId="0" xr:uid="{E007D360-A36A-4640-9EA7-1B6C23511362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5" authorId="1" shapeId="0" xr:uid="{C2D15422-6D8C-4608-B02B-B0F0CC5427E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6" authorId="2" shapeId="0" xr:uid="{8C03C4CD-F1E6-470E-A55C-0E0DB680FF0D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7" authorId="3" shapeId="0" xr:uid="{0269FA90-544F-4138-9F23-16A68C24374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</t>
      </text>
    </comment>
    <comment ref="D9" authorId="4" shapeId="0" xr:uid="{80B36D22-EBA9-402D-A358-077899D4FFCA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tc={5D0C1146-AE43-4C78-8CD2-5797C82B4001}</author>
    <author>tc={8C4D49ED-6228-4543-9F64-79B74BD9337B}</author>
    <author>tc={C302B5E1-7FE5-49F3-8C8A-5707A44D3E9B}</author>
    <author>tc={95AAF360-F73F-49B8-9360-DB14DCAE5AD5}</author>
    <author>tc={227F81CB-3512-4A7D-AEB9-DCC33DAAF31E}</author>
  </authors>
  <commentList>
    <comment ref="D4" authorId="0" shapeId="0" xr:uid="{5D0C1146-AE43-4C78-8CD2-5797C82B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5" authorId="1" shapeId="0" xr:uid="{8C4D49ED-6228-4543-9F64-79B74BD9337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6" authorId="2" shapeId="0" xr:uid="{C302B5E1-7FE5-49F3-8C8A-5707A44D3E9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7" authorId="3" shapeId="0" xr:uid="{95AAF360-F73F-49B8-9360-DB14DCAE5AD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  <comment ref="D9" authorId="4" shapeId="0" xr:uid="{227F81CB-3512-4A7D-AEB9-DCC33DAAF31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Energy not available from April.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<sst xmlns="http://schemas.openxmlformats.org/spreadsheetml/2006/main" count="357" uniqueCount="86">
  <si>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</si>
  <si>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</si>
  <si>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</si>
  <si>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</si>
  <si>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</si>
  <si>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</si>
  <si>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</si>
  <si>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</si>
  <si>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</si>
  <si>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</si>
  <si>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</si>
  <si>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</si>
  <si>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</si>
  <si>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</si>
  <si>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</si>
  <si>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</si>
  <si>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</si>
  <si>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</si>
  <si>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</si>
  <si>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</si>
  <si>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</si>
  <si>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</si>
  <si>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</si>
  <si>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Inverters 2, 3, 4, and 5 were tripped offline at 8:30 AM on 01/30/25 due to a permanent static GFCI fault (16) and issue self-resolved on 01/31/25.</t>
  </si>
  <si>
    <t>1. SR096152</t>
  </si>
  <si>
    <t xml:space="preserve">1. Low generation due to snow/rain </t>
  </si>
  <si>
    <t>February Actual v. Expected</t>
  </si>
  <si>
    <t>February Actual v. Forecasted</t>
  </si>
  <si>
    <t>1.Inverters 2, 3, 4, and 5 were tripped offline at 9:30 AM on 02/06 due to a permanent static GFCI fault (16) and self-resolved on 02/07. Inverters 3, 4, and 5 tripped offline again at 1:15 PM on 02/08 and were later resolved on 02/09. Upon the technician's arrival on 02/11, the parameters were adjusted, and the inverters were brought back online.</t>
  </si>
  <si>
    <t xml:space="preserve">1. SR096152
</t>
  </si>
  <si>
    <t>March Actual v. Expected</t>
  </si>
  <si>
    <t>March Actual v. Forecasted</t>
  </si>
  <si>
    <t>April Actual v. Expected</t>
  </si>
  <si>
    <t>April Actual v. Forecasted</t>
  </si>
  <si>
    <t>1.  Inverter 1 is offline and reporting permanent fault bus high failure and bus voltage difference is high on 04/23 and later it is back online at 9:30 on 04/24. Again inverter 1 is offline on 04/25 and reporting permanent fault bus high failure and bus voltage difference is high and it is being RMA'd
2. Inverter 2.1 was offline on 04/09 and back online on 04/10.</t>
  </si>
  <si>
    <t>1. SR100203, SR100411
2. SR099608</t>
  </si>
  <si>
    <t xml:space="preserve">1. Technician has confirmed that the pyranometer is experiencing the shading in the afternoon </t>
  </si>
  <si>
    <t>1.SR099771</t>
  </si>
  <si>
    <t xml:space="preserve">1. Inverter 7 didn't started for production on 04/05 and back online on 04/07 and again offline on 04/08 and back online at 11:15 on 04/08.	</t>
  </si>
  <si>
    <t>1.SR099449</t>
  </si>
  <si>
    <t>May Actual v. Expected</t>
  </si>
  <si>
    <t>May Actual v. Forecasted</t>
  </si>
  <si>
    <t>1. Inverter 1 was offline for whole month and being RMA</t>
  </si>
  <si>
    <t>1. SR100411</t>
  </si>
  <si>
    <t>1. Meter is not capturing all inverter's total power. Reached out to the DAS provider and waiting for the response from the ASG team</t>
  </si>
  <si>
    <t>1. SR101081</t>
  </si>
  <si>
    <t>1. Inverter 7 did not start for production on 05/04 and reporting Bus high failure fault and back online on 05/05. Again inverter 7 didn't started for production on 05/28 and back online on 05/30.</t>
  </si>
  <si>
    <t>1. SR100984</t>
  </si>
  <si>
    <t>June Actual v. Expected</t>
  </si>
  <si>
    <t>June Actual v. Forecasted</t>
  </si>
  <si>
    <t>1.  Inverters 2.1, and 2.2 are offline at 13:00 on 06/05  and continued through out the month. Inverter 3.1 is also offline at 8:15 on 06/06 and continued through out the month.  Client holded for dispatch due to ongoing maintenance by school.</t>
  </si>
  <si>
    <t xml:space="preserve">1. SR102543
</t>
  </si>
  <si>
    <t>1. Inverter 7 offline on 06/06 and back online on 06/07 and again offline on 06/13 and back online on 06/15 and inverter is being RMA'd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</si>
  <si>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</si>
  <si>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</si>
  <si>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</si>
  <si>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</si>
  <si>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</si>
  <si>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</si>
  <si>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</si>
  <si>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</si>
  <si>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</si>
  <si>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</si>
  <si>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</si>
  <si>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</si>
  <si>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</si>
  <si>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Troy School District</t>
  </si>
  <si>
    <t>Site DAS Name</t>
  </si>
  <si>
    <t>Update</t>
  </si>
  <si>
    <t>DAS</t>
  </si>
  <si>
    <t>IL: Joliet - Craughwell ES</t>
  </si>
  <si>
    <t>Joliet - Craughwell</t>
  </si>
  <si>
    <t>IL</t>
  </si>
  <si>
    <t>AssetPlanner</t>
  </si>
  <si>
    <t>IL: Joliet - Heritage Trail</t>
  </si>
  <si>
    <t>Joliet - Heritage Trail</t>
  </si>
  <si>
    <t>IL: Plainfield - Troy MS</t>
  </si>
  <si>
    <t>Plainfield - Troy</t>
  </si>
  <si>
    <t>IL: Plainfield - William B Orenic IS</t>
  </si>
  <si>
    <t>Plainfield - William B Orenic</t>
  </si>
  <si>
    <t>IL: Shorewood - Cronin ES</t>
  </si>
  <si>
    <t>Shorewood - Cronin</t>
  </si>
  <si>
    <t>IL: Shorewood - Hofer ES</t>
  </si>
  <si>
    <t>Shorewood - Hofer</t>
  </si>
  <si>
    <t>SR100411</t>
  </si>
  <si>
    <t>SR099608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</si>
</sst>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7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5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 wrapText="1"/>
    </xf>
    <xf numFmtId="165" fontId="28" fillId="0" borderId="0" xfId="1" applyNumberFormat="1" applyFont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 wrapText="1"/>
    </xf>
    <xf numFmtId="3" fontId="30" fillId="3" borderId="0" xfId="0" applyNumberFormat="1" applyFont="1" applyFill="1" applyAlignment="1">
      <alignment horizontal="right" vertical="center" wrapText="1"/>
    </xf>
    <xf numFmtId="165" fontId="28" fillId="0" borderId="0" xfId="1" applyNumberFormat="1" applyFont="1" applyBorder="1" applyAlignment="1">
      <alignment horizontal="right"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6" fillId="0" borderId="0" xfId="45" applyNumberFormat="1" applyAlignment="1">
      <alignment horizontal="left" vertical="top" wrapText="1"/>
    </xf>
    <xf numFmtId="0" fontId="37" fillId="0" borderId="0" xfId="0" applyFont="1"/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3" fontId="30" fillId="3" borderId="0" xfId="0" applyNumberFormat="1" applyFont="1" applyFill="1" applyAlignment="1">
      <alignment horizontal="right"/>
    </xf>
    <xf numFmtId="3" fontId="30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49" fontId="36" fillId="38" borderId="0" xfId="45" applyNumberFormat="1" applyFill="1" applyBorder="1" applyAlignment="1">
      <alignment horizontal="left" vertical="top" wrapText="1"/>
    </xf>
    <xf numFmtId="0" fontId="36" fillId="0" borderId="0" xfId="45" applyAlignment="1">
      <alignment horizontal="left" vertical="top"/>
    </xf>
    <xf numFmtId="0" fontId="0" fillId="0" borderId="0" xfId="0" applyAlignment="1">
      <alignment horizontal="left" vertical="top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F2101760-07CB-4940-80FB-C36454AC45AA}" userId="S::kusumapotlada@amgsol.com::a4794fd0-fb2a-418d-b379-bb3c7e6c0e3d" providerId="AD"/>
  <person displayName="Jayasri  Garapati [AGS]" id="{C34EC6BB-8E1B-4337-8CB2-A343FCFD5DEE}" userId="S::JayasriGarapati@amgsol.com::282c909e-c88d-461e-8dcb-55676bfed37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" totalsRowShown="0">
  <autoFilter ref="A3:E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02-13T07:18:53.16" personId="{F2101760-07CB-4940-80FB-C36454AC45AA}" id="{5502E32E-EA25-4375-830B-D7201034A9B7}">
    <text>Expected Energy not available from April.</text>
  </threadedComment>
  <threadedComment ref="D5" dT="2025-02-13T07:18:57.50" personId="{F2101760-07CB-4940-80FB-C36454AC45AA}" id="{19908291-39E5-48E8-ADBD-D18B690EAAC1}">
    <text>Expected Energy not available from April.</text>
  </threadedComment>
  <threadedComment ref="D6" dT="2025-02-13T07:19:02.05" personId="{F2101760-07CB-4940-80FB-C36454AC45AA}" id="{15A665D4-5CA4-40C7-9D51-C8A60BE35F4F}">
    <text>Expected Energy not available from April.</text>
  </threadedComment>
  <threadedComment ref="D7" dT="2025-02-13T07:19:06.89" personId="{F2101760-07CB-4940-80FB-C36454AC45AA}" id="{B041F97E-109F-4676-BB05-0E67BD9E8337}">
    <text>Expected Energy not available from April.</text>
  </threadedComment>
  <threadedComment ref="D9" dT="2025-02-13T07:19:11.53" personId="{F2101760-07CB-4940-80FB-C36454AC45AA}" id="{39EF8A12-B4F0-4E06-BC9B-15ECBAA2BB50}">
    <text>Expected Energy not available from April.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5-03-12T06:36:40.90" personId="{F2101760-07CB-4940-80FB-C36454AC45AA}" id="{C5553AA2-C40F-4BC2-9230-FAA33DC88F98}">
    <text>Expected Energy not available from April - 2024.</text>
  </threadedComment>
  <threadedComment ref="D5" dT="2025-03-12T06:36:45.15" personId="{F2101760-07CB-4940-80FB-C36454AC45AA}" id="{01FAC6D4-81CA-4EA0-9B50-1E235ADE7284}">
    <text>Expected Energy not available from April - 2024.</text>
  </threadedComment>
  <threadedComment ref="D6" dT="2025-03-12T06:36:49.54" personId="{F2101760-07CB-4940-80FB-C36454AC45AA}" id="{66037218-5119-4150-A511-0405ADBE71A5}">
    <text>Expected Energy not available from April - 2024.</text>
  </threadedComment>
  <threadedComment ref="D7" dT="2025-03-12T06:36:54.81" personId="{F2101760-07CB-4940-80FB-C36454AC45AA}" id="{4B2EB466-2812-4246-884A-89723116166C}">
    <text>Expected Energy not available from April - 2024.</text>
  </threadedComment>
  <threadedComment ref="D9" dT="2025-03-12T06:36:59.85" personId="{F2101760-07CB-4940-80FB-C36454AC45AA}" id="{AC8952D9-97D9-4D3B-8E0A-44A9D150E287}">
    <text>Expected Energy not available from April - 2024.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" dT="2025-03-12T06:36:40.90" personId="{F2101760-07CB-4940-80FB-C36454AC45AA}" id="{8850B165-5CA4-4B27-B336-5AE603CCE8C5}">
    <text>Expected Energy not available from April - 2024.</text>
  </threadedComment>
  <threadedComment ref="D5" dT="2025-03-12T06:36:45.15" personId="{F2101760-07CB-4940-80FB-C36454AC45AA}" id="{B032335B-56A3-4992-B050-AC6FEA48E72E}">
    <text>Expected Energy not available from April - 2024.</text>
  </threadedComment>
  <threadedComment ref="D6" dT="2025-03-12T06:36:49.54" personId="{F2101760-07CB-4940-80FB-C36454AC45AA}" id="{95541D59-87E7-4A23-A987-250CCB7DB5E1}">
    <text>Expected Energy not available from April - 2024.</text>
  </threadedComment>
  <threadedComment ref="D7" dT="2025-03-12T06:36:54.81" personId="{F2101760-07CB-4940-80FB-C36454AC45AA}" id="{90A03E3D-A8FA-4F4D-BD7D-1C1E49498F8B}">
    <text>Expected Energy not available from April - 2024.</text>
  </threadedComment>
  <threadedComment ref="D9" dT="2025-03-12T06:36:59.85" personId="{F2101760-07CB-4940-80FB-C36454AC45AA}" id="{5009E02D-DAA6-4451-9B0E-7C1B8131D526}">
    <text>Expected Energy not available from April - 2024.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" dT="2025-07-04T08:39:04.56" personId="{F2101760-07CB-4940-80FB-C36454AC45AA}" id="{02F959E3-C967-4127-B6FC-F2E3B1C592E5}">
    <text>Expected Energy not available from April - 2024.</text>
  </threadedComment>
  <threadedComment ref="D5" dT="2025-07-04T08:39:10.10" personId="{F2101760-07CB-4940-80FB-C36454AC45AA}" id="{C70F6874-1E48-4FFD-ABED-B4BA85A2A746}">
    <text>Expected Energy not available from April - 2024.</text>
  </threadedComment>
  <threadedComment ref="D6" dT="2025-07-04T08:39:15.68" personId="{F2101760-07CB-4940-80FB-C36454AC45AA}" id="{C307DA05-1F78-4515-B9A6-4D1879995360}">
    <text>Expected Energy not available from April - 2024.</text>
  </threadedComment>
  <threadedComment ref="D7" dT="2025-07-04T08:39:21.40" personId="{F2101760-07CB-4940-80FB-C36454AC45AA}" id="{04EFDBF3-2517-474A-A8DB-45BDCC156EFD}">
    <text>Expected Energy not available from April - 2024.</text>
  </threadedComment>
  <threadedComment ref="D9" dT="2025-07-04T08:39:29.82" personId="{F2101760-07CB-4940-80FB-C36454AC45AA}" id="{040E15C3-23D2-4671-ACFD-C5F24AF5DB5E}">
    <text>Expected Energy not available from April - 2024.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5-07-04T08:40:10.92" personId="{F2101760-07CB-4940-80FB-C36454AC45AA}" id="{8F3000CE-379C-4AE9-8E4E-B09069686826}">
    <text>Expected Energy not available from April - 2024.</text>
  </threadedComment>
  <threadedComment ref="D5" dT="2025-07-04T08:40:18.06" personId="{F2101760-07CB-4940-80FB-C36454AC45AA}" id="{9CB3A4F0-B7E5-43D2-9CC2-0DF1D2762343}">
    <text>Expected Energy not available from April - 2024.</text>
  </threadedComment>
  <threadedComment ref="D6" dT="2025-07-04T08:40:22.65" personId="{F2101760-07CB-4940-80FB-C36454AC45AA}" id="{7F3EF801-1FC4-4730-89FE-4EB4EE90F236}">
    <text>Expected Energy not available from April - 2024.</text>
  </threadedComment>
  <threadedComment ref="D7" dT="2025-07-04T08:40:27.03" personId="{F2101760-07CB-4940-80FB-C36454AC45AA}" id="{85BC272B-A46B-4BA8-8297-FE6827148B45}">
    <text>Expected Energy not available from April - 2024.</text>
  </threadedComment>
  <threadedComment ref="D9" dT="2025-07-04T08:40:34.01" personId="{F2101760-07CB-4940-80FB-C36454AC45AA}" id="{838080DC-BF58-4DC7-A1D5-32B9E117FEF7}">
    <text>Expected Energy not available from April - 2024.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4" dT="2025-07-04T08:40:43.01" personId="{F2101760-07CB-4940-80FB-C36454AC45AA}" id="{8432ED0F-5CDA-4985-AE6D-47F5C702C455}">
    <text>Expected Energy not available from April - 2024.</text>
  </threadedComment>
  <threadedComment ref="D5" dT="2025-07-04T08:40:48.25" personId="{F2101760-07CB-4940-80FB-C36454AC45AA}" id="{C15E330E-279E-4D03-91FC-9DD358C7F39E}">
    <text>Expected Energy not available from April - 2024.</text>
  </threadedComment>
  <threadedComment ref="D6" dT="2025-07-04T08:40:52.95" personId="{F2101760-07CB-4940-80FB-C36454AC45AA}" id="{697544E8-7B00-456B-8FED-FF4EC498902B}">
    <text>Expected Energy not available from April - 2024.</text>
  </threadedComment>
  <threadedComment ref="D7" dT="2025-07-04T08:40:58.36" personId="{F2101760-07CB-4940-80FB-C36454AC45AA}" id="{0274537C-1907-4C07-9378-E3A06C109553}">
    <text>Expected Energy not available from April - 2024.</text>
  </threadedComment>
  <threadedComment ref="D9" dT="2025-07-04T08:41:03.53" personId="{F2101760-07CB-4940-80FB-C36454AC45AA}" id="{AC927F2B-F81D-4009-811A-BEF8911969B9}">
    <text>Expected Energy not available from April - 2024.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4" dT="2025-01-07T06:36:15.93" personId="{F2101760-07CB-4940-80FB-C36454AC45AA}" id="{F6458B33-9B33-4A77-AC10-89DF44A6DAF8}">
    <text>Expected Energy not available from April.</text>
  </threadedComment>
  <threadedComment ref="D5" dT="2025-01-07T06:36:19.65" personId="{F2101760-07CB-4940-80FB-C36454AC45AA}" id="{D5AFEF53-8390-4BCF-A2A2-89C18CA4D078}">
    <text>Expected Energy not available from April.</text>
  </threadedComment>
  <threadedComment ref="D6" dT="2025-01-07T06:36:23.71" personId="{F2101760-07CB-4940-80FB-C36454AC45AA}" id="{430DFAB9-72AA-4424-917A-AC67B48E7E23}">
    <text>Expected Energy not available from April.</text>
  </threadedComment>
  <threadedComment ref="D7" dT="2025-01-07T06:36:28.27" personId="{F2101760-07CB-4940-80FB-C36454AC45AA}" id="{99A38ADF-37E8-4058-8B0D-D48CC2690018}">
    <text>Expected Energy not available from April.</text>
  </threadedComment>
  <threadedComment ref="D9" dT="2025-01-07T06:36:32.04" personId="{F2101760-07CB-4940-80FB-C36454AC45AA}" id="{51B9C412-DBF2-445F-A129-BF3A0BD4C5D1}">
    <text>Expected Energy not available from April.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D4" dT="2025-01-07T06:36:41.02" personId="{F2101760-07CB-4940-80FB-C36454AC45AA}" id="{5256FC0C-6903-4BC1-88E3-DBCD234445C5}">
    <text>Expected Energy not available from April.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4" dT="2025-01-07T06:36:21.99" personId="{C34EC6BB-8E1B-4337-8CB2-A343FCFD5DEE}" id="{45B1799B-CD17-4EB5-9CB7-1D284709FC8B}">
    <text>Expected energy not available from April</text>
  </threadedComment>
  <threadedComment ref="D5" dT="2025-01-07T06:36:27.88" personId="{C34EC6BB-8E1B-4337-8CB2-A343FCFD5DEE}" id="{66DDE5BC-DA88-4748-91AF-CFE5B8268D89}">
    <text>Expected energy not available from April</text>
  </threadedComment>
  <threadedComment ref="D6" dT="2025-01-07T06:36:33.29" personId="{C34EC6BB-8E1B-4337-8CB2-A343FCFD5DEE}" id="{3EFF22BE-9EC5-4171-A99C-3000AB9F8133}">
    <text>Expected energy not available from April</text>
  </threadedComment>
  <threadedComment ref="D7" dT="2025-01-07T06:36:42.56" personId="{C34EC6BB-8E1B-4337-8CB2-A343FCFD5DEE}" id="{666E3D53-A946-4D2E-9ABB-510755FE90E2}">
    <text>Expected energy not available from April</text>
  </threadedComment>
  <threadedComment ref="D9" dT="2025-01-07T06:36:47.85" personId="{C34EC6BB-8E1B-4337-8CB2-A343FCFD5DEE}" id="{926BE923-B18E-42CE-8803-13B1F23F1382}">
    <text>Expected energy not available from April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4" dT="2025-01-07T06:35:25.43" personId="{F2101760-07CB-4940-80FB-C36454AC45AA}" id="{6079D441-BBE4-420A-9C1B-5F2943D7F459}">
    <text>Expected Energy not available from April.</text>
  </threadedComment>
  <threadedComment ref="D5" dT="2025-01-07T06:35:29.40" personId="{F2101760-07CB-4940-80FB-C36454AC45AA}" id="{FC6E6EF4-5045-4E01-A5FC-7B8249249F8E}">
    <text>Expected Energy not available from April.</text>
  </threadedComment>
  <threadedComment ref="D6" dT="2025-01-07T06:35:34.46" personId="{F2101760-07CB-4940-80FB-C36454AC45AA}" id="{5DC661E8-B346-488C-AABB-6D22B94C84D2}">
    <text>Expected Energy not available from April.</text>
  </threadedComment>
  <threadedComment ref="D7" dT="2025-01-07T06:35:38.98" personId="{F2101760-07CB-4940-80FB-C36454AC45AA}" id="{B6DA3073-0A67-46B3-8175-82B09D4F530E}">
    <text>Expected Energy not available from April.</text>
  </threadedComment>
  <threadedComment ref="D9" dT="2025-01-07T06:35:43.02" personId="{F2101760-07CB-4940-80FB-C36454AC45AA}" id="{07E75B0F-A9D5-4352-83FA-E12B4965D7A3}">
    <text>Expected Energy not available from April.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4" dT="2025-01-07T06:35:27.30" personId="{C34EC6BB-8E1B-4337-8CB2-A343FCFD5DEE}" id="{E007D360-A36A-4640-9EA7-1B6C23511362}">
    <text>Expected energy not available from April</text>
  </threadedComment>
  <threadedComment ref="D5" dT="2025-01-07T06:35:38.30" personId="{C34EC6BB-8E1B-4337-8CB2-A343FCFD5DEE}" id="{C2D15422-6D8C-4608-B02B-B0F0CC5427E1}">
    <text>Expected energy not available from April</text>
  </threadedComment>
  <threadedComment ref="D6" dT="2025-01-07T06:35:46.95" personId="{C34EC6BB-8E1B-4337-8CB2-A343FCFD5DEE}" id="{8C03C4CD-F1E6-470E-A55C-0E0DB680FF0D}">
    <text>Expected energy not available from April</text>
  </threadedComment>
  <threadedComment ref="D7" dT="2025-01-07T06:35:53.98" personId="{C34EC6BB-8E1B-4337-8CB2-A343FCFD5DEE}" id="{0269FA90-544F-4138-9F23-16A68C243748}">
    <text>Expected energy not available from April</text>
  </threadedComment>
  <threadedComment ref="D9" dT="2025-01-07T06:35:55.16" personId="{F2101760-07CB-4940-80FB-C36454AC45AA}" id="{80B36D22-EBA9-402D-A358-077899D4FFCA}">
    <text>Expected Energy not available from April.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5-01-07T06:34:53.63" personId="{F2101760-07CB-4940-80FB-C36454AC45AA}" id="{5D0C1146-AE43-4C78-8CD2-5797C82B4001}">
    <text>Expected Energy not available from April.</text>
  </threadedComment>
  <threadedComment ref="D5" dT="2025-01-07T06:35:00.29" personId="{F2101760-07CB-4940-80FB-C36454AC45AA}" id="{8C4D49ED-6228-4543-9F64-79B74BD9337B}">
    <text>Expected Energy not available from April.</text>
  </threadedComment>
  <threadedComment ref="D6" dT="2025-01-07T06:35:05.43" personId="{F2101760-07CB-4940-80FB-C36454AC45AA}" id="{C302B5E1-7FE5-49F3-8C8A-5707A44D3E9B}">
    <text>Expected Energy not available from April.</text>
  </threadedComment>
  <threadedComment ref="D7" dT="2025-01-07T06:35:11.38" personId="{F2101760-07CB-4940-80FB-C36454AC45AA}" id="{95AAF360-F73F-49B8-9360-DB14DCAE5AD5}">
    <text>Expected Energy not available from April.</text>
  </threadedComment>
  <threadedComment ref="D9" dT="2025-01-07T06:35:16.69" personId="{F2101760-07CB-4940-80FB-C36454AC45AA}" id="{227F81CB-3512-4A7D-AEB9-DCC33DAAF31E}">
    <text>Expected Energy not available from April.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6152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us3.assetplanner.com/service_request?ID=096152" TargetMode="Externa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4.xml"/><Relationship Id="rId3" Type="http://schemas.openxmlformats.org/officeDocument/2006/relationships/hyperlink" Target="https://us3.assetplanner.com/service_request?ID=099608" TargetMode="External"/><Relationship Id="rId7" Type="http://schemas.openxmlformats.org/officeDocument/2006/relationships/comments" Target="../comments4.xml"/><Relationship Id="rId2" Type="http://schemas.openxmlformats.org/officeDocument/2006/relationships/hyperlink" Target="https://us3.assetplanner.com/service_request?ID=100411" TargetMode="External"/><Relationship Id="rId1" Type="http://schemas.openxmlformats.org/officeDocument/2006/relationships/hyperlink" Target="https://us3.assetplanner.com/service_request?ID=100203" TargetMode="External"/><Relationship Id="rId6" Type="http://schemas.openxmlformats.org/officeDocument/2006/relationships/vmlDrawing" Target="../drawings/vmlDrawing4.vml"/><Relationship Id="rId5" Type="http://schemas.openxmlformats.org/officeDocument/2006/relationships/hyperlink" Target="https://us3.assetplanner.com/service_request?ID=099449" TargetMode="External"/><Relationship Id="rId4" Type="http://schemas.openxmlformats.org/officeDocument/2006/relationships/hyperlink" Target="https://us3.assetplanner.com/service_request?ID=099771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081" TargetMode="External"/><Relationship Id="rId7" Type="http://schemas.microsoft.com/office/2017/10/relationships/threadedComment" Target="../threadedComments/threadedComment5.xml"/><Relationship Id="rId2" Type="http://schemas.openxmlformats.org/officeDocument/2006/relationships/hyperlink" Target="https://us3.assetplanner.com/service_request?ID=099771" TargetMode="External"/><Relationship Id="rId1" Type="http://schemas.openxmlformats.org/officeDocument/2006/relationships/hyperlink" Target="https://us3.assetplanner.com/service_request?ID=100411" TargetMode="External"/><Relationship Id="rId6" Type="http://schemas.openxmlformats.org/officeDocument/2006/relationships/comments" Target="../comments5.xml"/><Relationship Id="rId5" Type="http://schemas.openxmlformats.org/officeDocument/2006/relationships/vmlDrawing" Target="../drawings/vmlDrawing5.vml"/><Relationship Id="rId4" Type="http://schemas.openxmlformats.org/officeDocument/2006/relationships/hyperlink" Target="https://us3.assetplanner.com/service_request?ID=10098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081" TargetMode="External"/><Relationship Id="rId7" Type="http://schemas.microsoft.com/office/2017/10/relationships/threadedComment" Target="../threadedComments/threadedComment6.xml"/><Relationship Id="rId2" Type="http://schemas.openxmlformats.org/officeDocument/2006/relationships/hyperlink" Target="https://us3.assetplanner.com/service_request?ID=099771" TargetMode="External"/><Relationship Id="rId1" Type="http://schemas.openxmlformats.org/officeDocument/2006/relationships/hyperlink" Target="https://us3.assetplanner.com/service_request?ID=102543" TargetMode="External"/><Relationship Id="rId6" Type="http://schemas.openxmlformats.org/officeDocument/2006/relationships/comments" Target="../comments6.xml"/><Relationship Id="rId5" Type="http://schemas.openxmlformats.org/officeDocument/2006/relationships/vmlDrawing" Target="../drawings/vmlDrawing6.vml"/><Relationship Id="rId4" Type="http://schemas.openxmlformats.org/officeDocument/2006/relationships/hyperlink" Target="https://us3.assetplanner.com/service_request?ID=100984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topRight"/>
      <selection pane="bottomLeft"/>
      <selection pane="bottomRight" activeCell="H9" sqref="H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8" t="str" cm="1">
        <f t="array" ref="A1">portfolio</f>
        <v>Troy School District</v>
      </c>
      <c r="B1" s="68"/>
      <c r="C1" s="68"/>
      <c r="D1" s="69" t="s">
        <v>0</v>
      </c>
      <c r="E1" s="69"/>
      <c r="F1" s="69"/>
      <c r="G1" s="67" t="s">
        <v>1</v>
      </c>
      <c r="H1" s="67"/>
      <c r="I1" s="67"/>
    </row>
    <row r="2" spans="1:9" ht="19.5" customHeight="1" x14ac:dyDescent="0.25">
      <c r="A2" s="70" t="s">
        <v>2</v>
      </c>
      <c r="B2" s="70"/>
      <c r="C2" s="5">
        <f>SUM(C4:C77)</f>
        <v>1317408</v>
      </c>
      <c r="D2" s="5">
        <f>SUM(D4:D77)</f>
        <v>271968.14</v>
      </c>
      <c r="E2" s="5">
        <f>C2-D2</f>
        <v>1045439.86</v>
      </c>
      <c r="F2" s="6">
        <f>IFERROR(E2/D2, 0)</f>
        <v>3.8439791513814816</v>
      </c>
      <c r="G2" s="5">
        <f>SUM(G4:G77)</f>
        <v>0</v>
      </c>
      <c r="H2" s="7">
        <f>C2-G2</f>
        <v>1317408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12" t="str" cm="1">
        <f t="array" ref="A4:A9">Sites[Site]</f>
        <v>Joliet - Craughwell</v>
      </c>
      <c r="B4" s="9" t="str" cm="1">
        <f t="array" ref="B4:B9">Sites[State]</f>
        <v>IL</v>
      </c>
      <c r="C4" s="24">
        <f>SUM('1st Qtr'!C4, '2nd Qtr'!C4, '3rd Qtr'!C4, '4th Qtr'!C4)</f>
        <v>209838.5</v>
      </c>
      <c r="D4" s="13">
        <f>SUM('1st Qtr'!D4, '2nd Qtr'!D4, '3rd Qtr'!D4, '4th Qtr'!D4)</f>
        <v>0</v>
      </c>
      <c r="E4" s="13">
        <f>IF(AND(ISNUMBER(C4),ISNUMBER(D4)), C4-D4, "")</f>
        <v>209838.5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 x14ac:dyDescent="0.25">
      <c r="A5" s="17" t="str">
        <v>Joliet - Heritage Trail</v>
      </c>
      <c r="B5" s="10" t="str">
        <v>IL</v>
      </c>
      <c r="C5" s="18">
        <f>SUM('1st Qtr'!C5, '2nd Qtr'!C5, '3rd Qtr'!C5, '4th Qtr'!C5)</f>
        <v>168435.75</v>
      </c>
      <c r="D5" s="18">
        <f>SUM('1st Qtr'!D5, '2nd Qtr'!D5, '3rd Qtr'!D5, '4th Qtr'!D5)</f>
        <v>0</v>
      </c>
      <c r="E5" s="18">
        <f t="shared" ref="E5:E9" si="0">IF(AND(ISNUMBER(C5),ISNUMBER(D5)), C5-D5, "")</f>
        <v>168435.75</v>
      </c>
      <c r="F5" s="19" t="str">
        <f>IFERROR(E5/D5, "")</f>
        <v/>
      </c>
      <c r="G5" s="20">
        <f>SUM('1st Qtr'!G5, '2nd Qtr'!G5, '3rd Qtr'!G5, '4th Qtr'!G5)</f>
        <v>0</v>
      </c>
      <c r="H5" s="20">
        <f>SUM('1st Qtr'!H5, '2nd Qtr'!H5, '3rd Qtr'!H5, '4th Qtr'!H5)</f>
        <v>0</v>
      </c>
      <c r="I5" s="19" t="str">
        <f>IFERROR(H5/G5, "")</f>
        <v/>
      </c>
    </row>
    <row r="6" spans="1:9" ht="15.6" x14ac:dyDescent="0.25">
      <c r="A6" s="12" t="str">
        <v>Plainfield - Troy</v>
      </c>
      <c r="B6" s="9" t="str">
        <v>IL</v>
      </c>
      <c r="C6" s="24">
        <f>SUM('1st Qtr'!C6, '2nd Qtr'!C6, '3rd Qtr'!C6, '4th Qtr'!C6)</f>
        <v>245114</v>
      </c>
      <c r="D6" s="13">
        <f>SUM('1st Qtr'!D6, '2nd Qtr'!D6, '3rd Qtr'!D6, '4th Qtr'!D6)</f>
        <v>0</v>
      </c>
      <c r="E6" s="13">
        <f t="shared" si="0"/>
        <v>245114</v>
      </c>
      <c r="F6" s="14" t="str">
        <f t="shared" ref="F6:F9" si="1">IFERROR(E6/D6, "")</f>
        <v/>
      </c>
      <c r="G6" s="15">
        <f>SUM('1st Qtr'!G6, '2nd Qtr'!G6, '3rd Qtr'!G6, '4th Qtr'!G6)</f>
        <v>0</v>
      </c>
      <c r="H6" s="15">
        <f>SUM('1st Qtr'!H6, '2nd Qtr'!H6, '3rd Qtr'!H6, '4th Qtr'!H6)</f>
        <v>0</v>
      </c>
      <c r="I6" s="16" t="str">
        <f t="shared" ref="I6:I9" si="2">IFERROR(H6/G6, "")</f>
        <v/>
      </c>
    </row>
    <row r="7" spans="1:9" ht="15.6" x14ac:dyDescent="0.25">
      <c r="A7" s="17" t="str">
        <v>Plainfield - William B Orenic</v>
      </c>
      <c r="B7" s="10" t="str">
        <v>IL</v>
      </c>
      <c r="C7" s="18">
        <f>SUM('1st Qtr'!C7, '2nd Qtr'!C7, '3rd Qtr'!C7, '4th Qtr'!C7)</f>
        <v>221207.25</v>
      </c>
      <c r="D7" s="18">
        <f>SUM('1st Qtr'!D7, '2nd Qtr'!D7, '3rd Qtr'!D7, '4th Qtr'!D7)</f>
        <v>0</v>
      </c>
      <c r="E7" s="18">
        <f t="shared" si="0"/>
        <v>221207.25</v>
      </c>
      <c r="F7" s="19" t="str">
        <f t="shared" si="1"/>
        <v/>
      </c>
      <c r="G7" s="20">
        <f>SUM('1st Qtr'!G7, '2nd Qtr'!G7, '3rd Qtr'!G7, '4th Qtr'!G7)</f>
        <v>0</v>
      </c>
      <c r="H7" s="20">
        <f>SUM('1st Qtr'!H7, '2nd Qtr'!H7, '3rd Qtr'!H7, '4th Qtr'!H7)</f>
        <v>0</v>
      </c>
      <c r="I7" s="19" t="str">
        <f t="shared" si="2"/>
        <v/>
      </c>
    </row>
    <row r="8" spans="1:9" ht="15.6" x14ac:dyDescent="0.25">
      <c r="A8" s="12" t="str">
        <v>Shorewood - Cronin</v>
      </c>
      <c r="B8" s="9" t="str">
        <v>IL</v>
      </c>
      <c r="C8" s="24">
        <f>SUM('1st Qtr'!C8, '2nd Qtr'!C8, '3rd Qtr'!C8, '4th Qtr'!C8)</f>
        <v>248421.75</v>
      </c>
      <c r="D8" s="13">
        <f>SUM('1st Qtr'!D8, '2nd Qtr'!D8, '3rd Qtr'!D8, '4th Qtr'!D8)</f>
        <v>271968.14</v>
      </c>
      <c r="E8" s="13">
        <f t="shared" si="0"/>
        <v>-23546.390000000014</v>
      </c>
      <c r="F8" s="14">
        <f t="shared" si="1"/>
        <v>-8.6577751349845661E-2</v>
      </c>
      <c r="G8" s="15">
        <f>SUM('1st Qtr'!G8, '2nd Qtr'!G8, '3rd Qtr'!G8, '4th Qtr'!G8)</f>
        <v>0</v>
      </c>
      <c r="H8" s="15">
        <f>SUM('1st Qtr'!H8, '2nd Qtr'!H8, '3rd Qtr'!H8, '4th Qtr'!H8)</f>
        <v>0</v>
      </c>
      <c r="I8" s="16" t="str">
        <f t="shared" si="2"/>
        <v/>
      </c>
    </row>
    <row r="9" spans="1:9" ht="15.6" x14ac:dyDescent="0.25">
      <c r="A9" s="17" t="str">
        <v>Shorewood - Hofer</v>
      </c>
      <c r="B9" s="10" t="str">
        <v>IL</v>
      </c>
      <c r="C9" s="18">
        <f>SUM('1st Qtr'!C9, '2nd Qtr'!C9, '3rd Qtr'!C9, '4th Qtr'!C9)</f>
        <v>224390.75</v>
      </c>
      <c r="D9" s="18">
        <f>SUM('1st Qtr'!D9, '2nd Qtr'!D9, '3rd Qtr'!D9, '4th Qtr'!D9)</f>
        <v>0</v>
      </c>
      <c r="E9" s="18">
        <f t="shared" si="0"/>
        <v>224390.75</v>
      </c>
      <c r="F9" s="19" t="str">
        <f t="shared" si="1"/>
        <v/>
      </c>
      <c r="G9" s="20">
        <f>SUM('1st Qtr'!G9, '2nd Qtr'!G9, '3rd Qtr'!G9, '4th Qtr'!G9)</f>
        <v>0</v>
      </c>
      <c r="H9" s="20">
        <f>SUM('1st Qtr'!H9, '2nd Qtr'!H9, '3rd Qtr'!H9, '4th Qtr'!H9)</f>
        <v>0</v>
      </c>
      <c r="I9" s="19" t="str">
        <f t="shared" si="2"/>
        <v/>
      </c>
    </row>
    <row r="10" spans="1:9" ht="13.8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8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8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8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8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8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8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8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8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8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8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8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8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8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8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8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8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8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8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8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8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8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8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8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8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8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8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8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8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topRight" activeCell="A10" sqref="A10:XFD32"/>
      <selection pane="bottomLeft" activeCell="A10" sqref="A10:XFD32"/>
      <selection pane="bottomRight" activeCell="G6" sqref="G5:G6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8" t="str" cm="1">
        <f t="array" ref="A1">portfolio</f>
        <v>Troy School District</v>
      </c>
      <c r="B1" s="68"/>
      <c r="C1" s="68"/>
      <c r="D1" s="69" t="s">
        <v>10</v>
      </c>
      <c r="E1" s="69"/>
      <c r="F1" s="69"/>
      <c r="G1" s="67" t="s">
        <v>11</v>
      </c>
      <c r="H1" s="67"/>
      <c r="I1" s="67"/>
    </row>
    <row r="2" spans="1:9" ht="19.5" customHeight="1" x14ac:dyDescent="0.25">
      <c r="A2" s="70" t="s">
        <v>2</v>
      </c>
      <c r="B2" s="70"/>
      <c r="C2" s="5">
        <f>SUM(C4:C77)</f>
        <v>461942.57</v>
      </c>
      <c r="D2" s="5">
        <f>SUM(D4:D77)</f>
        <v>103007.17</v>
      </c>
      <c r="E2" s="5">
        <f>C2-D2</f>
        <v>358935.4</v>
      </c>
      <c r="F2" s="6">
        <f>IFERROR(E2/D2, 0)</f>
        <v>3.4845671422678639</v>
      </c>
      <c r="G2" s="5">
        <f>SUM(G4:G77)</f>
        <v>0</v>
      </c>
      <c r="H2" s="7">
        <f>C2-G2</f>
        <v>461942.57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SUM(Jan!C4, Feb!C4, Mar!C4)</f>
        <v>68519.5</v>
      </c>
      <c r="D4" s="13">
        <f>SUM(Jan!D4, Feb!D4, Mar!D4)</f>
        <v>0</v>
      </c>
      <c r="E4" s="13">
        <f>IF(AND(ISNUMBER(C4),ISNUMBER(D4)), C4-D4, "")</f>
        <v>68519.5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 x14ac:dyDescent="0.25">
      <c r="A5" s="45" t="str">
        <v>Joliet - Heritage Trail</v>
      </c>
      <c r="B5" s="10" t="str">
        <v>IL</v>
      </c>
      <c r="C5" s="11">
        <f>SUM(Jan!C5, Feb!C5, Mar!C5)</f>
        <v>71279.5</v>
      </c>
      <c r="D5" s="18">
        <f>SUM(Jan!D5, Feb!D5, Mar!D5)</f>
        <v>0</v>
      </c>
      <c r="E5" s="18">
        <f t="shared" ref="E5:E9" si="0">IF(AND(ISNUMBER(C5),ISNUMBER(D5)), C5-D5, "")</f>
        <v>71279.5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 x14ac:dyDescent="0.25">
      <c r="A6" s="44" t="str">
        <v>Plainfield - Troy</v>
      </c>
      <c r="B6" s="9" t="str">
        <v>IL</v>
      </c>
      <c r="C6" s="24">
        <f>SUM(Jan!C6, Feb!C6, Mar!C6)</f>
        <v>84493.07</v>
      </c>
      <c r="D6" s="13">
        <f>SUM(Jan!D6, Feb!D6, Mar!D6)</f>
        <v>0</v>
      </c>
      <c r="E6" s="13">
        <f t="shared" si="0"/>
        <v>84493.07</v>
      </c>
      <c r="F6" s="14" t="str">
        <f t="shared" ref="F6:F9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9" si="2">IFERROR(H6/G6, "")</f>
        <v/>
      </c>
    </row>
    <row r="7" spans="1:9" ht="15.6" x14ac:dyDescent="0.25">
      <c r="A7" s="45" t="str">
        <v>Plainfield - William B Orenic</v>
      </c>
      <c r="B7" s="10" t="str">
        <v>IL</v>
      </c>
      <c r="C7" s="11">
        <f>SUM(Jan!C7, Feb!C7, Mar!C7)</f>
        <v>76819</v>
      </c>
      <c r="D7" s="18">
        <f>SUM(Jan!D7, Feb!D7, Mar!D7)</f>
        <v>0</v>
      </c>
      <c r="E7" s="18">
        <f t="shared" si="0"/>
        <v>76819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 x14ac:dyDescent="0.25">
      <c r="A8" s="44" t="str">
        <v>Shorewood - Cronin</v>
      </c>
      <c r="B8" s="9" t="str">
        <v>IL</v>
      </c>
      <c r="C8" s="24">
        <f>SUM(Jan!C8, Feb!C8, Mar!C8)</f>
        <v>84906.5</v>
      </c>
      <c r="D8" s="13">
        <f>SUM(Jan!D8, Feb!D8, Mar!D8)</f>
        <v>103007.17</v>
      </c>
      <c r="E8" s="13">
        <f t="shared" si="0"/>
        <v>-18100.669999999998</v>
      </c>
      <c r="F8" s="14">
        <f t="shared" si="1"/>
        <v>-0.17572242786594369</v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 x14ac:dyDescent="0.25">
      <c r="A9" s="45" t="str">
        <v>Shorewood - Hofer</v>
      </c>
      <c r="B9" s="10" t="str">
        <v>IL</v>
      </c>
      <c r="C9" s="11">
        <f>SUM(Jan!C9, Feb!C9, Mar!C9)</f>
        <v>75925</v>
      </c>
      <c r="D9" s="18">
        <f>SUM(Jan!D9, Feb!D9, Mar!D9)</f>
        <v>0</v>
      </c>
      <c r="E9" s="18">
        <f t="shared" si="0"/>
        <v>75925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3.8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8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8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8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8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8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8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8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8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8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8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8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8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8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8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8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8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8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8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8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8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8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8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8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8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8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8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8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8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topRight" activeCell="A10" sqref="A10:XFD32"/>
      <selection pane="bottomLeft" activeCell="A10" sqref="A10:XFD32"/>
      <selection pane="bottomRight" activeCell="H9" sqref="H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8" t="str" cm="1">
        <f t="array" ref="A1">portfolio</f>
        <v>Troy School District</v>
      </c>
      <c r="B1" s="68"/>
      <c r="C1" s="68"/>
      <c r="D1" s="69" t="s">
        <v>12</v>
      </c>
      <c r="E1" s="69"/>
      <c r="F1" s="69"/>
      <c r="G1" s="67" t="s">
        <v>13</v>
      </c>
      <c r="H1" s="67"/>
      <c r="I1" s="67"/>
    </row>
    <row r="2" spans="1:9" ht="19.5" customHeight="1" x14ac:dyDescent="0.25">
      <c r="A2" s="70" t="s">
        <v>2</v>
      </c>
      <c r="B2" s="70"/>
      <c r="C2" s="5">
        <f>SUM(C4:C77)</f>
        <v>855465.42999999993</v>
      </c>
      <c r="D2" s="5">
        <f>SUM(D4:D77)</f>
        <v>168960.97</v>
      </c>
      <c r="E2" s="5">
        <f>C2-D2</f>
        <v>686504.46</v>
      </c>
      <c r="F2" s="6">
        <f>IFERROR(E2/D2, 0)</f>
        <v>4.0630949265975449</v>
      </c>
      <c r="G2" s="5">
        <f>SUM(G4:G77)</f>
        <v>0</v>
      </c>
      <c r="H2" s="7">
        <f>C2-G2</f>
        <v>855465.42999999993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SUM(Apr!C4, May!C4, Jun!C4)</f>
        <v>141319</v>
      </c>
      <c r="D4" s="13">
        <f>SUM(Apr!D4, May!D4, Jun!D4)</f>
        <v>0</v>
      </c>
      <c r="E4" s="13">
        <f>IF(AND(ISNUMBER(C4),ISNUMBER(D4)), C4-D4, "")</f>
        <v>141319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 x14ac:dyDescent="0.25">
      <c r="A5" s="45" t="str">
        <v>Joliet - Heritage Trail</v>
      </c>
      <c r="B5" s="10" t="str">
        <v>IL</v>
      </c>
      <c r="C5" s="11">
        <f>SUM(Apr!C5, May!C5, Jun!C5)</f>
        <v>97156.25</v>
      </c>
      <c r="D5" s="18">
        <f>SUM(Apr!D5, May!D5, Jun!D5)</f>
        <v>0</v>
      </c>
      <c r="E5" s="18">
        <f t="shared" ref="E5:E9" si="0">IF(AND(ISNUMBER(C5),ISNUMBER(D5)), C5-D5, "")</f>
        <v>97156.25</v>
      </c>
      <c r="F5" s="19" t="str">
        <f>IFERROR(E5/D5, "")</f>
        <v/>
      </c>
      <c r="G5" s="18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5.6" x14ac:dyDescent="0.25">
      <c r="A6" s="44" t="str">
        <v>Plainfield - Troy</v>
      </c>
      <c r="B6" s="9" t="str">
        <v>IL</v>
      </c>
      <c r="C6" s="24">
        <f>SUM(Apr!C6, May!C6, Jun!C6)</f>
        <v>160620.93</v>
      </c>
      <c r="D6" s="13">
        <f>SUM(Apr!D6, May!D6, Jun!D6)</f>
        <v>0</v>
      </c>
      <c r="E6" s="13">
        <f t="shared" si="0"/>
        <v>160620.93</v>
      </c>
      <c r="F6" s="14" t="str">
        <f t="shared" ref="F6:F9" si="1">IFERROR(E6/D6, "")</f>
        <v/>
      </c>
      <c r="G6" s="15">
        <f>SUM(Apr!G6,May!G6,Jun!G6)</f>
        <v>0</v>
      </c>
      <c r="H6" s="15">
        <f>SUM(Apr!H6, May!H6, Jun!H6)</f>
        <v>0</v>
      </c>
      <c r="I6" s="16" t="str">
        <f t="shared" ref="I6:I9" si="2">IFERROR(H6/G6, "")</f>
        <v/>
      </c>
    </row>
    <row r="7" spans="1:9" ht="15.6" x14ac:dyDescent="0.25">
      <c r="A7" s="45" t="str">
        <v>Plainfield - William B Orenic</v>
      </c>
      <c r="B7" s="10" t="str">
        <v>IL</v>
      </c>
      <c r="C7" s="11">
        <f>SUM(Apr!C7, May!C7, Jun!C7)</f>
        <v>144388.25</v>
      </c>
      <c r="D7" s="18">
        <f>SUM(Apr!D7, May!D7, Jun!D7)</f>
        <v>0</v>
      </c>
      <c r="E7" s="18">
        <f t="shared" si="0"/>
        <v>144388.25</v>
      </c>
      <c r="F7" s="19" t="str">
        <f t="shared" si="1"/>
        <v/>
      </c>
      <c r="G7" s="18">
        <f>SUM(Apr!G7,May!G7,Jun!G7)</f>
        <v>0</v>
      </c>
      <c r="H7" s="20">
        <f>SUM(Apr!H7, May!H7, Jun!H7)</f>
        <v>0</v>
      </c>
      <c r="I7" s="19" t="str">
        <f t="shared" si="2"/>
        <v/>
      </c>
    </row>
    <row r="8" spans="1:9" ht="15.6" x14ac:dyDescent="0.25">
      <c r="A8" s="44" t="str">
        <v>Shorewood - Cronin</v>
      </c>
      <c r="B8" s="9" t="str">
        <v>IL</v>
      </c>
      <c r="C8" s="24">
        <f>SUM(Apr!C8, May!C8, Jun!C8)</f>
        <v>163515.25</v>
      </c>
      <c r="D8" s="13">
        <f>SUM(Apr!D8, May!D8, Jun!D8)</f>
        <v>168960.97</v>
      </c>
      <c r="E8" s="13">
        <f t="shared" si="0"/>
        <v>-5445.7200000000012</v>
      </c>
      <c r="F8" s="14">
        <f t="shared" si="1"/>
        <v>-3.2230638827416773E-2</v>
      </c>
      <c r="G8" s="15">
        <f>SUM(Apr!G8,May!G8,Jun!G8)</f>
        <v>0</v>
      </c>
      <c r="H8" s="15">
        <f>SUM(Apr!H8, May!H8, Jun!H8)</f>
        <v>0</v>
      </c>
      <c r="I8" s="16" t="str">
        <f t="shared" si="2"/>
        <v/>
      </c>
    </row>
    <row r="9" spans="1:9" ht="15.6" x14ac:dyDescent="0.25">
      <c r="A9" s="45" t="str">
        <v>Shorewood - Hofer</v>
      </c>
      <c r="B9" s="10" t="str">
        <v>IL</v>
      </c>
      <c r="C9" s="11">
        <f>SUM(Apr!C9, May!C9, Jun!C9)</f>
        <v>148465.75</v>
      </c>
      <c r="D9" s="18">
        <f>SUM(Apr!D9, May!D9, Jun!D9)</f>
        <v>0</v>
      </c>
      <c r="E9" s="18">
        <f t="shared" si="0"/>
        <v>148465.75</v>
      </c>
      <c r="F9" s="19" t="str">
        <f t="shared" si="1"/>
        <v/>
      </c>
      <c r="G9" s="18">
        <f>SUM(Apr!G9,May!G9,Jun!G9)</f>
        <v>0</v>
      </c>
      <c r="H9" s="20">
        <f>SUM(Apr!H9, May!H9, Jun!H9)</f>
        <v>0</v>
      </c>
      <c r="I9" s="19" t="str">
        <f t="shared" si="2"/>
        <v/>
      </c>
    </row>
    <row r="10" spans="1:9" ht="13.8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8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8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8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8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8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8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8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8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8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8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8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8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8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8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8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8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8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8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8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8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8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8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8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8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8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8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8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8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topRight" activeCell="A10" sqref="A10:XFD32"/>
      <selection pane="bottomLeft" activeCell="A10" sqref="A10:XFD32"/>
      <selection pane="bottomRight" activeCell="G8" sqref="G8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8" t="str" cm="1">
        <f t="array" ref="A1">portfolio</f>
        <v>Troy School District</v>
      </c>
      <c r="B1" s="68"/>
      <c r="C1" s="68"/>
      <c r="D1" s="69" t="s">
        <v>14</v>
      </c>
      <c r="E1" s="69"/>
      <c r="F1" s="69"/>
      <c r="G1" s="67" t="s">
        <v>15</v>
      </c>
      <c r="H1" s="67"/>
      <c r="I1" s="67"/>
    </row>
    <row r="2" spans="1:9" ht="19.5" customHeight="1" x14ac:dyDescent="0.25">
      <c r="A2" s="70" t="s">
        <v>2</v>
      </c>
      <c r="B2" s="7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SUM(Jul!H4, Aug!H4, Sep!H4)</f>
        <v>0</v>
      </c>
      <c r="I4" s="16" t="str">
        <f>IFERROR(H4/G4, "")</f>
        <v/>
      </c>
    </row>
    <row r="5" spans="1:9" ht="15.6" x14ac:dyDescent="0.25">
      <c r="A5" s="45" t="str">
        <v>Joliet - Heritage Trail</v>
      </c>
      <c r="B5" s="10" t="str">
        <v>IL</v>
      </c>
      <c r="C5" s="11">
        <f>SUM(Jul!C5, Aug!C5, Sep!C5)</f>
        <v>0</v>
      </c>
      <c r="D5" s="18">
        <f>SUM(Jul!D5, Aug!D5, Sep!D5)</f>
        <v>0</v>
      </c>
      <c r="E5" s="18">
        <f t="shared" ref="E5:E9" si="0">IF(AND(ISNUMBER(C5),ISNUMBER(D5)), C5-D5, "")</f>
        <v>0</v>
      </c>
      <c r="F5" s="19" t="str">
        <f>IFERROR(E5/D5, "")</f>
        <v/>
      </c>
      <c r="G5" s="18">
        <f>SUM(Oct!G5,Nov!G5,Dec!G5)</f>
        <v>0</v>
      </c>
      <c r="H5" s="20">
        <f>SUM(Jul!H5, Aug!H5, Sep!H5)</f>
        <v>0</v>
      </c>
      <c r="I5" s="19" t="str">
        <f>IFERROR(H5/G5, "")</f>
        <v/>
      </c>
    </row>
    <row r="6" spans="1:9" ht="15.6" x14ac:dyDescent="0.25">
      <c r="A6" s="44" t="str">
        <v>Plainfield - Troy</v>
      </c>
      <c r="B6" s="9" t="str">
        <v>IL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9" si="1">IFERROR(E6/D6, "")</f>
        <v/>
      </c>
      <c r="G6" s="15">
        <f>SUM(Oct!G6,Nov!G6,Dec!G6)</f>
        <v>0</v>
      </c>
      <c r="H6" s="15">
        <f>SUM(Jul!H6, Aug!H6, Sep!H6)</f>
        <v>0</v>
      </c>
      <c r="I6" s="16" t="str">
        <f t="shared" ref="I6:I9" si="2">IFERROR(H6/G6, "")</f>
        <v/>
      </c>
    </row>
    <row r="7" spans="1:9" ht="15.6" x14ac:dyDescent="0.25">
      <c r="A7" s="45" t="str">
        <v>Plainfield - William B Orenic</v>
      </c>
      <c r="B7" s="10" t="str">
        <v>IL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18">
        <f>SUM(Oct!G7,Nov!G7,Dec!G7)</f>
        <v>0</v>
      </c>
      <c r="H7" s="20">
        <f>SUM(Jul!H7, Aug!H7, Sep!H7)</f>
        <v>0</v>
      </c>
      <c r="I7" s="19" t="str">
        <f t="shared" si="2"/>
        <v/>
      </c>
    </row>
    <row r="8" spans="1:9" ht="15.6" x14ac:dyDescent="0.25">
      <c r="A8" s="44" t="str">
        <v>Shorewood - Cronin</v>
      </c>
      <c r="B8" s="9" t="str">
        <v>IL</v>
      </c>
      <c r="C8" s="24">
        <f>SUM(Jul!C8, Aug!C9, Sep!C8)</f>
        <v>0</v>
      </c>
      <c r="D8" s="13">
        <f>SUM(Jul!D8, Aug!D9, Sep!D8)</f>
        <v>0</v>
      </c>
      <c r="E8" s="13">
        <f t="shared" si="0"/>
        <v>0</v>
      </c>
      <c r="F8" s="14" t="str">
        <f t="shared" si="1"/>
        <v/>
      </c>
      <c r="G8" s="15">
        <f>SUM(Oct!G8,Nov!G8,Dec!G8)</f>
        <v>0</v>
      </c>
      <c r="H8" s="15">
        <f>SUM(Jul!H8, Aug!H9, Sep!H8)</f>
        <v>0</v>
      </c>
      <c r="I8" s="16" t="str">
        <f t="shared" si="2"/>
        <v/>
      </c>
    </row>
    <row r="9" spans="1:9" ht="15.6" x14ac:dyDescent="0.25">
      <c r="A9" s="45" t="str">
        <v>Shorewood - Hofer</v>
      </c>
      <c r="B9" s="10" t="str">
        <v>IL</v>
      </c>
      <c r="C9" s="11">
        <f>SUM(Jul!C9, Aug!C10, Sep!C9)</f>
        <v>0</v>
      </c>
      <c r="D9" s="18">
        <f>SUM(Jul!D9, Aug!D10, Sep!D9)</f>
        <v>0</v>
      </c>
      <c r="E9" s="18">
        <f t="shared" si="0"/>
        <v>0</v>
      </c>
      <c r="F9" s="19" t="str">
        <f t="shared" si="1"/>
        <v/>
      </c>
      <c r="G9" s="18">
        <f>SUM(Oct!G9,Nov!G9,Dec!G9)</f>
        <v>0</v>
      </c>
      <c r="H9" s="20">
        <f>SUM(Jul!H9, Aug!H10, Sep!H9)</f>
        <v>0</v>
      </c>
      <c r="I9" s="19" t="str">
        <f t="shared" si="2"/>
        <v/>
      </c>
    </row>
    <row r="10" spans="1:9" ht="13.8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8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8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8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8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8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8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8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8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8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8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8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8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8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8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8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8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8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8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8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8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8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8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8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8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8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8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8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8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topRight" activeCell="A10" sqref="A10:XFD32"/>
      <selection pane="bottomLeft" activeCell="A10" sqref="A10:XFD32"/>
      <selection pane="bottomRight" activeCell="H9" sqref="H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8" t="str" cm="1">
        <f t="array" ref="A1">portfolio</f>
        <v>Troy School District</v>
      </c>
      <c r="B1" s="68"/>
      <c r="C1" s="68"/>
      <c r="D1" s="69" t="s">
        <v>16</v>
      </c>
      <c r="E1" s="69"/>
      <c r="F1" s="69"/>
      <c r="G1" s="67" t="s">
        <v>17</v>
      </c>
      <c r="H1" s="67"/>
      <c r="I1" s="67"/>
    </row>
    <row r="2" spans="1:9" ht="19.5" customHeight="1" x14ac:dyDescent="0.25">
      <c r="A2" s="70" t="s">
        <v>2</v>
      </c>
      <c r="B2" s="7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44" t="str" cm="1">
        <f t="array" ref="A4:A9">Sites[Site]</f>
        <v>Joliet - Craughwell</v>
      </c>
      <c r="B4" s="9" t="str" cm="1">
        <f t="array" ref="B4:B9">Sites[State]</f>
        <v>IL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 x14ac:dyDescent="0.25">
      <c r="A5" s="45" t="str">
        <v>Joliet - Heritage Trail</v>
      </c>
      <c r="B5" s="10" t="str">
        <v>IL</v>
      </c>
      <c r="C5" s="11">
        <f>SUM(Oct!C5, Nov!C5, Dec!C5)</f>
        <v>0</v>
      </c>
      <c r="D5" s="18">
        <f>SUM(Oct!D5, Nov!D5, Dec!D5)</f>
        <v>0</v>
      </c>
      <c r="E5" s="18">
        <f t="shared" ref="E5:E9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 x14ac:dyDescent="0.25">
      <c r="A6" s="44" t="str">
        <v>Plainfield - Troy</v>
      </c>
      <c r="B6" s="9" t="str">
        <v>IL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9" si="1">IFERROR(E6/D6, "")</f>
        <v/>
      </c>
      <c r="G6" s="15"/>
      <c r="H6" s="15">
        <f>SUM(Oct!H6, Nov!H6, Dec!H6)</f>
        <v>0</v>
      </c>
      <c r="I6" s="16" t="str">
        <f t="shared" ref="I6:I9" si="2">IFERROR(H6/G6, "")</f>
        <v/>
      </c>
    </row>
    <row r="7" spans="1:9" ht="15.6" x14ac:dyDescent="0.25">
      <c r="A7" s="45" t="str">
        <v>Plainfield - William B Orenic</v>
      </c>
      <c r="B7" s="10" t="str">
        <v>IL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 x14ac:dyDescent="0.25">
      <c r="A8" s="44" t="str">
        <v>Shorewood - Cronin</v>
      </c>
      <c r="B8" s="9" t="str">
        <v>IL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 x14ac:dyDescent="0.25">
      <c r="A9" s="45" t="str">
        <v>Shorewood - Hofer</v>
      </c>
      <c r="B9" s="10" t="str">
        <v>IL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3.8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8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8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8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8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8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8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8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8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8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8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8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8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8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8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8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8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8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8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8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8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8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8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8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8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8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8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8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8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</sheetData>
  <mergeCells count="4">
    <mergeCell ref="G1:I1"/>
    <mergeCell ref="A1:C1"/>
    <mergeCell ref="D1:F1"/>
    <mergeCell ref="A2:B2"/>
  </mergeCells>
  <conditionalFormatting sqref="F2 I2 F4:F77 I4:I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70" zoomScaleNormal="70" workbookViewId="0">
      <pane xSplit="2" ySplit="3" topLeftCell="C4" activePane="bottomRight" state="frozen"/>
      <selection pane="topRight" activeCell="F21" sqref="F21"/>
      <selection pane="bottomLeft" activeCell="F21" sqref="F21"/>
      <selection pane="bottomRight" activeCell="K16" sqref="K16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8" t="str" cm="1">
        <f t="array" ref="A1">portfolio</f>
        <v>Troy School District</v>
      </c>
      <c r="B1" s="68"/>
      <c r="C1" s="68"/>
      <c r="D1" s="69" t="s">
        <v>18</v>
      </c>
      <c r="E1" s="69"/>
      <c r="F1" s="69"/>
      <c r="G1" s="67" t="s">
        <v>19</v>
      </c>
      <c r="H1" s="67"/>
      <c r="I1" s="67"/>
      <c r="J1" s="4"/>
      <c r="K1" s="4"/>
    </row>
    <row r="2" spans="1:11" ht="19.5" customHeight="1" x14ac:dyDescent="0.25">
      <c r="A2" s="70" t="s">
        <v>2</v>
      </c>
      <c r="B2" s="70"/>
      <c r="C2" s="5">
        <f>SUM(C4:C76)</f>
        <v>89649</v>
      </c>
      <c r="D2" s="5">
        <f>SUM(D4:D76)</f>
        <v>28100</v>
      </c>
      <c r="E2" s="5">
        <f>C2-D2</f>
        <v>61549</v>
      </c>
      <c r="F2" s="6">
        <f>IFERROR(E2/D2, 0)</f>
        <v>2.1903558718861209</v>
      </c>
      <c r="G2" s="5">
        <f>SUM(G4:G76)</f>
        <v>0</v>
      </c>
      <c r="H2" s="7">
        <f>C2-G2</f>
        <v>89649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47" t="str" cm="1">
        <f t="array" ref="A4:A9">Sites[Site]</f>
        <v>Joliet - Craughwell</v>
      </c>
      <c r="B4" s="29" t="str" cm="1">
        <f t="array" ref="B4:B9">Sites[State]</f>
        <v>IL</v>
      </c>
      <c r="C4" s="24">
        <v>12686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 x14ac:dyDescent="0.25">
      <c r="A5" s="48" t="str">
        <v>Joliet - Heritage Trail</v>
      </c>
      <c r="B5" s="31" t="str">
        <v>IL</v>
      </c>
      <c r="C5" s="11">
        <v>13469</v>
      </c>
      <c r="D5" s="18" t="s">
        <v>22</v>
      </c>
      <c r="E5" s="18" t="str">
        <f t="shared" ref="E5:E9" si="0">IF(AND(ISNUMBER(C5),ISNUMBER(D5)), C5-D5, "")</f>
        <v/>
      </c>
      <c r="F5" s="19" t="str">
        <f t="shared" ref="F5:F9" si="1">IFERROR(E5/D5, "")</f>
        <v/>
      </c>
      <c r="G5" s="59" t="s">
        <v>22</v>
      </c>
      <c r="H5" s="20" t="str">
        <f t="shared" ref="H5:H6" si="2">IF(AND(ISNUMBER(C5),ISNUMBER(G5)), C5-G5, "")</f>
        <v/>
      </c>
      <c r="I5" s="19" t="str">
        <f t="shared" ref="I5:I6" si="3">IFERROR(H5/G5, "")</f>
        <v/>
      </c>
      <c r="J5" s="51"/>
      <c r="K5" s="51"/>
    </row>
    <row r="6" spans="1:11" ht="15.6" x14ac:dyDescent="0.3">
      <c r="A6" s="47" t="str">
        <v>Plainfield - Troy</v>
      </c>
      <c r="B6" s="29" t="str">
        <v>IL</v>
      </c>
      <c r="C6" s="24">
        <v>16785</v>
      </c>
      <c r="D6" s="13" t="s">
        <v>22</v>
      </c>
      <c r="E6" s="13" t="str">
        <f t="shared" si="0"/>
        <v/>
      </c>
      <c r="F6" s="14" t="str">
        <f t="shared" si="1"/>
        <v/>
      </c>
      <c r="G6" s="58" t="s">
        <v>22</v>
      </c>
      <c r="H6" s="15" t="str">
        <f t="shared" si="2"/>
        <v/>
      </c>
      <c r="I6" s="16" t="str">
        <f t="shared" si="3"/>
        <v/>
      </c>
      <c r="J6" s="50"/>
      <c r="K6" s="50"/>
    </row>
    <row r="7" spans="1:11" ht="28.8" x14ac:dyDescent="0.25">
      <c r="A7" s="48" t="str">
        <v>Plainfield - William B Orenic</v>
      </c>
      <c r="B7" s="31" t="str">
        <v>IL</v>
      </c>
      <c r="C7" s="11">
        <v>15189</v>
      </c>
      <c r="D7" s="18" t="s">
        <v>22</v>
      </c>
      <c r="E7" s="18" t="str">
        <f t="shared" si="0"/>
        <v/>
      </c>
      <c r="F7" s="19" t="str">
        <f t="shared" si="1"/>
        <v/>
      </c>
      <c r="G7" s="59" t="s">
        <v>22</v>
      </c>
      <c r="H7" s="20" t="str">
        <f t="shared" ref="H7:H9" si="4">IF(AND(ISNUMBER(C7),ISNUMBER(G7)), C7-G7, "")</f>
        <v/>
      </c>
      <c r="I7" s="19" t="str">
        <f t="shared" ref="I7:I9" si="5">IFERROR(H7/G7, "")</f>
        <v/>
      </c>
      <c r="J7" s="51" t="s">
        <v>23</v>
      </c>
      <c r="K7" s="60" t="s">
        <v>24</v>
      </c>
    </row>
    <row r="8" spans="1:11" ht="15.6" x14ac:dyDescent="0.3">
      <c r="A8" s="47" t="str">
        <v>Shorewood - Cronin</v>
      </c>
      <c r="B8" s="29" t="str">
        <v>IL</v>
      </c>
      <c r="C8" s="24">
        <v>16823</v>
      </c>
      <c r="D8" s="13">
        <v>28100</v>
      </c>
      <c r="E8" s="13">
        <f t="shared" si="0"/>
        <v>-11277</v>
      </c>
      <c r="F8" s="14">
        <f t="shared" si="1"/>
        <v>-0.4013167259786477</v>
      </c>
      <c r="G8" s="58" t="s">
        <v>22</v>
      </c>
      <c r="H8" s="15" t="str">
        <f t="shared" si="4"/>
        <v/>
      </c>
      <c r="I8" s="16" t="str">
        <f t="shared" si="5"/>
        <v/>
      </c>
      <c r="J8" s="50" t="s">
        <v>25</v>
      </c>
      <c r="K8" s="50"/>
    </row>
    <row r="9" spans="1:11" ht="15.6" x14ac:dyDescent="0.25">
      <c r="A9" s="48" t="str">
        <v>Shorewood - Hofer</v>
      </c>
      <c r="B9" s="31" t="str">
        <v>IL</v>
      </c>
      <c r="C9" s="11">
        <v>14697</v>
      </c>
      <c r="D9" s="18" t="s">
        <v>22</v>
      </c>
      <c r="E9" s="18" t="str">
        <f t="shared" si="0"/>
        <v/>
      </c>
      <c r="F9" s="19" t="str">
        <f t="shared" si="1"/>
        <v/>
      </c>
      <c r="G9" s="59" t="s">
        <v>22</v>
      </c>
      <c r="H9" s="20" t="str">
        <f t="shared" si="4"/>
        <v/>
      </c>
      <c r="I9" s="19" t="str">
        <f t="shared" si="5"/>
        <v/>
      </c>
      <c r="J9" s="51" t="s">
        <v>25</v>
      </c>
      <c r="K9" s="51"/>
    </row>
    <row r="10" spans="1:11" ht="14.4" x14ac:dyDescent="0.3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" x14ac:dyDescent="0.3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" x14ac:dyDescent="0.3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" x14ac:dyDescent="0.3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" x14ac:dyDescent="0.3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" x14ac:dyDescent="0.3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" x14ac:dyDescent="0.3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" x14ac:dyDescent="0.3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" x14ac:dyDescent="0.3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" x14ac:dyDescent="0.3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" x14ac:dyDescent="0.3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" x14ac:dyDescent="0.3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" x14ac:dyDescent="0.3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" x14ac:dyDescent="0.3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" x14ac:dyDescent="0.3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" x14ac:dyDescent="0.3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" x14ac:dyDescent="0.3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" x14ac:dyDescent="0.3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" x14ac:dyDescent="0.3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" x14ac:dyDescent="0.3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" x14ac:dyDescent="0.3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" x14ac:dyDescent="0.3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" x14ac:dyDescent="0.3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" x14ac:dyDescent="0.3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" x14ac:dyDescent="0.3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" x14ac:dyDescent="0.3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" x14ac:dyDescent="0.3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" x14ac:dyDescent="0.3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" x14ac:dyDescent="0.3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</sheetData>
  <mergeCells count="4">
    <mergeCell ref="D1:F1"/>
    <mergeCell ref="A1:C1"/>
    <mergeCell ref="G1:I1"/>
    <mergeCell ref="A2:B2"/>
  </mergeCells>
  <conditionalFormatting sqref="F2 I2">
    <cfRule type="cellIs" dxfId="25" priority="16" stopIfTrue="1" operator="lessThanOrEqual">
      <formula>-0.1</formula>
    </cfRule>
    <cfRule type="expression" dxfId="24" priority="17">
      <formula>AND(ISNUMBER(F2), F2&gt;=0.1)</formula>
    </cfRule>
  </conditionalFormatting>
  <conditionalFormatting sqref="F4:F76 I4:I76">
    <cfRule type="cellIs" dxfId="23" priority="1" stopIfTrue="1" operator="lessThanOrEqual">
      <formula>-0.1</formula>
    </cfRule>
    <cfRule type="expression" dxfId="22" priority="2">
      <formula>AND(ISNUMBER(F4), F4&gt;=0.1)</formula>
    </cfRule>
  </conditionalFormatting>
  <hyperlinks>
    <hyperlink ref="K7" r:id="rId1" display="https://us3.assetplanner.com/service_request?ID=096152" xr:uid="{797F15A7-EC3C-45C3-8236-825DCC1DC84E}"/>
  </hyperlinks>
  <pageMargins left="0.4" right="0.7" top="0.25" bottom="0.25" header="0.3" footer="0.3"/>
  <pageSetup fitToHeight="99" orientation="landscape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H4" activePane="bottomRight" state="frozen"/>
      <selection pane="topRight" activeCell="D15" sqref="D15"/>
      <selection pane="bottomLeft" activeCell="D15" sqref="D15"/>
      <selection pane="bottomRight" activeCell="J18" sqref="J18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8" t="str" cm="1">
        <f t="array" ref="A1">portfolio</f>
        <v>Troy School District</v>
      </c>
      <c r="B1" s="68"/>
      <c r="C1" s="68"/>
      <c r="D1" s="69" t="s">
        <v>26</v>
      </c>
      <c r="E1" s="69"/>
      <c r="F1" s="69"/>
      <c r="G1" s="67" t="s">
        <v>27</v>
      </c>
      <c r="H1" s="67"/>
      <c r="I1" s="67"/>
      <c r="J1" s="4"/>
      <c r="K1" s="4"/>
    </row>
    <row r="2" spans="1:11" ht="19.5" customHeight="1" x14ac:dyDescent="0.25">
      <c r="A2" s="70" t="s">
        <v>2</v>
      </c>
      <c r="B2" s="70"/>
      <c r="C2" s="5">
        <f>SUM(C4:C77)</f>
        <v>146034.66</v>
      </c>
      <c r="D2" s="5">
        <f>SUM(D4:D77)</f>
        <v>31465</v>
      </c>
      <c r="E2" s="5">
        <f>C2-D2</f>
        <v>114569.66</v>
      </c>
      <c r="F2" s="6">
        <f>IFERROR(E2/D2, 0)</f>
        <v>3.6411778166216431</v>
      </c>
      <c r="G2" s="5">
        <f>SUM(G4:G77)</f>
        <v>0</v>
      </c>
      <c r="H2" s="7">
        <f>C2-G2</f>
        <v>146034.66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47" t="str" cm="1">
        <f t="array" ref="A4:A9">Sites[Site]</f>
        <v>Joliet - Craughwell</v>
      </c>
      <c r="B4" s="29" t="str" cm="1">
        <f t="array" ref="B4:B9">Sites[State]</f>
        <v>IL</v>
      </c>
      <c r="C4" s="24">
        <v>21859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 x14ac:dyDescent="0.25">
      <c r="A5" s="48" t="str">
        <v>Joliet - Heritage Trail</v>
      </c>
      <c r="B5" s="31" t="str">
        <v>IL</v>
      </c>
      <c r="C5" s="11">
        <v>22097</v>
      </c>
      <c r="D5" s="18" t="s">
        <v>22</v>
      </c>
      <c r="E5" s="18" t="str">
        <f t="shared" ref="E5:E9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 x14ac:dyDescent="0.25">
      <c r="A6" s="49" t="str">
        <v>Plainfield - Troy</v>
      </c>
      <c r="B6" s="29" t="str">
        <v>IL</v>
      </c>
      <c r="C6" s="24">
        <v>27054.16</v>
      </c>
      <c r="D6" s="13" t="s">
        <v>22</v>
      </c>
      <c r="E6" s="13" t="str">
        <f t="shared" si="0"/>
        <v/>
      </c>
      <c r="F6" s="14" t="str">
        <f t="shared" ref="F6:F9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50"/>
      <c r="K6" s="50"/>
    </row>
    <row r="7" spans="1:11" ht="78" customHeight="1" x14ac:dyDescent="0.25">
      <c r="A7" s="48" t="str">
        <v>Plainfield - William B Orenic</v>
      </c>
      <c r="B7" s="31" t="str">
        <v>IL</v>
      </c>
      <c r="C7" s="11">
        <v>24770.5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51" t="s">
        <v>28</v>
      </c>
      <c r="K7" s="60" t="s">
        <v>29</v>
      </c>
    </row>
    <row r="8" spans="1:11" ht="15.6" x14ac:dyDescent="0.25">
      <c r="A8" s="49" t="str">
        <v>Shorewood - Cronin</v>
      </c>
      <c r="B8" s="29" t="str">
        <v>IL</v>
      </c>
      <c r="C8" s="24">
        <v>26290</v>
      </c>
      <c r="D8" s="13">
        <v>31465</v>
      </c>
      <c r="E8" s="13">
        <f t="shared" si="0"/>
        <v>-5175</v>
      </c>
      <c r="F8" s="14">
        <f t="shared" si="3"/>
        <v>-0.16446845701573176</v>
      </c>
      <c r="G8" s="58" t="s">
        <v>22</v>
      </c>
      <c r="H8" s="15" t="str">
        <f t="shared" si="1"/>
        <v/>
      </c>
      <c r="I8" s="16" t="str">
        <f t="shared" si="2"/>
        <v/>
      </c>
      <c r="J8" s="50" t="s">
        <v>25</v>
      </c>
      <c r="K8" s="50"/>
    </row>
    <row r="9" spans="1:11" ht="15.6" x14ac:dyDescent="0.25">
      <c r="A9" s="48" t="str">
        <v>Shorewood - Hofer</v>
      </c>
      <c r="B9" s="31" t="str">
        <v>IL</v>
      </c>
      <c r="C9" s="11">
        <v>23964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51" t="s">
        <v>25</v>
      </c>
      <c r="K9" s="52"/>
    </row>
    <row r="10" spans="1:11" ht="14.4" x14ac:dyDescent="0.3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" x14ac:dyDescent="0.3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" x14ac:dyDescent="0.3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" x14ac:dyDescent="0.3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" x14ac:dyDescent="0.3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" x14ac:dyDescent="0.3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" x14ac:dyDescent="0.3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" x14ac:dyDescent="0.3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" x14ac:dyDescent="0.3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" x14ac:dyDescent="0.3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" x14ac:dyDescent="0.3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" x14ac:dyDescent="0.3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" x14ac:dyDescent="0.3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" x14ac:dyDescent="0.3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" x14ac:dyDescent="0.3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" x14ac:dyDescent="0.3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" x14ac:dyDescent="0.3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" x14ac:dyDescent="0.3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" x14ac:dyDescent="0.3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" x14ac:dyDescent="0.3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" x14ac:dyDescent="0.3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" x14ac:dyDescent="0.3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" x14ac:dyDescent="0.3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" x14ac:dyDescent="0.3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" x14ac:dyDescent="0.3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" x14ac:dyDescent="0.3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" x14ac:dyDescent="0.3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" x14ac:dyDescent="0.3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" x14ac:dyDescent="0.3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7" r:id="rId1" display="https://us3.assetplanner.com/service_request?ID=096152" xr:uid="{17C1E723-2F0B-4748-AF6A-0BD657D1F064}"/>
  </hyperlinks>
  <pageMargins left="0.4" right="0.7" top="0.25" bottom="0.25" header="0.3" footer="0.3"/>
  <pageSetup fitToHeight="99" orientation="landscape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G4" activePane="bottomRight" state="frozen"/>
      <selection pane="topRight" activeCell="D15" sqref="D15"/>
      <selection pane="bottomLeft" activeCell="D15" sqref="D15"/>
      <selection pane="bottomRight" activeCell="J20" sqref="J20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8" t="str" cm="1">
        <f t="array" ref="A1">portfolio</f>
        <v>Troy School District</v>
      </c>
      <c r="B1" s="68"/>
      <c r="C1" s="68"/>
      <c r="D1" s="69" t="s">
        <v>30</v>
      </c>
      <c r="E1" s="69"/>
      <c r="F1" s="69"/>
      <c r="G1" s="67" t="s">
        <v>31</v>
      </c>
      <c r="H1" s="67"/>
      <c r="I1" s="67"/>
      <c r="J1" s="4"/>
      <c r="K1" s="4"/>
    </row>
    <row r="2" spans="1:11" ht="19.5" customHeight="1" x14ac:dyDescent="0.25">
      <c r="A2" s="70" t="s">
        <v>2</v>
      </c>
      <c r="B2" s="70"/>
      <c r="C2" s="5">
        <f>SUM(C4:C77)</f>
        <v>226258.91</v>
      </c>
      <c r="D2" s="5">
        <f>SUM(D4:D77)</f>
        <v>43442.17</v>
      </c>
      <c r="E2" s="5">
        <f>C2-D2</f>
        <v>182816.74</v>
      </c>
      <c r="F2" s="6">
        <f>IFERROR(E2/D2, 0)</f>
        <v>4.2082782697089023</v>
      </c>
      <c r="G2" s="5">
        <f>SUM(G4:G77)</f>
        <v>0</v>
      </c>
      <c r="H2" s="7">
        <f>C2-G2</f>
        <v>226258.91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33974.5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 x14ac:dyDescent="0.25">
      <c r="A5" s="30" t="str">
        <v>Joliet - Heritage Trail</v>
      </c>
      <c r="B5" s="31" t="str">
        <v>IL</v>
      </c>
      <c r="C5" s="11">
        <v>35713.5</v>
      </c>
      <c r="D5" s="18" t="s">
        <v>22</v>
      </c>
      <c r="E5" s="18" t="str">
        <f t="shared" ref="E5:E9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 x14ac:dyDescent="0.25">
      <c r="A6" s="28" t="str">
        <v>Plainfield - Troy</v>
      </c>
      <c r="B6" s="29" t="str">
        <v>IL</v>
      </c>
      <c r="C6" s="24">
        <v>40653.910000000003</v>
      </c>
      <c r="D6" s="13" t="s">
        <v>22</v>
      </c>
      <c r="E6" s="13" t="str">
        <f t="shared" si="0"/>
        <v/>
      </c>
      <c r="F6" s="14" t="str">
        <f t="shared" ref="F6:F9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50"/>
      <c r="K6" s="50"/>
    </row>
    <row r="7" spans="1:11" ht="15.6" x14ac:dyDescent="0.25">
      <c r="A7" s="30" t="str">
        <v>Plainfield - William B Orenic</v>
      </c>
      <c r="B7" s="31" t="str">
        <v>IL</v>
      </c>
      <c r="C7" s="11">
        <v>36859.5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1" ht="15.6" x14ac:dyDescent="0.25">
      <c r="A8" s="28" t="str">
        <v>Shorewood - Cronin</v>
      </c>
      <c r="B8" s="29" t="str">
        <v>IL</v>
      </c>
      <c r="C8" s="24">
        <v>41793.5</v>
      </c>
      <c r="D8" s="13">
        <v>43442.17</v>
      </c>
      <c r="E8" s="13">
        <f t="shared" si="0"/>
        <v>-1648.6699999999983</v>
      </c>
      <c r="F8" s="14">
        <f t="shared" si="3"/>
        <v>-3.7950912673100773E-2</v>
      </c>
      <c r="G8" s="58" t="s">
        <v>22</v>
      </c>
      <c r="H8" s="15" t="str">
        <f t="shared" si="1"/>
        <v/>
      </c>
      <c r="I8" s="16" t="str">
        <f t="shared" si="2"/>
        <v/>
      </c>
      <c r="J8" s="50"/>
      <c r="K8" s="50"/>
    </row>
    <row r="9" spans="1:11" ht="15.6" x14ac:dyDescent="0.25">
      <c r="A9" s="30" t="str">
        <v>Shorewood - Hofer</v>
      </c>
      <c r="B9" s="31" t="str">
        <v>IL</v>
      </c>
      <c r="C9" s="11">
        <v>37264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51"/>
      <c r="K9" s="52"/>
    </row>
    <row r="10" spans="1:11" ht="14.4" x14ac:dyDescent="0.3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" x14ac:dyDescent="0.3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" x14ac:dyDescent="0.3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" x14ac:dyDescent="0.3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" x14ac:dyDescent="0.3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" x14ac:dyDescent="0.3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" x14ac:dyDescent="0.3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" x14ac:dyDescent="0.3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" x14ac:dyDescent="0.3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" x14ac:dyDescent="0.3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" x14ac:dyDescent="0.3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" x14ac:dyDescent="0.3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" x14ac:dyDescent="0.3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" x14ac:dyDescent="0.3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" x14ac:dyDescent="0.3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" x14ac:dyDescent="0.3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" x14ac:dyDescent="0.3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" x14ac:dyDescent="0.3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" x14ac:dyDescent="0.3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" x14ac:dyDescent="0.3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" x14ac:dyDescent="0.3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" x14ac:dyDescent="0.3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" x14ac:dyDescent="0.3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" x14ac:dyDescent="0.3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" x14ac:dyDescent="0.3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" x14ac:dyDescent="0.3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" x14ac:dyDescent="0.3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" x14ac:dyDescent="0.3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" x14ac:dyDescent="0.3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19"/>
  <sheetViews>
    <sheetView workbookViewId="0">
      <pane xSplit="2" ySplit="3" topLeftCell="H4" activePane="bottomRight" state="frozen"/>
      <selection pane="topRight" activeCell="D15" sqref="D15"/>
      <selection pane="bottomLeft" activeCell="D15" sqref="D15"/>
      <selection pane="bottomRight" activeCell="K11" sqref="K11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3" ht="19.5" customHeight="1" x14ac:dyDescent="0.25">
      <c r="A1" s="68" t="str" cm="1">
        <f t="array" ref="A1">portfolio</f>
        <v>Troy School District</v>
      </c>
      <c r="B1" s="68"/>
      <c r="C1" s="68"/>
      <c r="D1" s="69" t="s">
        <v>32</v>
      </c>
      <c r="E1" s="69"/>
      <c r="F1" s="69"/>
      <c r="G1" s="67" t="s">
        <v>33</v>
      </c>
      <c r="H1" s="67"/>
      <c r="I1" s="67"/>
      <c r="J1" s="4"/>
      <c r="K1" s="4"/>
    </row>
    <row r="2" spans="1:13" ht="19.5" customHeight="1" x14ac:dyDescent="0.25">
      <c r="A2" s="70" t="s">
        <v>2</v>
      </c>
      <c r="B2" s="70"/>
      <c r="C2" s="5">
        <f>SUM(C4:C77)</f>
        <v>247995.25</v>
      </c>
      <c r="D2" s="5">
        <f>SUM(D4:D77)</f>
        <v>46545.15</v>
      </c>
      <c r="E2" s="5">
        <f>C2-D2</f>
        <v>201450.1</v>
      </c>
      <c r="F2" s="6">
        <f>IFERROR(E2/D2, 0)</f>
        <v>4.3280578105345029</v>
      </c>
      <c r="G2" s="5">
        <f>SUM(G4:G77)</f>
        <v>0</v>
      </c>
      <c r="H2" s="7">
        <f>C2-G2</f>
        <v>247995.25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6" x14ac:dyDescent="0.3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38951.5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3" ht="72" x14ac:dyDescent="0.25">
      <c r="A5" s="30" t="str">
        <v>Joliet - Heritage Trail</v>
      </c>
      <c r="B5" s="31" t="str">
        <v>IL</v>
      </c>
      <c r="C5" s="11">
        <v>37505.5</v>
      </c>
      <c r="D5" s="18" t="s">
        <v>22</v>
      </c>
      <c r="E5" s="18" t="str">
        <f t="shared" ref="E5:E9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34</v>
      </c>
      <c r="K5" s="60" t="s">
        <v>35</v>
      </c>
      <c r="L5" s="72" t="s">
        <v>84</v>
      </c>
      <c r="M5" s="72" t="s">
        <v>85</v>
      </c>
    </row>
    <row r="6" spans="1:13" ht="28.8" x14ac:dyDescent="0.25">
      <c r="A6" s="28" t="str">
        <v>Plainfield - Troy</v>
      </c>
      <c r="B6" s="29" t="str">
        <v>IL</v>
      </c>
      <c r="C6" s="24">
        <v>44348.5</v>
      </c>
      <c r="D6" s="13" t="s">
        <v>22</v>
      </c>
      <c r="E6" s="13" t="str">
        <f t="shared" si="0"/>
        <v/>
      </c>
      <c r="F6" s="14" t="str">
        <f t="shared" ref="F6:F9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50" t="s">
        <v>36</v>
      </c>
      <c r="K6" s="71" t="s">
        <v>37</v>
      </c>
      <c r="L6" s="73"/>
      <c r="M6" s="73"/>
    </row>
    <row r="7" spans="1:13" ht="15.6" x14ac:dyDescent="0.25">
      <c r="A7" s="30" t="str">
        <v>Plainfield - William B Orenic</v>
      </c>
      <c r="B7" s="31" t="str">
        <v>IL</v>
      </c>
      <c r="C7" s="11">
        <v>40008.5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51"/>
      <c r="K7" s="52"/>
      <c r="L7" s="73"/>
      <c r="M7" s="73"/>
    </row>
    <row r="8" spans="1:13" ht="15.6" x14ac:dyDescent="0.25">
      <c r="A8" s="28" t="str">
        <v>Shorewood - Cronin</v>
      </c>
      <c r="B8" s="29" t="str">
        <v>IL</v>
      </c>
      <c r="C8" s="24">
        <v>45821.5</v>
      </c>
      <c r="D8" s="13">
        <v>46545.15</v>
      </c>
      <c r="E8" s="13">
        <f>IF(AND(ISNUMBER(C8),ISNUMBER(D8)), C8-D8, "")</f>
        <v>-723.65000000000146</v>
      </c>
      <c r="F8" s="14">
        <f t="shared" si="3"/>
        <v>-1.5547269694049787E-2</v>
      </c>
      <c r="G8" s="58" t="s">
        <v>22</v>
      </c>
      <c r="H8" s="15" t="str">
        <f t="shared" si="1"/>
        <v/>
      </c>
      <c r="I8" s="16" t="str">
        <f t="shared" si="2"/>
        <v/>
      </c>
      <c r="J8" s="50"/>
      <c r="K8" s="50"/>
      <c r="L8" s="73"/>
      <c r="M8" s="73"/>
    </row>
    <row r="9" spans="1:13" ht="28.8" x14ac:dyDescent="0.25">
      <c r="A9" s="30" t="str">
        <v>Shorewood - Hofer</v>
      </c>
      <c r="B9" s="31" t="str">
        <v>IL</v>
      </c>
      <c r="C9" s="11">
        <v>41359.75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51" t="s">
        <v>38</v>
      </c>
      <c r="K9" s="60" t="s">
        <v>39</v>
      </c>
    </row>
    <row r="10" spans="1:13" ht="14.4" x14ac:dyDescent="0.3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3" ht="14.4" x14ac:dyDescent="0.3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3" ht="14.4" x14ac:dyDescent="0.3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4" x14ac:dyDescent="0.3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4" x14ac:dyDescent="0.3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4" x14ac:dyDescent="0.3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4" x14ac:dyDescent="0.3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" x14ac:dyDescent="0.3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" x14ac:dyDescent="0.3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" x14ac:dyDescent="0.3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" x14ac:dyDescent="0.3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" x14ac:dyDescent="0.3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" x14ac:dyDescent="0.3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" x14ac:dyDescent="0.3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" x14ac:dyDescent="0.3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" x14ac:dyDescent="0.3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" x14ac:dyDescent="0.3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" x14ac:dyDescent="0.3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" x14ac:dyDescent="0.3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" x14ac:dyDescent="0.3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" x14ac:dyDescent="0.3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" x14ac:dyDescent="0.3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" x14ac:dyDescent="0.3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" x14ac:dyDescent="0.3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" x14ac:dyDescent="0.3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" x14ac:dyDescent="0.3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" x14ac:dyDescent="0.3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" x14ac:dyDescent="0.3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" x14ac:dyDescent="0.3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5" r:id="rId1" display="https://us3.assetplanner.com/service_request?ID=100203" xr:uid="{FEDDA120-C2AC-44C9-BF31-79CE92906DB9}"/>
    <hyperlink ref="L5" r:id="rId2" display="https://us3.assetplanner.com/service_request?ID=100411" xr:uid="{493B234A-8ECE-41B2-A1A7-D9BE585B3D68}"/>
    <hyperlink ref="M5" r:id="rId3" display="https://us3.assetplanner.com/service_request?ID=099608" xr:uid="{C5DD9E50-EC92-4A3C-BAF1-4AECB537D7FF}"/>
    <hyperlink ref="K6" r:id="rId4" display="https://us3.assetplanner.com/service_request?ID=099771" xr:uid="{9BF3493D-81D6-401A-8571-C2589A11AB37}"/>
    <hyperlink ref="K9" r:id="rId5" display="https://us3.assetplanner.com/service_request?ID=099449" xr:uid="{0F83C6B5-FA19-43BA-9354-49E4A8D185DA}"/>
  </hyperlinks>
  <pageMargins left="0.4" right="0.7" top="0.25" bottom="0.25" header="0.3" footer="0.3"/>
  <pageSetup fitToHeight="99" orientation="landscape"/>
  <legacy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J4" activePane="bottomRight" state="frozen"/>
      <selection pane="topRight" activeCell="D15" sqref="D15"/>
      <selection pane="bottomLeft" activeCell="D15" sqref="D15"/>
      <selection pane="bottomRight" activeCell="M8" sqref="M8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8" t="str" cm="1">
        <f t="array" ref="A1">portfolio</f>
        <v>Troy School District</v>
      </c>
      <c r="B1" s="68"/>
      <c r="C1" s="68"/>
      <c r="D1" s="69" t="s">
        <v>40</v>
      </c>
      <c r="E1" s="69"/>
      <c r="F1" s="69"/>
      <c r="G1" s="67" t="s">
        <v>41</v>
      </c>
      <c r="H1" s="67"/>
      <c r="I1" s="67"/>
      <c r="J1" s="4"/>
      <c r="K1" s="4"/>
    </row>
    <row r="2" spans="1:11" ht="19.5" customHeight="1" x14ac:dyDescent="0.25">
      <c r="A2" s="70" t="s">
        <v>2</v>
      </c>
      <c r="B2" s="70"/>
      <c r="C2" s="5">
        <f>SUM(C4:C77)</f>
        <v>304617.31</v>
      </c>
      <c r="D2" s="5">
        <f>SUM(D4:D77)</f>
        <v>58996.39</v>
      </c>
      <c r="E2" s="5">
        <f>C2-D2</f>
        <v>245620.91999999998</v>
      </c>
      <c r="F2" s="6">
        <f>IFERROR(E2/D2, 0)</f>
        <v>4.1633211794823373</v>
      </c>
      <c r="G2" s="5">
        <f>SUM(G4:G77)</f>
        <v>0</v>
      </c>
      <c r="H2" s="7">
        <f>C2-G2</f>
        <v>304617.31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49559</v>
      </c>
      <c r="D4" s="64" t="s">
        <v>22</v>
      </c>
      <c r="E4" s="13" t="str">
        <f>IF(AND(ISNUMBER(C4),ISNUMBER(D4)), C4-D4, "")</f>
        <v/>
      </c>
      <c r="F4" s="14" t="str">
        <f>IFERROR(E4/D4, "")</f>
        <v/>
      </c>
      <c r="G4" s="62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 x14ac:dyDescent="0.3">
      <c r="A5" s="30" t="str">
        <v>Joliet - Heritage Trail</v>
      </c>
      <c r="B5" s="31" t="str">
        <v>IL</v>
      </c>
      <c r="C5" s="61">
        <v>39379.75</v>
      </c>
      <c r="D5" s="65" t="s">
        <v>22</v>
      </c>
      <c r="E5" s="18" t="str">
        <f t="shared" ref="E5:E7" si="0">IF(AND(ISNUMBER(C5),ISNUMBER(D5)), C5-D5, "")</f>
        <v/>
      </c>
      <c r="F5" s="19" t="str">
        <f>IFERROR(E5/D5, "")</f>
        <v/>
      </c>
      <c r="G5" s="63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42</v>
      </c>
      <c r="K5" s="60" t="s">
        <v>43</v>
      </c>
    </row>
    <row r="6" spans="1:11" ht="28.8" x14ac:dyDescent="0.3">
      <c r="A6" s="28" t="str">
        <v>Plainfield - Troy</v>
      </c>
      <c r="B6" s="29" t="str">
        <v>IL</v>
      </c>
      <c r="C6" s="24">
        <v>56123.56</v>
      </c>
      <c r="D6" s="64" t="s">
        <v>22</v>
      </c>
      <c r="E6" s="13" t="str">
        <f t="shared" si="0"/>
        <v/>
      </c>
      <c r="F6" s="14" t="str">
        <f t="shared" ref="F6:F9" si="3">IFERROR(E6/D6, "")</f>
        <v/>
      </c>
      <c r="G6" s="62" t="s">
        <v>22</v>
      </c>
      <c r="H6" s="15" t="str">
        <f t="shared" si="1"/>
        <v/>
      </c>
      <c r="I6" s="16" t="str">
        <f t="shared" si="2"/>
        <v/>
      </c>
      <c r="J6" s="50" t="s">
        <v>36</v>
      </c>
      <c r="K6" s="71" t="s">
        <v>37</v>
      </c>
    </row>
    <row r="7" spans="1:11" ht="15.6" x14ac:dyDescent="0.3">
      <c r="A7" s="30" t="str">
        <v>Plainfield - William B Orenic</v>
      </c>
      <c r="B7" s="31" t="str">
        <v>IL</v>
      </c>
      <c r="C7" s="61">
        <v>50439.75</v>
      </c>
      <c r="D7" s="65" t="s">
        <v>22</v>
      </c>
      <c r="E7" s="18" t="str">
        <f t="shared" si="0"/>
        <v/>
      </c>
      <c r="F7" s="19" t="str">
        <f t="shared" si="3"/>
        <v/>
      </c>
      <c r="G7" s="63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1" ht="28.8" x14ac:dyDescent="0.3">
      <c r="A8" s="28" t="str">
        <v>Shorewood - Cronin</v>
      </c>
      <c r="B8" s="29" t="str">
        <v>IL</v>
      </c>
      <c r="C8" s="24">
        <v>56877.5</v>
      </c>
      <c r="D8" s="64">
        <v>58996.39</v>
      </c>
      <c r="E8" s="13">
        <f>IF(AND(ISNUMBER(C8),ISNUMBER(D8)), C8-D8, "")</f>
        <v>-2118.8899999999994</v>
      </c>
      <c r="F8" s="14">
        <f t="shared" si="3"/>
        <v>-3.5915587377464954E-2</v>
      </c>
      <c r="G8" s="62" t="s">
        <v>22</v>
      </c>
      <c r="H8" s="15" t="str">
        <f t="shared" si="1"/>
        <v/>
      </c>
      <c r="I8" s="16" t="str">
        <f t="shared" si="2"/>
        <v/>
      </c>
      <c r="J8" s="50" t="s">
        <v>44</v>
      </c>
      <c r="K8" s="71" t="s">
        <v>45</v>
      </c>
    </row>
    <row r="9" spans="1:11" ht="43.2" x14ac:dyDescent="0.3">
      <c r="A9" s="30" t="str">
        <v>Shorewood - Hofer</v>
      </c>
      <c r="B9" s="31" t="str">
        <v>IL</v>
      </c>
      <c r="C9" s="61">
        <v>52237.75</v>
      </c>
      <c r="D9" s="66" t="s">
        <v>22</v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51" t="s">
        <v>46</v>
      </c>
      <c r="K9" s="60" t="s">
        <v>47</v>
      </c>
    </row>
    <row r="10" spans="1:11" ht="14.4" x14ac:dyDescent="0.3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" x14ac:dyDescent="0.3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" x14ac:dyDescent="0.3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" x14ac:dyDescent="0.3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" x14ac:dyDescent="0.3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" x14ac:dyDescent="0.3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" x14ac:dyDescent="0.3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" x14ac:dyDescent="0.3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" x14ac:dyDescent="0.3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" x14ac:dyDescent="0.3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" x14ac:dyDescent="0.3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" x14ac:dyDescent="0.3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" x14ac:dyDescent="0.3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" x14ac:dyDescent="0.3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" x14ac:dyDescent="0.3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" x14ac:dyDescent="0.3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" x14ac:dyDescent="0.3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" x14ac:dyDescent="0.3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" x14ac:dyDescent="0.3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" x14ac:dyDescent="0.3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" x14ac:dyDescent="0.3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" x14ac:dyDescent="0.3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" x14ac:dyDescent="0.3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" x14ac:dyDescent="0.3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" x14ac:dyDescent="0.3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" x14ac:dyDescent="0.3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" x14ac:dyDescent="0.3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" x14ac:dyDescent="0.3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" x14ac:dyDescent="0.3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5" r:id="rId1" display="https://us3.assetplanner.com/service_request?ID=100411" xr:uid="{CD640893-A58E-4E56-A8E5-D5A0E866B74F}"/>
    <hyperlink ref="K6" r:id="rId2" display="https://us3.assetplanner.com/service_request?ID=099771" xr:uid="{AFF720E3-EE00-44F1-9FB5-F9E3CBB93969}"/>
    <hyperlink ref="K8" r:id="rId3" display="https://us3.assetplanner.com/service_request?ID=101081" xr:uid="{6DD5FD90-1110-423D-BE45-6F3FBEF56ED8}"/>
    <hyperlink ref="K9" r:id="rId4" display="https://us3.assetplanner.com/service_request?ID=100984" xr:uid="{FB931179-99D5-4F89-A8D7-BC2A253CE121}"/>
  </hyperlinks>
  <pageMargins left="0.4" right="0.7" top="0.25" bottom="0.25" header="0.3" footer="0.3"/>
  <pageSetup fitToHeight="99" orientation="landscape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tabSelected="1" workbookViewId="0">
      <pane xSplit="2" ySplit="3" topLeftCell="J4" activePane="bottomRight" state="frozen"/>
      <selection pane="topRight" activeCell="D15" sqref="D15"/>
      <selection pane="bottomLeft" activeCell="D15" sqref="D15"/>
      <selection pane="bottomRight" activeCell="N5" sqref="N5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8" t="str" cm="1">
        <f t="array" ref="A1">portfolio</f>
        <v>Troy School District</v>
      </c>
      <c r="B1" s="68"/>
      <c r="C1" s="68"/>
      <c r="D1" s="69" t="s">
        <v>48</v>
      </c>
      <c r="E1" s="69"/>
      <c r="F1" s="69"/>
      <c r="G1" s="67" t="s">
        <v>49</v>
      </c>
      <c r="H1" s="67"/>
      <c r="I1" s="67"/>
      <c r="J1" s="4"/>
      <c r="K1" s="4"/>
    </row>
    <row r="2" spans="1:11" ht="19.5" customHeight="1" x14ac:dyDescent="0.25">
      <c r="A2" s="70" t="s">
        <v>2</v>
      </c>
      <c r="B2" s="70"/>
      <c r="C2" s="5">
        <f>SUM(C4:C77)</f>
        <v>302852.87</v>
      </c>
      <c r="D2" s="5">
        <f>SUM(D4:D77)</f>
        <v>63419.43</v>
      </c>
      <c r="E2" s="5">
        <f>C2-D2</f>
        <v>239433.44</v>
      </c>
      <c r="F2" s="6">
        <f>IFERROR(E2/D2, 0)</f>
        <v>3.7753956476745376</v>
      </c>
      <c r="G2" s="5">
        <f>SUM(G4:G77)</f>
        <v>0</v>
      </c>
      <c r="H2" s="7">
        <f>C2-G2</f>
        <v>302852.87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9">Sites[Site]</f>
        <v>Joliet - Craughwell</v>
      </c>
      <c r="B4" s="29" t="str" cm="1">
        <f t="array" ref="B4:B9">Sites[State]</f>
        <v>IL</v>
      </c>
      <c r="C4" s="24">
        <v>52808.5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43.2" x14ac:dyDescent="0.25">
      <c r="A5" s="30" t="str">
        <v>Joliet - Heritage Trail</v>
      </c>
      <c r="B5" s="31" t="str">
        <v>IL</v>
      </c>
      <c r="C5" s="11">
        <v>20271</v>
      </c>
      <c r="D5" s="18" t="s">
        <v>22</v>
      </c>
      <c r="E5" s="18" t="str">
        <f t="shared" ref="E5:E9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 t="s">
        <v>50</v>
      </c>
      <c r="K5" s="60" t="s">
        <v>51</v>
      </c>
    </row>
    <row r="6" spans="1:11" ht="28.8" x14ac:dyDescent="0.25">
      <c r="A6" s="28" t="str">
        <v>Plainfield - Troy</v>
      </c>
      <c r="B6" s="29" t="str">
        <v>IL</v>
      </c>
      <c r="C6" s="24">
        <v>60148.87</v>
      </c>
      <c r="D6" s="13" t="s">
        <v>22</v>
      </c>
      <c r="E6" s="13" t="str">
        <f t="shared" si="0"/>
        <v/>
      </c>
      <c r="F6" s="14" t="str">
        <f t="shared" ref="F6:F9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50" t="s">
        <v>36</v>
      </c>
      <c r="K6" s="71" t="s">
        <v>37</v>
      </c>
    </row>
    <row r="7" spans="1:11" ht="15.6" x14ac:dyDescent="0.25">
      <c r="A7" s="30" t="str">
        <v>Plainfield - William B Orenic</v>
      </c>
      <c r="B7" s="31" t="str">
        <v>IL</v>
      </c>
      <c r="C7" s="11">
        <v>53940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51"/>
      <c r="K7" s="52"/>
    </row>
    <row r="8" spans="1:11" ht="28.8" x14ac:dyDescent="0.25">
      <c r="A8" s="28" t="str">
        <v>Shorewood - Cronin</v>
      </c>
      <c r="B8" s="29" t="str">
        <v>IL</v>
      </c>
      <c r="C8" s="24">
        <v>60816.25</v>
      </c>
      <c r="D8" s="13">
        <v>63419.43</v>
      </c>
      <c r="E8" s="13">
        <f t="shared" si="0"/>
        <v>-2603.1800000000003</v>
      </c>
      <c r="F8" s="14">
        <f t="shared" si="3"/>
        <v>-4.104704189236643E-2</v>
      </c>
      <c r="G8" s="58" t="s">
        <v>22</v>
      </c>
      <c r="H8" s="15" t="str">
        <f t="shared" si="1"/>
        <v/>
      </c>
      <c r="I8" s="16" t="str">
        <f t="shared" si="2"/>
        <v/>
      </c>
      <c r="J8" s="50" t="s">
        <v>44</v>
      </c>
      <c r="K8" s="71" t="s">
        <v>45</v>
      </c>
    </row>
    <row r="9" spans="1:11" ht="28.8" x14ac:dyDescent="0.25">
      <c r="A9" s="30" t="str">
        <v>Shorewood - Hofer</v>
      </c>
      <c r="B9" s="31" t="str">
        <v>IL</v>
      </c>
      <c r="C9" s="11">
        <v>54868.25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51" t="s">
        <v>52</v>
      </c>
      <c r="K9" s="60" t="s">
        <v>47</v>
      </c>
    </row>
    <row r="10" spans="1:11" ht="14.4" x14ac:dyDescent="0.3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" x14ac:dyDescent="0.3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" x14ac:dyDescent="0.3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" x14ac:dyDescent="0.3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" x14ac:dyDescent="0.3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" x14ac:dyDescent="0.3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" x14ac:dyDescent="0.3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" x14ac:dyDescent="0.3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" x14ac:dyDescent="0.3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" x14ac:dyDescent="0.3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" x14ac:dyDescent="0.3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" x14ac:dyDescent="0.3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" x14ac:dyDescent="0.3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" x14ac:dyDescent="0.3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" x14ac:dyDescent="0.3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" x14ac:dyDescent="0.3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" x14ac:dyDescent="0.3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" x14ac:dyDescent="0.3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" x14ac:dyDescent="0.3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" x14ac:dyDescent="0.3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" x14ac:dyDescent="0.3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" x14ac:dyDescent="0.3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" x14ac:dyDescent="0.3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" x14ac:dyDescent="0.3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" x14ac:dyDescent="0.3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" x14ac:dyDescent="0.3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" x14ac:dyDescent="0.3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" x14ac:dyDescent="0.3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" x14ac:dyDescent="0.3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5" r:id="rId1" display="https://us3.assetplanner.com/service_request?ID=102543" xr:uid="{869CD74D-3322-4ECB-9B10-3B7A801B454F}"/>
    <hyperlink ref="K6" r:id="rId2" display="https://us3.assetplanner.com/service_request?ID=099771" xr:uid="{597CF499-643F-4525-9BED-63D364EB938E}"/>
    <hyperlink ref="K8" r:id="rId3" display="https://us3.assetplanner.com/service_request?ID=101081" xr:uid="{43F783F8-6EC0-404F-A1AB-A22BAC67DBCD}"/>
    <hyperlink ref="K9" r:id="rId4" display="https://us3.assetplanner.com/service_request?ID=100984" xr:uid="{B3EC9997-67A1-4461-ABE4-9ACDC5538C34}"/>
  </hyperlinks>
  <pageMargins left="0.4" right="0.7" top="0.25" bottom="0.25" header="0.3" footer="0.3"/>
  <pageSetup fitToHeight="99" orientation="landscape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topRight" activeCell="D15" sqref="D15"/>
      <selection pane="bottomLeft" activeCell="D15" sqref="D15"/>
      <selection pane="bottomRight" activeCell="D15" sqref="D15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8" t="str" cm="1">
        <f t="array" ref="A1">portfolio</f>
        <v>Troy School District</v>
      </c>
      <c r="B1" s="68"/>
      <c r="C1" s="68"/>
      <c r="D1" s="69" t="s">
        <v>53</v>
      </c>
      <c r="E1" s="69"/>
      <c r="F1" s="69"/>
      <c r="G1" s="67" t="s">
        <v>54</v>
      </c>
      <c r="H1" s="67"/>
      <c r="I1" s="67"/>
      <c r="J1" s="4"/>
      <c r="K1" s="4"/>
    </row>
    <row r="2" spans="1:11" ht="19.5" customHeight="1" x14ac:dyDescent="0.25">
      <c r="A2" s="70" t="s">
        <v>2</v>
      </c>
      <c r="B2" s="7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 x14ac:dyDescent="0.2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 x14ac:dyDescent="0.2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 x14ac:dyDescent="0.2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 x14ac:dyDescent="0.2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 x14ac:dyDescent="0.2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2"/>
    </row>
    <row r="10" spans="1:11" ht="14.4" x14ac:dyDescent="0.3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" x14ac:dyDescent="0.3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" x14ac:dyDescent="0.3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" x14ac:dyDescent="0.3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" x14ac:dyDescent="0.3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" x14ac:dyDescent="0.3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" x14ac:dyDescent="0.3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" x14ac:dyDescent="0.3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" x14ac:dyDescent="0.3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" x14ac:dyDescent="0.3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" x14ac:dyDescent="0.3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" x14ac:dyDescent="0.3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" x14ac:dyDescent="0.3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" x14ac:dyDescent="0.3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" x14ac:dyDescent="0.3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" x14ac:dyDescent="0.3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" x14ac:dyDescent="0.3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" x14ac:dyDescent="0.3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" x14ac:dyDescent="0.3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" x14ac:dyDescent="0.3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" x14ac:dyDescent="0.3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" x14ac:dyDescent="0.3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" x14ac:dyDescent="0.3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" x14ac:dyDescent="0.3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" x14ac:dyDescent="0.3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" x14ac:dyDescent="0.3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" x14ac:dyDescent="0.3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" x14ac:dyDescent="0.3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" x14ac:dyDescent="0.3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C319" s="21"/>
      <c r="D319" s="21"/>
      <c r="E319" s="21"/>
      <c r="F319" s="22"/>
      <c r="G319" s="21"/>
      <c r="H319" s="21"/>
      <c r="I319" s="22"/>
      <c r="J319" s="21"/>
      <c r="K319" s="21"/>
    </row>
  </sheetData>
  <sortState xmlns:xlrd2="http://schemas.microsoft.com/office/spreadsheetml/2017/richdata2" ref="A3:K9">
    <sortCondition ref="A3:A9"/>
  </sortState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0"/>
  <sheetViews>
    <sheetView zoomScale="80" zoomScaleNormal="80" workbookViewId="0">
      <pane xSplit="2" ySplit="3" topLeftCell="C4" activePane="bottomRight" state="frozen"/>
      <selection pane="topRight" activeCell="D15" sqref="D15"/>
      <selection pane="bottomLeft" activeCell="D15" sqref="D15"/>
      <selection pane="bottomRight" activeCell="D15" sqref="D15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8" t="str" cm="1">
        <f t="array" ref="A1">portfolio</f>
        <v>Troy School District</v>
      </c>
      <c r="B1" s="68"/>
      <c r="C1" s="68"/>
      <c r="D1" s="69" t="s">
        <v>55</v>
      </c>
      <c r="E1" s="69"/>
      <c r="F1" s="69"/>
      <c r="G1" s="67" t="s">
        <v>56</v>
      </c>
      <c r="H1" s="67"/>
      <c r="I1" s="67"/>
      <c r="J1" s="4"/>
      <c r="K1" s="4"/>
    </row>
    <row r="2" spans="1:11" ht="19.5" customHeight="1" x14ac:dyDescent="0.25">
      <c r="A2" s="70" t="s">
        <v>2</v>
      </c>
      <c r="B2" s="7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 x14ac:dyDescent="0.25">
      <c r="A5" s="30" t="str">
        <v>Joliet - Heritage Trail</v>
      </c>
      <c r="B5" s="31" t="str">
        <v>IL</v>
      </c>
      <c r="C5" s="11"/>
      <c r="D5" s="18"/>
      <c r="E5" s="18" t="str">
        <f t="shared" ref="E5:E10" si="0">IF(AND(ISNUMBER(C5),ISNUMBER(D5)), C5-D5, "")</f>
        <v/>
      </c>
      <c r="F5" s="19" t="str">
        <f>IFERROR(E5/D5, "")</f>
        <v/>
      </c>
      <c r="G5" s="20"/>
      <c r="H5" s="20" t="str">
        <f t="shared" ref="H5:H10" si="1">IF(AND(ISNUMBER(C5),ISNUMBER(G5)), C5-G5, "")</f>
        <v/>
      </c>
      <c r="I5" s="19" t="str">
        <f t="shared" ref="I5:I10" si="2">IFERROR(H5/G5, "")</f>
        <v/>
      </c>
      <c r="J5" s="51"/>
      <c r="K5" s="51"/>
    </row>
    <row r="6" spans="1:11" ht="66.75" customHeight="1" x14ac:dyDescent="0.2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10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 x14ac:dyDescent="0.2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3"/>
    </row>
    <row r="8" spans="1:11" ht="15.6" x14ac:dyDescent="0.25">
      <c r="A8" s="28" t="str">
        <v>Shorewood - Cronin</v>
      </c>
      <c r="B8" s="29" t="str">
        <v>IL</v>
      </c>
      <c r="C8" s="24"/>
      <c r="D8" s="13"/>
      <c r="E8" s="13"/>
      <c r="F8" s="14"/>
      <c r="G8" s="15"/>
      <c r="H8" s="15"/>
      <c r="I8" s="16"/>
      <c r="J8" s="50"/>
      <c r="K8" s="50"/>
    </row>
    <row r="9" spans="1:11" ht="15.6" x14ac:dyDescent="0.2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3"/>
    </row>
    <row r="10" spans="1:11" ht="15.6" x14ac:dyDescent="0.25">
      <c r="A10" s="30"/>
      <c r="B10" s="31"/>
      <c r="C10" s="1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19" t="str">
        <f t="shared" si="2"/>
        <v/>
      </c>
      <c r="J10" s="51"/>
      <c r="K10" s="52"/>
    </row>
    <row r="11" spans="1:11" ht="14.4" x14ac:dyDescent="0.3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" x14ac:dyDescent="0.3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" x14ac:dyDescent="0.3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" x14ac:dyDescent="0.3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" x14ac:dyDescent="0.3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" x14ac:dyDescent="0.3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" x14ac:dyDescent="0.3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" x14ac:dyDescent="0.3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" x14ac:dyDescent="0.3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" x14ac:dyDescent="0.3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" x14ac:dyDescent="0.3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" x14ac:dyDescent="0.3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" x14ac:dyDescent="0.3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" x14ac:dyDescent="0.3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" x14ac:dyDescent="0.3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" x14ac:dyDescent="0.3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" x14ac:dyDescent="0.3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" x14ac:dyDescent="0.3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" x14ac:dyDescent="0.3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" x14ac:dyDescent="0.3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" x14ac:dyDescent="0.3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" x14ac:dyDescent="0.3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" x14ac:dyDescent="0.3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" x14ac:dyDescent="0.3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" x14ac:dyDescent="0.3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" x14ac:dyDescent="0.3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" x14ac:dyDescent="0.3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" x14ac:dyDescent="0.3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zoomScale="90" zoomScaleNormal="90" workbookViewId="0">
      <pane xSplit="2" ySplit="3" topLeftCell="J22" activePane="bottomRight" state="frozen"/>
      <selection pane="topRight" activeCell="D15" sqref="D15"/>
      <selection pane="bottomLeft" activeCell="D15" sqref="D15"/>
      <selection pane="bottomRight" activeCell="D15" sqref="D15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8" t="str" cm="1">
        <f t="array" ref="A1">portfolio</f>
        <v>Troy School District</v>
      </c>
      <c r="B1" s="68"/>
      <c r="C1" s="68"/>
      <c r="D1" s="69" t="s">
        <v>57</v>
      </c>
      <c r="E1" s="69"/>
      <c r="F1" s="69"/>
      <c r="G1" s="67" t="s">
        <v>58</v>
      </c>
      <c r="H1" s="67"/>
      <c r="I1" s="67"/>
      <c r="J1" s="4"/>
      <c r="K1" s="4"/>
    </row>
    <row r="2" spans="1:11" ht="19.5" customHeight="1" x14ac:dyDescent="0.25">
      <c r="A2" s="70" t="s">
        <v>2</v>
      </c>
      <c r="B2" s="7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 x14ac:dyDescent="0.2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 x14ac:dyDescent="0.2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 x14ac:dyDescent="0.2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 x14ac:dyDescent="0.2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 x14ac:dyDescent="0.2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1"/>
    </row>
    <row r="10" spans="1:11" ht="14.4" x14ac:dyDescent="0.3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" x14ac:dyDescent="0.3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" x14ac:dyDescent="0.3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" x14ac:dyDescent="0.3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" x14ac:dyDescent="0.3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" x14ac:dyDescent="0.3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" x14ac:dyDescent="0.3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" x14ac:dyDescent="0.3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" x14ac:dyDescent="0.3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" x14ac:dyDescent="0.3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" x14ac:dyDescent="0.3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" x14ac:dyDescent="0.3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" x14ac:dyDescent="0.3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" x14ac:dyDescent="0.3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" x14ac:dyDescent="0.3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" x14ac:dyDescent="0.3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" x14ac:dyDescent="0.3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" x14ac:dyDescent="0.3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" x14ac:dyDescent="0.3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" x14ac:dyDescent="0.3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" x14ac:dyDescent="0.3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" x14ac:dyDescent="0.3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" x14ac:dyDescent="0.3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" x14ac:dyDescent="0.3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" x14ac:dyDescent="0.3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" x14ac:dyDescent="0.3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" x14ac:dyDescent="0.3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" x14ac:dyDescent="0.3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" x14ac:dyDescent="0.3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topRight" activeCell="D15" sqref="D15"/>
      <selection pane="bottomLeft" activeCell="D15" sqref="D15"/>
      <selection pane="bottomRight" activeCell="D15" sqref="D15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8" t="str" cm="1">
        <f t="array" ref="A1">portfolio</f>
        <v>Troy School District</v>
      </c>
      <c r="B1" s="68"/>
      <c r="C1" s="68"/>
      <c r="D1" s="69" t="s">
        <v>59</v>
      </c>
      <c r="E1" s="69"/>
      <c r="F1" s="69"/>
      <c r="G1" s="67" t="s">
        <v>60</v>
      </c>
      <c r="H1" s="67"/>
      <c r="I1" s="67"/>
      <c r="J1" s="4"/>
      <c r="K1" s="4"/>
    </row>
    <row r="2" spans="1:11" ht="19.5" customHeight="1" x14ac:dyDescent="0.25">
      <c r="A2" s="70" t="s">
        <v>2</v>
      </c>
      <c r="B2" s="7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 x14ac:dyDescent="0.2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 x14ac:dyDescent="0.2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 x14ac:dyDescent="0.25">
      <c r="A7" s="30" t="str">
        <v>Plainfield - William B Orenic</v>
      </c>
      <c r="B7" s="31" t="str">
        <v>IL</v>
      </c>
      <c r="C7" s="54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 x14ac:dyDescent="0.25">
      <c r="A8" s="28" t="str">
        <v>Shorewood - Cronin</v>
      </c>
      <c r="B8" s="29" t="str">
        <v>IL</v>
      </c>
      <c r="C8" s="55"/>
      <c r="D8" s="56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 x14ac:dyDescent="0.25">
      <c r="A9" s="30" t="str">
        <v>Shorewood - Hofer</v>
      </c>
      <c r="B9" s="31" t="str">
        <v>IL</v>
      </c>
      <c r="C9" s="54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2"/>
    </row>
    <row r="10" spans="1:11" ht="14.4" x14ac:dyDescent="0.3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" x14ac:dyDescent="0.3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" x14ac:dyDescent="0.3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" x14ac:dyDescent="0.3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" x14ac:dyDescent="0.3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" x14ac:dyDescent="0.3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" x14ac:dyDescent="0.3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" x14ac:dyDescent="0.3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" x14ac:dyDescent="0.3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" x14ac:dyDescent="0.3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" x14ac:dyDescent="0.3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" x14ac:dyDescent="0.3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" x14ac:dyDescent="0.3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" x14ac:dyDescent="0.3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" x14ac:dyDescent="0.3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" x14ac:dyDescent="0.3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" x14ac:dyDescent="0.3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" x14ac:dyDescent="0.3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" x14ac:dyDescent="0.3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" x14ac:dyDescent="0.3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" x14ac:dyDescent="0.3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" x14ac:dyDescent="0.3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" x14ac:dyDescent="0.3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" x14ac:dyDescent="0.3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" x14ac:dyDescent="0.3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" x14ac:dyDescent="0.3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" x14ac:dyDescent="0.3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" x14ac:dyDescent="0.3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" x14ac:dyDescent="0.3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zoomScale="80" zoomScaleNormal="80" workbookViewId="0">
      <pane xSplit="2" ySplit="3" topLeftCell="C4" activePane="bottomRight" state="frozen"/>
      <selection pane="topRight" activeCell="D15" sqref="D15"/>
      <selection pane="bottomLeft" activeCell="D15" sqref="D15"/>
      <selection pane="bottomRight" activeCell="D15" sqref="D15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8" t="str" cm="1">
        <f t="array" ref="A1">portfolio</f>
        <v>Troy School District</v>
      </c>
      <c r="B1" s="68"/>
      <c r="C1" s="68"/>
      <c r="D1" s="69" t="s">
        <v>61</v>
      </c>
      <c r="E1" s="69"/>
      <c r="F1" s="69"/>
      <c r="G1" s="67" t="s">
        <v>62</v>
      </c>
      <c r="H1" s="67"/>
      <c r="I1" s="67"/>
      <c r="J1" s="4"/>
      <c r="K1" s="4"/>
    </row>
    <row r="2" spans="1:11" ht="19.5" customHeight="1" x14ac:dyDescent="0.25">
      <c r="A2" s="70" t="s">
        <v>2</v>
      </c>
      <c r="B2" s="7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 x14ac:dyDescent="0.2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 x14ac:dyDescent="0.2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 x14ac:dyDescent="0.25">
      <c r="A7" s="30" t="str">
        <v>Plainfield - William B Orenic</v>
      </c>
      <c r="B7" s="31" t="str">
        <v>IL</v>
      </c>
      <c r="C7" s="57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 x14ac:dyDescent="0.2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 x14ac:dyDescent="0.25">
      <c r="A9" s="30" t="str">
        <v>Shorewood - Hofer</v>
      </c>
      <c r="B9" s="31" t="str">
        <v>IL</v>
      </c>
      <c r="C9" s="57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2"/>
    </row>
    <row r="10" spans="1:11" ht="14.4" x14ac:dyDescent="0.3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" x14ac:dyDescent="0.3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" x14ac:dyDescent="0.3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" x14ac:dyDescent="0.3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" x14ac:dyDescent="0.3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" x14ac:dyDescent="0.3">
      <c r="A15" s="21"/>
      <c r="B15" s="33"/>
      <c r="C15" s="21"/>
      <c r="D15" s="21"/>
      <c r="E15" s="21"/>
      <c r="F15" s="22"/>
      <c r="G15" s="21"/>
      <c r="H15" s="21"/>
      <c r="I15" s="22"/>
      <c r="K15" s="21"/>
    </row>
    <row r="16" spans="1:11" ht="14.4" x14ac:dyDescent="0.3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" x14ac:dyDescent="0.3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" x14ac:dyDescent="0.3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" x14ac:dyDescent="0.3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" x14ac:dyDescent="0.3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" x14ac:dyDescent="0.3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" x14ac:dyDescent="0.3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" x14ac:dyDescent="0.3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" x14ac:dyDescent="0.3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" x14ac:dyDescent="0.3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" x14ac:dyDescent="0.3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" x14ac:dyDescent="0.3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" x14ac:dyDescent="0.3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" x14ac:dyDescent="0.3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" x14ac:dyDescent="0.3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" x14ac:dyDescent="0.3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" x14ac:dyDescent="0.3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" x14ac:dyDescent="0.3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" x14ac:dyDescent="0.3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" x14ac:dyDescent="0.3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" x14ac:dyDescent="0.3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" x14ac:dyDescent="0.3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" x14ac:dyDescent="0.3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zoomScale="70" zoomScaleNormal="70" workbookViewId="0">
      <pane xSplit="2" ySplit="3" topLeftCell="C4" activePane="bottomRight" state="frozen"/>
      <selection pane="topRight" activeCell="D15" sqref="D15"/>
      <selection pane="bottomLeft" activeCell="D15" sqref="D15"/>
      <selection pane="bottomRight" activeCell="D4" sqref="D4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8" t="str" cm="1">
        <f t="array" ref="A1">portfolio</f>
        <v>Troy School District</v>
      </c>
      <c r="B1" s="68"/>
      <c r="C1" s="68"/>
      <c r="D1" s="69" t="s">
        <v>63</v>
      </c>
      <c r="E1" s="69"/>
      <c r="F1" s="69"/>
      <c r="G1" s="67" t="s">
        <v>64</v>
      </c>
      <c r="H1" s="67"/>
      <c r="I1" s="67"/>
      <c r="J1" s="4"/>
      <c r="K1" s="4"/>
    </row>
    <row r="2" spans="1:11" ht="19.5" customHeight="1" x14ac:dyDescent="0.25">
      <c r="A2" s="70" t="s">
        <v>2</v>
      </c>
      <c r="B2" s="7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9">Sites[Site]</f>
        <v>Joliet - Craughwell</v>
      </c>
      <c r="B4" s="29" t="str" cm="1">
        <f t="array" ref="B4:B9">Sites[State]</f>
        <v>IL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 x14ac:dyDescent="0.25">
      <c r="A5" s="30" t="str">
        <v>Joliet - Heritage Trail</v>
      </c>
      <c r="B5" s="31" t="str">
        <v>IL</v>
      </c>
      <c r="C5" s="11"/>
      <c r="D5" s="18"/>
      <c r="E5" s="18" t="str">
        <f t="shared" ref="E5:E9" si="0">IF(AND(ISNUMBER(C5),ISNUMBER(D5)), C5-D5, "")</f>
        <v/>
      </c>
      <c r="F5" s="19" t="str">
        <f>IFERROR(E5/D5, "")</f>
        <v/>
      </c>
      <c r="G5" s="20"/>
      <c r="H5" s="20" t="str">
        <f t="shared" ref="H5:H9" si="1">IF(AND(ISNUMBER(C5),ISNUMBER(G5)), C5-G5, "")</f>
        <v/>
      </c>
      <c r="I5" s="19" t="str">
        <f t="shared" ref="I5:I9" si="2">IFERROR(H5/G5, "")</f>
        <v/>
      </c>
      <c r="J5" s="51"/>
      <c r="K5" s="51"/>
    </row>
    <row r="6" spans="1:11" ht="15.6" x14ac:dyDescent="0.25">
      <c r="A6" s="28" t="str">
        <v>Plainfield - Troy</v>
      </c>
      <c r="B6" s="29" t="str">
        <v>IL</v>
      </c>
      <c r="C6" s="24"/>
      <c r="D6" s="13"/>
      <c r="E6" s="13" t="str">
        <f t="shared" si="0"/>
        <v/>
      </c>
      <c r="F6" s="14" t="str">
        <f t="shared" ref="F6:F9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 x14ac:dyDescent="0.25">
      <c r="A7" s="30" t="str">
        <v>Plainfield - William B Orenic</v>
      </c>
      <c r="B7" s="31" t="str">
        <v>IL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1"/>
      <c r="K7" s="52"/>
    </row>
    <row r="8" spans="1:11" ht="15.6" x14ac:dyDescent="0.25">
      <c r="A8" s="28" t="str">
        <v>Shorewood - Cronin</v>
      </c>
      <c r="B8" s="29" t="str">
        <v>IL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 x14ac:dyDescent="0.25">
      <c r="A9" s="30" t="str">
        <v>Shorewood - Hofer</v>
      </c>
      <c r="B9" s="31" t="str">
        <v>IL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1"/>
      <c r="K9" s="52"/>
    </row>
    <row r="10" spans="1:11" ht="14.4" x14ac:dyDescent="0.3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" x14ac:dyDescent="0.3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" x14ac:dyDescent="0.3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" x14ac:dyDescent="0.3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" x14ac:dyDescent="0.3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" x14ac:dyDescent="0.3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" x14ac:dyDescent="0.3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" x14ac:dyDescent="0.3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" x14ac:dyDescent="0.3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" x14ac:dyDescent="0.3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" x14ac:dyDescent="0.3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" x14ac:dyDescent="0.3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" x14ac:dyDescent="0.3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" x14ac:dyDescent="0.3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" x14ac:dyDescent="0.3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" x14ac:dyDescent="0.3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" x14ac:dyDescent="0.3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" x14ac:dyDescent="0.3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" x14ac:dyDescent="0.3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" x14ac:dyDescent="0.3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" x14ac:dyDescent="0.3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" x14ac:dyDescent="0.3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" x14ac:dyDescent="0.3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" x14ac:dyDescent="0.3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" x14ac:dyDescent="0.3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" x14ac:dyDescent="0.3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" x14ac:dyDescent="0.3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" x14ac:dyDescent="0.3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" x14ac:dyDescent="0.3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65</v>
      </c>
      <c r="B1" t="s">
        <v>66</v>
      </c>
    </row>
    <row r="3" spans="1:12" ht="13.2" x14ac:dyDescent="0.25">
      <c r="A3" t="s">
        <v>67</v>
      </c>
      <c r="B3" t="s">
        <v>3</v>
      </c>
      <c r="C3" t="s">
        <v>4</v>
      </c>
      <c r="D3" t="s">
        <v>68</v>
      </c>
      <c r="E3" s="2" t="s">
        <v>69</v>
      </c>
    </row>
    <row r="4" spans="1:12" ht="14.4" x14ac:dyDescent="0.3">
      <c r="A4" s="46" t="s">
        <v>70</v>
      </c>
      <c r="B4" t="s">
        <v>71</v>
      </c>
      <c r="C4" s="43" t="s">
        <v>72</v>
      </c>
      <c r="D4" s="42"/>
      <c r="E4" t="s">
        <v>73</v>
      </c>
      <c r="G4" s="3"/>
    </row>
    <row r="5" spans="1:12" ht="14.4" x14ac:dyDescent="0.3">
      <c r="A5" s="46" t="s">
        <v>74</v>
      </c>
      <c r="B5" t="s">
        <v>75</v>
      </c>
      <c r="C5" s="43" t="s">
        <v>72</v>
      </c>
      <c r="D5" s="42"/>
      <c r="E5" t="s">
        <v>73</v>
      </c>
      <c r="G5" s="3"/>
    </row>
    <row r="6" spans="1:12" ht="14.4" x14ac:dyDescent="0.3">
      <c r="A6" s="46" t="s">
        <v>76</v>
      </c>
      <c r="B6" t="s">
        <v>77</v>
      </c>
      <c r="C6" s="43" t="s">
        <v>72</v>
      </c>
      <c r="D6" s="42"/>
      <c r="E6" t="s">
        <v>73</v>
      </c>
      <c r="G6" s="3"/>
    </row>
    <row r="7" spans="1:12" ht="12.75" customHeight="1" x14ac:dyDescent="0.25">
      <c r="A7" s="46" t="s">
        <v>78</v>
      </c>
      <c r="B7" t="s">
        <v>79</v>
      </c>
      <c r="C7" s="43" t="s">
        <v>72</v>
      </c>
      <c r="D7" s="42"/>
      <c r="E7" t="s">
        <v>73</v>
      </c>
    </row>
    <row r="8" spans="1:12" ht="12.75" customHeight="1" x14ac:dyDescent="0.25">
      <c r="A8" s="46" t="s">
        <v>80</v>
      </c>
      <c r="B8" t="s">
        <v>81</v>
      </c>
      <c r="C8" s="43" t="s">
        <v>72</v>
      </c>
      <c r="D8" s="42"/>
      <c r="E8" t="s">
        <v>73</v>
      </c>
    </row>
    <row r="9" spans="1:12" ht="12.75" customHeight="1" x14ac:dyDescent="0.25">
      <c r="A9" s="46" t="s">
        <v>82</v>
      </c>
      <c r="B9" t="s">
        <v>83</v>
      </c>
      <c r="C9" s="43" t="s">
        <v>72</v>
      </c>
      <c r="D9" s="42"/>
      <c r="E9" t="s">
        <v>73</v>
      </c>
    </row>
    <row r="10" spans="1:12" ht="12.75" customHeight="1" x14ac:dyDescent="0.25">
      <c r="A10" s="46"/>
      <c r="C10" s="43"/>
      <c r="D10" s="42"/>
      <c r="K10" s="41"/>
      <c r="L10" s="41"/>
    </row>
    <row r="11" spans="1:12" ht="12.75" customHeight="1" x14ac:dyDescent="0.25">
      <c r="A11" s="46"/>
      <c r="C11" s="43"/>
      <c r="D11" s="42"/>
      <c r="K11" s="41"/>
      <c r="L11" s="41"/>
    </row>
    <row r="12" spans="1:12" ht="12.75" customHeight="1" x14ac:dyDescent="0.25">
      <c r="A12" s="46"/>
      <c r="C12" s="43"/>
      <c r="D12" s="42"/>
      <c r="K12" s="41"/>
      <c r="L12" s="41"/>
    </row>
    <row r="13" spans="1:12" ht="12.75" customHeight="1" x14ac:dyDescent="0.25">
      <c r="A13" s="46"/>
      <c r="C13" s="43"/>
      <c r="D13" s="42"/>
      <c r="K13" s="41"/>
      <c r="L13" s="41"/>
    </row>
    <row r="14" spans="1:12" ht="12.75" customHeight="1" x14ac:dyDescent="0.25">
      <c r="A14" s="46"/>
      <c r="C14" s="43"/>
      <c r="D14" s="42"/>
      <c r="K14" s="41"/>
      <c r="L14" s="41"/>
    </row>
    <row r="15" spans="1:12" ht="12.75" customHeight="1" x14ac:dyDescent="0.25">
      <c r="A15" s="46"/>
      <c r="C15" s="43"/>
      <c r="D15" s="42"/>
      <c r="K15" s="41"/>
      <c r="L15" s="41"/>
    </row>
    <row r="16" spans="1:12" ht="12.75" customHeight="1" x14ac:dyDescent="0.25">
      <c r="A16" s="46"/>
      <c r="C16" s="43"/>
      <c r="D16" s="42"/>
      <c r="K16" s="41"/>
      <c r="L16" s="41"/>
    </row>
    <row r="17" spans="1:12" ht="12.75" customHeight="1" x14ac:dyDescent="0.25">
      <c r="A17" s="46"/>
      <c r="C17" s="43"/>
      <c r="D17" s="42"/>
      <c r="K17" s="41"/>
      <c r="L17" s="41"/>
    </row>
    <row r="18" spans="1:12" ht="12.75" customHeight="1" x14ac:dyDescent="0.25">
      <c r="A18" s="46"/>
      <c r="C18" s="43"/>
      <c r="D18" s="42"/>
      <c r="K18" s="41"/>
      <c r="L18" s="41"/>
    </row>
    <row r="19" spans="1:12" ht="12.75" customHeight="1" x14ac:dyDescent="0.25">
      <c r="A19" s="46"/>
      <c r="C19" s="43"/>
      <c r="D19" s="42"/>
      <c r="K19" s="41"/>
      <c r="L19" s="41"/>
    </row>
    <row r="20" spans="1:12" ht="12.75" customHeight="1" x14ac:dyDescent="0.25">
      <c r="A20" s="46"/>
      <c r="C20" s="43"/>
      <c r="D20" s="42"/>
      <c r="K20" s="41"/>
      <c r="L20" s="41"/>
    </row>
    <row r="21" spans="1:12" ht="12.75" customHeight="1" x14ac:dyDescent="0.25">
      <c r="A21" s="46"/>
      <c r="C21" s="43"/>
      <c r="D21" s="42"/>
      <c r="K21" s="41"/>
      <c r="L21" s="41"/>
    </row>
    <row r="22" spans="1:12" ht="12.75" customHeight="1" x14ac:dyDescent="0.25">
      <c r="A22" s="46"/>
      <c r="C22" s="43"/>
      <c r="D22" s="42"/>
      <c r="K22" s="41"/>
      <c r="L22" s="41"/>
    </row>
    <row r="23" spans="1:12" ht="12.75" customHeight="1" x14ac:dyDescent="0.25">
      <c r="A23" s="46"/>
      <c r="C23" s="43"/>
      <c r="D23" s="42"/>
      <c r="K23" s="41"/>
      <c r="L23" s="41"/>
    </row>
    <row r="24" spans="1:12" ht="12.75" customHeight="1" x14ac:dyDescent="0.25">
      <c r="A24" s="46"/>
      <c r="C24" s="43"/>
      <c r="D24" s="42"/>
      <c r="K24" s="41"/>
      <c r="L24" s="41"/>
    </row>
    <row r="25" spans="1:12" ht="12.75" customHeight="1" x14ac:dyDescent="0.25">
      <c r="A25" s="46"/>
      <c r="C25" s="43"/>
      <c r="D25" s="42"/>
      <c r="K25" s="41"/>
      <c r="L25" s="41"/>
    </row>
    <row r="26" spans="1:12" ht="12.75" customHeight="1" x14ac:dyDescent="0.25">
      <c r="K26" s="41"/>
      <c r="L26" s="41"/>
    </row>
    <row r="27" spans="1:12" ht="12.75" customHeight="1" x14ac:dyDescent="0.25">
      <c r="K27" s="41"/>
      <c r="L27" s="41"/>
    </row>
    <row r="28" spans="1:12" ht="12.75" customHeight="1" x14ac:dyDescent="0.25">
      <c r="K28" s="41"/>
      <c r="L28" s="41"/>
    </row>
    <row r="29" spans="1:12" ht="12.75" customHeight="1" x14ac:dyDescent="0.25">
      <c r="K29" s="41"/>
      <c r="L29" s="41"/>
    </row>
    <row r="30" spans="1:12" ht="12.75" customHeight="1" x14ac:dyDescent="0.25">
      <c r="K30" s="41"/>
      <c r="L30" s="41"/>
    </row>
    <row r="31" spans="1:12" ht="12.75" customHeight="1" x14ac:dyDescent="0.25">
      <c r="K31" s="41"/>
      <c r="L31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2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3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5.xml><?xml version="1.0" encoding="utf-8"?>
<ds:datastoreItem xmlns:ds="http://schemas.openxmlformats.org/officeDocument/2006/customXml" ds:itemID="{4A046526-4F0E-4B43-B48F-4D7C52A07D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7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8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9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0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1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3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5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6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7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8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9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20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2025-07-04T10:21:52Z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2024-10-15T23:26:19Z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8425c95b-1d77-408a-82bc-99f2fb944e0b</vt:lpwstr>
  </property>
  <property fmtid="{D5CDD505-2E9C-101B-9397-08002B2CF9AE}" pid="9" name="MSIP_Label_9d817c99-0b37-4a07-8277-96aa1f96b74b_ContentBits">
    <vt:lpwstr>0</vt:lpwstr>
  </property>
</Properties>
</file>