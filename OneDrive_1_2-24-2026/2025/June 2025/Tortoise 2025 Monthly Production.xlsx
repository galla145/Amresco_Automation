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F7A39541-E4E2-476E-9754-5CF257E2843B}" xr6:coauthVersionLast="47" xr6:coauthVersionMax="47" xr10:uidLastSave="{00000000-0000-0000-0000-000000000000}"/>
  <bookViews>
    <workbookView xWindow="-108" yWindow="-108" windowWidth="23256" windowHeight="12456" tabRatio="866" firstSheet="9"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9" l="1"/>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<sst xmlns="http://schemas.openxmlformats.org/spreadsheetml/2006/main" count="402" uniqueCount="177">
  <si>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</si>
  <si>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</si>
  <si>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</si>
  <si>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</si>
  <si>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</si>
  <si>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</si>
  <si>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</si>
  <si>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</si>
  <si>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</si>
  <si>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</si>
  <si>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</si>
  <si>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</si>
  <si>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</si>
  <si>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</si>
  <si>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</si>
  <si>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</si>
  <si>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</si>
  <si>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</si>
  <si>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</si>
  <si>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</si>
  <si>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</si>
  <si>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</si>
  <si>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</si>
  <si>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</si>
  <si>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</si>
  <si>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</si>
  <si>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</si>
  <si>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</si>
  <si>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</si>
  <si>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</si>
  <si>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</si>
  <si>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</si>
  <si>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</si>
  <si>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</si>
  <si>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</si>
  <si>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</si>
  <si>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</si>
  <si>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</si>
  <si>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</si>
  <si>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</si>
  <si>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</si>
  <si>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</si>
  <si>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</si>
  <si>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</si>
  <si>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</si>
  <si>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</si>
  <si>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</si>
  <si>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</si>
  <si>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</si>
  <si>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</si>
  <si>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</si>
  <si>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</si>
  <si>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</si>
  <si>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</si>
  <si>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</si>
  <si>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</si>
  <si>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</si>
  <si>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</si>
  <si>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</si>
  <si>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</si>
  <si>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</si>
  <si>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</si>
  <si>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</si>
  <si>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</si>
  <si>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</si>
  <si>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</si>
  <si>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</si>
  <si>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</si>
  <si>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</si>
  <si>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</si>
  <si>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</si>
  <si>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</si>
  <si>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</si>
  <si>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</si>
  <si>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</si>
  <si>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</si>
  <si>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</si>
  <si>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</si>
  <si>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</si>
  <si>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</si>
  <si>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</si>
  <si>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</si>
  <si>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</si>
  <si>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</si>
  <si>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</si>
  <si>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</si>
  <si>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</si>
  <si>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</si>
  <si>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</si>
  <si>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</si>
  <si>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</si>
  <si>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</si>
  <si>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</si>
  <si>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</si>
  <si>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</si>
  <si>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</si>
  <si>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</si>
  <si>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</si>
  <si>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</si>
  <si>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</si>
  <si>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</si>
  <si>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</si>
  <si>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</si>
  <si>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</si>
  <si>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</si>
  <si>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</si>
  <si>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</si>
  <si>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</si>
  <si>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</si>
  <si>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</si>
  <si>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</si>
  <si>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</si>
  <si>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</si>
  <si>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</si>
  <si>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</si>
  <si>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</si>
  <si>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</si>
  <si>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</si>
  <si>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</si>
  <si>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</si>
  <si>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</si>
  <si>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</si>
  <si>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</si>
  <si>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</si>
  <si>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</si>
  <si>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</si>
  <si>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</si>
  <si>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</si>
  <si>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</si>
  <si>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</si>
  <si>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</si>
  <si>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</si>
  <si>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1. Site production was low on 06/03, 06/17 due to low irradiance.</t>
  </si>
  <si>
    <t>1. As per meter 1 inverter was offline for whole month.</t>
  </si>
  <si>
    <t>1. These sites are moved to Altus portifolio</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</si>
  <si>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</si>
  <si>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</si>
  <si>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</si>
  <si>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</si>
  <si>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</si>
  <si>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</si>
  <si>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</si>
  <si>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</si>
  <si>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</si>
  <si>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</si>
  <si>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</si>
  <si>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</si>
  <si>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</si>
  <si>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</si>
  <si>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</si>
  <si>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</si>
  <si>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</si>
  <si>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</si>
  <si>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</si>
  <si>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</si>
  <si>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</si>
  <si>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</si>
  <si>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</si>
  <si>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</si>
  <si>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</si>
  <si>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</si>
  <si>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</si>
  <si>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</si>
  <si>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</si>
  <si>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</si>
  <si>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</si>
  <si>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</si>
  <si>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</si>
  <si>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</si>
  <si>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</si>
  <si>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</si>
  <si>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</si>
  <si>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</si>
  <si>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</si>
  <si>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</si>
  <si>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</si>
  <si>
    <t>SR101579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</si>
</sst>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40"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16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5"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5"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5"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5"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0" fontId="33" fillId="0" borderId="0" xfId="0" applyFont="1" applyAlignment="1">
      <alignment horizontal="left" vertical="top"/>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50" dataCellStyle="Normal 2"/>
    <tableColumn id="1" xr3:uid="{9A753695-C18C-437C-AD9C-C2CE5C1A806E}" name="Site" dataDxfId="49" dataCellStyle="Normal 2"/>
    <tableColumn id="2" xr3:uid="{250F229D-34D2-4043-BE8F-6D9C210E223F}" name="State" dataDxfId="48"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topRight"/>
      <selection pane="bottomLeft"/>
      <selection pane="bottomRight" activeCell="D23" sqref="D23"/>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3" t="str" cm="1">
        <f t="array" ref="A1">portfolio</f>
        <v>Ecofin</v>
      </c>
      <c r="B1" s="73"/>
      <c r="C1" s="73"/>
      <c r="D1" s="74" t="s">
        <v>0</v>
      </c>
      <c r="E1" s="74"/>
      <c r="F1" s="74"/>
      <c r="G1" s="72" t="s">
        <v>1</v>
      </c>
      <c r="H1" s="72"/>
      <c r="I1" s="72"/>
    </row>
    <row r="2" spans="1:9" ht="19.5" customHeight="1" x14ac:dyDescent="0.25">
      <c r="A2" s="75" t="s">
        <v>2</v>
      </c>
      <c r="B2" s="75"/>
      <c r="C2" s="6">
        <f>SUM(C4:C91)</f>
        <v>9981434.2528864145</v>
      </c>
      <c r="D2" s="6">
        <f>SUM(D4:D91)</f>
        <v>13209031.673152791</v>
      </c>
      <c r="E2" s="6">
        <f>C2-D2</f>
        <v>-3227597.4202663768</v>
      </c>
      <c r="F2" s="7">
        <f>IFERROR(E2/D2, 0)</f>
        <v>-0.24434776902128505</v>
      </c>
      <c r="G2" s="6">
        <f>SUM(G4:G91)</f>
        <v>11401041.091999998</v>
      </c>
      <c r="H2" s="8">
        <f>C2-G2</f>
        <v>-1419606.8391135838</v>
      </c>
      <c r="I2" s="7">
        <f>IFERROR(H2/G2, 0)</f>
        <v>-0.12451554447161044</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SUM('1st Qtr'!C4, '2nd Qtr'!C4, '3rd Qtr'!C4, '4th Qtr'!C4)</f>
        <v>418844.06801399146</v>
      </c>
      <c r="D4" s="14">
        <f>SUM('1st Qtr'!D4, '2nd Qtr'!D4, '3rd Qtr'!D4, '4th Qtr'!D4)</f>
        <v>640713.39791231218</v>
      </c>
      <c r="E4" s="14">
        <f>IF(AND(ISNUMBER(C4),ISNUMBER(D4)), C4-D4, "")</f>
        <v>-221869.32989832072</v>
      </c>
      <c r="F4" s="15">
        <f>IFERROR(E4/D4, "")</f>
        <v>-0.34628482972457786</v>
      </c>
      <c r="G4" s="16">
        <f>SUM('1st Qtr'!G4, '2nd Qtr'!G4, '3rd Qtr'!G4, '4th Qtr'!G4)</f>
        <v>632722.74999999977</v>
      </c>
      <c r="H4" s="16">
        <f>SUM('1st Qtr'!H4, '2nd Qtr'!H4, '3rd Qtr'!H4, '4th Qtr'!H4)</f>
        <v>-213878.68198600833</v>
      </c>
      <c r="I4" s="56">
        <f>IFERROR(H4/G4, "")</f>
        <v>-0.33802906879199207</v>
      </c>
    </row>
    <row r="5" spans="1:9" ht="15.6" x14ac:dyDescent="0.25">
      <c r="A5" s="18" t="str">
        <v>San Luis Valley</v>
      </c>
      <c r="B5" s="11" t="str">
        <v>CO</v>
      </c>
      <c r="C5" s="19">
        <f>SUM('1st Qtr'!C5, '2nd Qtr'!C5, '3rd Qtr'!C5, '4th Qtr'!C5)</f>
        <v>1259997.125</v>
      </c>
      <c r="D5" s="19">
        <f>SUM('1st Qtr'!D5, '2nd Qtr'!D5, '3rd Qtr'!D5, '4th Qtr'!D5)</f>
        <v>1235928.9029999999</v>
      </c>
      <c r="E5" s="19">
        <f t="shared" ref="E5:E6" si="0">IF(AND(ISNUMBER(C5),ISNUMBER(D5)), C5-D5, "")</f>
        <v>24068.222000000067</v>
      </c>
      <c r="F5" s="20">
        <f>IFERROR(E5/D5, "")</f>
        <v>1.947379168945616E-2</v>
      </c>
      <c r="G5" s="21">
        <f>SUM('1st Qtr'!G5, '2nd Qtr'!G5, '3rd Qtr'!G5, '4th Qtr'!G5)</f>
        <v>0</v>
      </c>
      <c r="H5" s="57">
        <f>SUM('1st Qtr'!H5, '2nd Qtr'!H5, '3rd Qtr'!H5, '4th Qtr'!H5)</f>
        <v>1259997.125</v>
      </c>
      <c r="I5" s="20" t="str">
        <f>IFERROR(H5/G5, "")</f>
        <v/>
      </c>
    </row>
    <row r="6" spans="1:9" ht="15.6" x14ac:dyDescent="0.25">
      <c r="A6" s="13" t="str">
        <v>Golden NREL 2</v>
      </c>
      <c r="B6" s="10" t="str">
        <v>CO</v>
      </c>
      <c r="C6" s="25">
        <f>SUM('1st Qtr'!C6, '2nd Qtr'!C6, '3rd Qtr'!C6, '4th Qtr'!C6)</f>
        <v>61501.751000000004</v>
      </c>
      <c r="D6" s="14">
        <f>SUM('1st Qtr'!D6, '2nd Qtr'!D6, '3rd Qtr'!D6, '4th Qtr'!D6)</f>
        <v>58532.768240479003</v>
      </c>
      <c r="E6" s="14">
        <f t="shared" si="0"/>
        <v>2968.9827595210008</v>
      </c>
      <c r="F6" s="15">
        <f t="shared" ref="F6:F13" si="1">IFERROR(E6/D6, "")</f>
        <v>5.0723429777369849E-2</v>
      </c>
      <c r="G6" s="16">
        <f>SUM('1st Qtr'!G6, '2nd Qtr'!G6, '3rd Qtr'!G6, '4th Qtr'!G6)</f>
        <v>70099.462</v>
      </c>
      <c r="H6" s="16">
        <f>SUM('1st Qtr'!H6, '2nd Qtr'!H6, '3rd Qtr'!H6, '4th Qtr'!H6)</f>
        <v>-8597.7110000000011</v>
      </c>
      <c r="I6" s="17">
        <f t="shared" ref="I6:I13" si="2">IFERROR(H6/G6, "")</f>
        <v>-0.12265017098134079</v>
      </c>
    </row>
    <row r="7" spans="1:9" ht="15.6" x14ac:dyDescent="0.25">
      <c r="A7" s="18" t="str">
        <v>Golden NREL Wind 3</v>
      </c>
      <c r="B7" s="11" t="str">
        <v>CO</v>
      </c>
      <c r="C7" s="19">
        <f>SUM('1st Qtr'!C7, '2nd Qtr'!C7, '3rd Qtr'!C7, '4th Qtr'!C7)</f>
        <v>451096.40564124996</v>
      </c>
      <c r="D7" s="19">
        <f>SUM('1st Qtr'!D7, '2nd Qtr'!D7, '3rd Qtr'!D7, '4th Qtr'!D7)</f>
        <v>722773.06599999999</v>
      </c>
      <c r="E7" s="19">
        <f t="shared" ref="E7:E13" si="3">IF(AND(ISNUMBER(C7),ISNUMBER(D7)), C7-D7, "")</f>
        <v>-271676.66035875003</v>
      </c>
      <c r="F7" s="20">
        <f t="shared" si="1"/>
        <v>-0.37588099659312713</v>
      </c>
      <c r="G7" s="21">
        <f>SUM('1st Qtr'!G7, '2nd Qtr'!G7, '3rd Qtr'!G7, '4th Qtr'!G7)</f>
        <v>0</v>
      </c>
      <c r="H7" s="21">
        <f>SUM('1st Qtr'!H7, '2nd Qtr'!H7, '3rd Qtr'!H7, '4th Qtr'!H7)</f>
        <v>451096.40564124996</v>
      </c>
      <c r="I7" s="20" t="str">
        <f t="shared" si="2"/>
        <v/>
      </c>
    </row>
    <row r="8" spans="1:9" ht="15.6" x14ac:dyDescent="0.25">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customHeight="1" x14ac:dyDescent="0.25">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x14ac:dyDescent="0.25">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x14ac:dyDescent="0.25">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x14ac:dyDescent="0.25">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x14ac:dyDescent="0.25">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47" priority="1" stopIfTrue="1" operator="lessThanOrEqual">
      <formula>-0.1</formula>
    </cfRule>
    <cfRule type="expression" dxfId="4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topRight"/>
      <selection pane="bottomLeft"/>
      <selection pane="bottomRight" activeCell="H19" sqref="H19"/>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3" t="str" cm="1">
        <f t="array" ref="A1">portfolio</f>
        <v>Ecofin</v>
      </c>
      <c r="B1" s="73"/>
      <c r="C1" s="73"/>
      <c r="D1" s="74" t="s">
        <v>10</v>
      </c>
      <c r="E1" s="74"/>
      <c r="F1" s="74"/>
      <c r="G1" s="72" t="s">
        <v>11</v>
      </c>
      <c r="H1" s="72"/>
      <c r="I1" s="72"/>
    </row>
    <row r="2" spans="1:9" ht="19.5" customHeight="1" x14ac:dyDescent="0.25">
      <c r="A2" s="75" t="s">
        <v>2</v>
      </c>
      <c r="B2" s="75"/>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x14ac:dyDescent="0.25">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x14ac:dyDescent="0.25">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x14ac:dyDescent="0.25">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x14ac:dyDescent="0.25">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x14ac:dyDescent="0.25">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x14ac:dyDescent="0.25">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x14ac:dyDescent="0.25">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x14ac:dyDescent="0.25">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x14ac:dyDescent="0.25">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5" priority="1" stopIfTrue="1" operator="lessThanOrEqual">
      <formula>-0.1</formula>
    </cfRule>
    <cfRule type="expression" dxfId="4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topRight" activeCell="D12" sqref="D12"/>
      <selection pane="bottomLeft" activeCell="D12" sqref="D12"/>
      <selection pane="bottomRight" activeCell="M11" sqref="M11"/>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3" t="str" cm="1">
        <f t="array" ref="A1">portfolio</f>
        <v>Ecofin</v>
      </c>
      <c r="B1" s="73"/>
      <c r="C1" s="73"/>
      <c r="D1" s="74" t="s">
        <v>12</v>
      </c>
      <c r="E1" s="74"/>
      <c r="F1" s="74"/>
      <c r="G1" s="72" t="s">
        <v>13</v>
      </c>
      <c r="H1" s="72"/>
      <c r="I1" s="72"/>
    </row>
    <row r="2" spans="1:9" ht="19.5" customHeight="1" x14ac:dyDescent="0.25">
      <c r="A2" s="75" t="s">
        <v>2</v>
      </c>
      <c r="B2" s="75"/>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x14ac:dyDescent="0.25">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x14ac:dyDescent="0.25">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x14ac:dyDescent="0.25">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x14ac:dyDescent="0.25">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customHeight="1" x14ac:dyDescent="0.25">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x14ac:dyDescent="0.25">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x14ac:dyDescent="0.25">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x14ac:dyDescent="0.25">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x14ac:dyDescent="0.25">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3" priority="1" stopIfTrue="1" operator="lessThanOrEqual">
      <formula>-0.1</formula>
    </cfRule>
    <cfRule type="expression" dxfId="4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topRight" activeCell="A16" sqref="A16"/>
      <selection pane="bottomLeft" activeCell="A16" sqref="A16"/>
      <selection pane="bottomRight" activeCell="C7" sqref="C7"/>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3" t="str" cm="1">
        <f t="array" ref="A1">portfolio</f>
        <v>Ecofin</v>
      </c>
      <c r="B1" s="73"/>
      <c r="C1" s="73"/>
      <c r="D1" s="74" t="s">
        <v>14</v>
      </c>
      <c r="E1" s="74"/>
      <c r="F1" s="74"/>
      <c r="G1" s="72" t="s">
        <v>15</v>
      </c>
      <c r="H1" s="72"/>
      <c r="I1" s="72"/>
    </row>
    <row r="2" spans="1:9" ht="19.5" customHeight="1" x14ac:dyDescent="0.25">
      <c r="A2" s="75" t="s">
        <v>2</v>
      </c>
      <c r="B2" s="75"/>
      <c r="C2" s="6">
        <f>SUM(C4:C91)</f>
        <v>0</v>
      </c>
      <c r="D2" s="6">
        <f>SUM(D4:D91)</f>
        <v>0</v>
      </c>
      <c r="E2" s="6">
        <f>C2-D2</f>
        <v>0</v>
      </c>
      <c r="F2" s="7">
        <f>IFERROR(E2/D2, 0)</f>
        <v>0</v>
      </c>
      <c r="G2" s="6">
        <f>SUM(G4:G91)</f>
        <v>0</v>
      </c>
      <c r="H2" s="8">
        <f>C2-G2</f>
        <v>0</v>
      </c>
      <c r="I2" s="7">
        <f>IFERROR(H2/G2, 0)</f>
        <v>0</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5.6" x14ac:dyDescent="0.25">
      <c r="A5" s="18" t="str">
        <v>San Luis Valley</v>
      </c>
      <c r="B5" s="11" t="str">
        <v>CO</v>
      </c>
      <c r="C5" s="12">
        <f>SUM(Jul!C5, Aug!C5, Sep!C5)</f>
        <v>0</v>
      </c>
      <c r="D5" s="19">
        <f>SUM(Jul!D5, Aug!D5, Sep!D5)</f>
        <v>0</v>
      </c>
      <c r="E5" s="19">
        <f t="shared" ref="E5:E6" si="0">IF(AND(ISNUMBER(C5),ISNUMBER(D5)), C5-D5, "")</f>
        <v>0</v>
      </c>
      <c r="F5" s="20" t="str">
        <f>IFERROR(E5/D5, "")</f>
        <v/>
      </c>
      <c r="G5" s="57">
        <f>SUM(Jul!G5,Aug!G5,Sep!G5)</f>
        <v>0</v>
      </c>
      <c r="H5" s="21">
        <f>SUM(Jul!H5, Aug!H5, Sep!H5)</f>
        <v>0</v>
      </c>
      <c r="I5" s="20" t="str">
        <f>IFERROR(H5/G5, "")</f>
        <v/>
      </c>
    </row>
    <row r="6" spans="1:9" ht="15.6" x14ac:dyDescent="0.25">
      <c r="A6" s="13" t="str">
        <v>Golden NREL 2</v>
      </c>
      <c r="B6" s="10" t="str">
        <v>CO</v>
      </c>
      <c r="C6" s="25">
        <f>SUM(Jul!C6, Aug!C6, Sep!C6)</f>
        <v>0</v>
      </c>
      <c r="D6" s="14">
        <f>SUM(Jul!D6, Aug!D6, Sep!D6)</f>
        <v>0</v>
      </c>
      <c r="E6" s="14">
        <f t="shared" si="0"/>
        <v>0</v>
      </c>
      <c r="F6" s="15" t="str">
        <f t="shared" ref="F6:F13" si="1">IFERROR(E6/D6, "")</f>
        <v/>
      </c>
      <c r="G6" s="16">
        <f>SUM(Jul!G6,Aug!G6,Sep!G6)</f>
        <v>0</v>
      </c>
      <c r="H6" s="16">
        <f>SUM(Jul!H6, Aug!H6, Sep!H6)</f>
        <v>0</v>
      </c>
      <c r="I6" s="17" t="str">
        <f t="shared" ref="I6:I13" si="2">IFERROR(H6/G6, "")</f>
        <v/>
      </c>
    </row>
    <row r="7" spans="1:9" ht="15.6" x14ac:dyDescent="0.25">
      <c r="A7" s="18" t="str">
        <v>Golden NREL Wind 3</v>
      </c>
      <c r="B7" s="11" t="str">
        <v>CO</v>
      </c>
      <c r="C7" s="12">
        <f>SUM(Jul!C7, Aug!C7, Sep!C7)</f>
        <v>0</v>
      </c>
      <c r="D7" s="19">
        <f>SUM(Jul!D7, Aug!D7, Sep!D7)</f>
        <v>0</v>
      </c>
      <c r="E7" s="19">
        <f t="shared" ref="E7:E13" si="3">IF(AND(ISNUMBER(C7),ISNUMBER(D7)), C7-D7, "")</f>
        <v>0</v>
      </c>
      <c r="F7" s="20" t="str">
        <f t="shared" si="1"/>
        <v/>
      </c>
      <c r="G7" s="57">
        <f>SUM(Jul!G7,Aug!G7,Sep!G7)</f>
        <v>0</v>
      </c>
      <c r="H7" s="21">
        <f>SUM(Jul!H7, Aug!H7, Sep!H7)</f>
        <v>0</v>
      </c>
      <c r="I7" s="20" t="str">
        <f t="shared" si="2"/>
        <v/>
      </c>
    </row>
    <row r="8" spans="1:9" ht="15.6" x14ac:dyDescent="0.25">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x14ac:dyDescent="0.25">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x14ac:dyDescent="0.25">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x14ac:dyDescent="0.25">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x14ac:dyDescent="0.25">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x14ac:dyDescent="0.25">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1" priority="5" stopIfTrue="1" operator="lessThanOrEqual">
      <formula>-0.1</formula>
    </cfRule>
    <cfRule type="expression" dxfId="40"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topRight" activeCell="A16" sqref="A16"/>
      <selection pane="bottomLeft" activeCell="A16" sqref="A16"/>
      <selection pane="bottomRight" activeCell="C7" sqref="C7"/>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3" t="str" cm="1">
        <f t="array" ref="A1">portfolio</f>
        <v>Ecofin</v>
      </c>
      <c r="B1" s="73"/>
      <c r="C1" s="73"/>
      <c r="D1" s="74" t="s">
        <v>16</v>
      </c>
      <c r="E1" s="74"/>
      <c r="F1" s="74"/>
      <c r="G1" s="72" t="s">
        <v>17</v>
      </c>
      <c r="H1" s="72"/>
      <c r="I1" s="72"/>
    </row>
    <row r="2" spans="1:9" ht="19.5" customHeight="1" x14ac:dyDescent="0.25">
      <c r="A2" s="75" t="s">
        <v>2</v>
      </c>
      <c r="B2" s="75"/>
      <c r="C2" s="6">
        <f>SUM(C4:C91)</f>
        <v>0</v>
      </c>
      <c r="D2" s="6">
        <f>SUM(D4:D91)</f>
        <v>0</v>
      </c>
      <c r="E2" s="6">
        <f>C2-D2</f>
        <v>0</v>
      </c>
      <c r="F2" s="7">
        <f>IFERROR(E2/D2, 0)</f>
        <v>0</v>
      </c>
      <c r="G2" s="6">
        <f>SUM(G4:G91)</f>
        <v>0</v>
      </c>
      <c r="H2" s="8">
        <f>C2-G2</f>
        <v>0</v>
      </c>
      <c r="I2" s="7">
        <f>IFERROR(H2/G2, 0)</f>
        <v>0</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x14ac:dyDescent="0.25">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x14ac:dyDescent="0.25">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x14ac:dyDescent="0.25">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x14ac:dyDescent="0.25">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x14ac:dyDescent="0.25">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x14ac:dyDescent="0.25">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x14ac:dyDescent="0.25">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x14ac:dyDescent="0.25">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x14ac:dyDescent="0.25">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39" priority="1" stopIfTrue="1" operator="lessThanOrEqual">
      <formula>-0.1</formula>
    </cfRule>
    <cfRule type="expression" dxfId="3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topRight" activeCell="A16" sqref="A16"/>
      <selection pane="bottomLeft" activeCell="A16" sqref="A16"/>
      <selection pane="bottomRight" activeCell="I21" sqref="I21"/>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36.5546875" customWidth="1"/>
  </cols>
  <sheetData>
    <row r="1" spans="1:13" ht="19.5" customHeight="1" x14ac:dyDescent="0.25">
      <c r="A1" s="73" t="str" cm="1">
        <f t="array" ref="A1">portfolio</f>
        <v>Ecofin</v>
      </c>
      <c r="B1" s="73"/>
      <c r="C1" s="73"/>
      <c r="D1" s="74" t="s">
        <v>18</v>
      </c>
      <c r="E1" s="74"/>
      <c r="F1" s="74"/>
      <c r="G1" s="72" t="s">
        <v>19</v>
      </c>
      <c r="H1" s="72"/>
      <c r="I1" s="72"/>
      <c r="J1" s="5"/>
      <c r="K1" s="5"/>
    </row>
    <row r="2" spans="1:13" ht="19.5" customHeight="1" x14ac:dyDescent="0.25">
      <c r="A2" s="75" t="s">
        <v>2</v>
      </c>
      <c r="B2" s="75"/>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x14ac:dyDescent="0.25">
      <c r="A3" s="28" t="s">
        <v>3</v>
      </c>
      <c r="B3" s="9" t="s">
        <v>4</v>
      </c>
      <c r="C3" s="24" t="s">
        <v>5</v>
      </c>
      <c r="D3" s="35" t="s">
        <v>6</v>
      </c>
      <c r="E3" s="35" t="s">
        <v>7</v>
      </c>
      <c r="F3" s="36" t="s">
        <v>8</v>
      </c>
      <c r="G3" s="40" t="s">
        <v>9</v>
      </c>
      <c r="H3" s="38" t="s">
        <v>7</v>
      </c>
      <c r="I3" s="39" t="s">
        <v>8</v>
      </c>
      <c r="J3" s="58" t="s">
        <v>20</v>
      </c>
      <c r="K3" s="58" t="s">
        <v>21</v>
      </c>
    </row>
    <row r="4" spans="1:13" ht="57.6" x14ac:dyDescent="0.3">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2" x14ac:dyDescent="0.2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x14ac:dyDescent="0.3">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8" x14ac:dyDescent="0.25">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x14ac:dyDescent="0.3">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x14ac:dyDescent="0.25">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x14ac:dyDescent="0.3">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2" x14ac:dyDescent="0.2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x14ac:dyDescent="0.3">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x14ac:dyDescent="0.25">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 x14ac:dyDescent="0.3">
      <c r="A14" s="22"/>
      <c r="B14" s="33"/>
      <c r="C14" s="22"/>
      <c r="D14" s="22"/>
      <c r="E14" s="22"/>
      <c r="F14" s="22"/>
      <c r="G14" s="22"/>
      <c r="H14" s="22"/>
      <c r="I14" s="22"/>
      <c r="J14" s="22"/>
      <c r="K14" s="22"/>
      <c r="L14" s="62"/>
      <c r="M14" s="62"/>
    </row>
    <row r="15" spans="1:13" ht="14.4" x14ac:dyDescent="0.3">
      <c r="A15" s="22"/>
      <c r="B15" s="33"/>
      <c r="C15" s="22"/>
      <c r="D15" s="22"/>
      <c r="E15" s="22"/>
      <c r="F15" s="23"/>
      <c r="G15" s="22"/>
      <c r="H15" s="22"/>
      <c r="I15" s="23"/>
      <c r="J15" s="22"/>
      <c r="K15" s="22"/>
    </row>
    <row r="16" spans="1:13" ht="14.4" x14ac:dyDescent="0.3">
      <c r="A16" s="22"/>
      <c r="B16" s="33"/>
      <c r="C16" s="22"/>
      <c r="D16" s="22"/>
      <c r="E16" s="22"/>
      <c r="F16" s="23"/>
      <c r="G16" s="22"/>
      <c r="H16" s="22"/>
      <c r="I16" s="23"/>
      <c r="J16" s="22"/>
      <c r="K16" s="22"/>
    </row>
    <row r="17" spans="1:11" ht="14.4" x14ac:dyDescent="0.3">
      <c r="A17" s="22"/>
      <c r="B17" s="33"/>
      <c r="C17" s="22"/>
      <c r="D17" s="22"/>
      <c r="E17" s="22"/>
      <c r="F17" s="23"/>
      <c r="G17" s="22"/>
      <c r="H17" s="22"/>
      <c r="I17" s="23"/>
      <c r="J17" s="22"/>
      <c r="K17" s="22"/>
    </row>
    <row r="18" spans="1:11" ht="14.4" x14ac:dyDescent="0.3">
      <c r="A18" s="22"/>
      <c r="B18" s="33"/>
      <c r="C18" s="22"/>
      <c r="D18" s="22"/>
      <c r="E18" s="22"/>
      <c r="F18" s="23"/>
      <c r="G18" s="22"/>
      <c r="H18" s="22"/>
      <c r="I18" s="23"/>
      <c r="J18" s="22"/>
      <c r="K18" s="22"/>
    </row>
    <row r="19" spans="1:11" ht="14.4" x14ac:dyDescent="0.3">
      <c r="A19" s="22"/>
      <c r="B19" s="33"/>
      <c r="C19" s="22"/>
      <c r="D19" s="22"/>
      <c r="E19" s="22"/>
      <c r="F19" s="23"/>
      <c r="G19" s="22"/>
      <c r="H19" s="22"/>
      <c r="I19" s="23"/>
      <c r="J19" s="22"/>
      <c r="K19" s="22"/>
    </row>
    <row r="20" spans="1:11" ht="14.4" x14ac:dyDescent="0.3">
      <c r="A20" s="22"/>
      <c r="B20" s="33"/>
      <c r="C20" s="22"/>
      <c r="D20" s="22"/>
      <c r="E20" s="22"/>
      <c r="F20" s="23"/>
      <c r="G20" s="22"/>
      <c r="H20" s="22"/>
      <c r="I20" s="23"/>
      <c r="J20" s="22"/>
      <c r="K20" s="22"/>
    </row>
    <row r="21" spans="1:11" ht="14.4" x14ac:dyDescent="0.3">
      <c r="A21" s="22"/>
      <c r="B21" s="33"/>
      <c r="C21" s="22"/>
      <c r="D21" s="22"/>
      <c r="E21" s="22"/>
      <c r="F21" s="23"/>
      <c r="G21" s="22"/>
      <c r="H21" s="22"/>
      <c r="I21" s="23"/>
      <c r="J21" s="22"/>
      <c r="K21" s="22"/>
    </row>
    <row r="22" spans="1:11" ht="14.4" x14ac:dyDescent="0.3">
      <c r="A22" s="22"/>
      <c r="B22" s="33"/>
      <c r="C22" s="22"/>
      <c r="D22" s="22"/>
      <c r="E22" s="22"/>
      <c r="F22" s="23"/>
      <c r="G22" s="22"/>
      <c r="H22" s="22"/>
      <c r="I22" s="23"/>
      <c r="J22" s="22"/>
      <c r="K22" s="22"/>
    </row>
    <row r="23" spans="1:11" ht="14.4" x14ac:dyDescent="0.3">
      <c r="A23" s="22"/>
      <c r="B23" s="33"/>
      <c r="C23" s="22"/>
      <c r="D23" s="22"/>
      <c r="E23" s="22"/>
      <c r="F23" s="23"/>
      <c r="G23" s="22"/>
      <c r="H23" s="22"/>
      <c r="I23" s="23"/>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37" priority="4" stopIfTrue="1" operator="lessThanOrEqual">
      <formula>-0.1</formula>
    </cfRule>
    <cfRule type="expression" dxfId="36"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topRight" activeCell="D13" sqref="D13"/>
      <selection pane="bottomLeft" activeCell="D13" sqref="D13"/>
      <selection pane="bottomRight" activeCell="N21" sqref="N21"/>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21" ht="19.5" customHeight="1" x14ac:dyDescent="0.25">
      <c r="A1" s="73" t="str" cm="1">
        <f t="array" ref="A1">portfolio</f>
        <v>Ecofin</v>
      </c>
      <c r="B1" s="73"/>
      <c r="C1" s="73"/>
      <c r="D1" s="74" t="s">
        <v>45</v>
      </c>
      <c r="E1" s="74"/>
      <c r="F1" s="74"/>
      <c r="G1" s="72" t="s">
        <v>46</v>
      </c>
      <c r="H1" s="72"/>
      <c r="I1" s="72"/>
      <c r="J1" s="5"/>
      <c r="K1" s="5"/>
    </row>
    <row r="2" spans="1:21" ht="19.5" customHeight="1" x14ac:dyDescent="0.25">
      <c r="A2" s="75" t="s">
        <v>2</v>
      </c>
      <c r="B2" s="75"/>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x14ac:dyDescent="0.25">
      <c r="A3" s="9" t="s">
        <v>3</v>
      </c>
      <c r="B3" s="9" t="s">
        <v>4</v>
      </c>
      <c r="C3" s="24" t="s">
        <v>5</v>
      </c>
      <c r="D3" s="35" t="s">
        <v>6</v>
      </c>
      <c r="E3" s="35" t="s">
        <v>7</v>
      </c>
      <c r="F3" s="36" t="s">
        <v>8</v>
      </c>
      <c r="G3" s="37" t="s">
        <v>9</v>
      </c>
      <c r="H3" s="38" t="s">
        <v>7</v>
      </c>
      <c r="I3" s="39" t="s">
        <v>8</v>
      </c>
      <c r="J3" s="26" t="s">
        <v>20</v>
      </c>
      <c r="K3" s="26" t="s">
        <v>21</v>
      </c>
    </row>
    <row r="4" spans="1:21" ht="43.2" x14ac:dyDescent="0.3">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x14ac:dyDescent="0.3">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x14ac:dyDescent="0.3">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8" x14ac:dyDescent="0.3">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8" x14ac:dyDescent="0.3">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x14ac:dyDescent="0.25">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2" x14ac:dyDescent="0.3">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x14ac:dyDescent="0.25">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x14ac:dyDescent="0.3">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x14ac:dyDescent="0.3">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 x14ac:dyDescent="0.3">
      <c r="A14" s="22"/>
      <c r="B14" s="33"/>
      <c r="C14" s="22"/>
      <c r="D14" s="22"/>
      <c r="E14" s="22"/>
      <c r="F14" s="22"/>
      <c r="G14" s="22"/>
      <c r="H14" s="22"/>
      <c r="I14" s="22"/>
      <c r="J14" s="22"/>
      <c r="K14" s="22"/>
    </row>
    <row r="15" spans="1:21" ht="14.4" x14ac:dyDescent="0.3">
      <c r="A15" s="22"/>
      <c r="B15" s="33"/>
      <c r="C15" s="22"/>
      <c r="D15" s="22"/>
      <c r="E15" s="22"/>
      <c r="F15" s="22"/>
      <c r="G15" s="22"/>
      <c r="H15" s="22"/>
      <c r="I15" s="22"/>
      <c r="J15" s="22"/>
      <c r="K15" s="22"/>
    </row>
    <row r="16" spans="1:21"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2"/>
      <c r="G23" s="22"/>
      <c r="H23" s="22"/>
      <c r="I23" s="22"/>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5" priority="1" stopIfTrue="1" operator="lessThanOrEqual">
      <formula>-0.1</formula>
    </cfRule>
    <cfRule type="expression" dxfId="34"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topRight" activeCell="D13" sqref="D13"/>
      <selection pane="bottomLeft" activeCell="D13" sqref="D13"/>
      <selection pane="bottomRight" activeCell="J8" sqref="J8"/>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6" ht="19.5" customHeight="1" x14ac:dyDescent="0.25">
      <c r="A1" s="73" t="str" cm="1">
        <f t="array" ref="A1">portfolio</f>
        <v>Ecofin</v>
      </c>
      <c r="B1" s="73"/>
      <c r="C1" s="73"/>
      <c r="D1" s="74" t="s">
        <v>73</v>
      </c>
      <c r="E1" s="74"/>
      <c r="F1" s="74"/>
      <c r="G1" s="72" t="s">
        <v>74</v>
      </c>
      <c r="H1" s="72"/>
      <c r="I1" s="72"/>
      <c r="J1" s="5"/>
      <c r="K1" s="5"/>
    </row>
    <row r="2" spans="1:16" ht="19.5" customHeight="1" x14ac:dyDescent="0.25">
      <c r="A2" s="75" t="s">
        <v>2</v>
      </c>
      <c r="B2" s="75"/>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x14ac:dyDescent="0.25">
      <c r="A3" s="9" t="s">
        <v>3</v>
      </c>
      <c r="B3" s="9" t="s">
        <v>4</v>
      </c>
      <c r="C3" s="24" t="s">
        <v>5</v>
      </c>
      <c r="D3" s="35" t="s">
        <v>6</v>
      </c>
      <c r="E3" s="35" t="s">
        <v>7</v>
      </c>
      <c r="F3" s="36" t="s">
        <v>8</v>
      </c>
      <c r="G3" s="37" t="s">
        <v>9</v>
      </c>
      <c r="H3" s="38" t="s">
        <v>7</v>
      </c>
      <c r="I3" s="39" t="s">
        <v>8</v>
      </c>
      <c r="J3" s="26" t="s">
        <v>20</v>
      </c>
      <c r="K3" s="26" t="s">
        <v>21</v>
      </c>
    </row>
    <row r="4" spans="1:16" ht="43.2" x14ac:dyDescent="0.3">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x14ac:dyDescent="0.25">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x14ac:dyDescent="0.3">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8" x14ac:dyDescent="0.25">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 x14ac:dyDescent="0.25">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x14ac:dyDescent="0.25">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x14ac:dyDescent="0.3">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2" x14ac:dyDescent="0.2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x14ac:dyDescent="0.3">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x14ac:dyDescent="0.25">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 x14ac:dyDescent="0.3">
      <c r="A14" s="22"/>
      <c r="B14" s="33"/>
      <c r="C14" s="22"/>
      <c r="D14" s="22"/>
      <c r="E14" s="22"/>
      <c r="F14" s="22"/>
      <c r="G14" s="22"/>
      <c r="H14" s="22"/>
      <c r="I14" s="22"/>
      <c r="J14" s="22"/>
      <c r="K14" s="22"/>
    </row>
    <row r="15" spans="1:16" ht="14.4" x14ac:dyDescent="0.3">
      <c r="A15" s="22"/>
      <c r="B15" s="33"/>
      <c r="C15" s="22"/>
      <c r="D15" s="22"/>
      <c r="E15" s="22"/>
      <c r="F15" s="22"/>
      <c r="G15" s="22"/>
      <c r="H15" s="22"/>
      <c r="I15" s="22"/>
      <c r="J15" s="22"/>
      <c r="K15" s="22"/>
    </row>
    <row r="16" spans="1:16"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2"/>
      <c r="G23" s="22"/>
      <c r="H23" s="22"/>
      <c r="I23" s="22"/>
      <c r="J23" s="22"/>
      <c r="K23" s="22"/>
    </row>
    <row r="24" spans="1:11" ht="14.4" x14ac:dyDescent="0.3">
      <c r="A24" s="22"/>
      <c r="B24" s="33"/>
      <c r="C24" s="22"/>
      <c r="D24" s="22"/>
      <c r="E24" s="22"/>
      <c r="F24" s="22"/>
      <c r="G24" s="22"/>
      <c r="H24" s="22"/>
      <c r="I24" s="22"/>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3" priority="3" stopIfTrue="1" operator="lessThanOrEqual">
      <formula>-0.1</formula>
    </cfRule>
    <cfRule type="expression" dxfId="32"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topRight" activeCell="D13" sqref="D13"/>
      <selection pane="bottomLeft" activeCell="D13" sqref="D13"/>
      <selection pane="bottomRight" activeCell="E15" sqref="E15"/>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 min="12" max="14" width="8.88671875" style="62"/>
  </cols>
  <sheetData>
    <row r="1" spans="1:13" ht="19.5" customHeight="1" x14ac:dyDescent="0.25">
      <c r="A1" s="73" t="str" cm="1">
        <f t="array" ref="A1">portfolio</f>
        <v>Ecofin</v>
      </c>
      <c r="B1" s="73"/>
      <c r="C1" s="73"/>
      <c r="D1" s="74" t="s">
        <v>99</v>
      </c>
      <c r="E1" s="74"/>
      <c r="F1" s="74"/>
      <c r="G1" s="72" t="s">
        <v>100</v>
      </c>
      <c r="H1" s="72"/>
      <c r="I1" s="72"/>
      <c r="J1" s="5"/>
      <c r="K1" s="5"/>
    </row>
    <row r="2" spans="1:13" ht="19.5" customHeight="1" x14ac:dyDescent="0.25">
      <c r="A2" s="75" t="s">
        <v>2</v>
      </c>
      <c r="B2" s="75"/>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x14ac:dyDescent="0.25">
      <c r="A3" s="9" t="s">
        <v>3</v>
      </c>
      <c r="B3" s="9" t="s">
        <v>4</v>
      </c>
      <c r="C3" s="24" t="s">
        <v>5</v>
      </c>
      <c r="D3" s="35" t="s">
        <v>6</v>
      </c>
      <c r="E3" s="35" t="s">
        <v>7</v>
      </c>
      <c r="F3" s="36" t="s">
        <v>8</v>
      </c>
      <c r="G3" s="37" t="s">
        <v>9</v>
      </c>
      <c r="H3" s="38" t="s">
        <v>7</v>
      </c>
      <c r="I3" s="39" t="s">
        <v>8</v>
      </c>
      <c r="J3" s="26" t="s">
        <v>20</v>
      </c>
      <c r="K3" s="26" t="s">
        <v>21</v>
      </c>
    </row>
    <row r="4" spans="1:13" ht="86.25" customHeight="1" x14ac:dyDescent="0.25">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8" x14ac:dyDescent="0.25">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x14ac:dyDescent="0.3">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x14ac:dyDescent="0.25">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x14ac:dyDescent="0.25">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700000000000003" customHeight="1" x14ac:dyDescent="0.25">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x14ac:dyDescent="0.3">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x14ac:dyDescent="0.25">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x14ac:dyDescent="0.3">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x14ac:dyDescent="0.25">
      <c r="A13" s="30" t="str">
        <v>Rockbridge Baths - Small Mouth Bass</v>
      </c>
      <c r="B13" s="31" t="str">
        <v>VA</v>
      </c>
      <c r="C13" s="12">
        <v>0</v>
      </c>
      <c r="D13" s="19">
        <v>0</v>
      </c>
      <c r="E13" s="19">
        <f t="shared" si="0"/>
        <v>0</v>
      </c>
      <c r="F13" s="20" t="str">
        <f t="shared" si="3"/>
        <v/>
      </c>
      <c r="G13" s="21">
        <v>0</v>
      </c>
      <c r="H13" s="21"/>
      <c r="I13" s="20"/>
      <c r="J13" s="42"/>
      <c r="K13" s="42"/>
    </row>
    <row r="14" spans="1:13" ht="14.4" x14ac:dyDescent="0.3">
      <c r="A14" s="22"/>
      <c r="B14" s="33"/>
      <c r="C14" s="22"/>
      <c r="D14" s="22"/>
      <c r="E14" s="22"/>
      <c r="F14" s="22"/>
      <c r="G14" s="22"/>
      <c r="H14" s="22"/>
      <c r="I14" s="22"/>
      <c r="J14" s="22"/>
      <c r="K14" s="22"/>
    </row>
    <row r="15" spans="1:13" ht="14.4" x14ac:dyDescent="0.3">
      <c r="A15" s="22"/>
      <c r="B15" s="33"/>
      <c r="C15" s="22"/>
      <c r="D15" s="22"/>
      <c r="E15" s="22"/>
      <c r="F15" s="22"/>
      <c r="G15" s="22"/>
      <c r="H15" s="22"/>
      <c r="I15" s="22"/>
      <c r="J15" s="22"/>
      <c r="K15" s="22"/>
    </row>
    <row r="16" spans="1:13"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2"/>
      <c r="G23" s="22"/>
      <c r="H23" s="22"/>
      <c r="I23" s="22"/>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1" priority="3" stopIfTrue="1" operator="lessThanOrEqual">
      <formula>-0.1</formula>
    </cfRule>
    <cfRule type="expression" dxfId="30"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J4" activePane="bottomRight" state="frozen"/>
      <selection pane="topRight" activeCell="D13" sqref="D13"/>
      <selection pane="bottomLeft" activeCell="D13" sqref="D13"/>
      <selection pane="bottomRight" activeCell="J9" sqref="J9:J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7" ht="19.5" customHeight="1" x14ac:dyDescent="0.25">
      <c r="A1" s="73" t="str" cm="1">
        <f t="array" ref="A1">portfolio</f>
        <v>Ecofin</v>
      </c>
      <c r="B1" s="73"/>
      <c r="C1" s="73"/>
      <c r="D1" s="74" t="s">
        <v>111</v>
      </c>
      <c r="E1" s="74"/>
      <c r="F1" s="74"/>
      <c r="G1" s="72" t="s">
        <v>112</v>
      </c>
      <c r="H1" s="72"/>
      <c r="I1" s="72"/>
      <c r="J1" s="5"/>
      <c r="K1" s="5"/>
    </row>
    <row r="2" spans="1:17" ht="19.5" customHeight="1" x14ac:dyDescent="0.25">
      <c r="A2" s="75" t="s">
        <v>2</v>
      </c>
      <c r="B2" s="75"/>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x14ac:dyDescent="0.25">
      <c r="A3" s="9" t="s">
        <v>3</v>
      </c>
      <c r="B3" s="9" t="s">
        <v>4</v>
      </c>
      <c r="C3" s="24" t="s">
        <v>5</v>
      </c>
      <c r="D3" s="35" t="s">
        <v>6</v>
      </c>
      <c r="E3" s="35" t="s">
        <v>7</v>
      </c>
      <c r="F3" s="36" t="s">
        <v>8</v>
      </c>
      <c r="G3" s="37" t="s">
        <v>9</v>
      </c>
      <c r="H3" s="38" t="s">
        <v>7</v>
      </c>
      <c r="I3" s="39" t="s">
        <v>8</v>
      </c>
      <c r="J3" s="26" t="s">
        <v>20</v>
      </c>
      <c r="K3" s="26" t="s">
        <v>21</v>
      </c>
    </row>
    <row r="4" spans="1:17" ht="71.25" customHeight="1" x14ac:dyDescent="0.3">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x14ac:dyDescent="0.3">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2" x14ac:dyDescent="0.3">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x14ac:dyDescent="0.25">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2" x14ac:dyDescent="0.3">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x14ac:dyDescent="0.25">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x14ac:dyDescent="0.3">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x14ac:dyDescent="0.25">
      <c r="A11" s="30" t="str">
        <v>Mount Jackson - Randolf</v>
      </c>
      <c r="B11" s="31" t="str">
        <v>VA</v>
      </c>
      <c r="C11" s="12"/>
      <c r="D11" s="19"/>
      <c r="E11" s="19"/>
      <c r="F11" s="20"/>
      <c r="G11" s="21"/>
      <c r="H11" s="21"/>
      <c r="I11" s="20"/>
      <c r="J11" s="48" t="s">
        <v>127</v>
      </c>
      <c r="K11" s="48"/>
    </row>
    <row r="12" spans="1:17" ht="15.6" x14ac:dyDescent="0.3">
      <c r="A12" s="32" t="str">
        <v>Callands Gretna - Monroe</v>
      </c>
      <c r="B12" s="29" t="str">
        <v>VA</v>
      </c>
      <c r="C12" s="25"/>
      <c r="D12" s="14"/>
      <c r="E12" s="14"/>
      <c r="F12" s="15"/>
      <c r="G12" s="16"/>
      <c r="H12" s="16"/>
      <c r="I12" s="17"/>
      <c r="J12" s="50" t="s">
        <v>127</v>
      </c>
      <c r="K12" s="50"/>
    </row>
    <row r="13" spans="1:17" ht="15.6" x14ac:dyDescent="0.25">
      <c r="A13" s="30" t="str">
        <v>Rockbridge Baths - Small Mouth Bass</v>
      </c>
      <c r="B13" s="31" t="str">
        <v>VA</v>
      </c>
      <c r="C13" s="12"/>
      <c r="D13" s="19"/>
      <c r="E13" s="19"/>
      <c r="F13" s="20"/>
      <c r="G13" s="21"/>
      <c r="H13" s="21"/>
      <c r="I13" s="20"/>
      <c r="J13" s="42" t="s">
        <v>127</v>
      </c>
      <c r="K13" s="42"/>
    </row>
    <row r="14" spans="1:17" ht="14.4" x14ac:dyDescent="0.3">
      <c r="A14" s="22"/>
      <c r="B14" s="33"/>
      <c r="C14" s="22"/>
      <c r="D14" s="22"/>
      <c r="E14" s="22"/>
      <c r="F14" s="22"/>
      <c r="G14" s="22"/>
      <c r="H14" s="22"/>
      <c r="I14" s="22"/>
      <c r="J14" s="22"/>
      <c r="K14" s="22"/>
    </row>
    <row r="15" spans="1:17" ht="14.4" x14ac:dyDescent="0.3">
      <c r="A15" s="22"/>
      <c r="B15" s="33"/>
      <c r="C15" s="22"/>
      <c r="D15" s="22"/>
      <c r="E15" s="22"/>
      <c r="F15" s="22"/>
      <c r="G15" s="22"/>
      <c r="H15" s="22"/>
      <c r="I15" s="22"/>
      <c r="J15" s="22"/>
      <c r="K15" s="22"/>
    </row>
    <row r="16" spans="1:17"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3"/>
      <c r="G23" s="22"/>
      <c r="H23" s="22"/>
      <c r="I23" s="23"/>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29" priority="3" stopIfTrue="1" operator="lessThanOrEqual">
      <formula>-0.1</formula>
    </cfRule>
    <cfRule type="expression" dxfId="28"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tabSelected="1" zoomScale="70" zoomScaleNormal="70" workbookViewId="0">
      <pane xSplit="2" ySplit="3" topLeftCell="C4" activePane="bottomRight" state="frozen"/>
      <selection pane="topRight" activeCell="D13" sqref="D13"/>
      <selection pane="bottomLeft" activeCell="D13" sqref="D13"/>
      <selection pane="bottomRight" activeCell="L9" sqref="L9"/>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2.6640625" customWidth="1"/>
    <col min="12" max="14" width="8.88671875" style="62"/>
  </cols>
  <sheetData>
    <row r="1" spans="1:14" ht="19.5" customHeight="1" x14ac:dyDescent="0.25">
      <c r="A1" s="73" t="str" cm="1">
        <f t="array" ref="A1">portfolio</f>
        <v>Ecofin</v>
      </c>
      <c r="B1" s="73"/>
      <c r="C1" s="73"/>
      <c r="D1" s="74" t="s">
        <v>128</v>
      </c>
      <c r="E1" s="74"/>
      <c r="F1" s="74"/>
      <c r="G1" s="72" t="s">
        <v>129</v>
      </c>
      <c r="H1" s="72"/>
      <c r="I1" s="72"/>
      <c r="J1" s="5"/>
      <c r="K1" s="5"/>
    </row>
    <row r="2" spans="1:14" ht="19.5" customHeight="1" x14ac:dyDescent="0.25">
      <c r="A2" s="75" t="s">
        <v>2</v>
      </c>
      <c r="B2" s="75"/>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x14ac:dyDescent="0.25">
      <c r="A3" s="9" t="s">
        <v>3</v>
      </c>
      <c r="B3" s="9" t="s">
        <v>4</v>
      </c>
      <c r="C3" s="24" t="s">
        <v>5</v>
      </c>
      <c r="D3" s="35" t="s">
        <v>6</v>
      </c>
      <c r="E3" s="35" t="s">
        <v>7</v>
      </c>
      <c r="F3" s="36" t="s">
        <v>8</v>
      </c>
      <c r="G3" s="37" t="s">
        <v>9</v>
      </c>
      <c r="H3" s="38" t="s">
        <v>7</v>
      </c>
      <c r="I3" s="39" t="s">
        <v>8</v>
      </c>
      <c r="J3" s="26" t="s">
        <v>20</v>
      </c>
      <c r="K3" s="26" t="s">
        <v>21</v>
      </c>
    </row>
    <row r="4" spans="1:14" ht="28.8" x14ac:dyDescent="0.25">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176</v>
      </c>
      <c r="M4" s="61" t="s">
        <v>116</v>
      </c>
    </row>
    <row r="5" spans="1:14" ht="15.6" x14ac:dyDescent="0.25">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x14ac:dyDescent="0.25">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132</v>
      </c>
      <c r="K6" s="50"/>
    </row>
    <row r="7" spans="1:14" ht="15.6" x14ac:dyDescent="0.25">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133</v>
      </c>
      <c r="K7" s="60" t="s">
        <v>29</v>
      </c>
    </row>
    <row r="8" spans="1:14" ht="26.4" customHeight="1" x14ac:dyDescent="0.25">
      <c r="A8" s="51" t="str">
        <v>Pratt Solar Farm</v>
      </c>
      <c r="B8" s="29" t="str">
        <v>KS</v>
      </c>
      <c r="C8" s="25"/>
      <c r="D8" s="14"/>
      <c r="E8" s="14" t="str">
        <f t="shared" si="0"/>
        <v/>
      </c>
      <c r="F8" s="15" t="str">
        <f t="shared" si="3"/>
        <v/>
      </c>
      <c r="G8" s="16"/>
      <c r="H8" s="16" t="str">
        <f t="shared" si="1"/>
        <v/>
      </c>
      <c r="I8" s="17" t="str">
        <f t="shared" si="2"/>
        <v/>
      </c>
      <c r="J8" s="50" t="s">
        <v>134</v>
      </c>
      <c r="K8" s="50"/>
    </row>
    <row r="9" spans="1:14" ht="22.95" customHeight="1" x14ac:dyDescent="0.25">
      <c r="A9" s="30" t="str">
        <v>Rochester - 5516 Valleyhigh NW</v>
      </c>
      <c r="B9" s="31" t="str">
        <v>MN</v>
      </c>
      <c r="C9" s="12"/>
      <c r="D9" s="19"/>
      <c r="E9" s="19" t="str">
        <f t="shared" si="0"/>
        <v/>
      </c>
      <c r="F9" s="20" t="str">
        <f t="shared" si="3"/>
        <v/>
      </c>
      <c r="G9" s="21"/>
      <c r="H9" s="21" t="str">
        <f t="shared" si="1"/>
        <v/>
      </c>
      <c r="I9" s="20" t="str">
        <f t="shared" si="2"/>
        <v/>
      </c>
      <c r="J9" s="48" t="s">
        <v>127</v>
      </c>
      <c r="K9" s="48"/>
      <c r="L9" s="76"/>
      <c r="M9" s="76"/>
      <c r="N9" s="76"/>
    </row>
    <row r="10" spans="1:14" ht="18.600000000000001" customHeight="1" x14ac:dyDescent="0.25">
      <c r="A10" s="51" t="str">
        <v>Warsaw - 2201 Richmond</v>
      </c>
      <c r="B10" s="29" t="str">
        <v>VA</v>
      </c>
      <c r="C10" s="25"/>
      <c r="D10" s="14"/>
      <c r="E10" s="14" t="str">
        <f t="shared" si="0"/>
        <v/>
      </c>
      <c r="F10" s="15" t="str">
        <f t="shared" si="3"/>
        <v/>
      </c>
      <c r="G10" s="16"/>
      <c r="H10" s="16" t="str">
        <f t="shared" si="1"/>
        <v/>
      </c>
      <c r="I10" s="17" t="str">
        <f t="shared" si="2"/>
        <v/>
      </c>
      <c r="J10" s="50" t="s">
        <v>127</v>
      </c>
      <c r="K10" s="50"/>
      <c r="L10" s="76"/>
      <c r="M10" s="76"/>
      <c r="N10" s="76"/>
    </row>
    <row r="11" spans="1:14" ht="19.95" customHeight="1" x14ac:dyDescent="0.25">
      <c r="A11" s="30" t="str">
        <v>Mount Jackson - Randolf</v>
      </c>
      <c r="B11" s="31" t="str">
        <v>VA</v>
      </c>
      <c r="C11" s="12"/>
      <c r="D11" s="19"/>
      <c r="E11" s="19" t="str">
        <f t="shared" si="0"/>
        <v/>
      </c>
      <c r="F11" s="20" t="str">
        <f t="shared" si="3"/>
        <v/>
      </c>
      <c r="G11" s="21"/>
      <c r="H11" s="21" t="str">
        <f t="shared" si="1"/>
        <v/>
      </c>
      <c r="I11" s="20" t="str">
        <f t="shared" si="2"/>
        <v/>
      </c>
      <c r="J11" s="48" t="s">
        <v>127</v>
      </c>
      <c r="K11" s="48"/>
      <c r="L11" s="76"/>
      <c r="M11" s="76"/>
      <c r="N11" s="76"/>
    </row>
    <row r="12" spans="1:14" ht="18.75" customHeight="1" x14ac:dyDescent="0.25">
      <c r="A12" s="51" t="str">
        <v>Callands Gretna - Monroe</v>
      </c>
      <c r="B12" s="29" t="str">
        <v>VA</v>
      </c>
      <c r="C12" s="25"/>
      <c r="D12" s="14"/>
      <c r="E12" s="14" t="str">
        <f t="shared" si="0"/>
        <v/>
      </c>
      <c r="F12" s="15" t="str">
        <f t="shared" si="3"/>
        <v/>
      </c>
      <c r="G12" s="16"/>
      <c r="H12" s="16" t="str">
        <f t="shared" si="1"/>
        <v/>
      </c>
      <c r="I12" s="17" t="str">
        <f t="shared" si="2"/>
        <v/>
      </c>
      <c r="J12" s="50" t="s">
        <v>127</v>
      </c>
      <c r="K12" s="50"/>
      <c r="L12" s="76"/>
      <c r="M12" s="76"/>
      <c r="N12" s="76"/>
    </row>
    <row r="13" spans="1:14" ht="21.75" customHeight="1" x14ac:dyDescent="0.25">
      <c r="A13" s="30" t="str">
        <v>Rockbridge Baths - Small Mouth Bass</v>
      </c>
      <c r="B13" s="31" t="str">
        <v>VA</v>
      </c>
      <c r="C13" s="12"/>
      <c r="D13" s="19"/>
      <c r="E13" s="19" t="str">
        <f t="shared" si="0"/>
        <v/>
      </c>
      <c r="F13" s="20" t="str">
        <f t="shared" si="3"/>
        <v/>
      </c>
      <c r="G13" s="21"/>
      <c r="H13" s="21" t="str">
        <f t="shared" si="1"/>
        <v/>
      </c>
      <c r="I13" s="20" t="str">
        <f t="shared" si="2"/>
        <v/>
      </c>
      <c r="J13" s="42" t="s">
        <v>127</v>
      </c>
      <c r="K13" s="48"/>
      <c r="L13" s="76"/>
      <c r="M13" s="76"/>
      <c r="N13" s="76"/>
    </row>
    <row r="14" spans="1:14" x14ac:dyDescent="0.3">
      <c r="A14" s="22"/>
      <c r="B14" s="22"/>
      <c r="C14" s="22"/>
      <c r="D14" s="22"/>
      <c r="E14" s="22" t="str">
        <f t="shared" si="0"/>
        <v/>
      </c>
      <c r="F14" s="22" t="str">
        <f t="shared" si="3"/>
        <v/>
      </c>
      <c r="G14" s="22"/>
      <c r="H14" s="22" t="str">
        <f t="shared" si="1"/>
        <v/>
      </c>
      <c r="I14" s="22" t="str">
        <f t="shared" si="2"/>
        <v/>
      </c>
      <c r="J14" s="22"/>
      <c r="K14" s="22"/>
      <c r="L14" s="76"/>
      <c r="M14" s="76"/>
      <c r="N14" s="76"/>
    </row>
    <row r="15" spans="1:14" x14ac:dyDescent="0.3">
      <c r="A15" s="22"/>
      <c r="B15" s="22"/>
      <c r="C15" s="22"/>
      <c r="D15" s="22"/>
      <c r="E15" s="22" t="str">
        <f t="shared" si="0"/>
        <v/>
      </c>
      <c r="F15" s="22" t="str">
        <f t="shared" si="3"/>
        <v/>
      </c>
      <c r="G15" s="22"/>
      <c r="H15" s="22" t="str">
        <f t="shared" si="1"/>
        <v/>
      </c>
      <c r="I15" s="22" t="str">
        <f t="shared" si="2"/>
        <v/>
      </c>
      <c r="J15" s="22"/>
      <c r="K15" s="22"/>
      <c r="L15" s="76"/>
      <c r="M15" s="76"/>
      <c r="N15" s="76"/>
    </row>
    <row r="16" spans="1:14" x14ac:dyDescent="0.3">
      <c r="A16" s="22"/>
      <c r="B16" s="22"/>
      <c r="C16" s="22"/>
      <c r="D16" s="22"/>
      <c r="E16" s="22" t="str">
        <f t="shared" si="0"/>
        <v/>
      </c>
      <c r="F16" s="22" t="str">
        <f t="shared" si="3"/>
        <v/>
      </c>
      <c r="G16" s="22"/>
      <c r="H16" s="22" t="str">
        <f t="shared" si="1"/>
        <v/>
      </c>
      <c r="I16" s="22" t="str">
        <f t="shared" si="2"/>
        <v/>
      </c>
      <c r="J16" s="22"/>
      <c r="K16" s="22"/>
      <c r="L16" s="76"/>
      <c r="M16" s="76"/>
      <c r="N16" s="76"/>
    </row>
    <row r="17" spans="1:14" x14ac:dyDescent="0.3">
      <c r="A17" s="22"/>
      <c r="B17" s="22"/>
      <c r="C17" s="22"/>
      <c r="D17" s="22"/>
      <c r="E17" s="22" t="str">
        <f t="shared" si="0"/>
        <v/>
      </c>
      <c r="F17" s="22" t="str">
        <f t="shared" si="3"/>
        <v/>
      </c>
      <c r="G17" s="22"/>
      <c r="H17" s="22" t="str">
        <f t="shared" si="1"/>
        <v/>
      </c>
      <c r="I17" s="22" t="str">
        <f t="shared" si="2"/>
        <v/>
      </c>
      <c r="J17" s="22"/>
      <c r="K17" s="22"/>
      <c r="L17" s="76"/>
      <c r="M17" s="76"/>
      <c r="N17" s="76"/>
    </row>
    <row r="18" spans="1:14" ht="12.75" customHeight="1" x14ac:dyDescent="0.3">
      <c r="A18" s="22"/>
      <c r="B18" s="33"/>
      <c r="C18" s="22"/>
      <c r="D18" s="22"/>
      <c r="E18" s="22"/>
      <c r="F18" s="22"/>
      <c r="G18" s="22"/>
      <c r="H18" s="22"/>
      <c r="I18" s="22"/>
      <c r="J18" s="22"/>
      <c r="K18" s="22"/>
    </row>
    <row r="19" spans="1:14" ht="14.4" x14ac:dyDescent="0.3">
      <c r="A19" s="22"/>
      <c r="B19" s="33"/>
      <c r="C19" s="22"/>
      <c r="D19" s="22"/>
      <c r="E19" s="22"/>
      <c r="F19" s="22"/>
      <c r="G19" s="22"/>
      <c r="H19" s="22"/>
      <c r="I19" s="22"/>
      <c r="J19" s="22"/>
      <c r="K19" s="22"/>
    </row>
    <row r="20" spans="1:14" ht="14.4" x14ac:dyDescent="0.3">
      <c r="A20" s="22"/>
      <c r="B20" s="33"/>
      <c r="C20" s="22"/>
      <c r="D20" s="22"/>
      <c r="E20" s="22"/>
      <c r="F20" s="22"/>
      <c r="G20" s="22"/>
      <c r="H20" s="22"/>
      <c r="I20" s="22"/>
      <c r="J20" s="22"/>
      <c r="K20" s="22"/>
    </row>
    <row r="21" spans="1:14" ht="14.4" x14ac:dyDescent="0.3">
      <c r="A21" s="22"/>
      <c r="B21" s="33"/>
      <c r="C21" s="22"/>
      <c r="D21" s="22"/>
      <c r="E21" s="22"/>
      <c r="F21" s="22"/>
      <c r="G21" s="22"/>
      <c r="H21" s="22"/>
      <c r="I21" s="22"/>
      <c r="J21" s="22"/>
      <c r="K21" s="22"/>
    </row>
    <row r="22" spans="1:14" ht="14.4" x14ac:dyDescent="0.3">
      <c r="A22" s="22"/>
      <c r="B22" s="33"/>
      <c r="C22" s="22"/>
      <c r="D22" s="22"/>
      <c r="E22" s="22"/>
      <c r="F22" s="22"/>
      <c r="G22" s="22"/>
      <c r="H22" s="22"/>
      <c r="I22" s="22"/>
      <c r="J22" s="22"/>
      <c r="K22" s="22"/>
    </row>
    <row r="23" spans="1:14" ht="14.4" x14ac:dyDescent="0.3">
      <c r="A23" s="22"/>
      <c r="B23" s="33"/>
      <c r="C23" s="22"/>
      <c r="D23" s="22"/>
      <c r="E23" s="22"/>
      <c r="F23" s="22"/>
      <c r="G23" s="22"/>
      <c r="H23" s="22"/>
      <c r="I23" s="22"/>
      <c r="J23" s="22"/>
      <c r="K23" s="22"/>
    </row>
    <row r="24" spans="1:14" ht="14.4" x14ac:dyDescent="0.3">
      <c r="A24" s="22"/>
      <c r="B24" s="33"/>
      <c r="C24" s="22"/>
      <c r="D24" s="22"/>
      <c r="E24" s="22"/>
      <c r="F24" s="22"/>
      <c r="G24" s="22"/>
      <c r="H24" s="22"/>
      <c r="I24" s="22"/>
      <c r="J24" s="22"/>
      <c r="K24" s="22"/>
    </row>
    <row r="25" spans="1:14" ht="14.4" x14ac:dyDescent="0.3">
      <c r="A25" s="22"/>
      <c r="B25" s="33"/>
      <c r="C25" s="22"/>
      <c r="D25" s="22"/>
      <c r="E25" s="22"/>
      <c r="F25" s="22"/>
      <c r="G25" s="22"/>
      <c r="H25" s="22"/>
      <c r="I25" s="22"/>
      <c r="J25" s="22"/>
      <c r="K25" s="22"/>
    </row>
    <row r="26" spans="1:14" ht="14.4" x14ac:dyDescent="0.3">
      <c r="A26" s="22"/>
      <c r="B26" s="33"/>
      <c r="C26" s="22"/>
      <c r="D26" s="22"/>
      <c r="E26" s="22"/>
      <c r="F26" s="22"/>
      <c r="G26" s="22"/>
      <c r="H26" s="22"/>
      <c r="I26" s="22"/>
      <c r="J26" s="22"/>
      <c r="K26" s="22"/>
    </row>
    <row r="27" spans="1:14" ht="14.4" x14ac:dyDescent="0.3">
      <c r="A27" s="22"/>
      <c r="B27" s="33"/>
      <c r="C27" s="22"/>
      <c r="D27" s="22"/>
      <c r="E27" s="22"/>
      <c r="F27" s="22"/>
      <c r="G27" s="22"/>
      <c r="H27" s="22"/>
      <c r="I27" s="22"/>
      <c r="J27" s="22"/>
      <c r="K27" s="22"/>
    </row>
    <row r="28" spans="1:14" ht="14.4" x14ac:dyDescent="0.3">
      <c r="A28" s="22"/>
      <c r="B28" s="33"/>
      <c r="C28" s="22"/>
      <c r="D28" s="22"/>
      <c r="E28" s="22"/>
      <c r="F28" s="22"/>
      <c r="G28" s="22"/>
      <c r="H28" s="22"/>
      <c r="I28" s="22"/>
      <c r="J28" s="22"/>
      <c r="K28" s="22"/>
    </row>
    <row r="29" spans="1:14" ht="14.4" x14ac:dyDescent="0.3">
      <c r="A29" s="22"/>
      <c r="B29" s="33"/>
      <c r="C29" s="22"/>
      <c r="D29" s="22"/>
      <c r="E29" s="22"/>
      <c r="F29" s="22"/>
      <c r="G29" s="22"/>
      <c r="H29" s="22"/>
      <c r="I29" s="22"/>
      <c r="J29" s="22"/>
      <c r="K29" s="22"/>
    </row>
    <row r="30" spans="1:14" ht="14.4" x14ac:dyDescent="0.3">
      <c r="A30" s="22"/>
      <c r="B30" s="33"/>
      <c r="C30" s="22"/>
      <c r="D30" s="22"/>
      <c r="E30" s="22"/>
      <c r="F30" s="22"/>
      <c r="G30" s="22"/>
      <c r="H30" s="22"/>
      <c r="I30" s="22"/>
      <c r="J30" s="22"/>
      <c r="K30" s="22"/>
    </row>
    <row r="31" spans="1:14" ht="14.4" x14ac:dyDescent="0.3">
      <c r="A31" s="22"/>
      <c r="B31" s="33"/>
      <c r="C31" s="22"/>
      <c r="D31" s="22"/>
      <c r="E31" s="22"/>
      <c r="F31" s="22"/>
      <c r="G31" s="22"/>
      <c r="H31" s="22"/>
      <c r="I31" s="22"/>
      <c r="J31" s="22"/>
      <c r="K31" s="22"/>
    </row>
    <row r="32" spans="1:14"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3 I4:I13 F18:F100 I18:I100">
    <cfRule type="cellIs" dxfId="25" priority="1" stopIfTrue="1" operator="lessThanOrEqual">
      <formula>-0.1</formula>
    </cfRule>
    <cfRule type="expression" dxfId="24"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5" ht="19.5" customHeight="1" x14ac:dyDescent="0.25">
      <c r="A1" s="73" t="str" cm="1">
        <f t="array" ref="A1">portfolio</f>
        <v>Ecofin</v>
      </c>
      <c r="B1" s="73"/>
      <c r="C1" s="73"/>
      <c r="D1" s="74" t="s">
        <v>135</v>
      </c>
      <c r="E1" s="74"/>
      <c r="F1" s="74"/>
      <c r="G1" s="72" t="s">
        <v>136</v>
      </c>
      <c r="H1" s="72"/>
      <c r="I1" s="72"/>
      <c r="J1" s="5"/>
      <c r="K1" s="5"/>
    </row>
    <row r="2" spans="1:15" ht="19.5" customHeight="1" x14ac:dyDescent="0.25">
      <c r="A2" s="75" t="s">
        <v>2</v>
      </c>
      <c r="B2" s="75"/>
      <c r="C2" s="6">
        <f>SUM(C4:C100)</f>
        <v>0</v>
      </c>
      <c r="D2" s="6">
        <f>SUM(D4:D100)</f>
        <v>0</v>
      </c>
      <c r="E2" s="6">
        <f>C2-D2</f>
        <v>0</v>
      </c>
      <c r="F2" s="7">
        <f>IFERROR(E2/D2, 0)</f>
        <v>0</v>
      </c>
      <c r="G2" s="6">
        <f>SUM(G4:G100)</f>
        <v>0</v>
      </c>
      <c r="H2" s="8">
        <f>C2-G2</f>
        <v>0</v>
      </c>
      <c r="I2" s="7">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x14ac:dyDescent="0.25">
      <c r="A3" s="9" t="s">
        <v>3</v>
      </c>
      <c r="B3" s="9" t="s">
        <v>4</v>
      </c>
      <c r="C3" s="24" t="s">
        <v>5</v>
      </c>
      <c r="D3" s="35" t="s">
        <v>6</v>
      </c>
      <c r="E3" s="35" t="s">
        <v>7</v>
      </c>
      <c r="F3" s="36" t="s">
        <v>8</v>
      </c>
      <c r="G3" s="37" t="s">
        <v>9</v>
      </c>
      <c r="H3" s="38" t="s">
        <v>7</v>
      </c>
      <c r="I3" s="39" t="s">
        <v>8</v>
      </c>
      <c r="J3" s="26" t="s">
        <v>20</v>
      </c>
      <c r="K3" s="26" t="s">
        <v>21</v>
      </c>
    </row>
    <row r="4" spans="1:15" ht="15.6"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5" ht="15.6" x14ac:dyDescent="0.2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5" ht="15.6" x14ac:dyDescent="0.3">
      <c r="A6" s="32" t="str">
        <v>Golden NREL 2</v>
      </c>
      <c r="B6" s="29" t="str">
        <v>CO</v>
      </c>
      <c r="C6" s="25"/>
      <c r="D6" s="14"/>
      <c r="E6" s="14" t="str">
        <f t="shared" si="0"/>
        <v/>
      </c>
      <c r="F6" s="15" t="str">
        <f t="shared" ref="F6:F17" si="3">IFERROR(E6/D6, "")</f>
        <v/>
      </c>
      <c r="G6" s="16"/>
      <c r="H6" s="16" t="str">
        <f t="shared" si="1"/>
        <v/>
      </c>
      <c r="I6" s="17" t="str">
        <f t="shared" si="2"/>
        <v/>
      </c>
      <c r="J6" s="41"/>
      <c r="K6" s="41"/>
    </row>
    <row r="7" spans="1:15" ht="15.6" x14ac:dyDescent="0.25">
      <c r="A7" s="30" t="str">
        <v>Golden NREL Wind 3</v>
      </c>
      <c r="B7" s="31" t="str">
        <v>CO</v>
      </c>
      <c r="C7" s="12"/>
      <c r="D7" s="19"/>
      <c r="E7" s="19" t="str">
        <f t="shared" si="0"/>
        <v/>
      </c>
      <c r="F7" s="20" t="str">
        <f t="shared" si="3"/>
        <v/>
      </c>
      <c r="G7" s="21"/>
      <c r="H7" s="21" t="str">
        <f t="shared" si="1"/>
        <v/>
      </c>
      <c r="I7" s="20" t="str">
        <f t="shared" si="2"/>
        <v/>
      </c>
      <c r="J7" s="48"/>
      <c r="K7" s="48"/>
    </row>
    <row r="8" spans="1:15" ht="15.6" x14ac:dyDescent="0.3">
      <c r="A8" s="32" t="str">
        <v>Pratt Solar Farm</v>
      </c>
      <c r="B8" s="29" t="str">
        <v>KS</v>
      </c>
      <c r="C8" s="25"/>
      <c r="D8" s="14"/>
      <c r="E8" s="14" t="str">
        <f t="shared" si="0"/>
        <v/>
      </c>
      <c r="F8" s="15" t="str">
        <f t="shared" si="3"/>
        <v/>
      </c>
      <c r="G8" s="16"/>
      <c r="H8" s="16" t="str">
        <f t="shared" si="1"/>
        <v/>
      </c>
      <c r="I8" s="17" t="str">
        <f t="shared" si="2"/>
        <v/>
      </c>
      <c r="J8" s="41"/>
      <c r="K8" s="41"/>
    </row>
    <row r="9" spans="1:15" ht="111.75" customHeight="1" x14ac:dyDescent="0.3">
      <c r="A9" s="30" t="str">
        <v>Rochester - 5516 Valleyhigh NW</v>
      </c>
      <c r="B9" s="31" t="str">
        <v>MN</v>
      </c>
      <c r="C9" s="12"/>
      <c r="D9" s="19"/>
      <c r="E9" s="19" t="str">
        <f t="shared" si="0"/>
        <v/>
      </c>
      <c r="F9" s="20" t="str">
        <f t="shared" si="3"/>
        <v/>
      </c>
      <c r="G9" s="21"/>
      <c r="H9" s="21" t="str">
        <f t="shared" si="1"/>
        <v/>
      </c>
      <c r="I9" s="20" t="str">
        <f t="shared" si="2"/>
        <v/>
      </c>
      <c r="J9" s="48"/>
      <c r="K9" s="48"/>
      <c r="L9" s="22"/>
      <c r="M9" s="22"/>
      <c r="N9" s="22"/>
      <c r="O9" s="22"/>
    </row>
    <row r="10" spans="1:15" ht="15.6" x14ac:dyDescent="0.3">
      <c r="A10" s="32" t="str">
        <v>Warsaw - 2201 Richmond</v>
      </c>
      <c r="B10" s="29" t="str">
        <v>VA</v>
      </c>
      <c r="C10" s="25"/>
      <c r="D10" s="14"/>
      <c r="E10" s="14" t="str">
        <f t="shared" si="0"/>
        <v/>
      </c>
      <c r="F10" s="15" t="str">
        <f t="shared" si="3"/>
        <v/>
      </c>
      <c r="G10" s="16"/>
      <c r="H10" s="16" t="str">
        <f t="shared" si="1"/>
        <v/>
      </c>
      <c r="I10" s="17" t="str">
        <f t="shared" si="2"/>
        <v/>
      </c>
      <c r="J10" s="41"/>
      <c r="K10" s="41"/>
      <c r="L10" s="22"/>
      <c r="M10" s="22"/>
      <c r="N10" s="22"/>
      <c r="O10" s="22"/>
    </row>
    <row r="11" spans="1:15" ht="15.6" x14ac:dyDescent="0.3">
      <c r="A11" s="30" t="str">
        <v>Mount Jackson - Randolf</v>
      </c>
      <c r="B11" s="31" t="str">
        <v>VA</v>
      </c>
      <c r="C11" s="12"/>
      <c r="D11" s="19"/>
      <c r="E11" s="19" t="str">
        <f t="shared" si="0"/>
        <v/>
      </c>
      <c r="F11" s="20" t="str">
        <f t="shared" si="3"/>
        <v/>
      </c>
      <c r="G11" s="21"/>
      <c r="H11" s="21" t="str">
        <f t="shared" si="1"/>
        <v/>
      </c>
      <c r="I11" s="20" t="str">
        <f t="shared" si="2"/>
        <v/>
      </c>
      <c r="J11" s="42"/>
      <c r="K11" s="48"/>
      <c r="L11" s="22"/>
      <c r="M11" s="22"/>
      <c r="N11" s="22"/>
      <c r="O11" s="22"/>
    </row>
    <row r="12" spans="1:15" ht="15.6" x14ac:dyDescent="0.3">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c r="N12" s="22"/>
      <c r="O12" s="22"/>
    </row>
    <row r="13" spans="1:15" ht="15.6" x14ac:dyDescent="0.3">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c r="N13" s="22"/>
      <c r="O13" s="22"/>
    </row>
    <row r="14" spans="1:15" x14ac:dyDescent="0.3">
      <c r="A14" s="22"/>
      <c r="B14" s="22"/>
      <c r="C14" s="22"/>
      <c r="D14" s="22"/>
      <c r="E14" s="22" t="str">
        <f t="shared" si="0"/>
        <v/>
      </c>
      <c r="F14" s="22" t="str">
        <f t="shared" si="3"/>
        <v/>
      </c>
      <c r="G14" s="22"/>
      <c r="H14" s="22" t="str">
        <f t="shared" si="1"/>
        <v/>
      </c>
      <c r="I14" s="22" t="str">
        <f t="shared" si="2"/>
        <v/>
      </c>
      <c r="J14" s="22"/>
      <c r="K14" s="22"/>
      <c r="L14" s="22"/>
      <c r="M14" s="22"/>
      <c r="N14" s="22"/>
      <c r="O14" s="22"/>
    </row>
    <row r="15" spans="1:15" x14ac:dyDescent="0.3">
      <c r="A15" s="22"/>
      <c r="B15" s="22"/>
      <c r="C15" s="22"/>
      <c r="D15" s="22"/>
      <c r="E15" s="22" t="str">
        <f t="shared" si="0"/>
        <v/>
      </c>
      <c r="F15" s="22" t="str">
        <f t="shared" si="3"/>
        <v/>
      </c>
      <c r="G15" s="22"/>
      <c r="H15" s="22" t="str">
        <f t="shared" si="1"/>
        <v/>
      </c>
      <c r="I15" s="22" t="str">
        <f t="shared" si="2"/>
        <v/>
      </c>
      <c r="J15" s="22"/>
      <c r="K15" s="22"/>
      <c r="L15" s="22"/>
      <c r="M15" s="22"/>
      <c r="N15" s="22"/>
      <c r="O15" s="22"/>
    </row>
    <row r="16" spans="1:15" x14ac:dyDescent="0.3">
      <c r="A16" s="22"/>
      <c r="B16" s="22"/>
      <c r="C16" s="22"/>
      <c r="D16" s="22"/>
      <c r="E16" s="22" t="str">
        <f t="shared" si="0"/>
        <v/>
      </c>
      <c r="F16" s="22" t="str">
        <f t="shared" si="3"/>
        <v/>
      </c>
      <c r="G16" s="22"/>
      <c r="H16" s="22" t="str">
        <f t="shared" si="1"/>
        <v/>
      </c>
      <c r="I16" s="22" t="str">
        <f t="shared" si="2"/>
        <v/>
      </c>
      <c r="J16" s="22"/>
      <c r="K16" s="22"/>
      <c r="L16" s="22"/>
      <c r="M16" s="22"/>
      <c r="N16" s="22"/>
      <c r="O16" s="22"/>
    </row>
    <row r="17" spans="1:15" x14ac:dyDescent="0.3">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x14ac:dyDescent="0.3">
      <c r="A18" s="22"/>
      <c r="B18" s="22"/>
      <c r="C18" s="22"/>
      <c r="D18" s="22"/>
      <c r="E18" s="22"/>
      <c r="F18" s="22"/>
      <c r="G18" s="22"/>
      <c r="H18" s="22"/>
      <c r="I18" s="22"/>
      <c r="J18" s="22"/>
      <c r="K18" s="22"/>
      <c r="L18" s="22"/>
      <c r="M18" s="22"/>
      <c r="N18" s="22"/>
      <c r="O18" s="22"/>
    </row>
    <row r="19" spans="1:15" x14ac:dyDescent="0.3">
      <c r="A19" s="22"/>
      <c r="B19" s="22"/>
      <c r="C19" s="22"/>
      <c r="D19" s="22"/>
      <c r="E19" s="22"/>
      <c r="F19" s="22"/>
      <c r="G19" s="22"/>
      <c r="H19" s="22"/>
      <c r="I19" s="22"/>
      <c r="J19" s="22"/>
      <c r="K19" s="22"/>
      <c r="L19" s="22"/>
      <c r="M19" s="22"/>
      <c r="N19" s="22"/>
      <c r="O19" s="22"/>
    </row>
    <row r="20" spans="1:15" ht="14.4" x14ac:dyDescent="0.3">
      <c r="A20" s="22"/>
      <c r="B20" s="33"/>
      <c r="C20" s="22"/>
      <c r="D20" s="22"/>
      <c r="E20" s="22"/>
      <c r="F20" s="22"/>
      <c r="G20" s="22"/>
      <c r="H20" s="22"/>
      <c r="I20" s="22"/>
      <c r="J20" s="22"/>
      <c r="K20" s="22"/>
    </row>
    <row r="21" spans="1:15" ht="14.4" x14ac:dyDescent="0.3">
      <c r="A21" s="22"/>
      <c r="B21" s="33"/>
      <c r="C21" s="22"/>
      <c r="D21" s="22"/>
      <c r="E21" s="22"/>
      <c r="F21" s="22"/>
      <c r="G21" s="22"/>
      <c r="H21" s="22"/>
      <c r="I21" s="22"/>
      <c r="J21" s="22"/>
      <c r="K21" s="22"/>
    </row>
    <row r="22" spans="1:15" ht="14.4" x14ac:dyDescent="0.3">
      <c r="A22" s="22"/>
      <c r="B22" s="33"/>
      <c r="C22" s="22"/>
      <c r="D22" s="22"/>
      <c r="E22" s="22"/>
      <c r="F22" s="22"/>
      <c r="G22" s="22"/>
      <c r="H22" s="22"/>
      <c r="I22" s="22"/>
      <c r="J22" s="22"/>
      <c r="K22" s="22"/>
    </row>
    <row r="23" spans="1:15" ht="14.4" x14ac:dyDescent="0.3">
      <c r="A23" s="22"/>
      <c r="B23" s="33"/>
      <c r="C23" s="22"/>
      <c r="D23" s="22"/>
      <c r="E23" s="22"/>
      <c r="F23" s="22"/>
      <c r="G23" s="22"/>
      <c r="H23" s="22"/>
      <c r="I23" s="22"/>
      <c r="J23" s="22"/>
      <c r="K23" s="22"/>
    </row>
    <row r="24" spans="1:15" ht="14.4" x14ac:dyDescent="0.3">
      <c r="A24" s="22"/>
      <c r="B24" s="33"/>
      <c r="C24" s="22"/>
      <c r="D24" s="22"/>
      <c r="E24" s="22"/>
      <c r="F24" s="22"/>
      <c r="G24" s="22"/>
      <c r="H24" s="22"/>
      <c r="I24" s="22"/>
      <c r="J24" s="22"/>
      <c r="K24" s="22"/>
    </row>
    <row r="25" spans="1:15" ht="14.4" x14ac:dyDescent="0.3">
      <c r="A25" s="22"/>
      <c r="B25" s="33"/>
      <c r="C25" s="22"/>
      <c r="D25" s="22"/>
      <c r="E25" s="22"/>
      <c r="F25" s="22"/>
      <c r="G25" s="22"/>
      <c r="H25" s="22"/>
      <c r="I25" s="22"/>
      <c r="J25" s="22"/>
      <c r="K25" s="22"/>
    </row>
    <row r="26" spans="1:15" ht="14.4" x14ac:dyDescent="0.3">
      <c r="A26" s="22"/>
      <c r="B26" s="33"/>
      <c r="C26" s="22"/>
      <c r="D26" s="22"/>
      <c r="E26" s="22"/>
      <c r="F26" s="22"/>
      <c r="G26" s="22"/>
      <c r="H26" s="22"/>
      <c r="I26" s="22"/>
      <c r="J26" s="22"/>
      <c r="K26" s="22"/>
    </row>
    <row r="27" spans="1:15" ht="14.4" x14ac:dyDescent="0.3">
      <c r="A27" s="22"/>
      <c r="B27" s="33"/>
      <c r="C27" s="22"/>
      <c r="D27" s="22"/>
      <c r="E27" s="22"/>
      <c r="F27" s="22"/>
      <c r="G27" s="22"/>
      <c r="H27" s="22"/>
      <c r="I27" s="22"/>
      <c r="J27" s="22"/>
      <c r="K27" s="22"/>
    </row>
    <row r="28" spans="1:15" ht="14.4" x14ac:dyDescent="0.3">
      <c r="A28" s="22"/>
      <c r="B28" s="33"/>
      <c r="C28" s="22"/>
      <c r="D28" s="22"/>
      <c r="E28" s="22"/>
      <c r="F28" s="22"/>
      <c r="G28" s="22"/>
      <c r="H28" s="22"/>
      <c r="I28" s="22"/>
      <c r="J28" s="22"/>
      <c r="K28" s="22"/>
    </row>
    <row r="29" spans="1:15" ht="14.4" x14ac:dyDescent="0.3">
      <c r="A29" s="22"/>
      <c r="B29" s="33"/>
      <c r="C29" s="22"/>
      <c r="D29" s="22"/>
      <c r="E29" s="22"/>
      <c r="F29" s="22"/>
      <c r="G29" s="22"/>
      <c r="H29" s="22"/>
      <c r="I29" s="22"/>
      <c r="J29" s="22"/>
      <c r="K29" s="22"/>
    </row>
    <row r="30" spans="1:15" ht="14.4" x14ac:dyDescent="0.3">
      <c r="A30" s="22"/>
      <c r="B30" s="33"/>
      <c r="C30" s="22"/>
      <c r="D30" s="22"/>
      <c r="E30" s="22"/>
      <c r="F30" s="22"/>
      <c r="G30" s="22"/>
      <c r="H30" s="22"/>
      <c r="I30" s="22"/>
      <c r="J30" s="22"/>
      <c r="K30" s="22"/>
    </row>
    <row r="31" spans="1:15" ht="14.4" x14ac:dyDescent="0.3">
      <c r="A31" s="22"/>
      <c r="B31" s="33"/>
      <c r="C31" s="22"/>
      <c r="D31" s="22"/>
      <c r="E31" s="22"/>
      <c r="F31" s="22"/>
      <c r="G31" s="22"/>
      <c r="H31" s="22"/>
      <c r="I31" s="22"/>
      <c r="J31" s="22"/>
      <c r="K31" s="22"/>
    </row>
    <row r="32" spans="1:15"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3 I4:I13 A14:K19 F20:F100 I20:I100">
    <cfRule type="cellIs" dxfId="21" priority="1" stopIfTrue="1" operator="lessThanOrEqual">
      <formula>-0.1</formula>
    </cfRule>
    <cfRule type="expression" dxfId="20"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73" t="str" cm="1">
        <f t="array" ref="A1">portfolio</f>
        <v>Ecofin</v>
      </c>
      <c r="B1" s="73"/>
      <c r="C1" s="73"/>
      <c r="D1" s="74" t="s">
        <v>137</v>
      </c>
      <c r="E1" s="74"/>
      <c r="F1" s="74"/>
      <c r="G1" s="72" t="s">
        <v>138</v>
      </c>
      <c r="H1" s="72"/>
      <c r="I1" s="72"/>
      <c r="J1" s="5"/>
      <c r="K1" s="5"/>
    </row>
    <row r="2" spans="1:12" ht="19.5" customHeight="1" x14ac:dyDescent="0.25">
      <c r="A2" s="75" t="s">
        <v>2</v>
      </c>
      <c r="B2" s="75"/>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x14ac:dyDescent="0.25">
      <c r="A3" s="9" t="s">
        <v>3</v>
      </c>
      <c r="B3" s="9" t="s">
        <v>4</v>
      </c>
      <c r="C3" s="24" t="s">
        <v>5</v>
      </c>
      <c r="D3" s="35" t="s">
        <v>6</v>
      </c>
      <c r="E3" s="35" t="s">
        <v>7</v>
      </c>
      <c r="F3" s="36" t="s">
        <v>8</v>
      </c>
      <c r="G3" s="37" t="s">
        <v>9</v>
      </c>
      <c r="H3" s="38" t="s">
        <v>7</v>
      </c>
      <c r="I3" s="39" t="s">
        <v>8</v>
      </c>
      <c r="J3" s="26" t="s">
        <v>20</v>
      </c>
      <c r="K3" s="26" t="s">
        <v>21</v>
      </c>
    </row>
    <row r="4" spans="1:12" ht="15.6"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 t="shared" ref="I4:I13" si="0">IFERROR(H4/G4, "")</f>
        <v/>
      </c>
      <c r="J4" s="41"/>
      <c r="K4" s="41"/>
    </row>
    <row r="5" spans="1:12" ht="15.6" x14ac:dyDescent="0.25">
      <c r="A5" s="30" t="str">
        <v>San Luis Valley</v>
      </c>
      <c r="B5" s="31" t="str">
        <v>CO</v>
      </c>
      <c r="C5" s="12"/>
      <c r="D5" s="19"/>
      <c r="E5" s="19" t="str">
        <f>IF(AND(ISNUMBER(C5),ISNUMBER(D5)), C5-D5, "")</f>
        <v/>
      </c>
      <c r="F5" s="20" t="str">
        <f>IFERROR(E5/D5, "")</f>
        <v/>
      </c>
      <c r="G5" s="21"/>
      <c r="H5" s="21" t="str">
        <f t="shared" ref="H5:H17" si="1">IF(AND(ISNUMBER(C5),ISNUMBER(G5)), C5-G5, "")</f>
        <v/>
      </c>
      <c r="I5" s="53" t="str">
        <f t="shared" si="0"/>
        <v/>
      </c>
      <c r="J5" s="42"/>
      <c r="K5" s="42"/>
    </row>
    <row r="6" spans="1:12" ht="15.6" x14ac:dyDescent="0.3">
      <c r="A6" s="32" t="str">
        <v>Golden NREL 2</v>
      </c>
      <c r="B6" s="29" t="str">
        <v>CO</v>
      </c>
      <c r="C6" s="25"/>
      <c r="D6" s="14"/>
      <c r="E6" s="14" t="str">
        <f t="shared" ref="E6:E17" si="2">IF(AND(ISNUMBER(C6),ISNUMBER(D6)), C6-D6, "")</f>
        <v/>
      </c>
      <c r="F6" s="15" t="str">
        <f t="shared" ref="F6:F17" si="3">IFERROR(E6/D6, "")</f>
        <v/>
      </c>
      <c r="G6" s="16"/>
      <c r="H6" s="16" t="str">
        <f t="shared" si="1"/>
        <v/>
      </c>
      <c r="I6" s="17" t="str">
        <f t="shared" si="0"/>
        <v/>
      </c>
      <c r="J6" s="41"/>
      <c r="K6" s="41"/>
    </row>
    <row r="7" spans="1:12" ht="15.6" x14ac:dyDescent="0.25">
      <c r="A7" s="30" t="str">
        <v>Golden NREL Wind 3</v>
      </c>
      <c r="B7" s="31" t="str">
        <v>CO</v>
      </c>
      <c r="C7" s="12"/>
      <c r="D7" s="19"/>
      <c r="E7" s="19" t="str">
        <f t="shared" si="2"/>
        <v/>
      </c>
      <c r="F7" s="20" t="str">
        <f t="shared" si="3"/>
        <v/>
      </c>
      <c r="G7" s="21"/>
      <c r="H7" s="21" t="str">
        <f t="shared" si="1"/>
        <v/>
      </c>
      <c r="I7" s="53" t="str">
        <f t="shared" si="0"/>
        <v/>
      </c>
      <c r="J7" s="48"/>
      <c r="K7" s="48"/>
    </row>
    <row r="8" spans="1:12" ht="15.6" x14ac:dyDescent="0.3">
      <c r="A8" s="32" t="str">
        <v>Pratt Solar Farm</v>
      </c>
      <c r="B8" s="29" t="str">
        <v>KS</v>
      </c>
      <c r="C8" s="46"/>
      <c r="D8" s="14"/>
      <c r="E8" s="14" t="str">
        <f t="shared" si="2"/>
        <v/>
      </c>
      <c r="F8" s="15" t="str">
        <f t="shared" si="3"/>
        <v/>
      </c>
      <c r="G8" s="16"/>
      <c r="H8" s="16" t="str">
        <f t="shared" si="1"/>
        <v/>
      </c>
      <c r="I8" s="17" t="str">
        <f t="shared" si="0"/>
        <v/>
      </c>
      <c r="J8" s="41"/>
      <c r="K8" s="41"/>
    </row>
    <row r="9" spans="1:12" ht="15.6" x14ac:dyDescent="0.3">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x14ac:dyDescent="0.3">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x14ac:dyDescent="0.3">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x14ac:dyDescent="0.3">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x14ac:dyDescent="0.3">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x14ac:dyDescent="0.3">
      <c r="A14" s="22"/>
      <c r="B14" s="22"/>
      <c r="C14" s="22"/>
      <c r="D14" s="22"/>
      <c r="E14" s="22" t="str">
        <f t="shared" si="2"/>
        <v/>
      </c>
      <c r="F14" s="22" t="str">
        <f t="shared" si="3"/>
        <v/>
      </c>
      <c r="G14" s="22"/>
      <c r="H14" s="22" t="str">
        <f t="shared" si="1"/>
        <v/>
      </c>
      <c r="I14" s="22" t="str">
        <f t="shared" ref="I14:I17" si="4">IFERROR(H14/G14, "")</f>
        <v/>
      </c>
      <c r="J14" s="22"/>
      <c r="K14" s="22"/>
      <c r="L14" s="22"/>
    </row>
    <row r="15" spans="1:12" x14ac:dyDescent="0.3">
      <c r="A15" s="22"/>
      <c r="B15" s="22"/>
      <c r="C15" s="22"/>
      <c r="D15" s="22"/>
      <c r="E15" s="22" t="str">
        <f t="shared" si="2"/>
        <v/>
      </c>
      <c r="F15" s="22" t="str">
        <f t="shared" si="3"/>
        <v/>
      </c>
      <c r="G15" s="22"/>
      <c r="H15" s="22" t="str">
        <f t="shared" si="1"/>
        <v/>
      </c>
      <c r="I15" s="22" t="str">
        <f t="shared" si="4"/>
        <v/>
      </c>
      <c r="J15" s="22"/>
      <c r="K15" s="22"/>
      <c r="L15" s="22"/>
    </row>
    <row r="16" spans="1:12" x14ac:dyDescent="0.3">
      <c r="A16" s="22"/>
      <c r="B16" s="22"/>
      <c r="C16" s="22"/>
      <c r="D16" s="22"/>
      <c r="E16" s="22" t="str">
        <f t="shared" si="2"/>
        <v/>
      </c>
      <c r="F16" s="22" t="str">
        <f t="shared" si="3"/>
        <v/>
      </c>
      <c r="G16" s="22"/>
      <c r="H16" s="22" t="str">
        <f t="shared" si="1"/>
        <v/>
      </c>
      <c r="I16" s="22" t="str">
        <f t="shared" si="4"/>
        <v/>
      </c>
      <c r="J16" s="22"/>
      <c r="K16" s="22"/>
      <c r="L16" s="22"/>
    </row>
    <row r="17" spans="1:12" x14ac:dyDescent="0.3">
      <c r="A17" s="22"/>
      <c r="B17" s="22"/>
      <c r="C17" s="22"/>
      <c r="D17" s="22"/>
      <c r="E17" s="22" t="str">
        <f t="shared" si="2"/>
        <v/>
      </c>
      <c r="F17" s="22" t="str">
        <f t="shared" si="3"/>
        <v/>
      </c>
      <c r="G17" s="22"/>
      <c r="H17" s="22" t="str">
        <f t="shared" si="1"/>
        <v/>
      </c>
      <c r="I17" s="22" t="str">
        <f t="shared" si="4"/>
        <v/>
      </c>
      <c r="J17" s="22"/>
      <c r="K17" s="22"/>
      <c r="L17" s="22"/>
    </row>
    <row r="18" spans="1:12" ht="12.75" customHeight="1" x14ac:dyDescent="0.3">
      <c r="A18" s="22"/>
      <c r="B18" s="22"/>
      <c r="C18" s="22"/>
      <c r="D18" s="22"/>
      <c r="E18" s="22"/>
      <c r="F18" s="22"/>
      <c r="G18" s="22"/>
      <c r="H18" s="22"/>
      <c r="I18" s="22"/>
      <c r="J18" s="22"/>
      <c r="K18" s="22"/>
      <c r="L18" s="22"/>
    </row>
    <row r="19" spans="1:12" x14ac:dyDescent="0.3">
      <c r="A19" s="22"/>
      <c r="B19" s="22"/>
      <c r="C19" s="22"/>
      <c r="D19" s="22"/>
      <c r="E19" s="22"/>
      <c r="F19" s="22"/>
      <c r="G19" s="22"/>
      <c r="H19" s="22"/>
      <c r="I19" s="22"/>
      <c r="J19" s="22"/>
      <c r="K19" s="22"/>
      <c r="L19" s="22"/>
    </row>
    <row r="20" spans="1:12" x14ac:dyDescent="0.3">
      <c r="A20" s="22"/>
      <c r="B20" s="22"/>
      <c r="C20" s="22"/>
      <c r="D20" s="22"/>
      <c r="E20" s="22"/>
      <c r="F20" s="22"/>
      <c r="G20" s="22"/>
      <c r="H20" s="22"/>
      <c r="I20" s="22"/>
      <c r="J20" s="22"/>
      <c r="K20" s="22"/>
      <c r="L20" s="22"/>
    </row>
    <row r="21" spans="1:12" ht="14.4" x14ac:dyDescent="0.3">
      <c r="A21" s="22"/>
      <c r="B21" s="33"/>
      <c r="C21" s="22"/>
      <c r="D21" s="22"/>
      <c r="E21" s="22"/>
      <c r="F21" s="22"/>
      <c r="G21" s="22"/>
      <c r="H21" s="22"/>
      <c r="I21" s="22"/>
      <c r="J21" s="22"/>
      <c r="K21" s="22"/>
    </row>
    <row r="22" spans="1:12" ht="14.4" x14ac:dyDescent="0.3">
      <c r="A22" s="22"/>
      <c r="B22" s="33"/>
      <c r="C22" s="22"/>
      <c r="D22" s="22"/>
      <c r="E22" s="22"/>
      <c r="F22" s="22"/>
      <c r="G22" s="22"/>
      <c r="H22" s="22"/>
      <c r="I22" s="22"/>
      <c r="J22" s="22"/>
      <c r="K22" s="22"/>
    </row>
    <row r="23" spans="1:12" ht="14.4" x14ac:dyDescent="0.3">
      <c r="A23" s="22"/>
      <c r="B23" s="33"/>
      <c r="C23" s="22"/>
      <c r="D23" s="22"/>
      <c r="E23" s="22"/>
      <c r="F23" s="22"/>
      <c r="G23" s="22"/>
      <c r="H23" s="22"/>
      <c r="I23" s="22"/>
      <c r="J23" s="22"/>
      <c r="K23" s="22"/>
    </row>
    <row r="24" spans="1:12" ht="14.4" x14ac:dyDescent="0.3">
      <c r="A24" s="22"/>
      <c r="B24" s="33"/>
      <c r="C24" s="22"/>
      <c r="D24" s="22"/>
      <c r="E24" s="22"/>
      <c r="F24" s="22"/>
      <c r="G24" s="22"/>
      <c r="H24" s="22"/>
      <c r="I24" s="22"/>
      <c r="J24" s="22"/>
      <c r="K24" s="22"/>
    </row>
    <row r="25" spans="1:12" ht="14.4" x14ac:dyDescent="0.3">
      <c r="A25" s="22"/>
      <c r="B25" s="33"/>
      <c r="C25" s="22"/>
      <c r="D25" s="22"/>
      <c r="E25" s="22"/>
      <c r="F25" s="22"/>
      <c r="G25" s="22"/>
      <c r="H25" s="22"/>
      <c r="I25" s="22"/>
      <c r="J25" s="22"/>
      <c r="K25" s="22"/>
    </row>
    <row r="26" spans="1:12" ht="14.4" x14ac:dyDescent="0.3">
      <c r="A26" s="22"/>
      <c r="B26" s="33"/>
      <c r="C26" s="22"/>
      <c r="D26" s="22"/>
      <c r="E26" s="22"/>
      <c r="F26" s="22"/>
      <c r="G26" s="22"/>
      <c r="H26" s="22"/>
      <c r="I26" s="22"/>
      <c r="J26" s="22"/>
      <c r="K26" s="22"/>
    </row>
    <row r="27" spans="1:12" ht="14.4" x14ac:dyDescent="0.3">
      <c r="A27" s="22"/>
      <c r="B27" s="33"/>
      <c r="C27" s="22"/>
      <c r="D27" s="22"/>
      <c r="E27" s="22"/>
      <c r="F27" s="22"/>
      <c r="G27" s="22"/>
      <c r="H27" s="22"/>
      <c r="I27" s="22"/>
      <c r="J27" s="22"/>
      <c r="K27" s="22"/>
    </row>
    <row r="28" spans="1:12" ht="14.4" x14ac:dyDescent="0.3">
      <c r="A28" s="22"/>
      <c r="B28" s="33"/>
      <c r="C28" s="22"/>
      <c r="D28" s="22"/>
      <c r="E28" s="22"/>
      <c r="F28" s="22"/>
      <c r="G28" s="22"/>
      <c r="H28" s="22"/>
      <c r="I28" s="22"/>
      <c r="J28" s="22"/>
      <c r="K28" s="22"/>
    </row>
    <row r="29" spans="1:12" ht="14.4" x14ac:dyDescent="0.3">
      <c r="A29" s="22"/>
      <c r="B29" s="33"/>
      <c r="C29" s="22"/>
      <c r="D29" s="22"/>
      <c r="E29" s="22"/>
      <c r="F29" s="22"/>
      <c r="G29" s="22"/>
      <c r="H29" s="22"/>
      <c r="I29" s="22"/>
      <c r="J29" s="22"/>
      <c r="K29" s="22"/>
    </row>
    <row r="30" spans="1:12" ht="14.4" x14ac:dyDescent="0.3">
      <c r="A30" s="22"/>
      <c r="B30" s="33"/>
      <c r="C30" s="22"/>
      <c r="D30" s="22"/>
      <c r="E30" s="22"/>
      <c r="F30" s="22"/>
      <c r="G30" s="22"/>
      <c r="H30" s="22"/>
      <c r="I30" s="22"/>
      <c r="J30" s="22"/>
      <c r="K30" s="22"/>
    </row>
    <row r="31" spans="1:12" ht="14.4" x14ac:dyDescent="0.3">
      <c r="A31" s="22"/>
      <c r="B31" s="33"/>
      <c r="C31" s="22"/>
      <c r="D31" s="22"/>
      <c r="E31" s="22"/>
      <c r="F31" s="22"/>
      <c r="G31" s="22"/>
      <c r="H31" s="22"/>
      <c r="I31" s="22"/>
      <c r="J31" s="22"/>
      <c r="K31" s="22"/>
    </row>
    <row r="32" spans="1:12"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0 I4:I100">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3" ht="19.5" customHeight="1" x14ac:dyDescent="0.25">
      <c r="A1" s="73" t="str" cm="1">
        <f t="array" ref="A1">portfolio</f>
        <v>Ecofin</v>
      </c>
      <c r="B1" s="73"/>
      <c r="C1" s="73"/>
      <c r="D1" s="74" t="s">
        <v>139</v>
      </c>
      <c r="E1" s="74"/>
      <c r="F1" s="74"/>
      <c r="G1" s="72" t="s">
        <v>140</v>
      </c>
      <c r="H1" s="72"/>
      <c r="I1" s="72"/>
      <c r="J1" s="5"/>
      <c r="K1" s="5"/>
    </row>
    <row r="2" spans="1:13" ht="19.5" customHeight="1" x14ac:dyDescent="0.25">
      <c r="A2" s="75" t="s">
        <v>2</v>
      </c>
      <c r="B2" s="75"/>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x14ac:dyDescent="0.25">
      <c r="A3" s="9" t="s">
        <v>3</v>
      </c>
      <c r="B3" s="9" t="s">
        <v>4</v>
      </c>
      <c r="C3" s="24" t="s">
        <v>5</v>
      </c>
      <c r="D3" s="35" t="s">
        <v>6</v>
      </c>
      <c r="E3" s="35" t="s">
        <v>7</v>
      </c>
      <c r="F3" s="36" t="s">
        <v>8</v>
      </c>
      <c r="G3" s="37" t="s">
        <v>9</v>
      </c>
      <c r="H3" s="38" t="s">
        <v>7</v>
      </c>
      <c r="I3" s="39" t="s">
        <v>8</v>
      </c>
      <c r="J3" s="26" t="s">
        <v>20</v>
      </c>
      <c r="K3" s="26" t="s">
        <v>21</v>
      </c>
    </row>
    <row r="4" spans="1:13" ht="15.6"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x14ac:dyDescent="0.2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x14ac:dyDescent="0.3">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x14ac:dyDescent="0.25">
      <c r="A7" s="30" t="str">
        <v>Golden NREL Wind 3</v>
      </c>
      <c r="B7" s="31" t="str">
        <v>CO</v>
      </c>
      <c r="C7" s="12"/>
      <c r="D7" s="19"/>
      <c r="E7" s="19" t="str">
        <f t="shared" si="0"/>
        <v/>
      </c>
      <c r="F7" s="20" t="str">
        <f t="shared" si="3"/>
        <v/>
      </c>
      <c r="G7" s="21"/>
      <c r="H7" s="21" t="str">
        <f t="shared" si="1"/>
        <v/>
      </c>
      <c r="I7" s="20" t="str">
        <f t="shared" si="2"/>
        <v/>
      </c>
      <c r="J7" s="42"/>
      <c r="K7" s="42"/>
    </row>
    <row r="8" spans="1:13" ht="15.6" x14ac:dyDescent="0.3">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x14ac:dyDescent="0.3">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x14ac:dyDescent="0.3">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x14ac:dyDescent="0.3">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x14ac:dyDescent="0.3">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x14ac:dyDescent="0.3">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x14ac:dyDescent="0.3">
      <c r="A14" s="22"/>
      <c r="B14" s="22"/>
      <c r="C14" s="22"/>
      <c r="D14" s="22"/>
      <c r="E14" s="22" t="str">
        <f t="shared" si="0"/>
        <v/>
      </c>
      <c r="F14" s="22" t="str">
        <f t="shared" si="3"/>
        <v/>
      </c>
      <c r="G14" s="22"/>
      <c r="H14" s="22" t="str">
        <f t="shared" si="1"/>
        <v/>
      </c>
      <c r="I14" s="22" t="str">
        <f t="shared" si="2"/>
        <v/>
      </c>
      <c r="J14" s="22"/>
      <c r="K14" s="22"/>
      <c r="L14" s="22"/>
      <c r="M14" s="22"/>
    </row>
    <row r="15" spans="1:13" x14ac:dyDescent="0.3">
      <c r="A15" s="22"/>
      <c r="B15" s="22"/>
      <c r="C15" s="22"/>
      <c r="D15" s="22"/>
      <c r="E15" s="22" t="str">
        <f t="shared" si="0"/>
        <v/>
      </c>
      <c r="F15" s="22" t="str">
        <f t="shared" si="3"/>
        <v/>
      </c>
      <c r="G15" s="22"/>
      <c r="H15" s="22" t="str">
        <f t="shared" si="1"/>
        <v/>
      </c>
      <c r="I15" s="22" t="str">
        <f t="shared" si="2"/>
        <v/>
      </c>
      <c r="J15" s="22"/>
      <c r="K15" s="22"/>
      <c r="L15" s="22"/>
      <c r="M15" s="22"/>
    </row>
    <row r="16" spans="1:13" x14ac:dyDescent="0.3">
      <c r="A16" s="22"/>
      <c r="B16" s="22"/>
      <c r="C16" s="22"/>
      <c r="D16" s="22"/>
      <c r="E16" s="22" t="str">
        <f t="shared" si="0"/>
        <v/>
      </c>
      <c r="F16" s="22" t="str">
        <f t="shared" si="3"/>
        <v/>
      </c>
      <c r="G16" s="22"/>
      <c r="H16" s="22" t="str">
        <f t="shared" si="1"/>
        <v/>
      </c>
      <c r="I16" s="22" t="str">
        <f t="shared" si="2"/>
        <v/>
      </c>
      <c r="J16" s="22"/>
      <c r="K16" s="22"/>
      <c r="L16" s="22"/>
      <c r="M16" s="22"/>
    </row>
    <row r="17" spans="1:13" x14ac:dyDescent="0.3">
      <c r="A17" s="22"/>
      <c r="B17" s="22"/>
      <c r="C17" s="22"/>
      <c r="D17" s="22"/>
      <c r="E17" s="22" t="str">
        <f t="shared" si="0"/>
        <v/>
      </c>
      <c r="F17" s="22" t="str">
        <f t="shared" si="3"/>
        <v/>
      </c>
      <c r="G17" s="22"/>
      <c r="H17" s="22" t="str">
        <f t="shared" si="1"/>
        <v/>
      </c>
      <c r="I17" s="22" t="str">
        <f t="shared" si="2"/>
        <v/>
      </c>
      <c r="J17" s="22"/>
      <c r="K17" s="22"/>
      <c r="L17" s="22"/>
      <c r="M17" s="22"/>
    </row>
    <row r="18" spans="1:13" ht="12.75" customHeight="1" x14ac:dyDescent="0.3">
      <c r="A18" s="22"/>
      <c r="B18" s="33"/>
      <c r="C18" s="22"/>
      <c r="D18" s="22"/>
      <c r="E18" s="22"/>
      <c r="F18" s="22"/>
      <c r="G18" s="22"/>
      <c r="H18" s="22"/>
      <c r="I18" s="22"/>
      <c r="J18" s="22"/>
      <c r="K18" s="22"/>
    </row>
    <row r="19" spans="1:13" ht="14.4" x14ac:dyDescent="0.3">
      <c r="A19" s="22"/>
      <c r="B19" s="33"/>
      <c r="C19" s="22"/>
      <c r="D19" s="22"/>
      <c r="E19" s="22"/>
      <c r="F19" s="22"/>
      <c r="G19" s="22"/>
      <c r="H19" s="22"/>
      <c r="I19" s="22"/>
      <c r="J19" s="22"/>
      <c r="K19" s="22"/>
    </row>
    <row r="20" spans="1:13" ht="14.4" x14ac:dyDescent="0.3">
      <c r="A20" s="22"/>
      <c r="B20" s="33"/>
      <c r="C20" s="22"/>
      <c r="D20" s="22"/>
      <c r="E20" s="22"/>
      <c r="F20" s="22"/>
      <c r="G20" s="22"/>
      <c r="H20" s="22"/>
      <c r="I20" s="22"/>
      <c r="J20" s="22"/>
      <c r="K20" s="22"/>
    </row>
    <row r="21" spans="1:13" ht="14.4" x14ac:dyDescent="0.3">
      <c r="A21" s="22"/>
      <c r="B21" s="33"/>
      <c r="C21" s="22"/>
      <c r="D21" s="22"/>
      <c r="E21" s="22"/>
      <c r="F21" s="22"/>
      <c r="G21" s="22"/>
      <c r="H21" s="22"/>
      <c r="I21" s="22"/>
      <c r="J21" s="22"/>
      <c r="K21" s="22"/>
    </row>
    <row r="22" spans="1:13" ht="14.4" x14ac:dyDescent="0.3">
      <c r="A22" s="22"/>
      <c r="B22" s="33"/>
      <c r="C22" s="22"/>
      <c r="D22" s="22"/>
      <c r="E22" s="22"/>
      <c r="F22" s="22"/>
      <c r="G22" s="22"/>
      <c r="H22" s="22"/>
      <c r="I22" s="22"/>
      <c r="J22" s="22"/>
      <c r="K22" s="22"/>
    </row>
    <row r="23" spans="1:13" ht="14.4" x14ac:dyDescent="0.3">
      <c r="A23" s="22"/>
      <c r="B23" s="33"/>
      <c r="C23" s="22"/>
      <c r="D23" s="22"/>
      <c r="E23" s="22"/>
      <c r="F23" s="22"/>
      <c r="G23" s="22"/>
      <c r="H23" s="22"/>
      <c r="I23" s="22"/>
      <c r="J23" s="22"/>
      <c r="K23" s="22"/>
    </row>
    <row r="24" spans="1:13" ht="14.4" x14ac:dyDescent="0.3">
      <c r="A24" s="22"/>
      <c r="B24" s="33"/>
      <c r="C24" s="22"/>
      <c r="D24" s="22"/>
      <c r="E24" s="22"/>
      <c r="F24" s="22"/>
      <c r="G24" s="22"/>
      <c r="H24" s="22"/>
      <c r="I24" s="22"/>
      <c r="J24" s="22"/>
      <c r="K24" s="22"/>
    </row>
    <row r="25" spans="1:13" ht="14.4" x14ac:dyDescent="0.3">
      <c r="A25" s="22"/>
      <c r="B25" s="33"/>
      <c r="C25" s="22"/>
      <c r="D25" s="22"/>
      <c r="E25" s="22"/>
      <c r="F25" s="22"/>
      <c r="G25" s="22"/>
      <c r="H25" s="22"/>
      <c r="I25" s="22"/>
      <c r="J25" s="22"/>
      <c r="K25" s="22"/>
    </row>
    <row r="26" spans="1:13" ht="14.4" x14ac:dyDescent="0.3">
      <c r="A26" s="22"/>
      <c r="B26" s="33"/>
      <c r="C26" s="22"/>
      <c r="D26" s="22"/>
      <c r="E26" s="22"/>
      <c r="F26" s="22"/>
      <c r="G26" s="22"/>
      <c r="H26" s="22"/>
      <c r="I26" s="22"/>
      <c r="J26" s="22"/>
      <c r="K26" s="22"/>
    </row>
    <row r="27" spans="1:13" ht="14.4" x14ac:dyDescent="0.3">
      <c r="A27" s="22"/>
      <c r="B27" s="33"/>
      <c r="C27" s="22"/>
      <c r="D27" s="22"/>
      <c r="E27" s="22"/>
      <c r="F27" s="22"/>
      <c r="G27" s="22"/>
      <c r="H27" s="22"/>
      <c r="I27" s="22"/>
      <c r="J27" s="22"/>
      <c r="K27" s="22"/>
    </row>
    <row r="28" spans="1:13" ht="14.4" x14ac:dyDescent="0.3">
      <c r="A28" s="22"/>
      <c r="B28" s="33"/>
      <c r="C28" s="22"/>
      <c r="D28" s="22"/>
      <c r="E28" s="22"/>
      <c r="F28" s="22"/>
      <c r="G28" s="22"/>
      <c r="H28" s="22"/>
      <c r="I28" s="22"/>
      <c r="J28" s="22"/>
      <c r="K28" s="22"/>
    </row>
    <row r="29" spans="1:13" ht="14.4" x14ac:dyDescent="0.3">
      <c r="A29" s="22"/>
      <c r="B29" s="33"/>
      <c r="C29" s="22"/>
      <c r="D29" s="22"/>
      <c r="E29" s="22"/>
      <c r="F29" s="22"/>
      <c r="G29" s="22"/>
      <c r="H29" s="22"/>
      <c r="I29" s="22"/>
      <c r="J29" s="22"/>
      <c r="K29" s="22"/>
    </row>
    <row r="30" spans="1:13" ht="14.4" x14ac:dyDescent="0.3">
      <c r="A30" s="22"/>
      <c r="B30" s="33"/>
      <c r="C30" s="22"/>
      <c r="D30" s="22"/>
      <c r="E30" s="22"/>
      <c r="F30" s="22"/>
      <c r="G30" s="22"/>
      <c r="H30" s="22"/>
      <c r="I30" s="22"/>
      <c r="J30" s="22"/>
      <c r="K30" s="22"/>
    </row>
    <row r="31" spans="1:13" ht="14.4" x14ac:dyDescent="0.3">
      <c r="A31" s="22"/>
      <c r="B31" s="33"/>
      <c r="C31" s="22"/>
      <c r="D31" s="22"/>
      <c r="E31" s="22"/>
      <c r="F31" s="22"/>
      <c r="G31" s="22"/>
      <c r="H31" s="22"/>
      <c r="I31" s="22"/>
      <c r="J31" s="22"/>
      <c r="K31" s="22"/>
    </row>
    <row r="32" spans="1:13"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3 I4:I13 F18:F100 I18:I100">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3.5546875" customWidth="1"/>
  </cols>
  <sheetData>
    <row r="1" spans="1:12" ht="19.5" customHeight="1" x14ac:dyDescent="0.25">
      <c r="A1" s="73" t="str" cm="1">
        <f t="array" ref="A1">portfolio</f>
        <v>Ecofin</v>
      </c>
      <c r="B1" s="73"/>
      <c r="C1" s="73"/>
      <c r="D1" s="74" t="s">
        <v>141</v>
      </c>
      <c r="E1" s="74"/>
      <c r="F1" s="74"/>
      <c r="G1" s="72" t="s">
        <v>142</v>
      </c>
      <c r="H1" s="72"/>
      <c r="I1" s="72"/>
      <c r="J1" s="5"/>
      <c r="K1" s="5"/>
    </row>
    <row r="2" spans="1:12" ht="19.5" customHeight="1" x14ac:dyDescent="0.25">
      <c r="A2" s="75" t="s">
        <v>2</v>
      </c>
      <c r="B2" s="75"/>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x14ac:dyDescent="0.25">
      <c r="A3" s="9" t="s">
        <v>3</v>
      </c>
      <c r="B3" s="9" t="s">
        <v>4</v>
      </c>
      <c r="C3" s="24" t="s">
        <v>5</v>
      </c>
      <c r="D3" s="35" t="s">
        <v>6</v>
      </c>
      <c r="E3" s="35" t="s">
        <v>7</v>
      </c>
      <c r="F3" s="36" t="s">
        <v>8</v>
      </c>
      <c r="G3" s="37" t="s">
        <v>9</v>
      </c>
      <c r="H3" s="38" t="s">
        <v>7</v>
      </c>
      <c r="I3" s="39" t="s">
        <v>8</v>
      </c>
      <c r="J3" s="26" t="s">
        <v>20</v>
      </c>
      <c r="K3" s="26" t="s">
        <v>21</v>
      </c>
    </row>
    <row r="4" spans="1:12" ht="15.6"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x14ac:dyDescent="0.25">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x14ac:dyDescent="0.3">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x14ac:dyDescent="0.25">
      <c r="A7" s="30" t="str">
        <v>Golden NREL Wind 3</v>
      </c>
      <c r="B7" s="31" t="str">
        <v>CO</v>
      </c>
      <c r="C7" s="12"/>
      <c r="D7" s="19"/>
      <c r="E7" s="19" t="str">
        <f t="shared" si="0"/>
        <v/>
      </c>
      <c r="F7" s="20" t="str">
        <f t="shared" si="3"/>
        <v/>
      </c>
      <c r="G7" s="21"/>
      <c r="H7" s="21" t="str">
        <f t="shared" si="1"/>
        <v/>
      </c>
      <c r="I7" s="20" t="str">
        <f t="shared" si="2"/>
        <v/>
      </c>
      <c r="J7" s="48"/>
      <c r="K7" s="48"/>
    </row>
    <row r="8" spans="1:12" ht="15.6" x14ac:dyDescent="0.3">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x14ac:dyDescent="0.3">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x14ac:dyDescent="0.3">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x14ac:dyDescent="0.3">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x14ac:dyDescent="0.3">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x14ac:dyDescent="0.3">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x14ac:dyDescent="0.3">
      <c r="A14" s="22"/>
      <c r="B14" s="22"/>
      <c r="C14" s="22"/>
      <c r="D14" s="22"/>
      <c r="E14" s="22" t="str">
        <f t="shared" si="0"/>
        <v/>
      </c>
      <c r="F14" s="22" t="str">
        <f t="shared" si="3"/>
        <v/>
      </c>
      <c r="G14" s="22"/>
      <c r="H14" s="22" t="str">
        <f t="shared" si="1"/>
        <v/>
      </c>
      <c r="I14" s="22" t="str">
        <f t="shared" si="2"/>
        <v/>
      </c>
      <c r="J14" s="22"/>
      <c r="K14" s="22"/>
      <c r="L14" s="22"/>
    </row>
    <row r="15" spans="1:12" x14ac:dyDescent="0.3">
      <c r="A15" s="22"/>
      <c r="B15" s="22"/>
      <c r="C15" s="22"/>
      <c r="D15" s="22"/>
      <c r="E15" s="22" t="str">
        <f t="shared" si="0"/>
        <v/>
      </c>
      <c r="F15" s="22" t="str">
        <f t="shared" si="3"/>
        <v/>
      </c>
      <c r="G15" s="22"/>
      <c r="H15" s="22" t="str">
        <f t="shared" si="1"/>
        <v/>
      </c>
      <c r="I15" s="22" t="str">
        <f t="shared" si="2"/>
        <v/>
      </c>
      <c r="J15" s="22"/>
      <c r="K15" s="22"/>
      <c r="L15" s="22"/>
    </row>
    <row r="16" spans="1:12" x14ac:dyDescent="0.3">
      <c r="A16" s="22"/>
      <c r="B16" s="22"/>
      <c r="C16" s="22"/>
      <c r="D16" s="22"/>
      <c r="E16" s="22" t="str">
        <f t="shared" si="0"/>
        <v/>
      </c>
      <c r="F16" s="22" t="str">
        <f t="shared" si="3"/>
        <v/>
      </c>
      <c r="G16" s="22"/>
      <c r="H16" s="22" t="str">
        <f t="shared" si="1"/>
        <v/>
      </c>
      <c r="I16" s="22" t="str">
        <f t="shared" si="2"/>
        <v/>
      </c>
      <c r="J16" s="22"/>
      <c r="K16" s="22"/>
      <c r="L16" s="22"/>
    </row>
    <row r="17" spans="1:12" x14ac:dyDescent="0.3">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x14ac:dyDescent="0.3">
      <c r="A18" s="22"/>
      <c r="B18" s="22"/>
      <c r="C18" s="22"/>
      <c r="D18" s="22"/>
      <c r="E18" s="22"/>
      <c r="F18" s="22"/>
      <c r="G18" s="22"/>
      <c r="H18" s="22"/>
      <c r="I18" s="22"/>
      <c r="J18" s="22"/>
      <c r="K18" s="22"/>
      <c r="L18" s="22"/>
    </row>
    <row r="19" spans="1:12" x14ac:dyDescent="0.3">
      <c r="A19" s="22"/>
      <c r="B19" s="22"/>
      <c r="C19" s="22"/>
      <c r="D19" s="22"/>
      <c r="E19" s="22"/>
      <c r="F19" s="22"/>
      <c r="G19" s="22"/>
      <c r="H19" s="22"/>
      <c r="I19" s="22"/>
      <c r="J19" s="22"/>
      <c r="K19" s="22"/>
      <c r="L19" s="22"/>
    </row>
    <row r="20" spans="1:12" ht="14.4" x14ac:dyDescent="0.3">
      <c r="A20" s="22"/>
      <c r="B20" s="33"/>
      <c r="C20" s="22"/>
      <c r="D20" s="22"/>
      <c r="E20" s="22"/>
      <c r="F20" s="22"/>
      <c r="G20" s="22"/>
      <c r="H20" s="22"/>
      <c r="I20" s="22"/>
      <c r="J20" s="22"/>
      <c r="K20" s="22"/>
    </row>
    <row r="21" spans="1:12" ht="14.4" x14ac:dyDescent="0.3">
      <c r="A21" s="22"/>
      <c r="B21" s="33"/>
      <c r="C21" s="22"/>
      <c r="D21" s="22"/>
      <c r="E21" s="22"/>
      <c r="F21" s="22"/>
      <c r="G21" s="22"/>
      <c r="H21" s="22"/>
      <c r="I21" s="22"/>
      <c r="J21" s="22"/>
      <c r="K21" s="22"/>
    </row>
    <row r="22" spans="1:12" ht="14.4" x14ac:dyDescent="0.3">
      <c r="A22" s="22"/>
      <c r="B22" s="33"/>
      <c r="C22" s="22"/>
      <c r="D22" s="22"/>
      <c r="E22" s="22"/>
      <c r="F22" s="22"/>
      <c r="G22" s="22"/>
      <c r="H22" s="22"/>
      <c r="I22" s="22"/>
      <c r="J22" s="22"/>
      <c r="K22" s="22"/>
    </row>
    <row r="23" spans="1:12" ht="14.4" x14ac:dyDescent="0.3">
      <c r="A23" s="22"/>
      <c r="B23" s="33"/>
      <c r="C23" s="22"/>
      <c r="D23" s="22"/>
      <c r="E23" s="22"/>
      <c r="F23" s="22"/>
      <c r="G23" s="22"/>
      <c r="H23" s="22"/>
      <c r="I23" s="22"/>
      <c r="J23" s="22"/>
      <c r="K23" s="22"/>
    </row>
    <row r="24" spans="1:12" ht="14.4" x14ac:dyDescent="0.3">
      <c r="A24" s="22"/>
      <c r="B24" s="33"/>
      <c r="C24" s="22"/>
      <c r="D24" s="22"/>
      <c r="E24" s="22"/>
      <c r="F24" s="22"/>
      <c r="G24" s="22"/>
      <c r="H24" s="22"/>
      <c r="I24" s="22"/>
      <c r="J24" s="22"/>
      <c r="K24" s="22"/>
    </row>
    <row r="25" spans="1:12" ht="14.4" x14ac:dyDescent="0.3">
      <c r="A25" s="22"/>
      <c r="B25" s="33"/>
      <c r="C25" s="22"/>
      <c r="D25" s="22"/>
      <c r="E25" s="22"/>
      <c r="F25" s="22"/>
      <c r="G25" s="22"/>
      <c r="H25" s="22"/>
      <c r="I25" s="22"/>
      <c r="J25" s="22"/>
      <c r="K25" s="22"/>
    </row>
    <row r="26" spans="1:12" ht="14.4" x14ac:dyDescent="0.3">
      <c r="A26" s="22"/>
      <c r="B26" s="33"/>
      <c r="C26" s="22"/>
      <c r="D26" s="22"/>
      <c r="E26" s="22"/>
      <c r="F26" s="22"/>
      <c r="G26" s="22"/>
      <c r="H26" s="22"/>
      <c r="I26" s="22"/>
      <c r="J26" s="22"/>
      <c r="K26" s="22"/>
    </row>
    <row r="27" spans="1:12" ht="14.4" x14ac:dyDescent="0.3">
      <c r="A27" s="22"/>
      <c r="B27" s="33"/>
      <c r="C27" s="22"/>
      <c r="D27" s="22"/>
      <c r="E27" s="22"/>
      <c r="F27" s="22"/>
      <c r="G27" s="22"/>
      <c r="H27" s="22"/>
      <c r="I27" s="22"/>
      <c r="J27" s="22"/>
      <c r="K27" s="22"/>
    </row>
    <row r="28" spans="1:12" ht="14.4" x14ac:dyDescent="0.3">
      <c r="A28" s="22"/>
      <c r="B28" s="33"/>
      <c r="C28" s="22"/>
      <c r="D28" s="22"/>
      <c r="E28" s="22"/>
      <c r="F28" s="22"/>
      <c r="G28" s="22"/>
      <c r="H28" s="22"/>
      <c r="I28" s="22"/>
      <c r="J28" s="22"/>
      <c r="K28" s="22"/>
    </row>
    <row r="29" spans="1:12" ht="14.4" x14ac:dyDescent="0.3">
      <c r="A29" s="22"/>
      <c r="B29" s="33"/>
      <c r="C29" s="22"/>
      <c r="D29" s="22"/>
      <c r="E29" s="22"/>
      <c r="F29" s="22"/>
      <c r="G29" s="22"/>
      <c r="H29" s="22"/>
      <c r="I29" s="22"/>
      <c r="J29" s="22"/>
      <c r="K29" s="22"/>
    </row>
    <row r="30" spans="1:12" ht="14.4" x14ac:dyDescent="0.3">
      <c r="A30" s="22"/>
      <c r="B30" s="33"/>
      <c r="C30" s="22"/>
      <c r="D30" s="22"/>
      <c r="E30" s="22"/>
      <c r="F30" s="22"/>
      <c r="G30" s="22"/>
      <c r="H30" s="22"/>
      <c r="I30" s="22"/>
      <c r="J30" s="22"/>
      <c r="K30" s="22"/>
    </row>
    <row r="31" spans="1:12" ht="14.4" x14ac:dyDescent="0.3">
      <c r="A31" s="22"/>
      <c r="B31" s="33"/>
      <c r="C31" s="22"/>
      <c r="D31" s="22"/>
      <c r="E31" s="22"/>
      <c r="F31" s="22"/>
      <c r="G31" s="22"/>
      <c r="H31" s="22"/>
      <c r="I31" s="22"/>
      <c r="J31" s="22"/>
      <c r="K31" s="22"/>
    </row>
    <row r="32" spans="1:12"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3 I4:I13 F20:F100 I20:I10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73" t="str" cm="1">
        <f t="array" ref="A1">portfolio</f>
        <v>Ecofin</v>
      </c>
      <c r="B1" s="73"/>
      <c r="C1" s="73"/>
      <c r="D1" s="74" t="s">
        <v>143</v>
      </c>
      <c r="E1" s="74"/>
      <c r="F1" s="74"/>
      <c r="G1" s="72" t="s">
        <v>144</v>
      </c>
      <c r="H1" s="72"/>
      <c r="I1" s="72"/>
      <c r="J1" s="5"/>
      <c r="K1" s="5"/>
    </row>
    <row r="2" spans="1:12" ht="19.5" customHeight="1" x14ac:dyDescent="0.25">
      <c r="A2" s="75" t="s">
        <v>2</v>
      </c>
      <c r="B2" s="75"/>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x14ac:dyDescent="0.25">
      <c r="A3" s="9" t="s">
        <v>3</v>
      </c>
      <c r="B3" s="9" t="s">
        <v>4</v>
      </c>
      <c r="C3" s="24" t="s">
        <v>5</v>
      </c>
      <c r="D3" s="35" t="s">
        <v>6</v>
      </c>
      <c r="E3" s="35" t="s">
        <v>7</v>
      </c>
      <c r="F3" s="36" t="s">
        <v>8</v>
      </c>
      <c r="G3" s="37" t="s">
        <v>9</v>
      </c>
      <c r="H3" s="38" t="s">
        <v>7</v>
      </c>
      <c r="I3" s="39" t="s">
        <v>8</v>
      </c>
      <c r="J3" s="26" t="s">
        <v>20</v>
      </c>
      <c r="K3" s="26" t="s">
        <v>21</v>
      </c>
    </row>
    <row r="4" spans="1:12" ht="80.25" customHeight="1" x14ac:dyDescent="0.25">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x14ac:dyDescent="0.2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x14ac:dyDescent="0.3">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x14ac:dyDescent="0.2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x14ac:dyDescent="0.25">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x14ac:dyDescent="0.25">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x14ac:dyDescent="0.3">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x14ac:dyDescent="0.25">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x14ac:dyDescent="0.3">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x14ac:dyDescent="0.25">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x14ac:dyDescent="0.25">
      <c r="A14" s="30"/>
      <c r="B14" s="30"/>
      <c r="C14" s="30"/>
      <c r="D14" s="30"/>
      <c r="E14" s="30" t="str">
        <f t="shared" si="0"/>
        <v/>
      </c>
      <c r="F14" s="30" t="str">
        <f t="shared" ref="F14:F17" si="7">IFERROR(E14/D14, "")</f>
        <v/>
      </c>
      <c r="G14" s="30"/>
      <c r="H14" s="30" t="str">
        <f t="shared" si="1"/>
        <v/>
      </c>
      <c r="I14" s="30" t="str">
        <f t="shared" si="2"/>
        <v/>
      </c>
      <c r="J14" s="30"/>
      <c r="K14" s="30"/>
      <c r="L14" s="30"/>
    </row>
    <row r="15" spans="1:12" ht="15.6" x14ac:dyDescent="0.25">
      <c r="A15" s="30"/>
      <c r="B15" s="30"/>
      <c r="C15" s="30"/>
      <c r="D15" s="30"/>
      <c r="E15" s="30" t="str">
        <f t="shared" si="0"/>
        <v/>
      </c>
      <c r="F15" s="30" t="str">
        <f t="shared" si="7"/>
        <v/>
      </c>
      <c r="G15" s="30"/>
      <c r="H15" s="30" t="str">
        <f t="shared" si="1"/>
        <v/>
      </c>
      <c r="I15" s="30" t="str">
        <f t="shared" si="2"/>
        <v/>
      </c>
      <c r="J15" s="30"/>
      <c r="K15" s="30"/>
      <c r="L15" s="30"/>
    </row>
    <row r="16" spans="1:12" ht="15.6" x14ac:dyDescent="0.25">
      <c r="A16" s="30"/>
      <c r="B16" s="30"/>
      <c r="C16" s="30"/>
      <c r="D16" s="30"/>
      <c r="E16" s="30" t="str">
        <f t="shared" si="0"/>
        <v/>
      </c>
      <c r="F16" s="30" t="str">
        <f t="shared" si="7"/>
        <v/>
      </c>
      <c r="G16" s="30"/>
      <c r="H16" s="30" t="str">
        <f t="shared" si="1"/>
        <v/>
      </c>
      <c r="I16" s="30" t="str">
        <f t="shared" si="2"/>
        <v/>
      </c>
      <c r="J16" s="30"/>
      <c r="K16" s="30"/>
      <c r="L16" s="30"/>
    </row>
    <row r="17" spans="1:12" ht="15.6" x14ac:dyDescent="0.25">
      <c r="A17" s="30"/>
      <c r="B17" s="30"/>
      <c r="C17" s="30"/>
      <c r="D17" s="30"/>
      <c r="E17" s="30" t="str">
        <f t="shared" si="0"/>
        <v/>
      </c>
      <c r="F17" s="30" t="str">
        <f t="shared" si="7"/>
        <v/>
      </c>
      <c r="G17" s="30"/>
      <c r="H17" s="30" t="str">
        <f t="shared" si="1"/>
        <v/>
      </c>
      <c r="I17" s="30" t="str">
        <f t="shared" si="2"/>
        <v/>
      </c>
      <c r="J17" s="30"/>
      <c r="K17" s="30"/>
      <c r="L17" s="30"/>
    </row>
    <row r="18" spans="1:12" ht="12.75" customHeight="1" x14ac:dyDescent="0.25">
      <c r="A18" s="30"/>
      <c r="B18" s="30"/>
      <c r="C18" s="30"/>
      <c r="D18" s="30"/>
      <c r="E18" s="30"/>
      <c r="F18" s="30"/>
      <c r="G18" s="30"/>
      <c r="H18" s="30"/>
      <c r="I18" s="30"/>
      <c r="J18" s="30"/>
      <c r="K18" s="30"/>
      <c r="L18" s="30"/>
    </row>
    <row r="19" spans="1:12" ht="15.6" x14ac:dyDescent="0.25">
      <c r="A19" s="30"/>
      <c r="B19" s="30"/>
      <c r="C19" s="30"/>
      <c r="D19" s="30"/>
      <c r="E19" s="30"/>
      <c r="F19" s="30"/>
      <c r="G19" s="30"/>
      <c r="H19" s="30"/>
      <c r="I19" s="30"/>
      <c r="J19" s="30"/>
      <c r="K19" s="30"/>
      <c r="L19" s="30"/>
    </row>
    <row r="20" spans="1:12" ht="15.6" x14ac:dyDescent="0.25">
      <c r="A20" s="30"/>
      <c r="B20" s="30"/>
      <c r="C20" s="30"/>
      <c r="D20" s="30"/>
      <c r="E20" s="30"/>
      <c r="F20" s="30"/>
      <c r="G20" s="30"/>
      <c r="H20" s="30"/>
      <c r="I20" s="30"/>
      <c r="J20" s="30"/>
      <c r="K20" s="30"/>
      <c r="L20" s="30"/>
    </row>
    <row r="21" spans="1:12" ht="15.6" x14ac:dyDescent="0.25">
      <c r="A21" s="30"/>
      <c r="B21" s="30"/>
      <c r="C21" s="30"/>
      <c r="D21" s="30"/>
      <c r="E21" s="30"/>
      <c r="F21" s="30"/>
      <c r="G21" s="30"/>
      <c r="H21" s="30"/>
      <c r="I21" s="30"/>
      <c r="J21" s="30"/>
      <c r="K21" s="30"/>
      <c r="L21" s="30"/>
    </row>
    <row r="22" spans="1:12" ht="15.6" x14ac:dyDescent="0.25">
      <c r="A22" s="30"/>
      <c r="B22" s="30"/>
      <c r="C22" s="30"/>
      <c r="D22" s="30"/>
      <c r="E22" s="30"/>
      <c r="F22" s="30"/>
      <c r="G22" s="30"/>
      <c r="H22" s="30"/>
      <c r="I22" s="30"/>
      <c r="J22" s="30"/>
      <c r="K22" s="30"/>
      <c r="L22" s="30"/>
    </row>
    <row r="23" spans="1:12" ht="15.6" x14ac:dyDescent="0.25">
      <c r="A23" s="30"/>
      <c r="B23" s="30"/>
      <c r="C23" s="30"/>
      <c r="D23" s="30"/>
      <c r="E23" s="30"/>
      <c r="F23" s="30"/>
      <c r="G23" s="30"/>
      <c r="H23" s="30"/>
      <c r="I23" s="30"/>
      <c r="J23" s="30"/>
      <c r="K23" s="30"/>
      <c r="L23" s="30"/>
    </row>
    <row r="24" spans="1:12" ht="14.4" x14ac:dyDescent="0.3">
      <c r="A24" s="22"/>
      <c r="B24" s="33"/>
      <c r="C24" s="22"/>
      <c r="D24" s="22"/>
      <c r="E24" s="22"/>
      <c r="F24" s="22"/>
      <c r="G24" s="22"/>
      <c r="H24" s="22"/>
      <c r="I24" s="22"/>
      <c r="J24" s="22"/>
      <c r="K24" s="22"/>
    </row>
    <row r="25" spans="1:12" ht="14.4" x14ac:dyDescent="0.3">
      <c r="A25" s="22"/>
      <c r="B25" s="33"/>
      <c r="C25" s="22"/>
      <c r="D25" s="22"/>
      <c r="E25" s="22"/>
      <c r="F25" s="22"/>
      <c r="G25" s="22"/>
      <c r="H25" s="22"/>
      <c r="I25" s="22"/>
      <c r="J25" s="22"/>
      <c r="K25" s="22"/>
    </row>
    <row r="26" spans="1:12" ht="14.4" x14ac:dyDescent="0.3">
      <c r="A26" s="22"/>
      <c r="B26" s="33"/>
      <c r="C26" s="22"/>
      <c r="D26" s="22"/>
      <c r="E26" s="22"/>
      <c r="F26" s="22"/>
      <c r="G26" s="22"/>
      <c r="H26" s="22"/>
      <c r="I26" s="22"/>
      <c r="J26" s="22"/>
      <c r="K26" s="22"/>
    </row>
    <row r="27" spans="1:12" ht="14.4" x14ac:dyDescent="0.3">
      <c r="A27" s="22"/>
      <c r="B27" s="33"/>
      <c r="C27" s="22"/>
      <c r="D27" s="22"/>
      <c r="E27" s="22"/>
      <c r="F27" s="22"/>
      <c r="G27" s="22"/>
      <c r="H27" s="22"/>
      <c r="I27" s="22"/>
      <c r="J27" s="22"/>
      <c r="K27" s="22"/>
    </row>
    <row r="28" spans="1:12" ht="14.4" x14ac:dyDescent="0.3">
      <c r="A28" s="22"/>
      <c r="B28" s="33"/>
      <c r="C28" s="22"/>
      <c r="D28" s="22"/>
      <c r="E28" s="22"/>
      <c r="F28" s="22"/>
      <c r="G28" s="22"/>
      <c r="H28" s="22"/>
      <c r="I28" s="22"/>
      <c r="J28" s="22"/>
      <c r="K28" s="22"/>
    </row>
    <row r="29" spans="1:12" ht="14.4" x14ac:dyDescent="0.3">
      <c r="A29" s="22"/>
      <c r="B29" s="33"/>
      <c r="C29" s="22"/>
      <c r="D29" s="22"/>
      <c r="E29" s="22"/>
      <c r="F29" s="22"/>
      <c r="G29" s="22"/>
      <c r="H29" s="22"/>
      <c r="I29" s="22"/>
      <c r="J29" s="22"/>
      <c r="K29" s="22"/>
    </row>
    <row r="30" spans="1:12" ht="14.4" x14ac:dyDescent="0.3">
      <c r="A30" s="22"/>
      <c r="B30" s="33"/>
      <c r="C30" s="22"/>
      <c r="D30" s="22"/>
      <c r="E30" s="22"/>
      <c r="F30" s="22"/>
      <c r="G30" s="22"/>
      <c r="H30" s="22"/>
      <c r="I30" s="22"/>
      <c r="J30" s="22"/>
      <c r="K30" s="22"/>
    </row>
    <row r="31" spans="1:12" ht="14.4" x14ac:dyDescent="0.3">
      <c r="A31" s="22"/>
      <c r="B31" s="33"/>
      <c r="C31" s="22"/>
      <c r="D31" s="22"/>
      <c r="E31" s="22"/>
      <c r="F31" s="22"/>
      <c r="G31" s="22"/>
      <c r="H31" s="22"/>
      <c r="I31" s="22"/>
      <c r="J31" s="22"/>
      <c r="K31" s="22"/>
    </row>
    <row r="32" spans="1:12"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7" priority="3" stopIfTrue="1" operator="lessThanOrEqual">
      <formula>-0.1</formula>
    </cfRule>
    <cfRule type="expression" dxfId="6" priority="4">
      <formula>AND(ISNUMBER(F2), F2&gt;=0.1)</formula>
    </cfRule>
  </conditionalFormatting>
  <conditionalFormatting sqref="F4:F100 I4:I100">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4" ht="19.5" customHeight="1" x14ac:dyDescent="0.25">
      <c r="A1" s="73" t="str" cm="1">
        <f t="array" ref="A1">portfolio</f>
        <v>Ecofin</v>
      </c>
      <c r="B1" s="73"/>
      <c r="C1" s="73"/>
      <c r="D1" s="74" t="s">
        <v>145</v>
      </c>
      <c r="E1" s="74"/>
      <c r="F1" s="74"/>
      <c r="G1" s="72" t="s">
        <v>146</v>
      </c>
      <c r="H1" s="72"/>
      <c r="I1" s="72"/>
      <c r="J1" s="5"/>
      <c r="K1" s="5"/>
    </row>
    <row r="2" spans="1:14" ht="19.5" customHeight="1" x14ac:dyDescent="0.25">
      <c r="A2" s="75" t="s">
        <v>2</v>
      </c>
      <c r="B2" s="75"/>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x14ac:dyDescent="0.25">
      <c r="A3" s="9" t="s">
        <v>3</v>
      </c>
      <c r="B3" s="9" t="s">
        <v>4</v>
      </c>
      <c r="C3" s="24" t="s">
        <v>5</v>
      </c>
      <c r="D3" s="35" t="s">
        <v>6</v>
      </c>
      <c r="E3" s="35" t="s">
        <v>7</v>
      </c>
      <c r="F3" s="36" t="s">
        <v>8</v>
      </c>
      <c r="G3" s="37" t="s">
        <v>9</v>
      </c>
      <c r="H3" s="38" t="s">
        <v>7</v>
      </c>
      <c r="I3" s="39" t="s">
        <v>8</v>
      </c>
      <c r="J3" s="26" t="s">
        <v>20</v>
      </c>
      <c r="K3" s="26" t="s">
        <v>21</v>
      </c>
    </row>
    <row r="4" spans="1:14" ht="24.75" customHeight="1"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x14ac:dyDescent="0.2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x14ac:dyDescent="0.3">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x14ac:dyDescent="0.2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x14ac:dyDescent="0.3">
      <c r="A8" s="32" t="str">
        <v>Pratt Solar Farm</v>
      </c>
      <c r="B8" s="29" t="str">
        <v>KS</v>
      </c>
      <c r="C8" s="25"/>
      <c r="D8" s="14"/>
      <c r="E8" s="14" t="str">
        <f t="shared" si="4"/>
        <v/>
      </c>
      <c r="F8" s="15" t="str">
        <f t="shared" si="3"/>
        <v/>
      </c>
      <c r="G8" s="16"/>
      <c r="H8" s="16" t="str">
        <f t="shared" si="5"/>
        <v/>
      </c>
      <c r="I8" s="17" t="str">
        <f t="shared" si="6"/>
        <v/>
      </c>
      <c r="J8" s="50"/>
      <c r="K8" s="50"/>
    </row>
    <row r="9" spans="1:14" ht="15.6" x14ac:dyDescent="0.3">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x14ac:dyDescent="0.3">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x14ac:dyDescent="0.3">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x14ac:dyDescent="0.3">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x14ac:dyDescent="0.3">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x14ac:dyDescent="0.3">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x14ac:dyDescent="0.3">
      <c r="A15" s="22"/>
      <c r="B15" s="22"/>
      <c r="C15" s="22"/>
      <c r="D15" s="22"/>
      <c r="E15" s="22" t="str">
        <f t="shared" si="0"/>
        <v/>
      </c>
      <c r="F15" s="22" t="str">
        <f t="shared" si="7"/>
        <v/>
      </c>
      <c r="G15" s="22"/>
      <c r="H15" s="22" t="str">
        <f t="shared" si="1"/>
        <v/>
      </c>
      <c r="I15" s="22" t="str">
        <f t="shared" si="2"/>
        <v/>
      </c>
      <c r="J15" s="22"/>
      <c r="K15" s="22"/>
      <c r="L15" s="22"/>
      <c r="M15" s="22"/>
      <c r="N15" s="22"/>
    </row>
    <row r="16" spans="1:14" x14ac:dyDescent="0.3">
      <c r="A16" s="22"/>
      <c r="B16" s="22"/>
      <c r="C16" s="22"/>
      <c r="D16" s="22"/>
      <c r="E16" s="22" t="str">
        <f t="shared" si="0"/>
        <v/>
      </c>
      <c r="F16" s="22" t="str">
        <f t="shared" si="7"/>
        <v/>
      </c>
      <c r="G16" s="22"/>
      <c r="H16" s="22" t="str">
        <f t="shared" si="1"/>
        <v/>
      </c>
      <c r="I16" s="22" t="str">
        <f t="shared" si="2"/>
        <v/>
      </c>
      <c r="J16" s="22"/>
      <c r="K16" s="22"/>
      <c r="L16" s="22"/>
      <c r="M16" s="22"/>
      <c r="N16" s="22"/>
    </row>
    <row r="17" spans="1:14" x14ac:dyDescent="0.3">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x14ac:dyDescent="0.3">
      <c r="A18" s="22"/>
      <c r="B18" s="22"/>
      <c r="C18" s="22"/>
      <c r="D18" s="22"/>
      <c r="E18" s="22"/>
      <c r="F18" s="22"/>
      <c r="G18" s="22"/>
      <c r="H18" s="22"/>
      <c r="I18" s="22"/>
      <c r="J18" s="22"/>
      <c r="K18" s="22"/>
      <c r="L18" s="22"/>
      <c r="M18" s="22"/>
      <c r="N18" s="22"/>
    </row>
    <row r="19" spans="1:14" x14ac:dyDescent="0.3">
      <c r="A19" s="22"/>
      <c r="B19" s="22"/>
      <c r="C19" s="22"/>
      <c r="D19" s="22"/>
      <c r="E19" s="22"/>
      <c r="F19" s="22"/>
      <c r="G19" s="22"/>
      <c r="H19" s="22"/>
      <c r="I19" s="22"/>
      <c r="J19" s="22"/>
      <c r="K19" s="22"/>
      <c r="L19" s="22"/>
      <c r="M19" s="22"/>
      <c r="N19" s="22"/>
    </row>
    <row r="20" spans="1:14" ht="14.4" x14ac:dyDescent="0.3">
      <c r="A20" s="22"/>
      <c r="B20" s="33"/>
      <c r="C20" s="22"/>
      <c r="D20" s="22"/>
      <c r="E20" s="22"/>
      <c r="F20" s="22"/>
      <c r="G20" s="22"/>
      <c r="H20" s="22"/>
      <c r="I20" s="22"/>
      <c r="J20" s="22"/>
      <c r="K20" s="22"/>
    </row>
    <row r="21" spans="1:14" ht="14.4" x14ac:dyDescent="0.3">
      <c r="A21" s="22"/>
      <c r="B21" s="33"/>
      <c r="C21" s="22"/>
      <c r="D21" s="22"/>
      <c r="E21" s="22"/>
      <c r="F21" s="22"/>
      <c r="G21" s="22"/>
      <c r="H21" s="22"/>
      <c r="I21" s="22"/>
      <c r="J21" s="22"/>
      <c r="K21" s="22"/>
    </row>
    <row r="22" spans="1:14" ht="14.4" x14ac:dyDescent="0.3">
      <c r="A22" s="22"/>
      <c r="B22" s="33"/>
      <c r="C22" s="22"/>
      <c r="D22" s="22"/>
      <c r="E22" s="22"/>
      <c r="F22" s="22"/>
      <c r="G22" s="22"/>
      <c r="H22" s="22"/>
      <c r="I22" s="22"/>
      <c r="J22" s="22"/>
      <c r="K22" s="22"/>
    </row>
    <row r="23" spans="1:14" ht="14.4" x14ac:dyDescent="0.3">
      <c r="A23" s="22"/>
      <c r="B23" s="33"/>
      <c r="C23" s="22"/>
      <c r="D23" s="22"/>
      <c r="E23" s="22"/>
      <c r="F23" s="22"/>
      <c r="G23" s="22"/>
      <c r="H23" s="22"/>
      <c r="I23" s="22"/>
      <c r="J23" s="22"/>
      <c r="K23" s="22"/>
    </row>
    <row r="24" spans="1:14" ht="14.4" x14ac:dyDescent="0.3">
      <c r="A24" s="22"/>
      <c r="B24" s="33"/>
      <c r="C24" s="22"/>
      <c r="D24" s="22"/>
      <c r="E24" s="22"/>
      <c r="F24" s="22"/>
      <c r="G24" s="22"/>
      <c r="H24" s="22"/>
      <c r="I24" s="22"/>
      <c r="J24" s="22"/>
      <c r="K24" s="22"/>
    </row>
    <row r="25" spans="1:14" ht="14.4" x14ac:dyDescent="0.3">
      <c r="A25" s="22"/>
      <c r="B25" s="33"/>
      <c r="C25" s="22"/>
      <c r="D25" s="22"/>
      <c r="E25" s="22"/>
      <c r="F25" s="22"/>
      <c r="G25" s="22"/>
      <c r="H25" s="22"/>
      <c r="I25" s="22"/>
      <c r="J25" s="22"/>
      <c r="K25" s="22"/>
    </row>
    <row r="26" spans="1:14" ht="14.4" x14ac:dyDescent="0.3">
      <c r="A26" s="22"/>
      <c r="B26" s="33"/>
      <c r="C26" s="22"/>
      <c r="D26" s="22"/>
      <c r="E26" s="22"/>
      <c r="F26" s="22"/>
      <c r="G26" s="22"/>
      <c r="H26" s="22"/>
      <c r="I26" s="22"/>
      <c r="J26" s="22"/>
      <c r="K26" s="22"/>
    </row>
    <row r="27" spans="1:14" ht="14.4" x14ac:dyDescent="0.3">
      <c r="A27" s="22"/>
      <c r="B27" s="33"/>
      <c r="C27" s="22"/>
      <c r="D27" s="22"/>
      <c r="E27" s="22"/>
      <c r="F27" s="22"/>
      <c r="G27" s="22"/>
      <c r="H27" s="22"/>
      <c r="I27" s="22"/>
      <c r="J27" s="22"/>
      <c r="K27" s="22"/>
    </row>
    <row r="28" spans="1:14" ht="14.4" x14ac:dyDescent="0.3">
      <c r="A28" s="22"/>
      <c r="B28" s="33"/>
      <c r="C28" s="22"/>
      <c r="D28" s="22"/>
      <c r="E28" s="22"/>
      <c r="F28" s="22"/>
      <c r="G28" s="22"/>
      <c r="H28" s="22"/>
      <c r="I28" s="22"/>
      <c r="J28" s="22"/>
      <c r="K28" s="22"/>
    </row>
    <row r="29" spans="1:14" ht="14.4" x14ac:dyDescent="0.3">
      <c r="A29" s="22"/>
      <c r="B29" s="33"/>
      <c r="C29" s="22"/>
      <c r="D29" s="22"/>
      <c r="E29" s="22"/>
      <c r="F29" s="22"/>
      <c r="G29" s="22"/>
      <c r="H29" s="22"/>
      <c r="I29" s="22"/>
      <c r="J29" s="22"/>
      <c r="K29" s="22"/>
    </row>
    <row r="30" spans="1:14" ht="14.4" x14ac:dyDescent="0.3">
      <c r="A30" s="22"/>
      <c r="B30" s="33"/>
      <c r="C30" s="22"/>
      <c r="D30" s="22"/>
      <c r="E30" s="22"/>
      <c r="F30" s="22"/>
      <c r="G30" s="22"/>
      <c r="H30" s="22"/>
      <c r="I30" s="22"/>
      <c r="J30" s="22"/>
      <c r="K30" s="22"/>
    </row>
    <row r="31" spans="1:14" ht="14.4" x14ac:dyDescent="0.3">
      <c r="A31" s="22"/>
      <c r="B31" s="33"/>
      <c r="C31" s="22"/>
      <c r="D31" s="22"/>
      <c r="E31" s="22"/>
      <c r="F31" s="22"/>
      <c r="G31" s="22"/>
      <c r="H31" s="22"/>
      <c r="I31" s="22"/>
      <c r="J31" s="22"/>
      <c r="K31" s="22"/>
    </row>
    <row r="32" spans="1:14"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 priority="3" stopIfTrue="1" operator="lessThanOrEqual">
      <formula>-0.1</formula>
    </cfRule>
    <cfRule type="expression" dxfId="2" priority="4">
      <formula>AND(ISNUMBER(F2), F2&gt;=0.1)</formula>
    </cfRule>
  </conditionalFormatting>
  <conditionalFormatting sqref="F4:F13 I4:I13 F20:F100 I20:I100">
    <cfRule type="cellIs" dxfId="1" priority="1" stopIfTrue="1" operator="lessThanOrEqual">
      <formula>-0.1</formula>
    </cfRule>
    <cfRule type="expression" dxfId="0"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20" sqref="A20"/>
    </sheetView>
  </sheetViews>
  <sheetFormatPr defaultRowHeight="12.75" customHeight="1" x14ac:dyDescent="0.25"/>
  <cols>
    <col min="1" max="2" width="41.88671875" customWidth="1"/>
    <col min="4" max="4" width="9.109375" customWidth="1"/>
    <col min="5" max="5" width="18.33203125" customWidth="1"/>
    <col min="6" max="14" width="9.109375" customWidth="1"/>
  </cols>
  <sheetData>
    <row r="1" spans="1:7" ht="12.75" customHeight="1" x14ac:dyDescent="0.25">
      <c r="A1" t="s">
        <v>147</v>
      </c>
      <c r="B1" s="43" t="s">
        <v>148</v>
      </c>
    </row>
    <row r="3" spans="1:7" ht="13.2" x14ac:dyDescent="0.25">
      <c r="A3" t="s">
        <v>149</v>
      </c>
      <c r="B3" t="s">
        <v>3</v>
      </c>
      <c r="C3" t="s">
        <v>4</v>
      </c>
      <c r="D3" t="s">
        <v>150</v>
      </c>
      <c r="E3" s="2" t="s">
        <v>151</v>
      </c>
    </row>
    <row r="4" spans="1:7" ht="14.4" x14ac:dyDescent="0.3">
      <c r="A4" s="3" t="s">
        <v>152</v>
      </c>
      <c r="B4" t="s">
        <v>153</v>
      </c>
      <c r="C4" s="4" t="s">
        <v>154</v>
      </c>
      <c r="G4" s="3"/>
    </row>
    <row r="5" spans="1:7" ht="14.4" x14ac:dyDescent="0.3">
      <c r="A5" s="3" t="s">
        <v>155</v>
      </c>
      <c r="B5" t="s">
        <v>156</v>
      </c>
      <c r="C5" s="4" t="s">
        <v>154</v>
      </c>
      <c r="G5" s="3"/>
    </row>
    <row r="6" spans="1:7" ht="14.4" x14ac:dyDescent="0.3">
      <c r="A6" s="43" t="s">
        <v>157</v>
      </c>
      <c r="B6" t="s">
        <v>158</v>
      </c>
      <c r="C6" t="s">
        <v>154</v>
      </c>
      <c r="G6" s="3"/>
    </row>
    <row r="7" spans="1:7" ht="12.75" customHeight="1" x14ac:dyDescent="0.25">
      <c r="A7" s="43" t="s">
        <v>159</v>
      </c>
      <c r="B7" t="s">
        <v>160</v>
      </c>
      <c r="C7" t="s">
        <v>154</v>
      </c>
    </row>
    <row r="8" spans="1:7" ht="12.75" customHeight="1" x14ac:dyDescent="0.25">
      <c r="A8" s="4" t="s">
        <v>161</v>
      </c>
      <c r="B8" s="4" t="s">
        <v>162</v>
      </c>
      <c r="C8" s="4" t="s">
        <v>163</v>
      </c>
    </row>
    <row r="9" spans="1:7" ht="12.75" customHeight="1" x14ac:dyDescent="0.25">
      <c r="A9" s="43" t="s">
        <v>164</v>
      </c>
      <c r="B9" t="s">
        <v>165</v>
      </c>
      <c r="C9" t="s">
        <v>166</v>
      </c>
    </row>
    <row r="10" spans="1:7" ht="12.75" customHeight="1" x14ac:dyDescent="0.25">
      <c r="A10" s="4" t="s">
        <v>167</v>
      </c>
      <c r="B10" s="4" t="s">
        <v>168</v>
      </c>
      <c r="C10" s="4" t="s">
        <v>169</v>
      </c>
    </row>
    <row r="11" spans="1:7" ht="12.75" customHeight="1" x14ac:dyDescent="0.25">
      <c r="A11" s="4" t="s">
        <v>170</v>
      </c>
      <c r="B11" s="4" t="s">
        <v>171</v>
      </c>
      <c r="C11" s="4" t="s">
        <v>169</v>
      </c>
    </row>
    <row r="12" spans="1:7" ht="12.75" customHeight="1" x14ac:dyDescent="0.25">
      <c r="A12" s="4" t="s">
        <v>172</v>
      </c>
      <c r="B12" s="4" t="s">
        <v>173</v>
      </c>
      <c r="C12" s="4" t="s">
        <v>169</v>
      </c>
    </row>
    <row r="13" spans="1:7" ht="12.75" customHeight="1" x14ac:dyDescent="0.25">
      <c r="A13" s="4" t="s">
        <v>174</v>
      </c>
      <c r="B13" s="4" t="s">
        <v>175</v>
      </c>
      <c r="C13" s="4" t="s">
        <v>169</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2.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3.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4.xml><?xml version="1.0" encoding="utf-8"?>
<ds:datastoreItem xmlns:ds="http://schemas.openxmlformats.org/officeDocument/2006/customXml" ds:itemID="{66B09F59-6532-46F8-924A-9A02417E070D}">
  <ds:schemaRefs>
    <ds:schemaRef ds:uri="http://schemas.microsoft.com/DataMashup"/>
  </ds:schemaRefs>
</ds:datastoreItem>
</file>

<file path=customXml/itemProps5.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6.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7.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8.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9.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0.xml><?xml version="1.0" encoding="utf-8"?>
<ds:datastoreItem xmlns:ds="http://schemas.openxmlformats.org/officeDocument/2006/customXml" ds:itemID="{374E1CB2-F578-4F19-BE69-833FB2C5F2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2.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13.xml><?xml version="1.0" encoding="utf-8"?>
<ds:datastoreItem xmlns:ds="http://schemas.openxmlformats.org/officeDocument/2006/customXml" ds:itemID="{0389C43E-394D-44C0-87DC-4780FCFCFB40}">
  <ds:schemaRefs>
    <ds:schemaRef ds:uri="http://gemini/pivotcustomization/Diagrams"/>
  </ds:schemaRefs>
</ds:datastoreItem>
</file>

<file path=customXml/itemProps14.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15.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6.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17.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8.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9.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20.xml><?xml version="1.0" encoding="utf-8"?>
<ds:datastoreItem xmlns:ds="http://schemas.openxmlformats.org/officeDocument/2006/customXml" ds:itemID="{14966E4F-347B-477B-B74C-9DAC05405806}">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2</cp:lastModifiedBy>
  <cp:revision/>
  <dcterms:created xsi:type="dcterms:W3CDTF">2021-01-01T16:39:53Z</dcterms:created>
  <dcterms:modified xsi:type="dcterms:W3CDTF">2025-07-10T08:30:14Z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