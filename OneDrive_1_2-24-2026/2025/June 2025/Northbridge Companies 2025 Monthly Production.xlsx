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F6AE4AA-8F8E-4815-A215-36E2E98167E6}" xr6:coauthVersionLast="47" xr6:coauthVersionMax="47" xr10:uidLastSave="{00000000-0000-0000-0000-000000000000}"/>
  <bookViews>
    <workbookView xWindow="-108" yWindow="-108" windowWidth="23256" windowHeight="12456" tabRatio="866" firstSheet="9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<sst xmlns="http://schemas.openxmlformats.org/spreadsheetml/2006/main" count="271" uniqueCount="70">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</sst>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5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8" t="str" cm="1">
        <f t="array" ref="A1">portfolio</f>
        <v>Northbridge Companies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 x14ac:dyDescent="0.25">
      <c r="A2" s="60" t="s">
        <v>2</v>
      </c>
      <c r="B2" s="60"/>
      <c r="C2" s="6">
        <f>SUM(C4:C90)</f>
        <v>224859.9</v>
      </c>
      <c r="D2" s="6">
        <f>SUM(D4:D90)</f>
        <v>113589.65299999999</v>
      </c>
      <c r="E2" s="6">
        <f>C2-D2</f>
        <v>111270.247</v>
      </c>
      <c r="F2" s="7">
        <f>IFERROR(E2/D2, 0)</f>
        <v>0.97958083382823624</v>
      </c>
      <c r="G2" s="6">
        <f>SUM(G4:G90)</f>
        <v>141137.20299999998</v>
      </c>
      <c r="H2" s="8">
        <f>C2-G2</f>
        <v>83722.697000000015</v>
      </c>
      <c r="I2" s="7">
        <f>IFERROR(H2/G2, 0)</f>
        <v>0.59320076649102949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20">
        <f>SUM('1st Qtr'!C5, '2nd Qtr'!C5, '3rd Qtr'!C5, '4th Qtr'!C5)</f>
        <v>143936.5</v>
      </c>
      <c r="D5" s="20">
        <f>SUM('1st Qtr'!D5, '2nd Qtr'!D5, '3rd Qtr'!D5, '4th Qtr'!D5)</f>
        <v>113589.65299999999</v>
      </c>
      <c r="E5" s="20">
        <f t="shared" ref="E5" si="0">IF(AND(ISNUMBER(C5),ISNUMBER(D5)), C5-D5, "")</f>
        <v>30346.847000000009</v>
      </c>
      <c r="F5" s="21">
        <f>IFERROR(E5/D5, "")</f>
        <v>0.26716207153128652</v>
      </c>
      <c r="G5" s="22">
        <f>SUM('1st Qtr'!G5,'2nd Qtr'!G5,'3rd Qtr'!G5,'4th Qtr'!G5)</f>
        <v>141137.20299999998</v>
      </c>
      <c r="H5" s="22">
        <f>SUM('1st Qtr'!H5, '2nd Qtr'!H5, '3rd Qtr'!H5, '4th Qtr'!H5)</f>
        <v>2799.2970000000005</v>
      </c>
      <c r="I5" s="21">
        <f>IFERROR(H5/G5, "")</f>
        <v>1.9833870450160478E-2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8" t="str" cm="1">
        <f t="array" ref="A1">portfolio</f>
        <v>Northbridge Companies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 x14ac:dyDescent="0.25">
      <c r="A2" s="60" t="s">
        <v>2</v>
      </c>
      <c r="B2" s="60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5" sqref="E5"/>
    </sheetView>
  </sheetViews>
  <sheetFormatPr defaultRowHeight="13.2" x14ac:dyDescent="0.25"/>
  <cols>
    <col min="1" max="1" width="40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8" t="str" cm="1">
        <f t="array" ref="A1">portfolio</f>
        <v>Northbridge Companies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 x14ac:dyDescent="0.25">
      <c r="A2" s="60" t="s">
        <v>2</v>
      </c>
      <c r="B2" s="60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8" t="str" cm="1">
        <f t="array" ref="A1">portfolio</f>
        <v>Northbridge Companies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8" t="str" cm="1">
        <f t="array" ref="A1">portfolio</f>
        <v>Northbridge Companies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activeCell="F18" sqref="F18"/>
      <selection pane="bottomLeft" activeCell="G18" sqref="G18"/>
    </sheetView>
  </sheetViews>
  <sheetFormatPr defaultRowHeight="13.8" x14ac:dyDescent="0.25"/>
  <cols>
    <col min="1" max="1" width="40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8" t="s">
        <v>24</v>
      </c>
    </row>
    <row r="6" spans="1:11" ht="14.4" x14ac:dyDescent="0.3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44.4414062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8" t="str" cm="1">
        <f t="array" ref="A1">portfolio</f>
        <v>Northbridge Companies</v>
      </c>
      <c r="B1" s="58"/>
      <c r="C1" s="58"/>
      <c r="D1" s="59" t="s">
        <v>25</v>
      </c>
      <c r="E1" s="59"/>
      <c r="F1" s="59"/>
      <c r="G1" s="57" t="s">
        <v>26</v>
      </c>
      <c r="H1" s="57"/>
      <c r="I1" s="57"/>
      <c r="J1" s="5"/>
      <c r="K1" s="5"/>
    </row>
    <row r="2" spans="1:12" ht="19.5" customHeight="1" x14ac:dyDescent="0.25">
      <c r="A2" s="60" t="s">
        <v>2</v>
      </c>
      <c r="B2" s="60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" x14ac:dyDescent="0.2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8" t="s">
        <v>28</v>
      </c>
      <c r="L5" s="54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D15" sqref="D15"/>
    </sheetView>
  </sheetViews>
  <sheetFormatPr defaultRowHeight="13.8" x14ac:dyDescent="0.25"/>
  <cols>
    <col min="1" max="1" width="46.441406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30</v>
      </c>
      <c r="E1" s="59"/>
      <c r="F1" s="59"/>
      <c r="G1" s="57" t="s">
        <v>31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9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3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activeCell="F18" sqref="F18"/>
      <selection pane="bottomLeft" activeCell="J11" sqref="J11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6"/>
  </cols>
  <sheetData>
    <row r="1" spans="1:12" ht="19.5" customHeight="1" x14ac:dyDescent="0.25">
      <c r="A1" s="58" t="str" cm="1">
        <f t="array" ref="A1">portfolio</f>
        <v>Northbridge Companies</v>
      </c>
      <c r="B1" s="58"/>
      <c r="C1" s="58"/>
      <c r="D1" s="59" t="s">
        <v>34</v>
      </c>
      <c r="E1" s="59"/>
      <c r="F1" s="59"/>
      <c r="G1" s="57" t="s">
        <v>35</v>
      </c>
      <c r="H1" s="57"/>
      <c r="I1" s="57"/>
      <c r="J1" s="5"/>
      <c r="K1" s="5"/>
    </row>
    <row r="2" spans="1:12" ht="19.5" customHeight="1" x14ac:dyDescent="0.25">
      <c r="A2" s="60" t="s">
        <v>2</v>
      </c>
      <c r="B2" s="60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2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5" t="s">
        <v>37</v>
      </c>
    </row>
    <row r="5" spans="1:12" ht="57.6" x14ac:dyDescent="0.25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3" t="s">
        <v>38</v>
      </c>
      <c r="K5" s="48" t="s">
        <v>39</v>
      </c>
      <c r="L5" s="54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K4" sqref="K4"/>
    </sheetView>
  </sheetViews>
  <sheetFormatPr defaultRowHeight="13.8" x14ac:dyDescent="0.25"/>
  <cols>
    <col min="1" max="1" width="56.1093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3" t="s">
        <v>32</v>
      </c>
      <c r="K5" s="53" t="s">
        <v>43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topLeftCell="C1" workbookViewId="0">
      <pane ySplit="2" topLeftCell="A3" activePane="bottomLeft" state="frozen"/>
      <selection activeCell="F18" sqref="F18"/>
      <selection pane="bottomLeft" activeCell="K4" sqref="K4:K5"/>
    </sheetView>
  </sheetViews>
  <sheetFormatPr defaultRowHeight="13.8" x14ac:dyDescent="0.25"/>
  <cols>
    <col min="1" max="1" width="47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3" t="s">
        <v>32</v>
      </c>
      <c r="K5" s="53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5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5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2" customHeight="1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0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41.55468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1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activeCell="J16" sqref="J16"/>
      <selection pane="bottomLeft" activeCell="H15" sqref="H15"/>
    </sheetView>
  </sheetViews>
  <sheetFormatPr defaultRowHeight="13.8" x14ac:dyDescent="0.25"/>
  <cols>
    <col min="1" max="1" width="40.55468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7.88671875" customWidth="1"/>
    <col min="11" max="11" width="20.5546875" bestFit="1" customWidth="1"/>
  </cols>
  <sheetData>
    <row r="1" spans="1:11" ht="19.5" customHeight="1" x14ac:dyDescent="0.25">
      <c r="A1" s="58" t="str" cm="1">
        <f t="array" ref="A1">portfolio</f>
        <v>Northbridge Companies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5"/>
      <c r="K1" s="5"/>
    </row>
    <row r="2" spans="1:11" ht="19.5" customHeight="1" x14ac:dyDescent="0.25">
      <c r="A2" s="60" t="s">
        <v>2</v>
      </c>
      <c r="B2" s="6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7"/>
    </row>
    <row r="6" spans="1:11" ht="15.6" x14ac:dyDescent="0.2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" x14ac:dyDescent="0.3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58</v>
      </c>
      <c r="B1" t="s">
        <v>59</v>
      </c>
    </row>
    <row r="3" spans="1:7" ht="13.2" x14ac:dyDescent="0.2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" x14ac:dyDescent="0.3">
      <c r="A4" t="s">
        <v>63</v>
      </c>
      <c r="B4" t="s">
        <v>64</v>
      </c>
      <c r="C4" s="4" t="s">
        <v>65</v>
      </c>
      <c r="E4" t="s">
        <v>66</v>
      </c>
      <c r="G4" s="3"/>
    </row>
    <row r="5" spans="1:7" ht="14.4" x14ac:dyDescent="0.3">
      <c r="A5" t="s">
        <v>67</v>
      </c>
      <c r="B5" t="s">
        <v>68</v>
      </c>
      <c r="C5" s="4" t="s">
        <v>65</v>
      </c>
      <c r="E5" t="s">
        <v>69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658339-E796-4DCB-B533-3B96ABFFD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2025-07-17T06:03:11Z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