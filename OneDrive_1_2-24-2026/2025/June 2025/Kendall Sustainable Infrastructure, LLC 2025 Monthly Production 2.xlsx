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526C9033-464B-4836-B426-C068EF9C1F25}" xr6:coauthVersionLast="47" xr6:coauthVersionMax="47" xr10:uidLastSave="{54539A22-C987-42F9-9951-A16675EA48D1}"/>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9" l="1"/>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E10" i="29" s="1"/>
  <c r="F10" i="29" s="1"/>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E9" i="29" s="1"/>
  <c r="F9" i="29" s="1"/>
  <c r="G5" i="29"/>
  <c r="G6" i="29"/>
  <c r="G7" i="29"/>
  <c r="G8" i="29"/>
  <c r="G4" i="29"/>
  <c r="H9" i="28"/>
  <c r="I9" i="28" s="1"/>
  <c r="E9" i="28"/>
  <c r="F9" i="28" s="1"/>
  <c r="E6" i="26"/>
  <c r="G4" i="18"/>
  <c r="G5" i="18"/>
  <c r="G6" i="18"/>
  <c r="G7" i="18"/>
  <c r="E4" i="4"/>
  <c r="E5" i="72"/>
  <c r="F5" i="72" s="1"/>
  <c r="E6" i="72"/>
  <c r="F6" i="72" s="1"/>
  <c r="E7" i="72"/>
  <c r="F7" i="72" s="1"/>
  <c r="E8" i="72"/>
  <c r="F8" i="72" s="1"/>
  <c r="D11" i="34" l="1"/>
  <c r="E11" i="18"/>
  <c r="F11" i="18" s="1"/>
  <c r="I11" i="21"/>
  <c r="H11" i="18"/>
  <c r="I11" i="18" s="1"/>
  <c r="C11" i="34"/>
  <c r="E11" i="34" s="1"/>
  <c r="F11" i="34" s="1"/>
  <c r="E11" i="1"/>
  <c r="F11" i="1" s="1"/>
  <c r="G11" i="34"/>
  <c r="I11" i="34" s="1"/>
  <c r="H10" i="18"/>
  <c r="I10" i="18" s="1"/>
  <c r="E10" i="18"/>
  <c r="F10" i="18" s="1"/>
  <c r="D10" i="34"/>
  <c r="I8" i="21"/>
  <c r="H9" i="29"/>
  <c r="I9" i="29" s="1"/>
  <c r="I9" i="18"/>
  <c r="G10" i="34"/>
  <c r="E9" i="18"/>
  <c r="F9" i="18" s="1"/>
  <c r="H9" i="34"/>
  <c r="I9" i="3"/>
  <c r="H9" i="1"/>
  <c r="H10" i="1"/>
  <c r="I9" i="1"/>
  <c r="G8" i="34"/>
  <c r="E10" i="1"/>
  <c r="C10" i="34"/>
  <c r="E9" i="1"/>
  <c r="I9" i="30"/>
  <c r="C9" i="34"/>
  <c r="G9" i="34"/>
  <c r="I9" i="34" s="1"/>
  <c r="D9" i="34"/>
  <c r="C2" i="3"/>
  <c r="H10" i="34" l="1"/>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E7" i="26"/>
  <c r="F7" i="26" s="1"/>
  <c r="H6" i="26"/>
  <c r="H6" i="29" s="1"/>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I8" i="32" l="1"/>
  <c r="H8" i="30"/>
  <c r="H7" i="29"/>
  <c r="I8" i="20"/>
  <c r="H8" i="18"/>
  <c r="I8" i="18" s="1"/>
  <c r="C7" i="34"/>
  <c r="H8" i="1"/>
  <c r="H7" i="34"/>
  <c r="I7" i="34" s="1"/>
  <c r="C6" i="34"/>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<sst xmlns="http://schemas.openxmlformats.org/spreadsheetml/2006/main" count="311" uniqueCount="105">
  <si>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</si>
  <si>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</si>
  <si>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</si>
  <si>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</si>
  <si>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</si>
  <si>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</si>
  <si>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</si>
  <si>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</si>
  <si>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</si>
  <si>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</si>
  <si>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</si>
  <si>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</si>
  <si>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</si>
  <si>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</si>
  <si>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</si>
  <si>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</si>
  <si>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</si>
  <si>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</si>
  <si>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</si>
  <si>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</si>
  <si>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</si>
  <si>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</si>
  <si>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</si>
  <si>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</si>
  <si>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</si>
  <si>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</si>
  <si>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</si>
  <si>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</si>
  <si>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</si>
  <si>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</si>
  <si>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</si>
  <si>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</si>
  <si>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</si>
  <si>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</si>
  <si>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</si>
  <si>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</si>
  <si>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</si>
  <si>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</si>
  <si>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</si>
  <si>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</si>
  <si>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</si>
  <si>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</si>
  <si>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</si>
  <si>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</si>
  <si>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</si>
  <si>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</si>
  <si>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</si>
  <si>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</si>
  <si>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</si>
  <si>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</si>
  <si>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</si>
  <si>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</si>
  <si>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</si>
  <si>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</si>
  <si>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</si>
  <si>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</si>
  <si>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</si>
  <si>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</si>
  <si>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</si>
  <si>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</si>
  <si>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</si>
  <si>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</si>
  <si>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</si>
  <si>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</si>
  <si>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N/A</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</si>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</sst>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
      <b/>
      <sz val="11"/>
      <name val="Calibri"/>
      <family val="2"/>
      <scheme val="minor"/>
    </font>
    <font>
      <sz val="11"/>
      <name val="Calibri"/>
      <family val="2"/>
      <scheme val="minor"/>
    </font>
    <font>
      <sz val="11"/>
      <color rgb="FF000000"/>
      <name val="Calibri"/>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8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49" fontId="40" fillId="0" borderId="0" xfId="0" applyNumberFormat="1" applyFont="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6" sqref="G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0</v>
      </c>
      <c r="E1" s="86"/>
      <c r="F1" s="86"/>
      <c r="G1" s="84" t="s">
        <v>1</v>
      </c>
      <c r="H1" s="84"/>
      <c r="I1" s="84"/>
    </row>
    <row r="2" spans="1:9" ht="19.5" customHeight="1">
      <c r="A2" s="87" t="s">
        <v>2</v>
      </c>
      <c r="B2" s="87"/>
      <c r="C2" s="5">
        <f>SUM(C4:C80)</f>
        <v>3825247.2850000001</v>
      </c>
      <c r="D2" s="5">
        <f>SUM(D4:D80)</f>
        <v>3494397.0420000004</v>
      </c>
      <c r="E2" s="5">
        <f>C2-D2</f>
        <v>330850.24299999978</v>
      </c>
      <c r="F2" s="6">
        <f>IFERROR(E2/D2, 0)</f>
        <v>9.468020921018161E-2</v>
      </c>
      <c r="G2" s="5" t="e">
        <f>SUM(G4:G80)</f>
        <v>#VALUE!</v>
      </c>
      <c r="H2" s="7" t="e">
        <f>C2-G2</f>
        <v>#VALUE!</v>
      </c>
      <c r="I2" s="6">
        <f>IFERROR(H2/G2, 0)</f>
        <v>0</v>
      </c>
    </row>
    <row r="3" spans="1:9" ht="14.25" customHeight="1">
      <c r="A3" s="8" t="s">
        <v>3</v>
      </c>
      <c r="B3" s="8" t="s">
        <v>4</v>
      </c>
      <c r="C3" s="21" t="s">
        <v>5</v>
      </c>
      <c r="D3" s="33" t="s">
        <v>6</v>
      </c>
      <c r="E3" s="33" t="s">
        <v>7</v>
      </c>
      <c r="F3" s="34" t="s">
        <v>8</v>
      </c>
      <c r="G3" s="35" t="s">
        <v>9</v>
      </c>
      <c r="H3" s="36" t="s">
        <v>7</v>
      </c>
      <c r="I3" s="37" t="s">
        <v>8</v>
      </c>
    </row>
    <row r="4" spans="1:9" ht="15.6">
      <c r="A4" s="49" t="str" cm="1">
        <f t="array" ref="A4:A11">Sites[Site]</f>
        <v>Barre - 56 Bridge St</v>
      </c>
      <c r="B4" s="30" t="str" cm="1">
        <f t="array" ref="B4:B11">Sites[State]</f>
        <v>VT</v>
      </c>
      <c r="C4" s="22">
        <f>SUM('1st Qtr'!C4, '2nd Qtr'!C4, '3rd Qtr'!C4, '4th Qtr'!C4)</f>
        <v>257353.375</v>
      </c>
      <c r="D4" s="12">
        <f>SUM('1st Qtr'!D4, '2nd Qtr'!D4, '3rd Qtr'!D4, '4th Qtr'!D4)</f>
        <v>260273.78999999998</v>
      </c>
      <c r="E4" s="12">
        <f>IF(AND(ISNUMBER(C4),ISNUMBER(D4)), C4-D4, "")</f>
        <v>-2920.414999999979</v>
      </c>
      <c r="F4" s="13">
        <f>IFERROR(E4/D4, "")</f>
        <v>-1.1220549714206642E-2</v>
      </c>
      <c r="G4" s="14">
        <f>SUM('1st Qtr'!G4, '2nd Qtr'!G4, '3rd Qtr'!G4, '4th Qtr'!G4)</f>
        <v>274711.45</v>
      </c>
      <c r="H4" s="14">
        <f>SUM('1st Qtr'!H4, '2nd Qtr'!H4, '3rd Qtr'!H4, '4th Qtr'!H4)</f>
        <v>-17358.075000000012</v>
      </c>
      <c r="I4" s="15">
        <f>IFERROR(H4/G4, "")</f>
        <v>-6.3186572674710173E-2</v>
      </c>
    </row>
    <row r="5" spans="1:9" ht="15.6">
      <c r="A5" s="50" t="str">
        <v>Barre - 181 Allen St</v>
      </c>
      <c r="B5" s="28" t="str">
        <v>VT</v>
      </c>
      <c r="C5" s="16">
        <f>SUM('1st Qtr'!C5, '2nd Qtr'!C5, '3rd Qtr'!C5, '4th Qtr'!C5)</f>
        <v>252961</v>
      </c>
      <c r="D5" s="16">
        <f>SUM('1st Qtr'!D5, '2nd Qtr'!D5, '3rd Qtr'!D5, '4th Qtr'!D5)</f>
        <v>256404.66999999998</v>
      </c>
      <c r="E5" s="16">
        <f t="shared" ref="E5:E10" si="0">IF(AND(ISNUMBER(C5),ISNUMBER(D5)), C5-D5, "")</f>
        <v>-3443.6699999999837</v>
      </c>
      <c r="F5" s="17">
        <f>IFERROR(E5/D5, "")</f>
        <v>-1.3430605612604419E-2</v>
      </c>
      <c r="G5" s="18">
        <f>SUM('1st Qtr'!G5, '2nd Qtr'!G5, '3rd Qtr'!G5, '4th Qtr'!G5)</f>
        <v>275263.88</v>
      </c>
      <c r="H5" s="18">
        <f>SUM(Jan!H5, Feb!H5, Mar!H5)</f>
        <v>0</v>
      </c>
      <c r="I5" s="17">
        <f>IFERROR(H5/G5, "")</f>
        <v>0</v>
      </c>
    </row>
    <row r="6" spans="1:9" ht="15.6">
      <c r="A6" s="51" t="str">
        <v>West Greenwich - 200 Robin Hollow Rd</v>
      </c>
      <c r="B6" s="26" t="str">
        <v>RI</v>
      </c>
      <c r="C6" s="22">
        <f>SUM('1st Qtr'!C6, '2nd Qtr'!C6, '3rd Qtr'!C6, '4th Qtr'!C6)</f>
        <v>1493491.1600000001</v>
      </c>
      <c r="D6" s="12">
        <f>SUM('1st Qtr'!D6, '2nd Qtr'!D6, '3rd Qtr'!D6, '4th Qtr'!D6)</f>
        <v>1919520.6</v>
      </c>
      <c r="E6" s="12">
        <f t="shared" si="0"/>
        <v>-426029.43999999994</v>
      </c>
      <c r="F6" s="13">
        <f t="shared" ref="F6:F10" si="1">IFERROR(E6/D6, "")</f>
        <v>-0.22194575041288953</v>
      </c>
      <c r="G6" s="14">
        <f>SUM('1st Qtr'!G6, '2nd Qtr'!G6, '3rd Qtr'!G6, '4th Qtr'!G6)</f>
        <v>2161204</v>
      </c>
      <c r="H6" s="14">
        <f>SUM('1st Qtr'!H6, '2nd Qtr'!H6, '3rd Qtr'!H6, '4th Qtr'!H6)</f>
        <v>-667712.84</v>
      </c>
      <c r="I6" s="15">
        <f t="shared" ref="I6:I10" si="2">IFERROR(H6/G6, "")</f>
        <v>-0.30895410151008418</v>
      </c>
    </row>
    <row r="7" spans="1:9" ht="15.6">
      <c r="A7" s="50" t="str">
        <v>Rockingham - 25 Jackson Rd</v>
      </c>
      <c r="B7" s="28" t="str">
        <v>VT</v>
      </c>
      <c r="C7" s="16">
        <f>SUM('1st Qtr'!C7, '2nd Qtr'!C7, '3rd Qtr'!C7, '4th Qtr'!C7)</f>
        <v>221205.5</v>
      </c>
      <c r="D7" s="16">
        <f>SUM('1st Qtr'!D7, '2nd Qtr'!D7, '3rd Qtr'!D7, '4th Qtr'!D7)</f>
        <v>275003</v>
      </c>
      <c r="E7" s="16">
        <f t="shared" si="0"/>
        <v>-53797.5</v>
      </c>
      <c r="F7" s="17">
        <f t="shared" si="1"/>
        <v>-0.19562513863485126</v>
      </c>
      <c r="G7" s="18">
        <f>SUM('1st Qtr'!G7, '2nd Qtr'!G7, '3rd Qtr'!G7, '4th Qtr'!G7)</f>
        <v>262927.52100000001</v>
      </c>
      <c r="H7" s="18">
        <f>SUM(Jan!H7, Feb!H7, Mar!H7)</f>
        <v>0</v>
      </c>
      <c r="I7" s="17">
        <f t="shared" si="2"/>
        <v>0</v>
      </c>
    </row>
    <row r="8" spans="1:9" ht="15.6">
      <c r="A8" s="51" t="str">
        <v>East Hardwick - 55 Arsene Ave</v>
      </c>
      <c r="B8" s="26" t="str">
        <v>VT</v>
      </c>
      <c r="C8" s="22">
        <f>SUM('1st Qtr'!C8, '2nd Qtr'!C8, '3rd Qtr'!C8, '4th Qtr'!C8)</f>
        <v>233072</v>
      </c>
      <c r="D8" s="12">
        <f>SUM('1st Qtr'!D8, '2nd Qtr'!D8, '3rd Qtr'!D8, '4th Qtr'!D8)</f>
        <v>275137.18200000003</v>
      </c>
      <c r="E8" s="12">
        <f t="shared" si="0"/>
        <v>-42065.18200000003</v>
      </c>
      <c r="F8" s="13">
        <f t="shared" si="1"/>
        <v>-0.15288803096049747</v>
      </c>
      <c r="G8" s="14">
        <f>SUM('1st Qtr'!G8, '2nd Qtr'!G8, '3rd Qtr'!G8, '4th Qtr'!G8)</f>
        <v>239540.318</v>
      </c>
      <c r="H8" s="14">
        <f>SUM('1st Qtr'!H8, '2nd Qtr'!H8, '3rd Qtr'!H8, '4th Qtr'!H8)</f>
        <v>-6468.3179999999993</v>
      </c>
      <c r="I8" s="15">
        <f t="shared" si="2"/>
        <v>-2.7003045057325169E-2</v>
      </c>
    </row>
    <row r="9" spans="1:9" ht="15.6">
      <c r="A9" s="50" t="str">
        <v>Red Hook - 44 MM Ham Memorial Firehouse Ln</v>
      </c>
      <c r="B9" s="28" t="str">
        <v>NY</v>
      </c>
      <c r="C9" s="16">
        <f>SUM('1st Qtr'!C9, '2nd Qtr'!C9, '3rd Qtr'!C9, '4th Qtr'!C9)</f>
        <v>855646</v>
      </c>
      <c r="D9" s="16">
        <f>SUM('1st Qtr'!D9, '2nd Qtr'!D9, '3rd Qtr'!D9, '4th Qtr'!D9)</f>
        <v>0</v>
      </c>
      <c r="E9" s="16">
        <f t="shared" si="0"/>
        <v>855646</v>
      </c>
      <c r="F9" s="17" t="str">
        <f t="shared" si="1"/>
        <v/>
      </c>
      <c r="G9" s="18">
        <f>SUM('1st Qtr'!G9, '2nd Qtr'!G9, '3rd Qtr'!G9, '4th Qtr'!G9)</f>
        <v>570788.30300000007</v>
      </c>
      <c r="H9" s="18">
        <f>SUM(Jan!H9, Feb!H9, Mar!H9)</f>
        <v>0</v>
      </c>
      <c r="I9" s="17">
        <f t="shared" si="2"/>
        <v>0</v>
      </c>
    </row>
    <row r="10" spans="1:9" ht="15.6">
      <c r="A10" s="51" t="str">
        <v>Millbrook - Bacon Triangle (Cary Institute)</v>
      </c>
      <c r="B10" s="26" t="str">
        <v>NY</v>
      </c>
      <c r="C10" s="22">
        <f>SUM('1st Qtr'!C10, '2nd Qtr'!C10, '3rd Qtr'!C10, '4th Qtr'!C10)</f>
        <v>252969</v>
      </c>
      <c r="D10" s="12">
        <f>SUM('1st Qtr'!D10, '2nd Qtr'!D10, '3rd Qtr'!D10, '4th Qtr'!D10)</f>
        <v>250984.89</v>
      </c>
      <c r="E10" s="12">
        <f t="shared" si="0"/>
        <v>1984.109999999986</v>
      </c>
      <c r="F10" s="13">
        <f t="shared" si="1"/>
        <v>7.9052966096882799E-3</v>
      </c>
      <c r="G10" s="14" t="e">
        <f>SUM('1st Qtr'!G10, '2nd Qtr'!G10, '3rd Qtr'!G10, '4th Qtr'!G10)</f>
        <v>#VALUE!</v>
      </c>
      <c r="H10" s="14">
        <f>SUM('1st Qtr'!H10, '2nd Qtr'!H10, '3rd Qtr'!H10, '4th Qtr'!H10)</f>
        <v>161104</v>
      </c>
      <c r="I10" s="15" t="str">
        <f t="shared" si="2"/>
        <v/>
      </c>
    </row>
    <row r="11" spans="1:9" ht="15.6">
      <c r="A11" s="50" t="str">
        <v>Rockingham - 2029 Rockingham Rd</v>
      </c>
      <c r="B11" s="28" t="str">
        <v>VT</v>
      </c>
      <c r="C11" s="16">
        <f>SUM('1st Qtr'!C11, '2nd Qtr'!C11, '3rd Qtr'!C11, '4th Qtr'!C11)</f>
        <v>258549.25</v>
      </c>
      <c r="D11" s="16">
        <f>SUM('1st Qtr'!D11, '2nd Qtr'!D11, '3rd Qtr'!D11, '4th Qtr'!D11)</f>
        <v>257072.91</v>
      </c>
      <c r="E11" s="16">
        <f>IF(AND(ISNUMBER(C11),ISNUMBER(D11)), C11-D11, "")</f>
        <v>1476.3399999999965</v>
      </c>
      <c r="F11" s="72">
        <f>IFERROR(E11/D11, "")</f>
        <v>5.7428843824889851E-3</v>
      </c>
      <c r="G11" s="73">
        <f>SUM('1st Qtr'!G11, '2nd Qtr'!G11, '3rd Qtr'!G11, '4th Qtr'!G11)</f>
        <v>292583.49</v>
      </c>
      <c r="H11" s="73">
        <f>SUM(Jan!H11, Feb!H11, Mar!H11)</f>
        <v>0</v>
      </c>
      <c r="I11" s="72">
        <f>IFERROR(H11/G11, "")</f>
        <v>0</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0" sqref="H10"/>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10</v>
      </c>
      <c r="E1" s="86"/>
      <c r="F1" s="86"/>
      <c r="G1" s="84" t="s">
        <v>11</v>
      </c>
      <c r="H1" s="84"/>
      <c r="I1" s="84"/>
    </row>
    <row r="2" spans="1:9" ht="19.5" customHeight="1">
      <c r="A2" s="87" t="s">
        <v>2</v>
      </c>
      <c r="B2" s="87"/>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D6" sqref="D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12</v>
      </c>
      <c r="E1" s="86"/>
      <c r="F1" s="86"/>
      <c r="G1" s="84" t="s">
        <v>13</v>
      </c>
      <c r="H1" s="84"/>
      <c r="I1" s="84"/>
    </row>
    <row r="2" spans="1:9" ht="19.5" customHeight="1">
      <c r="A2" s="87" t="s">
        <v>2</v>
      </c>
      <c r="B2" s="87"/>
      <c r="C2" s="5">
        <f>SUM(C4:C80)</f>
        <v>3825247.2850000001</v>
      </c>
      <c r="D2" s="5">
        <f>SUM(D4:D80)</f>
        <v>3494397.0420000004</v>
      </c>
      <c r="E2" s="5">
        <f>C2-D2</f>
        <v>330850.24299999978</v>
      </c>
      <c r="F2" s="6">
        <f>IFERROR(E2/D2, 0)</f>
        <v>9.468020921018161E-2</v>
      </c>
      <c r="G2" s="5" t="e">
        <f>SUM(G4:G80)</f>
        <v>#VALUE!</v>
      </c>
      <c r="H2" s="7" t="e">
        <f>C2-G2</f>
        <v>#VALUE!</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t="e">
        <f>SUM(Apr!G10+May!G10+Jun!G10)</f>
        <v>#VALUE!</v>
      </c>
      <c r="H10" s="14">
        <f>SUM(Apr!H10, May!H10, Jun!H10)</f>
        <v>161104</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14</v>
      </c>
      <c r="E1" s="86"/>
      <c r="F1" s="86"/>
      <c r="G1" s="84" t="s">
        <v>15</v>
      </c>
      <c r="H1" s="84"/>
      <c r="I1" s="84"/>
    </row>
    <row r="2" spans="1:9" ht="19.5" customHeight="1">
      <c r="A2" s="87" t="s">
        <v>2</v>
      </c>
      <c r="B2" s="87"/>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Barre - 181 Allen St</v>
      </c>
      <c r="B5" s="10" t="str">
        <v>VT</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West Greenwich - 200 Robin Hollow Rd</v>
      </c>
      <c r="B6" s="9" t="str">
        <v>RI</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Rockingham - 25 Jackson Rd</v>
      </c>
      <c r="B7" s="10" t="str">
        <v>VT</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East Hardwick - 55 Arsene Ave</v>
      </c>
      <c r="B8" s="9" t="str">
        <v>VT</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Red Hook - 44 MM Ham Memorial Firehouse Ln</v>
      </c>
      <c r="B9" s="10" t="str">
        <v>NY</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Millbrook - Bacon Triangle (Cary Institute)</v>
      </c>
      <c r="B10" s="9" t="str">
        <v>NY</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t="str">
        <v>Rockingham - 2029 Rockingham Rd</v>
      </c>
      <c r="B11" s="19" t="str">
        <v>VT</v>
      </c>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16</v>
      </c>
      <c r="E1" s="86"/>
      <c r="F1" s="86"/>
      <c r="G1" s="84" t="s">
        <v>17</v>
      </c>
      <c r="H1" s="84"/>
      <c r="I1" s="84"/>
    </row>
    <row r="2" spans="1:9" ht="19.5" customHeight="1">
      <c r="A2" s="87" t="s">
        <v>2</v>
      </c>
      <c r="B2" s="87"/>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Barre - 181 Allen St</v>
      </c>
      <c r="B5" s="10" t="str">
        <v>VT</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West Greenwich - 200 Robin Hollow Rd</v>
      </c>
      <c r="B6" s="9" t="str">
        <v>RI</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Rockingham - 25 Jackson Rd</v>
      </c>
      <c r="B7" s="10" t="str">
        <v>VT</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East Hardwick - 55 Arsene Ave</v>
      </c>
      <c r="B8" s="9" t="str">
        <v>VT</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Red Hook - 44 MM Ham Memorial Firehouse Ln</v>
      </c>
      <c r="B9" s="10" t="str">
        <v>NY</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Millbrook - Bacon Triangle (Cary Institute)</v>
      </c>
      <c r="B10" s="9" t="str">
        <v>NY</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t="str">
        <v>Rockingham - 2029 Rockingham Rd</v>
      </c>
      <c r="B11" s="19" t="str">
        <v>VT</v>
      </c>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5" t="str" cm="1">
        <f t="array" ref="A1">portfolio</f>
        <v>Kendall Sustainable Infrastructure, LLC</v>
      </c>
      <c r="B1" s="85"/>
      <c r="C1" s="85"/>
      <c r="D1" s="86" t="s">
        <v>18</v>
      </c>
      <c r="E1" s="86"/>
      <c r="F1" s="86"/>
      <c r="G1" s="84" t="s">
        <v>19</v>
      </c>
      <c r="H1" s="84"/>
      <c r="I1" s="84"/>
      <c r="J1" s="4"/>
      <c r="K1" s="4"/>
    </row>
    <row r="2" spans="1:13" ht="19.5" customHeight="1">
      <c r="A2" s="87" t="s">
        <v>2</v>
      </c>
      <c r="B2" s="87"/>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5" t="str" cm="1">
        <f t="array" ref="A1">portfolio</f>
        <v>Kendall Sustainable Infrastructure, LLC</v>
      </c>
      <c r="B1" s="85"/>
      <c r="C1" s="85"/>
      <c r="D1" s="86" t="s">
        <v>22</v>
      </c>
      <c r="E1" s="86"/>
      <c r="F1" s="86"/>
      <c r="G1" s="84" t="s">
        <v>23</v>
      </c>
      <c r="H1" s="84"/>
      <c r="I1" s="84"/>
      <c r="J1" s="4"/>
      <c r="K1" s="4"/>
    </row>
    <row r="2" spans="1:14" ht="19.5" customHeight="1">
      <c r="A2" s="87" t="s">
        <v>2</v>
      </c>
      <c r="B2" s="87"/>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5" t="str" cm="1">
        <f t="array" ref="A1">portfolio</f>
        <v>Kendall Sustainable Infrastructure, LLC</v>
      </c>
      <c r="B1" s="85"/>
      <c r="C1" s="85"/>
      <c r="D1" s="86" t="s">
        <v>24</v>
      </c>
      <c r="E1" s="86"/>
      <c r="F1" s="86"/>
      <c r="G1" s="84" t="s">
        <v>25</v>
      </c>
      <c r="H1" s="84"/>
      <c r="I1" s="84"/>
      <c r="J1" s="4"/>
      <c r="K1" s="4"/>
    </row>
    <row r="2" spans="1:17" ht="19.5" customHeight="1">
      <c r="A2" s="87" t="s">
        <v>2</v>
      </c>
      <c r="B2" s="87"/>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5" t="str" cm="1">
        <f t="array" ref="A1">portfolio</f>
        <v>Kendall Sustainable Infrastructure, LLC</v>
      </c>
      <c r="B1" s="85"/>
      <c r="C1" s="85"/>
      <c r="D1" s="86" t="s">
        <v>26</v>
      </c>
      <c r="E1" s="86"/>
      <c r="F1" s="86"/>
      <c r="G1" s="84" t="s">
        <v>27</v>
      </c>
      <c r="H1" s="84"/>
      <c r="I1" s="84"/>
      <c r="J1" s="4"/>
      <c r="K1" s="4"/>
    </row>
    <row r="2" spans="1:15" ht="19.5" customHeight="1">
      <c r="A2" s="87" t="s">
        <v>2</v>
      </c>
      <c r="B2" s="87"/>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c r="B12" s="31"/>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85" t="str" cm="1">
        <f t="array" ref="A1">portfolio</f>
        <v>Kendall Sustainable Infrastructure, LLC</v>
      </c>
      <c r="B1" s="85"/>
      <c r="C1" s="85"/>
      <c r="D1" s="86" t="s">
        <v>39</v>
      </c>
      <c r="E1" s="86"/>
      <c r="F1" s="86"/>
      <c r="G1" s="84" t="s">
        <v>40</v>
      </c>
      <c r="H1" s="84"/>
      <c r="I1" s="84"/>
      <c r="J1" s="4"/>
      <c r="K1" s="78"/>
    </row>
    <row r="2" spans="1:14" ht="19.5" customHeight="1">
      <c r="A2" s="87" t="s">
        <v>2</v>
      </c>
      <c r="B2" s="87"/>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91.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tabSelected="1" zoomScale="70" zoomScaleNormal="7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85" t="str" cm="1">
        <f t="array" ref="A1">portfolio</f>
        <v>Kendall Sustainable Infrastructure, LLC</v>
      </c>
      <c r="B1" s="85"/>
      <c r="C1" s="85"/>
      <c r="D1" s="86" t="s">
        <v>53</v>
      </c>
      <c r="E1" s="86"/>
      <c r="F1" s="86"/>
      <c r="G1" s="84" t="s">
        <v>54</v>
      </c>
      <c r="H1" s="84"/>
      <c r="I1" s="84"/>
      <c r="J1" s="4"/>
      <c r="K1" s="4"/>
    </row>
    <row r="2" spans="1:13" ht="19.5" customHeight="1">
      <c r="A2" s="87" t="s">
        <v>2</v>
      </c>
      <c r="B2" s="87"/>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t="s">
        <v>64</v>
      </c>
      <c r="H10" s="14" t="str">
        <f t="shared" si="1"/>
        <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83"/>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J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85" t="str" cm="1">
        <f t="array" ref="A1">portfolio</f>
        <v>Kendall Sustainable Infrastructure, LLC</v>
      </c>
      <c r="B1" s="85"/>
      <c r="C1" s="85"/>
      <c r="D1" s="86" t="s">
        <v>65</v>
      </c>
      <c r="E1" s="86"/>
      <c r="F1" s="86"/>
      <c r="G1" s="84" t="s">
        <v>66</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IF(AND(ISNUMBER(C6),ISNUMBER(D6)), C6-D6, "")</f>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67</v>
      </c>
      <c r="E1" s="86"/>
      <c r="F1" s="86"/>
      <c r="G1" s="84" t="s">
        <v>68</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 t="shared" si="0"/>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69</v>
      </c>
      <c r="E1" s="86"/>
      <c r="F1" s="86"/>
      <c r="G1" s="84" t="s">
        <v>70</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71</v>
      </c>
      <c r="E1" s="86"/>
      <c r="F1" s="86"/>
      <c r="G1" s="84" t="s">
        <v>72</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West Greenwich - 200 Robin Hollow Rd</v>
      </c>
      <c r="B6" s="27" t="str">
        <v>RI</v>
      </c>
      <c r="C6" s="22"/>
      <c r="D6" s="12"/>
      <c r="E6" s="12" t="str">
        <f>IF(AND(ISNUMBER(C6),ISNUMBER(D6)), C6-D6, "")</f>
        <v/>
      </c>
      <c r="F6" s="13" t="str">
        <f t="shared" ref="F6:F9" si="1">IFERROR(E6/D6, "")</f>
        <v/>
      </c>
      <c r="G6" s="14"/>
      <c r="H6" s="14"/>
      <c r="I6" s="15" t="str">
        <f t="shared" ref="I6" si="2">IFERROR(H6/G6, "")</f>
        <v/>
      </c>
      <c r="J6" s="39"/>
      <c r="K6" s="39"/>
    </row>
    <row r="7" spans="1:11" ht="15.6">
      <c r="A7" s="28" t="str">
        <v>Rockingham - 25 Jackson Rd</v>
      </c>
      <c r="B7" s="29" t="str">
        <v>VT</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East Hardwick - 55 Arsene Ave</v>
      </c>
      <c r="B8" s="27" t="str">
        <v>VT</v>
      </c>
      <c r="C8" s="22"/>
      <c r="D8" s="12"/>
      <c r="E8" s="12" t="str">
        <f t="shared" si="0"/>
        <v/>
      </c>
      <c r="F8" s="13" t="str">
        <f t="shared" si="1"/>
        <v/>
      </c>
      <c r="G8" s="14"/>
      <c r="H8" s="14"/>
      <c r="I8" s="15" t="str">
        <f t="shared" ref="I8" si="5">IFERROR(H8/G8, "")</f>
        <v/>
      </c>
      <c r="J8" s="39"/>
      <c r="K8" s="39"/>
    </row>
    <row r="9" spans="1:11" ht="15.6">
      <c r="A9" s="28" t="str">
        <v>Red Hook - 44 MM Ham Memorial Firehouse Ln</v>
      </c>
      <c r="B9" s="29" t="str">
        <v>NY</v>
      </c>
      <c r="C9" s="11"/>
      <c r="D9" s="16"/>
      <c r="E9" s="16" t="str">
        <f t="shared" si="0"/>
        <v/>
      </c>
      <c r="F9" s="17" t="str">
        <f t="shared" si="1"/>
        <v/>
      </c>
      <c r="G9" s="18"/>
      <c r="H9" s="18" t="str">
        <f t="shared" si="3"/>
        <v/>
      </c>
      <c r="I9" s="17" t="str">
        <f>IFERROR(H9/G9, "")</f>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5" t="str" cm="1">
        <f t="array" ref="A1">portfolio</f>
        <v>Kendall Sustainable Infrastructure, LLC</v>
      </c>
      <c r="B1" s="85"/>
      <c r="C1" s="85"/>
      <c r="D1" s="86" t="s">
        <v>73</v>
      </c>
      <c r="E1" s="86"/>
      <c r="F1" s="86"/>
      <c r="G1" s="84" t="s">
        <v>74</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75</v>
      </c>
      <c r="E1" s="86"/>
      <c r="F1" s="86"/>
      <c r="G1" s="84" t="s">
        <v>76</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E14" sqref="E1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77</v>
      </c>
      <c r="B1" t="s">
        <v>78</v>
      </c>
    </row>
    <row r="3" spans="1:12" ht="13.15">
      <c r="A3" t="s">
        <v>79</v>
      </c>
      <c r="B3" t="s">
        <v>3</v>
      </c>
      <c r="C3" t="s">
        <v>4</v>
      </c>
      <c r="D3" t="s">
        <v>80</v>
      </c>
      <c r="E3" s="2" t="s">
        <v>81</v>
      </c>
    </row>
    <row r="4" spans="1:12" ht="14.45">
      <c r="A4" s="48" t="s">
        <v>82</v>
      </c>
      <c r="B4" t="s">
        <v>83</v>
      </c>
      <c r="C4" s="45" t="s">
        <v>84</v>
      </c>
      <c r="D4" s="44" t="s">
        <v>85</v>
      </c>
      <c r="E4" t="s">
        <v>86</v>
      </c>
      <c r="G4" s="3"/>
    </row>
    <row r="5" spans="1:12" ht="14.45">
      <c r="A5" s="48" t="s">
        <v>87</v>
      </c>
      <c r="B5" t="s">
        <v>88</v>
      </c>
      <c r="C5" s="45" t="s">
        <v>84</v>
      </c>
      <c r="D5" s="44" t="s">
        <v>85</v>
      </c>
      <c r="E5" t="s">
        <v>86</v>
      </c>
      <c r="G5" s="3"/>
    </row>
    <row r="6" spans="1:12" ht="14.45">
      <c r="A6" s="48" t="s">
        <v>89</v>
      </c>
      <c r="B6" t="s">
        <v>90</v>
      </c>
      <c r="C6" s="45" t="s">
        <v>91</v>
      </c>
      <c r="D6" s="44" t="s">
        <v>85</v>
      </c>
      <c r="E6" t="s">
        <v>86</v>
      </c>
      <c r="G6" s="3"/>
    </row>
    <row r="7" spans="1:12" ht="12.75" customHeight="1">
      <c r="A7" s="48" t="s">
        <v>92</v>
      </c>
      <c r="B7" t="s">
        <v>93</v>
      </c>
      <c r="C7" s="45" t="s">
        <v>84</v>
      </c>
      <c r="D7" s="44"/>
      <c r="E7" t="s">
        <v>94</v>
      </c>
    </row>
    <row r="8" spans="1:12" ht="12.75" customHeight="1">
      <c r="A8" s="48" t="s">
        <v>95</v>
      </c>
      <c r="B8" t="s">
        <v>96</v>
      </c>
      <c r="C8" s="45" t="s">
        <v>84</v>
      </c>
      <c r="D8" s="44"/>
      <c r="E8" t="s">
        <v>94</v>
      </c>
    </row>
    <row r="9" spans="1:12" ht="12.75" customHeight="1">
      <c r="A9" s="54" t="s">
        <v>97</v>
      </c>
      <c r="B9" s="55" t="s">
        <v>98</v>
      </c>
      <c r="C9" s="45" t="s">
        <v>99</v>
      </c>
      <c r="D9" s="44"/>
      <c r="E9" t="s">
        <v>94</v>
      </c>
      <c r="K9" s="42"/>
      <c r="L9" s="42"/>
    </row>
    <row r="10" spans="1:12" ht="12.75" customHeight="1">
      <c r="A10" s="54" t="s">
        <v>100</v>
      </c>
      <c r="B10" s="55" t="s">
        <v>101</v>
      </c>
      <c r="C10" s="45" t="s">
        <v>99</v>
      </c>
      <c r="D10" s="44"/>
      <c r="E10" t="s">
        <v>102</v>
      </c>
      <c r="K10" s="42"/>
      <c r="L10" s="42"/>
    </row>
    <row r="11" spans="1:12" ht="12.75" customHeight="1">
      <c r="A11" s="54" t="s">
        <v>103</v>
      </c>
      <c r="B11" s="55" t="s">
        <v>104</v>
      </c>
      <c r="C11" s="45" t="s">
        <v>84</v>
      </c>
      <c r="D11" s="44" t="s">
        <v>85</v>
      </c>
      <c r="E11" t="s">
        <v>86</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A0C1FFE0-2BC7-4984-811B-2CF2C5EA71E3}"/>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2025-08-01T12:16:22Z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