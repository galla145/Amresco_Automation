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73D64843-600D-4B1E-B078-C20A109C575E}" xr6:coauthVersionLast="47" xr6:coauthVersionMax="47" xr10:uidLastSave="{3412614E-A295-4183-992A-C9BADEE70F55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4" l="1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/>
  <c r="H21" i="33"/>
  <c r="I21" i="33" s="1"/>
  <c r="E22" i="33"/>
  <c r="F22" i="33" s="1"/>
  <c r="H22" i="33"/>
  <c r="I22" i="33" s="1"/>
  <c r="E23" i="33"/>
  <c r="F23" i="33"/>
  <c r="H23" i="33"/>
  <c r="I23" i="33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/>
  <c r="H18" i="32"/>
  <c r="I18" i="32" s="1"/>
  <c r="E19" i="32"/>
  <c r="F19" i="32" s="1"/>
  <c r="H19" i="32"/>
  <c r="E20" i="32"/>
  <c r="F20" i="32" s="1"/>
  <c r="H20" i="32"/>
  <c r="I20" i="32" s="1"/>
  <c r="E21" i="32"/>
  <c r="F21" i="32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/>
  <c r="E27" i="32"/>
  <c r="F27" i="32"/>
  <c r="H27" i="32"/>
  <c r="I27" i="32" s="1"/>
  <c r="E28" i="32"/>
  <c r="F28" i="32"/>
  <c r="H28" i="32"/>
  <c r="I28" i="32" s="1"/>
  <c r="E29" i="32"/>
  <c r="F29" i="32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/>
  <c r="E34" i="32"/>
  <c r="F34" i="32"/>
  <c r="H34" i="32"/>
  <c r="I34" i="32" s="1"/>
  <c r="E35" i="32"/>
  <c r="F35" i="32" s="1"/>
  <c r="H35" i="32"/>
  <c r="I35" i="32" s="1"/>
  <c r="E36" i="32"/>
  <c r="F36" i="32" s="1"/>
  <c r="H36" i="32"/>
  <c r="I36" i="32"/>
  <c r="E37" i="32"/>
  <c r="F37" i="32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H22" i="29" s="1"/>
  <c r="I22" i="29" s="1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26"/>
  <c r="F18" i="26" s="1"/>
  <c r="H18" i="26"/>
  <c r="I18" i="26" s="1"/>
  <c r="E19" i="26"/>
  <c r="F19" i="26"/>
  <c r="H19" i="26"/>
  <c r="I19" i="26" s="1"/>
  <c r="E20" i="26"/>
  <c r="F20" i="26" s="1"/>
  <c r="H20" i="26"/>
  <c r="I20" i="26"/>
  <c r="E21" i="26"/>
  <c r="F21" i="26" s="1"/>
  <c r="H21" i="26"/>
  <c r="I21" i="26" s="1"/>
  <c r="E22" i="26"/>
  <c r="F22" i="26" s="1"/>
  <c r="H22" i="26"/>
  <c r="I22" i="26" s="1"/>
  <c r="E23" i="26"/>
  <c r="F23" i="26"/>
  <c r="H23" i="26"/>
  <c r="I23" i="26"/>
  <c r="E24" i="26"/>
  <c r="F24" i="26" s="1"/>
  <c r="H24" i="26"/>
  <c r="I24" i="26" s="1"/>
  <c r="E25" i="26"/>
  <c r="F25" i="26" s="1"/>
  <c r="H25" i="26"/>
  <c r="I25" i="26" s="1"/>
  <c r="E26" i="26"/>
  <c r="F26" i="26"/>
  <c r="H26" i="26"/>
  <c r="I26" i="26" s="1"/>
  <c r="E27" i="26"/>
  <c r="F27" i="26" s="1"/>
  <c r="H27" i="26"/>
  <c r="I27" i="26"/>
  <c r="E28" i="26"/>
  <c r="F28" i="26"/>
  <c r="H28" i="26"/>
  <c r="I28" i="26"/>
  <c r="E29" i="26"/>
  <c r="F29" i="26" s="1"/>
  <c r="H29" i="26"/>
  <c r="I29" i="26"/>
  <c r="E30" i="26"/>
  <c r="F30" i="26" s="1"/>
  <c r="H30" i="26"/>
  <c r="I30" i="26"/>
  <c r="E31" i="26"/>
  <c r="F31" i="26" s="1"/>
  <c r="H31" i="26"/>
  <c r="I31" i="26" s="1"/>
  <c r="E32" i="26"/>
  <c r="F32" i="26" s="1"/>
  <c r="H32" i="26"/>
  <c r="E33" i="26"/>
  <c r="F33" i="26" s="1"/>
  <c r="H33" i="26"/>
  <c r="I33" i="26" s="1"/>
  <c r="E34" i="26"/>
  <c r="F34" i="26" s="1"/>
  <c r="H34" i="26"/>
  <c r="I34" i="26" s="1"/>
  <c r="E35" i="26"/>
  <c r="F35" i="26" s="1"/>
  <c r="H35" i="26"/>
  <c r="I35" i="26" s="1"/>
  <c r="E36" i="26"/>
  <c r="F36" i="26" s="1"/>
  <c r="H36" i="26"/>
  <c r="I36" i="26"/>
  <c r="E37" i="26"/>
  <c r="F37" i="26" s="1"/>
  <c r="H37" i="26"/>
  <c r="I37" i="26"/>
  <c r="E38" i="26"/>
  <c r="F38" i="26" s="1"/>
  <c r="H38" i="26"/>
  <c r="I38" i="26" s="1"/>
  <c r="E18" i="19"/>
  <c r="F18" i="19"/>
  <c r="H18" i="19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E28" i="30"/>
  <c r="F28" i="30" s="1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E23" i="29" s="1"/>
  <c r="F23" i="29" s="1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E21" i="1" s="1"/>
  <c r="F21" i="1" s="1"/>
  <c r="G21" i="1"/>
  <c r="C22" i="1"/>
  <c r="D22" i="1"/>
  <c r="G22" i="1"/>
  <c r="G22" i="34" s="1"/>
  <c r="C23" i="1"/>
  <c r="D23" i="1"/>
  <c r="E23" i="1" s="1"/>
  <c r="F23" i="1" s="1"/>
  <c r="G23" i="1"/>
  <c r="C24" i="1"/>
  <c r="C24" i="34" s="1"/>
  <c r="D24" i="1"/>
  <c r="E24" i="1" s="1"/>
  <c r="F24" i="1" s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G32" i="34" s="1"/>
  <c r="C33" i="1"/>
  <c r="C33" i="34" s="1"/>
  <c r="D33" i="1"/>
  <c r="E33" i="1" s="1"/>
  <c r="F33" i="1" s="1"/>
  <c r="G33" i="1"/>
  <c r="C34" i="1"/>
  <c r="D34" i="1"/>
  <c r="E34" i="1" s="1"/>
  <c r="F34" i="1" s="1"/>
  <c r="G34" i="1"/>
  <c r="G34" i="34" s="1"/>
  <c r="C35" i="1"/>
  <c r="D35" i="1"/>
  <c r="E35" i="1" s="1"/>
  <c r="F35" i="1" s="1"/>
  <c r="G35" i="1"/>
  <c r="C36" i="1"/>
  <c r="D36" i="1"/>
  <c r="E36" i="1" s="1"/>
  <c r="F36" i="1" s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C17" i="18"/>
  <c r="D17" i="18"/>
  <c r="E17" i="18"/>
  <c r="F17" i="18" s="1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4" i="34" s="1"/>
  <c r="C13" i="1"/>
  <c r="C12" i="1"/>
  <c r="C11" i="1"/>
  <c r="C10" i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21" i="18" l="1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I23" i="4"/>
  <c r="I25" i="1"/>
  <c r="H35" i="34"/>
  <c r="C36" i="34"/>
  <c r="C29" i="34"/>
  <c r="G31" i="34"/>
  <c r="G30" i="34"/>
  <c r="I34" i="1"/>
  <c r="E38" i="1"/>
  <c r="F38" i="1" s="1"/>
  <c r="E30" i="1"/>
  <c r="F30" i="1" s="1"/>
  <c r="E22" i="1"/>
  <c r="F22" i="1" s="1"/>
  <c r="E29" i="34"/>
  <c r="F29" i="34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I17" i="34" s="1"/>
  <c r="H24" i="1"/>
  <c r="I24" i="1" s="1"/>
  <c r="H30" i="1"/>
  <c r="I30" i="1" s="1"/>
  <c r="H20" i="1"/>
  <c r="I20" i="1" s="1"/>
  <c r="G35" i="34"/>
  <c r="I35" i="34" s="1"/>
  <c r="G14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E24" i="34"/>
  <c r="F24" i="34" s="1"/>
  <c r="G37" i="34"/>
  <c r="I36" i="72"/>
  <c r="E36" i="34"/>
  <c r="F36" i="34" s="1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I32" i="26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<sst xmlns="http://schemas.openxmlformats.org/spreadsheetml/2006/main" count="897" uniqueCount="205">
  <si>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</si>
  <si>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</si>
  <si>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</si>
  <si>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</si>
  <si>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</si>
  <si>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</si>
  <si>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</si>
  <si>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</si>
  <si>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</si>
  <si>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</si>
  <si>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</si>
  <si>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</si>
  <si>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</si>
  <si>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</si>
  <si>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</si>
  <si>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</si>
  <si>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</si>
  <si>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</si>
  <si>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</si>
  <si>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</si>
  <si>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</si>
  <si>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</si>
  <si>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</si>
  <si>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</si>
  <si>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</si>
  <si>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</si>
  <si>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</si>
  <si>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</si>
  <si>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</si>
  <si>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</si>
  <si>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</si>
  <si>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</si>
  <si>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</si>
  <si>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</si>
  <si>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</si>
  <si>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</si>
  <si>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</si>
  <si>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</si>
  <si>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</si>
  <si>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</si>
  <si>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</si>
  <si>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</si>
  <si>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</si>
  <si>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</si>
  <si>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</si>
  <si>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</si>
  <si>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</si>
  <si>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</si>
  <si>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</si>
  <si>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</si>
  <si>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</si>
  <si>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</si>
  <si>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</si>
  <si>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</si>
  <si>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</si>
  <si>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</si>
  <si>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</si>
  <si>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</si>
  <si>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</si>
  <si>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</si>
  <si>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</si>
  <si>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</si>
  <si>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</si>
  <si>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</si>
  <si>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</si>
  <si>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</si>
  <si>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</si>
  <si>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</si>
  <si>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</si>
  <si>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 SR097762, PM9175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</si>
  <si>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</si>
  <si>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</si>
  <si>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</si>
  <si>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</si>
  <si>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 xml:space="preserve">1. 12 microinverters have not reported since 09/28/24 due to incorrect mapping in the Enphase system. On 01/13/25, a technician identified the site map as inadequate. On 03/20/25, all modules on Array 2 were lifted, optimizers photographed, and manual mapping was started. However, the Enphase portal mapping still doesn't match the physical layout. The technician needs to return to complete mapping for Arrays 1 and 2 and submit the corrected map to Enphase. On 04/17/25, Array 3 was mapped, and on 04/18/25, mapping continued on the west-facing array, with modules removed to retrieve microinverter serial numbers. Despite these efforts, the microinverters are still not reporting.
</t>
  </si>
  <si>
    <t>1. 	SR091352</t>
  </si>
  <si>
    <t>1. Three SMAs have been offline since 04/15. On 04/23, the technician found major thermal damage around the capacitors, which need to be replaced in order to bring the inverters back online.</t>
  </si>
  <si>
    <t>1. SR099807</t>
  </si>
  <si>
    <t>1.SR095596</t>
  </si>
  <si>
    <t xml:space="preserve">1. One microinverter (202305093235) is not reporting the production data.Issue to be addressed on  PM </t>
  </si>
  <si>
    <t>1.SR101279</t>
  </si>
  <si>
    <t>May Actual v. Expected</t>
  </si>
  <si>
    <t>May Actual v. Forecasted</t>
  </si>
  <si>
    <t>1. 8 microinverters have been offline since 5/10 due to an AC frequency out-of-range issue. Enphase approved a remote RMA on 5/19, pending confirmation and shipping details from ROC and the OEM.
2. Gateway not reporting since 05/22 at 16:16 and later self resolved on 05/29.</t>
  </si>
  <si>
    <t>1. SR101589, 	SR101905
2. SR101905</t>
  </si>
  <si>
    <t>SR101905</t>
  </si>
  <si>
    <t>1. 12 microinverters(gray)  have not reported since 09/28/24; 9 of them were previously RMA’d. On 05/29/25, Enphase confirmed 13 microinverters(white) are missing from the array builder. A device scan was run waiting 24 hours before replacing old SNs with new ones via the self-service install replacement option. Awaiting Enphase's response on data.</t>
  </si>
  <si>
    <t>1. SR102087, SR091352</t>
  </si>
  <si>
    <t>SR091352</t>
  </si>
  <si>
    <t>1. one microinverter have not reporting since 05/28 and remained offline throughout the month.</t>
  </si>
  <si>
    <t>1. SR102088</t>
  </si>
  <si>
    <t>1. Microinverters did not report from 19:10 on 05/20 to 06:35 on 05/23 due to a mapping issue, which requires further troubleshooting.</t>
  </si>
  <si>
    <t>1. 	SR101846</t>
  </si>
  <si>
    <t>1. Three SMAs have been offline since 04/15. On 04/23, a technician found major thermal damage around the capacitors, requiring replacement. On 05/14, SMA requested as-builts to review and recommend an alternate inverter model for repowering, as the same series is no longer available</t>
  </si>
  <si>
    <t>1. One microinverter (202305093235) has not produced since 01/08. It was RMA’d on 02/27, and on 05/02, the technician replaced three microinverters, which came back online at 10:15 the same day</t>
  </si>
  <si>
    <t>1. 	SR095596</t>
  </si>
  <si>
    <t xml:space="preserve">1. One microinverter have not reporting since 05/10 and remained offline throughout the month. Issue to be addressed on PM </t>
  </si>
  <si>
    <t>1. SR101326</t>
  </si>
  <si>
    <t xml:space="preserve">1. One microinverter (202305093235) is not reporting the production data.Issue to be addressed on PM </t>
  </si>
  <si>
    <t>1. SR101279</t>
  </si>
  <si>
    <t>June Actual v. Expected</t>
  </si>
  <si>
    <t>June Actual v. Forecasted</t>
  </si>
  <si>
    <t>1. 8 microinverters have been offline since 05/10/2025 due to "AC Frequency Out of Range" and are currently undergoing the RMA process.</t>
  </si>
  <si>
    <t>1. SR101589</t>
  </si>
  <si>
    <t>1. 12 microinverters are not reporting (gray) and have possibly been offline since 04/18/2025. Out of these, 9 have already been RMA'd. Additionally, it was confirmed that 13 microinverters are missing (white) from the Array Builder. A device scan was initiated, and a 24-hour wait period is being observed before replacing the old serial numbers with new ones using the Self-Service "Install Replacement" option. Awaiting Enphase’s response regarding the data</t>
  </si>
  <si>
    <t>1. SR102087</t>
  </si>
  <si>
    <t>1. One microinverter has not been reporting since 05/28/2025 and is currently undergoing the RMA process.</t>
  </si>
  <si>
    <t>1. The site experienced communication losses on 06/01, 06/02, 06/03, 06/05, 06/06, 06/07, 06/11, 06/21, 06/22, 06/23, 06/24, 06/25, 06/26, and 06/28, and production during these periods cannot be confirmed. Additionally, site production dropped to 13 W from 08:30 to 14:15 on 06/19. The site resumed production later at 15:30 on 06/20 and again at 17:45 on 06/29.</t>
  </si>
  <si>
    <t>1. SR101846</t>
  </si>
  <si>
    <t>1. Microinverter 202305093250 lost communications on 6/4. Possibly offline.</t>
  </si>
  <si>
    <t>1. SR102639</t>
  </si>
  <si>
    <t>1. One microinverter has not been reporting since 06/15</t>
  </si>
  <si>
    <t>1. SR103077</t>
  </si>
  <si>
    <t>1. Microinverters 202305094113 and 202305090271 have been offline since 06/27 and are currently undergoing the RMA process.</t>
  </si>
  <si>
    <t>1. SR103670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</si>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</sst>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7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horizontal="left" vertical="top" wrapText="1"/>
    </xf>
    <xf numFmtId="49" fontId="37" fillId="0" borderId="0" xfId="45" applyNumberFormat="1" applyAlignment="1">
      <alignment vertical="top" wrapText="1"/>
    </xf>
    <xf numFmtId="0" fontId="37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164" fontId="37" fillId="0" borderId="0" xfId="45" applyNumberFormat="1"/>
    <xf numFmtId="0" fontId="37" fillId="0" borderId="0" xfId="45"/>
    <xf numFmtId="49" fontId="37" fillId="0" borderId="0" xfId="45" applyNumberForma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9807" TargetMode="External"/><Relationship Id="rId1" Type="http://schemas.openxmlformats.org/officeDocument/2006/relationships/hyperlink" Target="https://us3.assetplanner.com/service_request?ID=091352" TargetMode="External"/><Relationship Id="rId5" Type="http://schemas.openxmlformats.org/officeDocument/2006/relationships/hyperlink" Target="https://us3.assetplanner.com/service_request?ID=097762" TargetMode="External"/><Relationship Id="rId4" Type="http://schemas.openxmlformats.org/officeDocument/2006/relationships/hyperlink" Target="https://us3.assetplanner.com/service_request?ID=10127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9807" TargetMode="External"/><Relationship Id="rId3" Type="http://schemas.openxmlformats.org/officeDocument/2006/relationships/hyperlink" Target="https://us3.assetplanner.com/service_request?ID=101905" TargetMode="External"/><Relationship Id="rId7" Type="http://schemas.openxmlformats.org/officeDocument/2006/relationships/hyperlink" Target="https://us3.assetplanner.com/service_request?ID=101846" TargetMode="External"/><Relationship Id="rId12" Type="http://schemas.openxmlformats.org/officeDocument/2006/relationships/hyperlink" Target="https://us3.assetplanner.com/service_request?ID=097762" TargetMode="External"/><Relationship Id="rId2" Type="http://schemas.openxmlformats.org/officeDocument/2006/relationships/hyperlink" Target="https://us3.assetplanner.com/service_request?ID=101905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088" TargetMode="External"/><Relationship Id="rId11" Type="http://schemas.openxmlformats.org/officeDocument/2006/relationships/hyperlink" Target="https://us3.assetplanner.com/service_request?ID=101279" TargetMode="External"/><Relationship Id="rId5" Type="http://schemas.openxmlformats.org/officeDocument/2006/relationships/hyperlink" Target="https://us3.assetplanner.com/service_request?ID=091352" TargetMode="External"/><Relationship Id="rId10" Type="http://schemas.openxmlformats.org/officeDocument/2006/relationships/hyperlink" Target="https://us3.assetplanner.com/service_request?ID=101326" TargetMode="External"/><Relationship Id="rId4" Type="http://schemas.openxmlformats.org/officeDocument/2006/relationships/hyperlink" Target="https://us3.assetplanner.com/service_request?ID=102087" TargetMode="External"/><Relationship Id="rId9" Type="http://schemas.openxmlformats.org/officeDocument/2006/relationships/hyperlink" Target="https://us3.assetplanner.com/service_request?ID=09559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7" Type="http://schemas.openxmlformats.org/officeDocument/2006/relationships/hyperlink" Target="https://us3.assetplanner.com/service_request?ID=103670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3077" TargetMode="External"/><Relationship Id="rId5" Type="http://schemas.openxmlformats.org/officeDocument/2006/relationships/hyperlink" Target="https://us3.assetplanner.com/service_request?ID=102639" TargetMode="External"/><Relationship Id="rId4" Type="http://schemas.openxmlformats.org/officeDocument/2006/relationships/hyperlink" Target="https://us3.assetplanner.com/service_request?ID=10184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4" activePane="bottomRight" state="frozen"/>
      <selection pane="bottomRight" activeCell="M13" sqref="M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0</v>
      </c>
      <c r="E1" s="77"/>
      <c r="F1" s="77"/>
      <c r="G1" s="75" t="s">
        <v>1</v>
      </c>
      <c r="H1" s="75"/>
      <c r="I1" s="75"/>
    </row>
    <row r="2" spans="1:9" ht="19.5" customHeight="1">
      <c r="A2" s="78" t="s">
        <v>2</v>
      </c>
      <c r="B2" s="78"/>
      <c r="C2" s="5">
        <f>SUM(C4:C100)</f>
        <v>302968.34000000008</v>
      </c>
      <c r="D2" s="5">
        <f>SUM(D4:D100)</f>
        <v>0</v>
      </c>
      <c r="E2" s="5">
        <f>C2-D2</f>
        <v>302968.34000000008</v>
      </c>
      <c r="F2" s="6">
        <f>IFERROR(E2/D2, 0)</f>
        <v>0</v>
      </c>
      <c r="G2" s="5">
        <f>SUM(G4:G100)</f>
        <v>0</v>
      </c>
      <c r="H2" s="7">
        <f>C2-G2</f>
        <v>302968.34000000008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SUM('1st Qtr'!C6, '2nd Qtr'!C6, '3rd Qtr'!C6, '4th Qtr'!C6)</f>
        <v>562.92599999999993</v>
      </c>
      <c r="D6" s="13">
        <f>SUM(Jan!D6, Feb!D6, Mar!D6)</f>
        <v>0</v>
      </c>
      <c r="E6" s="13">
        <f t="shared" si="0"/>
        <v>562.92599999999993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8">
        <f>SUM('1st Qtr'!C7, '2nd Qtr'!C7, '3rd Qtr'!C7, '4th Qtr'!C7)</f>
        <v>12141.688</v>
      </c>
      <c r="D7" s="18">
        <f>SUM(Jan!D7, Feb!D7, Mar!D7)</f>
        <v>0</v>
      </c>
      <c r="E7" s="18">
        <f t="shared" si="0"/>
        <v>12141.688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6818.6420000000007</v>
      </c>
      <c r="D8" s="13">
        <f>SUM(Jan!D8, Feb!D8, Mar!D8)</f>
        <v>0</v>
      </c>
      <c r="E8" s="13">
        <f t="shared" si="0"/>
        <v>6818.6420000000007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9958.2270000000008</v>
      </c>
      <c r="D9" s="18">
        <f>SUM(Jan!D9, Feb!D9, Mar!D9)</f>
        <v>0</v>
      </c>
      <c r="E9" s="18">
        <f t="shared" si="0"/>
        <v>9958.2270000000008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15717.849999999999</v>
      </c>
      <c r="D10" s="13">
        <f>SUM(Jan!D10, Feb!D10, Mar!D10)</f>
        <v>0</v>
      </c>
      <c r="E10" s="13">
        <f t="shared" si="0"/>
        <v>15717.849999999999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15839.475</v>
      </c>
      <c r="D11" s="18">
        <f>SUM(Jan!D11, Feb!D11, Mar!D11)</f>
        <v>0</v>
      </c>
      <c r="E11" s="18">
        <f t="shared" si="0"/>
        <v>15839.475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25798.993999999999</v>
      </c>
      <c r="D12" s="13">
        <f>SUM(Jan!D12, Feb!D12, Mar!D12)</f>
        <v>0</v>
      </c>
      <c r="E12" s="13">
        <f t="shared" si="0"/>
        <v>25798.993999999999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37330.284</v>
      </c>
      <c r="D14" s="13">
        <f>SUM(Jan!D14, Feb!D14, Mar!D14)</f>
        <v>0</v>
      </c>
      <c r="E14" s="13">
        <f>IF(AND(ISNUMBER(C14),ISNUMBER(D14)), C14-D14, "")</f>
        <v>37330.284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456.13</v>
      </c>
      <c r="D15" s="18">
        <f>SUM(Jan!D15, Feb!D15, Mar!D15)</f>
        <v>0</v>
      </c>
      <c r="E15" s="18">
        <f>IF(AND(ISNUMBER(C15),ISNUMBER(D15)), C15-D15, "")</f>
        <v>456.13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713.2940000000001</v>
      </c>
      <c r="D16" s="13">
        <f>SUM(Jan!D16, Feb!D16, Mar!D16)</f>
        <v>0</v>
      </c>
      <c r="E16" s="13">
        <f t="shared" ref="E16:E17" si="3">IF(AND(ISNUMBER(C16),ISNUMBER(D16)), C16-D16, "")</f>
        <v>713.2940000000001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10201.136</v>
      </c>
      <c r="D17" s="18">
        <f>SUM(Jan!D17, Feb!D17, Mar!D17)</f>
        <v>0</v>
      </c>
      <c r="E17" s="18">
        <f t="shared" si="3"/>
        <v>10201.136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6353.0929999999998</v>
      </c>
      <c r="D19" s="18">
        <f>SUM(Jan!D19, Feb!D19, Mar!D19)</f>
        <v>0</v>
      </c>
      <c r="E19" s="18">
        <f t="shared" si="6"/>
        <v>6353.0929999999998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14404.7</v>
      </c>
      <c r="D20" s="13">
        <f>SUM(Jan!D20, Feb!D20, Mar!D20)</f>
        <v>0</v>
      </c>
      <c r="E20" s="13">
        <f t="shared" si="6"/>
        <v>14404.7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8082.5969999999998</v>
      </c>
      <c r="D21" s="18">
        <f>SUM(Jan!D21, Feb!D21, Mar!D21)</f>
        <v>0</v>
      </c>
      <c r="E21" s="18">
        <f t="shared" si="6"/>
        <v>8082.5969999999998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14387.112999999999</v>
      </c>
      <c r="D22" s="13">
        <f>SUM(Jan!D22, Feb!D22, Mar!D22)</f>
        <v>0</v>
      </c>
      <c r="E22" s="13">
        <f t="shared" si="6"/>
        <v>14387.112999999999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6666.0129999999999</v>
      </c>
      <c r="D23" s="18">
        <f>SUM(Jan!D23, Feb!D23, Mar!D23)</f>
        <v>0</v>
      </c>
      <c r="E23" s="18">
        <f t="shared" si="6"/>
        <v>6666.0129999999999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11984.749</v>
      </c>
      <c r="D24" s="13">
        <f>SUM(Jan!D24, Feb!D24, Mar!D24)</f>
        <v>0</v>
      </c>
      <c r="E24" s="13">
        <f t="shared" si="6"/>
        <v>11984.749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7818.9390000000003</v>
      </c>
      <c r="D25" s="18">
        <f>SUM(Jan!D25, Feb!D25, Mar!D25)</f>
        <v>0</v>
      </c>
      <c r="E25" s="18">
        <f t="shared" si="6"/>
        <v>7818.9390000000003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11385.695</v>
      </c>
      <c r="D26" s="13">
        <f>SUM(Jan!D26, Feb!D26, Mar!D26)</f>
        <v>0</v>
      </c>
      <c r="E26" s="13">
        <f t="shared" si="6"/>
        <v>11385.695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6496.1610000000001</v>
      </c>
      <c r="D27" s="18">
        <f>SUM(Jan!D27, Feb!D27, Mar!D27)</f>
        <v>0</v>
      </c>
      <c r="E27" s="18">
        <f t="shared" si="6"/>
        <v>6496.1610000000001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4632.3429999999998</v>
      </c>
      <c r="D28" s="13">
        <f>SUM(Jan!D28, Feb!D28, Mar!D28)</f>
        <v>0</v>
      </c>
      <c r="E28" s="13">
        <f t="shared" si="6"/>
        <v>4632.3429999999998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7023.1880000000001</v>
      </c>
      <c r="D29" s="18">
        <f>SUM(Jan!D29, Feb!D29, Mar!D29)</f>
        <v>0</v>
      </c>
      <c r="E29" s="18">
        <f t="shared" si="6"/>
        <v>7023.1880000000001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12043.701000000001</v>
      </c>
      <c r="D30" s="13">
        <f>SUM(Jan!D30, Feb!D30, Mar!D30)</f>
        <v>0</v>
      </c>
      <c r="E30" s="13">
        <f t="shared" si="6"/>
        <v>12043.701000000001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13222.895</v>
      </c>
      <c r="D31" s="18">
        <f>SUM(Jan!D31, Feb!D31, Mar!D31)</f>
        <v>0</v>
      </c>
      <c r="E31" s="18">
        <f t="shared" si="6"/>
        <v>13222.895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6998.456000000001</v>
      </c>
      <c r="D32" s="13">
        <f>SUM(Jan!D32, Feb!D32, Mar!D32)</f>
        <v>0</v>
      </c>
      <c r="E32" s="13">
        <f t="shared" si="6"/>
        <v>6998.456000000001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10904.688</v>
      </c>
      <c r="D33" s="18">
        <f>SUM(Jan!D33, Feb!D33, Mar!D33)</f>
        <v>0</v>
      </c>
      <c r="E33" s="18">
        <f t="shared" si="6"/>
        <v>10904.688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8566.5109999999986</v>
      </c>
      <c r="D34" s="13">
        <f>SUM(Jan!D34, Feb!D34, Mar!D34)</f>
        <v>0</v>
      </c>
      <c r="E34" s="13">
        <f t="shared" si="6"/>
        <v>8566.5109999999986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303.84699999999998</v>
      </c>
      <c r="D35" s="18">
        <f>SUM(Jan!D35, Feb!D35, Mar!D35)</f>
        <v>0</v>
      </c>
      <c r="E35" s="18">
        <f t="shared" si="6"/>
        <v>303.84699999999998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13308.652999999998</v>
      </c>
      <c r="D37" s="18">
        <f>SUM(Jan!D37, Feb!D37, Mar!D37)</f>
        <v>0</v>
      </c>
      <c r="E37" s="18">
        <f t="shared" si="6"/>
        <v>13308.652999999998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2846.3519999999999</v>
      </c>
      <c r="D38" s="13">
        <f>SUM(Jan!D38, Feb!D38, Mar!D38)</f>
        <v>0</v>
      </c>
      <c r="E38" s="13">
        <f t="shared" si="6"/>
        <v>2846.3519999999999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C12" sqref="C1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10</v>
      </c>
      <c r="E1" s="77"/>
      <c r="F1" s="77"/>
      <c r="G1" s="75" t="s">
        <v>11</v>
      </c>
      <c r="H1" s="75"/>
      <c r="I1" s="75"/>
    </row>
    <row r="2" spans="1:9" ht="19.5" customHeight="1">
      <c r="A2" s="78" t="s">
        <v>2</v>
      </c>
      <c r="B2" s="78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M28" activePane="bottomRight" state="frozen"/>
      <selection pane="bottomRight" activeCell="M28" sqref="M2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12</v>
      </c>
      <c r="E1" s="77"/>
      <c r="F1" s="77"/>
      <c r="G1" s="75" t="s">
        <v>13</v>
      </c>
      <c r="H1" s="75"/>
      <c r="I1" s="75"/>
    </row>
    <row r="2" spans="1:9" ht="19.5" customHeight="1">
      <c r="A2" s="78" t="s">
        <v>2</v>
      </c>
      <c r="B2" s="78"/>
      <c r="C2" s="5">
        <f>SUM(C4:C100)</f>
        <v>193421.44</v>
      </c>
      <c r="D2" s="5">
        <f>SUM(D4:D100)</f>
        <v>0</v>
      </c>
      <c r="E2" s="5">
        <f>C2-D2</f>
        <v>193421.44</v>
      </c>
      <c r="F2" s="6">
        <f>IFERROR(E2/D2, 0)</f>
        <v>0</v>
      </c>
      <c r="G2" s="5">
        <f>SUM(G4:G100)</f>
        <v>0</v>
      </c>
      <c r="H2" s="7">
        <f>C2-G2</f>
        <v>193421.44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SUM(Apr!C6, May!C6, Jun!C6)</f>
        <v>320.52599999999995</v>
      </c>
      <c r="D6" s="13">
        <f>SUM(Apr!D6, May!D6, Jun!D6)</f>
        <v>0</v>
      </c>
      <c r="E6" s="13">
        <f t="shared" si="0"/>
        <v>320.52599999999995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SUM(Apr!C7, May!C7, Jun!C7)</f>
        <v>6647.6880000000001</v>
      </c>
      <c r="D7" s="18">
        <f>SUM(Apr!D7, May!D7, Jun!D7)</f>
        <v>0</v>
      </c>
      <c r="E7" s="18">
        <f t="shared" si="0"/>
        <v>6647.6880000000001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SUM(Apr!C8, May!C8, Jun!C8)</f>
        <v>4183.3420000000006</v>
      </c>
      <c r="D8" s="13">
        <f>SUM(Apr!D8, May!D8, Jun!D8)</f>
        <v>0</v>
      </c>
      <c r="E8" s="13">
        <f t="shared" si="0"/>
        <v>4183.3420000000006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SUM(Apr!C9, May!C9, Jun!C9)</f>
        <v>7810.1270000000004</v>
      </c>
      <c r="D9" s="18">
        <f>SUM(Apr!D9, May!D9, Jun!D9)</f>
        <v>0</v>
      </c>
      <c r="E9" s="18">
        <f t="shared" si="0"/>
        <v>7810.1270000000004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SUM(Apr!C10, May!C10, Jun!C10)</f>
        <v>9042.0499999999993</v>
      </c>
      <c r="D10" s="13">
        <f>SUM(Apr!D10, May!D10, Jun!D10)</f>
        <v>0</v>
      </c>
      <c r="E10" s="13">
        <f t="shared" si="0"/>
        <v>9042.0499999999993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SUM(Apr!C11, May!C11, Jun!C11)</f>
        <v>9536.9750000000004</v>
      </c>
      <c r="D11" s="18">
        <f>SUM(Apr!D11, May!D11, Jun!D11)</f>
        <v>0</v>
      </c>
      <c r="E11" s="18">
        <f t="shared" si="0"/>
        <v>9536.9750000000004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SUM(Apr!C12, May!C12, Jun!C12)</f>
        <v>15867.794</v>
      </c>
      <c r="D12" s="13">
        <f>SUM(Apr!D12, May!D12, Jun!D12)</f>
        <v>0</v>
      </c>
      <c r="E12" s="13">
        <f t="shared" si="0"/>
        <v>15867.794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SUM(Apr!C14, May!C14, Jun!C14)</f>
        <v>23639.883999999998</v>
      </c>
      <c r="D14" s="13">
        <f>SUM(Apr!D14, May!D14, Jun!D14)</f>
        <v>0</v>
      </c>
      <c r="E14" s="13">
        <f t="shared" si="0"/>
        <v>23639.883999999998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SUM(Apr!C15, May!C15, Jun!C15)</f>
        <v>292.02999999999997</v>
      </c>
      <c r="D15" s="18">
        <f>SUM(Apr!D15, May!D15, Jun!D15)</f>
        <v>0</v>
      </c>
      <c r="E15" s="18">
        <f t="shared" si="0"/>
        <v>292.02999999999997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SUM(Apr!C16, May!C16, Jun!C16)</f>
        <v>193.69400000000002</v>
      </c>
      <c r="D16" s="13">
        <f>SUM(Apr!D16, May!D16, Jun!D16)</f>
        <v>0</v>
      </c>
      <c r="E16" s="13">
        <f t="shared" ref="E16:E19" si="3">IF(AND(ISNUMBER(C16),ISNUMBER(D16)), C16-D16, "")</f>
        <v>193.69400000000002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SUM(Apr!C17, May!C17, Jun!C17)</f>
        <v>7033.0360000000001</v>
      </c>
      <c r="D17" s="18">
        <f>SUM(Apr!D17, May!D17, Jun!D17)</f>
        <v>0</v>
      </c>
      <c r="E17" s="18">
        <f t="shared" si="3"/>
        <v>7033.0360000000001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SUM(Apr!C19, May!C19, Jun!C19)</f>
        <v>4022.6930000000002</v>
      </c>
      <c r="D19" s="18">
        <f>SUM(Apr!D19, May!D19, Jun!D19)</f>
        <v>0</v>
      </c>
      <c r="E19" s="18">
        <f t="shared" si="3"/>
        <v>4022.6930000000002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SUM(Apr!C20, May!C20, Jun!C20)</f>
        <v>7467</v>
      </c>
      <c r="D20" s="13">
        <f>SUM(Apr!D20, May!D20, Jun!D20)</f>
        <v>0</v>
      </c>
      <c r="E20" s="13">
        <f t="shared" ref="E20:E38" si="6">IF(AND(ISNUMBER(C20),ISNUMBER(D20)), C20-D20, "")</f>
        <v>7467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SUM(Apr!C21, May!C21, Jun!C21)</f>
        <v>5397.3969999999999</v>
      </c>
      <c r="D21" s="18">
        <f>SUM(Apr!D21, May!D21, Jun!D21)</f>
        <v>0</v>
      </c>
      <c r="E21" s="18">
        <f t="shared" si="6"/>
        <v>5397.3969999999999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SUM(Apr!C22, May!C22, Jun!C22)</f>
        <v>8614.2129999999997</v>
      </c>
      <c r="D22" s="13">
        <f>SUM(Apr!D22, May!D22, Jun!D22)</f>
        <v>0</v>
      </c>
      <c r="E22" s="13">
        <f t="shared" si="6"/>
        <v>8614.2129999999997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SUM(Apr!C23, May!C23, Jun!C23)</f>
        <v>3854.3130000000001</v>
      </c>
      <c r="D23" s="18">
        <f>SUM(Apr!D23, May!D23, Jun!D23)</f>
        <v>0</v>
      </c>
      <c r="E23" s="18">
        <f t="shared" si="6"/>
        <v>3854.3130000000001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SUM(Apr!C24, May!C24, Jun!C24)</f>
        <v>7985.9490000000005</v>
      </c>
      <c r="D24" s="13">
        <f>SUM(Apr!D24, May!D24, Jun!D24)</f>
        <v>0</v>
      </c>
      <c r="E24" s="13">
        <f t="shared" si="6"/>
        <v>7985.9490000000005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SUM(Apr!C25, May!C25, Jun!C25)</f>
        <v>5335.0389999999998</v>
      </c>
      <c r="D25" s="18">
        <f>SUM(Apr!D25, May!D25, Jun!D25)</f>
        <v>0</v>
      </c>
      <c r="E25" s="18">
        <f t="shared" si="6"/>
        <v>5335.0389999999998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SUM(Apr!C26, May!C26, Jun!C26)</f>
        <v>7397.1949999999997</v>
      </c>
      <c r="D26" s="13">
        <f>SUM(Apr!D26, May!D26, Jun!D26)</f>
        <v>0</v>
      </c>
      <c r="E26" s="13">
        <f t="shared" si="6"/>
        <v>7397.1949999999997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SUM(Apr!C27, May!C27, Jun!C27)</f>
        <v>4315.2610000000004</v>
      </c>
      <c r="D27" s="18">
        <f>SUM(Apr!D27, May!D27, Jun!D27)</f>
        <v>0</v>
      </c>
      <c r="E27" s="18">
        <f t="shared" si="6"/>
        <v>4315.2610000000004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SUM(Apr!C28, May!C28, Jun!C28)</f>
        <v>3815.2429999999995</v>
      </c>
      <c r="D28" s="13">
        <f>SUM(Apr!D28, May!D28, Jun!D28)</f>
        <v>0</v>
      </c>
      <c r="E28" s="13">
        <f t="shared" si="6"/>
        <v>3815.2429999999995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SUM(Apr!C29, May!C29, Jun!C29)</f>
        <v>4433.6880000000001</v>
      </c>
      <c r="D29" s="18">
        <f>SUM(Apr!D29, May!D29, Jun!D29)</f>
        <v>0</v>
      </c>
      <c r="E29" s="18">
        <f t="shared" si="6"/>
        <v>4433.6880000000001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SUM(Apr!C30, May!C30, Jun!C30)</f>
        <v>7962.2010000000009</v>
      </c>
      <c r="D30" s="13">
        <f>SUM(Apr!D30, May!D30, Jun!D30)</f>
        <v>0</v>
      </c>
      <c r="E30" s="13">
        <f t="shared" si="6"/>
        <v>7962.2010000000009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SUM(Apr!C31, May!C31, Jun!C31)</f>
        <v>8850.5949999999993</v>
      </c>
      <c r="D31" s="18">
        <f>SUM(Apr!D31, May!D31, Jun!D31)</f>
        <v>0</v>
      </c>
      <c r="E31" s="18">
        <f t="shared" si="6"/>
        <v>8850.5949999999993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SUM(Apr!C32, May!C32, Jun!C32)</f>
        <v>6266.1560000000009</v>
      </c>
      <c r="D32" s="13">
        <f>SUM(Apr!D32, May!D32, Jun!D32)</f>
        <v>0</v>
      </c>
      <c r="E32" s="13">
        <f t="shared" si="6"/>
        <v>6266.1560000000009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SUM(Apr!C33, May!C33, Jun!C33)</f>
        <v>6674.4880000000003</v>
      </c>
      <c r="D33" s="18">
        <f>SUM(Apr!D33, May!D33, Jun!D33)</f>
        <v>0</v>
      </c>
      <c r="E33" s="18">
        <f t="shared" si="6"/>
        <v>6674.4880000000003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SUM(Apr!C34, May!C34, Jun!C34)</f>
        <v>5301.0109999999995</v>
      </c>
      <c r="D34" s="13">
        <f>SUM(Apr!D34, May!D34, Jun!D34)</f>
        <v>0</v>
      </c>
      <c r="E34" s="13">
        <f t="shared" si="6"/>
        <v>5301.0109999999995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SUM(Apr!C35, May!C35, Jun!C35)</f>
        <v>215.64699999999999</v>
      </c>
      <c r="D35" s="18">
        <f>SUM(Apr!D35, May!D35, Jun!D35)</f>
        <v>0</v>
      </c>
      <c r="E35" s="18">
        <f t="shared" si="6"/>
        <v>215.64699999999999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SUM(Apr!C37, May!C37, Jun!C37)</f>
        <v>8706.4529999999995</v>
      </c>
      <c r="D37" s="18">
        <f>SUM(Apr!D37, May!D37, Jun!D37)</f>
        <v>0</v>
      </c>
      <c r="E37" s="18">
        <f t="shared" si="6"/>
        <v>8706.4529999999995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SUM(Apr!C38, May!C38, Jun!C38)</f>
        <v>2239.752</v>
      </c>
      <c r="D38" s="13">
        <f>SUM(Apr!D38, May!D38, Jun!D38)</f>
        <v>0</v>
      </c>
      <c r="E38" s="13">
        <f t="shared" si="6"/>
        <v>2239.752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4" activePane="bottomRight" state="frozen"/>
      <selection pane="bottomRight" activeCell="A14" sqref="A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14</v>
      </c>
      <c r="E1" s="77"/>
      <c r="F1" s="77"/>
      <c r="G1" s="75" t="s">
        <v>15</v>
      </c>
      <c r="H1" s="75"/>
      <c r="I1" s="75"/>
    </row>
    <row r="2" spans="1:9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SUM(Jul!C20, Aug!C20, Sep!C20)</f>
        <v>0</v>
      </c>
      <c r="D20" s="13">
        <f>SUM(Jul!D20, Aug!D20, Sep!D20)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SUM(Jul!C29, Aug!C29, Sep!C29)</f>
        <v>0</v>
      </c>
      <c r="D29" s="18">
        <f>SUM(Jul!D29, Aug!D29, Sep!D29)</f>
        <v>0</v>
      </c>
      <c r="E29" s="18">
        <f t="shared" si="6"/>
        <v>0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SUM(Jul!C30, Aug!C30, Sep!C30)</f>
        <v>0</v>
      </c>
      <c r="D30" s="13">
        <f>SUM(Jul!D30, Aug!D30, Sep!D30)</f>
        <v>0</v>
      </c>
      <c r="E30" s="13">
        <f t="shared" si="6"/>
        <v>0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SUM(Jul!C31, Aug!C31, Sep!C31)</f>
        <v>0</v>
      </c>
      <c r="D31" s="18">
        <f>SUM(Jul!D31, Aug!D31, Sep!D31)</f>
        <v>0</v>
      </c>
      <c r="E31" s="18">
        <f t="shared" si="6"/>
        <v>0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SUM(Jul!C33, Aug!C33, Sep!C33)</f>
        <v>0</v>
      </c>
      <c r="D33" s="18">
        <f>SUM(Jul!D33, Aug!D33, Sep!D33)</f>
        <v>0</v>
      </c>
      <c r="E33" s="18">
        <f t="shared" si="6"/>
        <v>0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SUM(Jul!C34, Aug!C34, Sep!C34)</f>
        <v>0</v>
      </c>
      <c r="D34" s="13">
        <f>SUM(Jul!D34, Aug!D34, Sep!D34)</f>
        <v>0</v>
      </c>
      <c r="E34" s="13">
        <f t="shared" si="6"/>
        <v>0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SUM(Jul!C35, Aug!C35, Sep!C35)</f>
        <v>0</v>
      </c>
      <c r="D35" s="18">
        <f>SUM(Jul!D35, Aug!D35, Sep!D35)</f>
        <v>0</v>
      </c>
      <c r="E35" s="18">
        <f t="shared" si="6"/>
        <v>0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SUM(Jul!C37, Aug!C37, Sep!C37)</f>
        <v>0</v>
      </c>
      <c r="D37" s="18">
        <f>SUM(Jul!D37, Aug!D37, Sep!D37)</f>
        <v>0</v>
      </c>
      <c r="E37" s="18">
        <f t="shared" si="6"/>
        <v>0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SUM(Jul!C38, Aug!C38, Sep!C38)</f>
        <v>0</v>
      </c>
      <c r="D38" s="13">
        <f>SUM(Jul!D38, Aug!D38, Sep!D38)</f>
        <v>0</v>
      </c>
      <c r="E38" s="13">
        <f t="shared" si="6"/>
        <v>0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bottomRight" activeCell="M22" sqref="M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6" t="str" cm="1">
        <f t="array" ref="A1">portfolio</f>
        <v>Cushman &amp; Wakefield</v>
      </c>
      <c r="B1" s="76"/>
      <c r="C1" s="76"/>
      <c r="D1" s="77" t="s">
        <v>16</v>
      </c>
      <c r="E1" s="77"/>
      <c r="F1" s="77"/>
      <c r="G1" s="75" t="s">
        <v>17</v>
      </c>
      <c r="H1" s="75"/>
      <c r="I1" s="75"/>
    </row>
    <row r="2" spans="1:9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bottomRight" activeCell="N28" sqref="N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18</v>
      </c>
      <c r="E1" s="77"/>
      <c r="F1" s="77"/>
      <c r="G1" s="75" t="s">
        <v>19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.6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6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43.1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72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28.9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6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6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6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6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6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9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6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6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6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3.1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2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6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9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6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6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6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9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4" activePane="bottomRight" state="frozen"/>
      <selection pane="bottomRight" activeCell="C16" sqref="C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48</v>
      </c>
      <c r="E1" s="77"/>
      <c r="F1" s="77"/>
      <c r="G1" s="75" t="s">
        <v>49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9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9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6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9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9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6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9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6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17" activePane="bottomRight" state="frozen"/>
      <selection pane="bottomRight" activeCell="K34" sqref="K3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64</v>
      </c>
      <c r="E1" s="77"/>
      <c r="F1" s="77"/>
      <c r="G1" s="75" t="s">
        <v>65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2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 t="s">
        <v>60</v>
      </c>
      <c r="K34" s="65" t="s">
        <v>69</v>
      </c>
    </row>
    <row r="35" spans="1:11" ht="28.9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70</v>
      </c>
      <c r="K35" s="68" t="s">
        <v>71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11" activePane="bottomRight" state="frozen"/>
      <selection pane="bottomRight" activeCell="P25" sqref="P2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72</v>
      </c>
      <c r="E1" s="77"/>
      <c r="F1" s="77"/>
      <c r="G1" s="75" t="s">
        <v>73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SUM(C4:C98)</f>
        <v>64215.700000000012</v>
      </c>
      <c r="D2" s="5">
        <f>SUM(D4:D98)</f>
        <v>0</v>
      </c>
      <c r="E2" s="5">
        <f>C2-D2</f>
        <v>64215.700000000012</v>
      </c>
      <c r="F2" s="6">
        <f>IFERROR(E2/D2, 0)</f>
        <v>0</v>
      </c>
      <c r="G2" s="5">
        <f>SUM(G4:G98)</f>
        <v>0</v>
      </c>
      <c r="H2" s="7">
        <f>C2-G2</f>
        <v>64215.700000000012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>
        <v>89.6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>
        <v>2536.1999999999998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1426.9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2190.9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201.6">
      <c r="A10" s="28" t="str">
        <v xml:space="preserve"> Diamond Bar - Bank of America</v>
      </c>
      <c r="B10" s="29" t="str">
        <v>CA</v>
      </c>
      <c r="C10" s="24">
        <v>2886.7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74</v>
      </c>
      <c r="K10" s="65" t="s">
        <v>75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3171.8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>
        <v>4841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6982.8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>
        <v>111.9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62.5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1974.5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76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1222.2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3514.4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28.9">
      <c r="A21" s="30" t="str">
        <v xml:space="preserve"> Broomfield - Bank of America</v>
      </c>
      <c r="B21" s="31" t="str">
        <v>CO</v>
      </c>
      <c r="C21" s="11">
        <v>1547.5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68</v>
      </c>
      <c r="K21" s="68" t="s">
        <v>78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2757.6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1212.4000000000001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2345.5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1644.4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2243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1280.4000000000001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1194.3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1347.7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2184.3000000000002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2439.1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5105.3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79</v>
      </c>
      <c r="K32" s="65" t="s">
        <v>80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1970.4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1474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70.8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2575.5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1812.1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hyperlinks>
    <hyperlink ref="K10" r:id="rId1" display="https://us3.assetplanner.com/service_request?ID=091352" xr:uid="{6FFA147E-740F-4AD0-96B3-10E7EE30D9EB}"/>
    <hyperlink ref="K18" r:id="rId2" display="https://us3.assetplanner.com/service_request?ID=099807" xr:uid="{A3D3617B-903C-453E-8172-FA62B6F22E4F}"/>
    <hyperlink ref="K21" r:id="rId3" display="https://us3.assetplanner.com/service_request?ID=095596" xr:uid="{0A6D3707-05B1-4C3B-8813-7B10A799D119}"/>
    <hyperlink ref="K32" r:id="rId4" display="https://us3.assetplanner.com/service_request?ID=101279" xr:uid="{CA6B8755-1049-4435-AA96-4A63894F5902}"/>
    <hyperlink ref="K34" r:id="rId5" display="https://us3.assetplanner.com/service_request?ID=097762" xr:uid="{F2DE60CE-8341-4FB7-88AA-1194248CAEE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C21" activePane="bottomRight" state="frozen"/>
      <selection pane="bottomRight" activeCell="K4" sqref="K4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6" t="str" cm="1">
        <f t="array" ref="A1">portfolio</f>
        <v>Cushman &amp; Wakefield</v>
      </c>
      <c r="B1" s="76"/>
      <c r="C1" s="76"/>
      <c r="D1" s="77" t="s">
        <v>81</v>
      </c>
      <c r="E1" s="77"/>
      <c r="F1" s="77"/>
      <c r="G1" s="75" t="s">
        <v>82</v>
      </c>
      <c r="H1" s="75"/>
      <c r="I1" s="75"/>
      <c r="J1" s="4"/>
      <c r="K1" s="4"/>
    </row>
    <row r="2" spans="1:13" ht="19.5" customHeight="1">
      <c r="A2" s="78" t="s">
        <v>2</v>
      </c>
      <c r="B2" s="78"/>
      <c r="C2" s="5">
        <f>SUM(C4:C98)</f>
        <v>66518.39999999998</v>
      </c>
      <c r="D2" s="5">
        <f>SUM(D4:D98)</f>
        <v>0</v>
      </c>
      <c r="E2" s="5">
        <f>C2-D2</f>
        <v>66518.39999999998</v>
      </c>
      <c r="F2" s="6">
        <f>IFERROR(E2/D2, 0)</f>
        <v>0</v>
      </c>
      <c r="G2" s="5">
        <f>SUM(G4:G98)</f>
        <v>0</v>
      </c>
      <c r="H2" s="7">
        <f>C2-G2</f>
        <v>66518.39999999998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6">
      <c r="A6" s="28" t="str">
        <v xml:space="preserve"> Arvin - Bank of America</v>
      </c>
      <c r="B6" s="29" t="str">
        <v>CA</v>
      </c>
      <c r="C6" s="24">
        <v>112.1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57.6">
      <c r="A7" s="30" t="str">
        <v xml:space="preserve"> Bell - Bank of America</v>
      </c>
      <c r="B7" s="31" t="str">
        <v>CA</v>
      </c>
      <c r="C7" s="11">
        <v>2216.4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83</v>
      </c>
      <c r="K7" s="66" t="s">
        <v>84</v>
      </c>
      <c r="L7" s="72" t="s">
        <v>85</v>
      </c>
      <c r="M7" s="73" t="s">
        <v>85</v>
      </c>
    </row>
    <row r="8" spans="1:13" ht="15.6">
      <c r="A8" s="28" t="str">
        <v xml:space="preserve"> Chula Vista - Bank of America</v>
      </c>
      <c r="B8" s="29" t="str">
        <v>CA</v>
      </c>
      <c r="C8" s="24">
        <v>1383.4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6">
      <c r="A9" s="30" t="str">
        <v xml:space="preserve"> Cupertino - Bank of America</v>
      </c>
      <c r="B9" s="31" t="str">
        <v>CA</v>
      </c>
      <c r="C9" s="11">
        <v>2776.4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72">
      <c r="A10" s="28" t="str">
        <v xml:space="preserve"> Diamond Bar - Bank of America</v>
      </c>
      <c r="B10" s="29" t="str">
        <v>CA</v>
      </c>
      <c r="C10" s="24">
        <v>2908.8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86</v>
      </c>
      <c r="K10" s="65" t="s">
        <v>87</v>
      </c>
      <c r="L10" s="72" t="s">
        <v>88</v>
      </c>
    </row>
    <row r="11" spans="1:13" ht="15.6">
      <c r="A11" s="30" t="str">
        <v xml:space="preserve"> El Centro - Bank of America</v>
      </c>
      <c r="B11" s="31" t="str">
        <v>CA</v>
      </c>
      <c r="C11" s="11">
        <v>3257.5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28.9">
      <c r="A12" s="28" t="str">
        <v xml:space="preserve"> Moreno Valley - Bank of America</v>
      </c>
      <c r="B12" s="29" t="str">
        <v>CA</v>
      </c>
      <c r="C12" s="24">
        <v>5356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89</v>
      </c>
      <c r="K12" s="65" t="s">
        <v>90</v>
      </c>
      <c r="L12" s="59"/>
    </row>
    <row r="13" spans="1:13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6">
      <c r="A14" s="28" t="str">
        <v xml:space="preserve"> Roseville - Bank of America</v>
      </c>
      <c r="B14" s="29" t="str">
        <v>CA</v>
      </c>
      <c r="C14" s="24">
        <v>8405.7999999999993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28.9">
      <c r="A15" s="30" t="str">
        <v xml:space="preserve"> San Bernardino - Bank of America</v>
      </c>
      <c r="B15" s="31" t="str">
        <v>CA</v>
      </c>
      <c r="C15" s="11">
        <v>108.5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91</v>
      </c>
      <c r="K15" s="66" t="s">
        <v>92</v>
      </c>
      <c r="L15" s="59"/>
    </row>
    <row r="16" spans="1:13" ht="15.6">
      <c r="A16" s="28" t="str">
        <v xml:space="preserve"> San Diego - Bank of America</v>
      </c>
      <c r="B16" s="29" t="str">
        <v>CA</v>
      </c>
      <c r="C16" s="24">
        <v>64.3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2540.6999999999998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93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1401.3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3952.6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43.15">
      <c r="A21" s="30" t="str">
        <v xml:space="preserve"> Broomfield - Bank of America</v>
      </c>
      <c r="B21" s="31" t="str">
        <v>CO</v>
      </c>
      <c r="C21" s="11">
        <v>1947.5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94</v>
      </c>
      <c r="K21" s="66" t="s">
        <v>95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2966.3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1348.2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2916.1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1819.1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2615.1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1549.6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1309.4000000000001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1552.1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2801.4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28.9">
      <c r="A31" s="30" t="str">
        <v xml:space="preserve"> Downers Grove - Bank of America</v>
      </c>
      <c r="B31" s="31" t="str">
        <v>IL</v>
      </c>
      <c r="C31" s="11">
        <v>3092.4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96</v>
      </c>
      <c r="K31" s="66" t="s">
        <v>97</v>
      </c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624.6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98</v>
      </c>
      <c r="K32" s="65" t="s">
        <v>99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2398.6999999999998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1926.2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72.099999999999994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2895.9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199.9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hyperlinks>
    <hyperlink ref="K7" r:id="rId1" display="https://us3.assetplanner.com/service_request?ID=101589" xr:uid="{B57332CD-8EE3-4AEE-AD57-7B1538689569}"/>
    <hyperlink ref="L7" r:id="rId2" display="https://us3.assetplanner.com/service_request?ID=101905" xr:uid="{88AF6242-5D8E-49BF-94C3-1D0E43C1B9D1}"/>
    <hyperlink ref="M7" r:id="rId3" display="https://us3.assetplanner.com/service_request?ID=101905" xr:uid="{F61DCE08-CCF7-48C3-8D82-C5EFA5468A5C}"/>
    <hyperlink ref="K10" r:id="rId4" display="https://us3.assetplanner.com/service_request?ID=102087" xr:uid="{7A7516F2-0F6C-42A7-865B-20E5078C361A}"/>
    <hyperlink ref="L10" r:id="rId5" display="https://us3.assetplanner.com/service_request?ID=091352" xr:uid="{5EB02DF4-08DC-486B-A8F0-BAF3F82D77FC}"/>
    <hyperlink ref="K12" r:id="rId6" display="https://us3.assetplanner.com/service_request?ID=102088" xr:uid="{9EB6A0B9-F1AE-48AD-9AB6-BED99641D88E}"/>
    <hyperlink ref="K15" r:id="rId7" display="https://us3.assetplanner.com/service_request?ID=101846" xr:uid="{9E203DA0-2237-45ED-888B-17E26A453E64}"/>
    <hyperlink ref="K18" r:id="rId8" display="https://us3.assetplanner.com/service_request?ID=099807" xr:uid="{AB9FDA33-7DEA-48AF-B8B5-539E034CF9BE}"/>
    <hyperlink ref="K21" r:id="rId9" display="https://us3.assetplanner.com/service_request?ID=095596" xr:uid="{6B66D934-1B65-4DAD-A375-789EC53FA42F}"/>
    <hyperlink ref="K31" r:id="rId10" display="https://us3.assetplanner.com/service_request?ID=101326" xr:uid="{EAF9B4E0-9375-4483-9C33-90EE29F6CE85}"/>
    <hyperlink ref="K32" r:id="rId11" display="https://us3.assetplanner.com/service_request?ID=101279" xr:uid="{56B228EF-B8FE-4469-BA4F-37FFE3F59F40}"/>
    <hyperlink ref="K34" r:id="rId12" display="https://us3.assetplanner.com/service_request?ID=097762" xr:uid="{DEE2E7D4-58B8-4F07-B44D-67C12C7186C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tabSelected="1" zoomScale="70" zoomScaleNormal="70" workbookViewId="0">
      <pane xSplit="2" ySplit="3" topLeftCell="C8" activePane="bottomRight" state="frozen"/>
      <selection pane="bottomRight" activeCell="C20" sqref="C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6" t="str" cm="1">
        <f t="array" ref="A1">portfolio</f>
        <v>Cushman &amp; Wakefield</v>
      </c>
      <c r="B1" s="76"/>
      <c r="C1" s="76"/>
      <c r="D1" s="77" t="s">
        <v>100</v>
      </c>
      <c r="E1" s="77"/>
      <c r="F1" s="77"/>
      <c r="G1" s="75" t="s">
        <v>101</v>
      </c>
      <c r="H1" s="75"/>
      <c r="I1" s="75"/>
      <c r="J1" s="4"/>
      <c r="K1" s="4"/>
    </row>
    <row r="2" spans="1:12" ht="19.5" customHeight="1">
      <c r="A2" s="78" t="s">
        <v>2</v>
      </c>
      <c r="B2" s="78"/>
      <c r="C2" s="5">
        <f>SUM(C4:C98)</f>
        <v>62687.340000000004</v>
      </c>
      <c r="D2" s="5">
        <f>SUM(D4:D98)</f>
        <v>0</v>
      </c>
      <c r="E2" s="5">
        <f>C2-D2</f>
        <v>62687.340000000004</v>
      </c>
      <c r="F2" s="6">
        <f>IFERROR(E2/D2, 0)</f>
        <v>0</v>
      </c>
      <c r="G2" s="5">
        <f>SUM(G4:G98)</f>
        <v>0</v>
      </c>
      <c r="H2" s="7">
        <f>C2-G2</f>
        <v>62687.340000000004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>
        <v>118.82599999999999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33" customHeight="1">
      <c r="A7" s="30" t="str">
        <v xml:space="preserve"> Bell - Bank of America</v>
      </c>
      <c r="B7" s="31" t="str">
        <v>CA</v>
      </c>
      <c r="C7" s="11">
        <v>1895.088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60" t="s">
        <v>102</v>
      </c>
      <c r="K7" s="66" t="s">
        <v>103</v>
      </c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1373.0419999999999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2842.8270000000002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86.45">
      <c r="A10" s="28" t="str">
        <v xml:space="preserve"> Diamond Bar - Bank of America</v>
      </c>
      <c r="B10" s="29" t="str">
        <v>CA</v>
      </c>
      <c r="C10" s="24">
        <v>3246.55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105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3107.6750000000002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28.9">
      <c r="A12" s="28" t="str">
        <v xml:space="preserve"> Moreno Valley - Bank of America</v>
      </c>
      <c r="B12" s="29" t="str">
        <v>CA</v>
      </c>
      <c r="C12" s="24">
        <v>5670.7939999999999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90</v>
      </c>
      <c r="L12" s="59"/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8251.2839999999997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51.75" customHeight="1">
      <c r="A15" s="30" t="str">
        <v xml:space="preserve"> San Bernardino - Bank of America</v>
      </c>
      <c r="B15" s="31" t="str">
        <v>CA</v>
      </c>
      <c r="C15" s="11">
        <v>71.63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107</v>
      </c>
      <c r="K15" s="68" t="s">
        <v>108</v>
      </c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66.894000000000005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2517.8359999999998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1399.193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0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>
        <v>1902.3969999999999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2890.3130000000001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 t="s">
        <v>109</v>
      </c>
      <c r="K22" s="65" t="s">
        <v>110</v>
      </c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1293.713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2724.3490000000002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1871.539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2539.0949999999998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1485.261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1311.5429999999999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>
        <v>1533.8879999999999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2976.5010000000002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3319.0949999999998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111</v>
      </c>
      <c r="K31" s="74" t="s">
        <v>112</v>
      </c>
      <c r="L31" s="59"/>
    </row>
    <row r="32" spans="1:12" ht="15.6">
      <c r="A32" s="28" t="str">
        <v xml:space="preserve"> Bloomington - Bank of America</v>
      </c>
      <c r="B32" s="29" t="str">
        <v>MN</v>
      </c>
      <c r="C32" s="24">
        <v>536.25599999999997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28.9">
      <c r="A33" s="30" t="str">
        <v xml:space="preserve"> Clayton - Bank of America</v>
      </c>
      <c r="B33" s="31" t="str">
        <v>MO</v>
      </c>
      <c r="C33" s="11">
        <v>2305.3879999999999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 t="s">
        <v>113</v>
      </c>
      <c r="K33" s="74" t="s">
        <v>114</v>
      </c>
      <c r="L33" s="59"/>
    </row>
    <row r="34" spans="1:12" ht="15.6">
      <c r="A34" s="28" t="str">
        <v xml:space="preserve"> Manchester - Bank of America</v>
      </c>
      <c r="B34" s="29" t="str">
        <v>MO</v>
      </c>
      <c r="C34" s="24">
        <v>1900.8109999999999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72.747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3235.0529999999999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227.75200000000001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hyperlinks>
    <hyperlink ref="K7" r:id="rId1" display="https://us3.assetplanner.com/service_request?ID=101589" xr:uid="{E0702603-11A6-47E5-A7AC-5BB2BA87A1D8}"/>
    <hyperlink ref="K10" r:id="rId2" display="https://us3.assetplanner.com/service_request?ID=102087" xr:uid="{9933A6B0-0648-4B5E-8A23-7526EF49F912}"/>
    <hyperlink ref="K12" r:id="rId3" display="https://us3.assetplanner.com/service_request?ID=102088" xr:uid="{1D97CEF9-0741-4002-ADF6-F23861C85AAB}"/>
    <hyperlink ref="K15" r:id="rId4" display="https://us3.assetplanner.com/service_request?ID=101846" xr:uid="{DA343D58-BFE0-4C9C-A25B-0D48AC7AEF2D}"/>
    <hyperlink ref="K22" r:id="rId5" display="https://us3.assetplanner.com/service_request?ID=102639" xr:uid="{0735AF21-E7F3-4881-8179-CBCBF64A8F38}"/>
    <hyperlink ref="K31" r:id="rId6" display="https://us3.assetplanner.com/service_request?ID=103077" xr:uid="{1C462188-F52D-4B25-918B-7BAD80A8B1CD}"/>
    <hyperlink ref="K33" r:id="rId7" display="https://us3.assetplanner.com/service_request?ID=103670" xr:uid="{28599BB8-503D-40BD-A976-F51994E41FD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115</v>
      </c>
      <c r="E1" s="77"/>
      <c r="F1" s="77"/>
      <c r="G1" s="75" t="s">
        <v>116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16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117</v>
      </c>
      <c r="E1" s="77"/>
      <c r="F1" s="77"/>
      <c r="G1" s="75" t="s">
        <v>118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119</v>
      </c>
      <c r="E1" s="77"/>
      <c r="F1" s="77"/>
      <c r="G1" s="75" t="s">
        <v>120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2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2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2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2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121</v>
      </c>
      <c r="E1" s="77"/>
      <c r="F1" s="77"/>
      <c r="G1" s="75" t="s">
        <v>122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1">IFERROR(E6/D6, "")</f>
        <v/>
      </c>
      <c r="G6" s="15"/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1"/>
        <v/>
      </c>
      <c r="G11" s="20"/>
      <c r="H11" s="20" t="str">
        <f t="shared" si="2"/>
        <v/>
      </c>
      <c r="I11" s="19" t="str">
        <f t="shared" si="3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1"/>
        <v/>
      </c>
      <c r="G12" s="15"/>
      <c r="H12" s="15" t="str">
        <f t="shared" si="2"/>
        <v/>
      </c>
      <c r="I12" s="16" t="str">
        <f t="shared" si="3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1"/>
        <v/>
      </c>
      <c r="G13" s="20"/>
      <c r="H13" s="20" t="str">
        <f t="shared" si="2"/>
        <v/>
      </c>
      <c r="I13" s="19" t="str">
        <f t="shared" si="3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1"/>
        <v/>
      </c>
      <c r="G14" s="15"/>
      <c r="H14" s="15" t="str">
        <f t="shared" si="2"/>
        <v/>
      </c>
      <c r="I14" s="16" t="str">
        <f t="shared" si="3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1"/>
        <v/>
      </c>
      <c r="G15" s="20"/>
      <c r="H15" s="20" t="str">
        <f t="shared" si="2"/>
        <v/>
      </c>
      <c r="I15" s="19" t="str">
        <f t="shared" si="3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1"/>
        <v/>
      </c>
      <c r="G16" s="15"/>
      <c r="H16" s="15" t="str">
        <f t="shared" si="2"/>
        <v/>
      </c>
      <c r="I16" s="16" t="str">
        <f t="shared" si="3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1"/>
        <v/>
      </c>
      <c r="G17" s="20"/>
      <c r="H17" s="20" t="str">
        <f t="shared" si="2"/>
        <v/>
      </c>
      <c r="I17" s="19" t="str">
        <f t="shared" si="3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0">
        <v>0</v>
      </c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I6" sqref="I6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123</v>
      </c>
      <c r="E1" s="77"/>
      <c r="F1" s="77"/>
      <c r="G1" s="75" t="s">
        <v>124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6" t="str" cm="1">
        <f t="array" ref="A1">portfolio</f>
        <v>Cushman &amp; Wakefield</v>
      </c>
      <c r="B1" s="76"/>
      <c r="C1" s="76"/>
      <c r="D1" s="77" t="s">
        <v>125</v>
      </c>
      <c r="E1" s="77"/>
      <c r="F1" s="77"/>
      <c r="G1" s="75" t="s">
        <v>126</v>
      </c>
      <c r="H1" s="75"/>
      <c r="I1" s="75"/>
      <c r="J1" s="4"/>
      <c r="K1" s="4"/>
    </row>
    <row r="2" spans="1:11" ht="19.5" customHeight="1">
      <c r="A2" s="78" t="s">
        <v>2</v>
      </c>
      <c r="B2" s="78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0"/>
      <c r="K7" s="60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0"/>
      <c r="K9" s="61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2"/>
      <c r="K10" s="62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0"/>
      <c r="K17" s="60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60"/>
      <c r="K25" s="60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62"/>
      <c r="K26" s="62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62"/>
      <c r="K32" s="62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16" activePane="bottomLeft" state="frozen"/>
      <selection pane="bottomLeft" activeCell="A20" sqref="A20:XFD20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127</v>
      </c>
      <c r="B1" t="s">
        <v>128</v>
      </c>
    </row>
    <row r="3" spans="1:7" ht="13.15">
      <c r="A3" t="s">
        <v>129</v>
      </c>
      <c r="B3" t="s">
        <v>3</v>
      </c>
      <c r="C3" t="s">
        <v>4</v>
      </c>
      <c r="D3" t="s">
        <v>130</v>
      </c>
      <c r="E3" s="2" t="s">
        <v>131</v>
      </c>
    </row>
    <row r="4" spans="1:7" ht="14.45">
      <c r="A4" s="44" t="s">
        <v>132</v>
      </c>
      <c r="B4" s="45" t="s">
        <v>133</v>
      </c>
      <c r="C4" s="45" t="s">
        <v>134</v>
      </c>
      <c r="D4" s="46"/>
      <c r="E4" s="47" t="s">
        <v>135</v>
      </c>
      <c r="G4" s="3"/>
    </row>
    <row r="5" spans="1:7" ht="14.45">
      <c r="A5" s="48" t="s">
        <v>132</v>
      </c>
      <c r="B5" s="49" t="s">
        <v>136</v>
      </c>
      <c r="C5" s="49" t="s">
        <v>134</v>
      </c>
      <c r="D5" s="50"/>
      <c r="E5" s="51" t="s">
        <v>135</v>
      </c>
      <c r="G5" s="3"/>
    </row>
    <row r="6" spans="1:7" ht="14.45">
      <c r="A6" s="44" t="s">
        <v>137</v>
      </c>
      <c r="B6" s="45" t="s">
        <v>138</v>
      </c>
      <c r="C6" s="45" t="s">
        <v>134</v>
      </c>
      <c r="D6" s="46"/>
      <c r="E6" s="47" t="s">
        <v>135</v>
      </c>
      <c r="G6" s="3"/>
    </row>
    <row r="7" spans="1:7" ht="12.75" customHeight="1">
      <c r="A7" s="48" t="s">
        <v>139</v>
      </c>
      <c r="B7" s="49" t="s">
        <v>140</v>
      </c>
      <c r="C7" s="49" t="s">
        <v>134</v>
      </c>
      <c r="D7" s="50"/>
      <c r="E7" s="51" t="s">
        <v>135</v>
      </c>
    </row>
    <row r="8" spans="1:7" ht="12.75" customHeight="1">
      <c r="A8" s="44" t="s">
        <v>141</v>
      </c>
      <c r="B8" s="45" t="s">
        <v>142</v>
      </c>
      <c r="C8" s="45" t="s">
        <v>134</v>
      </c>
      <c r="D8" s="46"/>
      <c r="E8" s="47" t="s">
        <v>135</v>
      </c>
    </row>
    <row r="9" spans="1:7" ht="12.75" customHeight="1">
      <c r="A9" s="48" t="s">
        <v>143</v>
      </c>
      <c r="B9" s="49" t="s">
        <v>144</v>
      </c>
      <c r="C9" s="49" t="s">
        <v>134</v>
      </c>
      <c r="D9" s="50"/>
      <c r="E9" s="51" t="s">
        <v>135</v>
      </c>
    </row>
    <row r="10" spans="1:7" ht="12.75" customHeight="1">
      <c r="A10" s="44" t="s">
        <v>145</v>
      </c>
      <c r="B10" s="45" t="s">
        <v>146</v>
      </c>
      <c r="C10" s="45" t="s">
        <v>134</v>
      </c>
      <c r="D10" s="46"/>
      <c r="E10" s="47" t="s">
        <v>135</v>
      </c>
    </row>
    <row r="11" spans="1:7" ht="12.75" customHeight="1">
      <c r="A11" s="48" t="s">
        <v>147</v>
      </c>
      <c r="B11" s="49" t="s">
        <v>148</v>
      </c>
      <c r="C11" s="49" t="s">
        <v>134</v>
      </c>
      <c r="D11" s="50"/>
      <c r="E11" s="51" t="s">
        <v>135</v>
      </c>
    </row>
    <row r="12" spans="1:7" ht="12.75" customHeight="1">
      <c r="A12" s="44" t="s">
        <v>149</v>
      </c>
      <c r="B12" s="45" t="s">
        <v>150</v>
      </c>
      <c r="C12" s="45" t="s">
        <v>134</v>
      </c>
      <c r="D12" s="46"/>
      <c r="E12" s="47" t="s">
        <v>135</v>
      </c>
    </row>
    <row r="13" spans="1:7" ht="12.75" customHeight="1">
      <c r="A13" s="48" t="s">
        <v>132</v>
      </c>
      <c r="B13" s="49" t="s">
        <v>151</v>
      </c>
      <c r="C13" s="49" t="s">
        <v>134</v>
      </c>
      <c r="D13" s="50"/>
      <c r="E13" s="51" t="s">
        <v>135</v>
      </c>
    </row>
    <row r="14" spans="1:7" ht="12.75" customHeight="1">
      <c r="A14" s="44" t="s">
        <v>152</v>
      </c>
      <c r="B14" s="45" t="s">
        <v>153</v>
      </c>
      <c r="C14" s="45" t="s">
        <v>134</v>
      </c>
      <c r="D14" s="46"/>
      <c r="E14" s="47" t="s">
        <v>135</v>
      </c>
    </row>
    <row r="15" spans="1:7" ht="12.75" customHeight="1">
      <c r="A15" s="48" t="s">
        <v>154</v>
      </c>
      <c r="B15" s="49" t="s">
        <v>155</v>
      </c>
      <c r="C15" s="49" t="s">
        <v>134</v>
      </c>
      <c r="D15" s="50"/>
      <c r="E15" s="51" t="s">
        <v>135</v>
      </c>
    </row>
    <row r="16" spans="1:7" ht="12.75" customHeight="1">
      <c r="A16" s="44" t="s">
        <v>156</v>
      </c>
      <c r="B16" s="45" t="s">
        <v>157</v>
      </c>
      <c r="C16" s="45" t="s">
        <v>134</v>
      </c>
      <c r="D16" s="46"/>
      <c r="E16" s="47" t="s">
        <v>135</v>
      </c>
    </row>
    <row r="17" spans="1:5" ht="12.75" customHeight="1">
      <c r="A17" s="48" t="s">
        <v>158</v>
      </c>
      <c r="B17" s="49" t="s">
        <v>159</v>
      </c>
      <c r="C17" s="49" t="s">
        <v>134</v>
      </c>
      <c r="D17" s="50"/>
      <c r="E17" s="51" t="s">
        <v>135</v>
      </c>
    </row>
    <row r="18" spans="1:5" ht="12.75" customHeight="1">
      <c r="A18" s="48"/>
      <c r="B18" s="49" t="s">
        <v>160</v>
      </c>
      <c r="C18" s="49" t="s">
        <v>134</v>
      </c>
      <c r="D18" s="46"/>
      <c r="E18" s="47" t="s">
        <v>135</v>
      </c>
    </row>
    <row r="19" spans="1:5" ht="12.75" customHeight="1">
      <c r="A19" s="48" t="s">
        <v>161</v>
      </c>
      <c r="B19" s="49" t="s">
        <v>162</v>
      </c>
      <c r="C19" s="49" t="s">
        <v>163</v>
      </c>
      <c r="D19" s="50"/>
      <c r="E19" s="51" t="s">
        <v>135</v>
      </c>
    </row>
    <row r="20" spans="1:5" ht="12.75" customHeight="1">
      <c r="A20" s="48" t="s">
        <v>164</v>
      </c>
      <c r="B20" s="49" t="s">
        <v>165</v>
      </c>
      <c r="C20" s="49" t="s">
        <v>163</v>
      </c>
      <c r="D20" s="46"/>
      <c r="E20" s="47" t="s">
        <v>135</v>
      </c>
    </row>
    <row r="21" spans="1:5" ht="12.75" customHeight="1">
      <c r="A21" s="48" t="s">
        <v>166</v>
      </c>
      <c r="B21" s="49" t="s">
        <v>167</v>
      </c>
      <c r="C21" s="49" t="s">
        <v>163</v>
      </c>
      <c r="D21" s="50"/>
      <c r="E21" s="51" t="s">
        <v>135</v>
      </c>
    </row>
    <row r="22" spans="1:5" ht="12.75" customHeight="1">
      <c r="A22" s="48" t="s">
        <v>168</v>
      </c>
      <c r="B22" s="49" t="s">
        <v>169</v>
      </c>
      <c r="C22" s="49" t="s">
        <v>163</v>
      </c>
      <c r="D22" s="46"/>
      <c r="E22" s="47" t="s">
        <v>135</v>
      </c>
    </row>
    <row r="23" spans="1:5" ht="12.75" customHeight="1">
      <c r="A23" s="48" t="s">
        <v>170</v>
      </c>
      <c r="B23" s="49" t="s">
        <v>171</v>
      </c>
      <c r="C23" s="49" t="s">
        <v>163</v>
      </c>
      <c r="D23" s="50"/>
      <c r="E23" s="51" t="s">
        <v>135</v>
      </c>
    </row>
    <row r="24" spans="1:5" ht="12.75" customHeight="1">
      <c r="A24" s="48" t="s">
        <v>172</v>
      </c>
      <c r="B24" s="49" t="s">
        <v>173</v>
      </c>
      <c r="C24" s="49" t="s">
        <v>163</v>
      </c>
      <c r="D24" s="46"/>
      <c r="E24" s="47" t="s">
        <v>135</v>
      </c>
    </row>
    <row r="25" spans="1:5" ht="12.75" customHeight="1">
      <c r="A25" s="48" t="s">
        <v>174</v>
      </c>
      <c r="B25" s="49" t="s">
        <v>175</v>
      </c>
      <c r="C25" s="49" t="s">
        <v>163</v>
      </c>
      <c r="D25" s="50"/>
      <c r="E25" s="51" t="s">
        <v>135</v>
      </c>
    </row>
    <row r="26" spans="1:5" ht="12.75" customHeight="1">
      <c r="A26" s="48" t="s">
        <v>176</v>
      </c>
      <c r="B26" s="49" t="s">
        <v>177</v>
      </c>
      <c r="C26" s="49" t="s">
        <v>163</v>
      </c>
      <c r="D26" s="46"/>
      <c r="E26" s="47" t="s">
        <v>135</v>
      </c>
    </row>
    <row r="27" spans="1:5" ht="12.75" customHeight="1">
      <c r="A27" s="48" t="s">
        <v>178</v>
      </c>
      <c r="B27" s="49" t="s">
        <v>179</v>
      </c>
      <c r="C27" s="49" t="s">
        <v>163</v>
      </c>
      <c r="D27" s="50"/>
      <c r="E27" s="51" t="s">
        <v>135</v>
      </c>
    </row>
    <row r="28" spans="1:5" ht="12.75" customHeight="1">
      <c r="A28" s="48" t="s">
        <v>180</v>
      </c>
      <c r="B28" s="49" t="s">
        <v>181</v>
      </c>
      <c r="C28" s="49" t="s">
        <v>163</v>
      </c>
      <c r="D28" s="46"/>
      <c r="E28" s="47" t="s">
        <v>135</v>
      </c>
    </row>
    <row r="29" spans="1:5" ht="12.75" customHeight="1">
      <c r="A29" s="48" t="s">
        <v>182</v>
      </c>
      <c r="B29" s="49" t="s">
        <v>183</v>
      </c>
      <c r="C29" s="49" t="s">
        <v>163</v>
      </c>
      <c r="D29" s="50"/>
      <c r="E29" s="51" t="s">
        <v>135</v>
      </c>
    </row>
    <row r="30" spans="1:5" ht="12.75" customHeight="1">
      <c r="A30" s="48" t="s">
        <v>184</v>
      </c>
      <c r="B30" s="49" t="s">
        <v>185</v>
      </c>
      <c r="C30" s="49" t="s">
        <v>186</v>
      </c>
      <c r="D30" s="46"/>
      <c r="E30" s="47" t="s">
        <v>135</v>
      </c>
    </row>
    <row r="31" spans="1:5" ht="12.75" customHeight="1">
      <c r="A31" s="48" t="s">
        <v>187</v>
      </c>
      <c r="B31" s="49" t="s">
        <v>188</v>
      </c>
      <c r="C31" s="49" t="s">
        <v>186</v>
      </c>
      <c r="D31" s="50"/>
      <c r="E31" s="51" t="s">
        <v>135</v>
      </c>
    </row>
    <row r="32" spans="1:5" ht="12.75" customHeight="1">
      <c r="A32" s="48" t="s">
        <v>132</v>
      </c>
      <c r="B32" s="49" t="s">
        <v>189</v>
      </c>
      <c r="C32" s="49" t="s">
        <v>190</v>
      </c>
      <c r="D32" s="46"/>
      <c r="E32" s="47" t="s">
        <v>135</v>
      </c>
    </row>
    <row r="33" spans="1:5" ht="12.75" customHeight="1">
      <c r="A33" s="48" t="s">
        <v>191</v>
      </c>
      <c r="B33" s="49" t="s">
        <v>192</v>
      </c>
      <c r="C33" s="49" t="s">
        <v>193</v>
      </c>
      <c r="D33" s="50"/>
      <c r="E33" s="51" t="s">
        <v>135</v>
      </c>
    </row>
    <row r="34" spans="1:5" ht="12.75" customHeight="1">
      <c r="A34" s="48" t="s">
        <v>194</v>
      </c>
      <c r="B34" s="49" t="s">
        <v>195</v>
      </c>
      <c r="C34" s="49" t="s">
        <v>193</v>
      </c>
      <c r="D34" s="46"/>
      <c r="E34" s="47" t="s">
        <v>135</v>
      </c>
    </row>
    <row r="35" spans="1:5" ht="12.75" customHeight="1">
      <c r="A35" s="48" t="s">
        <v>196</v>
      </c>
      <c r="B35" s="49" t="s">
        <v>197</v>
      </c>
      <c r="C35" s="49" t="s">
        <v>198</v>
      </c>
      <c r="D35" s="50"/>
      <c r="E35" s="51" t="s">
        <v>135</v>
      </c>
    </row>
    <row r="36" spans="1:5" ht="12.75" customHeight="1">
      <c r="A36" s="48" t="s">
        <v>132</v>
      </c>
      <c r="B36" s="49" t="s">
        <v>199</v>
      </c>
      <c r="C36" s="49" t="s">
        <v>198</v>
      </c>
      <c r="D36" s="46"/>
      <c r="E36" s="47" t="s">
        <v>135</v>
      </c>
    </row>
    <row r="37" spans="1:5" ht="12.75" customHeight="1">
      <c r="A37" s="48" t="s">
        <v>200</v>
      </c>
      <c r="B37" s="49" t="s">
        <v>201</v>
      </c>
      <c r="C37" s="49" t="s">
        <v>202</v>
      </c>
      <c r="D37" s="50"/>
      <c r="E37" s="51" t="s">
        <v>135</v>
      </c>
    </row>
    <row r="38" spans="1:5" ht="12.75" customHeight="1">
      <c r="A38" s="52" t="s">
        <v>203</v>
      </c>
      <c r="B38" s="53" t="s">
        <v>204</v>
      </c>
      <c r="C38" s="53" t="s">
        <v>202</v>
      </c>
      <c r="D38" s="54"/>
      <c r="E38" s="55" t="s">
        <v>135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14966E4F-347B-477B-B74C-9DAC05405806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60BC1948-B186-4FD1-A281-4EEBAD376F9B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2025-08-15T18:54:29Z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