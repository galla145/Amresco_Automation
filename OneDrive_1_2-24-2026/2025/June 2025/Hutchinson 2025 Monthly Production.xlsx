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41" documentId="13_ncr:1_{1464A188-D801-40F4-B523-569208EA8F71}" xr6:coauthVersionLast="47" xr6:coauthVersionMax="47" xr10:uidLastSave="{4251AEB1-0A64-4608-9808-11E83447C5FE}"/>
  <bookViews>
    <workbookView xWindow="-98" yWindow="-98" windowWidth="21795" windowHeight="12975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E4" i="21"/>
  <c r="F4" i="21" s="1"/>
  <c r="E4" i="4"/>
  <c r="F4" i="4" s="1"/>
  <c r="E4" i="20"/>
  <c r="F4" i="20" s="1"/>
  <c r="G4" i="18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G2" i="20"/>
  <c r="D2" i="20"/>
  <c r="C2" i="20"/>
  <c r="A1" i="20" a="1"/>
  <c r="A1" i="20" s="1"/>
  <c r="H4" i="21"/>
  <c r="I4" i="21" s="1"/>
  <c r="G2" i="21"/>
  <c r="D2" i="21"/>
  <c r="C2" i="21"/>
  <c r="A1" i="21" a="1"/>
  <c r="A1" i="21" s="1"/>
  <c r="H4" i="4"/>
  <c r="I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G2" i="34" s="1"/>
  <c r="E4" i="18"/>
  <c r="F4" i="18" s="1"/>
  <c r="D4" i="34"/>
  <c r="D2" i="34" s="1"/>
  <c r="E4" i="30"/>
  <c r="F4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<sst xmlns="http://schemas.openxmlformats.org/spreadsheetml/2006/main" count="251" uniqueCount="54">
  <si>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</si>
  <si>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</si>
  <si>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</si>
  <si>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</si>
  <si>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</si>
  <si>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</si>
  <si>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</si>
  <si>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</si>
  <si>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</si>
  <si>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</si>
  <si>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</si>
  <si>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</si>
  <si>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</si>
  <si>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</si>
  <si>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</si>
  <si>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</si>
  <si>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</si>
  <si>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</si>
  <si>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</si>
  <si>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</si>
  <si>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</si>
  <si>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</si>
  <si>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</si>
  <si>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</si>
  <si>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</si>
  <si>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</si>
  <si>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</si>
  <si>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</si>
  <si>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</si>
  <si>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</si>
  <si>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</si>
  <si>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</si>
  <si>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</si>
  <si>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</si>
  <si>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</si>
  <si>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</si>
  <si>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</si>
  <si>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</si>
  <si>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</si>
  <si>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</si>
  <si>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</si>
  <si>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</si>
  <si>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</si>
  <si>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</si>
  <si>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</si>
  <si>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</si>
  <si>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Hutchinson</t>
  </si>
  <si>
    <t>Site DAS Name</t>
  </si>
  <si>
    <t>Update</t>
  </si>
  <si>
    <t>DAS</t>
  </si>
  <si>
    <t>City of Hutchinson Landfill</t>
  </si>
  <si>
    <t>MN: Hutchinson Landfill</t>
  </si>
  <si>
    <t>MN</t>
  </si>
  <si>
    <t>eGauge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</si>
</sst>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2" fillId="0" borderId="0" xfId="0" applyFont="1"/>
    <xf numFmtId="3" fontId="30" fillId="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E16" sqref="E16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0</v>
      </c>
      <c r="E1" s="38"/>
      <c r="F1" s="38"/>
      <c r="G1" s="36" t="s">
        <v>1</v>
      </c>
      <c r="H1" s="36"/>
      <c r="I1" s="36"/>
    </row>
    <row r="2" spans="1:9" ht="19.5" customHeight="1">
      <c r="A2" s="39" t="s">
        <v>2</v>
      </c>
      <c r="B2" s="39"/>
      <c r="C2" s="6">
        <f>SUM(C4:C87)</f>
        <v>154266</v>
      </c>
      <c r="D2" s="6">
        <f>SUM(D4:D87)</f>
        <v>0</v>
      </c>
      <c r="E2" s="6">
        <f>C2-D2</f>
        <v>154266</v>
      </c>
      <c r="F2" s="7">
        <f>IFERROR(E2/D2, 0)</f>
        <v>0</v>
      </c>
      <c r="G2" s="6">
        <f>SUM(G4:G87)</f>
        <v>0</v>
      </c>
      <c r="H2" s="8">
        <f>C2-G2</f>
        <v>154266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SUM('1st Qtr'!C4, '2nd Qtr'!C4, '3rd Qtr'!C4, '4th Qtr'!C4)</f>
        <v>154266</v>
      </c>
      <c r="D4" s="12">
        <f>SUM('1st Qtr'!D4, '2nd Qtr'!D4, '3rd Qtr'!D4, '4th Qtr'!D4)</f>
        <v>0</v>
      </c>
      <c r="E4" s="12">
        <f>IF(AND(ISNUMBER(C4),ISNUMBER(D4)), C4-D4, "")</f>
        <v>154266</v>
      </c>
      <c r="F4" s="13" t="str">
        <f>IFERROR(E4/D4, "")</f>
        <v/>
      </c>
      <c r="G4" s="14">
        <f>SUM('1st Qtr'!G4,'2nd Qtr'!G4,'3rd Qtr'!G4,'4th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10</v>
      </c>
      <c r="E1" s="38"/>
      <c r="F1" s="38"/>
      <c r="G1" s="36" t="s">
        <v>11</v>
      </c>
      <c r="H1" s="36"/>
      <c r="I1" s="36"/>
    </row>
    <row r="2" spans="1:9" ht="19.5" customHeight="1">
      <c r="A2" s="39" t="s">
        <v>2</v>
      </c>
      <c r="B2" s="39"/>
      <c r="C2" s="6">
        <f>SUM(C4:C87)</f>
        <v>65227</v>
      </c>
      <c r="D2" s="6">
        <f>SUM(D4:D87)</f>
        <v>0</v>
      </c>
      <c r="E2" s="6">
        <f>C2-D2</f>
        <v>65227</v>
      </c>
      <c r="F2" s="7">
        <f>IFERROR(E2/D2, 0)</f>
        <v>0</v>
      </c>
      <c r="G2" s="6">
        <f>SUM(G4:G87)</f>
        <v>0</v>
      </c>
      <c r="H2" s="8">
        <f>C2-G2</f>
        <v>65227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SUM(Jan!C4, Feb!C4, Mar!C4)</f>
        <v>65227</v>
      </c>
      <c r="D4" s="12">
        <f>SUM(Jan!D4, Feb!D4, Mar!D4)</f>
        <v>0</v>
      </c>
      <c r="E4" s="12">
        <f>IF(AND(ISNUMBER(C4),ISNUMBER(D4)), C4-D4, "")</f>
        <v>65227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12</v>
      </c>
      <c r="E1" s="38"/>
      <c r="F1" s="38"/>
      <c r="G1" s="36" t="s">
        <v>13</v>
      </c>
      <c r="H1" s="36"/>
      <c r="I1" s="36"/>
    </row>
    <row r="2" spans="1:9" ht="19.5" customHeight="1">
      <c r="A2" s="39" t="s">
        <v>2</v>
      </c>
      <c r="B2" s="39"/>
      <c r="C2" s="6">
        <f>SUM(C4:C87)</f>
        <v>89039</v>
      </c>
      <c r="D2" s="6">
        <f>SUM(D4:D87)</f>
        <v>0</v>
      </c>
      <c r="E2" s="6">
        <f>C2-D2</f>
        <v>89039</v>
      </c>
      <c r="F2" s="7">
        <f>IFERROR(E2/D2, 0)</f>
        <v>0</v>
      </c>
      <c r="G2" s="6">
        <f>SUM(G4:G87)</f>
        <v>0</v>
      </c>
      <c r="H2" s="8">
        <f>C2-G2</f>
        <v>89039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SUM(Apr!C4, May!C4, Jun!C4)</f>
        <v>89039</v>
      </c>
      <c r="D4" s="12">
        <f>SUM(Apr!D4, May!D4, Jun!D4)</f>
        <v>0</v>
      </c>
      <c r="E4" s="12">
        <f>IF(AND(ISNUMBER(C4),ISNUMBER(D4)), C4-D4, "")</f>
        <v>89039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workbookViewId="0">
      <pane xSplit="2" ySplit="3" topLeftCell="G4" activePane="bottomRight" state="frozen"/>
      <selection pane="bottomRight" activeCell="G14" sqref="G14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14</v>
      </c>
      <c r="E1" s="38"/>
      <c r="F1" s="38"/>
      <c r="G1" s="36" t="s">
        <v>15</v>
      </c>
      <c r="H1" s="36"/>
      <c r="I1" s="36"/>
    </row>
    <row r="2" spans="1:9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C4" activePane="bottomRight" state="frozen"/>
      <selection pane="bottomRight" activeCell="E9" sqref="E9"/>
      <selection pane="bottomLeft" activeCell="A12" sqref="A12"/>
      <selection pane="topRigh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7" t="str" cm="1">
        <f t="array" ref="A1">portfolio</f>
        <v>Hutchinson</v>
      </c>
      <c r="B1" s="37"/>
      <c r="C1" s="37"/>
      <c r="D1" s="38" t="s">
        <v>16</v>
      </c>
      <c r="E1" s="38"/>
      <c r="F1" s="38"/>
      <c r="G1" s="36" t="s">
        <v>17</v>
      </c>
      <c r="H1" s="36"/>
      <c r="I1" s="36"/>
    </row>
    <row r="2" spans="1:9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75">
      <c r="A4" s="11" t="str" cm="1">
        <f t="array" ref="A4">Sites[Site]</f>
        <v>MN: Hutchinson Landfill</v>
      </c>
      <c r="B4" s="10" t="str" cm="1">
        <f t="array" ref="B4">Sites[State]</f>
        <v>MN</v>
      </c>
      <c r="C4" s="19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2.75" customHeight="1">
      <c r="A5" s="16"/>
      <c r="B5" s="16"/>
      <c r="C5" s="16"/>
      <c r="D5" s="16"/>
      <c r="E5" s="16"/>
      <c r="F5" s="16"/>
      <c r="G5" s="16"/>
      <c r="H5" s="16"/>
      <c r="I5" s="16"/>
    </row>
    <row r="6" spans="1:9" ht="13.15">
      <c r="A6" s="16"/>
      <c r="B6" s="16"/>
      <c r="C6" s="16"/>
      <c r="D6" s="16"/>
      <c r="E6" s="16"/>
      <c r="F6" s="16"/>
      <c r="G6" s="16"/>
      <c r="H6" s="16"/>
      <c r="I6" s="16"/>
    </row>
    <row r="7" spans="1:9" ht="13.15">
      <c r="A7" s="16"/>
      <c r="B7" s="16"/>
      <c r="C7" s="16"/>
      <c r="D7" s="16"/>
      <c r="E7" s="16"/>
      <c r="F7" s="16"/>
      <c r="G7" s="16"/>
      <c r="H7" s="16"/>
      <c r="I7" s="16"/>
    </row>
    <row r="8" spans="1:9" ht="13.15">
      <c r="A8" s="16"/>
      <c r="B8" s="16"/>
      <c r="C8" s="16"/>
      <c r="D8" s="16"/>
      <c r="E8" s="16"/>
      <c r="F8" s="16"/>
      <c r="G8" s="16"/>
      <c r="H8" s="16"/>
      <c r="I8" s="16"/>
    </row>
    <row r="9" spans="1:9" ht="13.15">
      <c r="A9" s="16"/>
      <c r="B9" s="16"/>
      <c r="C9" s="16"/>
      <c r="D9" s="16"/>
      <c r="E9" s="16"/>
      <c r="F9" s="16"/>
      <c r="G9" s="16"/>
      <c r="H9" s="16"/>
      <c r="I9" s="16"/>
    </row>
    <row r="10" spans="1:9" ht="13.15">
      <c r="A10" s="16"/>
      <c r="B10" s="16"/>
      <c r="C10" s="16"/>
      <c r="D10" s="16"/>
      <c r="E10" s="16"/>
      <c r="F10" s="16"/>
      <c r="G10" s="16"/>
      <c r="H10" s="16"/>
      <c r="I10" s="16"/>
    </row>
    <row r="11" spans="1:9" ht="13.15">
      <c r="A11" s="16"/>
      <c r="B11" s="16"/>
      <c r="C11" s="16"/>
      <c r="D11" s="16"/>
      <c r="E11" s="16"/>
      <c r="F11" s="16"/>
      <c r="G11" s="16"/>
      <c r="H11" s="16"/>
      <c r="I11" s="16"/>
    </row>
    <row r="12" spans="1:9" ht="13.15">
      <c r="A12" s="16"/>
      <c r="B12" s="16"/>
      <c r="C12" s="16"/>
      <c r="D12" s="16"/>
      <c r="E12" s="16"/>
      <c r="F12" s="16"/>
      <c r="G12" s="16"/>
      <c r="H12" s="16"/>
      <c r="I12" s="16"/>
    </row>
    <row r="13" spans="1:9" ht="13.15">
      <c r="A13" s="16"/>
      <c r="B13" s="16"/>
      <c r="C13" s="16"/>
      <c r="D13" s="16"/>
      <c r="E13" s="16"/>
      <c r="F13" s="16"/>
      <c r="G13" s="16"/>
      <c r="H13" s="16"/>
      <c r="I13" s="16"/>
    </row>
    <row r="14" spans="1:9" ht="13.15">
      <c r="A14" s="16"/>
      <c r="B14" s="16"/>
      <c r="C14" s="16"/>
      <c r="D14" s="16"/>
      <c r="E14" s="16"/>
      <c r="F14" s="16"/>
      <c r="G14" s="16"/>
      <c r="H14" s="16"/>
      <c r="I14" s="16"/>
    </row>
    <row r="15" spans="1:9" ht="13.15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13.15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13.15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13.15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13.15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13.15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15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15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15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15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15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15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15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15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15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15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15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15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15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15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15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15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15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15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15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15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15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15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15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15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15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15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15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15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15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15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15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15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15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15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15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15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15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15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15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15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15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15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15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15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15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15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15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15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15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15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15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15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15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15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15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15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15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15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15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15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15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15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15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15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15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15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15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15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15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15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15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15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15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15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15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15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15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15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15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15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15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15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15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15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15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15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15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15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15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15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15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15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15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15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15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15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15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15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15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15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15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15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15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15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15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15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15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15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15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15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15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15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15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15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15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15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15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15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15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15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15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15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15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15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15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15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15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15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15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15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15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15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15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15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15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15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15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15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15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15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15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15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15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15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15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15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15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15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15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15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15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15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15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15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15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15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15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15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15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15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15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15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15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15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15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15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15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15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15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15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15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15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15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15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15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15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15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15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15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15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15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15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15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15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15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15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15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15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15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15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15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15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15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15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15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15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15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15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15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15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15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15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15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15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15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15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15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15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15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15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15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15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15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15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15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15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15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15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15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15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15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15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15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15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15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15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15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15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15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15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15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15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15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15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15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15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15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15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15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15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15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15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15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15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15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15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15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15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15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15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15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15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15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15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15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15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15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15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15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15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15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15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15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15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15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15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15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15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15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15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15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15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15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15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15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15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15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15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15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15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15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15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15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15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15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15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15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15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15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15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15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15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15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15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15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15">
      <c r="A316" s="16"/>
      <c r="B316" s="16"/>
      <c r="C316" s="16"/>
      <c r="D316" s="16"/>
      <c r="E316" s="16"/>
      <c r="F316" s="17"/>
      <c r="G316" s="16"/>
      <c r="H316" s="16"/>
      <c r="I316" s="17"/>
    </row>
    <row r="317" spans="1:9" ht="13.15">
      <c r="A317" s="16"/>
      <c r="B317" s="16"/>
      <c r="C317" s="16"/>
      <c r="D317" s="16"/>
      <c r="E317" s="16"/>
      <c r="F317" s="17"/>
      <c r="G317" s="16"/>
      <c r="H317" s="16"/>
      <c r="I317" s="17"/>
    </row>
    <row r="318" spans="1:9" ht="13.15">
      <c r="A318" s="16"/>
      <c r="B318" s="16"/>
      <c r="C318" s="16"/>
      <c r="D318" s="16"/>
      <c r="E318" s="16"/>
      <c r="F318" s="17"/>
      <c r="G318" s="16"/>
      <c r="H318" s="16"/>
      <c r="I318" s="17"/>
    </row>
    <row r="319" spans="1:9" ht="13.15">
      <c r="A319" s="16"/>
      <c r="B319" s="16"/>
      <c r="C319" s="16"/>
      <c r="D319" s="16"/>
      <c r="E319" s="16"/>
      <c r="F319" s="17"/>
      <c r="G319" s="16"/>
      <c r="H319" s="16"/>
      <c r="I319" s="17"/>
    </row>
    <row r="320" spans="1:9" ht="13.15">
      <c r="A320" s="16"/>
      <c r="B320" s="16"/>
      <c r="C320" s="16"/>
      <c r="D320" s="16"/>
      <c r="E320" s="16"/>
      <c r="F320" s="17"/>
      <c r="G320" s="16"/>
      <c r="H320" s="16"/>
      <c r="I320" s="17"/>
    </row>
    <row r="321" spans="1:9" ht="13.15">
      <c r="A321" s="16"/>
      <c r="B321" s="16"/>
      <c r="C321" s="16"/>
      <c r="D321" s="16"/>
      <c r="E321" s="16"/>
      <c r="F321" s="17"/>
      <c r="G321" s="16"/>
      <c r="H321" s="16"/>
      <c r="I321" s="17"/>
    </row>
    <row r="322" spans="1:9" ht="13.15">
      <c r="A322" s="16"/>
      <c r="B322" s="16"/>
      <c r="C322" s="16"/>
      <c r="D322" s="16"/>
      <c r="E322" s="16"/>
      <c r="F322" s="17"/>
      <c r="G322" s="16"/>
      <c r="H322" s="16"/>
      <c r="I322" s="17"/>
    </row>
    <row r="323" spans="1:9" ht="13.15">
      <c r="A323" s="16"/>
      <c r="B323" s="16"/>
      <c r="C323" s="16"/>
      <c r="D323" s="16"/>
      <c r="E323" s="16"/>
      <c r="F323" s="17"/>
      <c r="G323" s="16"/>
      <c r="H323" s="16"/>
      <c r="I323" s="17"/>
    </row>
    <row r="324" spans="1:9" ht="13.15">
      <c r="A324" s="16"/>
      <c r="B324" s="16"/>
      <c r="C324" s="16"/>
      <c r="D324" s="16"/>
      <c r="E324" s="16"/>
      <c r="F324" s="17"/>
      <c r="G324" s="16"/>
      <c r="H324" s="16"/>
      <c r="I324" s="17"/>
    </row>
    <row r="325" spans="1:9" ht="13.15">
      <c r="A325" s="16"/>
      <c r="B325" s="16"/>
      <c r="C325" s="16"/>
      <c r="D325" s="16"/>
      <c r="E325" s="16"/>
      <c r="F325" s="17"/>
      <c r="G325" s="16"/>
      <c r="H325" s="16"/>
      <c r="I325" s="17"/>
    </row>
    <row r="326" spans="1:9" ht="13.15">
      <c r="A326" s="16"/>
      <c r="B326" s="16"/>
      <c r="C326" s="16"/>
      <c r="D326" s="16"/>
      <c r="E326" s="16"/>
      <c r="F326" s="17"/>
      <c r="G326" s="16"/>
      <c r="H326" s="16"/>
      <c r="I326" s="17"/>
    </row>
    <row r="327" spans="1:9" ht="13.15">
      <c r="A327" s="16"/>
      <c r="B327" s="16"/>
      <c r="C327" s="16"/>
      <c r="D327" s="16"/>
      <c r="E327" s="16"/>
      <c r="F327" s="17"/>
      <c r="G327" s="16"/>
      <c r="H327" s="16"/>
      <c r="I327" s="17"/>
    </row>
    <row r="328" spans="1:9" ht="13.15">
      <c r="A328" s="16"/>
      <c r="B328" s="16"/>
      <c r="C328" s="16"/>
      <c r="D328" s="16"/>
      <c r="E328" s="16"/>
      <c r="F328" s="17"/>
      <c r="G328" s="16"/>
      <c r="H328" s="16"/>
      <c r="I328" s="17"/>
    </row>
    <row r="329" spans="1:9" ht="13.15">
      <c r="A329" s="16"/>
      <c r="B329" s="16"/>
      <c r="C329" s="16"/>
      <c r="D329" s="16"/>
      <c r="E329" s="16"/>
      <c r="F329" s="17"/>
      <c r="G329" s="16"/>
      <c r="H329" s="16"/>
      <c r="I329" s="17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H16" sqref="H16"/>
      <selection pane="bottomLeft" activeCell="A12" sqref="A12"/>
      <selection pane="topRight" activeCell="A12" sqref="A12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18</v>
      </c>
      <c r="E1" s="38"/>
      <c r="F1" s="38"/>
      <c r="G1" s="36" t="s">
        <v>19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SUM(C4:C78)</f>
        <v>17762</v>
      </c>
      <c r="D2" s="6">
        <f>SUM(D4:D78)</f>
        <v>0</v>
      </c>
      <c r="E2" s="6">
        <f>C2-D2</f>
        <v>17762</v>
      </c>
      <c r="F2" s="7">
        <f>IFERROR(E2/D2, 0)</f>
        <v>0</v>
      </c>
      <c r="G2" s="6">
        <f>SUM(G4:G78)</f>
        <v>0</v>
      </c>
      <c r="H2" s="8">
        <f>C2-G2</f>
        <v>17762</v>
      </c>
      <c r="I2" s="7">
        <f>IFERROR(H2/G2, 0)</f>
        <v>0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2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17762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4.2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2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2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2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2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2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2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2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2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</sheetData>
  <mergeCells count="4">
    <mergeCell ref="D1:F1"/>
    <mergeCell ref="A1:C1"/>
    <mergeCell ref="G1:I1"/>
    <mergeCell ref="A2:B2"/>
  </mergeCells>
  <conditionalFormatting sqref="F2 I2 F4:F78 I4:I78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9"/>
  <sheetViews>
    <sheetView workbookViewId="0">
      <pane xSplit="2" ySplit="3" topLeftCell="C4" activePane="bottomRight" state="frozen"/>
      <selection pane="bottomRight" activeCell="G4" sqref="G4"/>
      <selection pane="bottomLeft" activeCell="A12" sqref="A12"/>
      <selection pane="topRight" activeCell="A12" sqref="A12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23</v>
      </c>
      <c r="E1" s="38"/>
      <c r="F1" s="38"/>
      <c r="G1" s="36" t="s">
        <v>24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19494</v>
      </c>
      <c r="D2" s="6">
        <f>SUM(D4:D87)</f>
        <v>0</v>
      </c>
      <c r="E2" s="6">
        <f>C2-D2</f>
        <v>19494</v>
      </c>
      <c r="F2" s="7">
        <f>IFERROR(E2/D2, 0)</f>
        <v>0</v>
      </c>
      <c r="G2" s="6">
        <f>SUM(G4:G87)</f>
        <v>0</v>
      </c>
      <c r="H2" s="8">
        <f>C2-G2</f>
        <v>19494</v>
      </c>
      <c r="I2" s="7">
        <f>IFERROR(H2/G2, 0)</f>
        <v>0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19494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9"/>
  <sheetViews>
    <sheetView zoomScale="80" zoomScaleNormal="80" workbookViewId="0">
      <pane xSplit="2" ySplit="3" topLeftCell="C4" activePane="bottomRight" state="frozen"/>
      <selection pane="bottomRight" activeCell="F10" sqref="F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25</v>
      </c>
      <c r="E1" s="38"/>
      <c r="F1" s="38"/>
      <c r="G1" s="36" t="s">
        <v>26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27971</v>
      </c>
      <c r="D2" s="6">
        <f>SUM(D4:D87)</f>
        <v>0</v>
      </c>
      <c r="E2" s="6">
        <f>C2-D2</f>
        <v>27971</v>
      </c>
      <c r="F2" s="7">
        <f>IFERROR(E2/D2, 0)</f>
        <v>0</v>
      </c>
      <c r="G2" s="6">
        <f>SUM(G4:G87)</f>
        <v>0</v>
      </c>
      <c r="H2" s="8">
        <f>C2-G2</f>
        <v>27971</v>
      </c>
      <c r="I2" s="7">
        <f>IFERROR(H2/G2, 0)</f>
        <v>0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27971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9"/>
  <sheetViews>
    <sheetView zoomScale="90" zoomScaleNormal="90" workbookViewId="0">
      <pane xSplit="2" ySplit="3" topLeftCell="C4" activePane="bottomRight" state="frozen"/>
      <selection pane="bottomRight" activeCell="H16" sqref="H16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27</v>
      </c>
      <c r="E1" s="38"/>
      <c r="F1" s="38"/>
      <c r="G1" s="36" t="s">
        <v>28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29339</v>
      </c>
      <c r="D2" s="6">
        <f>SUM(D4:D87)</f>
        <v>0</v>
      </c>
      <c r="E2" s="6">
        <f>C2-D2</f>
        <v>29339</v>
      </c>
      <c r="F2" s="7">
        <f>IFERROR(E2/D2, 0)</f>
        <v>0</v>
      </c>
      <c r="G2" s="6">
        <f>SUM(G4:G87)</f>
        <v>0</v>
      </c>
      <c r="H2" s="8">
        <f>C2-G2</f>
        <v>29339</v>
      </c>
      <c r="I2" s="7">
        <f>IFERROR(H2/G2, 0)</f>
        <v>0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29339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9"/>
  <sheetViews>
    <sheetView workbookViewId="0">
      <pane xSplit="2" ySplit="3" topLeftCell="C4" activePane="bottomRight" state="frozen"/>
      <selection pane="bottomRight" activeCell="E17" sqref="E17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29</v>
      </c>
      <c r="E1" s="38"/>
      <c r="F1" s="38"/>
      <c r="G1" s="36" t="s">
        <v>30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31999</v>
      </c>
      <c r="D2" s="6">
        <f>SUM(D4:D87)</f>
        <v>0</v>
      </c>
      <c r="E2" s="6">
        <f>C2-D2</f>
        <v>31999</v>
      </c>
      <c r="F2" s="7">
        <f>IFERROR(E2/D2, 0)</f>
        <v>0</v>
      </c>
      <c r="G2" s="6">
        <f>SUM(G4:G87)</f>
        <v>0</v>
      </c>
      <c r="H2" s="8">
        <f>C2-G2</f>
        <v>31999</v>
      </c>
      <c r="I2" s="7">
        <f>IFERROR(H2/G2, 0)</f>
        <v>0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31999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9"/>
  <sheetViews>
    <sheetView tabSelected="1" workbookViewId="0">
      <pane xSplit="2" ySplit="3" topLeftCell="C4" activePane="bottomRight" state="frozen"/>
      <selection pane="bottomRight" activeCell="E11" sqref="E11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31</v>
      </c>
      <c r="E1" s="38"/>
      <c r="F1" s="38"/>
      <c r="G1" s="36" t="s">
        <v>32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27701</v>
      </c>
      <c r="D2" s="6">
        <f>SUM(D4:D87)</f>
        <v>0</v>
      </c>
      <c r="E2" s="6">
        <f>C2-D2</f>
        <v>27701</v>
      </c>
      <c r="F2" s="7">
        <f>IFERROR(E2/D2, 0)</f>
        <v>0</v>
      </c>
      <c r="G2" s="6">
        <f>SUM(G4:G87)</f>
        <v>0</v>
      </c>
      <c r="H2" s="8">
        <f>C2-G2</f>
        <v>27701</v>
      </c>
      <c r="I2" s="7">
        <f>IFERROR(H2/G2, 0)</f>
        <v>0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>
        <v>27701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35" t="s">
        <v>22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9"/>
  <sheetViews>
    <sheetView workbookViewId="0">
      <pane xSplit="2" ySplit="3" topLeftCell="C4" activePane="bottomRight" state="frozen"/>
      <selection pane="bottomRight" activeCell="C9" sqref="C9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33</v>
      </c>
      <c r="E1" s="38"/>
      <c r="F1" s="38"/>
      <c r="G1" s="36" t="s">
        <v>34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9"/>
  <sheetViews>
    <sheetView workbookViewId="0">
      <pane xSplit="2" ySplit="3" topLeftCell="C4" activePane="bottomRight" state="frozen"/>
      <selection pane="bottomRight" activeCell="C9" sqref="C9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35</v>
      </c>
      <c r="E1" s="38"/>
      <c r="F1" s="38"/>
      <c r="G1" s="36" t="s">
        <v>36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D9" sqref="D9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37</v>
      </c>
      <c r="E1" s="38"/>
      <c r="F1" s="38"/>
      <c r="G1" s="36" t="s">
        <v>38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9"/>
  <sheetViews>
    <sheetView workbookViewId="0">
      <pane xSplit="2" ySplit="3" topLeftCell="C4" activePane="bottomRight" state="frozen"/>
      <selection pane="bottomRight" activeCell="C8" sqref="C8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39</v>
      </c>
      <c r="E1" s="38"/>
      <c r="F1" s="38"/>
      <c r="G1" s="36" t="s">
        <v>40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9"/>
  <sheetViews>
    <sheetView workbookViewId="0">
      <pane xSplit="2" ySplit="3" topLeftCell="C4" activePane="bottomRight" state="frozen"/>
      <selection pane="bottomRight" activeCell="D10" sqref="D10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41</v>
      </c>
      <c r="E1" s="38"/>
      <c r="F1" s="38"/>
      <c r="G1" s="36" t="s">
        <v>42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9"/>
  <sheetViews>
    <sheetView workbookViewId="0">
      <pane xSplit="2" ySplit="3" topLeftCell="C4" activePane="bottomRight" state="frozen"/>
      <selection pane="bottomRight" activeCell="F13" sqref="F13"/>
      <selection pane="bottomLeft" activeCell="A10" sqref="A10"/>
      <selection pane="topRight" activeCell="A10" sqref="A10"/>
    </sheetView>
  </sheetViews>
  <sheetFormatPr defaultRowHeight="13.5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7" t="str" cm="1">
        <f t="array" ref="A1">portfolio</f>
        <v>Hutchinson</v>
      </c>
      <c r="B1" s="37"/>
      <c r="C1" s="37"/>
      <c r="D1" s="38" t="s">
        <v>43</v>
      </c>
      <c r="E1" s="38"/>
      <c r="F1" s="38"/>
      <c r="G1" s="36" t="s">
        <v>44</v>
      </c>
      <c r="H1" s="36"/>
      <c r="I1" s="36"/>
      <c r="J1" s="5"/>
      <c r="K1" s="5"/>
    </row>
    <row r="2" spans="1:11" ht="19.5" customHeight="1">
      <c r="A2" s="39" t="s">
        <v>2</v>
      </c>
      <c r="B2" s="39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MN: Hutchinson Landfill</v>
      </c>
      <c r="B4" s="23" t="str" cm="1">
        <f t="array" ref="B4">Sites[State]</f>
        <v>MN</v>
      </c>
      <c r="C4" s="19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3"/>
      <c r="K4" s="33"/>
    </row>
    <row r="5" spans="1:11" ht="12.75" customHeight="1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2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25">
      <c r="A7" s="16"/>
      <c r="B7" s="25"/>
      <c r="C7" s="16"/>
      <c r="D7" s="16"/>
      <c r="E7" s="16"/>
      <c r="F7" s="16"/>
      <c r="G7" s="16"/>
      <c r="H7" s="16"/>
      <c r="I7" s="16"/>
      <c r="J7" s="16"/>
      <c r="K7" s="16"/>
    </row>
    <row r="8" spans="1:11" ht="14.25">
      <c r="A8" s="16"/>
      <c r="B8" s="25"/>
      <c r="C8" s="16"/>
      <c r="D8" s="16"/>
      <c r="E8" s="16"/>
      <c r="F8" s="16"/>
      <c r="G8" s="16"/>
      <c r="H8" s="16"/>
      <c r="I8" s="16"/>
      <c r="J8" s="16"/>
      <c r="K8" s="16"/>
    </row>
    <row r="9" spans="1:11" ht="14.25">
      <c r="A9" s="16"/>
      <c r="B9" s="25"/>
      <c r="C9" s="16"/>
      <c r="D9" s="16"/>
      <c r="E9" s="16"/>
      <c r="F9" s="16"/>
      <c r="G9" s="16"/>
      <c r="H9" s="16"/>
      <c r="I9" s="16"/>
      <c r="J9" s="16"/>
      <c r="K9" s="16"/>
    </row>
    <row r="10" spans="1:11" ht="14.25">
      <c r="A10" s="16"/>
      <c r="B10" s="25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4.25">
      <c r="A11" s="16"/>
      <c r="B11" s="25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4.25">
      <c r="A12" s="16"/>
      <c r="B12" s="25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4.25">
      <c r="A13" s="16"/>
      <c r="B13" s="25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4.25">
      <c r="A14" s="16"/>
      <c r="B14" s="25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4.25">
      <c r="A15" s="16"/>
      <c r="B15" s="25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25">
      <c r="A16" s="16"/>
      <c r="B16" s="25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4.25">
      <c r="A17" s="16"/>
      <c r="B17" s="25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4.25">
      <c r="A18" s="16"/>
      <c r="B18" s="25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4.25">
      <c r="A19" s="16"/>
      <c r="B19" s="25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4.2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2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2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2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2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2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2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2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2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2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2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2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2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2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2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2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2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2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2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2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2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2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2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2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2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2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2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2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2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2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2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2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2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2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2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2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2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2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2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2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2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2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2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2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2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2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2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2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2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2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2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2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2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2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2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2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2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2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2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2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2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2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2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2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2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2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2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2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2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2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2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2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2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2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2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2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2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2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2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2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2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2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2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2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2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2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2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2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2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2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2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2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2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2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2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2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2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2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2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2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2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2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2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2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2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2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2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2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2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2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2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2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2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2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2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2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2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2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2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2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2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2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2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2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2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2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2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2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2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2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2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2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2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2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2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2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2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2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2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2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2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2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2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2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2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2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2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2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2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2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2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2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2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2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2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2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2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2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2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2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2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2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2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2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2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2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2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2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2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2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2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2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2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2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2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2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2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2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2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2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2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2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2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2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2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2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2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2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2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2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2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2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2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2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2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2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2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2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2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2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2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2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2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2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2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2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2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2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2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2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2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2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2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2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2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2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2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2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2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2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2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2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2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2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2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2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2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2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2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2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2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2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2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2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2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2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2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2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2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2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2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2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2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2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2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2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2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2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2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2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2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2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2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2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2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2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2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2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2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2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2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2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2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2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2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2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2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2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2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2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2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2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2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2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2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2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2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2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2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2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2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2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2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2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2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2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2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2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2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2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2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2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2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2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2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2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25">
      <c r="A316" s="16"/>
      <c r="B316" s="25"/>
      <c r="C316" s="16"/>
      <c r="D316" s="16"/>
      <c r="E316" s="16"/>
      <c r="F316" s="17"/>
      <c r="G316" s="16"/>
      <c r="H316" s="16"/>
      <c r="I316" s="17"/>
      <c r="J316" s="16"/>
      <c r="K316" s="16"/>
    </row>
    <row r="317" spans="1:11" ht="14.25">
      <c r="A317" s="16"/>
      <c r="B317" s="25"/>
      <c r="C317" s="16"/>
      <c r="D317" s="16"/>
      <c r="E317" s="16"/>
      <c r="F317" s="17"/>
      <c r="G317" s="16"/>
      <c r="H317" s="16"/>
      <c r="I317" s="17"/>
      <c r="J317" s="16"/>
      <c r="K317" s="16"/>
    </row>
    <row r="318" spans="1:11" ht="14.25">
      <c r="A318" s="16"/>
      <c r="B318" s="25"/>
      <c r="C318" s="16"/>
      <c r="D318" s="16"/>
      <c r="E318" s="16"/>
      <c r="F318" s="17"/>
      <c r="G318" s="16"/>
      <c r="H318" s="16"/>
      <c r="I318" s="17"/>
      <c r="J318" s="16"/>
      <c r="K318" s="16"/>
    </row>
    <row r="319" spans="1:11" ht="14.25">
      <c r="A319" s="16"/>
      <c r="B319" s="25"/>
      <c r="C319" s="16"/>
      <c r="D319" s="16"/>
      <c r="E319" s="16"/>
      <c r="F319" s="17"/>
      <c r="G319" s="16"/>
      <c r="H319" s="16"/>
      <c r="I319" s="17"/>
      <c r="J319" s="16"/>
      <c r="K319" s="16"/>
    </row>
    <row r="320" spans="1:11" ht="14.25">
      <c r="A320" s="16"/>
      <c r="B320" s="25"/>
      <c r="C320" s="16"/>
      <c r="D320" s="16"/>
      <c r="E320" s="16"/>
      <c r="F320" s="17"/>
      <c r="G320" s="16"/>
      <c r="H320" s="16"/>
      <c r="I320" s="17"/>
      <c r="J320" s="16"/>
      <c r="K320" s="16"/>
    </row>
    <row r="321" spans="1:11" ht="14.25">
      <c r="A321" s="16"/>
      <c r="B321" s="25"/>
      <c r="C321" s="16"/>
      <c r="D321" s="16"/>
      <c r="E321" s="16"/>
      <c r="F321" s="17"/>
      <c r="G321" s="16"/>
      <c r="H321" s="16"/>
      <c r="I321" s="17"/>
      <c r="J321" s="16"/>
      <c r="K321" s="16"/>
    </row>
    <row r="322" spans="1:11" ht="14.25">
      <c r="A322" s="16"/>
      <c r="B322" s="25"/>
      <c r="C322" s="16"/>
      <c r="D322" s="16"/>
      <c r="E322" s="16"/>
      <c r="F322" s="17"/>
      <c r="G322" s="16"/>
      <c r="H322" s="16"/>
      <c r="I322" s="17"/>
      <c r="J322" s="16"/>
      <c r="K322" s="16"/>
    </row>
    <row r="323" spans="1:11" ht="14.25">
      <c r="A323" s="16"/>
      <c r="B323" s="25"/>
      <c r="C323" s="16"/>
      <c r="D323" s="16"/>
      <c r="E323" s="16"/>
      <c r="F323" s="17"/>
      <c r="G323" s="16"/>
      <c r="H323" s="16"/>
      <c r="I323" s="17"/>
      <c r="J323" s="16"/>
      <c r="K323" s="16"/>
    </row>
    <row r="324" spans="1:11" ht="14.25">
      <c r="A324" s="16"/>
      <c r="B324" s="25"/>
      <c r="C324" s="16"/>
      <c r="D324" s="16"/>
      <c r="E324" s="16"/>
      <c r="F324" s="17"/>
      <c r="G324" s="16"/>
      <c r="H324" s="16"/>
      <c r="I324" s="17"/>
      <c r="J324" s="16"/>
      <c r="K324" s="16"/>
    </row>
    <row r="325" spans="1:11" ht="14.25">
      <c r="A325" s="16"/>
      <c r="B325" s="25"/>
      <c r="C325" s="16"/>
      <c r="D325" s="16"/>
      <c r="E325" s="16"/>
      <c r="F325" s="17"/>
      <c r="G325" s="16"/>
      <c r="H325" s="16"/>
      <c r="I325" s="17"/>
      <c r="J325" s="16"/>
      <c r="K325" s="16"/>
    </row>
    <row r="326" spans="1:11" ht="14.25">
      <c r="A326" s="16"/>
      <c r="B326" s="25"/>
      <c r="C326" s="16"/>
      <c r="D326" s="16"/>
      <c r="E326" s="16"/>
      <c r="F326" s="17"/>
      <c r="G326" s="16"/>
      <c r="H326" s="16"/>
      <c r="I326" s="17"/>
      <c r="J326" s="16"/>
      <c r="K326" s="16"/>
    </row>
    <row r="327" spans="1:11" ht="14.25">
      <c r="A327" s="16"/>
      <c r="B327" s="25"/>
      <c r="C327" s="16"/>
      <c r="D327" s="16"/>
      <c r="E327" s="16"/>
      <c r="F327" s="17"/>
      <c r="G327" s="16"/>
      <c r="H327" s="16"/>
      <c r="I327" s="17"/>
      <c r="J327" s="16"/>
      <c r="K327" s="16"/>
    </row>
    <row r="328" spans="1:11" ht="14.25">
      <c r="A328" s="16"/>
      <c r="B328" s="25"/>
      <c r="C328" s="16"/>
      <c r="D328" s="16"/>
      <c r="E328" s="16"/>
      <c r="F328" s="17"/>
      <c r="G328" s="16"/>
      <c r="H328" s="16"/>
      <c r="I328" s="17"/>
      <c r="J328" s="16"/>
      <c r="K328" s="16"/>
    </row>
    <row r="329" spans="1:11" ht="13.9">
      <c r="C329" s="16"/>
      <c r="D329" s="16"/>
      <c r="E329" s="16"/>
      <c r="F329" s="17"/>
      <c r="G329" s="16"/>
      <c r="H329" s="16"/>
      <c r="I329" s="17"/>
      <c r="J329" s="16"/>
      <c r="K329" s="16"/>
    </row>
  </sheetData>
  <mergeCells count="4">
    <mergeCell ref="G1:I1"/>
    <mergeCell ref="A1:C1"/>
    <mergeCell ref="D1:F1"/>
    <mergeCell ref="A2:B2"/>
  </mergeCells>
  <conditionalFormatting sqref="F2 I2 F4:F87 I4:I8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2" sqref="E1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s="34" t="s">
        <v>46</v>
      </c>
    </row>
    <row r="3" spans="1:7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25">
      <c r="A4" s="3" t="s">
        <v>50</v>
      </c>
      <c r="B4" t="s">
        <v>51</v>
      </c>
      <c r="C4" s="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B903E73F-4EDB-4429-95FE-DC1830EAD404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F6B2B1A1-1C4B-4AC9-9A7D-7A102DD1C9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2025-07-10T09:37:47Z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2025-01-13T20:37:56Z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974c0add-e563-4c82-a7d0-99ccb6d11960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