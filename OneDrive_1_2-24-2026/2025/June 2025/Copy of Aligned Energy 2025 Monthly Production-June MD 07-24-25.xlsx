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June 2025/"/>
    </mc:Choice>
  </mc:AlternateContent>
  <xr:revisionPtr revIDLastSave="40" documentId="8_{FEB3AE88-2381-44E9-A317-C0681B63EA44}" xr6:coauthVersionLast="47" xr6:coauthVersionMax="47" xr10:uidLastSave="{0361677C-F47D-48BB-9973-1DD4AA30ACD6}"/>
  <bookViews>
    <workbookView xWindow="-105" yWindow="0" windowWidth="26010" windowHeight="20985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0" l="1"/>
  <c r="I11" i="20" s="1"/>
  <c r="E11" i="20"/>
  <c r="F11" i="20"/>
  <c r="F8" i="34" l="1"/>
  <c r="F9" i="34"/>
  <c r="F10" i="34"/>
  <c r="C4" i="34"/>
  <c r="E8" i="34"/>
  <c r="E9" i="34"/>
  <c r="E10" i="34"/>
  <c r="E5" i="34"/>
  <c r="E6" i="34"/>
  <c r="E7" i="34"/>
  <c r="D5" i="34"/>
  <c r="D6" i="34"/>
  <c r="D7" i="34"/>
  <c r="D8" i="34"/>
  <c r="D9" i="34"/>
  <c r="D10" i="34"/>
  <c r="C5" i="34"/>
  <c r="C6" i="34"/>
  <c r="C7" i="34"/>
  <c r="C8" i="34"/>
  <c r="C9" i="34"/>
  <c r="C10" i="34"/>
  <c r="I8" i="1"/>
  <c r="I9" i="1"/>
  <c r="I10" i="1"/>
  <c r="I11" i="1"/>
  <c r="H8" i="1"/>
  <c r="H9" i="1"/>
  <c r="H10" i="1"/>
  <c r="H11" i="1"/>
  <c r="G8" i="1"/>
  <c r="G9" i="1"/>
  <c r="G10" i="1"/>
  <c r="G11" i="1"/>
  <c r="E8" i="1"/>
  <c r="F8" i="1" s="1"/>
  <c r="E9" i="1"/>
  <c r="F9" i="1" s="1"/>
  <c r="E10" i="1"/>
  <c r="F10" i="1" s="1"/>
  <c r="E11" i="1"/>
  <c r="F11" i="1" s="1"/>
  <c r="D8" i="1"/>
  <c r="D9" i="1"/>
  <c r="D10" i="1"/>
  <c r="D11" i="1"/>
  <c r="C8" i="1"/>
  <c r="C9" i="1"/>
  <c r="C10" i="1"/>
  <c r="C11" i="1"/>
  <c r="I8" i="29"/>
  <c r="I9" i="29"/>
  <c r="I10" i="29"/>
  <c r="I11" i="29"/>
  <c r="H8" i="29"/>
  <c r="H9" i="29"/>
  <c r="H10" i="29"/>
  <c r="H11" i="29"/>
  <c r="G8" i="29"/>
  <c r="G9" i="29"/>
  <c r="G10" i="29"/>
  <c r="G11" i="29"/>
  <c r="E11" i="29"/>
  <c r="F11" i="29"/>
  <c r="E8" i="29"/>
  <c r="F8" i="29" s="1"/>
  <c r="E9" i="29"/>
  <c r="F9" i="29" s="1"/>
  <c r="E10" i="29"/>
  <c r="F10" i="29" s="1"/>
  <c r="D8" i="29"/>
  <c r="D9" i="29"/>
  <c r="D10" i="29"/>
  <c r="D11" i="29"/>
  <c r="C8" i="29"/>
  <c r="C9" i="29"/>
  <c r="C10" i="29"/>
  <c r="H11" i="18"/>
  <c r="I11" i="18" s="1"/>
  <c r="G8" i="18"/>
  <c r="G8" i="34" s="1"/>
  <c r="G9" i="18"/>
  <c r="G9" i="34" s="1"/>
  <c r="G10" i="18"/>
  <c r="G10" i="34" s="1"/>
  <c r="G11" i="18"/>
  <c r="G11" i="34" s="1"/>
  <c r="E8" i="18"/>
  <c r="F8" i="18" s="1"/>
  <c r="E9" i="18"/>
  <c r="F9" i="18" s="1"/>
  <c r="E10" i="18"/>
  <c r="F10" i="18" s="1"/>
  <c r="D8" i="18"/>
  <c r="D9" i="18"/>
  <c r="D10" i="18"/>
  <c r="D11" i="18"/>
  <c r="D11" i="34" s="1"/>
  <c r="C8" i="18"/>
  <c r="C9" i="18"/>
  <c r="C10" i="18"/>
  <c r="C11" i="18"/>
  <c r="H8" i="19"/>
  <c r="I8" i="19" s="1"/>
  <c r="H9" i="19"/>
  <c r="I9" i="19" s="1"/>
  <c r="H10" i="19"/>
  <c r="I10" i="19" s="1"/>
  <c r="H11" i="19"/>
  <c r="I11" i="19" s="1"/>
  <c r="E8" i="19"/>
  <c r="F8" i="19" s="1"/>
  <c r="E9" i="19"/>
  <c r="F9" i="19" s="1"/>
  <c r="E10" i="19"/>
  <c r="F10" i="19" s="1"/>
  <c r="E11" i="19"/>
  <c r="F11" i="19" s="1"/>
  <c r="E8" i="20"/>
  <c r="F8" i="20"/>
  <c r="H8" i="20"/>
  <c r="I8" i="20"/>
  <c r="E9" i="20"/>
  <c r="F9" i="20"/>
  <c r="H9" i="20"/>
  <c r="I9" i="20"/>
  <c r="E10" i="20"/>
  <c r="F10" i="20"/>
  <c r="H10" i="20"/>
  <c r="I10" i="20" s="1"/>
  <c r="A4" i="21" a="1"/>
  <c r="A4" i="21" s="1"/>
  <c r="H10" i="21"/>
  <c r="H6" i="21"/>
  <c r="I6" i="21" s="1"/>
  <c r="H7" i="21"/>
  <c r="I7" i="21" s="1"/>
  <c r="H8" i="21"/>
  <c r="H8" i="18" s="1"/>
  <c r="H9" i="21"/>
  <c r="I9" i="21" s="1"/>
  <c r="I10" i="21"/>
  <c r="F8" i="21"/>
  <c r="E8" i="21"/>
  <c r="E9" i="21"/>
  <c r="F9" i="21" s="1"/>
  <c r="E10" i="21"/>
  <c r="F10" i="21" s="1"/>
  <c r="F5" i="3"/>
  <c r="F6" i="3"/>
  <c r="F7" i="3"/>
  <c r="H5" i="3"/>
  <c r="I5" i="3" s="1"/>
  <c r="G6" i="30"/>
  <c r="G7" i="30"/>
  <c r="G5" i="30"/>
  <c r="G4" i="30"/>
  <c r="G4" i="29"/>
  <c r="G5" i="29"/>
  <c r="G6" i="29"/>
  <c r="G7" i="29"/>
  <c r="G5" i="18"/>
  <c r="G6" i="18"/>
  <c r="G7" i="18"/>
  <c r="G4" i="18"/>
  <c r="H6" i="3"/>
  <c r="I6" i="3" s="1"/>
  <c r="H7" i="3"/>
  <c r="I7" i="3" s="1"/>
  <c r="H10" i="18" l="1"/>
  <c r="H11" i="34"/>
  <c r="I11" i="34" s="1"/>
  <c r="E11" i="18"/>
  <c r="F11" i="18" s="1"/>
  <c r="C11" i="34"/>
  <c r="E11" i="34" s="1"/>
  <c r="F11" i="34" s="1"/>
  <c r="I10" i="18"/>
  <c r="H10" i="34"/>
  <c r="I10" i="34" s="1"/>
  <c r="H9" i="18"/>
  <c r="H8" i="34"/>
  <c r="I8" i="34" s="1"/>
  <c r="I8" i="18"/>
  <c r="I8" i="21"/>
  <c r="E4" i="4"/>
  <c r="E4" i="72"/>
  <c r="F4" i="72" s="1"/>
  <c r="E5" i="72"/>
  <c r="F5" i="72" s="1"/>
  <c r="E6" i="72"/>
  <c r="F6" i="72" s="1"/>
  <c r="E7" i="72"/>
  <c r="F7" i="72" s="1"/>
  <c r="H9" i="34" l="1"/>
  <c r="I9" i="34" s="1"/>
  <c r="I9" i="18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E6" i="3"/>
  <c r="E7" i="3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7" i="21"/>
  <c r="F7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F5" i="34"/>
  <c r="G2" i="1"/>
  <c r="F6" i="34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H4" i="18"/>
  <c r="I4" i="18" s="1"/>
  <c r="H7" i="18"/>
  <c r="H5" i="18"/>
  <c r="I5" i="18" s="1"/>
  <c r="F7" i="34"/>
  <c r="C2" i="29"/>
  <c r="C2" i="30"/>
  <c r="E4" i="29"/>
  <c r="F4" i="29" s="1"/>
  <c r="C2" i="18"/>
  <c r="H7" i="1"/>
  <c r="I7" i="1" s="1"/>
  <c r="H4" i="1"/>
  <c r="H5" i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6" i="18" l="1"/>
  <c r="H6" i="34"/>
  <c r="I6" i="34" s="1"/>
  <c r="I5" i="1"/>
  <c r="H5" i="34"/>
  <c r="I5" i="34" s="1"/>
  <c r="I7" i="18"/>
  <c r="H7" i="34"/>
  <c r="I7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<sst xmlns="http://schemas.openxmlformats.org/spreadsheetml/2006/main" count="343" uniqueCount="134">
  <si>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</si>
  <si>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</si>
  <si>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</si>
  <si>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</si>
  <si>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</si>
  <si>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</si>
  <si>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</si>
  <si>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</si>
  <si>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</si>
  <si>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</si>
  <si>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</si>
  <si>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</si>
  <si>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</si>
  <si>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</si>
  <si>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</si>
  <si>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</si>
  <si>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</si>
  <si>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</si>
  <si>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</si>
  <si>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</si>
  <si>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</si>
  <si>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</si>
  <si>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The Site tripped offline at 10:00AM to 12:15 on 01/10 due to tech on site to work on the air break switch at the pole.
2. The site tripped offline at 01:15 AM on 01/20 due to the main breaker tripping. The site back online at 10:15 on 01/21 after resetting the SEL and main breaker.
3. Inverter 4 offline from 11/30/2024 due to Permanent fault of power module - Fault and it has been RMA'd &amp; remain offline from 12/02/2024.</t>
  </si>
  <si>
    <t>1. SR094963
2. SR095713
3.	SR093738</t>
  </si>
  <si>
    <t>1. The site tripped offline from 10:15 to 13:15 on 01/08 due to Grid Phase Voltage out of range. After being re-energized, the site is back online.</t>
  </si>
  <si>
    <t>1. SR095389</t>
  </si>
  <si>
    <t>1. Weather station experiencing seasonal shading from January to March resulting in expected energy value reporting low. Actual production is not being impacted</t>
  </si>
  <si>
    <t>1. SR099647</t>
  </si>
  <si>
    <t>1. Site generation was low due to rain/snow</t>
  </si>
  <si>
    <t>February Actual v. Expected</t>
  </si>
  <si>
    <t>February Actual v. Forecasted</t>
  </si>
  <si>
    <t>1. Inverter 4 offline from 11/30/2024 due to Permanent fault of power module - Fault and it has been RMA'd &amp; remain offline from 12/02/24.</t>
  </si>
  <si>
    <t>1.SR093738</t>
  </si>
  <si>
    <t xml:space="preserve"> </t>
  </si>
  <si>
    <t>March Actual v. Expected</t>
  </si>
  <si>
    <t>March Actual v. Forecasted</t>
  </si>
  <si>
    <t>1. Site tripped offline at 11:00 AM due to main breaker trip and back online at 15:45 on 03/07 after technician has reset the relay. 
2.Site tripped offline at 5:15 AM on 03/17 due to main breaker trip and back online at 8:15AM on 03/18 after technician reset relay.
3.Inverter 4 was offline from 11/30/2024 due to Permanent fault of power module - Fault0010 and it has been RMA'd from 12/02/24. Technician has replaced the RMA'd inverter with a new Chint inverter, bringing it back online and producing from 03/12 at 13:00.</t>
  </si>
  <si>
    <t>1.SR098258
2.SR098648
3.SR093738</t>
  </si>
  <si>
    <t>SR098648</t>
  </si>
  <si>
    <t>SR093738</t>
  </si>
  <si>
    <t>1.Site tripped offline at  5:33AM on 03/07 due to utility outage and was back online at 14:45 on 03/08 after technician has reset SEL and re-energize the site.</t>
  </si>
  <si>
    <t>1.SR098240</t>
  </si>
  <si>
    <t>April Actual v. Expected</t>
  </si>
  <si>
    <t>April Actual v. Forecasted</t>
  </si>
  <si>
    <t>1.Site tripped offline between 8:45AM to 11:45Am on 04/07 due to loss of utility power later technician reset main breaker and re-energised the site.</t>
  </si>
  <si>
    <t>1.SR099472</t>
  </si>
  <si>
    <t>1. Inverter 1.2 has tripped offline 13:30 on 04/29 due to Grid Phase Voltage Out of Range - GridV.OutLim fault. Inverter self resolved at 15:45 on the same day.</t>
  </si>
  <si>
    <t>1.SR100664</t>
  </si>
  <si>
    <t>1.Weather station is experiencing seasonal shading from 2023. Production is not being impacted but the expected energy value reporting low due to shading.</t>
  </si>
  <si>
    <t>1.SR099647</t>
  </si>
  <si>
    <t>1. Inverter 5 experienced derating of approximately 44 kW to 50 kW during peak hours on 04/19, 04/24, 04/28, and 04/29 due to an External Fan Error. The issue self-resolved on the following days.</t>
  </si>
  <si>
    <t>1.SR100020</t>
  </si>
  <si>
    <t>1.Site tripped offline from 12:15AM to 14:00 on 04/07.</t>
  </si>
  <si>
    <t>1.SR099480</t>
  </si>
  <si>
    <t>1.Inverter 1 tripped offline at 12:30 AM on 04/24 due to a "Grid Voltage &gt; Installation" fault related to a grid connection issue. It was brought back online at 4:45 PM the same day after a technician reset the breaker.
2.The weather station has been starting late on multiple days throughout the month.</t>
  </si>
  <si>
    <t>1.SR100347</t>
  </si>
  <si>
    <t>May Actual v. Expected</t>
  </si>
  <si>
    <t>May Actual v. Forecasted</t>
  </si>
  <si>
    <t>1. The site tripped offline at 08:00 on 05/12 due to a main breaker trip. A technician was on-site on 05/13 and reset the breaker. The site came back online at 16:00 on 05/13.
2. The site was taken offline from 12:53 to 13:27 on 05/16 while a technician was on-site for a preventive maintenance work.</t>
  </si>
  <si>
    <t>1. SR101376
2. PM8049</t>
  </si>
  <si>
    <t>1. The site tripped offline at 08:30 on 05/28. The technician later re-energized the site, and it came back online at 15:00 on 05/28.
2. Weather station is experiencing seasonal shading from 2023. Production is not being impacted but the expected energy value reporting low due to shading.</t>
  </si>
  <si>
    <t>1. SR102029
2. SR099647</t>
  </si>
  <si>
    <t>SR099647</t>
  </si>
  <si>
    <t>1. The site tripped offline at 08:30 on 05/28. The technician later re-energized the site, and it came back online at 15:00 on 05/28.
2. The site tripped offline at 11:45 on 05/31. The technician later re-energized the site, and it came back online at 13:45 on 05/31.
3. Inverter 5 has been experiencing derating of approximately 44 to 50 kW during peak hours due to an "External Fan Err" since 04/19. A technician was on-site on 05/19, removed the faulty fan, and installed a new RMA’d fan. The inverter has been producing in line with its peers since 15:00 on 05/19.</t>
  </si>
  <si>
    <t>1. SR102030
2. SR102218
3. SR100020</t>
  </si>
  <si>
    <t>SR102218</t>
  </si>
  <si>
    <t>SR100020</t>
  </si>
  <si>
    <t>1. Site production was low on 05/08 and 05/09 because a technician was on-site performing preventive maintenance work.</t>
  </si>
  <si>
    <t>1. PM13669</t>
  </si>
  <si>
    <t>1. Inverters 2 and 3 tripped offline at 14:15 on 05/28 due to "Waiting for grid voltage &gt; Installation failure grid connection &gt; Check grid and fuses". A technician was on-site on 05/29 and closed the inverter breakers. Both inverters came back online at 15:00 on 05/29. However, Inverter 2 tripped offline again at 10:15 on 05/30, followed by Inverter 3 at 13:30 on 05/30, both due to "Waiting for grid voltage".</t>
  </si>
  <si>
    <t>1. SR102061</t>
  </si>
  <si>
    <t>1. Inverter 1 tripped offline at 11:30 on 05/01due to "Waiting for grid voltage &gt; Installation failure grid connection &gt; Check grid and fuses". A technician was on-site on 05/01 and replaced the faulty inverter breaker with a spare one. The inverter came back online at 15:30 on 05/21.</t>
  </si>
  <si>
    <t>1. SR100825</t>
  </si>
  <si>
    <t>1. Site outage (06/24-06/25).</t>
  </si>
  <si>
    <t>1.SR103383</t>
  </si>
  <si>
    <t>June Actual v. Expected</t>
  </si>
  <si>
    <t>June Actual v. Forecasted</t>
  </si>
  <si>
    <t>1. The site tripped offline at 11:15 on 06/11 and came back online at 16:04 on the same day.
2. Inverter 2 tripped offline at 15:00 on 06/23 due to 'Grid Line Voltage Out of Range' and came back online at 10:00 on 06/24.
3. Inverter 3 tripped offline at 07:00 on 06/12 and came back online at 07:15 on 06/13.</t>
  </si>
  <si>
    <t>1. SR102825
2. SR103332
3. SR102780</t>
  </si>
  <si>
    <t>SR103332</t>
  </si>
  <si>
    <t>SR102780</t>
  </si>
  <si>
    <t>1. The site tripped offline at 13:30 on 06/20 and came back online at 12:45 on 06/21.</t>
  </si>
  <si>
    <t>1. SR103230</t>
  </si>
  <si>
    <t>1. Weather station is experiencing seasonal shading from 2023. Production is not being impacted but the expected energy value reporting low due to shading.</t>
  </si>
  <si>
    <t>1. Inverter 4 tripped offline at 14:45 on 06/05 due to 'Waiting for Grid Voltages' and came back online at 14:45 on 06/06. It tripped offline again at 11:45 on 06/08 due to 'Installation Failure - Grid Connection' and later came back online at 13:00 on 06/10. 
2. Inverter 5 tripped offline at 10:00 on 06/11 and has been offline since then.</t>
  </si>
  <si>
    <t>1. SR102549
2. SR102549, SR102969</t>
  </si>
  <si>
    <t>SR102549</t>
  </si>
  <si>
    <t>SR102969</t>
  </si>
  <si>
    <t>1. Inverter 2 was offline from 10:15 on 05/30, and Inverter 3 was offline from 13:30 on 05/30 due to 'Waiting for Grid Voltage.' Inverter 2 came back online at 13:00 on 06/20, but Inverter 3 has remained offline since then.</t>
  </si>
  <si>
    <t>1. SR102971, SR102367, SR102061</t>
  </si>
  <si>
    <t>SR102367</t>
  </si>
  <si>
    <t>SR102061</t>
  </si>
  <si>
    <t>1. The site tripped offline at 06:00 on 06/17 and came back online at 10:30 on the same day.
2. Inverter 5 tripped offline at 12:15 on 06/24 due to 'Installation Failure - Grid Connection' and came back online at 07:30 on 06/25.</t>
  </si>
  <si>
    <t>1. SR103058
2. SR103397</t>
  </si>
  <si>
    <t>SR103397</t>
  </si>
  <si>
    <t>1. The site tripped offline at 09:15 on 06/24 and came back online at 09:15 on 06/25.</t>
  </si>
  <si>
    <t>1. SR103383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</si>
  <si>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</si>
  <si>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</si>
  <si>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</si>
  <si>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</si>
  <si>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</si>
  <si>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</si>
  <si>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</si>
  <si>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</si>
  <si>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</si>
  <si>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</si>
  <si>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</si>
  <si>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</si>
  <si>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</si>
  <si>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</si>
  <si>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</si>
  <si>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</si>
  <si>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</si>
  <si>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</si>
  <si>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</si>
  <si>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</si>
  <si>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</si>
  <si>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</si>
  <si>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</si>
  <si>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</si>
  <si>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</si>
  <si>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</si>
  <si>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</si>
  <si>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</si>
  <si>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Boothbay Solar</t>
  </si>
  <si>
    <t>Boothbay - Wiscasset Road</t>
  </si>
  <si>
    <t>ME</t>
  </si>
  <si>
    <t>Thorndike Solar</t>
  </si>
  <si>
    <t>Thorndike -  Leonard Road</t>
  </si>
  <si>
    <t>Topsham Solar</t>
  </si>
  <si>
    <t>Topsham - Solarize LLC</t>
  </si>
  <si>
    <t>Cherryfield</t>
  </si>
  <si>
    <t>Cherryfield - 727 North Main St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</si>
</sst>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1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36" fillId="47" borderId="0" xfId="0" applyNumberFormat="1" applyFont="1" applyFill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horizontal="right" vertical="top"/>
    </xf>
    <xf numFmtId="0" fontId="23" fillId="46" borderId="0" xfId="0" applyFont="1" applyFill="1" applyAlignment="1">
      <alignment horizontal="center" vertical="center"/>
    </xf>
    <xf numFmtId="3" fontId="30" fillId="49" borderId="0" xfId="0" applyNumberFormat="1" applyFont="1" applyFill="1" applyAlignment="1">
      <alignment horizontal="right" vertical="center"/>
    </xf>
    <xf numFmtId="9" fontId="37" fillId="50" borderId="0" xfId="0" applyNumberFormat="1" applyFont="1" applyFill="1" applyAlignment="1">
      <alignment horizontal="center" vertical="center"/>
    </xf>
    <xf numFmtId="3" fontId="30" fillId="51" borderId="0" xfId="0" applyNumberFormat="1" applyFont="1" applyFill="1" applyAlignment="1">
      <alignment vertical="center"/>
    </xf>
    <xf numFmtId="0" fontId="30" fillId="52" borderId="0" xfId="0" applyFont="1" applyFill="1" applyAlignment="1">
      <alignment vertical="top" wrapText="1"/>
    </xf>
    <xf numFmtId="0" fontId="34" fillId="46" borderId="0" xfId="0" applyFont="1" applyFill="1" applyAlignment="1">
      <alignment horizontal="center" vertical="center"/>
    </xf>
    <xf numFmtId="0" fontId="23" fillId="0" borderId="0" xfId="0" applyFont="1" applyAlignment="1">
      <alignment vertical="top" wrapText="1"/>
    </xf>
    <xf numFmtId="3" fontId="23" fillId="48" borderId="0" xfId="0" applyNumberFormat="1" applyFont="1" applyFill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3" fontId="30" fillId="51" borderId="0" xfId="0" applyNumberFormat="1" applyFont="1" applyFill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8" fillId="52" borderId="0" xfId="45" applyFill="1" applyAlignment="1">
      <alignment vertical="top" wrapText="1"/>
    </xf>
    <xf numFmtId="49" fontId="38" fillId="38" borderId="0" xfId="45" applyNumberFormat="1" applyFill="1" applyBorder="1" applyAlignment="1">
      <alignment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2" fillId="0" borderId="0" xfId="43" applyFont="1" applyAlignment="1">
      <alignment horizontal="left" wrapText="1"/>
    </xf>
    <xf numFmtId="0" fontId="22" fillId="0" borderId="0" xfId="43" applyFont="1"/>
    <xf numFmtId="0" fontId="39" fillId="0" borderId="0" xfId="0" applyFont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34" fillId="40" borderId="0" xfId="0" applyFont="1" applyFill="1" applyAlignment="1">
      <alignment vertical="center"/>
    </xf>
    <xf numFmtId="0" fontId="0" fillId="0" borderId="0" xfId="0" applyAlignment="1">
      <alignment wrapText="1"/>
    </xf>
    <xf numFmtId="49" fontId="38" fillId="0" borderId="0" xfId="45" applyNumberFormat="1" applyAlignment="1">
      <alignment vertical="top" wrapText="1"/>
    </xf>
    <xf numFmtId="49" fontId="38" fillId="38" borderId="0" xfId="45" applyNumberFormat="1" applyFill="1" applyAlignment="1">
      <alignment vertical="top" wrapText="1"/>
    </xf>
    <xf numFmtId="0" fontId="40" fillId="0" borderId="0" xfId="0" applyFont="1"/>
    <xf numFmtId="0" fontId="4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27" fillId="44" borderId="0" xfId="1" applyNumberFormat="1" applyFont="1" applyFill="1" applyAlignment="1">
      <alignment horizontal="center" vertical="center"/>
    </xf>
    <xf numFmtId="3" fontId="40" fillId="3" borderId="0" xfId="0" applyNumberFormat="1" applyFont="1" applyFill="1" applyAlignment="1">
      <alignment horizontal="right" vertical="center"/>
    </xf>
    <xf numFmtId="9" fontId="40" fillId="3" borderId="0" xfId="2" applyFont="1" applyFill="1" applyAlignment="1">
      <alignment horizontal="center" vertical="center"/>
    </xf>
    <xf numFmtId="3" fontId="40" fillId="4" borderId="0" xfId="1" applyNumberFormat="1" applyFont="1" applyFill="1" applyAlignment="1">
      <alignment vertical="center"/>
    </xf>
    <xf numFmtId="9" fontId="40" fillId="37" borderId="0" xfId="2" applyFont="1" applyFill="1" applyAlignment="1">
      <alignment horizontal="center" vertical="center"/>
    </xf>
    <xf numFmtId="3" fontId="40" fillId="0" borderId="0" xfId="0" applyNumberFormat="1" applyFont="1"/>
    <xf numFmtId="0" fontId="38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9647" TargetMode="External"/><Relationship Id="rId1" Type="http://schemas.openxmlformats.org/officeDocument/2006/relationships/hyperlink" Target="https://us3.assetplanner.com/service_request?ID=09373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3738" TargetMode="External"/><Relationship Id="rId2" Type="http://schemas.openxmlformats.org/officeDocument/2006/relationships/hyperlink" Target="https://us3.assetplanner.com/service_request?ID=098648" TargetMode="External"/><Relationship Id="rId1" Type="http://schemas.openxmlformats.org/officeDocument/2006/relationships/hyperlink" Target="https://us3.assetplanner.com/service_request?ID=098258" TargetMode="External"/><Relationship Id="rId5" Type="http://schemas.openxmlformats.org/officeDocument/2006/relationships/hyperlink" Target="https://us3.assetplanner.com/service_request?ID=099647" TargetMode="External"/><Relationship Id="rId4" Type="http://schemas.openxmlformats.org/officeDocument/2006/relationships/hyperlink" Target="https://us3.assetplanner.com/service_request?ID=09824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0664" TargetMode="External"/><Relationship Id="rId1" Type="http://schemas.openxmlformats.org/officeDocument/2006/relationships/hyperlink" Target="https://us3.assetplanner.com/service_request?ID=099472" TargetMode="External"/><Relationship Id="rId6" Type="http://schemas.openxmlformats.org/officeDocument/2006/relationships/hyperlink" Target="https://us3.assetplanner.com/service_request?ID=100347" TargetMode="External"/><Relationship Id="rId5" Type="http://schemas.openxmlformats.org/officeDocument/2006/relationships/hyperlink" Target="https://us3.assetplanner.com/service_request?ID=099480" TargetMode="External"/><Relationship Id="rId4" Type="http://schemas.openxmlformats.org/officeDocument/2006/relationships/hyperlink" Target="https://us3.assetplanner.com/service_request?ID=10002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825" TargetMode="External"/><Relationship Id="rId3" Type="http://schemas.openxmlformats.org/officeDocument/2006/relationships/hyperlink" Target="https://us3.assetplanner.com/service_request?ID=099647" TargetMode="External"/><Relationship Id="rId7" Type="http://schemas.openxmlformats.org/officeDocument/2006/relationships/hyperlink" Target="https://us3.assetplanner.com/service_request?ID=102061" TargetMode="External"/><Relationship Id="rId2" Type="http://schemas.openxmlformats.org/officeDocument/2006/relationships/hyperlink" Target="https://us3.assetplanner.com/service_request?ID=102029" TargetMode="External"/><Relationship Id="rId1" Type="http://schemas.openxmlformats.org/officeDocument/2006/relationships/hyperlink" Target="https://us3.assetplanner.com/service_request?ID=101376" TargetMode="External"/><Relationship Id="rId6" Type="http://schemas.openxmlformats.org/officeDocument/2006/relationships/hyperlink" Target="https://us3.assetplanner.com/service_request?ID=100020" TargetMode="External"/><Relationship Id="rId5" Type="http://schemas.openxmlformats.org/officeDocument/2006/relationships/hyperlink" Target="https://us3.assetplanner.com/service_request?ID=102218" TargetMode="External"/><Relationship Id="rId4" Type="http://schemas.openxmlformats.org/officeDocument/2006/relationships/hyperlink" Target="https://us3.assetplanner.com/service_request?ID=102030" TargetMode="External"/><Relationship Id="rId9" Type="http://schemas.openxmlformats.org/officeDocument/2006/relationships/hyperlink" Target="https://us3.assetplanner.com/service_request?ID=10338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2969" TargetMode="External"/><Relationship Id="rId13" Type="http://schemas.openxmlformats.org/officeDocument/2006/relationships/hyperlink" Target="https://us3.assetplanner.com/service_request?ID=103397" TargetMode="External"/><Relationship Id="rId3" Type="http://schemas.openxmlformats.org/officeDocument/2006/relationships/hyperlink" Target="https://us3.assetplanner.com/service_request?ID=102780" TargetMode="External"/><Relationship Id="rId7" Type="http://schemas.openxmlformats.org/officeDocument/2006/relationships/hyperlink" Target="https://us3.assetplanner.com/service_request?ID=102549" TargetMode="External"/><Relationship Id="rId12" Type="http://schemas.openxmlformats.org/officeDocument/2006/relationships/hyperlink" Target="https://us3.assetplanner.com/service_request?ID=103058" TargetMode="External"/><Relationship Id="rId2" Type="http://schemas.openxmlformats.org/officeDocument/2006/relationships/hyperlink" Target="https://us3.assetplanner.com/service_request?ID=103332" TargetMode="External"/><Relationship Id="rId1" Type="http://schemas.openxmlformats.org/officeDocument/2006/relationships/hyperlink" Target="https://us3.assetplanner.com/service_request?ID=102825" TargetMode="External"/><Relationship Id="rId6" Type="http://schemas.openxmlformats.org/officeDocument/2006/relationships/hyperlink" Target="https://us3.assetplanner.com/service_request?ID=102549" TargetMode="External"/><Relationship Id="rId11" Type="http://schemas.openxmlformats.org/officeDocument/2006/relationships/hyperlink" Target="https://us3.assetplanner.com/service_request?ID=102061" TargetMode="External"/><Relationship Id="rId5" Type="http://schemas.openxmlformats.org/officeDocument/2006/relationships/hyperlink" Target="https://us3.assetplanner.com/service_request?ID=099647" TargetMode="External"/><Relationship Id="rId10" Type="http://schemas.openxmlformats.org/officeDocument/2006/relationships/hyperlink" Target="https://us3.assetplanner.com/service_request?ID=102367" TargetMode="External"/><Relationship Id="rId4" Type="http://schemas.openxmlformats.org/officeDocument/2006/relationships/hyperlink" Target="https://us3.assetplanner.com/service_request?ID=103230" TargetMode="External"/><Relationship Id="rId9" Type="http://schemas.openxmlformats.org/officeDocument/2006/relationships/hyperlink" Target="https://us3.assetplanner.com/service_request?ID=102971" TargetMode="External"/><Relationship Id="rId14" Type="http://schemas.openxmlformats.org/officeDocument/2006/relationships/hyperlink" Target="https://us3.assetplanner.com/service_request?ID=1033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A7" sqref="A7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8" t="str" cm="1">
        <f t="array" ref="A1">portfolio</f>
        <v>ALIGNED</v>
      </c>
      <c r="B1" s="108"/>
      <c r="C1" s="108"/>
      <c r="D1" s="109" t="s">
        <v>0</v>
      </c>
      <c r="E1" s="109"/>
      <c r="F1" s="109"/>
      <c r="G1" s="107" t="s">
        <v>1</v>
      </c>
      <c r="H1" s="107"/>
      <c r="I1" s="107"/>
    </row>
    <row r="2" spans="1:9" ht="19.5" customHeight="1">
      <c r="A2" s="110" t="s">
        <v>2</v>
      </c>
      <c r="B2" s="110"/>
      <c r="C2" s="5">
        <f>SUM(C4:C79)</f>
        <v>5249489.1143914023</v>
      </c>
      <c r="D2" s="5">
        <f>SUM(D4:D79)</f>
        <v>5408311.7779999999</v>
      </c>
      <c r="E2" s="5">
        <f>C2-D2</f>
        <v>-158822.66360859759</v>
      </c>
      <c r="F2" s="6">
        <f>IFERROR(E2/D2, 0)</f>
        <v>-2.936640307140917E-2</v>
      </c>
      <c r="G2" s="5">
        <f>SUM(G4:G79)</f>
        <v>6785322.3000000007</v>
      </c>
      <c r="H2" s="7">
        <f>C2-G2</f>
        <v>-1535833.1856085984</v>
      </c>
      <c r="I2" s="6">
        <f>IFERROR(H2/G2, 0)</f>
        <v>-0.22634638676022778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SUM('1st Qtr'!C4, '2nd Qtr'!C4, '3rd Qtr'!C4, '4th Qtr'!C4)</f>
        <v>753680.99999999884</v>
      </c>
      <c r="D4" s="12">
        <f>SUM('1st Qtr'!D4, '2nd Qtr'!D4, '3rd Qtr'!D4, '4th Qtr'!D4)</f>
        <v>776319.16500000004</v>
      </c>
      <c r="E4" s="12">
        <f>IF(AND(ISNUMBER(C4),ISNUMBER(D4)), C4-D4, "")</f>
        <v>-22638.165000001201</v>
      </c>
      <c r="F4" s="13">
        <f>IFERROR(E4/D4, "")</f>
        <v>-2.9160899306152257E-2</v>
      </c>
      <c r="G4" s="14">
        <f>SUM('1st Qtr'!G4, '2nd Qtr'!G4, '3rd Qtr'!G4, '4th Qtr'!G4)</f>
        <v>1062900</v>
      </c>
      <c r="H4" s="14">
        <f>SUM('1st Qtr'!H4, '2nd Qtr'!H4, '3rd Qtr'!H4, '4th Qtr'!H4)</f>
        <v>-309219.00000000116</v>
      </c>
      <c r="I4" s="15">
        <f>IFERROR(H4/G4, "")</f>
        <v>-0.29092012418854191</v>
      </c>
    </row>
    <row r="5" spans="1:9" ht="15.75">
      <c r="A5" s="47" t="str">
        <v>Loudon - 7046 Pleasant Street</v>
      </c>
      <c r="B5" s="10" t="str">
        <v>NH</v>
      </c>
      <c r="C5" s="18">
        <f>SUM('1st Qtr'!C5, '2nd Qtr'!C5, '3rd Qtr'!C5, '4th Qtr'!C5)</f>
        <v>814239.499871796</v>
      </c>
      <c r="D5" s="18">
        <f>SUM('1st Qtr'!D5, '2nd Qtr'!D5, '3rd Qtr'!D5, '4th Qtr'!D5)</f>
        <v>887813.03</v>
      </c>
      <c r="E5" s="16">
        <f t="shared" ref="E5:E11" si="0">IF(AND(ISNUMBER(C5),ISNUMBER(D5)), C5-D5, "")</f>
        <v>-73573.530128204031</v>
      </c>
      <c r="F5" s="17">
        <f>IFERROR(E5/D5, "")</f>
        <v>-8.2870523006633529E-2</v>
      </c>
      <c r="G5" s="18">
        <f>SUM('1st Qtr'!G5, '2nd Qtr'!G5, '3rd Qtr'!G5, '4th Qtr'!G5)</f>
        <v>1028835.7</v>
      </c>
      <c r="H5" s="18">
        <f>SUM('1st Qtr'!H5, '2nd Qtr'!H5, '3rd Qtr'!H5, '4th Qtr'!H5)</f>
        <v>-214596.20012820399</v>
      </c>
      <c r="I5" s="17">
        <f>IFERROR(H5/G5, "")</f>
        <v>-0.20858160358180028</v>
      </c>
    </row>
    <row r="6" spans="1:9" ht="15.75">
      <c r="A6" s="46" t="str">
        <v>Nashua - Pennichuck Water  East</v>
      </c>
      <c r="B6" s="9" t="str">
        <v>NH</v>
      </c>
      <c r="C6" s="22">
        <f>SUM('1st Qtr'!C6, '2nd Qtr'!C6, '3rd Qtr'!C6, '4th Qtr'!C6)</f>
        <v>815650.50001960807</v>
      </c>
      <c r="D6" s="12">
        <f>SUM('1st Qtr'!D6, '2nd Qtr'!D6, '3rd Qtr'!D6, '4th Qtr'!D6)</f>
        <v>826021.30499999993</v>
      </c>
      <c r="E6" s="12">
        <f t="shared" si="0"/>
        <v>-10370.804980391869</v>
      </c>
      <c r="F6" s="13">
        <f t="shared" ref="F6:F11" si="1">IFERROR(E6/D6, "")</f>
        <v>-1.2555130137220698E-2</v>
      </c>
      <c r="G6" s="14">
        <f>SUM('1st Qtr'!G6, '2nd Qtr'!G6, '3rd Qtr'!G6, '4th Qtr'!G6)</f>
        <v>707336</v>
      </c>
      <c r="H6" s="14">
        <f>SUM('1st Qtr'!H6, '2nd Qtr'!H6, '3rd Qtr'!H6, '4th Qtr'!H6)</f>
        <v>108314.50001960801</v>
      </c>
      <c r="I6" s="15">
        <f t="shared" ref="I6:I11" si="2">IFERROR(H6/G6, "")</f>
        <v>0.15313019557835034</v>
      </c>
    </row>
    <row r="7" spans="1:9" ht="15.75">
      <c r="A7" s="47" t="str">
        <v>Nashua - Pennichuck Water West</v>
      </c>
      <c r="B7" s="10" t="str">
        <v>NH</v>
      </c>
      <c r="C7" s="18">
        <f>SUM('1st Qtr'!C7, '2nd Qtr'!C7, '3rd Qtr'!C7, '4th Qtr'!C7)</f>
        <v>620773.83124999981</v>
      </c>
      <c r="D7" s="18">
        <f>SUM('1st Qtr'!D7, '2nd Qtr'!D7, '3rd Qtr'!D7, '4th Qtr'!D7)</f>
        <v>528726.62699999998</v>
      </c>
      <c r="E7" s="16">
        <f t="shared" si="0"/>
        <v>92047.204249999835</v>
      </c>
      <c r="F7" s="17">
        <f t="shared" si="1"/>
        <v>0.17409224266286072</v>
      </c>
      <c r="G7" s="18">
        <f>SUM('1st Qtr'!G7, '2nd Qtr'!G7, '3rd Qtr'!G7, '4th Qtr'!G7)</f>
        <v>841600</v>
      </c>
      <c r="H7" s="18">
        <f>SUM('1st Qtr'!H7, '2nd Qtr'!H7, '3rd Qtr'!H7, '4th Qtr'!H7)</f>
        <v>-220826.16875000022</v>
      </c>
      <c r="I7" s="17">
        <f t="shared" si="2"/>
        <v>-0.26238850849572271</v>
      </c>
    </row>
    <row r="8" spans="1:9" ht="15.75">
      <c r="A8" s="46" t="str">
        <v>Boothbay - Wiscasset Road</v>
      </c>
      <c r="B8" s="9" t="str">
        <v>ME</v>
      </c>
      <c r="C8" s="22">
        <f>SUM('1st Qtr'!C8, '2nd Qtr'!C8, '3rd Qtr'!C8, '4th Qtr'!C8)</f>
        <v>532951.81299999997</v>
      </c>
      <c r="D8" s="12">
        <f>SUM('1st Qtr'!D8, '2nd Qtr'!D8, '3rd Qtr'!D8, '4th Qtr'!D8)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SUM('1st Qtr'!G8, '2nd Qtr'!G8, '3rd Qtr'!G8, '4th Qtr'!G8)</f>
        <v>610900</v>
      </c>
      <c r="H8" s="14">
        <f>SUM('1st Qtr'!H8, '2nd Qtr'!H8, '3rd Qtr'!H8, '4th Qtr'!H8)</f>
        <v>-77948.187000000005</v>
      </c>
      <c r="I8" s="15">
        <f t="shared" si="2"/>
        <v>-0.12759565722704208</v>
      </c>
    </row>
    <row r="9" spans="1:9" ht="15.75">
      <c r="A9" s="47" t="str">
        <v>Thorndike -  Leonard Road</v>
      </c>
      <c r="B9" s="10" t="str">
        <v>ME</v>
      </c>
      <c r="C9" s="18">
        <f>SUM('1st Qtr'!C9, '2nd Qtr'!C9, '3rd Qtr'!C9, '4th Qtr'!C9)</f>
        <v>495412.1875</v>
      </c>
      <c r="D9" s="18">
        <f>SUM('1st Qtr'!D9, '2nd Qtr'!D9, '3rd Qtr'!D9, '4th Qtr'!D9)</f>
        <v>557091.49399999995</v>
      </c>
      <c r="E9" s="16">
        <f t="shared" si="0"/>
        <v>-61679.306499999948</v>
      </c>
      <c r="F9" s="17">
        <f t="shared" si="1"/>
        <v>-0.11071665456087533</v>
      </c>
      <c r="G9" s="18">
        <f>SUM('1st Qtr'!G9, '2nd Qtr'!G9, '3rd Qtr'!G9, '4th Qtr'!G9)</f>
        <v>1251326.5</v>
      </c>
      <c r="H9" s="18">
        <f>SUM('1st Qtr'!H9, '2nd Qtr'!H9, '3rd Qtr'!H9, '4th Qtr'!H9)</f>
        <v>-755914.3125</v>
      </c>
      <c r="I9" s="17">
        <f t="shared" si="2"/>
        <v>-0.60409038927889724</v>
      </c>
    </row>
    <row r="10" spans="1:9" ht="15.75">
      <c r="A10" s="46" t="str">
        <v>Topsham - Solarize LLC</v>
      </c>
      <c r="B10" s="9" t="str">
        <v>ME</v>
      </c>
      <c r="C10" s="22">
        <f>SUM('1st Qtr'!C10, '2nd Qtr'!C10, '3rd Qtr'!C10, '4th Qtr'!C10)</f>
        <v>420394.25025000004</v>
      </c>
      <c r="D10" s="12">
        <f>SUM('1st Qtr'!D10, '2nd Qtr'!D10, '3rd Qtr'!D10, '4th Qtr'!D10)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SUM('1st Qtr'!G10, '2nd Qtr'!G10, '3rd Qtr'!G10, '4th Qtr'!G10)</f>
        <v>447590</v>
      </c>
      <c r="H10" s="14">
        <f>SUM('1st Qtr'!H10, '2nd Qtr'!H10, '3rd Qtr'!H10, '4th Qtr'!H10)</f>
        <v>-27195.749749999988</v>
      </c>
      <c r="I10" s="15">
        <f t="shared" si="2"/>
        <v>-6.0760405169909937E-2</v>
      </c>
    </row>
    <row r="11" spans="1:9" ht="15.75">
      <c r="A11" s="47" t="str">
        <v>Cherryfield - 727 North Main St (IRA)</v>
      </c>
      <c r="B11" s="10" t="str">
        <v>ME</v>
      </c>
      <c r="C11" s="18">
        <f>SUM('1st Qtr'!C11, '2nd Qtr'!C11, '3rd Qtr'!C11, '4th Qtr'!C11)</f>
        <v>796386.03249999997</v>
      </c>
      <c r="D11" s="18">
        <f>SUM('1st Qtr'!D11, '2nd Qtr'!D11, '3rd Qtr'!D11, '4th Qtr'!D11)</f>
        <v>848374.8</v>
      </c>
      <c r="E11" s="16">
        <f t="shared" si="0"/>
        <v>-51988.767500000075</v>
      </c>
      <c r="F11" s="17">
        <f t="shared" si="1"/>
        <v>-6.1280424053142636E-2</v>
      </c>
      <c r="G11" s="18">
        <f>SUM('1st Qtr'!G11, '2nd Qtr'!G11, '3rd Qtr'!G11, '4th Qtr'!G11)</f>
        <v>834834.10000000009</v>
      </c>
      <c r="H11" s="18">
        <f>SUM('1st Qtr'!H11, '2nd Qtr'!H11, '3rd Qtr'!H11, '4th Qtr'!H11)</f>
        <v>-38448.067500000063</v>
      </c>
      <c r="I11" s="17">
        <f t="shared" si="2"/>
        <v>-4.6054740097463749E-2</v>
      </c>
    </row>
    <row r="12" spans="1:9" ht="15">
      <c r="A12" s="19"/>
      <c r="B12" s="19"/>
      <c r="C12" s="18"/>
      <c r="D12" s="19"/>
      <c r="E12" s="19"/>
      <c r="F12" s="20"/>
      <c r="G12" s="18"/>
      <c r="H12" s="18"/>
      <c r="I12" s="20"/>
    </row>
    <row r="13" spans="1:9">
      <c r="A13" s="19"/>
      <c r="B13" s="19"/>
      <c r="C13" s="19"/>
      <c r="D13" s="19"/>
      <c r="E13" s="19"/>
      <c r="F13" s="20"/>
      <c r="G13" s="19"/>
      <c r="H13" s="19"/>
      <c r="I13" s="20"/>
    </row>
    <row r="14" spans="1:9">
      <c r="A14" s="19"/>
      <c r="B14" s="19"/>
      <c r="C14" s="19"/>
      <c r="D14" s="19"/>
      <c r="E14" s="19"/>
      <c r="F14" s="20"/>
      <c r="G14" s="19"/>
      <c r="H14" s="19"/>
      <c r="I14" s="20"/>
    </row>
    <row r="15" spans="1:9">
      <c r="A15" s="19"/>
      <c r="B15" s="19"/>
      <c r="C15" s="19"/>
      <c r="D15" s="19"/>
      <c r="E15" s="19"/>
      <c r="F15" s="20"/>
      <c r="G15" s="19"/>
      <c r="H15" s="19"/>
      <c r="I15" s="20"/>
    </row>
    <row r="16" spans="1:9">
      <c r="A16" s="19"/>
      <c r="B16" s="19"/>
      <c r="C16" s="19"/>
      <c r="D16" s="19"/>
      <c r="E16" s="19"/>
      <c r="F16" s="20"/>
      <c r="G16" s="19"/>
      <c r="H16" s="19"/>
      <c r="I16" s="20"/>
    </row>
    <row r="17" spans="1:9">
      <c r="A17" s="19"/>
      <c r="B17" s="19"/>
      <c r="C17" s="19"/>
      <c r="D17" s="19"/>
      <c r="E17" s="19"/>
      <c r="F17" s="20"/>
      <c r="G17" s="19"/>
      <c r="H17" s="19"/>
      <c r="I17" s="20"/>
    </row>
    <row r="18" spans="1:9">
      <c r="A18" s="19"/>
      <c r="B18" s="19"/>
      <c r="C18" s="19"/>
      <c r="D18" s="19"/>
      <c r="E18" s="19"/>
      <c r="F18" s="20"/>
      <c r="G18" s="19"/>
      <c r="H18" s="19"/>
      <c r="I18" s="20"/>
    </row>
    <row r="19" spans="1:9">
      <c r="A19" s="19"/>
      <c r="B19" s="19"/>
      <c r="C19" s="19"/>
      <c r="D19" s="19"/>
      <c r="E19" s="19"/>
      <c r="F19" s="20"/>
      <c r="G19" s="19"/>
      <c r="H19" s="19"/>
      <c r="I19" s="20"/>
    </row>
    <row r="20" spans="1:9">
      <c r="A20" s="19"/>
      <c r="B20" s="19"/>
      <c r="C20" s="19"/>
      <c r="D20" s="19"/>
      <c r="E20" s="19"/>
      <c r="F20" s="20"/>
      <c r="G20" s="19"/>
      <c r="H20" s="19"/>
      <c r="I20" s="20"/>
    </row>
    <row r="21" spans="1:9">
      <c r="A21" s="19"/>
      <c r="B21" s="19"/>
      <c r="C21" s="19"/>
      <c r="D21" s="19"/>
      <c r="E21" s="19"/>
      <c r="F21" s="20"/>
      <c r="G21" s="19"/>
      <c r="H21" s="19"/>
      <c r="I21" s="20"/>
    </row>
    <row r="22" spans="1:9">
      <c r="A22" s="19"/>
      <c r="B22" s="19"/>
      <c r="C22" s="19"/>
      <c r="D22" s="19"/>
      <c r="E22" s="19"/>
      <c r="F22" s="20"/>
      <c r="G22" s="19"/>
      <c r="H22" s="19"/>
      <c r="I22" s="20"/>
    </row>
    <row r="23" spans="1:9">
      <c r="A23" s="19"/>
      <c r="B23" s="19"/>
      <c r="C23" s="19"/>
      <c r="D23" s="19"/>
      <c r="E23" s="19"/>
      <c r="F23" s="20"/>
      <c r="G23" s="19"/>
      <c r="H23" s="19"/>
      <c r="I23" s="20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conditionalFormatting sqref="F4:F79 I4:I79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A4" sqref="A4:I12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8" t="str" cm="1">
        <f t="array" ref="A1">portfolio</f>
        <v>ALIGNED</v>
      </c>
      <c r="B1" s="108"/>
      <c r="C1" s="108"/>
      <c r="D1" s="109" t="s">
        <v>10</v>
      </c>
      <c r="E1" s="109"/>
      <c r="F1" s="109"/>
      <c r="G1" s="107" t="s">
        <v>11</v>
      </c>
      <c r="H1" s="107"/>
      <c r="I1" s="107"/>
    </row>
    <row r="2" spans="1:9" ht="19.5" customHeight="1">
      <c r="A2" s="110" t="s">
        <v>2</v>
      </c>
      <c r="B2" s="110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1469478.1</v>
      </c>
      <c r="H2" s="7">
        <f>C2-G2</f>
        <v>-321101.26875000051</v>
      </c>
      <c r="I2" s="6">
        <f>IFERROR(H2/G2, 0)</f>
        <v>-0.2185138170824053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SUM(Jan!C4, Feb!C4, Mar!C4)</f>
        <v>265530.99999999977</v>
      </c>
      <c r="D4" s="12">
        <f>SUM(Jan!D4, Feb!D4, Mar!D4)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SUM(Jan!G4, Feb!G4, Mar!G4)</f>
        <v>437000</v>
      </c>
      <c r="H4" s="14">
        <f>SUM(Jan!H4, Feb!H4, Mar!H4)</f>
        <v>-171469.0000000002</v>
      </c>
      <c r="I4" s="15">
        <f>IFERROR(H4/G4, "")</f>
        <v>-0.39237757437070986</v>
      </c>
    </row>
    <row r="5" spans="1:9" ht="15.75">
      <c r="A5" s="47" t="str">
        <v>Loudon - 7046 Pleasant Street</v>
      </c>
      <c r="B5" s="10" t="str">
        <v>NH</v>
      </c>
      <c r="C5" s="11">
        <f>SUM(Jan!C5, Feb!C5, Mar!C5)</f>
        <v>304616.5</v>
      </c>
      <c r="D5" s="16">
        <f>SUM(Jan!D5, Feb!D5, Mar!D5)</f>
        <v>396427</v>
      </c>
      <c r="E5" s="16">
        <f t="shared" ref="E5:E11" si="0">IF(AND(ISNUMBER(C5),ISNUMBER(D5)), C5-D5, "")</f>
        <v>-91810.5</v>
      </c>
      <c r="F5" s="17">
        <f>IFERROR(E5/D5, "")</f>
        <v>-0.23159497208817764</v>
      </c>
      <c r="G5" s="18">
        <f>SUM(Jan!G5, Feb!G5, Mar!G5)</f>
        <v>419806.1</v>
      </c>
      <c r="H5" s="18">
        <f>SUM(Jan!H5, Feb!H5, Mar!H5)</f>
        <v>-115189.59999999998</v>
      </c>
      <c r="I5" s="17">
        <f>IFERROR(H5/G5, "")</f>
        <v>-0.27438762800254685</v>
      </c>
    </row>
    <row r="6" spans="1:9" ht="15.75">
      <c r="A6" s="46" t="str">
        <v>Nashua - Pennichuck Water  East</v>
      </c>
      <c r="B6" s="9" t="str">
        <v>NH</v>
      </c>
      <c r="C6" s="22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11" si="1">IFERROR(E6/D6, "")</f>
        <v>0.12305399198322665</v>
      </c>
      <c r="G6" s="14">
        <f>SUM(Jan!G6, Feb!G6, Mar!G6)</f>
        <v>290072</v>
      </c>
      <c r="H6" s="14">
        <f>SUM(Jan!H6, Feb!H6, Mar!H6)</f>
        <v>41090.5</v>
      </c>
      <c r="I6" s="15">
        <f t="shared" ref="I6:I11" si="2">IFERROR(H6/G6, "")</f>
        <v>0.14165620949281557</v>
      </c>
    </row>
    <row r="7" spans="1:9" ht="15.75">
      <c r="A7" s="47" t="str">
        <v>Nashua - Pennichuck Water West</v>
      </c>
      <c r="B7" s="10" t="str">
        <v>NH</v>
      </c>
      <c r="C7" s="11">
        <f>SUM(Jan!C7, Feb!C7, Mar!C7)</f>
        <v>247066.83124999981</v>
      </c>
      <c r="D7" s="16">
        <f>SUM(Jan!D7, Feb!D7, Mar!D7)</f>
        <v>253169.57</v>
      </c>
      <c r="E7" s="16">
        <f t="shared" si="0"/>
        <v>-6102.7387500001932</v>
      </c>
      <c r="F7" s="17">
        <f t="shared" si="1"/>
        <v>-2.4105340740596087E-2</v>
      </c>
      <c r="G7" s="18">
        <f>SUM(Jan!G7, Feb!G7, Mar!G7)</f>
        <v>322600</v>
      </c>
      <c r="H7" s="18">
        <f>SUM(Jan!H7, Feb!H7, Mar!H7)</f>
        <v>-75533.168750000215</v>
      </c>
      <c r="I7" s="17">
        <f t="shared" si="2"/>
        <v>-0.23413877479851275</v>
      </c>
    </row>
    <row r="8" spans="1:9" ht="15.75">
      <c r="A8" s="46" t="str">
        <v>Boothbay - Wiscasset Road</v>
      </c>
      <c r="B8" s="9" t="str">
        <v>ME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75">
      <c r="A9" s="47" t="str">
        <v>Thorndike -  Leonard Road</v>
      </c>
      <c r="B9" s="10" t="str">
        <v>ME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75">
      <c r="A10" s="46" t="str">
        <v>Topsham - Solarize LLC</v>
      </c>
      <c r="B10" s="9" t="str">
        <v>ME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5.75">
      <c r="A11" s="47" t="str">
        <v>Cherryfield - 727 North Main St (IRA)</v>
      </c>
      <c r="B11" s="10" t="str">
        <v>ME</v>
      </c>
      <c r="C11" s="11">
        <f>SUM(Jan!C11, Feb!C11, Mar!C11)</f>
        <v>0</v>
      </c>
      <c r="D11" s="16">
        <f>SUM(Jan!D11, Feb!D11, Mar!D11)</f>
        <v>0</v>
      </c>
      <c r="E11" s="16">
        <f t="shared" si="0"/>
        <v>0</v>
      </c>
      <c r="F11" s="17" t="str">
        <f t="shared" si="1"/>
        <v/>
      </c>
      <c r="G11" s="18">
        <f>SUM(Jan!G11, Feb!G11, Mar!G11)</f>
        <v>0</v>
      </c>
      <c r="H11" s="18">
        <f>SUM(Jan!H11, Feb!H11, Mar!H11)</f>
        <v>0</v>
      </c>
      <c r="I11" s="17" t="str">
        <f t="shared" si="2"/>
        <v/>
      </c>
    </row>
    <row r="12" spans="1:9">
      <c r="A12" s="19"/>
      <c r="B12" s="19"/>
      <c r="C12" s="19"/>
      <c r="D12" s="19"/>
      <c r="E12" s="19"/>
      <c r="F12" s="20"/>
      <c r="G12" s="19"/>
      <c r="H12" s="19"/>
      <c r="I12" s="20"/>
    </row>
    <row r="13" spans="1:9">
      <c r="A13" s="19"/>
      <c r="B13" s="19"/>
      <c r="C13" s="19"/>
      <c r="D13" s="19"/>
      <c r="E13" s="19"/>
      <c r="F13" s="20"/>
      <c r="G13" s="19"/>
      <c r="H13" s="19"/>
      <c r="I13" s="20"/>
    </row>
    <row r="14" spans="1:9">
      <c r="A14" s="19"/>
      <c r="B14" s="19"/>
      <c r="C14" s="19"/>
      <c r="D14" s="19"/>
      <c r="E14" s="19"/>
      <c r="F14" s="20"/>
      <c r="G14" s="19"/>
      <c r="H14" s="19"/>
      <c r="I14" s="20"/>
    </row>
    <row r="15" spans="1:9">
      <c r="A15" s="19"/>
      <c r="B15" s="19"/>
      <c r="C15" s="19"/>
      <c r="D15" s="19"/>
      <c r="E15" s="19"/>
      <c r="F15" s="20"/>
      <c r="G15" s="19"/>
      <c r="H15" s="19"/>
      <c r="I15" s="20"/>
    </row>
    <row r="16" spans="1:9">
      <c r="A16" s="19"/>
      <c r="B16" s="19"/>
      <c r="C16" s="19"/>
      <c r="D16" s="19"/>
      <c r="E16" s="19"/>
      <c r="F16" s="20"/>
      <c r="G16" s="19"/>
      <c r="H16" s="19"/>
      <c r="I16" s="20"/>
    </row>
    <row r="17" spans="1:9">
      <c r="A17" s="19"/>
      <c r="B17" s="19"/>
      <c r="C17" s="19"/>
      <c r="D17" s="19"/>
      <c r="E17" s="19"/>
      <c r="F17" s="20"/>
      <c r="G17" s="19"/>
      <c r="H17" s="19"/>
      <c r="I17" s="20"/>
    </row>
    <row r="18" spans="1:9">
      <c r="A18" s="19"/>
      <c r="B18" s="19"/>
      <c r="C18" s="19"/>
      <c r="D18" s="19"/>
      <c r="E18" s="19"/>
      <c r="F18" s="20"/>
      <c r="G18" s="19"/>
      <c r="H18" s="19"/>
      <c r="I18" s="20"/>
    </row>
    <row r="19" spans="1:9">
      <c r="A19" s="19"/>
      <c r="B19" s="19"/>
      <c r="C19" s="19"/>
      <c r="D19" s="19"/>
      <c r="E19" s="19"/>
      <c r="F19" s="20"/>
      <c r="G19" s="19"/>
      <c r="H19" s="19"/>
      <c r="I19" s="20"/>
    </row>
    <row r="20" spans="1:9">
      <c r="A20" s="19"/>
      <c r="B20" s="19"/>
      <c r="C20" s="19"/>
      <c r="D20" s="19"/>
      <c r="E20" s="19"/>
      <c r="F20" s="20"/>
      <c r="G20" s="19"/>
      <c r="H20" s="19"/>
      <c r="I20" s="20"/>
    </row>
    <row r="21" spans="1:9">
      <c r="A21" s="19"/>
      <c r="B21" s="19"/>
      <c r="C21" s="19"/>
      <c r="D21" s="19"/>
      <c r="E21" s="19"/>
      <c r="F21" s="20"/>
      <c r="G21" s="19"/>
      <c r="H21" s="19"/>
      <c r="I21" s="20"/>
    </row>
    <row r="22" spans="1:9">
      <c r="A22" s="19"/>
      <c r="B22" s="19"/>
      <c r="C22" s="19"/>
      <c r="D22" s="19"/>
      <c r="E22" s="19"/>
      <c r="F22" s="20"/>
      <c r="G22" s="19"/>
      <c r="H22" s="19"/>
      <c r="I22" s="20"/>
    </row>
    <row r="23" spans="1:9">
      <c r="A23" s="19"/>
      <c r="B23" s="19"/>
      <c r="C23" s="19"/>
      <c r="D23" s="19"/>
      <c r="E23" s="19"/>
      <c r="F23" s="20"/>
      <c r="G23" s="19"/>
      <c r="H23" s="19"/>
      <c r="I23" s="20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0" priority="5" stopIfTrue="1" operator="lessThanOrEqual">
      <formula>-0.1</formula>
    </cfRule>
    <cfRule type="expression" dxfId="39" priority="6">
      <formula>AND(ISNUMBER(F2), F2&gt;=0.1)</formula>
    </cfRule>
  </conditionalFormatting>
  <conditionalFormatting sqref="F4:F79 I4:I79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A4" sqref="A4:I11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8" t="str" cm="1">
        <f t="array" ref="A1">portfolio</f>
        <v>ALIGNED</v>
      </c>
      <c r="B1" s="108"/>
      <c r="C1" s="108"/>
      <c r="D1" s="109" t="s">
        <v>12</v>
      </c>
      <c r="E1" s="109"/>
      <c r="F1" s="109"/>
      <c r="G1" s="107" t="s">
        <v>13</v>
      </c>
      <c r="H1" s="107"/>
      <c r="I1" s="107"/>
    </row>
    <row r="2" spans="1:9" ht="19.5" customHeight="1">
      <c r="A2" s="110" t="s">
        <v>2</v>
      </c>
      <c r="B2" s="110"/>
      <c r="C2" s="5">
        <f>SUM(C4:C79)</f>
        <v>4101112.2831414035</v>
      </c>
      <c r="D2" s="5">
        <f>SUM(D4:D79)</f>
        <v>4166618.318</v>
      </c>
      <c r="E2" s="5">
        <f>C2-D2</f>
        <v>-65506.034858596511</v>
      </c>
      <c r="F2" s="6">
        <f>IFERROR(E2/D2, 0)</f>
        <v>-1.5721630794835986E-2</v>
      </c>
      <c r="G2" s="5">
        <f>SUM(G4:G79)</f>
        <v>5315844.1999999993</v>
      </c>
      <c r="H2" s="7">
        <f>C2-G2</f>
        <v>-1214731.9168585958</v>
      </c>
      <c r="I2" s="6">
        <f>IFERROR(H2/G2, 0)</f>
        <v>-0.22851157241564679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SUM(Apr!C4, May!C4, Jun!C4)</f>
        <v>488149.99999999901</v>
      </c>
      <c r="D4" s="12">
        <f>SUM(Apr!D4, May!D4, Jun!D4)</f>
        <v>479099.01500000001</v>
      </c>
      <c r="E4" s="12">
        <f>IF(AND(ISNUMBER(C4),ISNUMBER(D4)), C4-D4, "")</f>
        <v>9050.9849999989965</v>
      </c>
      <c r="F4" s="13">
        <f>IFERROR(E4/D4, "")</f>
        <v>1.889167941620376E-2</v>
      </c>
      <c r="G4" s="14">
        <f>SUM(Apr!G4,May!G4,Jun!G4)</f>
        <v>625900</v>
      </c>
      <c r="H4" s="14">
        <f>SUM(Apr!H4, May!H4, Jun!H4)</f>
        <v>-137750.00000000099</v>
      </c>
      <c r="I4" s="15">
        <f>IFERROR(H4/G4, "")</f>
        <v>-0.22008308036427701</v>
      </c>
    </row>
    <row r="5" spans="1:9" ht="15.75">
      <c r="A5" s="47" t="str">
        <v>Loudon - 7046 Pleasant Street</v>
      </c>
      <c r="B5" s="10" t="str">
        <v>NH</v>
      </c>
      <c r="C5" s="11">
        <f>SUM(Apr!C5, May!C5, Jun!C5)</f>
        <v>509622.999871796</v>
      </c>
      <c r="D5" s="16">
        <f>SUM(Apr!D5, May!D5, Jun!D5)</f>
        <v>491386.03</v>
      </c>
      <c r="E5" s="16">
        <f t="shared" ref="E5:E11" si="0">IF(AND(ISNUMBER(C5),ISNUMBER(D5)), C5-D5, "")</f>
        <v>18236.969871795969</v>
      </c>
      <c r="F5" s="17">
        <f>IFERROR(E5/D5, "")</f>
        <v>3.71133258953169E-2</v>
      </c>
      <c r="G5" s="18">
        <f>SUM(Apr!G5,May!G5,Jun!G5)</f>
        <v>609029.6</v>
      </c>
      <c r="H5" s="18">
        <f>SUM(Apr!H5, May!H5, Jun!H5)</f>
        <v>-99406.600128204009</v>
      </c>
      <c r="I5" s="17">
        <f>IFERROR(H5/G5, "")</f>
        <v>-0.16322129520175047</v>
      </c>
    </row>
    <row r="6" spans="1:9" ht="15.75">
      <c r="A6" s="46" t="str">
        <v>Nashua - Pennichuck Water  East</v>
      </c>
      <c r="B6" s="9" t="str">
        <v>NH</v>
      </c>
      <c r="C6" s="22">
        <f>SUM(Apr!C6, May!C6, Jun!C6)</f>
        <v>484488.00001960801</v>
      </c>
      <c r="D6" s="12">
        <f>SUM(Apr!D6, May!D6, Jun!D6)</f>
        <v>531144.56499999994</v>
      </c>
      <c r="E6" s="12">
        <f t="shared" si="0"/>
        <v>-46656.564980391937</v>
      </c>
      <c r="F6" s="13">
        <f t="shared" ref="F6:F11" si="1">IFERROR(E6/D6, "")</f>
        <v>-8.784155586792447E-2</v>
      </c>
      <c r="G6" s="14">
        <f>SUM(Apr!G6,May!G6,Jun!G6)</f>
        <v>417264</v>
      </c>
      <c r="H6" s="14">
        <f>SUM(Apr!H6, May!H6, Jun!H6)</f>
        <v>67224.000019608007</v>
      </c>
      <c r="I6" s="15">
        <f t="shared" ref="I6:I11" si="2">IFERROR(H6/G6, "")</f>
        <v>0.16110663757143681</v>
      </c>
    </row>
    <row r="7" spans="1:9" ht="15.75">
      <c r="A7" s="47" t="str">
        <v>Nashua - Pennichuck Water West</v>
      </c>
      <c r="B7" s="10" t="str">
        <v>NH</v>
      </c>
      <c r="C7" s="11">
        <f>SUM(Apr!C7, May!C7, Jun!C7)</f>
        <v>373707</v>
      </c>
      <c r="D7" s="16">
        <f>SUM(Apr!D7, May!D7, Jun!D7)</f>
        <v>275557.05699999997</v>
      </c>
      <c r="E7" s="16">
        <f t="shared" si="0"/>
        <v>98149.943000000028</v>
      </c>
      <c r="F7" s="17">
        <f t="shared" si="1"/>
        <v>0.35618736848390725</v>
      </c>
      <c r="G7" s="18">
        <f>SUM(Apr!G7,May!G7,Jun!G7)</f>
        <v>519000</v>
      </c>
      <c r="H7" s="18">
        <f>SUM(Apr!H7, May!H7, Jun!H7)</f>
        <v>-145293</v>
      </c>
      <c r="I7" s="17">
        <f t="shared" si="2"/>
        <v>-0.27994797687861273</v>
      </c>
    </row>
    <row r="8" spans="1:9" ht="15.75">
      <c r="A8" s="46" t="str">
        <v>Boothbay - Wiscasset Road</v>
      </c>
      <c r="B8" s="9" t="str">
        <v>ME</v>
      </c>
      <c r="C8" s="22">
        <f>SUM(Apr!C8, May!C8, Jun!C8)</f>
        <v>532951.81299999997</v>
      </c>
      <c r="D8" s="12">
        <f>SUM(Apr!D8, May!D8, Jun!D8)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SUM(Apr!G8,May!G8,Jun!G8)</f>
        <v>610900</v>
      </c>
      <c r="H8" s="14">
        <f>SUM(Apr!H8, May!H8, Jun!H8)</f>
        <v>-77948.187000000005</v>
      </c>
      <c r="I8" s="15">
        <f t="shared" si="2"/>
        <v>-0.12759565722704208</v>
      </c>
    </row>
    <row r="9" spans="1:9" ht="15.75">
      <c r="A9" s="47" t="str">
        <v>Thorndike -  Leonard Road</v>
      </c>
      <c r="B9" s="10" t="str">
        <v>ME</v>
      </c>
      <c r="C9" s="11">
        <f>SUM(Apr!C9, May!C9, Jun!C9)</f>
        <v>495412.1875</v>
      </c>
      <c r="D9" s="16">
        <f>SUM(Apr!D9, May!D9, Jun!D9)</f>
        <v>557091.49399999995</v>
      </c>
      <c r="E9" s="16">
        <f t="shared" si="0"/>
        <v>-61679.306499999948</v>
      </c>
      <c r="F9" s="17">
        <f t="shared" si="1"/>
        <v>-0.11071665456087533</v>
      </c>
      <c r="G9" s="18">
        <f>SUM(Apr!G9,May!G9,Jun!G9)</f>
        <v>1251326.5</v>
      </c>
      <c r="H9" s="18">
        <f>SUM(Apr!H9, May!H9, Jun!H9)</f>
        <v>-755914.3125</v>
      </c>
      <c r="I9" s="17">
        <f t="shared" si="2"/>
        <v>-0.60409038927889724</v>
      </c>
    </row>
    <row r="10" spans="1:9" ht="15.75">
      <c r="A10" s="46" t="str">
        <v>Topsham - Solarize LLC</v>
      </c>
      <c r="B10" s="9" t="str">
        <v>ME</v>
      </c>
      <c r="C10" s="22">
        <f>SUM(Apr!C10, May!C10, Jun!C10)</f>
        <v>420394.25025000004</v>
      </c>
      <c r="D10" s="12">
        <f>SUM(Apr!D10, May!D10, Jun!D10)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SUM(Apr!G10,May!G10,Jun!G10)</f>
        <v>447590</v>
      </c>
      <c r="H10" s="14">
        <f>SUM(Apr!H10, May!H10, Jun!H10)</f>
        <v>-27195.749749999988</v>
      </c>
      <c r="I10" s="15">
        <f t="shared" si="2"/>
        <v>-6.0760405169909937E-2</v>
      </c>
    </row>
    <row r="11" spans="1:9" ht="15.75">
      <c r="A11" s="47" t="str">
        <v>Cherryfield - 727 North Main St (IRA)</v>
      </c>
      <c r="B11" s="10" t="str">
        <v>ME</v>
      </c>
      <c r="C11" s="11">
        <f>SUM(Apr!C11, May!C11, Jun!C11)</f>
        <v>796386.03249999997</v>
      </c>
      <c r="D11" s="16">
        <f>SUM(Apr!D11, May!D11, Jun!D11)</f>
        <v>848374.8</v>
      </c>
      <c r="E11" s="16">
        <f t="shared" si="0"/>
        <v>-51988.767500000075</v>
      </c>
      <c r="F11" s="17">
        <f t="shared" si="1"/>
        <v>-6.1280424053142636E-2</v>
      </c>
      <c r="G11" s="18">
        <f>SUM(Apr!G11,May!G11,Jun!G11)</f>
        <v>834834.10000000009</v>
      </c>
      <c r="H11" s="18">
        <f>SUM(Apr!H11, May!H11, Jun!H11)</f>
        <v>-38448.067500000063</v>
      </c>
      <c r="I11" s="17">
        <f t="shared" si="2"/>
        <v>-4.6054740097463749E-2</v>
      </c>
    </row>
    <row r="12" spans="1:9">
      <c r="A12" s="19"/>
      <c r="B12" s="19"/>
      <c r="C12" s="19"/>
      <c r="D12" s="19"/>
      <c r="E12" s="19"/>
      <c r="F12" s="20"/>
      <c r="G12" s="19"/>
      <c r="H12" s="19"/>
      <c r="I12" s="20"/>
    </row>
    <row r="13" spans="1:9">
      <c r="A13" s="19"/>
      <c r="B13" s="19"/>
      <c r="C13" s="19"/>
      <c r="D13" s="19"/>
      <c r="E13" s="19"/>
      <c r="F13" s="20"/>
      <c r="G13" s="19"/>
      <c r="H13" s="19"/>
      <c r="I13" s="20"/>
    </row>
    <row r="14" spans="1:9">
      <c r="A14" s="19"/>
      <c r="B14" s="19"/>
      <c r="C14" s="19"/>
      <c r="D14" s="19"/>
      <c r="E14" s="19"/>
      <c r="F14" s="20"/>
      <c r="G14" s="19"/>
      <c r="H14" s="19"/>
      <c r="I14" s="20"/>
    </row>
    <row r="15" spans="1:9">
      <c r="A15" s="19"/>
      <c r="B15" s="19"/>
      <c r="C15" s="19"/>
      <c r="D15" s="19"/>
      <c r="E15" s="19"/>
      <c r="F15" s="20"/>
      <c r="G15" s="19"/>
      <c r="H15" s="19"/>
      <c r="I15" s="20"/>
    </row>
    <row r="16" spans="1:9">
      <c r="A16" s="19"/>
      <c r="B16" s="19"/>
      <c r="C16" s="19"/>
      <c r="D16" s="19"/>
      <c r="E16" s="19"/>
      <c r="F16" s="20"/>
      <c r="G16" s="19"/>
      <c r="H16" s="19"/>
      <c r="I16" s="20"/>
    </row>
    <row r="17" spans="1:9">
      <c r="A17" s="19"/>
      <c r="B17" s="19"/>
      <c r="C17" s="19"/>
      <c r="D17" s="19"/>
      <c r="E17" s="19"/>
      <c r="F17" s="20"/>
      <c r="G17" s="19"/>
      <c r="H17" s="19"/>
      <c r="I17" s="20"/>
    </row>
    <row r="18" spans="1:9">
      <c r="A18" s="19"/>
      <c r="B18" s="19"/>
      <c r="C18" s="19"/>
      <c r="D18" s="19"/>
      <c r="E18" s="19"/>
      <c r="F18" s="20"/>
      <c r="G18" s="19"/>
      <c r="H18" s="19"/>
      <c r="I18" s="20"/>
    </row>
    <row r="19" spans="1:9">
      <c r="A19" s="19"/>
      <c r="B19" s="19"/>
      <c r="C19" s="19"/>
      <c r="D19" s="19"/>
      <c r="E19" s="19"/>
      <c r="F19" s="20"/>
      <c r="G19" s="19"/>
      <c r="H19" s="19"/>
      <c r="I19" s="20"/>
    </row>
    <row r="20" spans="1:9">
      <c r="A20" s="19"/>
      <c r="B20" s="19"/>
      <c r="C20" s="19"/>
      <c r="D20" s="19"/>
      <c r="E20" s="19"/>
      <c r="F20" s="20"/>
      <c r="G20" s="19"/>
      <c r="H20" s="19"/>
      <c r="I20" s="20"/>
    </row>
    <row r="21" spans="1:9">
      <c r="A21" s="19"/>
      <c r="B21" s="19"/>
      <c r="C21" s="19"/>
      <c r="D21" s="19"/>
      <c r="E21" s="19"/>
      <c r="F21" s="20"/>
      <c r="G21" s="19"/>
      <c r="H21" s="19"/>
      <c r="I21" s="20"/>
    </row>
    <row r="22" spans="1:9">
      <c r="A22" s="19"/>
      <c r="B22" s="19"/>
      <c r="C22" s="19"/>
      <c r="D22" s="19"/>
      <c r="E22" s="19"/>
      <c r="F22" s="20"/>
      <c r="G22" s="19"/>
      <c r="H22" s="19"/>
      <c r="I22" s="20"/>
    </row>
    <row r="23" spans="1:9">
      <c r="A23" s="19"/>
      <c r="B23" s="19"/>
      <c r="C23" s="19"/>
      <c r="D23" s="19"/>
      <c r="E23" s="19"/>
      <c r="F23" s="20"/>
      <c r="G23" s="19"/>
      <c r="H23" s="19"/>
      <c r="I23" s="20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I11" sqref="I11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8" t="str" cm="1">
        <f t="array" ref="A1">portfolio</f>
        <v>ALIGNED</v>
      </c>
      <c r="B1" s="108"/>
      <c r="C1" s="108"/>
      <c r="D1" s="109" t="s">
        <v>14</v>
      </c>
      <c r="E1" s="109"/>
      <c r="F1" s="109"/>
      <c r="G1" s="107" t="s">
        <v>15</v>
      </c>
      <c r="H1" s="107"/>
      <c r="I1" s="107"/>
    </row>
    <row r="2" spans="1:9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47" t="str">
        <v>Loudon - 7046 Pleasant Street</v>
      </c>
      <c r="B5" s="10" t="str">
        <v>NH</v>
      </c>
      <c r="C5" s="11">
        <f>SUM(Jul!C5, Aug!C5, Sep!C5)</f>
        <v>0</v>
      </c>
      <c r="D5" s="16">
        <f>SUM(Jul!D5, Aug!D5, Sep!D5)</f>
        <v>0</v>
      </c>
      <c r="E5" s="16">
        <f t="shared" ref="E5:E11" si="0">IF(AND(ISNUMBER(C5),ISNUMBER(D5)), C5-D5, "")</f>
        <v>0</v>
      </c>
      <c r="F5" s="17" t="str">
        <f>IFERROR(E5/D5, "")</f>
        <v/>
      </c>
      <c r="G5" s="18">
        <f>SUM(Jul!G5,Aug!G5,Sep!G5)</f>
        <v>0</v>
      </c>
      <c r="H5" s="18">
        <f>SUM(Jul!H5, Aug!H5, Sep!H5)</f>
        <v>0</v>
      </c>
      <c r="I5" s="17" t="str">
        <f>IFERROR(H5/G5, "")</f>
        <v/>
      </c>
    </row>
    <row r="6" spans="1:9" ht="15.75">
      <c r="A6" s="46" t="str">
        <v>Nashua - Pennichuck Water  East</v>
      </c>
      <c r="B6" s="9" t="str">
        <v>NH</v>
      </c>
      <c r="C6" s="22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11" si="1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ref="I6:I11" si="2">IFERROR(H6/G6, "")</f>
        <v/>
      </c>
    </row>
    <row r="7" spans="1:9" ht="15.75">
      <c r="A7" s="47" t="str">
        <v>Nashua - Pennichuck Water West</v>
      </c>
      <c r="B7" s="10" t="str">
        <v>NH</v>
      </c>
      <c r="C7" s="11">
        <f>SUM(Jul!C7, Aug!C7, Sep!C7)</f>
        <v>0</v>
      </c>
      <c r="D7" s="16">
        <f>SUM(Jul!D7, Aug!D7, Sep!D7)</f>
        <v>0</v>
      </c>
      <c r="E7" s="16">
        <f t="shared" si="0"/>
        <v>0</v>
      </c>
      <c r="F7" s="17" t="str">
        <f t="shared" si="1"/>
        <v/>
      </c>
      <c r="G7" s="18">
        <f>SUM(Jul!G7,Aug!G7,Sep!G7)</f>
        <v>0</v>
      </c>
      <c r="H7" s="18">
        <f>SUM(Jul!H7, Aug!H7, Sep!H7)</f>
        <v>0</v>
      </c>
      <c r="I7" s="17" t="str">
        <f t="shared" si="2"/>
        <v/>
      </c>
    </row>
    <row r="8" spans="1:9" ht="15.75">
      <c r="A8" s="46" t="str">
        <v>Boothbay - Wiscasset Road</v>
      </c>
      <c r="B8" s="9" t="str">
        <v>ME</v>
      </c>
      <c r="C8" s="22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>
        <f>SUM(Jul!G8,Aug!G8,Sep!G8)</f>
        <v>0</v>
      </c>
      <c r="H8" s="14">
        <f>SUM(Jul!H8, Aug!H8, Sep!H8)</f>
        <v>0</v>
      </c>
      <c r="I8" s="15" t="str">
        <f t="shared" si="2"/>
        <v/>
      </c>
    </row>
    <row r="9" spans="1:9" ht="15.75">
      <c r="A9" s="47" t="str">
        <v>Thorndike -  Leonard Road</v>
      </c>
      <c r="B9" s="10" t="str">
        <v>ME</v>
      </c>
      <c r="C9" s="11">
        <f>SUM(Jul!C9, Aug!C9, Sep!C9)</f>
        <v>0</v>
      </c>
      <c r="D9" s="16">
        <f>SUM(Jul!D9, Aug!D9, Sep!D9)</f>
        <v>0</v>
      </c>
      <c r="E9" s="16">
        <f t="shared" si="0"/>
        <v>0</v>
      </c>
      <c r="F9" s="17" t="str">
        <f t="shared" si="1"/>
        <v/>
      </c>
      <c r="G9" s="18">
        <f>SUM(Jul!G9,Aug!G9,Sep!G9)</f>
        <v>0</v>
      </c>
      <c r="H9" s="18">
        <f>SUM(Jul!H9, Aug!H9, Sep!H9)</f>
        <v>0</v>
      </c>
      <c r="I9" s="17" t="str">
        <f t="shared" si="2"/>
        <v/>
      </c>
    </row>
    <row r="10" spans="1:9" ht="15.75">
      <c r="A10" s="46" t="str">
        <v>Topsham - Solarize LLC</v>
      </c>
      <c r="B10" s="9" t="str">
        <v>ME</v>
      </c>
      <c r="C10" s="22">
        <f>SUM(Jul!C10, Aug!C10, Sep!C10)</f>
        <v>0</v>
      </c>
      <c r="D10" s="12">
        <f>SUM(Jul!D10, Aug!D10, Sep!D10)</f>
        <v>0</v>
      </c>
      <c r="E10" s="12">
        <f t="shared" si="0"/>
        <v>0</v>
      </c>
      <c r="F10" s="13" t="str">
        <f t="shared" si="1"/>
        <v/>
      </c>
      <c r="G10" s="14">
        <f>SUM(Jul!G10,Aug!G10,Sep!G10)</f>
        <v>0</v>
      </c>
      <c r="H10" s="14">
        <f>SUM(Jul!H10, Aug!H10, Sep!H10)</f>
        <v>0</v>
      </c>
      <c r="I10" s="15" t="str">
        <f t="shared" si="2"/>
        <v/>
      </c>
    </row>
    <row r="11" spans="1:9" ht="15.75">
      <c r="A11" s="47" t="str">
        <v>Cherryfield - 727 North Main St (IRA)</v>
      </c>
      <c r="B11" s="10" t="str">
        <v>ME</v>
      </c>
      <c r="C11" s="11"/>
      <c r="D11" s="16">
        <f>SUM(Jul!D11, Aug!D11, Sep!D11)</f>
        <v>0</v>
      </c>
      <c r="E11" s="16" t="str">
        <f t="shared" si="0"/>
        <v/>
      </c>
      <c r="F11" s="17" t="str">
        <f t="shared" si="1"/>
        <v/>
      </c>
      <c r="G11" s="18">
        <f>SUM(Jul!G11,Aug!G11,Sep!G11)</f>
        <v>0</v>
      </c>
      <c r="H11" s="18">
        <f>SUM(Jul!H11, Aug!H11, Sep!H11)</f>
        <v>0</v>
      </c>
      <c r="I11" s="17" t="str">
        <f t="shared" si="2"/>
        <v/>
      </c>
    </row>
    <row r="12" spans="1:9">
      <c r="A12" s="19"/>
      <c r="B12" s="19"/>
      <c r="C12" s="19"/>
      <c r="D12" s="19"/>
      <c r="E12" s="19"/>
      <c r="F12" s="20"/>
      <c r="G12" s="19"/>
      <c r="H12" s="19"/>
      <c r="I12" s="20"/>
    </row>
    <row r="13" spans="1:9">
      <c r="A13" s="19"/>
      <c r="B13" s="19"/>
      <c r="C13" s="19"/>
      <c r="D13" s="19"/>
      <c r="E13" s="19"/>
      <c r="F13" s="20"/>
      <c r="G13" s="19"/>
      <c r="H13" s="19"/>
      <c r="I13" s="20"/>
    </row>
    <row r="14" spans="1:9">
      <c r="A14" s="19"/>
      <c r="B14" s="19"/>
      <c r="C14" s="19"/>
      <c r="D14" s="19"/>
      <c r="E14" s="19"/>
      <c r="F14" s="20"/>
      <c r="G14" s="19"/>
      <c r="H14" s="19"/>
      <c r="I14" s="20"/>
    </row>
    <row r="15" spans="1:9">
      <c r="A15" s="19"/>
      <c r="B15" s="19"/>
      <c r="C15" s="19"/>
      <c r="D15" s="19"/>
      <c r="E15" s="19"/>
      <c r="F15" s="20"/>
      <c r="G15" s="19"/>
      <c r="H15" s="19"/>
      <c r="I15" s="20"/>
    </row>
    <row r="16" spans="1:9">
      <c r="A16" s="19"/>
      <c r="B16" s="19"/>
      <c r="C16" s="19"/>
      <c r="D16" s="19"/>
      <c r="E16" s="19"/>
      <c r="F16" s="20"/>
      <c r="G16" s="19"/>
      <c r="H16" s="19"/>
      <c r="I16" s="20"/>
    </row>
    <row r="17" spans="1:9">
      <c r="A17" s="19"/>
      <c r="B17" s="19"/>
      <c r="C17" s="19"/>
      <c r="D17" s="19"/>
      <c r="E17" s="19"/>
      <c r="F17" s="20"/>
      <c r="G17" s="19"/>
      <c r="H17" s="19"/>
      <c r="I17" s="20"/>
    </row>
    <row r="18" spans="1:9">
      <c r="A18" s="19"/>
      <c r="B18" s="19"/>
      <c r="C18" s="19"/>
      <c r="D18" s="19"/>
      <c r="E18" s="19"/>
      <c r="F18" s="20"/>
      <c r="G18" s="19"/>
      <c r="H18" s="19"/>
      <c r="I18" s="20"/>
    </row>
    <row r="19" spans="1:9">
      <c r="A19" s="19"/>
      <c r="B19" s="19"/>
      <c r="C19" s="19"/>
      <c r="D19" s="19"/>
      <c r="E19" s="19"/>
      <c r="F19" s="20"/>
      <c r="G19" s="19"/>
      <c r="H19" s="19"/>
      <c r="I19" s="20"/>
    </row>
    <row r="20" spans="1:9">
      <c r="A20" s="19"/>
      <c r="B20" s="19"/>
      <c r="C20" s="19"/>
      <c r="D20" s="19"/>
      <c r="E20" s="19"/>
      <c r="F20" s="20"/>
      <c r="G20" s="19"/>
      <c r="H20" s="19"/>
      <c r="I20" s="20"/>
    </row>
    <row r="21" spans="1:9">
      <c r="A21" s="19"/>
      <c r="B21" s="19"/>
      <c r="C21" s="19"/>
      <c r="D21" s="19"/>
      <c r="E21" s="19"/>
      <c r="F21" s="20"/>
      <c r="G21" s="19"/>
      <c r="H21" s="19"/>
      <c r="I21" s="20"/>
    </row>
    <row r="22" spans="1:9">
      <c r="A22" s="19"/>
      <c r="B22" s="19"/>
      <c r="C22" s="19"/>
      <c r="D22" s="19"/>
      <c r="E22" s="19"/>
      <c r="F22" s="20"/>
      <c r="G22" s="19"/>
      <c r="H22" s="19"/>
      <c r="I22" s="20"/>
    </row>
    <row r="23" spans="1:9">
      <c r="A23" s="19"/>
      <c r="B23" s="19"/>
      <c r="C23" s="19"/>
      <c r="D23" s="19"/>
      <c r="E23" s="19"/>
      <c r="F23" s="20"/>
      <c r="G23" s="19"/>
      <c r="H23" s="19"/>
      <c r="I23" s="20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9 I4:I79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7" sqref="F7"/>
      <selection pane="bottomLeft" activeCell="E20" sqref="E20"/>
      <selection pane="topRight" activeCell="E20" sqref="E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8" t="str" cm="1">
        <f t="array" ref="A1">portfolio</f>
        <v>ALIGNED</v>
      </c>
      <c r="B1" s="108"/>
      <c r="C1" s="108"/>
      <c r="D1" s="109" t="s">
        <v>16</v>
      </c>
      <c r="E1" s="109"/>
      <c r="F1" s="109"/>
      <c r="G1" s="107" t="s">
        <v>17</v>
      </c>
      <c r="H1" s="107"/>
      <c r="I1" s="107"/>
    </row>
    <row r="2" spans="1:9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47" t="str">
        <v>Loudon - 7046 Pleasant Street</v>
      </c>
      <c r="B5" s="10" t="str">
        <v>NH</v>
      </c>
      <c r="C5" s="11">
        <f>SUM(Oct!C5, Nov!C5, Dec!C5)</f>
        <v>0</v>
      </c>
      <c r="D5" s="16">
        <f>SUM(Oct!D5, Nov!D5, Dec!D5)</f>
        <v>0</v>
      </c>
      <c r="E5" s="16">
        <f t="shared" ref="E5:E7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75">
      <c r="A6" s="46" t="str">
        <v>Nashua - Pennichuck Water  East</v>
      </c>
      <c r="B6" s="9" t="str">
        <v>NH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7" si="2">IFERROR(H6/G6, "")</f>
        <v/>
      </c>
    </row>
    <row r="7" spans="1:9" ht="15.75">
      <c r="A7" s="47" t="str">
        <v>Nashua - Pennichuck Water West</v>
      </c>
      <c r="B7" s="10" t="str">
        <v>NH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">
      <c r="A8" s="19" t="str">
        <v>Boothbay - Wiscasset Road</v>
      </c>
      <c r="B8" s="10" t="str">
        <v>ME</v>
      </c>
      <c r="C8" s="43"/>
      <c r="D8" s="16"/>
      <c r="E8" s="16"/>
      <c r="F8" s="17"/>
      <c r="G8" s="18"/>
      <c r="H8" s="18"/>
      <c r="I8" s="17"/>
    </row>
    <row r="9" spans="1:9" ht="15">
      <c r="A9" s="19" t="str">
        <v>Thorndike -  Leonard Road</v>
      </c>
      <c r="B9" s="10" t="str">
        <v>ME</v>
      </c>
      <c r="C9" s="43"/>
      <c r="D9" s="16"/>
      <c r="E9" s="16"/>
      <c r="F9" s="17"/>
      <c r="G9" s="18"/>
      <c r="H9" s="18"/>
      <c r="I9" s="17"/>
    </row>
    <row r="10" spans="1:9">
      <c r="A10" s="19" t="str">
        <v>Topsham - Solarize LLC</v>
      </c>
      <c r="B10" s="19" t="str">
        <v>ME</v>
      </c>
      <c r="C10" s="19"/>
      <c r="D10" s="19"/>
      <c r="E10" s="19"/>
      <c r="F10" s="19"/>
      <c r="G10" s="19"/>
      <c r="H10" s="19"/>
      <c r="I10" s="19"/>
    </row>
    <row r="11" spans="1:9">
      <c r="A11" s="19" t="str">
        <v>Cherryfield - 727 North Main St (IRA)</v>
      </c>
      <c r="B11" s="19" t="str">
        <v>ME</v>
      </c>
      <c r="C11" s="19"/>
      <c r="D11" s="19"/>
      <c r="E11" s="19"/>
      <c r="F11" s="19"/>
      <c r="G11" s="19"/>
      <c r="H11" s="19"/>
      <c r="I11" s="19"/>
    </row>
    <row r="12" spans="1:9">
      <c r="A12" s="19"/>
      <c r="B12" s="19"/>
      <c r="C12" s="19"/>
      <c r="D12" s="19"/>
      <c r="E12" s="19"/>
      <c r="F12" s="20"/>
      <c r="G12" s="19"/>
      <c r="H12" s="19"/>
      <c r="I12" s="20"/>
    </row>
    <row r="13" spans="1:9">
      <c r="A13" s="19"/>
      <c r="B13" s="19"/>
      <c r="C13" s="19"/>
      <c r="D13" s="19"/>
      <c r="E13" s="19"/>
      <c r="F13" s="20"/>
      <c r="G13" s="19"/>
      <c r="H13" s="19"/>
      <c r="I13" s="20"/>
    </row>
    <row r="14" spans="1:9">
      <c r="A14" s="19"/>
      <c r="B14" s="19"/>
      <c r="C14" s="19"/>
      <c r="D14" s="19"/>
      <c r="E14" s="19"/>
      <c r="F14" s="20"/>
      <c r="G14" s="19"/>
      <c r="H14" s="19"/>
      <c r="I14" s="20"/>
    </row>
    <row r="15" spans="1:9">
      <c r="A15" s="19"/>
      <c r="B15" s="19"/>
      <c r="C15" s="19"/>
      <c r="D15" s="19"/>
      <c r="E15" s="19"/>
      <c r="F15" s="20"/>
      <c r="G15" s="19"/>
      <c r="H15" s="19"/>
      <c r="I15" s="20"/>
    </row>
    <row r="16" spans="1:9">
      <c r="A16" s="19"/>
      <c r="B16" s="19"/>
      <c r="C16" s="19"/>
      <c r="D16" s="19"/>
      <c r="E16" s="19"/>
      <c r="F16" s="20"/>
      <c r="G16" s="19"/>
      <c r="H16" s="19"/>
      <c r="I16" s="20"/>
    </row>
    <row r="17" spans="1:9">
      <c r="A17" s="19"/>
      <c r="B17" s="19"/>
      <c r="C17" s="19"/>
      <c r="D17" s="19"/>
      <c r="E17" s="19"/>
      <c r="F17" s="20"/>
      <c r="G17" s="19"/>
      <c r="H17" s="19"/>
      <c r="I17" s="20"/>
    </row>
    <row r="18" spans="1:9">
      <c r="A18" s="19"/>
      <c r="B18" s="19"/>
      <c r="C18" s="19"/>
      <c r="D18" s="19"/>
      <c r="E18" s="19"/>
      <c r="F18" s="20"/>
      <c r="G18" s="19"/>
      <c r="H18" s="19"/>
      <c r="I18" s="20"/>
    </row>
    <row r="19" spans="1:9">
      <c r="A19" s="19"/>
      <c r="B19" s="19"/>
      <c r="C19" s="19"/>
      <c r="D19" s="19"/>
      <c r="E19" s="19"/>
      <c r="F19" s="20"/>
      <c r="G19" s="19"/>
      <c r="H19" s="19"/>
      <c r="I19" s="20"/>
    </row>
    <row r="20" spans="1:9">
      <c r="A20" s="19"/>
      <c r="B20" s="19"/>
      <c r="C20" s="19"/>
      <c r="D20" s="19"/>
      <c r="E20" s="19"/>
      <c r="F20" s="20"/>
      <c r="G20" s="19"/>
      <c r="H20" s="19"/>
      <c r="I20" s="20"/>
    </row>
    <row r="21" spans="1:9">
      <c r="A21" s="19"/>
      <c r="B21" s="19"/>
      <c r="C21" s="19"/>
      <c r="D21" s="19"/>
      <c r="E21" s="19"/>
      <c r="F21" s="20"/>
      <c r="G21" s="19"/>
      <c r="H21" s="19"/>
      <c r="I21" s="20"/>
    </row>
    <row r="22" spans="1:9">
      <c r="A22" s="19"/>
      <c r="B22" s="19"/>
      <c r="C22" s="19"/>
      <c r="D22" s="19"/>
      <c r="E22" s="19"/>
      <c r="F22" s="20"/>
      <c r="G22" s="19"/>
      <c r="H22" s="19"/>
      <c r="I22" s="20"/>
    </row>
    <row r="23" spans="1:9">
      <c r="A23" s="19"/>
      <c r="B23" s="19"/>
      <c r="C23" s="19"/>
      <c r="D23" s="19"/>
      <c r="E23" s="19"/>
      <c r="F23" s="20"/>
      <c r="G23" s="19"/>
      <c r="H23" s="19"/>
      <c r="I23" s="20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G8" sqref="G8"/>
      <selection pane="bottomLeft" activeCell="E20" sqref="E20"/>
      <selection pane="topRight" activeCell="E20" sqref="E2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18</v>
      </c>
      <c r="E1" s="109"/>
      <c r="F1" s="109"/>
      <c r="G1" s="107" t="s">
        <v>19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SUM(C4:C78)</f>
        <v>346871.4781783917</v>
      </c>
      <c r="D2" s="5">
        <f>SUM(D4:D78)</f>
        <v>348784.49000000005</v>
      </c>
      <c r="E2" s="5">
        <f>C2-D2</f>
        <v>-1913.0118216083501</v>
      </c>
      <c r="F2" s="6">
        <f>IFERROR(E2/D2, 0)</f>
        <v>-5.4847961318702848E-3</v>
      </c>
      <c r="G2" s="5">
        <f>SUM(G4:G78)</f>
        <v>387367.4</v>
      </c>
      <c r="H2" s="7">
        <f>C2-G2</f>
        <v>-40495.921821608325</v>
      </c>
      <c r="I2" s="6">
        <f>IFERROR(H2/G2, 0)</f>
        <v>-0.10454137808604524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05">
      <c r="A4" s="69" t="str" cm="1">
        <f t="array" ref="A4:A11">Sites[Site]</f>
        <v>Conway -US 302 and Stirch Road</v>
      </c>
      <c r="B4" s="64" t="str" cm="1">
        <f t="array" ref="B4:B11">Sites[State]</f>
        <v>NH</v>
      </c>
      <c r="C4" s="71">
        <v>80975</v>
      </c>
      <c r="D4" s="65">
        <v>75060.55</v>
      </c>
      <c r="E4" s="65">
        <f>IF(AND(ISNUMBER(C4),ISNUMBER(D4)), C4-D4, "")</f>
        <v>5914.4499999999971</v>
      </c>
      <c r="F4" s="66">
        <f>IFERROR(E4/D4, "")</f>
        <v>7.879571892292285E-2</v>
      </c>
      <c r="G4" s="73">
        <v>118300</v>
      </c>
      <c r="H4" s="67">
        <f>IF(AND(ISNUMBER(C4),ISNUMBER(G4)), C4-G4, "")</f>
        <v>-37325</v>
      </c>
      <c r="I4" s="66">
        <f>IFERROR(H4/G4, "")</f>
        <v>-0.31551141166525781</v>
      </c>
      <c r="J4" s="68" t="s">
        <v>22</v>
      </c>
      <c r="K4" s="68" t="s">
        <v>23</v>
      </c>
    </row>
    <row r="5" spans="1:11" ht="30">
      <c r="A5" s="58" t="str">
        <v>Loudon - 7046 Pleasant Street</v>
      </c>
      <c r="B5" s="59" t="str">
        <v>NH</v>
      </c>
      <c r="C5" s="63">
        <v>94149.5</v>
      </c>
      <c r="D5" s="16">
        <v>123337.60000000001</v>
      </c>
      <c r="E5" s="16">
        <f t="shared" ref="E5:E6" si="0">IF(AND(ISNUMBER(C5),ISNUMBER(D5)), C5-D5, "")</f>
        <v>-29188.100000000006</v>
      </c>
      <c r="F5" s="60">
        <f t="shared" ref="F5:F7" si="1">IFERROR(E5/D5, "")</f>
        <v>-0.23665208338738555</v>
      </c>
      <c r="G5" s="61">
        <v>110003.4</v>
      </c>
      <c r="H5" s="61">
        <f t="shared" ref="H5:H6" si="2">IF(AND(ISNUMBER(C5),ISNUMBER(G5)), C5-G5, "")</f>
        <v>-15853.899999999994</v>
      </c>
      <c r="I5" s="60">
        <f t="shared" ref="I5:I6" si="3">IFERROR(H5/G5, "")</f>
        <v>-0.14412190895917759</v>
      </c>
      <c r="J5" s="62" t="s">
        <v>24</v>
      </c>
      <c r="K5" s="70" t="s">
        <v>25</v>
      </c>
    </row>
    <row r="6" spans="1:11" ht="45">
      <c r="A6" s="69" t="str">
        <v>Nashua - Pennichuck Water  East</v>
      </c>
      <c r="B6" s="64" t="str">
        <v>NH</v>
      </c>
      <c r="C6" s="71">
        <v>97358.635678391904</v>
      </c>
      <c r="D6" s="65">
        <v>67312.38</v>
      </c>
      <c r="E6" s="65">
        <f t="shared" si="0"/>
        <v>30046.255678391899</v>
      </c>
      <c r="F6" s="66">
        <f>IFERROR(E6/D6, "")</f>
        <v>0.44637042514901265</v>
      </c>
      <c r="G6" s="67">
        <v>72464</v>
      </c>
      <c r="H6" s="67">
        <f t="shared" si="2"/>
        <v>24894.635678391904</v>
      </c>
      <c r="I6" s="66">
        <f t="shared" si="3"/>
        <v>0.34354487301821462</v>
      </c>
      <c r="J6" s="68" t="s">
        <v>26</v>
      </c>
      <c r="K6" s="68" t="s">
        <v>27</v>
      </c>
    </row>
    <row r="7" spans="1:11" ht="15.75">
      <c r="A7" s="58" t="str">
        <v>Nashua - Pennichuck Water West</v>
      </c>
      <c r="B7" s="59" t="str">
        <v>NH</v>
      </c>
      <c r="C7" s="63">
        <v>74388.342499999795</v>
      </c>
      <c r="D7" s="16">
        <v>83073.960000000006</v>
      </c>
      <c r="E7" s="16">
        <f>IF(AND(ISNUMBER(C7),ISNUMBER(D7)), C7-D7, "")</f>
        <v>-8685.6175000002113</v>
      </c>
      <c r="F7" s="60">
        <f t="shared" si="1"/>
        <v>-0.10455282858792588</v>
      </c>
      <c r="G7" s="16">
        <v>86600</v>
      </c>
      <c r="H7" s="61">
        <f>IF(AND(ISNUMBER(C7),ISNUMBER(G7)), C7-G7, "")</f>
        <v>-12211.657500000205</v>
      </c>
      <c r="I7" s="60">
        <f t="shared" ref="I7" si="4">IFERROR(H7/G7, "")</f>
        <v>-0.1410122113163996</v>
      </c>
      <c r="J7" s="62" t="s">
        <v>28</v>
      </c>
      <c r="K7" s="62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</sheetData>
  <mergeCells count="4">
    <mergeCell ref="D1:F1"/>
    <mergeCell ref="A1:C1"/>
    <mergeCell ref="G1:I1"/>
    <mergeCell ref="A2:B2"/>
  </mergeCells>
  <conditionalFormatting sqref="F2 I2 F8:F78 I8:I7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8" sqref="G8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29</v>
      </c>
      <c r="E1" s="109"/>
      <c r="F1" s="109"/>
      <c r="G1" s="107" t="s">
        <v>30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SUM(C4:C77)</f>
        <v>260811.3696636479</v>
      </c>
      <c r="D2" s="5">
        <f>SUM(D4:D77)</f>
        <v>383101.45</v>
      </c>
      <c r="E2" s="5">
        <f>C2-D2</f>
        <v>-122290.08033635211</v>
      </c>
      <c r="F2" s="6">
        <f>IFERROR(E2/D2, 0)</f>
        <v>-0.31921069559082094</v>
      </c>
      <c r="G2" s="5">
        <f>SUM(G4:G77)</f>
        <v>474636.9</v>
      </c>
      <c r="H2" s="7">
        <f>C2-G2</f>
        <v>-213825.53033635212</v>
      </c>
      <c r="I2" s="6">
        <f>IFERROR(H2/G2, 0)</f>
        <v>-0.45050338550658853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0">
      <c r="A4" s="69" t="str" cm="1">
        <f t="array" ref="A4:A11">Sites[Site]</f>
        <v>Conway -US 302 and Stirch Road</v>
      </c>
      <c r="B4" s="64" t="str" cm="1">
        <f t="array" ref="B4:B11">Sites[State]</f>
        <v>NH</v>
      </c>
      <c r="C4" s="71">
        <v>50574.1815920398</v>
      </c>
      <c r="D4" s="65">
        <v>92518.7</v>
      </c>
      <c r="E4" s="65">
        <f>IF(AND(ISNUMBER(C4),ISNUMBER(D4)), C4-D4, "")</f>
        <v>-41944.518407960197</v>
      </c>
      <c r="F4" s="60">
        <f>IFERROR(E4/D4, "")</f>
        <v>-0.45336260029550995</v>
      </c>
      <c r="G4" s="73">
        <v>140800</v>
      </c>
      <c r="H4" s="67">
        <f>IF(AND(ISNUMBER(C4),ISNUMBER(G4)), C4-G4, "")</f>
        <v>-90225.818407960207</v>
      </c>
      <c r="I4" s="66">
        <f>IFERROR(H4/G4, "")</f>
        <v>-0.64080836937471741</v>
      </c>
      <c r="J4" s="68" t="s">
        <v>31</v>
      </c>
      <c r="K4" s="76" t="s">
        <v>32</v>
      </c>
    </row>
    <row r="5" spans="1:11" ht="15.75">
      <c r="A5" s="58" t="str">
        <v>Loudon - 7046 Pleasant Street</v>
      </c>
      <c r="B5" s="59" t="str">
        <v>NH</v>
      </c>
      <c r="C5" s="63">
        <v>68847.5</v>
      </c>
      <c r="D5" s="16">
        <v>123029.3</v>
      </c>
      <c r="E5" s="16">
        <f t="shared" ref="E5:E7" si="0">IF(AND(ISNUMBER(C5),ISNUMBER(D5)), C5-D5, "")</f>
        <v>-54181.8</v>
      </c>
      <c r="F5" s="60">
        <f t="shared" ref="F5:F7" si="1">IFERROR(E5/D5, "")</f>
        <v>-0.44039753131977505</v>
      </c>
      <c r="G5" s="61">
        <v>138036.9</v>
      </c>
      <c r="H5" s="61">
        <f t="shared" ref="H5:H7" si="2">IF(AND(ISNUMBER(C5),ISNUMBER(G5)), C5-G5, "")</f>
        <v>-69189.399999999994</v>
      </c>
      <c r="I5" s="60">
        <f t="shared" ref="I5:I7" si="3">IFERROR(H5/G5, "")</f>
        <v>-0.50123843696866566</v>
      </c>
      <c r="J5" s="62" t="s">
        <v>28</v>
      </c>
      <c r="K5" s="62"/>
    </row>
    <row r="6" spans="1:11" ht="45">
      <c r="A6" s="50" t="str">
        <v>Nashua - Pennichuck Water  East</v>
      </c>
      <c r="B6" s="27" t="str">
        <v>NH</v>
      </c>
      <c r="C6" s="22">
        <v>84190.364321608096</v>
      </c>
      <c r="D6" s="12">
        <v>90026.76</v>
      </c>
      <c r="E6" s="12">
        <f t="shared" si="0"/>
        <v>-5836.3956783918984</v>
      </c>
      <c r="F6" s="17">
        <f t="shared" si="1"/>
        <v>-6.4829564880396665E-2</v>
      </c>
      <c r="G6" s="14">
        <v>91800</v>
      </c>
      <c r="H6" s="14">
        <f t="shared" si="2"/>
        <v>-7609.6356783919036</v>
      </c>
      <c r="I6" s="15">
        <f t="shared" si="3"/>
        <v>-8.2893634840870409E-2</v>
      </c>
      <c r="J6" s="39" t="s">
        <v>26</v>
      </c>
      <c r="K6" s="77" t="s">
        <v>27</v>
      </c>
    </row>
    <row r="7" spans="1:11" ht="15.75">
      <c r="A7" s="49" t="str">
        <v>Nashua - Pennichuck Water West</v>
      </c>
      <c r="B7" s="29" t="str">
        <v>NH</v>
      </c>
      <c r="C7" s="11">
        <v>57199.323750000003</v>
      </c>
      <c r="D7" s="16">
        <v>77526.69</v>
      </c>
      <c r="E7" s="16">
        <f t="shared" si="0"/>
        <v>-20327.366249999999</v>
      </c>
      <c r="F7" s="60">
        <f t="shared" si="1"/>
        <v>-0.26219829906320002</v>
      </c>
      <c r="G7" s="74">
        <v>104000</v>
      </c>
      <c r="H7" s="18">
        <f t="shared" si="2"/>
        <v>-46800.676249999997</v>
      </c>
      <c r="I7" s="17">
        <f t="shared" si="3"/>
        <v>-0.4500065024038461</v>
      </c>
      <c r="J7" s="40" t="s">
        <v>28</v>
      </c>
      <c r="K7" s="53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 t="s">
        <v>33</v>
      </c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20"/>
      <c r="G10" s="19"/>
      <c r="H10" s="19"/>
      <c r="I10" s="20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>
      <c r="C319" s="19"/>
      <c r="D319" s="19"/>
      <c r="E319" s="19"/>
      <c r="F319" s="20"/>
      <c r="G319" s="19"/>
      <c r="H319" s="19"/>
      <c r="I319" s="20"/>
      <c r="J319" s="19"/>
      <c r="K319" s="19"/>
    </row>
  </sheetData>
  <mergeCells count="4">
    <mergeCell ref="G1:I1"/>
    <mergeCell ref="A1:C1"/>
    <mergeCell ref="D1:F1"/>
    <mergeCell ref="A2:B2"/>
  </mergeCells>
  <conditionalFormatting sqref="F2 I2 I6:I77 F8:F77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6">
    <cfRule type="cellIs" dxfId="24" priority="1" stopIfTrue="1" operator="lessThanOrEqual">
      <formula>-0.1</formula>
    </cfRule>
    <cfRule type="expression" dxfId="23" priority="2">
      <formula>AND(ISNUMBER(F6), F6&gt;=0.1)</formula>
    </cfRule>
  </conditionalFormatting>
  <hyperlinks>
    <hyperlink ref="K4" r:id="rId1" display="https://us3.assetplanner.com/service_request?ID=093738" xr:uid="{9AE87990-0645-461B-BBA4-EA4099988AA9}"/>
    <hyperlink ref="K6" r:id="rId2" display="https://us3.assetplanner.com/service_request?ID=099647" xr:uid="{B8A94AB9-5A2A-4045-95F3-A339EB7B26B4}"/>
  </hyperlinks>
  <pageMargins left="0.4" right="0.7" top="0.25" bottom="0.25" header="0.3" footer="0.3"/>
  <pageSetup fitToHeight="99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G8" sqref="G8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108" t="str" cm="1">
        <f t="array" ref="A1">portfolio</f>
        <v>ALIGNED</v>
      </c>
      <c r="B1" s="108"/>
      <c r="C1" s="108"/>
      <c r="D1" s="109" t="s">
        <v>34</v>
      </c>
      <c r="E1" s="109"/>
      <c r="F1" s="109"/>
      <c r="G1" s="107" t="s">
        <v>35</v>
      </c>
      <c r="H1" s="107"/>
      <c r="I1" s="107"/>
      <c r="J1" s="4"/>
      <c r="K1" s="4"/>
    </row>
    <row r="2" spans="1:13" ht="19.5" customHeight="1">
      <c r="A2" s="110" t="s">
        <v>2</v>
      </c>
      <c r="B2" s="110"/>
      <c r="C2" s="5">
        <f>SUM(C4:C79)</f>
        <v>540693.98340796004</v>
      </c>
      <c r="D2" s="5">
        <f>SUM(D4:D79)</f>
        <v>509807.51999999996</v>
      </c>
      <c r="E2" s="5">
        <f>C2-D2</f>
        <v>30886.46340796008</v>
      </c>
      <c r="F2" s="6">
        <f>IFERROR(E2/D2, 0)</f>
        <v>6.0584558281839548E-2</v>
      </c>
      <c r="G2" s="5">
        <f>SUM(G4:G79)</f>
        <v>607473.80000000005</v>
      </c>
      <c r="H2" s="7">
        <f>C2-G2</f>
        <v>-66779.816592040006</v>
      </c>
      <c r="I2" s="6">
        <f>IFERROR(H2/G2, 0)</f>
        <v>-0.1099303650495544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20">
      <c r="A4" s="72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133981.81840796</v>
      </c>
      <c r="D4" s="12">
        <v>129640.9</v>
      </c>
      <c r="E4" s="12">
        <f>IF(AND(ISNUMBER(C4),ISNUMBER(D4)), C4-D4, "")</f>
        <v>4340.9184079600091</v>
      </c>
      <c r="F4" s="13">
        <f>IFERROR(E4/D4, "")</f>
        <v>3.3484173651679439E-2</v>
      </c>
      <c r="G4" s="75">
        <v>177900</v>
      </c>
      <c r="H4" s="14">
        <f>IF(AND(ISNUMBER(C4),ISNUMBER(G4)), C4-G4, "")</f>
        <v>-43918.181592039997</v>
      </c>
      <c r="I4" s="15">
        <f>IFERROR(H4/G4, "")</f>
        <v>-0.24687004829702078</v>
      </c>
      <c r="J4" s="52" t="s">
        <v>36</v>
      </c>
      <c r="K4" s="78" t="s">
        <v>37</v>
      </c>
      <c r="L4" s="80" t="s">
        <v>38</v>
      </c>
      <c r="M4" s="80" t="s">
        <v>39</v>
      </c>
    </row>
    <row r="5" spans="1:13" ht="45">
      <c r="A5" s="28" t="str">
        <v>Loudon - 7046 Pleasant Street</v>
      </c>
      <c r="B5" s="29" t="str">
        <v>NH</v>
      </c>
      <c r="C5" s="11">
        <v>141619.5</v>
      </c>
      <c r="D5" s="16">
        <v>150060.1</v>
      </c>
      <c r="E5" s="16">
        <f>IF(AND(ISNUMBER(C5),ISNUMBER(D5)), C5-D5, "")</f>
        <v>-8440.6000000000058</v>
      </c>
      <c r="F5" s="17">
        <f>IFERROR(E5/D5, "")</f>
        <v>-5.6248129915947048E-2</v>
      </c>
      <c r="G5" s="18">
        <v>171765.8</v>
      </c>
      <c r="H5" s="18">
        <f>IF(AND(ISNUMBER(C5),ISNUMBER(G5)), C5-G5, "")</f>
        <v>-30146.299999999988</v>
      </c>
      <c r="I5" s="17">
        <f t="shared" ref="I5:I7" si="0">IFERROR(H5/G5, "")</f>
        <v>-0.17550816285896256</v>
      </c>
      <c r="J5" s="40" t="s">
        <v>40</v>
      </c>
      <c r="K5" s="79" t="s">
        <v>41</v>
      </c>
      <c r="L5" s="81"/>
      <c r="M5" s="81"/>
    </row>
    <row r="6" spans="1:13" ht="45">
      <c r="A6" s="26" t="str">
        <v>Nashua - Pennichuck Water  East</v>
      </c>
      <c r="B6" s="27" t="str">
        <v>NH</v>
      </c>
      <c r="C6" s="22">
        <v>149613.5</v>
      </c>
      <c r="D6" s="12">
        <v>137537.60000000001</v>
      </c>
      <c r="E6" s="12">
        <f>IF(AND(ISNUMBER(C6),ISNUMBER(D6)), C6-D6, "")</f>
        <v>12075.899999999994</v>
      </c>
      <c r="F6" s="13">
        <f>IFERROR(E6/D6, "")</f>
        <v>8.7800717767359565E-2</v>
      </c>
      <c r="G6" s="14">
        <v>125808</v>
      </c>
      <c r="H6" s="14">
        <f>IF(AND(ISNUMBER(C6),ISNUMBER(G6)), C6-G6, "")</f>
        <v>23805.5</v>
      </c>
      <c r="I6" s="15">
        <f t="shared" si="0"/>
        <v>0.18922087625588199</v>
      </c>
      <c r="J6" s="39" t="s">
        <v>26</v>
      </c>
      <c r="K6" s="77" t="s">
        <v>27</v>
      </c>
      <c r="L6" s="81"/>
      <c r="M6" s="81"/>
    </row>
    <row r="7" spans="1:13" ht="15.75">
      <c r="A7" s="28" t="str">
        <v>Nashua - Pennichuck Water West</v>
      </c>
      <c r="B7" s="29" t="str">
        <v>NH</v>
      </c>
      <c r="C7" s="11">
        <v>115479.16499999999</v>
      </c>
      <c r="D7" s="16">
        <v>92568.92</v>
      </c>
      <c r="E7" s="16">
        <f>IF(AND(ISNUMBER(C7),ISNUMBER(D7)), C7-D7, "")</f>
        <v>22910.244999999995</v>
      </c>
      <c r="F7" s="17">
        <f>IFERROR(E7/D7, "")</f>
        <v>0.24749392128589159</v>
      </c>
      <c r="G7" s="74">
        <v>132000</v>
      </c>
      <c r="H7" s="18">
        <f>IF(AND(ISNUMBER(C7),ISNUMBER(G7)), C7-G7, "")</f>
        <v>-16520.835000000006</v>
      </c>
      <c r="I7" s="17">
        <f t="shared" si="0"/>
        <v>-0.12515784090909096</v>
      </c>
      <c r="J7" s="40"/>
      <c r="K7" s="41"/>
      <c r="L7" s="81"/>
      <c r="M7" s="81"/>
    </row>
    <row r="8" spans="1:13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3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3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58" xr:uid="{BFEE06F7-B673-4E4D-8095-672354897D9C}"/>
    <hyperlink ref="L4" r:id="rId2" display="https://us3.assetplanner.com/service_request?ID=098648" xr:uid="{E9C4CFDB-7310-481C-A754-7A1F0E28217F}"/>
    <hyperlink ref="M4" r:id="rId3" display="https://us3.assetplanner.com/service_request?ID=093738" xr:uid="{EE23249C-72CD-4ECE-B712-3A7813D9E219}"/>
    <hyperlink ref="K5" r:id="rId4" display="https://us3.assetplanner.com/service_request?ID=098240" xr:uid="{7C196433-B71A-400C-806F-57D1B789A534}"/>
    <hyperlink ref="K6" r:id="rId5" display="https://us3.assetplanner.com/service_request?ID=099647" xr:uid="{00B885FD-852F-4FFC-8AEA-DD7AEBCB98C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H16" sqref="H16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42</v>
      </c>
      <c r="E1" s="109"/>
      <c r="F1" s="109"/>
      <c r="G1" s="107" t="s">
        <v>43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1104316.4879999999</v>
      </c>
      <c r="D2" s="5">
        <f>SUM(D4:D79)</f>
        <v>1080231.7580000001</v>
      </c>
      <c r="E2" s="5">
        <f>C2-D2</f>
        <v>24084.729999999749</v>
      </c>
      <c r="F2" s="6">
        <f>IFERROR(E2/D2, 0)</f>
        <v>2.2295891434067378E-2</v>
      </c>
      <c r="G2" s="5">
        <f>SUM(G4:G79)</f>
        <v>1355401.3</v>
      </c>
      <c r="H2" s="7">
        <f>C2-G2</f>
        <v>-251084.81200000015</v>
      </c>
      <c r="I2" s="6">
        <f>IFERROR(H2/G2, 0)</f>
        <v>-0.18524758091939275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169580.5</v>
      </c>
      <c r="D4" s="12">
        <v>161751.51500000001</v>
      </c>
      <c r="E4" s="12">
        <f>IF(AND(ISNUMBER(C4),ISNUMBER(D4)), C4-D4, "")</f>
        <v>7828.984999999986</v>
      </c>
      <c r="F4" s="13">
        <f>IFERROR(E4/D4, "")</f>
        <v>4.8401308636892737E-2</v>
      </c>
      <c r="G4" s="75">
        <v>192500</v>
      </c>
      <c r="H4" s="14">
        <f>IF(AND(ISNUMBER(C4),ISNUMBER(G4)), C4-G4, "")</f>
        <v>-22919.5</v>
      </c>
      <c r="I4" s="15">
        <f>IFERROR(H4/G4, "")</f>
        <v>-0.11906233766233766</v>
      </c>
      <c r="J4" s="52" t="s">
        <v>44</v>
      </c>
      <c r="K4" s="78" t="s">
        <v>45</v>
      </c>
    </row>
    <row r="5" spans="1:11" ht="45">
      <c r="A5" s="28" t="str">
        <v>Loudon - 7046 Pleasant Street</v>
      </c>
      <c r="B5" s="29" t="str">
        <v>NH</v>
      </c>
      <c r="C5" s="11">
        <v>169913.505</v>
      </c>
      <c r="D5" s="16">
        <v>165500.23000000001</v>
      </c>
      <c r="E5" s="16">
        <f t="shared" ref="E5:E10" si="0">IF(AND(ISNUMBER(C5),ISNUMBER(D5)), C5-D5, "")</f>
        <v>4413.2749999999942</v>
      </c>
      <c r="F5" s="17">
        <f>IFERROR(E5/D5, "")</f>
        <v>2.6666277140521156E-2</v>
      </c>
      <c r="G5" s="18">
        <v>187247.5</v>
      </c>
      <c r="H5" s="18">
        <f t="shared" ref="H5:H10" si="1">IF(AND(ISNUMBER(C5),ISNUMBER(G5)), C5-G5, "")</f>
        <v>-17333.994999999995</v>
      </c>
      <c r="I5" s="17">
        <f t="shared" ref="I5:I10" si="2">IFERROR(H5/G5, "")</f>
        <v>-9.2572637818929465E-2</v>
      </c>
      <c r="J5" s="53" t="s">
        <v>46</v>
      </c>
      <c r="K5" s="79" t="s">
        <v>47</v>
      </c>
    </row>
    <row r="6" spans="1:11" ht="45">
      <c r="A6" s="26" t="str">
        <v>Nashua - Pennichuck Water  East</v>
      </c>
      <c r="B6" s="27" t="str">
        <v>NH</v>
      </c>
      <c r="C6" s="22">
        <v>164578.201</v>
      </c>
      <c r="D6" s="12">
        <v>175490.065</v>
      </c>
      <c r="E6" s="12">
        <f t="shared" si="0"/>
        <v>-10911.864000000001</v>
      </c>
      <c r="F6" s="13">
        <f t="shared" ref="F6:F10" si="3">IFERROR(E6/D6, "")</f>
        <v>-6.2179383203259976E-2</v>
      </c>
      <c r="G6" s="14">
        <v>131368</v>
      </c>
      <c r="H6" s="14">
        <f t="shared" si="1"/>
        <v>33210.201000000001</v>
      </c>
      <c r="I6" s="15">
        <f t="shared" si="2"/>
        <v>0.25280282108275987</v>
      </c>
      <c r="J6" s="52" t="s">
        <v>48</v>
      </c>
      <c r="K6" s="78" t="s">
        <v>49</v>
      </c>
    </row>
    <row r="7" spans="1:11" ht="45">
      <c r="A7" s="28" t="str">
        <v>Nashua - Pennichuck Water West</v>
      </c>
      <c r="B7" s="29" t="str">
        <v>NH</v>
      </c>
      <c r="C7" s="11">
        <v>126556</v>
      </c>
      <c r="D7" s="16">
        <v>96930.197</v>
      </c>
      <c r="E7" s="16">
        <f t="shared" si="0"/>
        <v>29625.803</v>
      </c>
      <c r="F7" s="17">
        <f t="shared" si="3"/>
        <v>0.30564059412775152</v>
      </c>
      <c r="G7" s="74">
        <v>143000</v>
      </c>
      <c r="H7" s="18">
        <f t="shared" si="1"/>
        <v>-16444</v>
      </c>
      <c r="I7" s="17">
        <f t="shared" si="2"/>
        <v>-0.11499300699300699</v>
      </c>
      <c r="J7" s="84" t="s">
        <v>50</v>
      </c>
      <c r="K7" s="79" t="s">
        <v>51</v>
      </c>
    </row>
    <row r="8" spans="1:11" ht="15.75">
      <c r="A8" s="26" t="str">
        <v>Boothbay - Wiscasset Road</v>
      </c>
      <c r="B8" s="27" t="str">
        <v>ME</v>
      </c>
      <c r="C8" s="22">
        <v>174667.81299999999</v>
      </c>
      <c r="D8" s="12">
        <v>176099.45199999999</v>
      </c>
      <c r="E8" s="12">
        <f t="shared" si="0"/>
        <v>-1431.6389999999956</v>
      </c>
      <c r="F8" s="13">
        <f t="shared" si="3"/>
        <v>-8.129718654661092E-3</v>
      </c>
      <c r="G8" s="14">
        <v>186049</v>
      </c>
      <c r="H8" s="14">
        <f t="shared" si="1"/>
        <v>-11381.187000000005</v>
      </c>
      <c r="I8" s="15">
        <f t="shared" si="2"/>
        <v>-6.1173061935296646E-2</v>
      </c>
      <c r="J8" s="52"/>
      <c r="K8" s="52"/>
    </row>
    <row r="9" spans="1:11" ht="15.75">
      <c r="A9" s="28" t="str">
        <v>Thorndike -  Leonard Road</v>
      </c>
      <c r="B9" s="29" t="str">
        <v>ME</v>
      </c>
      <c r="C9" s="11">
        <v>165038.875</v>
      </c>
      <c r="D9" s="16">
        <v>172328.69399999999</v>
      </c>
      <c r="E9" s="16">
        <f t="shared" si="0"/>
        <v>-7289.8189999999886</v>
      </c>
      <c r="F9" s="17">
        <f t="shared" si="3"/>
        <v>-4.2301829316944685E-2</v>
      </c>
      <c r="G9" s="74">
        <v>380356.8</v>
      </c>
      <c r="H9" s="18">
        <f t="shared" si="1"/>
        <v>-215317.92499999999</v>
      </c>
      <c r="I9" s="17">
        <f t="shared" si="2"/>
        <v>-0.56609458539981405</v>
      </c>
      <c r="J9" s="84" t="s">
        <v>52</v>
      </c>
      <c r="K9" s="79" t="s">
        <v>53</v>
      </c>
    </row>
    <row r="10" spans="1:11" ht="75">
      <c r="A10" s="26" t="str">
        <v>Topsham - Solarize LLC</v>
      </c>
      <c r="B10" s="27" t="str">
        <v>ME</v>
      </c>
      <c r="C10" s="22">
        <v>133981.59400000001</v>
      </c>
      <c r="D10" s="12">
        <v>132131.60500000001</v>
      </c>
      <c r="E10" s="12">
        <f t="shared" si="0"/>
        <v>1849.9890000000014</v>
      </c>
      <c r="F10" s="13">
        <f t="shared" si="3"/>
        <v>1.4001108970105989E-2</v>
      </c>
      <c r="G10" s="14">
        <v>134880</v>
      </c>
      <c r="H10" s="14">
        <f t="shared" si="1"/>
        <v>-898.40599999998813</v>
      </c>
      <c r="I10" s="15">
        <f t="shared" si="2"/>
        <v>-6.6607799525503272E-3</v>
      </c>
      <c r="J10" s="52" t="s">
        <v>54</v>
      </c>
      <c r="K10" s="78" t="s">
        <v>55</v>
      </c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472" xr:uid="{BA0B0601-81E8-4523-8682-641E0D2D3023}"/>
    <hyperlink ref="K5" r:id="rId2" display="https://us3.assetplanner.com/service_request?ID=100664" xr:uid="{43CC1DCD-18EF-4977-BD30-14DA507B7709}"/>
    <hyperlink ref="K6" r:id="rId3" display="https://us3.assetplanner.com/service_request?ID=099647" xr:uid="{F4D470F7-B9B8-48D2-813B-BDF9DD83843E}"/>
    <hyperlink ref="K7" r:id="rId4" display="https://us3.assetplanner.com/service_request?ID=100020" xr:uid="{43C28D82-7697-4D81-A44A-CC57EB4D9A7B}"/>
    <hyperlink ref="K9" r:id="rId5" display="https://us3.assetplanner.com/service_request?ID=099480" xr:uid="{7E7447F8-1AB6-4160-9A13-1D8E27AB83A8}"/>
    <hyperlink ref="K10" r:id="rId6" display="https://us3.assetplanner.com/service_request?ID=100347" xr:uid="{751CB921-9E9C-4F87-9DA7-B086DACA9CBE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tabSelected="1" workbookViewId="0">
      <pane xSplit="2" ySplit="3" topLeftCell="C4" activePane="bottomRight" state="frozen"/>
      <selection pane="bottomRight" activeCell="C4" sqref="C4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1"/>
  </cols>
  <sheetData>
    <row r="1" spans="1:13" ht="19.5" customHeight="1">
      <c r="A1" s="108" t="str" cm="1">
        <f t="array" ref="A1">portfolio</f>
        <v>ALIGNED</v>
      </c>
      <c r="B1" s="108"/>
      <c r="C1" s="108"/>
      <c r="D1" s="109" t="s">
        <v>56</v>
      </c>
      <c r="E1" s="109"/>
      <c r="F1" s="109"/>
      <c r="G1" s="107" t="s">
        <v>57</v>
      </c>
      <c r="H1" s="107"/>
      <c r="I1" s="107"/>
      <c r="J1" s="4"/>
      <c r="K1" s="4"/>
    </row>
    <row r="2" spans="1:13" ht="19.5" customHeight="1">
      <c r="A2" s="110" t="s">
        <v>2</v>
      </c>
      <c r="B2" s="110"/>
      <c r="C2" s="5">
        <f>SUM(C4:C79)</f>
        <v>1370681.6601414019</v>
      </c>
      <c r="D2" s="5">
        <f>SUM(D4:D79)</f>
        <v>1378772.24</v>
      </c>
      <c r="E2" s="5">
        <f>C2-D2</f>
        <v>-8090.5798585980665</v>
      </c>
      <c r="F2" s="6">
        <f>IFERROR(E2/D2, 0)</f>
        <v>-5.8679596411065444E-3</v>
      </c>
      <c r="G2" s="5">
        <f>SUM(G4:G79)</f>
        <v>1994351.4999999998</v>
      </c>
      <c r="H2" s="7">
        <f>C2-G2</f>
        <v>-623669.83985859784</v>
      </c>
      <c r="I2" s="6">
        <f>IFERROR(H2/G2, 0)</f>
        <v>-0.3127181140629412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5" customHeight="1">
      <c r="A4" s="72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133174.99999999901</v>
      </c>
      <c r="D4" s="12">
        <v>133034.1</v>
      </c>
      <c r="E4" s="12">
        <f>IF(AND(ISNUMBER(C4),ISNUMBER(D4)), C4-D4, "")</f>
        <v>140.89999999900465</v>
      </c>
      <c r="F4" s="13">
        <f>IFERROR(E4/D4, "")</f>
        <v>1.0591269456402879E-3</v>
      </c>
      <c r="G4" s="14">
        <v>216200</v>
      </c>
      <c r="H4" s="14">
        <f>IF(AND(ISNUMBER(C4),ISNUMBER(G4)), C4-G4, "")</f>
        <v>-83025.00000000099</v>
      </c>
      <c r="I4" s="15">
        <f>IFERROR(H4/G4, "")</f>
        <v>-0.38401942645698883</v>
      </c>
      <c r="J4" s="39" t="s">
        <v>58</v>
      </c>
      <c r="K4" s="77" t="s">
        <v>59</v>
      </c>
    </row>
    <row r="5" spans="1:13" ht="15.75">
      <c r="A5" s="28" t="str">
        <v>Loudon - 7046 Pleasant Street</v>
      </c>
      <c r="B5" s="29" t="str">
        <v>NH</v>
      </c>
      <c r="C5" s="11">
        <v>157983.62237179501</v>
      </c>
      <c r="D5" s="16">
        <v>148646.9</v>
      </c>
      <c r="E5" s="16">
        <f t="shared" ref="E5:E7" si="0">IF(AND(ISNUMBER(C5),ISNUMBER(D5)), C5-D5, "")</f>
        <v>9336.722371795011</v>
      </c>
      <c r="F5" s="17">
        <f>IFERROR(E5/D5, "")</f>
        <v>6.2811416664558833E-2</v>
      </c>
      <c r="G5" s="18">
        <v>211772.2</v>
      </c>
      <c r="H5" s="18">
        <f t="shared" ref="H5:H7" si="1">IF(AND(ISNUMBER(C5),ISNUMBER(G5)), C5-G5, "")</f>
        <v>-53788.577628205006</v>
      </c>
      <c r="I5" s="17">
        <f t="shared" ref="I5:I7" si="2">IFERROR(H5/G5, "")</f>
        <v>-0.25399262806074169</v>
      </c>
      <c r="J5" s="54"/>
      <c r="K5" s="54"/>
    </row>
    <row r="6" spans="1:13" ht="75">
      <c r="A6" s="26" t="str">
        <v>Nashua - Pennichuck Water  East</v>
      </c>
      <c r="B6" s="27" t="str">
        <v>NH</v>
      </c>
      <c r="C6" s="22">
        <v>142766.16151960799</v>
      </c>
      <c r="D6" s="12">
        <v>162107</v>
      </c>
      <c r="E6" s="12">
        <f t="shared" si="0"/>
        <v>-19340.838480392005</v>
      </c>
      <c r="F6" s="13">
        <f t="shared" ref="F6:F7" si="3">IFERROR(E6/D6, "")</f>
        <v>-0.11930908893750428</v>
      </c>
      <c r="G6" s="14">
        <v>144688</v>
      </c>
      <c r="H6" s="14">
        <f t="shared" si="1"/>
        <v>-1921.8384803920053</v>
      </c>
      <c r="I6" s="15">
        <f t="shared" si="2"/>
        <v>-1.3282639060544103E-2</v>
      </c>
      <c r="J6" s="39" t="s">
        <v>60</v>
      </c>
      <c r="K6" s="77" t="s">
        <v>61</v>
      </c>
      <c r="L6" s="80" t="s">
        <v>62</v>
      </c>
    </row>
    <row r="7" spans="1:13" ht="120">
      <c r="A7" s="28" t="str">
        <v>Nashua - Pennichuck Water West</v>
      </c>
      <c r="B7" s="29" t="str">
        <v>NH</v>
      </c>
      <c r="C7" s="11">
        <v>109093</v>
      </c>
      <c r="D7" s="16">
        <v>83703.94</v>
      </c>
      <c r="E7" s="16">
        <f t="shared" si="0"/>
        <v>25389.059999999998</v>
      </c>
      <c r="F7" s="17">
        <f t="shared" si="3"/>
        <v>0.30331977204418331</v>
      </c>
      <c r="G7" s="74">
        <v>216200</v>
      </c>
      <c r="H7" s="18">
        <f t="shared" si="1"/>
        <v>-107107</v>
      </c>
      <c r="I7" s="17">
        <f t="shared" si="2"/>
        <v>-0.49540703052728957</v>
      </c>
      <c r="J7" s="40" t="s">
        <v>63</v>
      </c>
      <c r="K7" s="79" t="s">
        <v>64</v>
      </c>
      <c r="L7" s="80" t="s">
        <v>65</v>
      </c>
      <c r="M7" s="80" t="s">
        <v>66</v>
      </c>
    </row>
    <row r="8" spans="1:13" ht="30">
      <c r="A8" s="26" t="str">
        <v>Boothbay - Wiscasset Road</v>
      </c>
      <c r="B8" s="27" t="str">
        <v>ME</v>
      </c>
      <c r="C8" s="85">
        <v>173991</v>
      </c>
      <c r="D8" s="12">
        <v>176162</v>
      </c>
      <c r="E8" s="12">
        <f>IF(AND(ISNUMBER(C8),ISNUMBER(D8)), C8-D8, "")</f>
        <v>-2171</v>
      </c>
      <c r="F8" s="86">
        <f>IFERROR(E8/D8, "")</f>
        <v>-1.2323883697959833E-2</v>
      </c>
      <c r="G8" s="87">
        <v>213942</v>
      </c>
      <c r="H8" s="87">
        <f>IF(AND(ISNUMBER(C8),ISNUMBER(G8)), C8-G8, "")</f>
        <v>-39951</v>
      </c>
      <c r="I8" s="88">
        <f>IFERROR(H8/G8, "")</f>
        <v>-0.18673752699329724</v>
      </c>
      <c r="J8" s="89" t="s">
        <v>67</v>
      </c>
      <c r="K8" s="89" t="s">
        <v>68</v>
      </c>
    </row>
    <row r="9" spans="1:13" ht="90">
      <c r="A9" s="28" t="str">
        <v>Thorndike -  Leonard Road</v>
      </c>
      <c r="B9" s="29" t="str">
        <v>ME</v>
      </c>
      <c r="C9" s="90">
        <v>172047.625</v>
      </c>
      <c r="D9" s="16">
        <v>178637.2</v>
      </c>
      <c r="E9" s="16">
        <f>IF(AND(ISNUMBER(C9),ISNUMBER(D9)), C9-D9, "")</f>
        <v>-6589.5750000000116</v>
      </c>
      <c r="F9" s="91">
        <f>IFERROR(E9/D9, "")</f>
        <v>-3.6888033399538347E-2</v>
      </c>
      <c r="G9" s="92">
        <v>432588.1</v>
      </c>
      <c r="H9" s="92">
        <f>IF(AND(ISNUMBER(C9),ISNUMBER(G9)), C9-G9, "")</f>
        <v>-260540.47499999998</v>
      </c>
      <c r="I9" s="91">
        <f>IFERROR(H9/G9, "")</f>
        <v>-0.60228303783668569</v>
      </c>
      <c r="J9" s="40" t="s">
        <v>69</v>
      </c>
      <c r="K9" s="95" t="s">
        <v>70</v>
      </c>
    </row>
    <row r="10" spans="1:13" ht="60">
      <c r="A10" s="26" t="str">
        <v>Topsham - Solarize LLC</v>
      </c>
      <c r="B10" s="27" t="str">
        <v>ME</v>
      </c>
      <c r="C10" s="100">
        <v>129390.53125</v>
      </c>
      <c r="D10" s="101">
        <v>128884.4</v>
      </c>
      <c r="E10" s="101">
        <f>IF(AND(ISNUMBER(C10),ISNUMBER(D10)), C10-D10, "")</f>
        <v>506.13125000000582</v>
      </c>
      <c r="F10" s="102">
        <f>IFERROR(E10/D10, "")</f>
        <v>3.9270171564596322E-3</v>
      </c>
      <c r="G10" s="103">
        <v>155893</v>
      </c>
      <c r="H10" s="103">
        <f>IF(AND(ISNUMBER(C10),ISNUMBER(G10)), C10-G10, "")</f>
        <v>-26502.46875</v>
      </c>
      <c r="I10" s="104">
        <f>IFERROR(H10/G10, "")</f>
        <v>-0.17000422565477602</v>
      </c>
      <c r="J10" s="89" t="s">
        <v>71</v>
      </c>
      <c r="K10" s="96" t="s">
        <v>72</v>
      </c>
    </row>
    <row r="11" spans="1:13" ht="15.75">
      <c r="A11" s="98" t="str">
        <v>Cherryfield - 727 North Main St (IRA)</v>
      </c>
      <c r="B11" s="99" t="str">
        <v>ME</v>
      </c>
      <c r="C11" s="105">
        <v>352234.72</v>
      </c>
      <c r="D11" s="105">
        <v>367596.7</v>
      </c>
      <c r="E11" s="101">
        <f>IF(AND(ISNUMBER(C11),ISNUMBER(D11)), C11-D11, "")</f>
        <v>-15361.98000000004</v>
      </c>
      <c r="F11" s="102">
        <f>IFERROR(E11/D11, "")</f>
        <v>-4.1790309869484787E-2</v>
      </c>
      <c r="G11" s="97">
        <v>403068.2</v>
      </c>
      <c r="H11" s="103">
        <f>IF(AND(ISNUMBER(C11),ISNUMBER(G11)), C11-G11, "")</f>
        <v>-50833.48000000004</v>
      </c>
      <c r="I11" s="104">
        <f>IFERROR(H11/G11, "")</f>
        <v>-0.12611632473114981</v>
      </c>
      <c r="J11" s="97" t="s">
        <v>73</v>
      </c>
      <c r="K11" s="106" t="s">
        <v>74</v>
      </c>
    </row>
    <row r="12" spans="1:13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376" xr:uid="{6A55E4E4-7200-4CBC-9123-569D2FB9C130}"/>
    <hyperlink ref="K6" r:id="rId2" display="https://us3.assetplanner.com/service_request?ID=102029" xr:uid="{B2237EC9-75F3-4A12-AB2A-E0717D105AA5}"/>
    <hyperlink ref="L6" r:id="rId3" display="https://us3.assetplanner.com/service_request?ID=099647" xr:uid="{817A699B-511F-4419-8BDC-E0C0C4760548}"/>
    <hyperlink ref="K7" r:id="rId4" display="https://us3.assetplanner.com/service_request?ID=102030" xr:uid="{F6AC746E-4859-4CDB-A325-16F7EE4066CA}"/>
    <hyperlink ref="L7" r:id="rId5" display="https://us3.assetplanner.com/service_request?ID=102218" xr:uid="{FBA84AE9-03DE-4F0F-A323-BF00B92A76AA}"/>
    <hyperlink ref="M7" r:id="rId6" display="https://us3.assetplanner.com/service_request?ID=100020" xr:uid="{E443040C-FA48-4567-AF64-6E0CE9760EFF}"/>
    <hyperlink ref="K9" r:id="rId7" display="https://us3.assetplanner.com/service_request?ID=102061" xr:uid="{2F0F0F42-946A-441B-8CBF-12A5CA61FAD5}"/>
    <hyperlink ref="K10" r:id="rId8" display="https://us3.assetplanner.com/service_request?ID=100825" xr:uid="{C6A48680-D1A1-4D6F-BB54-BEA045F041BF}"/>
    <hyperlink ref="K11" r:id="rId9" xr:uid="{337D6519-18AF-44DB-A07A-81279062B513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workbookViewId="0">
      <pane xSplit="2" ySplit="3" topLeftCell="C4" activePane="bottomRight" state="frozen"/>
      <selection pane="bottomRight" activeCell="G12" sqref="G12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1"/>
  </cols>
  <sheetData>
    <row r="1" spans="1:13" ht="19.5" customHeight="1">
      <c r="A1" s="108" t="str" cm="1">
        <f t="array" ref="A1">portfolio</f>
        <v>ALIGNED</v>
      </c>
      <c r="B1" s="108"/>
      <c r="C1" s="108"/>
      <c r="D1" s="109" t="s">
        <v>75</v>
      </c>
      <c r="E1" s="109"/>
      <c r="F1" s="109"/>
      <c r="G1" s="107" t="s">
        <v>76</v>
      </c>
      <c r="H1" s="107"/>
      <c r="I1" s="107"/>
      <c r="J1" s="4"/>
      <c r="K1" s="4"/>
    </row>
    <row r="2" spans="1:13" ht="19.5" customHeight="1">
      <c r="A2" s="110" t="s">
        <v>2</v>
      </c>
      <c r="B2" s="110"/>
      <c r="C2" s="5">
        <f>SUM(C4:C79)</f>
        <v>1626114.1350000009</v>
      </c>
      <c r="D2" s="5">
        <f>SUM(D4:D79)</f>
        <v>1707614.3200000003</v>
      </c>
      <c r="E2" s="5">
        <f>C2-D2</f>
        <v>-81500.184999999357</v>
      </c>
      <c r="F2" s="6">
        <f>IFERROR(E2/D2, 0)</f>
        <v>-4.772751320098987E-2</v>
      </c>
      <c r="G2" s="5">
        <f>SUM(G4:G79)</f>
        <v>1966091.4</v>
      </c>
      <c r="H2" s="7">
        <f>C2-G2</f>
        <v>-339977.26499999897</v>
      </c>
      <c r="I2" s="6">
        <f>IFERROR(H2/G2, 0)</f>
        <v>-0.17292037643824645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96" customHeight="1">
      <c r="A4" s="93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185394.5</v>
      </c>
      <c r="D4" s="12">
        <v>184313.4</v>
      </c>
      <c r="E4" s="12">
        <f>IF(AND(ISNUMBER(C4),ISNUMBER(D4)), C4-D4, "")</f>
        <v>1081.1000000000058</v>
      </c>
      <c r="F4" s="13">
        <f>IFERROR(E4/D4, "")</f>
        <v>5.8655529115083649E-3</v>
      </c>
      <c r="G4" s="14">
        <v>217200</v>
      </c>
      <c r="H4" s="14">
        <f>IF(AND(ISNUMBER(C4),ISNUMBER(G4)), C4-G4, "")</f>
        <v>-31805.5</v>
      </c>
      <c r="I4" s="15">
        <f>IFERROR(H4/G4, "")</f>
        <v>-0.14643416206261511</v>
      </c>
      <c r="J4" s="39" t="s">
        <v>77</v>
      </c>
      <c r="K4" s="77" t="s">
        <v>78</v>
      </c>
      <c r="L4" s="80" t="s">
        <v>79</v>
      </c>
      <c r="M4" s="80" t="s">
        <v>80</v>
      </c>
    </row>
    <row r="5" spans="1:13" ht="29.25" customHeight="1">
      <c r="A5" s="28" t="str">
        <v>Loudon - 7046 Pleasant Street</v>
      </c>
      <c r="B5" s="29" t="str">
        <v>NH</v>
      </c>
      <c r="C5" s="11">
        <v>181725.87250000099</v>
      </c>
      <c r="D5" s="16">
        <v>177238.9</v>
      </c>
      <c r="E5" s="16">
        <f t="shared" ref="E5:E11" si="0">IF(AND(ISNUMBER(C5),ISNUMBER(D5)), C5-D5, "")</f>
        <v>4486.972500000993</v>
      </c>
      <c r="F5" s="17">
        <f>IFERROR(E5/D5, "")</f>
        <v>2.5315957727118556E-2</v>
      </c>
      <c r="G5" s="18">
        <v>210009.9</v>
      </c>
      <c r="H5" s="18">
        <f t="shared" ref="H5:H11" si="1">IF(AND(ISNUMBER(C5),ISNUMBER(G5)), C5-G5, "")</f>
        <v>-28284.027499999007</v>
      </c>
      <c r="I5" s="17">
        <f t="shared" ref="I5:I11" si="2">IFERROR(H5/G5, "")</f>
        <v>-0.13467949606184759</v>
      </c>
      <c r="J5" s="94" t="s">
        <v>81</v>
      </c>
      <c r="K5" s="95" t="s">
        <v>82</v>
      </c>
    </row>
    <row r="6" spans="1:13" ht="45">
      <c r="A6" s="26" t="str">
        <v>Nashua - Pennichuck Water  East</v>
      </c>
      <c r="B6" s="27" t="str">
        <v>NH</v>
      </c>
      <c r="C6" s="22">
        <v>177143.63750000001</v>
      </c>
      <c r="D6" s="12">
        <v>193547.5</v>
      </c>
      <c r="E6" s="12">
        <f t="shared" si="0"/>
        <v>-16403.862499999988</v>
      </c>
      <c r="F6" s="13">
        <f t="shared" ref="F6:F11" si="3">IFERROR(E6/D6, "")</f>
        <v>-8.4753678037690947E-2</v>
      </c>
      <c r="G6" s="14">
        <v>141208</v>
      </c>
      <c r="H6" s="14">
        <f t="shared" si="1"/>
        <v>35935.637500000012</v>
      </c>
      <c r="I6" s="15">
        <f t="shared" si="2"/>
        <v>0.25448726346949191</v>
      </c>
      <c r="J6" s="39" t="s">
        <v>83</v>
      </c>
      <c r="K6" s="77" t="s">
        <v>27</v>
      </c>
    </row>
    <row r="7" spans="1:13" ht="15.75">
      <c r="A7" s="28" t="str">
        <v>Nashua - Pennichuck Water West</v>
      </c>
      <c r="B7" s="29" t="str">
        <v>NH</v>
      </c>
      <c r="C7" s="11">
        <v>138058</v>
      </c>
      <c r="D7" s="16">
        <v>94922.92</v>
      </c>
      <c r="E7" s="16">
        <f t="shared" si="0"/>
        <v>43135.08</v>
      </c>
      <c r="F7" s="17">
        <f t="shared" si="3"/>
        <v>0.454422177488851</v>
      </c>
      <c r="G7" s="18">
        <v>159800</v>
      </c>
      <c r="H7" s="18">
        <f t="shared" si="1"/>
        <v>-21742</v>
      </c>
      <c r="I7" s="17">
        <f t="shared" si="2"/>
        <v>-0.13605757196495619</v>
      </c>
      <c r="J7" s="40"/>
      <c r="K7" s="41"/>
    </row>
    <row r="8" spans="1:13" ht="75">
      <c r="A8" s="26" t="str">
        <v>Boothbay - Wiscasset Road</v>
      </c>
      <c r="B8" s="27" t="str">
        <v>ME</v>
      </c>
      <c r="C8" s="22">
        <v>184293</v>
      </c>
      <c r="D8" s="12">
        <v>212136.9</v>
      </c>
      <c r="E8" s="12">
        <f t="shared" si="0"/>
        <v>-27843.899999999994</v>
      </c>
      <c r="F8" s="13">
        <f t="shared" si="3"/>
        <v>-0.13125439280012102</v>
      </c>
      <c r="G8" s="14">
        <v>210909</v>
      </c>
      <c r="H8" s="14">
        <f t="shared" si="1"/>
        <v>-26616</v>
      </c>
      <c r="I8" s="15">
        <f t="shared" si="2"/>
        <v>-0.12619660611922678</v>
      </c>
      <c r="J8" s="39" t="s">
        <v>84</v>
      </c>
      <c r="K8" s="77" t="s">
        <v>85</v>
      </c>
      <c r="L8" s="80" t="s">
        <v>86</v>
      </c>
      <c r="M8" s="80" t="s">
        <v>87</v>
      </c>
    </row>
    <row r="9" spans="1:13" ht="45">
      <c r="A9" s="28" t="str">
        <v>Thorndike -  Leonard Road</v>
      </c>
      <c r="B9" s="29" t="str">
        <v>ME</v>
      </c>
      <c r="C9" s="11">
        <v>158325.6875</v>
      </c>
      <c r="D9" s="16">
        <v>206125.6</v>
      </c>
      <c r="E9" s="16">
        <f t="shared" si="0"/>
        <v>-47799.912500000006</v>
      </c>
      <c r="F9" s="17">
        <f t="shared" si="3"/>
        <v>-0.23189702055445807</v>
      </c>
      <c r="G9" s="18">
        <v>438381.6</v>
      </c>
      <c r="H9" s="18">
        <f t="shared" si="1"/>
        <v>-280055.91249999998</v>
      </c>
      <c r="I9" s="17">
        <f t="shared" si="2"/>
        <v>-0.63884048167167595</v>
      </c>
      <c r="J9" s="40" t="s">
        <v>88</v>
      </c>
      <c r="K9" s="79" t="s">
        <v>89</v>
      </c>
      <c r="L9" s="80" t="s">
        <v>90</v>
      </c>
      <c r="M9" s="80" t="s">
        <v>91</v>
      </c>
    </row>
    <row r="10" spans="1:13" ht="72.75" customHeight="1">
      <c r="A10" s="26" t="str">
        <v>Topsham - Solarize LLC</v>
      </c>
      <c r="B10" s="27" t="str">
        <v>ME</v>
      </c>
      <c r="C10" s="22">
        <v>157022.125</v>
      </c>
      <c r="D10" s="12">
        <v>158551</v>
      </c>
      <c r="E10" s="12">
        <f t="shared" si="0"/>
        <v>-1528.875</v>
      </c>
      <c r="F10" s="13">
        <f t="shared" si="3"/>
        <v>-9.6427963242111375E-3</v>
      </c>
      <c r="G10" s="14">
        <v>156817</v>
      </c>
      <c r="H10" s="14">
        <f t="shared" si="1"/>
        <v>205.125</v>
      </c>
      <c r="I10" s="15">
        <f t="shared" si="2"/>
        <v>1.3080533360541268E-3</v>
      </c>
      <c r="J10" s="39" t="s">
        <v>92</v>
      </c>
      <c r="K10" s="77" t="s">
        <v>93</v>
      </c>
      <c r="L10" s="80" t="s">
        <v>94</v>
      </c>
    </row>
    <row r="11" spans="1:13" ht="32.25" customHeight="1">
      <c r="A11" s="28" t="str">
        <v>Cherryfield - 727 North Main St (IRA)</v>
      </c>
      <c r="B11" s="29" t="str">
        <v>ME</v>
      </c>
      <c r="C11" s="11">
        <v>444151.3125</v>
      </c>
      <c r="D11" s="16">
        <v>480778.1</v>
      </c>
      <c r="E11" s="16">
        <f t="shared" si="0"/>
        <v>-36626.787499999977</v>
      </c>
      <c r="F11" s="17">
        <f t="shared" si="3"/>
        <v>-7.6182312588697315E-2</v>
      </c>
      <c r="G11" s="18">
        <v>431765.9</v>
      </c>
      <c r="H11" s="18">
        <f t="shared" si="1"/>
        <v>12385.412499999977</v>
      </c>
      <c r="I11" s="17">
        <f t="shared" si="2"/>
        <v>2.8685480951598948E-2</v>
      </c>
      <c r="J11" s="40" t="s">
        <v>95</v>
      </c>
      <c r="K11" s="95" t="s">
        <v>96</v>
      </c>
    </row>
    <row r="12" spans="1:13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825" xr:uid="{9667ECA8-E780-4EB2-A07A-A438130F1CFB}"/>
    <hyperlink ref="L4" r:id="rId2" display="https://us3.assetplanner.com/service_request?ID=103332" xr:uid="{CD2B8180-4760-4141-80D2-330264C8BBC2}"/>
    <hyperlink ref="M4" r:id="rId3" display="https://us3.assetplanner.com/service_request?ID=102780" xr:uid="{70E3ADB4-22EB-49E0-BA5D-CE8B7113D431}"/>
    <hyperlink ref="K5" r:id="rId4" display="https://us3.assetplanner.com/service_request?ID=103230" xr:uid="{FFE01AEC-CF80-4169-919A-B67616120F93}"/>
    <hyperlink ref="K6" r:id="rId5" display="https://us3.assetplanner.com/service_request?ID=099647" xr:uid="{4B7F61D8-1FE6-48E0-8534-626FC8A107B2}"/>
    <hyperlink ref="K8" r:id="rId6" display="https://us3.assetplanner.com/service_request?ID=102549" xr:uid="{A08A3296-220D-41D6-9F02-C202EBAE3C73}"/>
    <hyperlink ref="L8" r:id="rId7" display="https://us3.assetplanner.com/service_request?ID=102549" xr:uid="{5B1875FD-E723-41AA-9CB3-E43B15726B1A}"/>
    <hyperlink ref="M8" r:id="rId8" display="https://us3.assetplanner.com/service_request?ID=102969" xr:uid="{B90D8A11-BDEF-414F-A26F-2A3C593BB5BD}"/>
    <hyperlink ref="K9" r:id="rId9" display="https://us3.assetplanner.com/service_request?ID=102971" xr:uid="{3CFB106F-1AAC-4FED-922F-E24A454758D1}"/>
    <hyperlink ref="L9" r:id="rId10" display="https://us3.assetplanner.com/service_request?ID=102367" xr:uid="{70744FBB-2AA7-40FB-A180-6C1112574DFD}"/>
    <hyperlink ref="M9" r:id="rId11" display="https://us3.assetplanner.com/service_request?ID=102061" xr:uid="{CA005B80-DC3D-4F1F-88BA-A1167BD4C94C}"/>
    <hyperlink ref="K10" r:id="rId12" display="https://us3.assetplanner.com/service_request?ID=103058" xr:uid="{E80CAA11-72D8-47FC-AE57-21677884C907}"/>
    <hyperlink ref="L10" r:id="rId13" display="https://us3.assetplanner.com/service_request?ID=103397" xr:uid="{D35E4B52-9377-4AFC-87C4-2EAB4655D16C}"/>
    <hyperlink ref="K11" r:id="rId14" display="https://us3.assetplanner.com/service_request?ID=103383" xr:uid="{BCDBFC43-1667-43B1-9A37-87F211BEFDE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97</v>
      </c>
      <c r="E1" s="109"/>
      <c r="F1" s="109"/>
      <c r="G1" s="107" t="s">
        <v>98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93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54"/>
      <c r="K5" s="54"/>
    </row>
    <row r="6" spans="1:11" ht="100.5" customHeight="1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51.75" customHeight="1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3"/>
      <c r="K7" s="56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99</v>
      </c>
      <c r="E1" s="109"/>
      <c r="F1" s="109"/>
      <c r="G1" s="107" t="s">
        <v>100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70.5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57" customHeight="1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53"/>
      <c r="K5" s="53"/>
    </row>
    <row r="6" spans="1:11" ht="66" customHeight="1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35.25" customHeight="1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4"/>
      <c r="K7" s="55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101</v>
      </c>
      <c r="E1" s="109"/>
      <c r="F1" s="109"/>
      <c r="G1" s="107" t="s">
        <v>102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75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103</v>
      </c>
      <c r="E1" s="109"/>
      <c r="F1" s="109"/>
      <c r="G1" s="107" t="s">
        <v>104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75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4"/>
      <c r="K7" s="55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105</v>
      </c>
      <c r="E1" s="109"/>
      <c r="F1" s="109"/>
      <c r="G1" s="107" t="s">
        <v>106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0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75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57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8" t="str" cm="1">
        <f t="array" ref="A1">portfolio</f>
        <v>ALIGNED</v>
      </c>
      <c r="B1" s="108"/>
      <c r="C1" s="108"/>
      <c r="D1" s="109" t="s">
        <v>107</v>
      </c>
      <c r="E1" s="109"/>
      <c r="F1" s="109"/>
      <c r="G1" s="107" t="s">
        <v>108</v>
      </c>
      <c r="H1" s="107"/>
      <c r="I1" s="107"/>
      <c r="J1" s="4"/>
      <c r="K1" s="4"/>
    </row>
    <row r="2" spans="1:11" ht="19.5" customHeight="1">
      <c r="A2" s="110" t="s">
        <v>2</v>
      </c>
      <c r="B2" s="11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75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E14" sqref="E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109</v>
      </c>
      <c r="B1" t="s">
        <v>110</v>
      </c>
    </row>
    <row r="3" spans="1:12">
      <c r="A3" t="s">
        <v>111</v>
      </c>
      <c r="B3" t="s">
        <v>3</v>
      </c>
      <c r="C3" t="s">
        <v>4</v>
      </c>
      <c r="D3" t="s">
        <v>112</v>
      </c>
      <c r="E3" s="2" t="s">
        <v>113</v>
      </c>
    </row>
    <row r="4" spans="1:12" ht="15">
      <c r="A4" s="48" t="s">
        <v>114</v>
      </c>
      <c r="B4" t="s">
        <v>115</v>
      </c>
      <c r="C4" s="45" t="s">
        <v>116</v>
      </c>
      <c r="D4" s="44" t="s">
        <v>117</v>
      </c>
      <c r="E4" s="51" t="s">
        <v>118</v>
      </c>
      <c r="G4" s="3"/>
    </row>
    <row r="5" spans="1:12" ht="15">
      <c r="A5" s="48" t="s">
        <v>119</v>
      </c>
      <c r="B5" t="s">
        <v>120</v>
      </c>
      <c r="C5" s="45" t="s">
        <v>116</v>
      </c>
      <c r="D5" s="44" t="s">
        <v>117</v>
      </c>
      <c r="E5" s="48" t="s">
        <v>118</v>
      </c>
      <c r="G5" s="3"/>
    </row>
    <row r="6" spans="1:12" ht="15">
      <c r="A6" s="48" t="s">
        <v>121</v>
      </c>
      <c r="B6" t="s">
        <v>122</v>
      </c>
      <c r="C6" s="45" t="s">
        <v>116</v>
      </c>
      <c r="D6" s="44" t="s">
        <v>117</v>
      </c>
      <c r="E6" s="51" t="s">
        <v>118</v>
      </c>
      <c r="G6" s="3"/>
    </row>
    <row r="7" spans="1:12" ht="12.75" customHeight="1">
      <c r="A7" s="48" t="s">
        <v>123</v>
      </c>
      <c r="B7" t="s">
        <v>124</v>
      </c>
      <c r="C7" s="45" t="s">
        <v>116</v>
      </c>
      <c r="D7" s="44" t="s">
        <v>117</v>
      </c>
      <c r="E7" s="48" t="s">
        <v>118</v>
      </c>
    </row>
    <row r="8" spans="1:12" ht="12.75" customHeight="1">
      <c r="A8" s="82" t="s">
        <v>125</v>
      </c>
      <c r="B8" s="83" t="s">
        <v>126</v>
      </c>
      <c r="C8" s="45" t="s">
        <v>127</v>
      </c>
      <c r="E8" s="48" t="s">
        <v>118</v>
      </c>
      <c r="K8" s="42"/>
      <c r="L8" s="42"/>
    </row>
    <row r="9" spans="1:12" ht="12.75" customHeight="1">
      <c r="A9" s="82" t="s">
        <v>128</v>
      </c>
      <c r="B9" s="83" t="s">
        <v>129</v>
      </c>
      <c r="C9" s="45" t="s">
        <v>127</v>
      </c>
      <c r="E9" s="48" t="s">
        <v>118</v>
      </c>
      <c r="K9" s="42"/>
      <c r="L9" s="42"/>
    </row>
    <row r="10" spans="1:12" ht="12.75" customHeight="1">
      <c r="A10" s="82" t="s">
        <v>130</v>
      </c>
      <c r="B10" s="83" t="s">
        <v>131</v>
      </c>
      <c r="C10" s="45" t="s">
        <v>127</v>
      </c>
      <c r="E10" s="48" t="s">
        <v>118</v>
      </c>
      <c r="K10" s="42"/>
      <c r="L10" s="42"/>
    </row>
    <row r="11" spans="1:12" ht="12.75" customHeight="1">
      <c r="A11" s="82" t="s">
        <v>132</v>
      </c>
      <c r="B11" s="83" t="s">
        <v>133</v>
      </c>
      <c r="C11" s="45" t="s">
        <v>127</v>
      </c>
      <c r="E11" s="48" t="s">
        <v>118</v>
      </c>
      <c r="K11" s="42"/>
      <c r="L11" s="42"/>
    </row>
    <row r="12" spans="1:12" ht="12.75" customHeight="1">
      <c r="K12" s="42"/>
      <c r="L12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1FAF7E9D-1E58-4E94-8D73-4CFD67D4E13F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2025-07-24T20:01:45Z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2025-07-17T15:54:00Z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079d846d-ef9c-4016-9051-9a882903c417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10, 3, 0, 1</vt:lpwstr>
  </property>
</Properties>
</file>