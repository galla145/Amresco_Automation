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1320406A-34FF-47A5-BF27-3EE187C22F1D}" xr6:coauthVersionLast="47" xr6:coauthVersionMax="47" xr10:uidLastSave="{00000000-0000-0000-0000-000000000000}"/>
  <bookViews>
    <workbookView xWindow="-108" yWindow="-108" windowWidth="23256" windowHeight="1245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0" l="1"/>
  <c r="E4" i="21"/>
  <c r="E4" i="19"/>
  <c r="H4" i="3"/>
  <c r="H4" i="72"/>
  <c r="I4" i="72" s="1"/>
  <c r="G4" i="30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I4" i="3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F4" i="33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F4" i="20"/>
  <c r="G2" i="20"/>
  <c r="D2" i="20"/>
  <c r="C2" i="20"/>
  <c r="A1" i="20" a="1"/>
  <c r="A1" i="20" s="1"/>
  <c r="H4" i="21"/>
  <c r="I4" i="21" s="1"/>
  <c r="F4" i="2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<sst xmlns="http://schemas.openxmlformats.org/spreadsheetml/2006/main" count="243" uniqueCount="57">
  <si>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</si>
  <si>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</si>
  <si>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</si>
  <si>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</si>
  <si>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</si>
  <si>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</si>
  <si>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</si>
  <si>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</si>
  <si>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</si>
  <si>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</si>
  <si>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</si>
  <si>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</si>
  <si>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</si>
  <si>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</si>
  <si>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</si>
  <si>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</si>
  <si>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</si>
  <si>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</si>
  <si>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</si>
  <si>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</si>
  <si>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</si>
  <si>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</si>
  <si>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1.Due to snow event site production was low.</t>
  </si>
  <si>
    <t>February Actual v. Expected</t>
  </si>
  <si>
    <t>February Actual v. Forecasted</t>
  </si>
  <si>
    <t>1.The phase A current on the meter has been low since 02/06. Upon the technician's arrival on 02/18, it was stated that the modules were covered with 8 inches of snow, preventing access to the pad. Production was low due to the snow.</t>
  </si>
  <si>
    <t>1.SR096944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</si>
  <si>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</si>
  <si>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</si>
  <si>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</si>
  <si>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</si>
  <si>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</si>
  <si>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</si>
  <si>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</si>
  <si>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</si>
  <si>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</si>
  <si>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</si>
  <si>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</si>
  <si>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</si>
  <si>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</si>
  <si>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</si>
  <si>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</si>
  <si>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</si>
  <si>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</si>
  <si>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</si>
  <si>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</si>
  <si>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</si>
  <si>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</si>
  <si>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National Grid</t>
  </si>
  <si>
    <t>Site DAS Name</t>
  </si>
  <si>
    <t>Update</t>
  </si>
  <si>
    <t>DAS</t>
  </si>
  <si>
    <t>PIII - Electric St, Athol</t>
  </si>
  <si>
    <t>NGRID - PIII - Electric St, Athol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</si>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</sst>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165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topRight" activeCell="A5" sqref="A5:XFD27"/>
      <selection pane="bottomLeft" activeCell="A5" sqref="A5:XFD27"/>
      <selection pane="bottomRight" activeCell="A5" sqref="A5:XFD27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8" t="str" cm="1">
        <f t="array" ref="A1">portfolio</f>
        <v>National Grid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 x14ac:dyDescent="0.25">
      <c r="A2" s="50" t="s">
        <v>2</v>
      </c>
      <c r="B2" s="50"/>
      <c r="C2" s="5">
        <f>SUM(C4:C77)</f>
        <v>100474.875</v>
      </c>
      <c r="D2" s="5">
        <f>SUM(D4:D77)</f>
        <v>118733.465</v>
      </c>
      <c r="E2" s="5">
        <f>C2-D2</f>
        <v>-18258.589999999997</v>
      </c>
      <c r="F2" s="6">
        <f>IFERROR(E2/D2, 0)</f>
        <v>-0.15377795973527764</v>
      </c>
      <c r="G2" s="5">
        <f>SUM(G4:G77)</f>
        <v>92904.793999999994</v>
      </c>
      <c r="H2" s="7">
        <f>C2-G2</f>
        <v>7570.0810000000056</v>
      </c>
      <c r="I2" s="6">
        <f>IFERROR(H2/G2, 0)</f>
        <v>8.148213535676109E-2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11" t="str" cm="1">
        <f t="array" ref="A4">Sites[Site]</f>
        <v>NGRID - PIII - Electric St, Athol</v>
      </c>
      <c r="B4" s="9" t="str" cm="1">
        <f t="array" ref="B4">Sites[State]</f>
        <v>MA</v>
      </c>
      <c r="C4" s="23">
        <f>SUM('1st Qtr'!C4, '2nd Qtr'!C4, '3rd Qtr'!C4, '4th Qtr'!C4)</f>
        <v>100474.875</v>
      </c>
      <c r="D4" s="12">
        <f>SUM('1st Qtr'!D4, '2nd Qtr'!D4, '3rd Qtr'!D4, '4th Qtr'!D4)</f>
        <v>118733.465</v>
      </c>
      <c r="E4" s="12">
        <f>IF(AND(ISNUMBER(C4),ISNUMBER(D4)), C4-D4, "")</f>
        <v>-18258.589999999997</v>
      </c>
      <c r="F4" s="13">
        <f>IFERROR(E4/D4, "")</f>
        <v>-0.15377795973527764</v>
      </c>
      <c r="G4" s="14">
        <f>SUM('1st Qtr'!G4, '2nd Qtr'!G4, '3rd Qtr'!G4, '4th Qtr'!G4)</f>
        <v>92904.793999999994</v>
      </c>
      <c r="H4" s="14">
        <f>SUM('1st Qtr'!H4, '2nd Qtr'!H4, '3rd Qtr'!H4, '4th Qtr'!H4)</f>
        <v>7570.0810000000038</v>
      </c>
      <c r="I4" s="15">
        <f>IFERROR(H4/G4, "")</f>
        <v>8.1482135356761076E-2</v>
      </c>
    </row>
    <row r="5" spans="1:9" ht="13.8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8" x14ac:dyDescent="0.3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topRight" activeCell="A5" sqref="A5:XFD27"/>
      <selection pane="bottomLeft" activeCell="A5" sqref="A5:XFD27"/>
      <selection pane="bottomRight" activeCell="A5" sqref="A5:XFD27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8" t="str" cm="1">
        <f t="array" ref="A1">portfolio</f>
        <v>National Grid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 x14ac:dyDescent="0.25">
      <c r="A2" s="50" t="s">
        <v>2</v>
      </c>
      <c r="B2" s="50"/>
      <c r="C2" s="5">
        <f>SUM(C4:C77)</f>
        <v>29140.25</v>
      </c>
      <c r="D2" s="5">
        <f>SUM(D4:D77)</f>
        <v>47290.046000000002</v>
      </c>
      <c r="E2" s="5">
        <f>C2-D2</f>
        <v>-18149.796000000002</v>
      </c>
      <c r="F2" s="6">
        <f>IFERROR(E2/D2, 0)</f>
        <v>-0.38379738518334283</v>
      </c>
      <c r="G2" s="5">
        <f>SUM(G4:G77)</f>
        <v>40673.864999999998</v>
      </c>
      <c r="H2" s="7">
        <f>C2-G2</f>
        <v>-11533.614999999998</v>
      </c>
      <c r="I2" s="6">
        <f>IFERROR(H2/G2, 0)</f>
        <v>-0.28356329057983543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SUM(Jan!C4, Feb!C4, Mar!C4)</f>
        <v>29140.25</v>
      </c>
      <c r="D4" s="12">
        <f>SUM(Jan!D4, Feb!D4, Mar!D4)</f>
        <v>47290.046000000002</v>
      </c>
      <c r="E4" s="12">
        <f>IF(AND(ISNUMBER(C4),ISNUMBER(D4)), C4-D4, "")</f>
        <v>-18149.796000000002</v>
      </c>
      <c r="F4" s="13">
        <f>IFERROR(E4/D4, "")</f>
        <v>-0.38379738518334283</v>
      </c>
      <c r="G4" s="14">
        <f>SUM(Jan!G4, Feb!G4, Mar!G4)</f>
        <v>40673.864999999998</v>
      </c>
      <c r="H4" s="14">
        <f>SUM(Jan!H4, Feb!H4, Mar!H4)</f>
        <v>-11533.615</v>
      </c>
      <c r="I4" s="15">
        <f>IFERROR(H4/G4, "")</f>
        <v>-0.28356329057983548</v>
      </c>
    </row>
    <row r="5" spans="1:9" ht="13.8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8" x14ac:dyDescent="0.3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topRight" activeCell="A5" sqref="A5:XFD27"/>
      <selection pane="bottomLeft" activeCell="A5" sqref="A5:XFD27"/>
      <selection pane="bottomRight" activeCell="E12" sqref="E12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8" t="str" cm="1">
        <f t="array" ref="A1">portfolio</f>
        <v>National Grid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 x14ac:dyDescent="0.25">
      <c r="A2" s="50" t="s">
        <v>2</v>
      </c>
      <c r="B2" s="50"/>
      <c r="C2" s="5">
        <f>SUM(C4:C77)</f>
        <v>71334.625</v>
      </c>
      <c r="D2" s="5">
        <f>SUM(D4:D77)</f>
        <v>71443.418999999994</v>
      </c>
      <c r="E2" s="5">
        <f>C2-D2</f>
        <v>-108.79399999999441</v>
      </c>
      <c r="F2" s="6">
        <f>IFERROR(E2/D2, 0)</f>
        <v>-1.5227994617670023E-3</v>
      </c>
      <c r="G2" s="5">
        <f>SUM(G4:G77)</f>
        <v>52230.929000000004</v>
      </c>
      <c r="H2" s="7">
        <f>C2-G2</f>
        <v>19103.695999999996</v>
      </c>
      <c r="I2" s="6">
        <f>IFERROR(H2/G2, 0)</f>
        <v>0.3657544747098026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SUM(Apr!C4, May!C4, Jun!C4)</f>
        <v>71334.625</v>
      </c>
      <c r="D4" s="12">
        <f>SUM(Apr!D4, May!D4, Jun!D4)</f>
        <v>71443.418999999994</v>
      </c>
      <c r="E4" s="12">
        <f>IF(AND(ISNUMBER(C4),ISNUMBER(D4)), C4-D4, "")</f>
        <v>-108.79399999999441</v>
      </c>
      <c r="F4" s="13">
        <f>IFERROR(E4/D4, "")</f>
        <v>-1.5227994617670023E-3</v>
      </c>
      <c r="G4" s="14">
        <f>SUM(Apr!G4,May!G4,Jun!G4)</f>
        <v>52230.929000000004</v>
      </c>
      <c r="H4" s="14">
        <f>SUM(Apr!H4, May!H4, Jun!H4)</f>
        <v>19103.696000000004</v>
      </c>
      <c r="I4" s="15">
        <f>IFERROR(H4/G4, "")</f>
        <v>0.36575447470980271</v>
      </c>
    </row>
    <row r="5" spans="1:9" ht="13.8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8" x14ac:dyDescent="0.3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topRight" activeCell="A5" sqref="A5:XFD27"/>
      <selection pane="bottomLeft" activeCell="A5" sqref="A5:XFD27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8" t="str" cm="1">
        <f t="array" ref="A1">portfolio</f>
        <v>National Grid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 x14ac:dyDescent="0.25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 x14ac:dyDescent="0.3">
      <c r="A5" s="16"/>
      <c r="B5" s="20"/>
      <c r="C5" s="20"/>
      <c r="D5" s="20"/>
      <c r="E5" s="20"/>
      <c r="F5" s="20"/>
      <c r="G5" s="20"/>
      <c r="H5" s="20"/>
      <c r="I5" s="20"/>
    </row>
    <row r="6" spans="1:9" ht="15.6" x14ac:dyDescent="0.3">
      <c r="A6" s="16"/>
      <c r="B6" s="20"/>
      <c r="C6" s="20"/>
      <c r="D6" s="20"/>
      <c r="E6" s="20"/>
      <c r="F6" s="20"/>
      <c r="G6" s="20"/>
      <c r="H6" s="20"/>
      <c r="I6" s="20"/>
    </row>
    <row r="7" spans="1:9" ht="15.6" x14ac:dyDescent="0.3">
      <c r="A7" s="16"/>
      <c r="B7" s="20"/>
      <c r="C7" s="20"/>
      <c r="D7" s="20"/>
      <c r="E7" s="20"/>
      <c r="F7" s="20"/>
      <c r="G7" s="20"/>
      <c r="H7" s="20"/>
      <c r="I7" s="20"/>
    </row>
    <row r="8" spans="1:9" ht="15.6" x14ac:dyDescent="0.3">
      <c r="A8" s="16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8" x14ac:dyDescent="0.3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topRight" activeCell="A5" sqref="A5:XFD27"/>
      <selection pane="bottomLeft" activeCell="A5" sqref="A5:XFD27"/>
      <selection pane="bottomRight" activeCell="D9" sqref="D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8" t="str" cm="1">
        <f t="array" ref="A1">portfolio</f>
        <v>National Grid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 x14ac:dyDescent="0.25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4.4" x14ac:dyDescent="0.3">
      <c r="A5" s="20"/>
      <c r="B5" s="10"/>
      <c r="C5" s="39"/>
      <c r="D5" s="17"/>
      <c r="E5" s="17"/>
      <c r="F5" s="18"/>
      <c r="G5" s="19"/>
      <c r="H5" s="19"/>
      <c r="I5" s="18"/>
    </row>
    <row r="6" spans="1:9" ht="14.4" x14ac:dyDescent="0.3">
      <c r="A6" s="20"/>
      <c r="B6" s="10"/>
      <c r="C6" s="39"/>
      <c r="D6" s="17"/>
      <c r="E6" s="17"/>
      <c r="F6" s="18"/>
      <c r="G6" s="19"/>
      <c r="H6" s="19"/>
      <c r="I6" s="18"/>
    </row>
    <row r="7" spans="1:9" ht="14.4" x14ac:dyDescent="0.3">
      <c r="A7" s="20"/>
      <c r="B7" s="10"/>
      <c r="C7" s="39"/>
      <c r="D7" s="17"/>
      <c r="E7" s="17"/>
      <c r="F7" s="18"/>
      <c r="G7" s="19"/>
      <c r="H7" s="19"/>
      <c r="I7" s="18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8" x14ac:dyDescent="0.3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J4" activePane="bottomRight" state="frozen"/>
      <selection pane="topRight" activeCell="A5" sqref="A5:XFD27"/>
      <selection pane="bottomLeft" activeCell="A5" sqref="A5:XFD27"/>
      <selection pane="bottomRight" activeCell="J27" sqref="J27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8" t="str" cm="1">
        <f t="array" ref="A1">portfolio</f>
        <v>National Grid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4"/>
      <c r="K1" s="4"/>
    </row>
    <row r="2" spans="1:11" ht="19.5" customHeight="1" x14ac:dyDescent="0.25">
      <c r="A2" s="50" t="s">
        <v>2</v>
      </c>
      <c r="B2" s="50"/>
      <c r="C2" s="5">
        <f>SUM(C4:C76)</f>
        <v>6491.875</v>
      </c>
      <c r="D2" s="5">
        <f>SUM(D4:D76)</f>
        <v>12474.984</v>
      </c>
      <c r="E2" s="5">
        <f>C2-D2</f>
        <v>-5983.1090000000004</v>
      </c>
      <c r="F2" s="6">
        <f>IFERROR(E2/D2, 0)</f>
        <v>-0.47960855100094718</v>
      </c>
      <c r="G2" s="5">
        <f>SUM(G4:G76)</f>
        <v>11373.686</v>
      </c>
      <c r="H2" s="7">
        <f>C2-G2</f>
        <v>-4881.8109999999997</v>
      </c>
      <c r="I2" s="6">
        <f>IFERROR(H2/G2, 0)</f>
        <v>-0.42921977976181158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44" t="str" cm="1">
        <f t="array" ref="A4">Sites[Site]</f>
        <v>NGRID - PIII - Electric St, Athol</v>
      </c>
      <c r="B4" s="27" t="str" cm="1">
        <f t="array" ref="B4">Sites[State]</f>
        <v>MA</v>
      </c>
      <c r="C4" s="23">
        <v>6491.875</v>
      </c>
      <c r="D4" s="12">
        <v>12474.984</v>
      </c>
      <c r="E4" s="12">
        <f>IF(AND(ISNUMBER(C4),ISNUMBER(D4)), C4-D4, "")</f>
        <v>-5983.1090000000004</v>
      </c>
      <c r="F4" s="13">
        <f>IFERROR(E4/D4, "")</f>
        <v>-0.47960855100094718</v>
      </c>
      <c r="G4" s="14">
        <v>11373.686</v>
      </c>
      <c r="H4" s="14">
        <f>IF(AND(ISNUMBER(C4),ISNUMBER(G4)), C4-G4, "")</f>
        <v>-4881.8109999999997</v>
      </c>
      <c r="I4" s="15">
        <f>IFERROR(H4/G4, "")</f>
        <v>-0.42921977976181158</v>
      </c>
      <c r="J4" s="37" t="s">
        <v>22</v>
      </c>
      <c r="K4" s="37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" x14ac:dyDescent="0.3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">
    <cfRule type="cellIs" dxfId="25" priority="6" stopIfTrue="1" operator="lessThanOrEqual">
      <formula>-0.1</formula>
    </cfRule>
    <cfRule type="expression" dxfId="24" priority="7">
      <formula>AND(ISNUMBER(F2), F2&gt;=0.1)</formula>
    </cfRule>
  </conditionalFormatting>
  <conditionalFormatting sqref="F4:F76 I4:I76">
    <cfRule type="cellIs" dxfId="23" priority="1" stopIfTrue="1" operator="lessThanOrEqual">
      <formula>-0.1</formula>
    </cfRule>
    <cfRule type="expression" dxfId="22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tabSelected="1" workbookViewId="0">
      <pane xSplit="2" ySplit="3" topLeftCell="C4" activePane="bottomRight" state="frozen"/>
      <selection pane="topRight" activeCell="G26" sqref="G26"/>
      <selection pane="bottomLeft" activeCell="G26" sqref="G26"/>
      <selection pane="bottomRight" activeCell="K10" sqref="K10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8" t="str" cm="1">
        <f t="array" ref="A1">portfolio</f>
        <v>National Grid</v>
      </c>
      <c r="B1" s="48"/>
      <c r="C1" s="48"/>
      <c r="D1" s="49" t="s">
        <v>23</v>
      </c>
      <c r="E1" s="49"/>
      <c r="F1" s="49"/>
      <c r="G1" s="47" t="s">
        <v>24</v>
      </c>
      <c r="H1" s="47"/>
      <c r="I1" s="47"/>
      <c r="J1" s="4"/>
      <c r="K1" s="4"/>
    </row>
    <row r="2" spans="1:11" ht="19.5" customHeight="1" x14ac:dyDescent="0.25">
      <c r="A2" s="50" t="s">
        <v>2</v>
      </c>
      <c r="B2" s="50"/>
      <c r="C2" s="5">
        <f>SUM(C4:C77)</f>
        <v>2997.625</v>
      </c>
      <c r="D2" s="5">
        <f>SUM(D4:D77)</f>
        <v>14983.39</v>
      </c>
      <c r="E2" s="5">
        <f>C2-D2</f>
        <v>-11985.764999999999</v>
      </c>
      <c r="F2" s="6">
        <f>IFERROR(E2/D2, 0)</f>
        <v>-0.79993679667952311</v>
      </c>
      <c r="G2" s="5">
        <f>SUM(G4:G77)</f>
        <v>12988.130999999999</v>
      </c>
      <c r="H2" s="7">
        <f>C2-G2</f>
        <v>-9990.5059999999994</v>
      </c>
      <c r="I2" s="6">
        <f>IFERROR(H2/G2, 0)</f>
        <v>-0.7692027436434079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2" x14ac:dyDescent="0.3">
      <c r="A4" s="44" t="str" cm="1">
        <f t="array" ref="A4">Sites[Site]</f>
        <v>NGRID - PIII - Electric St, Athol</v>
      </c>
      <c r="B4" s="27" t="str" cm="1">
        <f t="array" ref="B4">Sites[State]</f>
        <v>MA</v>
      </c>
      <c r="C4" s="23">
        <v>2997.625</v>
      </c>
      <c r="D4" s="12">
        <v>14983.39</v>
      </c>
      <c r="E4" s="12">
        <f>IF(AND(ISNUMBER(C4),ISNUMBER(D4)), C4-D4, "")</f>
        <v>-11985.764999999999</v>
      </c>
      <c r="F4" s="13">
        <f>IFERROR(E4/D4, "")</f>
        <v>-0.79993679667952311</v>
      </c>
      <c r="G4" s="14">
        <v>12988.130999999999</v>
      </c>
      <c r="H4" s="14">
        <f>IF(AND(ISNUMBER(C4),ISNUMBER(G4)), C4-G4, "")</f>
        <v>-9990.5059999999994</v>
      </c>
      <c r="I4" s="15">
        <f>IFERROR(H4/G4, "")</f>
        <v>-0.7692027436434079</v>
      </c>
      <c r="J4" s="37" t="s">
        <v>25</v>
      </c>
      <c r="K4" s="37" t="s">
        <v>26</v>
      </c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zoomScale="90" zoomScaleNormal="90" workbookViewId="0">
      <pane xSplit="2" ySplit="3" topLeftCell="C4" activePane="bottomRight" state="frozen"/>
      <selection pane="topRight" activeCell="G26" sqref="G26"/>
      <selection pane="bottomLeft" activeCell="G26" sqref="G26"/>
      <selection pane="bottomRight" activeCell="I18" sqref="I18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8" t="str" cm="1">
        <f t="array" ref="A1">portfolio</f>
        <v>National Grid</v>
      </c>
      <c r="B1" s="48"/>
      <c r="C1" s="48"/>
      <c r="D1" s="49" t="s">
        <v>27</v>
      </c>
      <c r="E1" s="49"/>
      <c r="F1" s="49"/>
      <c r="G1" s="47" t="s">
        <v>28</v>
      </c>
      <c r="H1" s="47"/>
      <c r="I1" s="47"/>
      <c r="J1" s="4"/>
      <c r="K1" s="4"/>
    </row>
    <row r="2" spans="1:11" ht="19.5" customHeight="1" x14ac:dyDescent="0.25">
      <c r="A2" s="50" t="s">
        <v>2</v>
      </c>
      <c r="B2" s="50"/>
      <c r="C2" s="5">
        <f>SUM(C4:C77)</f>
        <v>19650.75</v>
      </c>
      <c r="D2" s="5">
        <f>SUM(D4:D77)</f>
        <v>19831.671999999999</v>
      </c>
      <c r="E2" s="5">
        <f>C2-D2</f>
        <v>-180.92199999999866</v>
      </c>
      <c r="F2" s="6">
        <f>IFERROR(E2/D2, 0)</f>
        <v>-9.1228818225714235E-3</v>
      </c>
      <c r="G2" s="5">
        <f>SUM(G4:G77)</f>
        <v>16312.048000000001</v>
      </c>
      <c r="H2" s="7">
        <f>C2-G2</f>
        <v>3338.7019999999993</v>
      </c>
      <c r="I2" s="6">
        <f>IFERROR(H2/G2, 0)</f>
        <v>0.20467705833136338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19650.75</v>
      </c>
      <c r="D4" s="12">
        <v>19831.671999999999</v>
      </c>
      <c r="E4" s="12">
        <f>IF(AND(ISNUMBER(C4),ISNUMBER(D4)), C4-D4, "")</f>
        <v>-180.92199999999866</v>
      </c>
      <c r="F4" s="13">
        <f>IFERROR(E4/D4, "")</f>
        <v>-9.1228818225714235E-3</v>
      </c>
      <c r="G4" s="14">
        <v>16312.048000000001</v>
      </c>
      <c r="H4" s="14">
        <f>IF(AND(ISNUMBER(C4),ISNUMBER(G4)), C4-G4, "")</f>
        <v>3338.7019999999993</v>
      </c>
      <c r="I4" s="15">
        <f>IFERROR(H4/G4, "")</f>
        <v>0.20467705833136338</v>
      </c>
      <c r="J4" s="37"/>
      <c r="K4" s="37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topRight" activeCell="G26" sqref="G26"/>
      <selection pane="bottomLeft" activeCell="G26" sqref="G26"/>
      <selection pane="bottomRight" activeCell="A4" sqref="A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8" t="str" cm="1">
        <f t="array" ref="A1">portfolio</f>
        <v>National Grid</v>
      </c>
      <c r="B1" s="48"/>
      <c r="C1" s="48"/>
      <c r="D1" s="49" t="s">
        <v>29</v>
      </c>
      <c r="E1" s="49"/>
      <c r="F1" s="49"/>
      <c r="G1" s="47" t="s">
        <v>30</v>
      </c>
      <c r="H1" s="47"/>
      <c r="I1" s="47"/>
      <c r="J1" s="4"/>
      <c r="K1" s="4"/>
    </row>
    <row r="2" spans="1:11" ht="19.5" customHeight="1" x14ac:dyDescent="0.25">
      <c r="A2" s="50" t="s">
        <v>2</v>
      </c>
      <c r="B2" s="50"/>
      <c r="C2" s="5">
        <f>SUM(C4:C77)</f>
        <v>23253.25</v>
      </c>
      <c r="D2" s="5">
        <f>SUM(D4:D77)</f>
        <v>23051.089</v>
      </c>
      <c r="E2" s="5">
        <f>C2-D2</f>
        <v>202.16100000000006</v>
      </c>
      <c r="F2" s="6">
        <f>IFERROR(E2/D2, 0)</f>
        <v>8.7701279536077474E-3</v>
      </c>
      <c r="G2" s="5">
        <f>SUM(G4:G77)</f>
        <v>16489.263999999999</v>
      </c>
      <c r="H2" s="7">
        <f>C2-G2</f>
        <v>6763.9860000000008</v>
      </c>
      <c r="I2" s="6">
        <f>IFERROR(H2/G2, 0)</f>
        <v>0.41020545246895196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23253.25</v>
      </c>
      <c r="D4" s="12">
        <v>23051.089</v>
      </c>
      <c r="E4" s="12">
        <f>IF(AND(ISNUMBER(C4),ISNUMBER(D4)), C4-D4, "")</f>
        <v>202.16100000000006</v>
      </c>
      <c r="F4" s="13">
        <f>IFERROR(E4/D4, "")</f>
        <v>8.7701279536077474E-3</v>
      </c>
      <c r="G4" s="14">
        <v>16489.263999999999</v>
      </c>
      <c r="H4" s="14">
        <f>IF(AND(ISNUMBER(C4),ISNUMBER(G4)), C4-G4, "")</f>
        <v>6763.9860000000008</v>
      </c>
      <c r="I4" s="15">
        <f>IFERROR(H4/G4, "")</f>
        <v>0.41020545246895196</v>
      </c>
      <c r="J4" s="37"/>
      <c r="K4" s="37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topRight" activeCell="G26" sqref="G26"/>
      <selection pane="bottomLeft" activeCell="G26" sqref="G26"/>
      <selection pane="bottomRight" activeCell="C17" sqref="C17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8" t="str" cm="1">
        <f t="array" ref="A1">portfolio</f>
        <v>National Grid</v>
      </c>
      <c r="B1" s="48"/>
      <c r="C1" s="48"/>
      <c r="D1" s="49" t="s">
        <v>31</v>
      </c>
      <c r="E1" s="49"/>
      <c r="F1" s="49"/>
      <c r="G1" s="47" t="s">
        <v>32</v>
      </c>
      <c r="H1" s="47"/>
      <c r="I1" s="47"/>
      <c r="J1" s="4"/>
      <c r="K1" s="4"/>
    </row>
    <row r="2" spans="1:11" ht="19.5" customHeight="1" x14ac:dyDescent="0.25">
      <c r="A2" s="50" t="s">
        <v>2</v>
      </c>
      <c r="B2" s="50"/>
      <c r="C2" s="5">
        <f>SUM(C4:C77)</f>
        <v>22218.625</v>
      </c>
      <c r="D2" s="5">
        <f>SUM(D4:D77)</f>
        <v>22177.870999999999</v>
      </c>
      <c r="E2" s="5">
        <f>C2-D2</f>
        <v>40.754000000000815</v>
      </c>
      <c r="F2" s="6">
        <f>IFERROR(E2/D2, 0)</f>
        <v>1.8375974862510842E-3</v>
      </c>
      <c r="G2" s="5">
        <f>SUM(G4:G77)</f>
        <v>18018.296999999999</v>
      </c>
      <c r="H2" s="7">
        <f>C2-G2</f>
        <v>4200.3280000000013</v>
      </c>
      <c r="I2" s="6">
        <f>IFERROR(H2/G2, 0)</f>
        <v>0.23311459457017505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22218.625</v>
      </c>
      <c r="D4" s="12">
        <v>22177.870999999999</v>
      </c>
      <c r="E4" s="12">
        <f>IF(AND(ISNUMBER(C4),ISNUMBER(D4)), C4-D4, "")</f>
        <v>40.754000000000815</v>
      </c>
      <c r="F4" s="13">
        <f>IFERROR(E4/D4, "")</f>
        <v>1.8375974862510842E-3</v>
      </c>
      <c r="G4" s="14">
        <v>18018.296999999999</v>
      </c>
      <c r="H4" s="14">
        <f>IF(AND(ISNUMBER(C4),ISNUMBER(G4)), C4-G4, "")</f>
        <v>4200.3280000000013</v>
      </c>
      <c r="I4" s="15">
        <f>IFERROR(H4/G4, "")</f>
        <v>0.23311459457017505</v>
      </c>
      <c r="J4" s="37"/>
      <c r="K4" s="37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topRight" activeCell="G26" sqref="G26"/>
      <selection pane="bottomLeft" activeCell="G26" sqref="G26"/>
      <selection pane="bottomRight" activeCell="F15" sqref="F15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8" t="str" cm="1">
        <f t="array" ref="A1">portfolio</f>
        <v>National Grid</v>
      </c>
      <c r="B1" s="48"/>
      <c r="C1" s="48"/>
      <c r="D1" s="49" t="s">
        <v>33</v>
      </c>
      <c r="E1" s="49"/>
      <c r="F1" s="49"/>
      <c r="G1" s="47" t="s">
        <v>34</v>
      </c>
      <c r="H1" s="47"/>
      <c r="I1" s="47"/>
      <c r="J1" s="4"/>
      <c r="K1" s="4"/>
    </row>
    <row r="2" spans="1:11" ht="19.5" customHeight="1" x14ac:dyDescent="0.25">
      <c r="A2" s="50" t="s">
        <v>2</v>
      </c>
      <c r="B2" s="50"/>
      <c r="C2" s="5">
        <f>SUM(C4:C77)</f>
        <v>25862.75</v>
      </c>
      <c r="D2" s="5">
        <f>SUM(D4:D77)</f>
        <v>26214.458999999999</v>
      </c>
      <c r="E2" s="5">
        <f>C2-D2</f>
        <v>-351.70899999999892</v>
      </c>
      <c r="F2" s="6">
        <f>IFERROR(E2/D2, 0)</f>
        <v>-1.3416603409591589E-2</v>
      </c>
      <c r="G2" s="5">
        <f>SUM(G4:G77)</f>
        <v>17723.367999999999</v>
      </c>
      <c r="H2" s="7">
        <f>C2-G2</f>
        <v>8139.3820000000014</v>
      </c>
      <c r="I2" s="6">
        <f>IFERROR(H2/G2, 0)</f>
        <v>0.45924578217864698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25862.75</v>
      </c>
      <c r="D4" s="12">
        <v>26214.458999999999</v>
      </c>
      <c r="E4" s="12">
        <f>IF(AND(ISNUMBER(C4),ISNUMBER(D4)), C4-D4, "")</f>
        <v>-351.70899999999892</v>
      </c>
      <c r="F4" s="13">
        <f>IFERROR(E4/D4, "")</f>
        <v>-1.3416603409591589E-2</v>
      </c>
      <c r="G4" s="14">
        <v>17723.367999999999</v>
      </c>
      <c r="H4" s="14">
        <f>IF(AND(ISNUMBER(C4),ISNUMBER(G4)), C4-G4, "")</f>
        <v>8139.3820000000014</v>
      </c>
      <c r="I4" s="15">
        <f>IFERROR(H4/G4, "")</f>
        <v>0.45924578217864698</v>
      </c>
      <c r="J4" s="37"/>
      <c r="K4" s="37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topRight" activeCell="G26" sqref="G26"/>
      <selection pane="bottomLeft" activeCell="G26" sqref="G26"/>
      <selection pane="bottomRight" activeCell="G26" sqref="G26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8" t="str" cm="1">
        <f t="array" ref="A1">portfolio</f>
        <v>National Grid</v>
      </c>
      <c r="B1" s="48"/>
      <c r="C1" s="48"/>
      <c r="D1" s="49" t="s">
        <v>35</v>
      </c>
      <c r="E1" s="49"/>
      <c r="F1" s="49"/>
      <c r="G1" s="47" t="s">
        <v>36</v>
      </c>
      <c r="H1" s="47"/>
      <c r="I1" s="47"/>
      <c r="J1" s="4"/>
      <c r="K1" s="4"/>
    </row>
    <row r="2" spans="1:11" ht="19.5" customHeight="1" x14ac:dyDescent="0.25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G4" activePane="bottomRight" state="frozen"/>
      <selection pane="topRight" activeCell="G26" sqref="G26"/>
      <selection pane="bottomLeft" activeCell="G26" sqref="G26"/>
      <selection pane="bottomRight" activeCell="G26" sqref="G26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8" t="str" cm="1">
        <f t="array" ref="A1">portfolio</f>
        <v>National Grid</v>
      </c>
      <c r="B1" s="48"/>
      <c r="C1" s="48"/>
      <c r="D1" s="49" t="s">
        <v>37</v>
      </c>
      <c r="E1" s="49"/>
      <c r="F1" s="49"/>
      <c r="G1" s="47" t="s">
        <v>38</v>
      </c>
      <c r="H1" s="47"/>
      <c r="I1" s="47"/>
      <c r="J1" s="4"/>
      <c r="K1" s="4"/>
    </row>
    <row r="2" spans="1:11" ht="19.5" customHeight="1" x14ac:dyDescent="0.25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D4" activePane="bottomRight" state="frozen"/>
      <selection pane="topRight" activeCell="G26" sqref="G26"/>
      <selection pane="bottomLeft" activeCell="G26" sqref="G26"/>
      <selection pane="bottomRight" activeCell="G26" sqref="G26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8" t="str" cm="1">
        <f t="array" ref="A1">portfolio</f>
        <v>National Grid</v>
      </c>
      <c r="B1" s="48"/>
      <c r="C1" s="48"/>
      <c r="D1" s="49" t="s">
        <v>39</v>
      </c>
      <c r="E1" s="49"/>
      <c r="F1" s="49"/>
      <c r="G1" s="47" t="s">
        <v>40</v>
      </c>
      <c r="H1" s="47"/>
      <c r="I1" s="47"/>
      <c r="J1" s="4"/>
      <c r="K1" s="4"/>
    </row>
    <row r="2" spans="1:11" ht="19.5" customHeight="1" x14ac:dyDescent="0.25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G4" activePane="bottomRight" state="frozen"/>
      <selection pane="topRight" activeCell="G26" sqref="G26"/>
      <selection pane="bottomLeft" activeCell="G26" sqref="G26"/>
      <selection pane="bottomRight" activeCell="G26" sqref="G26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8" t="str" cm="1">
        <f t="array" ref="A1">portfolio</f>
        <v>National Grid</v>
      </c>
      <c r="B1" s="48"/>
      <c r="C1" s="48"/>
      <c r="D1" s="49" t="s">
        <v>41</v>
      </c>
      <c r="E1" s="49"/>
      <c r="F1" s="49"/>
      <c r="G1" s="47" t="s">
        <v>42</v>
      </c>
      <c r="H1" s="47"/>
      <c r="I1" s="47"/>
      <c r="J1" s="4"/>
      <c r="K1" s="4"/>
    </row>
    <row r="2" spans="1:11" ht="19.5" customHeight="1" x14ac:dyDescent="0.25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topRight" activeCell="G26" sqref="G26"/>
      <selection pane="bottomLeft" activeCell="G26" sqref="G26"/>
      <selection pane="bottomRight" activeCell="G26" sqref="G26"/>
    </sheetView>
  </sheetViews>
  <sheetFormatPr defaultRowHeight="13.8" x14ac:dyDescent="0.25"/>
  <cols>
    <col min="1" max="1" width="52.33203125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8" t="str" cm="1">
        <f t="array" ref="A1">portfolio</f>
        <v>National Grid</v>
      </c>
      <c r="B1" s="48"/>
      <c r="C1" s="48"/>
      <c r="D1" s="49" t="s">
        <v>43</v>
      </c>
      <c r="E1" s="49"/>
      <c r="F1" s="49"/>
      <c r="G1" s="47" t="s">
        <v>44</v>
      </c>
      <c r="H1" s="47"/>
      <c r="I1" s="47"/>
      <c r="J1" s="4"/>
      <c r="K1" s="4"/>
    </row>
    <row r="2" spans="1:11" ht="19.5" customHeight="1" x14ac:dyDescent="0.25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topRight" activeCell="G26" sqref="G26"/>
      <selection pane="bottomLeft" activeCell="G26" sqref="G26"/>
      <selection pane="bottomRight" activeCell="J27" sqref="J27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8" t="str" cm="1">
        <f t="array" ref="A1">portfolio</f>
        <v>National Grid</v>
      </c>
      <c r="B1" s="48"/>
      <c r="C1" s="48"/>
      <c r="D1" s="49" t="s">
        <v>45</v>
      </c>
      <c r="E1" s="49"/>
      <c r="F1" s="49"/>
      <c r="G1" s="47" t="s">
        <v>46</v>
      </c>
      <c r="H1" s="47"/>
      <c r="I1" s="47"/>
      <c r="J1" s="4"/>
      <c r="K1" s="4"/>
    </row>
    <row r="2" spans="1:11" ht="19.5" customHeight="1" x14ac:dyDescent="0.25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/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47</v>
      </c>
      <c r="B1" t="s">
        <v>48</v>
      </c>
    </row>
    <row r="3" spans="1:12" ht="13.2" x14ac:dyDescent="0.2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" x14ac:dyDescent="0.3">
      <c r="A4" s="43" t="s">
        <v>52</v>
      </c>
      <c r="B4" t="s">
        <v>53</v>
      </c>
      <c r="C4" s="41" t="s">
        <v>54</v>
      </c>
      <c r="D4" s="45" t="s">
        <v>55</v>
      </c>
      <c r="E4" s="46" t="s">
        <v>56</v>
      </c>
      <c r="G4" s="3"/>
    </row>
    <row r="5" spans="1:12" ht="14.4" x14ac:dyDescent="0.3">
      <c r="A5" s="43"/>
      <c r="C5" s="41"/>
      <c r="D5" s="40"/>
      <c r="G5" s="3"/>
    </row>
    <row r="6" spans="1:12" ht="14.4" x14ac:dyDescent="0.3">
      <c r="A6" s="43"/>
      <c r="C6" s="41"/>
      <c r="D6" s="40"/>
      <c r="G6" s="3"/>
    </row>
    <row r="7" spans="1:12" ht="12.75" customHeight="1" x14ac:dyDescent="0.25">
      <c r="A7" s="43"/>
      <c r="C7" s="41"/>
      <c r="D7" s="40"/>
    </row>
    <row r="8" spans="1:12" ht="12.75" customHeight="1" x14ac:dyDescent="0.25">
      <c r="A8" s="43"/>
      <c r="C8" s="41"/>
      <c r="D8" s="40"/>
    </row>
    <row r="9" spans="1:12" ht="12.75" customHeight="1" x14ac:dyDescent="0.25">
      <c r="A9" s="43"/>
      <c r="C9" s="41"/>
      <c r="D9" s="40"/>
    </row>
    <row r="10" spans="1:12" ht="12.75" customHeight="1" x14ac:dyDescent="0.25">
      <c r="A10" s="43"/>
      <c r="C10" s="41"/>
      <c r="D10" s="40"/>
      <c r="K10" s="38"/>
      <c r="L10" s="38"/>
    </row>
    <row r="11" spans="1:12" ht="12.75" customHeight="1" x14ac:dyDescent="0.25">
      <c r="A11" s="43"/>
      <c r="C11" s="41"/>
      <c r="D11" s="40"/>
      <c r="K11" s="38"/>
      <c r="L11" s="38"/>
    </row>
    <row r="12" spans="1:12" ht="12.75" customHeight="1" x14ac:dyDescent="0.25">
      <c r="A12" s="43"/>
      <c r="C12" s="41"/>
      <c r="D12" s="40"/>
      <c r="K12" s="38"/>
      <c r="L12" s="38"/>
    </row>
    <row r="13" spans="1:12" ht="12.75" customHeight="1" x14ac:dyDescent="0.25">
      <c r="A13" s="43"/>
      <c r="C13" s="41"/>
      <c r="D13" s="40"/>
      <c r="K13" s="38"/>
      <c r="L13" s="38"/>
    </row>
    <row r="14" spans="1:12" ht="12.75" customHeight="1" x14ac:dyDescent="0.25">
      <c r="A14" s="43"/>
      <c r="C14" s="41"/>
      <c r="D14" s="40"/>
      <c r="K14" s="38"/>
      <c r="L14" s="38"/>
    </row>
    <row r="15" spans="1:12" ht="12.75" customHeight="1" x14ac:dyDescent="0.25">
      <c r="A15" s="43"/>
      <c r="C15" s="41"/>
      <c r="D15" s="40"/>
      <c r="K15" s="38"/>
      <c r="L15" s="38"/>
    </row>
    <row r="16" spans="1:12" ht="12.75" customHeight="1" x14ac:dyDescent="0.25">
      <c r="A16" s="43"/>
      <c r="C16" s="41"/>
      <c r="D16" s="40"/>
      <c r="K16" s="38"/>
      <c r="L16" s="38"/>
    </row>
    <row r="17" spans="1:12" ht="12.75" customHeight="1" x14ac:dyDescent="0.25">
      <c r="A17" s="43"/>
      <c r="C17" s="41"/>
      <c r="D17" s="40"/>
      <c r="K17" s="38"/>
      <c r="L17" s="38"/>
    </row>
    <row r="18" spans="1:12" ht="12.75" customHeight="1" x14ac:dyDescent="0.25">
      <c r="A18" s="43"/>
      <c r="C18" s="41"/>
      <c r="D18" s="40"/>
      <c r="K18" s="38"/>
      <c r="L18" s="38"/>
    </row>
    <row r="19" spans="1:12" ht="12.75" customHeight="1" x14ac:dyDescent="0.25">
      <c r="A19" s="43"/>
      <c r="C19" s="41"/>
      <c r="D19" s="40"/>
      <c r="K19" s="38"/>
      <c r="L19" s="38"/>
    </row>
    <row r="20" spans="1:12" ht="12.75" customHeight="1" x14ac:dyDescent="0.25">
      <c r="A20" s="43"/>
      <c r="C20" s="41"/>
      <c r="D20" s="40"/>
      <c r="K20" s="38"/>
      <c r="L20" s="38"/>
    </row>
    <row r="21" spans="1:12" ht="12.75" customHeight="1" x14ac:dyDescent="0.25">
      <c r="A21" s="43"/>
      <c r="C21" s="41"/>
      <c r="D21" s="40"/>
      <c r="K21" s="38"/>
      <c r="L21" s="38"/>
    </row>
    <row r="22" spans="1:12" ht="12.75" customHeight="1" x14ac:dyDescent="0.25">
      <c r="A22" s="43"/>
      <c r="C22" s="41"/>
      <c r="D22" s="40"/>
      <c r="K22" s="38"/>
      <c r="L22" s="38"/>
    </row>
    <row r="23" spans="1:12" ht="12.75" customHeight="1" x14ac:dyDescent="0.25">
      <c r="A23" s="43"/>
      <c r="C23" s="41"/>
      <c r="D23" s="40"/>
      <c r="K23" s="38"/>
      <c r="L23" s="38"/>
    </row>
    <row r="24" spans="1:12" ht="12.75" customHeight="1" x14ac:dyDescent="0.25">
      <c r="A24" s="43"/>
      <c r="C24" s="41"/>
      <c r="D24" s="40"/>
      <c r="K24" s="38"/>
      <c r="L24" s="38"/>
    </row>
    <row r="25" spans="1:12" ht="12.75" customHeight="1" x14ac:dyDescent="0.25">
      <c r="A25" s="43"/>
      <c r="C25" s="41"/>
      <c r="D25" s="40"/>
      <c r="K25" s="38"/>
      <c r="L25" s="38"/>
    </row>
    <row r="26" spans="1:12" ht="12.75" customHeight="1" x14ac:dyDescent="0.25">
      <c r="K26" s="38"/>
      <c r="L26" s="38"/>
    </row>
    <row r="27" spans="1:12" ht="12.75" customHeight="1" x14ac:dyDescent="0.25">
      <c r="K27" s="38"/>
      <c r="L27" s="38"/>
    </row>
    <row r="28" spans="1:12" ht="12.75" customHeight="1" x14ac:dyDescent="0.25">
      <c r="K28" s="38"/>
      <c r="L28" s="38"/>
    </row>
    <row r="29" spans="1:12" ht="12.75" customHeight="1" x14ac:dyDescent="0.25">
      <c r="K29" s="38"/>
      <c r="L29" s="38"/>
    </row>
    <row r="30" spans="1:12" ht="12.75" customHeight="1" x14ac:dyDescent="0.25">
      <c r="K30" s="38"/>
      <c r="L30" s="38"/>
    </row>
    <row r="31" spans="1:12" ht="12.75" customHeight="1" x14ac:dyDescent="0.2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5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6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7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8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9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0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2.xml><?xml version="1.0" encoding="utf-8"?>
<ds:datastoreItem xmlns:ds="http://schemas.openxmlformats.org/officeDocument/2006/customXml" ds:itemID="{213692AD-A14A-493B-AEE5-E45F3AA48629}"/>
</file>

<file path=customXml/itemProps13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4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5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6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7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8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9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20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2025-07-17T05:52:37Z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