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7626825-AD97-4437-8355-ADB83539AC16}" xr6:coauthVersionLast="47" xr6:coauthVersionMax="47" xr10:uidLastSave="{00000000-0000-0000-0000-000000000000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9" l="1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5" i="29"/>
  <c r="G4" i="29"/>
  <c r="G2" i="29" s="1"/>
  <c r="G5" i="30"/>
  <c r="G4" i="30"/>
  <c r="G2" i="30" s="1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D2" i="30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5" i="34" l="1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34" l="1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<sst xmlns="http://schemas.openxmlformats.org/spreadsheetml/2006/main" count="262" uniqueCount="71">
  <si>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</si>
  <si>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</si>
  <si>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</si>
  <si>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</si>
  <si>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</si>
  <si>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</si>
  <si>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</si>
  <si>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</si>
  <si>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</si>
  <si>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</si>
  <si>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</si>
  <si>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</si>
  <si>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</si>
  <si>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</si>
  <si>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</si>
  <si>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</si>
  <si>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</si>
  <si>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</si>
  <si>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</si>
  <si>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</si>
  <si>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</si>
  <si>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</si>
  <si>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</si>
  <si>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</si>
  <si>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</si>
  <si>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</si>
  <si>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</si>
  <si>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</si>
  <si>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</si>
  <si>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</si>
  <si>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</si>
  <si>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</si>
  <si>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1.  Inverter 2 is underperforming by 10KW down compared to peer inverter.</t>
  </si>
  <si>
    <t>1. SR100595</t>
  </si>
  <si>
    <t>1. Inverter 4 tripped offline at 14:45 on 04/08 and later self-resolved at 11:00 on 04/09.
2. Actual vs expected delta is showing 71% due to expected energy recording low possibly due to data glitch (similar event observe last 2 years).</t>
  </si>
  <si>
    <t>1. SR099525</t>
  </si>
  <si>
    <t>May Actual v. Expected</t>
  </si>
  <si>
    <t>May Actual v. Forecasted</t>
  </si>
  <si>
    <t>1.  Inverter 2 is underperforming by 10kW down compared to peer inverter.</t>
  </si>
  <si>
    <t>1. Actual vs expected delta is showing 58% due to expected energy recording low possibly due to data glitch (similar event observe last 2 years).</t>
  </si>
  <si>
    <t>June Actual v. Expected</t>
  </si>
  <si>
    <t>June Actual v. Forecasted</t>
  </si>
  <si>
    <t>1. Inverter 2 is underperforming by 10kW down compared to peer inverter.</t>
  </si>
  <si>
    <t>1.SR100595</t>
  </si>
  <si>
    <t>1. Inverter 6 has tripped offline at 14:30 on 06/02 and reporting "Waiting for grid voltage &gt; Installation failure grid connection and came back online at 13:45 on 06/04
2. Inverter 6 has tripped offline at 13:45 on 06/23 and came back online at 07:30 on 06/25
3. Actual vs expected delta is showing 60% due to expected energy recording low possibly due to data glitch (similar event observe last 2 years).</t>
  </si>
  <si>
    <t>1.SR102313
2.	SR103325</t>
  </si>
  <si>
    <t>SR103325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</si>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</sst>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35" fillId="0" borderId="0" xfId="45" applyNumberFormat="1" applyAlignment="1">
      <alignment vertical="top" wrapText="1"/>
    </xf>
    <xf numFmtId="4" fontId="36" fillId="0" borderId="0" xfId="0" applyNumberFormat="1" applyFont="1"/>
    <xf numFmtId="0" fontId="22" fillId="0" borderId="0" xfId="0" applyFont="1"/>
    <xf numFmtId="0" fontId="34" fillId="46" borderId="0" xfId="0" applyFont="1" applyFill="1"/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5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325" TargetMode="External"/><Relationship Id="rId2" Type="http://schemas.openxmlformats.org/officeDocument/2006/relationships/hyperlink" Target="https://us3.assetplanner.com/service_request?ID=10231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G10" sqref="D9: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Amergy Solar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5">
        <f>SUM(C4:C88)</f>
        <v>855275.9</v>
      </c>
      <c r="D2" s="5">
        <f>SUM(D4:D88)</f>
        <v>772028.60100000002</v>
      </c>
      <c r="E2" s="5">
        <f>C2-D2</f>
        <v>83247.298999999999</v>
      </c>
      <c r="F2" s="6">
        <f>IFERROR(E2/D2, 0)</f>
        <v>0.10782929400824103</v>
      </c>
      <c r="G2" s="5">
        <f>SUM(G4:G88)</f>
        <v>960444.46100000001</v>
      </c>
      <c r="H2" s="7">
        <f>C2-G2</f>
        <v>-105168.56099999999</v>
      </c>
      <c r="I2" s="6">
        <f>IFERROR(H2/G2, 0)</f>
        <v>-0.10949988809399774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354279.59999999992</v>
      </c>
      <c r="D4" s="13">
        <f>SUM('1st Qtr'!D4, '2nd Qtr'!D4, '3rd Qtr'!D4, '4th Qtr'!D4)</f>
        <v>360610.37</v>
      </c>
      <c r="E4" s="13">
        <f>IF(AND(ISNUMBER(C4),ISNUMBER(D4)), C4-D4, "")</f>
        <v>-6330.7700000000768</v>
      </c>
      <c r="F4" s="14">
        <f>IFERROR(E4/D4, "")</f>
        <v>-1.7555707008647801E-2</v>
      </c>
      <c r="G4" s="15">
        <f>SUM('1st Qtr'!G4+'2nd Qtr'!G4+'3rd Qtr'!G4+'4th Qtr'!G4)</f>
        <v>461474.84499999997</v>
      </c>
      <c r="H4" s="15">
        <f>SUM('1st Qtr'!H4, '2nd Qtr'!H4, '3rd Qtr'!H4, '4th Qtr'!H4)</f>
        <v>-107195.24500000008</v>
      </c>
      <c r="I4" s="16">
        <f>IFERROR(H4/G4, "")</f>
        <v>-0.23228838182934997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500996.3000000001</v>
      </c>
      <c r="D5" s="47">
        <f>SUM('1st Qtr'!D5, '2nd Qtr'!D5, '3rd Qtr'!D5, '4th Qtr'!D5)</f>
        <v>411418.23099999997</v>
      </c>
      <c r="E5" s="18">
        <f t="shared" ref="E5" si="0">IF(AND(ISNUMBER(C5),ISNUMBER(D5)), C5-D5, "")</f>
        <v>89578.069000000134</v>
      </c>
      <c r="F5" s="19">
        <f>IFERROR(E5/D5, "")</f>
        <v>0.21772994546758465</v>
      </c>
      <c r="G5" s="48">
        <f>SUM('1st Qtr'!G5+'2nd Qtr'!G5+'3rd Qtr'!G5+'4th Qtr'!G5)</f>
        <v>498969.61600000004</v>
      </c>
      <c r="H5" s="20">
        <f>SUM(Jan!H5, Feb!H5, Mar!H5)</f>
        <v>28298.58400000001</v>
      </c>
      <c r="I5" s="19">
        <f>IFERROR(H5/G5, "")</f>
        <v>5.6714042483901481E-2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14" sqref="A6:G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Amergy Solar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E21" sqref="E2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Amergy Solar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5">
        <f>SUM(C4:C88)</f>
        <v>524729.30000000005</v>
      </c>
      <c r="D2" s="5">
        <f>SUM(D4:D88)</f>
        <v>411049.58999999997</v>
      </c>
      <c r="E2" s="5">
        <f>C2-D2</f>
        <v>113679.71000000008</v>
      </c>
      <c r="F2" s="6">
        <f>IFERROR(E2/D2, 0)</f>
        <v>0.27655959953639681</v>
      </c>
      <c r="G2" s="5">
        <f>SUM(G4:G88)</f>
        <v>609183.69999999995</v>
      </c>
      <c r="H2" s="7">
        <f>C2-G2</f>
        <v>-84454.399999999907</v>
      </c>
      <c r="I2" s="6">
        <f>IFERROR(H2/G2, 0)</f>
        <v>-0.13863535744636621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217734.49999999994</v>
      </c>
      <c r="D4" s="13">
        <f>SUM(Apr!D4, May!D4, Jun!D4)</f>
        <v>222436.1</v>
      </c>
      <c r="E4" s="13">
        <f>IF(AND(ISNUMBER(C4),ISNUMBER(D4)), C4-D4, "")</f>
        <v>-4701.600000000064</v>
      </c>
      <c r="F4" s="14">
        <f>IFERROR(E4/D4, "")</f>
        <v>-2.1136856832142191E-2</v>
      </c>
      <c r="G4" s="15">
        <f>SUM(Apr!G4,May!G4,Jun!G4)</f>
        <v>275917</v>
      </c>
      <c r="H4" s="15">
        <f>SUM(Apr!H4, May!H4, Jun!H4)</f>
        <v>-58182.500000000087</v>
      </c>
      <c r="I4" s="16">
        <f>IFERROR(H4/G4, "")</f>
        <v>-0.21086957309625753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306994.8000000001</v>
      </c>
      <c r="D5" s="18">
        <f>SUM(Apr!D5, May!D5, Jun!D5)</f>
        <v>188613.49</v>
      </c>
      <c r="E5" s="18">
        <f t="shared" ref="E5" si="0">IF(AND(ISNUMBER(C5),ISNUMBER(D5)), C5-D5, "")</f>
        <v>118381.31000000011</v>
      </c>
      <c r="F5" s="19">
        <f>IFERROR(E5/D5, "")</f>
        <v>0.62763967731046233</v>
      </c>
      <c r="G5" s="20">
        <f>SUM(Apr!G5,May!G5,Jun!G5)</f>
        <v>333266.7</v>
      </c>
      <c r="H5" s="20">
        <f>SUM(Apr!H5, May!H5, Jun!H5)</f>
        <v>-26271.899999999907</v>
      </c>
      <c r="I5" s="19">
        <f>IFERROR(H5/G5, "")</f>
        <v>-7.8831458408535587E-2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D22" sqref="C22:D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Amergy Solar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SUM(Aug!G4,Sep!G4,Oct!G4)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SUM(Aug!G5,Sep!G5,Oct!G5)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Amergy Solar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tabSelected="1" zoomScale="90" zoomScaleNormal="90" workbookViewId="0">
      <pane xSplit="2" ySplit="3" topLeftCell="C4" activePane="bottomRight" state="frozen"/>
      <selection pane="bottomRight" activeCell="J5" sqref="J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1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I36" sqref="I3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25</v>
      </c>
      <c r="E1" s="60"/>
      <c r="F1" s="60"/>
      <c r="G1" s="58" t="s">
        <v>26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27</v>
      </c>
      <c r="E1" s="60"/>
      <c r="F1" s="60"/>
      <c r="G1" s="58" t="s">
        <v>28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30</v>
      </c>
      <c r="E1" s="60"/>
      <c r="F1" s="60"/>
      <c r="G1" s="58" t="s">
        <v>31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SUM(C4:C89)</f>
        <v>167794.1</v>
      </c>
      <c r="D2" s="5">
        <f>SUM(D4:D89)</f>
        <v>127938.35</v>
      </c>
      <c r="E2" s="5">
        <f>C2-D2</f>
        <v>39855.75</v>
      </c>
      <c r="F2" s="6">
        <f>IFERROR(E2/D2, 0)</f>
        <v>0.31152308905031212</v>
      </c>
      <c r="G2" s="5">
        <f>SUM(G4:G89)</f>
        <v>191379.95</v>
      </c>
      <c r="H2" s="7">
        <f>C2-G2</f>
        <v>-23585.850000000006</v>
      </c>
      <c r="I2" s="6">
        <f>IFERROR(H2/G2, 0)</f>
        <v>-0.12324096646487788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69895.100000000006</v>
      </c>
      <c r="D4" s="13">
        <v>70676.850000000006</v>
      </c>
      <c r="E4" s="13">
        <f>IF(AND(ISNUMBER(C4),ISNUMBER(D4)), C4-D4, "")</f>
        <v>-781.75</v>
      </c>
      <c r="F4" s="14">
        <f>IFERROR(E4/D4, "")</f>
        <v>-1.1060906081694358E-2</v>
      </c>
      <c r="G4" s="15">
        <v>89306.95</v>
      </c>
      <c r="H4" s="15">
        <f>IF(AND(ISNUMBER(C4),ISNUMBER(G4)), C4-G4, "")</f>
        <v>-19411.849999999991</v>
      </c>
      <c r="I4" s="16">
        <f>IFERROR(H4/G4, "")</f>
        <v>-0.21736102285432424</v>
      </c>
      <c r="J4" s="40" t="s">
        <v>32</v>
      </c>
      <c r="K4" s="55" t="s">
        <v>33</v>
      </c>
    </row>
    <row r="5" spans="1:11" ht="64.5" customHeight="1">
      <c r="A5" s="29" t="str">
        <v>Mount Laurel - Igloo Ice Rink</v>
      </c>
      <c r="B5" s="30" t="str">
        <v>NJ</v>
      </c>
      <c r="C5" s="11">
        <v>97899</v>
      </c>
      <c r="D5" s="18">
        <v>57261.5</v>
      </c>
      <c r="E5" s="18">
        <f t="shared" ref="E5:E6" si="0">IF(AND(ISNUMBER(C5),ISNUMBER(D5)), C5-D5, "")</f>
        <v>40637.5</v>
      </c>
      <c r="F5" s="19">
        <f>IFERROR(E5/D5, "")</f>
        <v>0.70968277114640732</v>
      </c>
      <c r="G5" s="20">
        <v>102073</v>
      </c>
      <c r="H5" s="20">
        <f>IF(AND(ISNUMBER(C5),ISNUMBER(G5)), C5-G5, "")</f>
        <v>-4174</v>
      </c>
      <c r="I5" s="19">
        <f t="shared" ref="I5:I6" si="1">IFERROR(H5/G5, "")</f>
        <v>-4.0892302567770128E-2</v>
      </c>
      <c r="J5" s="50" t="s">
        <v>34</v>
      </c>
      <c r="K5" s="51" t="s">
        <v>35</v>
      </c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100595" xr:uid="{B8DEF680-3205-4F3A-AF40-292376CEB52E}"/>
    <hyperlink ref="K5" r:id="rId2" display="https://us3.assetplanner.com/service_request?ID=099525" xr:uid="{A2F60132-FA68-44E2-A603-64018891DB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36</v>
      </c>
      <c r="E1" s="60"/>
      <c r="F1" s="60"/>
      <c r="G1" s="58" t="s">
        <v>37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SUM(C4:C87)</f>
        <v>169852.90000000008</v>
      </c>
      <c r="D2" s="5">
        <f>SUM(D4:D87)</f>
        <v>135384.81</v>
      </c>
      <c r="E2" s="5">
        <f>C2-D2</f>
        <v>34468.090000000084</v>
      </c>
      <c r="F2" s="6">
        <f>IFERROR(E2/D2, 0)</f>
        <v>0.25459348061278131</v>
      </c>
      <c r="G2" s="5">
        <f>SUM(G4:G87)</f>
        <v>204867.78999999998</v>
      </c>
      <c r="H2" s="7">
        <f>C2-G2</f>
        <v>-35014.889999999898</v>
      </c>
      <c r="I2" s="6">
        <f>IFERROR(H2/G2, 0)</f>
        <v>-0.17091456885438117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70707.3</v>
      </c>
      <c r="D4" s="13">
        <v>72770.5</v>
      </c>
      <c r="E4" s="13">
        <f>IF(AND(ISNUMBER(C4),ISNUMBER(D4)), C4-D4, "")</f>
        <v>-2063.1999999999971</v>
      </c>
      <c r="F4" s="14">
        <f>IFERROR(E4/D4, "")</f>
        <v>-2.8352148191918388E-2</v>
      </c>
      <c r="G4" s="15">
        <v>91904.89</v>
      </c>
      <c r="H4" s="15">
        <f>IF(AND(ISNUMBER(C4),ISNUMBER(G4)), C4-G4, "")</f>
        <v>-21197.589999999997</v>
      </c>
      <c r="I4" s="16">
        <f>IFERROR(H4/G4, "")</f>
        <v>-0.23064703085983779</v>
      </c>
      <c r="J4" s="40" t="s">
        <v>38</v>
      </c>
      <c r="K4" s="55" t="s">
        <v>33</v>
      </c>
    </row>
    <row r="5" spans="1:11" ht="28.9">
      <c r="A5" s="29" t="str">
        <v>Mount Laurel - Igloo Ice Rink</v>
      </c>
      <c r="B5" s="30" t="str">
        <v>NJ</v>
      </c>
      <c r="C5" s="11">
        <v>99145.600000000093</v>
      </c>
      <c r="D5" s="18">
        <v>62614.31</v>
      </c>
      <c r="E5" s="18">
        <f t="shared" ref="E5" si="0">IF(AND(ISNUMBER(C5),ISNUMBER(D5)), C5-D5, "")</f>
        <v>36531.290000000095</v>
      </c>
      <c r="F5" s="19">
        <f>IFERROR(E5/D5, "")</f>
        <v>0.58343356334997698</v>
      </c>
      <c r="G5" s="53">
        <v>112962.9</v>
      </c>
      <c r="H5" s="20">
        <f>IF(AND(ISNUMBER(C5),ISNUMBER(G5)), C5-G5, "")</f>
        <v>-13817.299999999901</v>
      </c>
      <c r="I5" s="19">
        <f t="shared" ref="I5" si="1">IFERROR(H5/G5, "")</f>
        <v>-0.12231715014398446</v>
      </c>
      <c r="J5" s="41" t="s">
        <v>39</v>
      </c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4" r:id="rId1" display="https://us3.assetplanner.com/service_request?ID=100595" xr:uid="{52FD9B62-F90D-4A92-8DD9-95A0EF60A32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zoomScale="97" zoomScaleNormal="97" workbookViewId="0">
      <pane xSplit="2" ySplit="3" topLeftCell="G4" activePane="bottomRight" state="frozen"/>
      <selection pane="bottomRight" activeCell="L1" sqref="L1:L104857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59" t="str" cm="1">
        <f t="array" ref="A1">portfolio</f>
        <v>Amergy Solar</v>
      </c>
      <c r="B1" s="59"/>
      <c r="C1" s="59"/>
      <c r="D1" s="60" t="s">
        <v>40</v>
      </c>
      <c r="E1" s="60"/>
      <c r="F1" s="60"/>
      <c r="G1" s="58" t="s">
        <v>41</v>
      </c>
      <c r="H1" s="58"/>
      <c r="I1" s="58"/>
      <c r="J1" s="4"/>
      <c r="K1" s="4"/>
    </row>
    <row r="2" spans="1:12" ht="19.5" customHeight="1">
      <c r="A2" s="61" t="s">
        <v>2</v>
      </c>
      <c r="B2" s="61"/>
      <c r="C2" s="5">
        <f>SUM(C4:C88)</f>
        <v>187082.2999999999</v>
      </c>
      <c r="D2" s="5">
        <f>SUM(D4:D88)</f>
        <v>147726.43</v>
      </c>
      <c r="E2" s="5">
        <f>C2-D2</f>
        <v>39355.869999999908</v>
      </c>
      <c r="F2" s="6">
        <f>IFERROR(E2/D2, 0)</f>
        <v>0.26641048592320216</v>
      </c>
      <c r="G2" s="5">
        <f>SUM(G4:G88)</f>
        <v>212935.96000000002</v>
      </c>
      <c r="H2" s="7">
        <f>C2-G2</f>
        <v>-25853.66000000012</v>
      </c>
      <c r="I2" s="6">
        <f>IFERROR(H2/G2, 0)</f>
        <v>-0.12141518980636298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77132.099999999904</v>
      </c>
      <c r="D4" s="13">
        <v>78988.75</v>
      </c>
      <c r="E4" s="13">
        <f>IF(AND(ISNUMBER(C4),ISNUMBER(D4)), C4-D4, "")</f>
        <v>-1856.650000000096</v>
      </c>
      <c r="F4" s="14">
        <f>IFERROR(E4/D4, "")</f>
        <v>-2.3505246000222767E-2</v>
      </c>
      <c r="G4" s="15">
        <v>94705.16</v>
      </c>
      <c r="H4" s="15">
        <f>IF(AND(ISNUMBER(C4),ISNUMBER(G4)), C4-G4, "")</f>
        <v>-17573.0600000001</v>
      </c>
      <c r="I4" s="16">
        <f>IFERROR(H4/G4, "")</f>
        <v>-0.18555546498205694</v>
      </c>
      <c r="J4" s="40" t="s">
        <v>42</v>
      </c>
      <c r="K4" s="55" t="s">
        <v>43</v>
      </c>
    </row>
    <row r="5" spans="1:12" ht="122.25" customHeight="1">
      <c r="A5" s="29" t="str">
        <v>Mount Laurel - Igloo Ice Rink</v>
      </c>
      <c r="B5" s="30" t="str">
        <v>NJ</v>
      </c>
      <c r="C5" s="11">
        <v>109950.2</v>
      </c>
      <c r="D5" s="18">
        <v>68737.679999999993</v>
      </c>
      <c r="E5" s="18">
        <f t="shared" ref="E5" si="0">IF(AND(ISNUMBER(C5),ISNUMBER(D5)), C5-D5, "")</f>
        <v>41212.520000000004</v>
      </c>
      <c r="F5" s="19">
        <f>IFERROR(E5/D5, "")</f>
        <v>0.59956227792384043</v>
      </c>
      <c r="G5" s="20">
        <v>118230.8</v>
      </c>
      <c r="H5" s="20">
        <f t="shared" ref="H5" si="1">IF(AND(ISNUMBER(C5),ISNUMBER(G5)), C5-G5, "")</f>
        <v>-8280.6000000000058</v>
      </c>
      <c r="I5" s="19">
        <f t="shared" ref="I5" si="2">IFERROR(H5/G5, "")</f>
        <v>-7.0037587498350734E-2</v>
      </c>
      <c r="J5" s="50" t="s">
        <v>44</v>
      </c>
      <c r="K5" s="51" t="s">
        <v>45</v>
      </c>
      <c r="L5" s="57" t="s">
        <v>46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595" xr:uid="{2A92204E-07AC-4244-925B-9650ABA3FFFE}"/>
    <hyperlink ref="K5" r:id="rId2" display="https://us3.assetplanner.com/service_request?ID=102313" xr:uid="{968C70C1-686D-4E09-ADAB-A16F2C8705B7}"/>
    <hyperlink ref="L5" r:id="rId3" display="https://us3.assetplanner.com/service_request?ID=103325" xr:uid="{1950BECB-CF23-406D-9398-78505867A166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1"/>
  <sheetViews>
    <sheetView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47</v>
      </c>
      <c r="E1" s="60"/>
      <c r="F1" s="60"/>
      <c r="G1" s="58" t="s">
        <v>48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54.75" customHeight="1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50"/>
      <c r="K5" s="50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49</v>
      </c>
      <c r="E1" s="60"/>
      <c r="F1" s="60"/>
      <c r="G1" s="58" t="s">
        <v>50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50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51</v>
      </c>
      <c r="E1" s="60"/>
      <c r="F1" s="60"/>
      <c r="G1" s="58" t="s">
        <v>52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zoomScale="90" zoomScaleNormal="9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53</v>
      </c>
      <c r="E1" s="60"/>
      <c r="F1" s="60"/>
      <c r="G1" s="58" t="s">
        <v>54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view="pageBreakPreview" zoomScaleNormal="100" zoomScaleSheetLayoutView="100" workbookViewId="0">
      <pane xSplit="2" ySplit="3" topLeftCell="F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55</v>
      </c>
      <c r="E1" s="60"/>
      <c r="F1" s="60"/>
      <c r="G1" s="58" t="s">
        <v>56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Amergy Solar</v>
      </c>
      <c r="B1" s="59"/>
      <c r="C1" s="59"/>
      <c r="D1" s="60" t="s">
        <v>57</v>
      </c>
      <c r="E1" s="60"/>
      <c r="F1" s="60"/>
      <c r="G1" s="58" t="s">
        <v>58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9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59</v>
      </c>
      <c r="B1" t="s">
        <v>60</v>
      </c>
    </row>
    <row r="3" spans="1:7" ht="13.1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7" ht="14.45">
      <c r="A4" s="43" t="s">
        <v>64</v>
      </c>
      <c r="B4" s="43" t="s">
        <v>65</v>
      </c>
      <c r="C4" s="43" t="s">
        <v>66</v>
      </c>
      <c r="D4" s="54" t="s">
        <v>67</v>
      </c>
      <c r="E4" t="s">
        <v>68</v>
      </c>
      <c r="G4" s="3"/>
    </row>
    <row r="5" spans="1:7" ht="14.45">
      <c r="A5" s="44" t="s">
        <v>69</v>
      </c>
      <c r="B5" s="44" t="s">
        <v>70</v>
      </c>
      <c r="C5" s="45" t="s">
        <v>66</v>
      </c>
      <c r="D5" s="44" t="s">
        <v>67</v>
      </c>
      <c r="E5" t="s">
        <v>68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1AB6FF92-A1B5-45EA-9EA7-8096F2C5298E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2025-07-10T07:52:32Z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