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3" documentId="13_ncr:1_{F9D564ED-0D47-4339-A2B7-369FFB16B313}" xr6:coauthVersionLast="47" xr6:coauthVersionMax="47" xr10:uidLastSave="{3B9C70C4-0770-461E-9BAB-D52925CD7C1B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<sst xmlns="http://schemas.openxmlformats.org/spreadsheetml/2006/main" count="247" uniqueCount="57">
  <si>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</si>
  <si>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</si>
  <si>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</si>
  <si>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</si>
  <si>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</si>
  <si>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</si>
  <si>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</si>
  <si>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</si>
  <si>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</si>
  <si>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</si>
  <si>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</si>
  <si>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</si>
  <si>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</si>
  <si>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</si>
  <si>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</si>
  <si>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</si>
  <si>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</si>
  <si>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</si>
  <si>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</si>
  <si>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</si>
  <si>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</si>
  <si>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</si>
  <si>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Low generation due to weather/snow.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</si>
  <si>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</si>
  <si>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</si>
  <si>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</si>
  <si>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</si>
  <si>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</si>
  <si>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</si>
  <si>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N/A</t>
  </si>
  <si>
    <t>May Actual v. Expected</t>
  </si>
  <si>
    <t>May Actual v. Forecasted</t>
  </si>
  <si>
    <t>1. Site production was low on 05/05, 05/09, 05/21.</t>
  </si>
  <si>
    <t>June Actual v. Expected</t>
  </si>
  <si>
    <t>June Actual v. Forecasted</t>
  </si>
  <si>
    <t>1. Site production was low on 06/09, 06/10, 06/14, 06/17.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</si>
  <si>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</si>
  <si>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</si>
  <si>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</si>
  <si>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</si>
  <si>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</si>
  <si>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</si>
  <si>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</si>
  <si>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</si>
  <si>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</si>
  <si>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</si>
  <si>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</si>
  <si>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</si>
  <si>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</si>
  <si>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ESI</t>
  </si>
  <si>
    <t>Site DAS Name</t>
  </si>
  <si>
    <t>Update</t>
  </si>
  <si>
    <t>DAS</t>
  </si>
  <si>
    <t>CT: North Branford - Engineering Specialties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</si>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</sst>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A5" sqref="A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SUM(C4:C65)</f>
        <v>79458</v>
      </c>
      <c r="D2" s="5">
        <f>SUM(D4:D65)</f>
        <v>0</v>
      </c>
      <c r="E2" s="5">
        <f>C2-D2</f>
        <v>79458</v>
      </c>
      <c r="F2" s="6">
        <f>IFERROR(E2/D2, 0)</f>
        <v>0</v>
      </c>
      <c r="G2" s="5">
        <f>SUM(G4:G65)</f>
        <v>82302.472999999998</v>
      </c>
      <c r="H2" s="7">
        <f>C2-G2</f>
        <v>-2844.4729999999981</v>
      </c>
      <c r="I2" s="6">
        <f>IFERROR(H2/G2, 0)</f>
        <v>-3.4561209357585138E-2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SUM('1st Qtr'!C4, '2nd Qtr'!C4, '3rd Qtr'!C4, '4th Qtr'!C4)</f>
        <v>79458</v>
      </c>
      <c r="D4" s="11">
        <f>SUM('1st Qtr'!D4, '2nd Qtr'!D4, '3rd Qtr'!D4, '4th Qtr'!D4)</f>
        <v>0</v>
      </c>
      <c r="E4" s="11">
        <f>IF(AND(ISNUMBER(C4),ISNUMBER(D4)), C4-D4, "")</f>
        <v>79458</v>
      </c>
      <c r="F4" s="12" t="str">
        <f>IFERROR(E4/D4, "")</f>
        <v/>
      </c>
      <c r="G4" s="13">
        <f>SUM('1st Qtr'!G4, '2nd Qtr'!G4, '3rd Qtr'!G4, '4th Qtr'!G4)</f>
        <v>82302.472999999998</v>
      </c>
      <c r="H4" s="13">
        <f>SUM('1st Qtr'!H4, '2nd Qtr'!H4, '3rd Qtr'!H4, '4th Qtr'!H4)</f>
        <v>-2844.472999999999</v>
      </c>
      <c r="I4" s="14">
        <f>IFERROR(H4/G4, "")</f>
        <v>-3.4561209357585151E-2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G8" sqref="G8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SUM(C4:C65)</f>
        <v>32548</v>
      </c>
      <c r="D2" s="5">
        <f>SUM(D4:D65)</f>
        <v>0</v>
      </c>
      <c r="E2" s="5">
        <f>C2-D2</f>
        <v>32548</v>
      </c>
      <c r="F2" s="6">
        <f>IFERROR(E2/D2, 0)</f>
        <v>0</v>
      </c>
      <c r="G2" s="5">
        <f>SUM(G4:G65)</f>
        <v>29519.472999999998</v>
      </c>
      <c r="H2" s="7">
        <f>C2-G2</f>
        <v>3028.5270000000019</v>
      </c>
      <c r="I2" s="6">
        <f>IFERROR(H2/G2, 0)</f>
        <v>0.10259420959174989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SUM(Jan!C4, Feb!C4, Mar!C4)</f>
        <v>32548</v>
      </c>
      <c r="D4" s="11">
        <f>SUM(Jan!D4, Feb!D4, Mar!D4)</f>
        <v>0</v>
      </c>
      <c r="E4" s="11">
        <f>IF(AND(ISNUMBER(C4),ISNUMBER(D4)), C4-D4, "")</f>
        <v>32548</v>
      </c>
      <c r="F4" s="12" t="str">
        <f>IFERROR(E4/D4, "")</f>
        <v/>
      </c>
      <c r="G4" s="13">
        <f>SUM(Jan!G4, Feb!G4, Mar!G4)</f>
        <v>29519.472999999998</v>
      </c>
      <c r="H4" s="13">
        <f>SUM(Jan!H4, Feb!H4, Mar!H4)</f>
        <v>3028.527000000001</v>
      </c>
      <c r="I4" s="14">
        <f>IFERROR(H4/G4, "")</f>
        <v>0.10259420959174986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SUM(C4:C65)</f>
        <v>46910</v>
      </c>
      <c r="D2" s="5">
        <f>SUM(D4:D65)</f>
        <v>0</v>
      </c>
      <c r="E2" s="5">
        <f>C2-D2</f>
        <v>46910</v>
      </c>
      <c r="F2" s="6">
        <f>IFERROR(E2/D2, 0)</f>
        <v>0</v>
      </c>
      <c r="G2" s="5">
        <f>SUM(G4:G65)</f>
        <v>52783</v>
      </c>
      <c r="H2" s="7">
        <f>C2-G2</f>
        <v>-5873</v>
      </c>
      <c r="I2" s="6">
        <f>IFERROR(H2/G2, 0)</f>
        <v>-0.11126688517136199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SUM(Apr!C4, May!C4, Jun!C4)</f>
        <v>46910</v>
      </c>
      <c r="D4" s="11">
        <f>SUM(Apr!D4, May!D4, Jun!D4)</f>
        <v>0</v>
      </c>
      <c r="E4" s="11">
        <f>IF(AND(ISNUMBER(C4),ISNUMBER(D4)), C4-D4, "")</f>
        <v>46910</v>
      </c>
      <c r="F4" s="12" t="str">
        <f>IFERROR(E4/D4, "")</f>
        <v/>
      </c>
      <c r="G4" s="13">
        <f>SUM(Apr!G4,May!G4,Jun!G4)</f>
        <v>52783</v>
      </c>
      <c r="H4" s="13">
        <f>SUM(Apr!H4, May!H4, Jun!H4)</f>
        <v>-5873</v>
      </c>
      <c r="I4" s="14">
        <f>IFERROR(H4/G4, "")</f>
        <v>-0.11126688517136199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E19" sqref="E19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E7" sqref="E7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J4" sqref="J4"/>
      <selection pane="bottomLeft" activeCell="I19" sqref="I19"/>
      <selection pane="topRight" activeCell="I19" sqref="I19"/>
    </sheetView>
  </sheetViews>
  <sheetFormatPr defaultRowHeight="13.9"/>
  <cols>
    <col min="1" max="1" width="38.140625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SUM(C4:C64)</f>
        <v>8617</v>
      </c>
      <c r="D2" s="5">
        <f>SUM(D4:D64)</f>
        <v>0</v>
      </c>
      <c r="E2" s="5">
        <f>C2-D2</f>
        <v>8617</v>
      </c>
      <c r="F2" s="6">
        <f>IFERROR(E2/D2, 0)</f>
        <v>0</v>
      </c>
      <c r="G2" s="5">
        <f>SUM(G4:G64)</f>
        <v>7703.19</v>
      </c>
      <c r="H2" s="7">
        <f>C2-G2</f>
        <v>913.8100000000004</v>
      </c>
      <c r="I2" s="6">
        <f>IFERROR(H2/G2, 0)</f>
        <v>0.11862747770728756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8" t="s">
        <v>5</v>
      </c>
      <c r="D3" s="39" t="s">
        <v>6</v>
      </c>
      <c r="E3" s="26" t="s">
        <v>7</v>
      </c>
      <c r="F3" s="27" t="s">
        <v>8</v>
      </c>
      <c r="G3" s="40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7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8617</v>
      </c>
      <c r="D4" s="11">
        <v>0</v>
      </c>
      <c r="E4" s="11">
        <f>IF(AND(ISNUMBER(C4),ISNUMBER(D4)), C4-D4, "")</f>
        <v>8617</v>
      </c>
      <c r="F4" s="12" t="str">
        <f>IFERROR(E4/D4, "")</f>
        <v/>
      </c>
      <c r="G4" s="13">
        <v>7703.19</v>
      </c>
      <c r="H4" s="13">
        <f>IF(AND(ISNUMBER(C4),ISNUMBER(G4)), C4-G4, "")</f>
        <v>913.8100000000004</v>
      </c>
      <c r="I4" s="14">
        <f>IFERROR(H4/G4, "")</f>
        <v>0.11862747770728756</v>
      </c>
      <c r="J4" s="31" t="s">
        <v>22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64 I4:I6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D4" activePane="bottomRight" state="frozen"/>
      <selection pane="bottomRight" activeCell="J4" sqref="J4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23</v>
      </c>
      <c r="E1" s="43"/>
      <c r="F1" s="43"/>
      <c r="G1" s="41" t="s">
        <v>24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9479</v>
      </c>
      <c r="D2" s="5">
        <f>SUM(D4:D65)</f>
        <v>0</v>
      </c>
      <c r="E2" s="5">
        <f>C2-D2</f>
        <v>9479</v>
      </c>
      <c r="F2" s="6">
        <f>IFERROR(E2/D2, 0)</f>
        <v>0</v>
      </c>
      <c r="G2" s="5">
        <f>SUM(G4:G65)</f>
        <v>9219.4</v>
      </c>
      <c r="H2" s="7">
        <f>C2-G2</f>
        <v>259.60000000000036</v>
      </c>
      <c r="I2" s="6">
        <f>IFERROR(H2/G2, 0)</f>
        <v>2.8158014621341994E-2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7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9479</v>
      </c>
      <c r="D4" s="11">
        <v>0</v>
      </c>
      <c r="E4" s="11">
        <f>IF(AND(ISNUMBER(C4),ISNUMBER(D4)), C4-D4, "")</f>
        <v>9479</v>
      </c>
      <c r="F4" s="12" t="str">
        <f>IFERROR(E4/D4, "")</f>
        <v/>
      </c>
      <c r="G4" s="13">
        <v>9219.4</v>
      </c>
      <c r="H4" s="13">
        <f>IF(AND(ISNUMBER(C4),ISNUMBER(G4)), C4-G4, "")</f>
        <v>259.60000000000036</v>
      </c>
      <c r="I4" s="14">
        <f>IFERROR(H4/G4, "")</f>
        <v>2.8158014621341994E-2</v>
      </c>
      <c r="J4" s="31" t="s">
        <v>22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bottomRight" activeCell="G4" sqref="G4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25</v>
      </c>
      <c r="E1" s="43"/>
      <c r="F1" s="43"/>
      <c r="G1" s="41" t="s">
        <v>26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14452</v>
      </c>
      <c r="D2" s="5">
        <f>SUM(D4:D65)</f>
        <v>0</v>
      </c>
      <c r="E2" s="5">
        <f>C2-D2</f>
        <v>14452</v>
      </c>
      <c r="F2" s="6">
        <f>IFERROR(E2/D2, 0)</f>
        <v>0</v>
      </c>
      <c r="G2" s="5">
        <f>SUM(G4:G65)</f>
        <v>12596.883</v>
      </c>
      <c r="H2" s="7">
        <f>C2-G2</f>
        <v>1855.1170000000002</v>
      </c>
      <c r="I2" s="6">
        <f>IFERROR(H2/G2, 0)</f>
        <v>0.14726793921956727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14452</v>
      </c>
      <c r="D4" s="11">
        <v>0</v>
      </c>
      <c r="E4" s="11">
        <f>IF(AND(ISNUMBER(C4),ISNUMBER(D4)), C4-D4, "")</f>
        <v>14452</v>
      </c>
      <c r="F4" s="12" t="str">
        <f>IFERROR(E4/D4, "")</f>
        <v/>
      </c>
      <c r="G4" s="13">
        <v>12596.883</v>
      </c>
      <c r="H4" s="13">
        <f>IF(AND(ISNUMBER(C4),ISNUMBER(G4)), C4-G4, "")</f>
        <v>1855.1170000000002</v>
      </c>
      <c r="I4" s="14">
        <f>IFERROR(H4/G4, "")</f>
        <v>0.14726793921956727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I12" sqref="I12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27</v>
      </c>
      <c r="E1" s="43"/>
      <c r="F1" s="43"/>
      <c r="G1" s="41" t="s">
        <v>28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15647</v>
      </c>
      <c r="D2" s="5">
        <f>SUM(D4:D65)</f>
        <v>0</v>
      </c>
      <c r="E2" s="5">
        <f>C2-D2</f>
        <v>15647</v>
      </c>
      <c r="F2" s="6">
        <f>IFERROR(E2/D2, 0)</f>
        <v>0</v>
      </c>
      <c r="G2" s="5">
        <f>SUM(G4:G65)</f>
        <v>16335</v>
      </c>
      <c r="H2" s="7">
        <f>C2-G2</f>
        <v>-688</v>
      </c>
      <c r="I2" s="6">
        <f>IFERROR(H2/G2, 0)</f>
        <v>-4.2118151209060303E-2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15647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16335</v>
      </c>
      <c r="H4" s="13">
        <f>IF(AND(ISNUMBER(C4),ISNUMBER(G4)), C4-G4, "")</f>
        <v>-688</v>
      </c>
      <c r="I4" s="14">
        <f>IFERROR(H4/G4, "")</f>
        <v>-4.2118151209060303E-2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tabSelected="1" workbookViewId="0">
      <pane xSplit="2" ySplit="3" topLeftCell="C4" activePane="bottomRight" state="frozen"/>
      <selection pane="bottomRight" activeCell="E10" sqref="E10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30</v>
      </c>
      <c r="E1" s="43"/>
      <c r="F1" s="43"/>
      <c r="G1" s="41" t="s">
        <v>31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14773</v>
      </c>
      <c r="D2" s="5">
        <f>SUM(D4:D65)</f>
        <v>0</v>
      </c>
      <c r="E2" s="5">
        <f>C2-D2</f>
        <v>14773</v>
      </c>
      <c r="F2" s="6">
        <f>IFERROR(E2/D2, 0)</f>
        <v>0</v>
      </c>
      <c r="G2" s="5">
        <f>SUM(G4:G65)</f>
        <v>18226</v>
      </c>
      <c r="H2" s="7">
        <f>C2-G2</f>
        <v>-3453</v>
      </c>
      <c r="I2" s="6">
        <f>IFERROR(H2/G2, 0)</f>
        <v>-0.18945462526061671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14773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18226</v>
      </c>
      <c r="H4" s="13">
        <f>IF(AND(ISNUMBER(C4),ISNUMBER(G4)), C4-G4, "")</f>
        <v>-3453</v>
      </c>
      <c r="I4" s="14">
        <f>IFERROR(H4/G4, "")</f>
        <v>-0.18945462526061671</v>
      </c>
      <c r="J4" s="31" t="s">
        <v>32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D12" sqref="D12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33</v>
      </c>
      <c r="E1" s="43"/>
      <c r="F1" s="43"/>
      <c r="G1" s="41" t="s">
        <v>34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16490</v>
      </c>
      <c r="D2" s="5">
        <f>SUM(D4:D65)</f>
        <v>0</v>
      </c>
      <c r="E2" s="5">
        <f>C2-D2</f>
        <v>16490</v>
      </c>
      <c r="F2" s="6">
        <f>IFERROR(E2/D2, 0)</f>
        <v>0</v>
      </c>
      <c r="G2" s="5">
        <f>SUM(G4:G65)</f>
        <v>18222</v>
      </c>
      <c r="H2" s="7">
        <f>C2-G2</f>
        <v>-1732</v>
      </c>
      <c r="I2" s="6">
        <f>IFERROR(H2/G2, 0)</f>
        <v>-9.5049939633410158E-2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16490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18222</v>
      </c>
      <c r="H4" s="13">
        <f>IF(AND(ISNUMBER(C4),ISNUMBER(G4)), C4-G4, "")</f>
        <v>-1732</v>
      </c>
      <c r="I4" s="14">
        <f>IFERROR(H4/G4, "")</f>
        <v>-9.5049939633410158E-2</v>
      </c>
      <c r="J4" s="31" t="s">
        <v>35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36</v>
      </c>
      <c r="E1" s="43"/>
      <c r="F1" s="43"/>
      <c r="G1" s="41" t="s">
        <v>37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38</v>
      </c>
      <c r="E1" s="43"/>
      <c r="F1" s="43"/>
      <c r="G1" s="41" t="s">
        <v>39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40</v>
      </c>
      <c r="E1" s="43"/>
      <c r="F1" s="43"/>
      <c r="G1" s="41" t="s">
        <v>41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44</v>
      </c>
      <c r="E1" s="43"/>
      <c r="F1" s="43"/>
      <c r="G1" s="41" t="s">
        <v>45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46</v>
      </c>
      <c r="E1" s="43"/>
      <c r="F1" s="43"/>
      <c r="G1" s="41" t="s">
        <v>47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36" t="s">
        <v>49</v>
      </c>
      <c r="B4" t="s">
        <v>53</v>
      </c>
      <c r="C4" s="34" t="s">
        <v>54</v>
      </c>
      <c r="D4" s="33" t="s">
        <v>55</v>
      </c>
      <c r="E4" t="s">
        <v>56</v>
      </c>
      <c r="G4" s="3"/>
    </row>
    <row r="5" spans="1:12" ht="14.45">
      <c r="A5" s="36"/>
      <c r="C5" s="34"/>
      <c r="D5" s="33"/>
      <c r="G5" s="3"/>
    </row>
    <row r="6" spans="1:12" ht="14.45">
      <c r="A6" s="36"/>
      <c r="C6" s="34"/>
      <c r="D6" s="33"/>
      <c r="G6" s="3"/>
    </row>
    <row r="7" spans="1:12" ht="12.75" customHeight="1">
      <c r="A7" s="36"/>
      <c r="C7" s="34"/>
      <c r="D7" s="33"/>
    </row>
    <row r="8" spans="1:12" ht="12.75" customHeight="1">
      <c r="A8" s="36"/>
      <c r="C8" s="34"/>
      <c r="D8" s="33"/>
    </row>
    <row r="9" spans="1:12" ht="12.75" customHeight="1">
      <c r="A9" s="36"/>
      <c r="C9" s="34"/>
      <c r="D9" s="33"/>
    </row>
    <row r="10" spans="1:12" ht="12.75" customHeight="1">
      <c r="A10" s="36"/>
      <c r="C10" s="34"/>
      <c r="D10" s="33"/>
      <c r="K10" s="32"/>
      <c r="L10" s="32"/>
    </row>
    <row r="11" spans="1:12" ht="12.75" customHeight="1">
      <c r="A11" s="36"/>
      <c r="C11" s="34"/>
      <c r="D11" s="33"/>
      <c r="K11" s="32"/>
      <c r="L11" s="32"/>
    </row>
    <row r="12" spans="1:12" ht="12.75" customHeight="1">
      <c r="A12" s="36"/>
      <c r="C12" s="34"/>
      <c r="D12" s="33"/>
      <c r="K12" s="32"/>
      <c r="L12" s="32"/>
    </row>
    <row r="13" spans="1:12" ht="12.75" customHeight="1">
      <c r="A13" s="36"/>
      <c r="C13" s="34"/>
      <c r="D13" s="33"/>
      <c r="K13" s="32"/>
      <c r="L13" s="32"/>
    </row>
    <row r="14" spans="1:12" ht="12.75" customHeight="1">
      <c r="A14" s="36"/>
      <c r="C14" s="34"/>
      <c r="D14" s="33"/>
      <c r="K14" s="32"/>
      <c r="L14" s="32"/>
    </row>
    <row r="15" spans="1:12" ht="12.75" customHeight="1">
      <c r="A15" s="36"/>
      <c r="C15" s="34"/>
      <c r="D15" s="33"/>
      <c r="K15" s="32"/>
      <c r="L15" s="32"/>
    </row>
    <row r="16" spans="1:12" ht="12.75" customHeight="1">
      <c r="A16" s="36"/>
      <c r="C16" s="34"/>
      <c r="D16" s="33"/>
      <c r="K16" s="32"/>
      <c r="L16" s="32"/>
    </row>
    <row r="17" spans="1:12" ht="12.75" customHeight="1">
      <c r="A17" s="36"/>
      <c r="C17" s="34"/>
      <c r="D17" s="33"/>
      <c r="K17" s="32"/>
      <c r="L17" s="32"/>
    </row>
    <row r="18" spans="1:12" ht="12.75" customHeight="1">
      <c r="A18" s="36"/>
      <c r="C18" s="34"/>
      <c r="D18" s="33"/>
      <c r="K18" s="32"/>
      <c r="L18" s="32"/>
    </row>
    <row r="19" spans="1:12" ht="12.75" customHeight="1">
      <c r="A19" s="36"/>
      <c r="C19" s="34"/>
      <c r="D19" s="33"/>
      <c r="K19" s="32"/>
      <c r="L19" s="32"/>
    </row>
    <row r="20" spans="1:12" ht="12.75" customHeight="1">
      <c r="A20" s="36"/>
      <c r="C20" s="34"/>
      <c r="D20" s="33"/>
      <c r="K20" s="32"/>
      <c r="L20" s="32"/>
    </row>
    <row r="21" spans="1:12" ht="12.75" customHeight="1">
      <c r="A21" s="36"/>
      <c r="C21" s="34"/>
      <c r="D21" s="33"/>
      <c r="K21" s="32"/>
      <c r="L21" s="32"/>
    </row>
    <row r="22" spans="1:12" ht="12.75" customHeight="1">
      <c r="A22" s="36"/>
      <c r="C22" s="34"/>
      <c r="D22" s="33"/>
      <c r="K22" s="32"/>
      <c r="L22" s="32"/>
    </row>
    <row r="23" spans="1:12" ht="12.75" customHeight="1">
      <c r="A23" s="36"/>
      <c r="C23" s="34"/>
      <c r="D23" s="33"/>
      <c r="K23" s="32"/>
      <c r="L23" s="32"/>
    </row>
    <row r="24" spans="1:12" ht="12.75" customHeight="1">
      <c r="A24" s="36"/>
      <c r="C24" s="34"/>
      <c r="D24" s="33"/>
      <c r="K24" s="32"/>
      <c r="L24" s="32"/>
    </row>
    <row r="25" spans="1:12" ht="12.75" customHeight="1">
      <c r="A25" s="36"/>
      <c r="C25" s="34"/>
      <c r="D25" s="33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E0931BCD-07F1-45F6-B5F2-32D5A9821BC3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