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068E83CB-27F9-49BA-9134-91C8113F7BE6}" xr6:coauthVersionLast="47" xr6:coauthVersionMax="47" xr10:uidLastSave="{120431A7-1900-4D8A-8C49-55D083D4F57F}"/>
  <bookViews>
    <workbookView xWindow="-108" yWindow="-108" windowWidth="23256" windowHeight="12456" tabRatio="866" firstSheet="7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D27" i="34" s="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H26" i="29"/>
  <c r="I26" i="29" s="1"/>
  <c r="C27" i="29"/>
  <c r="C27" i="34" s="1"/>
  <c r="E27" i="34" s="1"/>
  <c r="D27" i="29"/>
  <c r="E27" i="29"/>
  <c r="F27" i="29" s="1"/>
  <c r="G27" i="29"/>
  <c r="G27" i="34" s="1"/>
  <c r="H27" i="29"/>
  <c r="I27" i="29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6" i="34" l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I22" i="34" s="1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1" i="34" l="1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<sst xmlns="http://schemas.openxmlformats.org/spreadsheetml/2006/main" count="698" uniqueCount="152">
  <si>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</si>
  <si>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</si>
  <si>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</si>
  <si>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</si>
  <si>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</si>
  <si>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</si>
  <si>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</si>
  <si>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</si>
  <si>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</si>
  <si>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</si>
  <si>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</si>
  <si>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</si>
  <si>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</si>
  <si>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</si>
  <si>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</si>
  <si>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</si>
  <si>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</si>
  <si>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</si>
  <si>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</si>
  <si>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</si>
  <si>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</si>
  <si>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</si>
  <si>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</si>
  <si>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</si>
  <si>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</si>
  <si>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</si>
  <si>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</si>
  <si>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</si>
  <si>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</si>
  <si>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</si>
  <si>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</si>
  <si>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</si>
  <si>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</si>
  <si>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</si>
  <si>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</si>
  <si>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</si>
  <si>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</si>
  <si>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</si>
  <si>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</si>
  <si>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</si>
  <si>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</si>
  <si>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</si>
  <si>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</si>
  <si>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</si>
  <si>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</si>
  <si>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</si>
  <si>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</si>
  <si>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</si>
  <si>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</si>
  <si>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</si>
  <si>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</si>
  <si>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</si>
  <si>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</si>
  <si>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</si>
  <si>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</si>
  <si>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</si>
  <si>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</si>
  <si>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</si>
  <si>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</si>
  <si>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</si>
  <si>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</si>
  <si>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</si>
  <si>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</si>
  <si>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</si>
  <si>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</si>
  <si>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</si>
  <si>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</si>
  <si>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</si>
  <si>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</si>
  <si>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</si>
  <si>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</si>
  <si>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</si>
  <si>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</rPr>
      <t>1.</t>
    </r>
    <r>
      <rPr>
        <sz val="11"/>
        <color rgb="FF000000"/>
        <rFont val="Calibri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</si>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</sst>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0"/>
      <name val="Calibri"/>
      <scheme val="minor"/>
    </font>
    <font>
      <u/>
      <sz val="10"/>
      <color theme="10"/>
      <name val="Arial"/>
    </font>
    <font>
      <sz val="11"/>
      <color rgb="FF000000"/>
      <name val="Calibri"/>
      <scheme val="minor"/>
    </font>
    <font>
      <sz val="10"/>
      <color rgb="FF00000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8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15" xfId="0" applyFont="1" applyBorder="1"/>
    <xf numFmtId="0" fontId="36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vertical="top" wrapText="1"/>
    </xf>
    <xf numFmtId="49" fontId="37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7" fillId="0" borderId="0" xfId="45" applyAlignment="1">
      <alignment vertical="top"/>
    </xf>
    <xf numFmtId="0" fontId="0" fillId="0" borderId="0" xfId="0" applyAlignment="1">
      <alignment horizontal="left" vertical="top"/>
    </xf>
    <xf numFmtId="0" fontId="37" fillId="0" borderId="0" xfId="45" applyAlignment="1">
      <alignment horizontal="left" vertical="top"/>
    </xf>
    <xf numFmtId="49" fontId="37" fillId="0" borderId="0" xfId="45" applyNumberFormat="1" applyAlignment="1">
      <alignment vertical="center" wrapText="1"/>
    </xf>
    <xf numFmtId="0" fontId="39" fillId="0" borderId="0" xfId="0" applyFont="1"/>
    <xf numFmtId="164" fontId="0" fillId="0" borderId="0" xfId="0" applyNumberFormat="1" applyAlignment="1">
      <alignment horizontal="left" vertical="top"/>
    </xf>
    <xf numFmtId="164" fontId="37" fillId="0" borderId="0" xfId="45" applyNumberFormat="1" applyAlignment="1">
      <alignment horizontal="left" vertical="top"/>
    </xf>
    <xf numFmtId="0" fontId="37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0" activePane="bottomRight" state="frozen"/>
      <selection pane="bottomRight" activeCell="G31" sqref="G3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CBRE</v>
      </c>
      <c r="B1" s="77"/>
      <c r="C1" s="77"/>
      <c r="D1" s="78" t="s">
        <v>0</v>
      </c>
      <c r="E1" s="78"/>
      <c r="F1" s="78"/>
      <c r="G1" s="76" t="s">
        <v>1</v>
      </c>
      <c r="H1" s="76"/>
      <c r="I1" s="76"/>
    </row>
    <row r="2" spans="1:9" ht="19.5" customHeight="1">
      <c r="A2" s="79" t="s">
        <v>2</v>
      </c>
      <c r="B2" s="79"/>
      <c r="C2" s="5">
        <f>SUM(C4:C87)</f>
        <v>172255.2</v>
      </c>
      <c r="D2" s="5">
        <f>SUM(D4:D87)</f>
        <v>0</v>
      </c>
      <c r="E2" s="5">
        <f>C2-D2</f>
        <v>172255.2</v>
      </c>
      <c r="F2" s="6">
        <f>IFERROR(E2/D2, 0)</f>
        <v>0</v>
      </c>
      <c r="G2" s="5">
        <f>SUM(G4:G87)</f>
        <v>0</v>
      </c>
      <c r="H2" s="7">
        <f>C2-G2</f>
        <v>172255.2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12353.7</v>
      </c>
      <c r="D4" s="13">
        <f>SUM('1st Qtr'!D4, '2nd Qtr'!D4, '3rd Qtr'!D4, '4th Qtr'!D4)</f>
        <v>0</v>
      </c>
      <c r="E4" s="13">
        <f>IF(AND(ISNUMBER(C4),ISNUMBER(D4)), C4-D4, "")</f>
        <v>12353.7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7442.7000000000007</v>
      </c>
      <c r="D5" s="18">
        <f>SUM('1st Qtr'!D5, '2nd Qtr'!D5, '3rd Qtr'!D5, '4th Qtr'!D5)</f>
        <v>0</v>
      </c>
      <c r="E5" s="18">
        <f t="shared" ref="E5:E13" si="0">IF(AND(ISNUMBER(C5),ISNUMBER(D5)), C5-D5, "")</f>
        <v>7442.7000000000007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3241</v>
      </c>
      <c r="D6" s="13">
        <f>SUM('1st Qtr'!D6, '2nd Qtr'!D6, '3rd Qtr'!D6, '4th Qtr'!D6)</f>
        <v>0</v>
      </c>
      <c r="E6" s="13">
        <f t="shared" si="0"/>
        <v>3241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7201.9</v>
      </c>
      <c r="D7" s="18">
        <f>SUM('1st Qtr'!D7, '2nd Qtr'!D7, '3rd Qtr'!D7, '4th Qtr'!D7)</f>
        <v>0</v>
      </c>
      <c r="E7" s="18">
        <f t="shared" si="0"/>
        <v>7201.9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9724.7999999999993</v>
      </c>
      <c r="D8" s="13">
        <f>SUM('1st Qtr'!D8, '2nd Qtr'!D8, '3rd Qtr'!D8, '4th Qtr'!D8)</f>
        <v>0</v>
      </c>
      <c r="E8" s="13">
        <f t="shared" si="0"/>
        <v>9724.7999999999993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8290.5999999999985</v>
      </c>
      <c r="D9" s="18">
        <f>SUM('1st Qtr'!D9, '2nd Qtr'!D9, '3rd Qtr'!D9, '4th Qtr'!D9)</f>
        <v>0</v>
      </c>
      <c r="E9" s="18">
        <f t="shared" si="0"/>
        <v>8290.5999999999985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9823.7999999999993</v>
      </c>
      <c r="D10" s="13">
        <f>SUM('1st Qtr'!D10, '2nd Qtr'!D10, '3rd Qtr'!D10, '4th Qtr'!D10)</f>
        <v>0</v>
      </c>
      <c r="E10" s="13">
        <f t="shared" si="0"/>
        <v>9823.7999999999993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7542.7999999999993</v>
      </c>
      <c r="D11" s="18">
        <f>SUM('1st Qtr'!D11, '2nd Qtr'!D11, '3rd Qtr'!D11, '4th Qtr'!D11)</f>
        <v>0</v>
      </c>
      <c r="E11" s="18">
        <f t="shared" si="0"/>
        <v>7542.7999999999993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7614.7999999999993</v>
      </c>
      <c r="D12" s="13">
        <f>SUM('1st Qtr'!D12, '2nd Qtr'!D12, '3rd Qtr'!D12, '4th Qtr'!D12)</f>
        <v>0</v>
      </c>
      <c r="E12" s="13">
        <f t="shared" si="0"/>
        <v>7614.7999999999993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13652.599999999999</v>
      </c>
      <c r="D13" s="18">
        <f>SUM('1st Qtr'!D13, '2nd Qtr'!D13, '3rd Qtr'!D13, '4th Qtr'!D13)</f>
        <v>0</v>
      </c>
      <c r="E13" s="18">
        <f t="shared" si="0"/>
        <v>13652.599999999999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6664.1</v>
      </c>
      <c r="D14" s="13">
        <f>SUM('1st Qtr'!D14, '2nd Qtr'!D14, '3rd Qtr'!D14, '4th Qtr'!D14)</f>
        <v>0</v>
      </c>
      <c r="E14" s="13">
        <f>IF(AND(ISNUMBER(C14),ISNUMBER(D14)), C14-D14, "")</f>
        <v>6664.1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11569.2</v>
      </c>
      <c r="D15" s="18">
        <f>SUM('1st Qtr'!D15, '2nd Qtr'!D15, '3rd Qtr'!D15, '4th Qtr'!D15)</f>
        <v>0</v>
      </c>
      <c r="E15" s="18">
        <f>IF(AND(ISNUMBER(C15),ISNUMBER(D15)), C15-D15, "")</f>
        <v>11569.2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4714.1000000000004</v>
      </c>
      <c r="D17" s="18">
        <f>SUM('1st Qtr'!D17, '2nd Qtr'!D17, '3rd Qtr'!D17, '4th Qtr'!D17)</f>
        <v>0</v>
      </c>
      <c r="E17" s="18">
        <f t="shared" si="3"/>
        <v>4714.1000000000004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8256</v>
      </c>
      <c r="D19" s="18">
        <f>SUM('1st Qtr'!D19, '2nd Qtr'!D19, '3rd Qtr'!D19, '4th Qtr'!D19)</f>
        <v>0</v>
      </c>
      <c r="E19" s="18">
        <f t="shared" si="6"/>
        <v>8256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8733.9000000000015</v>
      </c>
      <c r="D20" s="13">
        <f>SUM('1st Qtr'!D20, '2nd Qtr'!D20, '3rd Qtr'!D20, '4th Qtr'!D20)</f>
        <v>0</v>
      </c>
      <c r="E20" s="13">
        <f t="shared" si="6"/>
        <v>8733.9000000000015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10974.800000000001</v>
      </c>
      <c r="D21" s="18">
        <f>SUM('1st Qtr'!D21, '2nd Qtr'!D21, '3rd Qtr'!D21, '4th Qtr'!D21)</f>
        <v>0</v>
      </c>
      <c r="E21" s="18">
        <f t="shared" si="6"/>
        <v>10974.800000000001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11721.400000000001</v>
      </c>
      <c r="D23" s="18">
        <f>SUM('1st Qtr'!D23, '2nd Qtr'!D23, '3rd Qtr'!D23, '4th Qtr'!D23)</f>
        <v>0</v>
      </c>
      <c r="E23" s="18">
        <f t="shared" si="6"/>
        <v>11721.400000000001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7735.1</v>
      </c>
      <c r="D24" s="13">
        <f>SUM('1st Qtr'!D24, '2nd Qtr'!D24, '3rd Qtr'!D24, '4th Qtr'!D24)</f>
        <v>0</v>
      </c>
      <c r="E24" s="13">
        <f t="shared" si="6"/>
        <v>7735.1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6359.9</v>
      </c>
      <c r="D25" s="18">
        <f>SUM('1st Qtr'!D25, '2nd Qtr'!D25, '3rd Qtr'!D25, '4th Qtr'!D25)</f>
        <v>0</v>
      </c>
      <c r="E25" s="18">
        <f t="shared" si="6"/>
        <v>6359.9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8231.7000000000007</v>
      </c>
      <c r="D26" s="13">
        <f>SUM('1st Qtr'!D26, '2nd Qtr'!D26, '3rd Qtr'!D26, '4th Qtr'!D26)</f>
        <v>0</v>
      </c>
      <c r="E26" s="13">
        <f t="shared" si="6"/>
        <v>8231.7000000000007</v>
      </c>
      <c r="F26" s="14"/>
      <c r="G26" s="16">
        <f>SUM('1st Qtr'!G26, '2nd Qtr'!G26, '3rd Qtr'!G26, '4th Qtr'!G26)</f>
        <v>0</v>
      </c>
      <c r="H26" s="15">
        <f>SUM(Jan!H26, Feb!H26, Mar!H26)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406.3</v>
      </c>
      <c r="D27" s="18">
        <f>SUM('1st Qtr'!D27, '2nd Qtr'!D27, '3rd Qtr'!D27, '4th Qtr'!D27)</f>
        <v>0</v>
      </c>
      <c r="E27" s="11">
        <f t="shared" si="6"/>
        <v>406.3</v>
      </c>
      <c r="F27" s="19"/>
      <c r="G27" s="19">
        <f>SUM('1st Qtr'!G27, '2nd Qtr'!G27, '3rd Qtr'!G27, '4th Qtr'!G27)</f>
        <v>0</v>
      </c>
      <c r="H27" s="20">
        <f>SUM(Jan!H27, Feb!H27, Mar!H27)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tabSelected="1" workbookViewId="0">
      <pane xSplit="2" ySplit="3" topLeftCell="C10" activePane="bottomRight" state="frozen"/>
      <selection pane="bottomRight" activeCell="F28" sqref="F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CBRE</v>
      </c>
      <c r="B1" s="77"/>
      <c r="C1" s="77"/>
      <c r="D1" s="78" t="s">
        <v>10</v>
      </c>
      <c r="E1" s="78"/>
      <c r="F1" s="78"/>
      <c r="G1" s="76" t="s">
        <v>11</v>
      </c>
      <c r="H1" s="76"/>
      <c r="I1" s="76"/>
    </row>
    <row r="2" spans="1:9" ht="19.5" customHeight="1">
      <c r="A2" s="79" t="s">
        <v>2</v>
      </c>
      <c r="B2" s="79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E26" sqref="E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CBRE</v>
      </c>
      <c r="B1" s="77"/>
      <c r="C1" s="77"/>
      <c r="D1" s="78" t="s">
        <v>12</v>
      </c>
      <c r="E1" s="78"/>
      <c r="F1" s="78"/>
      <c r="G1" s="76" t="s">
        <v>13</v>
      </c>
      <c r="H1" s="76"/>
      <c r="I1" s="76"/>
    </row>
    <row r="2" spans="1:9" ht="19.5" customHeight="1">
      <c r="A2" s="79" t="s">
        <v>2</v>
      </c>
      <c r="B2" s="79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80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83" t="str">
        <f>IFERROR(E26/D26, "")</f>
        <v/>
      </c>
      <c r="G26" s="82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81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F28:F86 I4:I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36" sqref="L3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CBRE</v>
      </c>
      <c r="B1" s="77"/>
      <c r="C1" s="77"/>
      <c r="D1" s="78" t="s">
        <v>14</v>
      </c>
      <c r="E1" s="78"/>
      <c r="F1" s="78"/>
      <c r="G1" s="76" t="s">
        <v>15</v>
      </c>
      <c r="H1" s="76"/>
      <c r="I1" s="76"/>
    </row>
    <row r="2" spans="1:9" ht="19.5" customHeight="1">
      <c r="A2" s="79" t="s">
        <v>2</v>
      </c>
      <c r="B2" s="7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0</v>
      </c>
      <c r="D26" s="13">
        <f>SUM(Jul!D26, Aug!D26, Sep!D26)</f>
        <v>0</v>
      </c>
      <c r="E26" s="13">
        <f t="shared" ref="E26:E27" si="9">IF(AND(ISNUMBER(C26),ISNUMBER(D26)), C26-D26, "")</f>
        <v>0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0</v>
      </c>
      <c r="D27" s="18">
        <f>SUM(Jul!D27, Aug!D27, Sep!D27)</f>
        <v>0</v>
      </c>
      <c r="E27" s="18">
        <f t="shared" si="9"/>
        <v>0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CBRE</v>
      </c>
      <c r="B1" s="77"/>
      <c r="C1" s="77"/>
      <c r="D1" s="78" t="s">
        <v>16</v>
      </c>
      <c r="E1" s="78"/>
      <c r="F1" s="78"/>
      <c r="G1" s="76" t="s">
        <v>17</v>
      </c>
      <c r="H1" s="76"/>
      <c r="I1" s="76"/>
    </row>
    <row r="2" spans="1:9" ht="19.5" customHeight="1">
      <c r="A2" s="79" t="s">
        <v>2</v>
      </c>
      <c r="B2" s="7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7" t="str" cm="1">
        <f t="array" ref="A1">portfolio</f>
        <v>CBRE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3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4" t="s">
        <v>26</v>
      </c>
      <c r="L6" s="69"/>
      <c r="M6" s="69"/>
      <c r="N6" s="69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9"/>
      <c r="M7" s="69"/>
      <c r="N7" s="69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9"/>
      <c r="M8" s="69"/>
      <c r="N8" s="69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9"/>
      <c r="M9" s="69"/>
      <c r="N9" s="69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9"/>
      <c r="M10" s="69"/>
      <c r="N10" s="69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9"/>
      <c r="M11" s="69"/>
      <c r="N11" s="69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9"/>
      <c r="M12" s="69"/>
      <c r="N12" s="69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5" t="s">
        <v>28</v>
      </c>
      <c r="L13" s="69"/>
      <c r="M13" s="69"/>
      <c r="N13" s="69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4" t="s">
        <v>30</v>
      </c>
      <c r="L14" s="69"/>
      <c r="M14" s="69"/>
      <c r="N14" s="69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3" t="s">
        <v>32</v>
      </c>
      <c r="L15" s="70" t="s">
        <v>33</v>
      </c>
      <c r="M15" s="70" t="s">
        <v>34</v>
      </c>
      <c r="N15" s="69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0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9"/>
      <c r="M16" s="69"/>
      <c r="N16" s="69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61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9"/>
      <c r="M17" s="69"/>
      <c r="N17" s="69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60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9"/>
      <c r="M18" s="69"/>
      <c r="N18" s="69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61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3" t="s">
        <v>36</v>
      </c>
      <c r="L19" s="69"/>
      <c r="M19" s="69"/>
      <c r="N19" s="69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60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9"/>
      <c r="M20" s="69"/>
      <c r="N20" s="69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61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9"/>
      <c r="M21" s="69"/>
      <c r="N21" s="69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60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9"/>
      <c r="M22" s="69"/>
      <c r="N22" s="69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61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9"/>
      <c r="M23" s="69"/>
      <c r="N23" s="69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60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4" t="s">
        <v>38</v>
      </c>
      <c r="L24" s="69"/>
      <c r="M24" s="69"/>
      <c r="N24" s="69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61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3" t="s">
        <v>40</v>
      </c>
      <c r="L25" s="69"/>
      <c r="M25" s="69"/>
      <c r="N25" s="69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60" t="s">
        <v>22</v>
      </c>
      <c r="H26" s="15" t="str">
        <f t="shared" si="12"/>
        <v/>
      </c>
      <c r="I26" s="16"/>
      <c r="J26" s="59" t="s">
        <v>41</v>
      </c>
      <c r="K26" s="66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61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7" t="str" cm="1">
        <f t="array" ref="A1">portfolio</f>
        <v>CBRE</v>
      </c>
      <c r="B1" s="77"/>
      <c r="C1" s="77"/>
      <c r="D1" s="78" t="s">
        <v>43</v>
      </c>
      <c r="E1" s="78"/>
      <c r="F1" s="78"/>
      <c r="G1" s="76" t="s">
        <v>44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9"/>
      <c r="M8" s="69"/>
      <c r="N8" s="69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9"/>
      <c r="M9" s="69"/>
      <c r="N9" s="69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4" t="s">
        <v>46</v>
      </c>
      <c r="L10" s="69"/>
      <c r="M10" s="69"/>
      <c r="N10" s="69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9"/>
      <c r="M11" s="69"/>
      <c r="N11" s="69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9"/>
      <c r="M12" s="69"/>
      <c r="N12" s="69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9"/>
      <c r="M13" s="69"/>
      <c r="N13" s="69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9"/>
      <c r="M14" s="69"/>
      <c r="N14" s="69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3" t="s">
        <v>48</v>
      </c>
      <c r="L15" s="70" t="s">
        <v>34</v>
      </c>
      <c r="M15" s="69"/>
      <c r="N15" s="69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0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9"/>
      <c r="M16" s="69"/>
      <c r="N16" s="69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61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9"/>
      <c r="M17" s="69"/>
      <c r="N17" s="69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60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9"/>
      <c r="M18" s="69"/>
      <c r="N18" s="69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61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9"/>
      <c r="M19" s="69"/>
      <c r="N19" s="69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60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9"/>
      <c r="M20" s="69"/>
      <c r="N20" s="69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61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9"/>
      <c r="M21" s="69"/>
      <c r="N21" s="69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60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9"/>
      <c r="M22" s="69"/>
      <c r="N22" s="69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61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3" t="s">
        <v>50</v>
      </c>
      <c r="L23" s="69"/>
      <c r="M23" s="69"/>
      <c r="N23" s="69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60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4" t="s">
        <v>38</v>
      </c>
      <c r="L24" s="69"/>
      <c r="M24" s="69"/>
      <c r="N24" s="69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61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9"/>
      <c r="M25" s="69"/>
      <c r="N25" s="69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60" t="s">
        <v>22</v>
      </c>
      <c r="H26" s="15" t="str">
        <f t="shared" si="10"/>
        <v/>
      </c>
      <c r="I26" s="16" t="str">
        <f t="shared" si="11"/>
        <v/>
      </c>
      <c r="J26" s="59" t="s">
        <v>41</v>
      </c>
      <c r="K26" s="66" t="s">
        <v>52</v>
      </c>
      <c r="L26" s="69"/>
      <c r="M26" s="69"/>
      <c r="N26" s="69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61" t="s">
        <v>22</v>
      </c>
      <c r="H27" s="20" t="str">
        <f t="shared" si="10"/>
        <v/>
      </c>
      <c r="I27" s="19" t="str">
        <f t="shared" si="11"/>
        <v/>
      </c>
      <c r="L27" s="69"/>
      <c r="M27" s="69"/>
      <c r="N27" s="6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7" t="str" cm="1">
        <f t="array" ref="A1">portfolio</f>
        <v>CBRE</v>
      </c>
      <c r="B1" s="77"/>
      <c r="C1" s="77"/>
      <c r="D1" s="78" t="s">
        <v>53</v>
      </c>
      <c r="E1" s="78"/>
      <c r="F1" s="78"/>
      <c r="G1" s="76" t="s">
        <v>54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9"/>
      <c r="M8" s="69"/>
      <c r="N8" s="69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9"/>
      <c r="M9" s="69"/>
      <c r="N9" s="69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1"/>
        <v/>
      </c>
      <c r="I10" s="16" t="str">
        <f t="shared" si="2"/>
        <v/>
      </c>
      <c r="J10" s="41"/>
      <c r="K10" s="64"/>
      <c r="L10" s="69"/>
      <c r="M10" s="69"/>
      <c r="N10" s="69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7"/>
      <c r="M11" s="69"/>
      <c r="N11" s="69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7"/>
      <c r="M12" s="69"/>
      <c r="N12" s="69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7"/>
      <c r="M13" s="69"/>
      <c r="N13" s="69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7"/>
      <c r="M14" s="69"/>
      <c r="N14" s="69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71" t="s">
        <v>48</v>
      </c>
      <c r="L15" s="68"/>
      <c r="M15" s="69"/>
      <c r="N15" s="69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6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7"/>
      <c r="M16" s="69"/>
      <c r="N16" s="69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61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5" t="s">
        <v>56</v>
      </c>
      <c r="L17" s="67"/>
      <c r="M17" s="69"/>
      <c r="N17" s="69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60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7"/>
      <c r="M18" s="69"/>
      <c r="N18" s="69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6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7"/>
      <c r="M19" s="69"/>
      <c r="N19" s="69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6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7"/>
      <c r="M20" s="69"/>
      <c r="N20" s="69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6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7"/>
      <c r="M21" s="69"/>
      <c r="N21" s="69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6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7"/>
      <c r="M22" s="69"/>
      <c r="N22" s="69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61" t="s">
        <v>22</v>
      </c>
      <c r="H23" s="20" t="str">
        <f t="shared" si="6"/>
        <v/>
      </c>
      <c r="I23" s="19" t="str">
        <f t="shared" si="7"/>
        <v/>
      </c>
      <c r="J23" s="42"/>
      <c r="K23" s="71"/>
      <c r="L23" s="67"/>
      <c r="M23" s="69"/>
      <c r="N23" s="69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60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4" t="s">
        <v>38</v>
      </c>
      <c r="L24" s="69"/>
      <c r="M24" s="69"/>
      <c r="N24" s="69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6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9"/>
      <c r="M25" s="69"/>
      <c r="N25" s="69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60" t="s">
        <v>22</v>
      </c>
      <c r="H26" s="15" t="str">
        <f t="shared" si="6"/>
        <v/>
      </c>
      <c r="I26" s="16"/>
      <c r="J26" s="59" t="s">
        <v>41</v>
      </c>
      <c r="K26" s="66" t="s">
        <v>52</v>
      </c>
      <c r="L26" s="69"/>
      <c r="M26" s="69"/>
      <c r="N26" s="69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61" t="s">
        <v>22</v>
      </c>
      <c r="H27" s="20" t="str">
        <f t="shared" si="6"/>
        <v/>
      </c>
      <c r="I27" s="19"/>
      <c r="L27" s="69"/>
      <c r="M27" s="69"/>
      <c r="N27" s="69"/>
    </row>
    <row r="28" spans="1:14" ht="14.45">
      <c r="A28" s="21"/>
      <c r="B28" s="33"/>
      <c r="C28" s="21"/>
      <c r="D28" s="21"/>
      <c r="E28" s="21"/>
      <c r="F28" s="22"/>
      <c r="G28" s="62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2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2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2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9"/>
  </cols>
  <sheetData>
    <row r="1" spans="1:12" ht="19.5" customHeight="1">
      <c r="A1" s="77" t="str" cm="1">
        <f t="array" ref="A1">portfolio</f>
        <v>CBRE</v>
      </c>
      <c r="B1" s="77"/>
      <c r="C1" s="77"/>
      <c r="D1" s="78" t="s">
        <v>57</v>
      </c>
      <c r="E1" s="78"/>
      <c r="F1" s="78"/>
      <c r="G1" s="76" t="s">
        <v>58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3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3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3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3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3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3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4" t="s">
        <v>46</v>
      </c>
      <c r="L10" s="73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3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3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3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3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5" t="s">
        <v>63</v>
      </c>
      <c r="L15" s="74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60" t="s">
        <v>22</v>
      </c>
      <c r="H16" s="15"/>
      <c r="I16" s="16" t="str">
        <f t="shared" si="2"/>
        <v/>
      </c>
      <c r="J16" s="41"/>
      <c r="K16" s="41"/>
      <c r="L16" s="73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61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5" t="s">
        <v>65</v>
      </c>
      <c r="L17" s="73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60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3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61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5" t="s">
        <v>67</v>
      </c>
      <c r="L19" s="73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6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3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6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3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6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3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61" t="s">
        <v>22</v>
      </c>
      <c r="H23" s="20"/>
      <c r="I23" s="19" t="str">
        <f t="shared" si="7"/>
        <v/>
      </c>
      <c r="J23" s="42"/>
      <c r="K23" s="43"/>
      <c r="L23" s="73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60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4" t="s">
        <v>70</v>
      </c>
      <c r="L24" s="73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61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60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4" t="s">
        <v>42</v>
      </c>
      <c r="L26" s="73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61" t="s">
        <v>22</v>
      </c>
      <c r="H27" s="20"/>
      <c r="I27" s="19"/>
      <c r="J27" s="72" t="s">
        <v>72</v>
      </c>
      <c r="K27" s="75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9"/>
  </cols>
  <sheetData>
    <row r="1" spans="1:12" ht="19.5" customHeight="1">
      <c r="A1" s="77" t="str" cm="1">
        <f t="array" ref="A1">portfolio</f>
        <v>CBRE</v>
      </c>
      <c r="B1" s="77"/>
      <c r="C1" s="77"/>
      <c r="D1" s="78" t="s">
        <v>74</v>
      </c>
      <c r="E1" s="78"/>
      <c r="F1" s="78"/>
      <c r="G1" s="76" t="s">
        <v>75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3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3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3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3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3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3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4" t="s">
        <v>46</v>
      </c>
      <c r="L10" s="73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3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3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3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3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5" t="s">
        <v>63</v>
      </c>
      <c r="L15" s="74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60" t="s">
        <v>22</v>
      </c>
      <c r="H16" s="15"/>
      <c r="I16" s="16" t="str">
        <f t="shared" si="2"/>
        <v/>
      </c>
      <c r="J16" s="41"/>
      <c r="K16" s="41"/>
      <c r="L16" s="73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61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5" t="s">
        <v>65</v>
      </c>
      <c r="L17" s="73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60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3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61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3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6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3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6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3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6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3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61" t="s">
        <v>22</v>
      </c>
      <c r="H23" s="20"/>
      <c r="I23" s="19" t="str">
        <f t="shared" si="7"/>
        <v/>
      </c>
      <c r="J23" s="42"/>
      <c r="K23" s="43"/>
      <c r="L23" s="73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60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4" t="s">
        <v>70</v>
      </c>
      <c r="L24" s="73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61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3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60" t="s">
        <v>22</v>
      </c>
      <c r="H26" s="15"/>
      <c r="I26" s="16"/>
      <c r="J26" s="41" t="s">
        <v>71</v>
      </c>
      <c r="K26" s="64" t="s">
        <v>42</v>
      </c>
      <c r="L26" s="73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61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102" zoomScaleNormal="102" workbookViewId="0">
      <pane xSplit="2" ySplit="3" topLeftCell="C22" activePane="bottomRight" state="frozen"/>
      <selection pane="bottomRight" activeCell="N10" sqref="N10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9"/>
  </cols>
  <sheetData>
    <row r="1" spans="1:12" ht="19.5" customHeight="1">
      <c r="A1" s="77" t="str" cm="1">
        <f t="array" ref="A1">portfolio</f>
        <v>CBRE</v>
      </c>
      <c r="B1" s="77"/>
      <c r="C1" s="77"/>
      <c r="D1" s="78" t="s">
        <v>77</v>
      </c>
      <c r="E1" s="78"/>
      <c r="F1" s="78"/>
      <c r="G1" s="76" t="s">
        <v>78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3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3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3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6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3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6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3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6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3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60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4" t="s">
        <v>79</v>
      </c>
      <c r="L10" s="73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6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3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6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3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6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3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6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3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61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5" t="s">
        <v>63</v>
      </c>
      <c r="L15" s="74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60" t="s">
        <v>22</v>
      </c>
      <c r="H16" s="15"/>
      <c r="I16" s="16" t="str">
        <f t="shared" si="2"/>
        <v/>
      </c>
      <c r="J16" s="41"/>
      <c r="K16" s="41"/>
      <c r="L16" s="73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6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3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60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3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61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3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6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3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6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3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6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3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61" t="s">
        <v>22</v>
      </c>
      <c r="H23" s="20"/>
      <c r="I23" s="19" t="str">
        <f t="shared" si="7"/>
        <v/>
      </c>
      <c r="J23" s="42"/>
      <c r="K23" s="43"/>
      <c r="L23" s="73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60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4" t="s">
        <v>70</v>
      </c>
      <c r="L24" s="73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61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3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60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4" t="s">
        <v>42</v>
      </c>
      <c r="L26" s="73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61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zoomScale="80" zoomScaleNormal="80" workbookViewId="0">
      <pane xSplit="2" ySplit="3" topLeftCell="C15" activePane="bottomRight" state="frozen"/>
      <selection pane="bottomRight" activeCell="J36" sqref="J3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80</v>
      </c>
      <c r="E1" s="78"/>
      <c r="F1" s="78"/>
      <c r="G1" s="76" t="s">
        <v>81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5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16" activePane="bottomRight" state="frozen"/>
      <selection pane="bottomRight" activeCell="E34" sqref="E3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82</v>
      </c>
      <c r="E1" s="78"/>
      <c r="F1" s="78"/>
      <c r="G1" s="76" t="s">
        <v>83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I28" sqref="I28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84</v>
      </c>
      <c r="E1" s="78"/>
      <c r="F1" s="78"/>
      <c r="G1" s="76" t="s">
        <v>85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86</v>
      </c>
      <c r="E1" s="78"/>
      <c r="F1" s="78"/>
      <c r="G1" s="76" t="s">
        <v>87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8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88</v>
      </c>
      <c r="E1" s="78"/>
      <c r="F1" s="78"/>
      <c r="G1" s="76" t="s">
        <v>89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7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CBRE</v>
      </c>
      <c r="B1" s="77"/>
      <c r="C1" s="77"/>
      <c r="D1" s="78" t="s">
        <v>90</v>
      </c>
      <c r="E1" s="78"/>
      <c r="F1" s="78"/>
      <c r="G1" s="76" t="s">
        <v>91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92</v>
      </c>
      <c r="B1" t="s">
        <v>93</v>
      </c>
    </row>
    <row r="3" spans="1:7" ht="13.15">
      <c r="A3" t="s">
        <v>94</v>
      </c>
      <c r="B3" t="s">
        <v>3</v>
      </c>
      <c r="C3" t="s">
        <v>4</v>
      </c>
      <c r="D3" t="s">
        <v>95</v>
      </c>
      <c r="E3" s="2" t="s">
        <v>96</v>
      </c>
    </row>
    <row r="4" spans="1:7" ht="14.45">
      <c r="A4" t="s">
        <v>97</v>
      </c>
      <c r="B4" t="s">
        <v>98</v>
      </c>
      <c r="C4" s="44" t="s">
        <v>99</v>
      </c>
      <c r="D4" s="47"/>
      <c r="E4" s="48" t="s">
        <v>100</v>
      </c>
      <c r="G4" s="3"/>
    </row>
    <row r="5" spans="1:7" ht="14.45">
      <c r="A5" t="s">
        <v>101</v>
      </c>
      <c r="B5" t="s">
        <v>102</v>
      </c>
      <c r="C5" s="45" t="s">
        <v>103</v>
      </c>
      <c r="D5" s="49"/>
      <c r="E5" s="50" t="s">
        <v>100</v>
      </c>
      <c r="G5" s="3"/>
    </row>
    <row r="6" spans="1:7" ht="14.45">
      <c r="A6" t="s">
        <v>104</v>
      </c>
      <c r="B6" t="s">
        <v>105</v>
      </c>
      <c r="C6" s="44" t="s">
        <v>103</v>
      </c>
      <c r="D6" s="47"/>
      <c r="E6" s="48" t="s">
        <v>100</v>
      </c>
      <c r="G6" s="3"/>
    </row>
    <row r="7" spans="1:7" ht="12.75" customHeight="1">
      <c r="A7" t="s">
        <v>106</v>
      </c>
      <c r="B7" t="s">
        <v>107</v>
      </c>
      <c r="C7" s="45" t="s">
        <v>108</v>
      </c>
      <c r="D7" s="49"/>
      <c r="E7" s="50" t="s">
        <v>100</v>
      </c>
    </row>
    <row r="8" spans="1:7" ht="12.75" customHeight="1">
      <c r="A8" t="s">
        <v>109</v>
      </c>
      <c r="B8" t="s">
        <v>110</v>
      </c>
      <c r="C8" s="44" t="s">
        <v>108</v>
      </c>
      <c r="D8" s="47"/>
      <c r="E8" s="48" t="s">
        <v>100</v>
      </c>
    </row>
    <row r="9" spans="1:7" ht="12.75" customHeight="1">
      <c r="A9" t="s">
        <v>111</v>
      </c>
      <c r="B9" t="s">
        <v>112</v>
      </c>
      <c r="C9" s="45" t="s">
        <v>108</v>
      </c>
      <c r="D9" s="49"/>
      <c r="E9" s="50" t="s">
        <v>100</v>
      </c>
    </row>
    <row r="10" spans="1:7" ht="12.75" customHeight="1">
      <c r="A10" t="s">
        <v>113</v>
      </c>
      <c r="B10" t="s">
        <v>114</v>
      </c>
      <c r="C10" s="44" t="s">
        <v>108</v>
      </c>
      <c r="D10" s="47"/>
      <c r="E10" s="48" t="s">
        <v>100</v>
      </c>
    </row>
    <row r="11" spans="1:7" ht="12.75" customHeight="1">
      <c r="A11" t="s">
        <v>115</v>
      </c>
      <c r="B11" t="s">
        <v>116</v>
      </c>
      <c r="C11" s="45" t="s">
        <v>108</v>
      </c>
      <c r="D11" s="49"/>
      <c r="E11" s="50" t="s">
        <v>100</v>
      </c>
    </row>
    <row r="12" spans="1:7" ht="12.75" customHeight="1">
      <c r="A12" t="s">
        <v>117</v>
      </c>
      <c r="B12" t="s">
        <v>118</v>
      </c>
      <c r="C12" s="44" t="s">
        <v>108</v>
      </c>
      <c r="D12" s="47"/>
      <c r="E12" s="48" t="s">
        <v>100</v>
      </c>
    </row>
    <row r="13" spans="1:7" ht="12.75" customHeight="1">
      <c r="A13" t="s">
        <v>119</v>
      </c>
      <c r="B13" t="s">
        <v>120</v>
      </c>
      <c r="C13" s="45" t="s">
        <v>103</v>
      </c>
      <c r="D13" s="49"/>
      <c r="E13" s="50" t="s">
        <v>100</v>
      </c>
    </row>
    <row r="14" spans="1:7" ht="12.75" customHeight="1">
      <c r="A14" t="s">
        <v>121</v>
      </c>
      <c r="B14" t="s">
        <v>122</v>
      </c>
      <c r="C14" s="44" t="s">
        <v>108</v>
      </c>
      <c r="D14" s="47"/>
      <c r="E14" s="48" t="s">
        <v>100</v>
      </c>
    </row>
    <row r="15" spans="1:7" ht="12.75" customHeight="1">
      <c r="A15" t="s">
        <v>123</v>
      </c>
      <c r="B15" t="s">
        <v>124</v>
      </c>
      <c r="C15" s="45" t="s">
        <v>108</v>
      </c>
      <c r="D15" s="49"/>
      <c r="E15" s="50" t="s">
        <v>100</v>
      </c>
    </row>
    <row r="16" spans="1:7" ht="12.75" customHeight="1">
      <c r="A16" t="s">
        <v>68</v>
      </c>
      <c r="B16" t="s">
        <v>125</v>
      </c>
      <c r="C16" s="44" t="s">
        <v>126</v>
      </c>
      <c r="D16" s="47"/>
      <c r="E16" s="48" t="s">
        <v>100</v>
      </c>
    </row>
    <row r="17" spans="1:5" ht="12.75" customHeight="1">
      <c r="A17" t="s">
        <v>127</v>
      </c>
      <c r="B17" t="s">
        <v>128</v>
      </c>
      <c r="C17" s="45" t="s">
        <v>129</v>
      </c>
      <c r="D17" s="49"/>
      <c r="E17" s="50" t="s">
        <v>100</v>
      </c>
    </row>
    <row r="18" spans="1:5" ht="12.75" customHeight="1">
      <c r="A18" t="s">
        <v>68</v>
      </c>
      <c r="B18" t="s">
        <v>130</v>
      </c>
      <c r="C18" s="45" t="s">
        <v>126</v>
      </c>
      <c r="D18" s="47"/>
      <c r="E18" s="48" t="s">
        <v>100</v>
      </c>
    </row>
    <row r="19" spans="1:5" ht="12.75" customHeight="1">
      <c r="A19" t="s">
        <v>131</v>
      </c>
      <c r="B19" t="s">
        <v>132</v>
      </c>
      <c r="C19" s="45" t="s">
        <v>133</v>
      </c>
      <c r="D19" s="49"/>
      <c r="E19" s="50" t="s">
        <v>100</v>
      </c>
    </row>
    <row r="20" spans="1:5" ht="12.75" customHeight="1">
      <c r="A20" t="s">
        <v>134</v>
      </c>
      <c r="B20" t="s">
        <v>135</v>
      </c>
      <c r="C20" s="45" t="s">
        <v>99</v>
      </c>
      <c r="D20" s="47"/>
      <c r="E20" s="48" t="s">
        <v>100</v>
      </c>
    </row>
    <row r="21" spans="1:5" ht="12.75" customHeight="1">
      <c r="A21" t="s">
        <v>136</v>
      </c>
      <c r="B21" t="s">
        <v>137</v>
      </c>
      <c r="C21" s="45" t="s">
        <v>133</v>
      </c>
      <c r="D21" s="49"/>
      <c r="E21" s="50" t="s">
        <v>100</v>
      </c>
    </row>
    <row r="22" spans="1:5" ht="12.75" customHeight="1">
      <c r="A22" t="s">
        <v>68</v>
      </c>
      <c r="B22" t="s">
        <v>138</v>
      </c>
      <c r="C22" s="45" t="s">
        <v>126</v>
      </c>
      <c r="D22" s="47"/>
      <c r="E22" s="48" t="s">
        <v>100</v>
      </c>
    </row>
    <row r="23" spans="1:5" ht="12.75" customHeight="1">
      <c r="A23" t="s">
        <v>139</v>
      </c>
      <c r="B23" t="s">
        <v>140</v>
      </c>
      <c r="C23" s="45" t="s">
        <v>126</v>
      </c>
      <c r="D23" s="49"/>
      <c r="E23" s="50" t="s">
        <v>100</v>
      </c>
    </row>
    <row r="24" spans="1:5" ht="12.75" customHeight="1">
      <c r="A24" t="s">
        <v>141</v>
      </c>
      <c r="B24" t="s">
        <v>142</v>
      </c>
      <c r="C24" s="45" t="s">
        <v>143</v>
      </c>
      <c r="D24" s="47"/>
      <c r="E24" s="48" t="s">
        <v>100</v>
      </c>
    </row>
    <row r="25" spans="1:5" ht="12.75" customHeight="1">
      <c r="A25" t="s">
        <v>144</v>
      </c>
      <c r="B25" t="s">
        <v>145</v>
      </c>
      <c r="C25" s="45" t="s">
        <v>146</v>
      </c>
      <c r="D25" s="49"/>
      <c r="E25" s="50" t="s">
        <v>100</v>
      </c>
    </row>
    <row r="26" spans="1:5" ht="12.75" customHeight="1">
      <c r="A26" s="54" t="s">
        <v>147</v>
      </c>
      <c r="B26" s="55" t="s">
        <v>148</v>
      </c>
      <c r="C26" s="55" t="s">
        <v>149</v>
      </c>
      <c r="D26" s="56"/>
      <c r="E26" s="50" t="s">
        <v>100</v>
      </c>
    </row>
    <row r="27" spans="1:5" ht="12.75" customHeight="1">
      <c r="A27" s="54" t="s">
        <v>150</v>
      </c>
      <c r="B27" s="55" t="s">
        <v>151</v>
      </c>
      <c r="C27" s="55" t="s">
        <v>143</v>
      </c>
      <c r="D27" s="56"/>
      <c r="E27" s="50" t="s">
        <v>100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3E35ED39-C875-49BC-A939-E627385A51E8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2025-07-10T07:56:18Z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