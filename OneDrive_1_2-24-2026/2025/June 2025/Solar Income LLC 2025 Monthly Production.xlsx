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0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LibsysAdmin\Downloads\"/>
    </mc:Choice>
  </mc:AlternateContent>
  <xr:revisionPtr revIDLastSave="6" documentId="13_ncr:1_{FBC71691-6A4D-48E7-9740-CA809D677AAC}" xr6:coauthVersionLast="47" xr6:coauthVersionMax="47" xr10:uidLastSave="{AE807CB2-B7F1-4024-BFE5-E1968BC911D3}"/>
  <bookViews>
    <workbookView xWindow="-108" yWindow="-108" windowWidth="23256" windowHeight="12456" tabRatio="866" firstSheet="11" activeTab="10" xr2:uid="{00000000-000D-0000-FFFF-FFFF00000000}"/>
  </bookViews>
  <sheets>
    <sheet name="Year to Date" sheetId="34" r:id="rId1"/>
    <sheet name="1st Qtr" sheetId="1" r:id="rId2"/>
    <sheet name="2nd Qtr" sheetId="18" r:id="rId3"/>
    <sheet name="3rd Qtr" sheetId="29" r:id="rId4"/>
    <sheet name="4th Qtr" sheetId="30" r:id="rId5"/>
    <sheet name="Jan" sheetId="72" r:id="rId6"/>
    <sheet name="Feb" sheetId="3" r:id="rId7"/>
    <sheet name="Mar" sheetId="4" r:id="rId8"/>
    <sheet name="Apr" sheetId="21" r:id="rId9"/>
    <sheet name="May" sheetId="20" r:id="rId10"/>
    <sheet name="Jun" sheetId="19" r:id="rId11"/>
    <sheet name="Jul" sheetId="26" r:id="rId12"/>
    <sheet name="Aug" sheetId="27" r:id="rId13"/>
    <sheet name="Sep" sheetId="28" r:id="rId14"/>
    <sheet name="Oct" sheetId="31" r:id="rId15"/>
    <sheet name="Nov" sheetId="32" r:id="rId16"/>
    <sheet name="Dec" sheetId="33" r:id="rId17"/>
    <sheet name="Sites" sheetId="68" r:id="rId18"/>
  </sheets>
  <definedNames>
    <definedName name="_xlnm._FilterDatabase" localSheetId="1" hidden="1">'1st Qtr'!$A$2:$I$2</definedName>
    <definedName name="_xlnm._FilterDatabase" localSheetId="2" hidden="1">'2nd Qtr'!$A$2:$I$2</definedName>
    <definedName name="_xlnm._FilterDatabase" localSheetId="3" hidden="1">'3rd Qtr'!$A$2:$I$2</definedName>
    <definedName name="_xlnm._FilterDatabase" localSheetId="4" hidden="1">'4th Qtr'!$A$2:$I$2</definedName>
    <definedName name="_xlnm._FilterDatabase" localSheetId="8" hidden="1">Apr!$A$2:$I$2</definedName>
    <definedName name="_xlnm._FilterDatabase" localSheetId="12" hidden="1">Aug!$A$2:$I$2</definedName>
    <definedName name="_xlnm._FilterDatabase" localSheetId="16" hidden="1">Dec!$A$2:$I$2</definedName>
    <definedName name="_xlnm._FilterDatabase" localSheetId="6" hidden="1">Feb!$A$2:$I$2</definedName>
    <definedName name="_xlnm._FilterDatabase" localSheetId="5" hidden="1">Jan!$A$3:$K$3</definedName>
    <definedName name="_xlnm._FilterDatabase" localSheetId="11" hidden="1">Jul!$A$2:$I$2</definedName>
    <definedName name="_xlnm._FilterDatabase" localSheetId="10" hidden="1">Jun!$A$2:$I$2</definedName>
    <definedName name="_xlnm._FilterDatabase" localSheetId="7" hidden="1">Mar!$A$2:$I$2</definedName>
    <definedName name="_xlnm._FilterDatabase" localSheetId="9" hidden="1">May!$A$2:$I$2</definedName>
    <definedName name="_xlnm._FilterDatabase" localSheetId="15" hidden="1">Nov!$A$2:$I$2</definedName>
    <definedName name="_xlnm._FilterDatabase" localSheetId="14" hidden="1">Oct!$A$2:$I$2</definedName>
    <definedName name="_xlnm._FilterDatabase" localSheetId="13" hidden="1">Sep!$A$2:$I$2</definedName>
    <definedName name="_xlnm._FilterDatabase" localSheetId="0" hidden="1">'Year to Date'!$A$2:$I$2</definedName>
    <definedName name="_xlcn.WorksheetConnection_MultisiteTemplate2024MonthlyProduction.xlsxJan" hidden="1">Jan</definedName>
    <definedName name="_xlcn.WorksheetConnection_MultisiteTemplate2024MonthlyProduction.xlsxSites" hidden="1">Sites[]</definedName>
    <definedName name="JanActual">#REF!</definedName>
    <definedName name="JanActual2">#REF!</definedName>
    <definedName name="JanExpected">#REF!</definedName>
    <definedName name="JanExpectedDelta">#REF!</definedName>
    <definedName name="JanExpectedPercent">#REF!</definedName>
    <definedName name="JanExpPercent">#REF!</definedName>
    <definedName name="JanForecasted">#REF!</definedName>
    <definedName name="JanForecastedDelta">#REF!</definedName>
    <definedName name="JanForecastedPercent">#REF!</definedName>
    <definedName name="portfolio">Sites!$B$1:$B$1</definedName>
    <definedName name="Year">Sites!#REF!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ites" name="Sites" connection="WorksheetConnection_MultisiteTemplate 2024 Monthly Production.xlsx!Sites"/>
          <x15:modelTable id="Jan" name="Jan" connection="WorksheetConnection_MultisiteTemplate 2024 Monthly Production.xlsx!Jan"/>
        </x15:modelTables>
        <x15:modelRelationships>
          <x15:modelRelationship fromTable="Sites" fromColumn="Site" toTable="Jan" toColumn="Si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5" i="19" l="1"/>
  <c r="H5" i="20"/>
  <c r="H5" i="21"/>
  <c r="G5" i="30"/>
  <c r="G4" i="30"/>
  <c r="G4" i="29"/>
  <c r="G5" i="29"/>
  <c r="G5" i="18"/>
  <c r="G4" i="18"/>
  <c r="E4" i="4"/>
  <c r="E4" i="72"/>
  <c r="F4" i="72" s="1"/>
  <c r="E5" i="72"/>
  <c r="F5" i="72" s="1"/>
  <c r="C2" i="3" l="1"/>
  <c r="B4" i="33" l="1" a="1"/>
  <c r="B4" i="33" s="1"/>
  <c r="A4" i="33" a="1"/>
  <c r="A4" i="33" s="1"/>
  <c r="B4" i="32" a="1"/>
  <c r="B4" i="32" s="1"/>
  <c r="A4" i="32" a="1"/>
  <c r="A4" i="32" s="1"/>
  <c r="B4" i="31" a="1"/>
  <c r="B4" i="31" s="1"/>
  <c r="A4" i="31" a="1"/>
  <c r="A4" i="31" s="1"/>
  <c r="B4" i="19" a="1"/>
  <c r="B4" i="19" s="1"/>
  <c r="A4" i="19" a="1"/>
  <c r="A4" i="19" s="1"/>
  <c r="B4" i="20" a="1"/>
  <c r="B4" i="20" s="1"/>
  <c r="A4" i="20" a="1"/>
  <c r="A4" i="20" s="1"/>
  <c r="B4" i="21" a="1"/>
  <c r="B4" i="21" s="1"/>
  <c r="A4" i="21" a="1"/>
  <c r="A4" i="21" s="1"/>
  <c r="B4" i="4" a="1"/>
  <c r="B4" i="4" s="1"/>
  <c r="A4" i="4" a="1"/>
  <c r="A4" i="4" s="1"/>
  <c r="B4" i="3" a="1"/>
  <c r="B4" i="3" s="1"/>
  <c r="A4" i="3" a="1"/>
  <c r="A4" i="3" s="1"/>
  <c r="B4" i="27" a="1"/>
  <c r="B4" i="27" s="1"/>
  <c r="A4" i="27" a="1"/>
  <c r="A4" i="27" s="1"/>
  <c r="B4" i="26" a="1"/>
  <c r="B4" i="26" s="1"/>
  <c r="A4" i="26" a="1"/>
  <c r="A4" i="26" s="1"/>
  <c r="A4" i="72" a="1"/>
  <c r="A4" i="72" s="1"/>
  <c r="A4" i="30" a="1"/>
  <c r="A4" i="30" s="1"/>
  <c r="B4" i="72" a="1"/>
  <c r="B4" i="72" s="1"/>
  <c r="E4" i="3"/>
  <c r="F4" i="3" s="1"/>
  <c r="H4" i="3"/>
  <c r="I4" i="3" s="1"/>
  <c r="E5" i="3"/>
  <c r="F5" i="3" s="1"/>
  <c r="H5" i="3"/>
  <c r="I5" i="3" s="1"/>
  <c r="G5" i="1"/>
  <c r="G5" i="34" s="1"/>
  <c r="G4" i="1"/>
  <c r="G4" i="34" s="1"/>
  <c r="D5" i="34"/>
  <c r="B4" i="34" a="1"/>
  <c r="B4" i="34" s="1"/>
  <c r="A4" i="34" a="1"/>
  <c r="A4" i="34" s="1"/>
  <c r="A1" i="34" a="1"/>
  <c r="A1" i="34" s="1"/>
  <c r="D5" i="30"/>
  <c r="C5" i="30"/>
  <c r="D4" i="30"/>
  <c r="C4" i="30"/>
  <c r="D5" i="29"/>
  <c r="C5" i="29"/>
  <c r="D4" i="29"/>
  <c r="C4" i="29"/>
  <c r="D5" i="18"/>
  <c r="C5" i="18"/>
  <c r="D4" i="18"/>
  <c r="C4" i="18"/>
  <c r="B4" i="30" a="1"/>
  <c r="B4" i="30" s="1"/>
  <c r="G2" i="30"/>
  <c r="A1" i="30" a="1"/>
  <c r="A1" i="30" s="1"/>
  <c r="B4" i="29" a="1"/>
  <c r="B4" i="29" s="1"/>
  <c r="A4" i="29" a="1"/>
  <c r="A4" i="29" s="1"/>
  <c r="G2" i="29"/>
  <c r="A1" i="29" a="1"/>
  <c r="A1" i="29" s="1"/>
  <c r="B4" i="18" a="1"/>
  <c r="B4" i="18" s="1"/>
  <c r="A4" i="18" a="1"/>
  <c r="A4" i="18" s="1"/>
  <c r="G2" i="18"/>
  <c r="A1" i="18" a="1"/>
  <c r="A1" i="18" s="1"/>
  <c r="C5" i="1"/>
  <c r="C4" i="1"/>
  <c r="D5" i="1"/>
  <c r="D4" i="1"/>
  <c r="B4" i="1" a="1"/>
  <c r="B4" i="1" s="1"/>
  <c r="A4" i="1" a="1"/>
  <c r="A4" i="1" s="1"/>
  <c r="A1" i="1" a="1"/>
  <c r="A1" i="1" s="1"/>
  <c r="H5" i="33"/>
  <c r="I5" i="33" s="1"/>
  <c r="E5" i="33"/>
  <c r="F5" i="33" s="1"/>
  <c r="H4" i="33"/>
  <c r="I4" i="33" s="1"/>
  <c r="E4" i="33"/>
  <c r="F4" i="33" s="1"/>
  <c r="G2" i="33"/>
  <c r="D2" i="33"/>
  <c r="C2" i="33"/>
  <c r="A1" i="33" a="1"/>
  <c r="A1" i="33" s="1"/>
  <c r="H5" i="32"/>
  <c r="I5" i="32" s="1"/>
  <c r="E5" i="32"/>
  <c r="F5" i="32" s="1"/>
  <c r="H4" i="32"/>
  <c r="I4" i="32" s="1"/>
  <c r="E4" i="32"/>
  <c r="F4" i="32" s="1"/>
  <c r="G2" i="32"/>
  <c r="D2" i="32"/>
  <c r="C2" i="32"/>
  <c r="A1" i="32" a="1"/>
  <c r="A1" i="32" s="1"/>
  <c r="H5" i="31"/>
  <c r="I5" i="31" s="1"/>
  <c r="E5" i="31"/>
  <c r="F5" i="31" s="1"/>
  <c r="H4" i="31"/>
  <c r="I4" i="31" s="1"/>
  <c r="E4" i="31"/>
  <c r="F4" i="31" s="1"/>
  <c r="G2" i="31"/>
  <c r="D2" i="31"/>
  <c r="C2" i="31"/>
  <c r="A1" i="31" a="1"/>
  <c r="A1" i="31" s="1"/>
  <c r="H5" i="28"/>
  <c r="I5" i="28" s="1"/>
  <c r="E5" i="28"/>
  <c r="F5" i="28" s="1"/>
  <c r="H4" i="28"/>
  <c r="I4" i="28" s="1"/>
  <c r="E4" i="28"/>
  <c r="F4" i="28" s="1"/>
  <c r="B4" i="28" a="1"/>
  <c r="B4" i="28" s="1"/>
  <c r="A4" i="28" a="1"/>
  <c r="A4" i="28" s="1"/>
  <c r="G2" i="28"/>
  <c r="D2" i="28"/>
  <c r="C2" i="28"/>
  <c r="A1" i="28" a="1"/>
  <c r="A1" i="28" s="1"/>
  <c r="H5" i="27"/>
  <c r="I5" i="27" s="1"/>
  <c r="E5" i="27"/>
  <c r="F5" i="27" s="1"/>
  <c r="H4" i="27"/>
  <c r="I4" i="27" s="1"/>
  <c r="E4" i="27"/>
  <c r="F4" i="27" s="1"/>
  <c r="G2" i="27"/>
  <c r="D2" i="27"/>
  <c r="C2" i="27"/>
  <c r="A1" i="27" a="1"/>
  <c r="A1" i="27" s="1"/>
  <c r="H5" i="26"/>
  <c r="I5" i="26" s="1"/>
  <c r="E5" i="26"/>
  <c r="F5" i="26" s="1"/>
  <c r="H4" i="26"/>
  <c r="I4" i="26" s="1"/>
  <c r="E4" i="26"/>
  <c r="F4" i="26" s="1"/>
  <c r="G2" i="26"/>
  <c r="D2" i="26"/>
  <c r="C2" i="26"/>
  <c r="A1" i="26" a="1"/>
  <c r="A1" i="26" s="1"/>
  <c r="I5" i="19"/>
  <c r="E5" i="19"/>
  <c r="F5" i="19" s="1"/>
  <c r="H4" i="19"/>
  <c r="I4" i="19" s="1"/>
  <c r="E4" i="19"/>
  <c r="F4" i="19" s="1"/>
  <c r="G2" i="19"/>
  <c r="D2" i="19"/>
  <c r="C2" i="19"/>
  <c r="A1" i="19" a="1"/>
  <c r="A1" i="19" s="1"/>
  <c r="I5" i="20"/>
  <c r="E5" i="20"/>
  <c r="F5" i="20" s="1"/>
  <c r="H4" i="20"/>
  <c r="I4" i="20" s="1"/>
  <c r="E4" i="20"/>
  <c r="F4" i="20" s="1"/>
  <c r="G2" i="20"/>
  <c r="D2" i="20"/>
  <c r="C2" i="20"/>
  <c r="A1" i="20" a="1"/>
  <c r="A1" i="20" s="1"/>
  <c r="I5" i="21"/>
  <c r="E5" i="21"/>
  <c r="F5" i="21" s="1"/>
  <c r="H4" i="21"/>
  <c r="I4" i="21" s="1"/>
  <c r="E4" i="21"/>
  <c r="F4" i="21" s="1"/>
  <c r="G2" i="21"/>
  <c r="D2" i="21"/>
  <c r="C2" i="21"/>
  <c r="A1" i="21" a="1"/>
  <c r="A1" i="21" s="1"/>
  <c r="H5" i="4"/>
  <c r="I5" i="4" s="1"/>
  <c r="E5" i="4"/>
  <c r="F5" i="4" s="1"/>
  <c r="H4" i="4"/>
  <c r="I4" i="4" s="1"/>
  <c r="F4" i="4"/>
  <c r="G2" i="4"/>
  <c r="D2" i="4"/>
  <c r="C2" i="4"/>
  <c r="A1" i="4" a="1"/>
  <c r="A1" i="4" s="1"/>
  <c r="G2" i="3"/>
  <c r="H2" i="3" s="1"/>
  <c r="D2" i="3"/>
  <c r="J2" i="3"/>
  <c r="A1" i="3" a="1"/>
  <c r="A1" i="3" s="1"/>
  <c r="H5" i="72"/>
  <c r="I5" i="72" s="1"/>
  <c r="H4" i="72"/>
  <c r="I4" i="72" s="1"/>
  <c r="G2" i="72"/>
  <c r="D2" i="72"/>
  <c r="C2" i="72"/>
  <c r="J2" i="72" s="1"/>
  <c r="A1" i="72" a="1"/>
  <c r="A1" i="72" s="1"/>
  <c r="C4" i="34" l="1"/>
  <c r="C5" i="34"/>
  <c r="E5" i="34" s="1"/>
  <c r="F5" i="34" s="1"/>
  <c r="D4" i="34"/>
  <c r="D2" i="34" s="1"/>
  <c r="E5" i="18"/>
  <c r="F5" i="18" s="1"/>
  <c r="D2" i="18"/>
  <c r="E5" i="30"/>
  <c r="F5" i="30" s="1"/>
  <c r="E4" i="18"/>
  <c r="F4" i="18" s="1"/>
  <c r="D2" i="29"/>
  <c r="E5" i="29"/>
  <c r="F5" i="29" s="1"/>
  <c r="E4" i="30"/>
  <c r="F4" i="30" s="1"/>
  <c r="D2" i="30"/>
  <c r="H2" i="33"/>
  <c r="I2" i="33" s="1"/>
  <c r="J2" i="33"/>
  <c r="H2" i="32"/>
  <c r="I2" i="32" s="1"/>
  <c r="J2" i="32"/>
  <c r="H2" i="31"/>
  <c r="I2" i="31" s="1"/>
  <c r="J2" i="31"/>
  <c r="H2" i="28"/>
  <c r="I2" i="28" s="1"/>
  <c r="J2" i="28"/>
  <c r="E2" i="28"/>
  <c r="F2" i="28" s="1"/>
  <c r="H2" i="27"/>
  <c r="I2" i="27" s="1"/>
  <c r="J2" i="27"/>
  <c r="H2" i="26"/>
  <c r="I2" i="26" s="1"/>
  <c r="J2" i="26"/>
  <c r="H2" i="19"/>
  <c r="I2" i="19" s="1"/>
  <c r="J2" i="19"/>
  <c r="E2" i="20"/>
  <c r="F2" i="20" s="1"/>
  <c r="J2" i="20"/>
  <c r="H2" i="20"/>
  <c r="I2" i="20" s="1"/>
  <c r="H2" i="21"/>
  <c r="I2" i="21" s="1"/>
  <c r="J2" i="21"/>
  <c r="H2" i="4"/>
  <c r="I2" i="4" s="1"/>
  <c r="J2" i="4"/>
  <c r="I2" i="3"/>
  <c r="G2" i="1"/>
  <c r="E5" i="1"/>
  <c r="F5" i="1" s="1"/>
  <c r="H4" i="30"/>
  <c r="I4" i="30" s="1"/>
  <c r="H5" i="30"/>
  <c r="I5" i="30" s="1"/>
  <c r="H4" i="29"/>
  <c r="I4" i="29" s="1"/>
  <c r="H5" i="29"/>
  <c r="I5" i="29" s="1"/>
  <c r="H4" i="18"/>
  <c r="I4" i="18" s="1"/>
  <c r="H5" i="18"/>
  <c r="I5" i="18" s="1"/>
  <c r="H5" i="34"/>
  <c r="I5" i="34" s="1"/>
  <c r="C2" i="29"/>
  <c r="C2" i="30"/>
  <c r="E4" i="29"/>
  <c r="F4" i="29" s="1"/>
  <c r="C2" i="18"/>
  <c r="H4" i="1"/>
  <c r="H5" i="1"/>
  <c r="I5" i="1" s="1"/>
  <c r="C2" i="1"/>
  <c r="E2" i="3"/>
  <c r="F2" i="3" s="1"/>
  <c r="E4" i="1"/>
  <c r="F4" i="1" s="1"/>
  <c r="D2" i="1"/>
  <c r="E2" i="33"/>
  <c r="F2" i="33" s="1"/>
  <c r="E2" i="32"/>
  <c r="F2" i="32" s="1"/>
  <c r="E2" i="31"/>
  <c r="F2" i="31" s="1"/>
  <c r="E2" i="27"/>
  <c r="F2" i="27" s="1"/>
  <c r="E2" i="26"/>
  <c r="F2" i="26" s="1"/>
  <c r="E2" i="19"/>
  <c r="F2" i="19" s="1"/>
  <c r="E2" i="21"/>
  <c r="F2" i="21" s="1"/>
  <c r="E2" i="4"/>
  <c r="F2" i="4" s="1"/>
  <c r="H2" i="72"/>
  <c r="H4" i="34" l="1"/>
  <c r="I4" i="34" s="1"/>
  <c r="E4" i="34"/>
  <c r="F4" i="34" s="1"/>
  <c r="E2" i="29"/>
  <c r="F2" i="29" s="1"/>
  <c r="G2" i="34"/>
  <c r="H2" i="1"/>
  <c r="I2" i="1" s="1"/>
  <c r="C2" i="34"/>
  <c r="I4" i="1"/>
  <c r="H2" i="29"/>
  <c r="I2" i="29" s="1"/>
  <c r="H2" i="30"/>
  <c r="I2" i="30" s="1"/>
  <c r="E2" i="30"/>
  <c r="F2" i="30" s="1"/>
  <c r="H2" i="18"/>
  <c r="I2" i="18" s="1"/>
  <c r="E2" i="18"/>
  <c r="F2" i="18" s="1"/>
  <c r="E2" i="1"/>
  <c r="F2" i="1" s="1"/>
  <c r="I2" i="72"/>
  <c r="E2" i="72"/>
  <c r="F2" i="72" s="1"/>
  <c r="H2" i="34" l="1"/>
  <c r="I2" i="34" s="1"/>
  <c r="E2" i="34"/>
  <c r="F2" i="3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85621F-B130-4F0F-92DC-88F44E4571F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15A99F4-5EFC-4CB5-972F-7321CFD2DE9E}" name="WorksheetConnection_MultisiteTemplate 2024 Monthly Production.xlsx!Jan" type="102" refreshedVersion="8" minRefreshableVersion="5">
    <extLst>
      <ext xmlns:x15="http://schemas.microsoft.com/office/spreadsheetml/2010/11/main" uri="{DE250136-89BD-433C-8126-D09CA5730AF9}">
        <x15:connection id="Jan">
          <x15:rangePr sourceName="_xlcn.WorksheetConnection_MultisiteTemplate2024MonthlyProduction.xlsxJan"/>
        </x15:connection>
      </ext>
    </extLst>
  </connection>
  <connection id="3" xr16:uid="{90B9CE13-4183-48D9-8800-5F7D86DCD1A7}" name="WorksheetConnection_MultisiteTemplate 2024 Monthly Production.xlsx!Sites" type="102" refreshedVersion="8" minRefreshableVersion="5">
    <extLst>
      <ext xmlns:x15="http://schemas.microsoft.com/office/spreadsheetml/2010/11/main" uri="{DE250136-89BD-433C-8126-D09CA5730AF9}">
        <x15:connection id="Sites">
          <x15:rangePr sourceName="_xlcn.WorksheetConnection_MultisiteTemplate2024MonthlyProduction.xlsxSites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<sst xmlns="http://schemas.openxmlformats.org/spreadsheetml/2006/main" count="302" uniqueCount="77">
  <si>
    <t>Year to Date Actual v. Expected</t>
  </si>
  <si>
    <t>Year to Date Actual v. Forecasted</t>
  </si>
  <si>
    <t>Total</t>
  </si>
  <si>
    <t>Site</t>
  </si>
  <si>
    <t>State</t>
  </si>
  <si>
    <t>Actual</t>
  </si>
  <si>
    <t>Expected</t>
  </si>
  <si>
    <t>Delta</t>
  </si>
  <si>
    <t>%</t>
  </si>
  <si>
    <t>Forecasted</t>
  </si>
  <si>
    <t>1st Quarter Actual v. Expected</t>
  </si>
  <si>
    <t>1st Quarter Actual v. Forecasted</t>
  </si>
  <si>
    <t>2nd Quarter Actual v. Expected</t>
  </si>
  <si>
    <t>2nd Quarter Actual v. Forecasted</t>
  </si>
  <si>
    <t>3rd Quarter Actual v. Expected</t>
  </si>
  <si>
    <t>3rd Quarter Actual v. Forecasted</t>
  </si>
  <si>
    <t>4th Quarter Actual v. Expected</t>
  </si>
  <si>
    <t>4th Quarter Actual v. Forecasted</t>
  </si>
  <si>
    <t>January Actual v. Expected</t>
  </si>
  <si>
    <t>January Actual v. Forecasted</t>
  </si>
  <si>
    <t>Notes</t>
  </si>
  <si>
    <t>Service Requests</t>
  </si>
  <si>
    <t>N/A</t>
  </si>
  <si>
    <t xml:space="preserve">1. Inverter 2 was underperforming by 10 kW compared to its peers. Tech isolated string 2.3, which will be disconnected until the new optimizers is replaced.
2.  Virtual weather stopped communicating from 04/01/2024.
</t>
  </si>
  <si>
    <t>1. SR096097,SR091134
2. SR092275</t>
  </si>
  <si>
    <t>SR091134</t>
  </si>
  <si>
    <t>SR092275</t>
  </si>
  <si>
    <t>1.  Weather station is stopped communicating from 06/14/2024. Tech was unable to programme new weather station data due to poor WiFi.</t>
  </si>
  <si>
    <t>1. SR085123</t>
  </si>
  <si>
    <t>February Actual v. Expected</t>
  </si>
  <si>
    <t>February Actual v. Forecasted</t>
  </si>
  <si>
    <t>1. Inverter 4 tripped offline at 02:00 PM on 02/10 due to a fault and possible 3-phase arc detection. Additionally, the DC relay board has been RMA'd. The inverter will remain offline until the replacement is installed.
2. Virtual weather stopped communicating from 04/01/2024.
3. Inverter 2 was underperforming by 10 kW compared to its peers. Tech isolated string 2.3, which will be disconnected until the new optimizers is replaced.</t>
  </si>
  <si>
    <t>1. SR096681
2. SR092275
3. SR096097,SR091134</t>
  </si>
  <si>
    <t>SR096097</t>
  </si>
  <si>
    <t>1. Weather station is stopped communicating from 06/14/2024. Tech was unable to upload data due to poor internet.</t>
  </si>
  <si>
    <t>March Actual v. Expected</t>
  </si>
  <si>
    <t>March Actual v. Forecasted</t>
  </si>
  <si>
    <t>1. Inverter 4 tripped offline at 02:00 PM on 02/10 due to a fault and possible 3-phase arc detection. Additionally, the DC relay board has been RMA'd. On 03/13 Technician replaced DC Relay Board inverter back online at 11:30 
2. Virtual weather stopped communicating from 04/01/2024.
3.Inverter 2 was underperforming by 10 kW compared to its peers. Tech isolated string 2.3, which will be disconnected until the new optimizers is replaced.</t>
  </si>
  <si>
    <t>1. SR096681
2.SR092275
3. SR096097,SR091134</t>
  </si>
  <si>
    <t>April Actual v. Expected</t>
  </si>
  <si>
    <t>April Actual v. Forecasted</t>
  </si>
  <si>
    <t>1. Inverter 2 was underperforming by 10 kW compared to its peers. Tech isolated string 2.3, which will be disconnected until the new optimizers is replaced.
2. Virtual weather stopped communicating from 04/01/2024.</t>
  </si>
  <si>
    <t>1. SR096097, SR091134
2. SR092275</t>
  </si>
  <si>
    <t>May Actual v. Expected</t>
  </si>
  <si>
    <t>May Actual v. Forecasted</t>
  </si>
  <si>
    <t>1. Inverter 2 was underperforming by 10 kW compared to its peers. Tech isolated string 2.3, which will be disconnected until the new optimizers is replaced.
2. Virtual weather stopped communicating from 04/01/2024.
3. Inverter 2 tripped offline at 16:15 on 05/22 due to "Inverter not producing energy – low voltage". A technician visited the site on 05/27 and attempted to troubleshoot the inverter, but was unsuccessful and requested additional troubleshooting.</t>
  </si>
  <si>
    <t>1. SR096097, SR091134
2. SR92275
3. SR101806</t>
  </si>
  <si>
    <t xml:space="preserve">SR92275
</t>
  </si>
  <si>
    <t>SR101806</t>
  </si>
  <si>
    <t>June Actual v. Expected</t>
  </si>
  <si>
    <t>June Actual v. Forecasted</t>
  </si>
  <si>
    <t>1.Inverter 2 was underperforming by 10 kW compared to its peers. Tech isolated string 2.3, which will be disconnected until the new optimizers is replaced.
2.Virtual weather stopped communicating on 04/01/24</t>
  </si>
  <si>
    <t>1.	SR103398 , SR096097, SR091134
2.	SR092275</t>
  </si>
  <si>
    <t>July Actual v. Expected</t>
  </si>
  <si>
    <t>July Actual v. Forecasted</t>
  </si>
  <si>
    <t>August Actual v. Expected</t>
  </si>
  <si>
    <t>August Actual v. Forecasted</t>
  </si>
  <si>
    <t>September Actual v. Expected</t>
  </si>
  <si>
    <t>September Actual v. Forecasted</t>
  </si>
  <si>
    <t>October Actual v. Expected</t>
  </si>
  <si>
    <t>October Actual v. Forecasted</t>
  </si>
  <si>
    <t>November Actual v. Expected</t>
  </si>
  <si>
    <t>November Actual v. Forecasted</t>
  </si>
  <si>
    <t>December Actual v. Expected</t>
  </si>
  <si>
    <t>December Actual v. Forecasted</t>
  </si>
  <si>
    <t>Portfolio:</t>
  </si>
  <si>
    <t>Solar Income LLC</t>
  </si>
  <si>
    <t>Site DAS Name</t>
  </si>
  <si>
    <t>Update</t>
  </si>
  <si>
    <t>DAS</t>
  </si>
  <si>
    <t>Lee Company - B9</t>
  </si>
  <si>
    <t>Westbrook - Lee Building 9</t>
  </si>
  <si>
    <t>CT</t>
  </si>
  <si>
    <t>AEF</t>
  </si>
  <si>
    <t>PowerTrack</t>
  </si>
  <si>
    <t>The Lee Company B82</t>
  </si>
  <si>
    <t>Westbrook - Lee Building 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</si>
</sst>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8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</font>
    <font>
      <b/>
      <sz val="10"/>
      <name val="Arial"/>
      <family val="2"/>
    </font>
    <font>
      <sz val="11"/>
      <name val="Arial"/>
      <family val="2"/>
    </font>
    <font>
      <b/>
      <sz val="12"/>
      <color rgb="FFFFFFFF"/>
      <name val="Arial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b/>
      <sz val="10"/>
      <color rgb="FFFFFFFF"/>
      <name val="Arial"/>
      <family val="2"/>
    </font>
    <font>
      <sz val="11"/>
      <name val="Calibri"/>
      <family val="2"/>
    </font>
    <font>
      <sz val="8"/>
      <name val="Calibri"/>
      <family val="2"/>
    </font>
    <font>
      <sz val="10"/>
      <name val="Calibri"/>
      <family val="2"/>
    </font>
    <font>
      <b/>
      <sz val="12"/>
      <color rgb="FFFF0000"/>
      <name val="Arial"/>
      <family val="2"/>
    </font>
    <font>
      <sz val="12"/>
      <color rgb="FF000000"/>
      <name val="Calibri"/>
      <family val="2"/>
    </font>
    <font>
      <sz val="10"/>
      <color rgb="FF000000"/>
      <name val="Arial"/>
      <family val="2"/>
    </font>
    <font>
      <sz val="11"/>
      <color rgb="FF242424"/>
      <name val="Aptos Narrow"/>
      <family val="2"/>
    </font>
    <font>
      <sz val="11"/>
      <color rgb="FF242424"/>
      <name val="Calibri"/>
      <family val="2"/>
    </font>
    <font>
      <u/>
      <sz val="10"/>
      <color theme="10"/>
      <name val="Arial"/>
    </font>
  </fonts>
  <fills count="47">
    <fill>
      <patternFill patternType="none"/>
    </fill>
    <fill>
      <patternFill patternType="gray125"/>
    </fill>
    <fill>
      <patternFill patternType="solid">
        <fgColor rgb="FF0065A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9C9C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theme="4" tint="0.79998168889431442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D9E1F2"/>
        <bgColor rgb="FFD9E1F2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rgb="FF8EA9DB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5" borderId="0" applyNumberFormat="0" applyBorder="0" applyAlignment="0" applyProtection="0"/>
    <xf numFmtId="0" fontId="11" fillId="6" borderId="0" applyNumberFormat="0" applyBorder="0" applyAlignment="0" applyProtection="0"/>
    <xf numFmtId="0" fontId="12" fillId="7" borderId="0" applyNumberFormat="0" applyBorder="0" applyAlignment="0" applyProtection="0"/>
    <xf numFmtId="0" fontId="13" fillId="8" borderId="5" applyNumberFormat="0" applyAlignment="0" applyProtection="0"/>
    <xf numFmtId="0" fontId="14" fillId="9" borderId="6" applyNumberFormat="0" applyAlignment="0" applyProtection="0"/>
    <xf numFmtId="0" fontId="15" fillId="9" borderId="5" applyNumberFormat="0" applyAlignment="0" applyProtection="0"/>
    <xf numFmtId="0" fontId="16" fillId="0" borderId="7" applyNumberFormat="0" applyFill="0" applyAlignment="0" applyProtection="0"/>
    <xf numFmtId="0" fontId="17" fillId="10" borderId="8" applyNumberFormat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10" applyNumberFormat="0" applyFill="0" applyAlignment="0" applyProtection="0"/>
    <xf numFmtId="0" fontId="2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2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2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2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2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0" borderId="0"/>
    <xf numFmtId="0" fontId="1" fillId="11" borderId="9" applyNumberFormat="0" applyFont="0" applyAlignment="0" applyProtection="0"/>
    <xf numFmtId="0" fontId="37" fillId="0" borderId="0" applyNumberFormat="0" applyFill="0" applyBorder="0" applyAlignment="0" applyProtection="0"/>
  </cellStyleXfs>
  <cellXfs count="70">
    <xf numFmtId="0" fontId="0" fillId="0" borderId="0" xfId="0"/>
    <xf numFmtId="9" fontId="4" fillId="0" borderId="0" xfId="2" applyFont="1" applyAlignment="1">
      <alignment horizontal="center"/>
    </xf>
    <xf numFmtId="0" fontId="0" fillId="0" borderId="0" xfId="0" applyAlignment="1">
      <alignment horizontal="center"/>
    </xf>
    <xf numFmtId="0" fontId="22" fillId="0" borderId="0" xfId="0" applyFont="1" applyAlignment="1">
      <alignment horizontal="left"/>
    </xf>
    <xf numFmtId="0" fontId="5" fillId="0" borderId="0" xfId="0" applyFont="1" applyAlignment="1">
      <alignment vertical="center"/>
    </xf>
    <xf numFmtId="3" fontId="24" fillId="36" borderId="1" xfId="0" applyNumberFormat="1" applyFont="1" applyFill="1" applyBorder="1" applyAlignment="1">
      <alignment horizontal="center" vertical="center"/>
    </xf>
    <xf numFmtId="9" fontId="24" fillId="36" borderId="1" xfId="0" applyNumberFormat="1" applyFont="1" applyFill="1" applyBorder="1" applyAlignment="1">
      <alignment horizontal="center" vertical="center"/>
    </xf>
    <xf numFmtId="3" fontId="24" fillId="36" borderId="1" xfId="1" applyNumberFormat="1" applyFont="1" applyFill="1" applyBorder="1" applyAlignment="1">
      <alignment horizontal="center" vertical="center"/>
    </xf>
    <xf numFmtId="0" fontId="28" fillId="2" borderId="1" xfId="0" applyFont="1" applyFill="1" applyBorder="1" applyAlignment="1">
      <alignment horizontal="center" vertical="center" wrapText="1"/>
    </xf>
    <xf numFmtId="49" fontId="27" fillId="40" borderId="0" xfId="0" applyNumberFormat="1" applyFont="1" applyFill="1" applyAlignment="1">
      <alignment horizontal="center" vertical="center"/>
    </xf>
    <xf numFmtId="49" fontId="27" fillId="0" borderId="0" xfId="0" applyNumberFormat="1" applyFont="1" applyAlignment="1">
      <alignment horizontal="center" vertical="center"/>
    </xf>
    <xf numFmtId="164" fontId="27" fillId="0" borderId="0" xfId="1" applyNumberFormat="1" applyFont="1" applyBorder="1" applyAlignment="1">
      <alignment horizontal="center" vertical="center"/>
    </xf>
    <xf numFmtId="3" fontId="29" fillId="3" borderId="0" xfId="0" applyNumberFormat="1" applyFont="1" applyFill="1" applyAlignment="1">
      <alignment horizontal="right" vertical="center"/>
    </xf>
    <xf numFmtId="9" fontId="29" fillId="3" borderId="0" xfId="2" applyFont="1" applyFill="1" applyBorder="1" applyAlignment="1">
      <alignment horizontal="center" vertical="center"/>
    </xf>
    <xf numFmtId="3" fontId="29" fillId="4" borderId="0" xfId="1" applyNumberFormat="1" applyFont="1" applyFill="1" applyBorder="1" applyAlignment="1">
      <alignment vertical="center"/>
    </xf>
    <xf numFmtId="9" fontId="29" fillId="37" borderId="0" xfId="2" applyFont="1" applyFill="1" applyBorder="1" applyAlignment="1">
      <alignment horizontal="center" vertical="center"/>
    </xf>
    <xf numFmtId="49" fontId="26" fillId="0" borderId="0" xfId="0" applyNumberFormat="1" applyFont="1" applyAlignment="1">
      <alignment horizontal="center" vertical="center"/>
    </xf>
    <xf numFmtId="3" fontId="29" fillId="0" borderId="0" xfId="0" applyNumberFormat="1" applyFont="1" applyAlignment="1">
      <alignment horizontal="right" vertical="center"/>
    </xf>
    <xf numFmtId="9" fontId="29" fillId="0" borderId="0" xfId="2" applyFont="1" applyFill="1" applyBorder="1" applyAlignment="1">
      <alignment horizontal="center" vertical="center"/>
    </xf>
    <xf numFmtId="3" fontId="29" fillId="0" borderId="0" xfId="1" applyNumberFormat="1" applyFont="1" applyFill="1" applyBorder="1" applyAlignment="1">
      <alignment vertical="center"/>
    </xf>
    <xf numFmtId="0" fontId="31" fillId="0" borderId="0" xfId="0" applyFont="1"/>
    <xf numFmtId="9" fontId="30" fillId="0" borderId="0" xfId="2" applyFont="1" applyAlignment="1">
      <alignment horizontal="center"/>
    </xf>
    <xf numFmtId="0" fontId="28" fillId="43" borderId="1" xfId="0" applyFont="1" applyFill="1" applyBorder="1" applyAlignment="1">
      <alignment horizontal="center" vertical="center" wrapText="1"/>
    </xf>
    <xf numFmtId="164" fontId="27" fillId="44" borderId="0" xfId="1" applyNumberFormat="1" applyFont="1" applyFill="1" applyBorder="1" applyAlignment="1">
      <alignment horizontal="center" vertical="center"/>
    </xf>
    <xf numFmtId="0" fontId="5" fillId="45" borderId="1" xfId="0" applyFont="1" applyFill="1" applyBorder="1" applyAlignment="1">
      <alignment horizontal="center" vertical="center"/>
    </xf>
    <xf numFmtId="0" fontId="32" fillId="0" borderId="0" xfId="0" applyFont="1" applyAlignment="1">
      <alignment vertical="center"/>
    </xf>
    <xf numFmtId="0" fontId="28" fillId="2" borderId="11" xfId="0" applyFont="1" applyFill="1" applyBorder="1" applyAlignment="1">
      <alignment horizontal="center" vertical="center" wrapText="1"/>
    </xf>
    <xf numFmtId="0" fontId="27" fillId="40" borderId="0" xfId="0" applyFont="1" applyFill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33" fillId="40" borderId="0" xfId="0" applyFont="1" applyFill="1" applyAlignment="1">
      <alignment horizontal="center"/>
    </xf>
    <xf numFmtId="0" fontId="29" fillId="0" borderId="0" xfId="0" applyFont="1"/>
    <xf numFmtId="0" fontId="24" fillId="0" borderId="0" xfId="0" applyFont="1"/>
    <xf numFmtId="0" fontId="23" fillId="41" borderId="1" xfId="0" applyFont="1" applyFill="1" applyBorder="1" applyAlignment="1">
      <alignment horizontal="center" vertical="center" wrapText="1"/>
    </xf>
    <xf numFmtId="9" fontId="23" fillId="41" borderId="1" xfId="2" applyFont="1" applyFill="1" applyBorder="1" applyAlignment="1">
      <alignment horizontal="center" vertical="center" wrapText="1"/>
    </xf>
    <xf numFmtId="0" fontId="23" fillId="42" borderId="1" xfId="0" applyFont="1" applyFill="1" applyBorder="1" applyAlignment="1">
      <alignment horizontal="center"/>
    </xf>
    <xf numFmtId="0" fontId="23" fillId="42" borderId="1" xfId="0" applyFont="1" applyFill="1" applyBorder="1" applyAlignment="1">
      <alignment horizontal="center" vertical="center" wrapText="1"/>
    </xf>
    <xf numFmtId="9" fontId="23" fillId="42" borderId="1" xfId="2" applyFont="1" applyFill="1" applyBorder="1" applyAlignment="1">
      <alignment horizontal="center" vertical="center" wrapText="1"/>
    </xf>
    <xf numFmtId="0" fontId="23" fillId="42" borderId="1" xfId="0" applyFont="1" applyFill="1" applyBorder="1" applyAlignment="1">
      <alignment horizontal="center" vertical="center"/>
    </xf>
    <xf numFmtId="49" fontId="29" fillId="38" borderId="0" xfId="2" applyNumberFormat="1" applyFont="1" applyFill="1" applyBorder="1" applyAlignment="1">
      <alignment vertical="top" wrapText="1"/>
    </xf>
    <xf numFmtId="49" fontId="27" fillId="0" borderId="0" xfId="0" applyNumberFormat="1" applyFont="1" applyAlignment="1">
      <alignment vertical="center" wrapText="1"/>
    </xf>
    <xf numFmtId="0" fontId="0" fillId="0" borderId="0" xfId="0" applyAlignment="1">
      <alignment horizontal="center" wrapText="1"/>
    </xf>
    <xf numFmtId="164" fontId="27" fillId="0" borderId="0" xfId="1" applyNumberFormat="1" applyFont="1" applyFill="1" applyBorder="1" applyAlignment="1">
      <alignment horizontal="center" vertical="center"/>
    </xf>
    <xf numFmtId="0" fontId="33" fillId="40" borderId="0" xfId="0" applyFont="1" applyFill="1" applyAlignment="1">
      <alignment horizontal="center" vertical="center"/>
    </xf>
    <xf numFmtId="49" fontId="26" fillId="40" borderId="0" xfId="0" applyNumberFormat="1" applyFont="1" applyFill="1" applyAlignment="1">
      <alignment horizontal="center" vertical="center"/>
    </xf>
    <xf numFmtId="0" fontId="34" fillId="46" borderId="0" xfId="0" applyFont="1" applyFill="1" applyAlignment="1">
      <alignment horizontal="left" vertical="top"/>
    </xf>
    <xf numFmtId="0" fontId="34" fillId="46" borderId="12" xfId="0" applyFont="1" applyFill="1" applyBorder="1"/>
    <xf numFmtId="0" fontId="0" fillId="0" borderId="13" xfId="0" applyBorder="1"/>
    <xf numFmtId="0" fontId="34" fillId="0" borderId="0" xfId="0" applyFont="1" applyAlignment="1">
      <alignment horizontal="left" vertical="top"/>
    </xf>
    <xf numFmtId="0" fontId="34" fillId="0" borderId="0" xfId="0" applyFont="1"/>
    <xf numFmtId="0" fontId="34" fillId="0" borderId="12" xfId="0" applyFont="1" applyBorder="1"/>
    <xf numFmtId="49" fontId="27" fillId="0" borderId="0" xfId="0" applyNumberFormat="1" applyFont="1" applyAlignment="1">
      <alignment horizontal="left" vertical="top" wrapText="1"/>
    </xf>
    <xf numFmtId="0" fontId="35" fillId="0" borderId="0" xfId="0" applyFont="1"/>
    <xf numFmtId="0" fontId="36" fillId="0" borderId="0" xfId="0" applyFont="1"/>
    <xf numFmtId="0" fontId="35" fillId="0" borderId="0" xfId="0" applyFont="1" applyAlignment="1">
      <alignment horizontal="left" vertical="top"/>
    </xf>
    <xf numFmtId="49" fontId="29" fillId="38" borderId="0" xfId="2" applyNumberFormat="1" applyFont="1" applyFill="1" applyBorder="1" applyAlignment="1">
      <alignment horizontal="left" vertical="top" wrapText="1"/>
    </xf>
    <xf numFmtId="0" fontId="31" fillId="0" borderId="0" xfId="0" applyFont="1" applyAlignment="1">
      <alignment horizontal="center" vertical="center"/>
    </xf>
    <xf numFmtId="3" fontId="29" fillId="4" borderId="0" xfId="1" applyNumberFormat="1" applyFont="1" applyFill="1" applyBorder="1" applyAlignment="1">
      <alignment horizontal="right" vertical="center"/>
    </xf>
    <xf numFmtId="49" fontId="37" fillId="38" borderId="0" xfId="45" applyNumberFormat="1" applyFill="1" applyBorder="1" applyAlignment="1">
      <alignment vertical="top" wrapText="1"/>
    </xf>
    <xf numFmtId="49" fontId="37" fillId="0" borderId="0" xfId="45" applyNumberFormat="1" applyAlignment="1">
      <alignment vertical="top" wrapText="1"/>
    </xf>
    <xf numFmtId="49" fontId="37" fillId="0" borderId="0" xfId="45" applyNumberFormat="1" applyAlignment="1">
      <alignment horizontal="left" vertical="top" wrapText="1"/>
    </xf>
    <xf numFmtId="49" fontId="37" fillId="0" borderId="0" xfId="45" applyNumberFormat="1" applyAlignment="1">
      <alignment vertical="center" wrapText="1"/>
    </xf>
    <xf numFmtId="0" fontId="0" fillId="0" borderId="0" xfId="0" applyAlignment="1">
      <alignment horizontal="left" vertical="top"/>
    </xf>
    <xf numFmtId="0" fontId="37" fillId="0" borderId="0" xfId="45" applyAlignment="1">
      <alignment horizontal="left" vertical="top"/>
    </xf>
    <xf numFmtId="0" fontId="37" fillId="0" borderId="0" xfId="45" applyAlignment="1">
      <alignment horizontal="left" vertical="top" wrapText="1"/>
    </xf>
    <xf numFmtId="0" fontId="3" fillId="4" borderId="1" xfId="0" applyFont="1" applyFill="1" applyBorder="1" applyAlignment="1">
      <alignment horizontal="center" vertical="center"/>
    </xf>
    <xf numFmtId="0" fontId="25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23" fillId="39" borderId="1" xfId="0" applyFont="1" applyFill="1" applyBorder="1" applyAlignment="1">
      <alignment horizontal="center" vertical="center"/>
    </xf>
    <xf numFmtId="3" fontId="29" fillId="4" borderId="0" xfId="1" applyNumberFormat="1" applyFont="1" applyFill="1" applyBorder="1" applyAlignment="1">
      <alignment horizontal="right" vertical="center" indent="1"/>
    </xf>
  </cellXfs>
  <cellStyles count="46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Explanatory Text" xfId="17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Hyperlink" xfId="45" builtinId="8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43" xr:uid="{68438DF1-6A12-4537-A62F-429F3F9C3EED}"/>
    <cellStyle name="Note 2" xfId="44" xr:uid="{74FD8891-0B2B-4B5A-B89E-AB361AD9C09D}"/>
    <cellStyle name="Output" xfId="12" builtinId="21" customBuiltin="1"/>
    <cellStyle name="Per cent" xfId="2" builtinId="5"/>
    <cellStyle name="Title" xfId="3" builtinId="15" customBuiltin="1"/>
    <cellStyle name="Total" xfId="18" builtinId="25" customBuiltin="1"/>
    <cellStyle name="Warning Text" xfId="16" builtinId="11" customBuiltin="1"/>
  </cellStyles>
  <dxfs count="40"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left" vertical="bottom" textRotation="0" wrapText="1" indent="0" justifyLastLine="0" shrinkToFit="0" readingOrder="0"/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89055A"/>
      <color rgb="FF74868C"/>
      <color rgb="FF36FFFC"/>
      <color rgb="FFFF4B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9" Type="http://schemas.openxmlformats.org/officeDocument/2006/relationships/customXml" Target="../customXml/item14.xml"/><Relationship Id="rId21" Type="http://schemas.openxmlformats.org/officeDocument/2006/relationships/styles" Target="styles.xml"/><Relationship Id="rId34" Type="http://schemas.openxmlformats.org/officeDocument/2006/relationships/customXml" Target="../customXml/item9.xml"/><Relationship Id="rId42" Type="http://schemas.openxmlformats.org/officeDocument/2006/relationships/customXml" Target="../customXml/item17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owerPivotData" Target="model/item.data"/><Relationship Id="rId32" Type="http://schemas.openxmlformats.org/officeDocument/2006/relationships/customXml" Target="../customXml/item7.xml"/><Relationship Id="rId37" Type="http://schemas.openxmlformats.org/officeDocument/2006/relationships/customXml" Target="../customXml/item12.xml"/><Relationship Id="rId40" Type="http://schemas.openxmlformats.org/officeDocument/2006/relationships/customXml" Target="../customXml/item15.xml"/><Relationship Id="rId45" Type="http://schemas.openxmlformats.org/officeDocument/2006/relationships/customXml" Target="../customXml/item2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28" Type="http://schemas.openxmlformats.org/officeDocument/2006/relationships/customXml" Target="../customXml/item3.xml"/><Relationship Id="rId36" Type="http://schemas.openxmlformats.org/officeDocument/2006/relationships/customXml" Target="../customXml/item1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31" Type="http://schemas.openxmlformats.org/officeDocument/2006/relationships/customXml" Target="../customXml/item6.xml"/><Relationship Id="rId44" Type="http://schemas.openxmlformats.org/officeDocument/2006/relationships/customXml" Target="../customXml/item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2.xml"/><Relationship Id="rId30" Type="http://schemas.openxmlformats.org/officeDocument/2006/relationships/customXml" Target="../customXml/item5.xml"/><Relationship Id="rId35" Type="http://schemas.openxmlformats.org/officeDocument/2006/relationships/customXml" Target="../customXml/item10.xml"/><Relationship Id="rId43" Type="http://schemas.openxmlformats.org/officeDocument/2006/relationships/customXml" Target="../customXml/item18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33" Type="http://schemas.openxmlformats.org/officeDocument/2006/relationships/customXml" Target="../customXml/item8.xml"/><Relationship Id="rId38" Type="http://schemas.openxmlformats.org/officeDocument/2006/relationships/customXml" Target="../customXml/item13.xml"/><Relationship Id="rId20" Type="http://schemas.openxmlformats.org/officeDocument/2006/relationships/connections" Target="connections.xml"/><Relationship Id="rId41" Type="http://schemas.openxmlformats.org/officeDocument/2006/relationships/customXml" Target="../customXml/item1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C95D9E-67ED-41E0-9F41-9C3DA4ACF4CD}" name="Sites" displayName="Sites" ref="A3:E5" totalsRowShown="0">
  <autoFilter ref="A3:E5" xr:uid="{C9C95D9E-67ED-41E0-9F41-9C3DA4ACF4CD}"/>
  <sortState xmlns:xlrd2="http://schemas.microsoft.com/office/spreadsheetml/2017/richdata2" ref="A4:D5">
    <sortCondition ref="C3:C5"/>
  </sortState>
  <tableColumns count="5">
    <tableColumn id="3" xr3:uid="{3FB6FBC9-911C-415A-89D1-91E602B41CD0}" name="Site DAS Name" dataDxfId="3" dataCellStyle="Normal 2"/>
    <tableColumn id="1" xr3:uid="{9A753695-C18C-437C-AD9C-C2CE5C1A806E}" name="Site" dataDxfId="2" dataCellStyle="Normal 2"/>
    <tableColumn id="2" xr3:uid="{250F229D-34D2-4043-BE8F-6D9C210E223F}" name="State" dataDxfId="1" dataCellStyle="Normal 2"/>
    <tableColumn id="5" xr3:uid="{61DF2E38-E0FD-4D7E-AE61-BDFE8D5E1312}" name="Update" dataDxfId="0"/>
    <tableColumn id="4" xr3:uid="{E086A54F-BF3D-477F-A0D7-706863BF0C38}" name="D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https://us3.assetplanner.com/service_request?ID=092275" TargetMode="External"/><Relationship Id="rId2" Type="http://schemas.openxmlformats.org/officeDocument/2006/relationships/hyperlink" Target="https://us3.assetplanner.com/service_request?ID=091134" TargetMode="External"/><Relationship Id="rId1" Type="http://schemas.openxmlformats.org/officeDocument/2006/relationships/hyperlink" Target="https://us3.assetplanner.com/service_request?ID=096097" TargetMode="External"/><Relationship Id="rId5" Type="http://schemas.openxmlformats.org/officeDocument/2006/relationships/printerSettings" Target="../printerSettings/printerSettings3.bin"/><Relationship Id="rId4" Type="http://schemas.openxmlformats.org/officeDocument/2006/relationships/hyperlink" Target="https://us3.assetplanner.com/service_request?ID=085123" TargetMode="Externa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hyperlink" Target="https://us3.assetplanner.com/service_request?ID=096097" TargetMode="External"/><Relationship Id="rId2" Type="http://schemas.openxmlformats.org/officeDocument/2006/relationships/hyperlink" Target="https://us3.assetplanner.com/service_request?ID=092275" TargetMode="External"/><Relationship Id="rId1" Type="http://schemas.openxmlformats.org/officeDocument/2006/relationships/hyperlink" Target="https://us3.assetplanner.com/service_request?ID=096681" TargetMode="External"/><Relationship Id="rId5" Type="http://schemas.openxmlformats.org/officeDocument/2006/relationships/hyperlink" Target="https://us3.assetplanner.com/service_request?ID=085123" TargetMode="External"/><Relationship Id="rId4" Type="http://schemas.openxmlformats.org/officeDocument/2006/relationships/hyperlink" Target="https://us3.assetplanner.com/service_request?ID=091134" TargetMode="Externa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hyperlink" Target="https://us3.assetplanner.com/service_request?ID=096097" TargetMode="External"/><Relationship Id="rId2" Type="http://schemas.openxmlformats.org/officeDocument/2006/relationships/hyperlink" Target="https://us3.assetplanner.com/service_request?ID=092275" TargetMode="External"/><Relationship Id="rId1" Type="http://schemas.openxmlformats.org/officeDocument/2006/relationships/hyperlink" Target="https://us3.assetplanner.com/service_request?ID=096681" TargetMode="External"/><Relationship Id="rId5" Type="http://schemas.openxmlformats.org/officeDocument/2006/relationships/hyperlink" Target="https://us3.assetplanner.com/service_request?ID=085123" TargetMode="External"/><Relationship Id="rId4" Type="http://schemas.openxmlformats.org/officeDocument/2006/relationships/hyperlink" Target="https://us3.assetplanner.com/service_request?ID=091134" TargetMode="Externa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hyperlink" Target="https://us3.assetplanner.com/service_request?ID=085123" TargetMode="External"/><Relationship Id="rId2" Type="http://schemas.openxmlformats.org/officeDocument/2006/relationships/hyperlink" Target="https://us3.assetplanner.com/service_request?ID=091134" TargetMode="External"/><Relationship Id="rId1" Type="http://schemas.openxmlformats.org/officeDocument/2006/relationships/hyperlink" Target="https://us3.assetplanner.com/service_request?ID=096097" TargetMode="Externa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hyperlink" Target="https://us3.assetplanner.com/service_request?ID=92275" TargetMode="External"/><Relationship Id="rId2" Type="http://schemas.openxmlformats.org/officeDocument/2006/relationships/hyperlink" Target="https://us3.assetplanner.com/service_request?ID=091134" TargetMode="External"/><Relationship Id="rId1" Type="http://schemas.openxmlformats.org/officeDocument/2006/relationships/hyperlink" Target="https://us3.assetplanner.com/service_request?ID=096097" TargetMode="External"/><Relationship Id="rId5" Type="http://schemas.openxmlformats.org/officeDocument/2006/relationships/hyperlink" Target="https://us3.assetplanner.com/service_request?ID=085123" TargetMode="External"/><Relationship Id="rId4" Type="http://schemas.openxmlformats.org/officeDocument/2006/relationships/hyperlink" Target="https://us3.assetplanner.com/service_request?ID=101806" TargetMode="Externa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hyperlink" Target="https://us3.assetplanner.com/service_request?ID=091134" TargetMode="External"/><Relationship Id="rId2" Type="http://schemas.openxmlformats.org/officeDocument/2006/relationships/hyperlink" Target="https://us3.assetplanner.com/service_request?ID=096097" TargetMode="External"/><Relationship Id="rId1" Type="http://schemas.openxmlformats.org/officeDocument/2006/relationships/hyperlink" Target="https://us3.assetplanner.com/service_request?ID=103398" TargetMode="External"/><Relationship Id="rId5" Type="http://schemas.openxmlformats.org/officeDocument/2006/relationships/hyperlink" Target="https://us3.assetplanner.com/service_request?ID=085123" TargetMode="External"/><Relationship Id="rId4" Type="http://schemas.openxmlformats.org/officeDocument/2006/relationships/hyperlink" Target="https://us3.assetplanner.com/service_request?ID=092275" TargetMode="Externa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25034-9971-4A61-864F-C938F31EB1B8}">
  <sheetPr codeName="Sheet1">
    <tabColor rgb="FFFFFF00"/>
    <pageSetUpPr fitToPage="1"/>
  </sheetPr>
  <dimension ref="A1:I319"/>
  <sheetViews>
    <sheetView workbookViewId="0">
      <pane xSplit="2" ySplit="3" topLeftCell="C4" activePane="bottomRight" state="frozen"/>
      <selection pane="bottomRight" activeCell="E21" sqref="E21"/>
      <selection pane="bottomLeft" activeCell="F27" sqref="F27"/>
      <selection pane="topRight" activeCell="F27" sqref="F27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66" t="str" cm="1">
        <f t="array" ref="A1">portfolio</f>
        <v>Solar Income LLC</v>
      </c>
      <c r="B1" s="66"/>
      <c r="C1" s="66"/>
      <c r="D1" s="67" t="s">
        <v>0</v>
      </c>
      <c r="E1" s="67"/>
      <c r="F1" s="67"/>
      <c r="G1" s="65" t="s">
        <v>1</v>
      </c>
      <c r="H1" s="65"/>
      <c r="I1" s="65"/>
    </row>
    <row r="2" spans="1:9" ht="19.5" customHeight="1">
      <c r="A2" s="68" t="s">
        <v>2</v>
      </c>
      <c r="B2" s="68"/>
      <c r="C2" s="5">
        <f>SUM(C4:C77)</f>
        <v>391454.5302468611</v>
      </c>
      <c r="D2" s="5">
        <f>SUM(D4:D77)</f>
        <v>0</v>
      </c>
      <c r="E2" s="5">
        <f>C2-D2</f>
        <v>391454.5302468611</v>
      </c>
      <c r="F2" s="6">
        <f>IFERROR(E2/D2, 0)</f>
        <v>0</v>
      </c>
      <c r="G2" s="5">
        <f>SUM(G4:G77)</f>
        <v>207624.13199999998</v>
      </c>
      <c r="H2" s="7">
        <f>C2-G2</f>
        <v>183830.39824686112</v>
      </c>
      <c r="I2" s="6">
        <f>IFERROR(H2/G2, 0)</f>
        <v>0.88539996038062252</v>
      </c>
    </row>
    <row r="3" spans="1:9" ht="14.25" customHeight="1">
      <c r="A3" s="8" t="s">
        <v>3</v>
      </c>
      <c r="B3" s="8" t="s">
        <v>4</v>
      </c>
      <c r="C3" s="22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</row>
    <row r="4" spans="1:9" ht="15.6">
      <c r="A4" s="43" t="str" cm="1">
        <f t="array" ref="A4:A5">Sites[Site]</f>
        <v>Westbrook - Lee Building 9</v>
      </c>
      <c r="B4" s="30" t="str" cm="1">
        <f t="array" ref="B4:B5">Sites[State]</f>
        <v>CT</v>
      </c>
      <c r="C4" s="23">
        <f>SUM('1st Qtr'!C4, '2nd Qtr'!C4, '3rd Qtr'!C4, '4th Qtr'!C4)</f>
        <v>174964.99016732932</v>
      </c>
      <c r="D4" s="12">
        <f>SUM('1st Qtr'!D4, '2nd Qtr'!D4, '3rd Qtr'!D4, '4th Qtr'!D4)</f>
        <v>0</v>
      </c>
      <c r="E4" s="12">
        <f>IF(AND(ISNUMBER(C4),ISNUMBER(D4)), C4-D4, "")</f>
        <v>174964.99016732932</v>
      </c>
      <c r="F4" s="13" t="str">
        <f>IFERROR(E4/D4, "")</f>
        <v/>
      </c>
      <c r="G4" s="14">
        <f>SUM('1st Qtr'!G4, '2nd Qtr'!G4, '3rd Qtr'!G4, '4th Qtr'!G4)</f>
        <v>0</v>
      </c>
      <c r="H4" s="14">
        <f>SUM('1st Qtr'!H4, '2nd Qtr'!H4, '3rd Qtr'!H4, '4th Qtr'!H4)</f>
        <v>0</v>
      </c>
      <c r="I4" s="15" t="str">
        <f>IFERROR(H4/G4, "")</f>
        <v/>
      </c>
    </row>
    <row r="5" spans="1:9" ht="15.6">
      <c r="A5" s="28" t="str">
        <v>Westbrook - Lee Building 82</v>
      </c>
      <c r="B5" s="28" t="str">
        <v>CT</v>
      </c>
      <c r="C5" s="11">
        <f>SUM('1st Qtr'!C5, '2nd Qtr'!C5, '3rd Qtr'!C5, '4th Qtr'!C5)</f>
        <v>216489.54007953178</v>
      </c>
      <c r="D5" s="17">
        <f>SUM(Jan!D5, Feb!D5, Mar!D5)</f>
        <v>0</v>
      </c>
      <c r="E5" s="17">
        <f t="shared" ref="E5" si="0">IF(AND(ISNUMBER(C5),ISNUMBER(D5)), C5-D5, "")</f>
        <v>216489.54007953178</v>
      </c>
      <c r="F5" s="18" t="str">
        <f>IFERROR(E5/D5, "")</f>
        <v/>
      </c>
      <c r="G5" s="19">
        <f>SUM('1st Qtr'!G5, '2nd Qtr'!G5, '3rd Qtr'!G5, '4th Qtr'!G5)</f>
        <v>207624.13199999998</v>
      </c>
      <c r="H5" s="19">
        <f>SUM(Jan!H5, Feb!H5, Mar!H5)</f>
        <v>5667.8300795317991</v>
      </c>
      <c r="I5" s="18">
        <f>IFERROR(H5/G5, "")</f>
        <v>2.729851306269061E-2</v>
      </c>
    </row>
    <row r="6" spans="1:9" ht="13.9">
      <c r="A6" s="20"/>
      <c r="B6" s="20"/>
      <c r="C6" s="20"/>
      <c r="D6" s="20"/>
      <c r="E6" s="20"/>
      <c r="F6" s="20"/>
      <c r="G6" s="20"/>
      <c r="H6" s="20"/>
      <c r="I6" s="20"/>
    </row>
    <row r="7" spans="1:9" ht="13.9">
      <c r="A7" s="20"/>
      <c r="B7" s="20"/>
      <c r="C7" s="20"/>
      <c r="D7" s="20"/>
      <c r="E7" s="20"/>
      <c r="F7" s="20"/>
      <c r="G7" s="20"/>
      <c r="H7" s="20"/>
      <c r="I7" s="20"/>
    </row>
    <row r="8" spans="1:9" ht="13.9">
      <c r="A8" s="20"/>
      <c r="B8" s="20"/>
      <c r="C8" s="20"/>
      <c r="D8" s="20"/>
      <c r="E8" s="20"/>
      <c r="F8" s="20"/>
      <c r="G8" s="20"/>
      <c r="H8" s="20"/>
      <c r="I8" s="20"/>
    </row>
    <row r="9" spans="1:9" ht="13.9">
      <c r="A9" s="20"/>
      <c r="B9" s="20"/>
      <c r="C9" s="20"/>
      <c r="D9" s="20"/>
      <c r="E9" s="20"/>
      <c r="F9" s="20"/>
      <c r="G9" s="20"/>
      <c r="H9" s="20"/>
      <c r="I9" s="20"/>
    </row>
    <row r="10" spans="1:9" ht="13.9">
      <c r="A10" s="20"/>
      <c r="B10" s="20"/>
      <c r="C10" s="20"/>
      <c r="D10" s="20"/>
      <c r="E10" s="20"/>
      <c r="F10" s="21"/>
      <c r="G10" s="20"/>
      <c r="H10" s="20"/>
      <c r="I10" s="21"/>
    </row>
    <row r="11" spans="1:9" ht="13.9">
      <c r="A11" s="20"/>
      <c r="B11" s="20"/>
      <c r="C11" s="20"/>
      <c r="D11" s="20"/>
      <c r="E11" s="20"/>
      <c r="F11" s="21"/>
      <c r="G11" s="20"/>
      <c r="H11" s="20"/>
      <c r="I11" s="21"/>
    </row>
    <row r="12" spans="1:9" ht="13.9">
      <c r="A12" s="20"/>
      <c r="B12" s="20"/>
      <c r="C12" s="20"/>
      <c r="D12" s="20"/>
      <c r="E12" s="20"/>
      <c r="F12" s="21"/>
      <c r="G12" s="20"/>
      <c r="H12" s="20"/>
      <c r="I12" s="21"/>
    </row>
    <row r="13" spans="1:9" ht="13.9">
      <c r="A13" s="20"/>
      <c r="B13" s="20"/>
      <c r="C13" s="20"/>
      <c r="D13" s="20"/>
      <c r="E13" s="20"/>
      <c r="F13" s="21"/>
      <c r="G13" s="20"/>
      <c r="H13" s="20"/>
      <c r="I13" s="21"/>
    </row>
    <row r="14" spans="1:9" ht="13.9">
      <c r="A14" s="20"/>
      <c r="B14" s="20"/>
      <c r="C14" s="20"/>
      <c r="D14" s="20"/>
      <c r="E14" s="20"/>
      <c r="F14" s="21"/>
      <c r="G14" s="20"/>
      <c r="H14" s="20"/>
      <c r="I14" s="21"/>
    </row>
    <row r="15" spans="1:9" ht="13.9">
      <c r="A15" s="20"/>
      <c r="B15" s="20"/>
      <c r="C15" s="20"/>
      <c r="D15" s="20"/>
      <c r="E15" s="20"/>
      <c r="F15" s="21"/>
      <c r="G15" s="20"/>
      <c r="H15" s="20"/>
      <c r="I15" s="21"/>
    </row>
    <row r="16" spans="1:9" ht="13.9">
      <c r="A16" s="20"/>
      <c r="B16" s="20"/>
      <c r="C16" s="20"/>
      <c r="D16" s="20"/>
      <c r="E16" s="20"/>
      <c r="F16" s="21"/>
      <c r="G16" s="20"/>
      <c r="H16" s="20"/>
      <c r="I16" s="21"/>
    </row>
    <row r="17" spans="1:9" ht="13.9">
      <c r="A17" s="20"/>
      <c r="B17" s="20"/>
      <c r="C17" s="20"/>
      <c r="D17" s="20"/>
      <c r="E17" s="20"/>
      <c r="F17" s="21"/>
      <c r="G17" s="20"/>
      <c r="H17" s="20"/>
      <c r="I17" s="21"/>
    </row>
    <row r="18" spans="1:9" ht="13.9">
      <c r="A18" s="20"/>
      <c r="B18" s="20"/>
      <c r="C18" s="20"/>
      <c r="D18" s="20"/>
      <c r="E18" s="20"/>
      <c r="F18" s="21"/>
      <c r="G18" s="20"/>
      <c r="H18" s="20"/>
      <c r="I18" s="21"/>
    </row>
    <row r="19" spans="1:9" ht="13.9">
      <c r="A19" s="20"/>
      <c r="B19" s="20"/>
      <c r="C19" s="20"/>
      <c r="D19" s="20"/>
      <c r="E19" s="20"/>
      <c r="F19" s="21"/>
      <c r="G19" s="20"/>
      <c r="H19" s="20"/>
      <c r="I19" s="21"/>
    </row>
    <row r="20" spans="1:9" ht="13.9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9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9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9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9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9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9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9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9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9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9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9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9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9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9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9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9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9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9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9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9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9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9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9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9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9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9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9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9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9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9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9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9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9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9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9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9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9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9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9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9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9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9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9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9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9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9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9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9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9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9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9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9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9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9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9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9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9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9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9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9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9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9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9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9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9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9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9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9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9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9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9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9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9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9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9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9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9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9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9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9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9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9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9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9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9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9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9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9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9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9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9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9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9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9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9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9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9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9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9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9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9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9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9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9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9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9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9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9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9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9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9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9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9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9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9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9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9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9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9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9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9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9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9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9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9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9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9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9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9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9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9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9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9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9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9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9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9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9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9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9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9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9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9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9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9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9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9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9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9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9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9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9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9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9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9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9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9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9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9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9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9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9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9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9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9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9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9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9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9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9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9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9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9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9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9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9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9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9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9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9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9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9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9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9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9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9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9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9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9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9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9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9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9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9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9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9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9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9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9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9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9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9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9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9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9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9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9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9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9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9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9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9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9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9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9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9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9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9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9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9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9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9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9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9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9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9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9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9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9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9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9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9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9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9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9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9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9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9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9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9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9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9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9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9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9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9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9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9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9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9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9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9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9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9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9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9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9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9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9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9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9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9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9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9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9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9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9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9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9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9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9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9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9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9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9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9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9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9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9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9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9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9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9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9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9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9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9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9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9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9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9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9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9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9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9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9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9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9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9">
      <c r="A319" s="20"/>
      <c r="B319" s="20"/>
      <c r="C319" s="20"/>
      <c r="D319" s="20"/>
      <c r="E319" s="20"/>
      <c r="F319" s="21"/>
      <c r="G319" s="20"/>
      <c r="H319" s="20"/>
      <c r="I319" s="21"/>
    </row>
  </sheetData>
  <autoFilter ref="A2:I2" xr:uid="{D5C25034-9971-4A61-864F-C938F31EB1B8}"/>
  <mergeCells count="4">
    <mergeCell ref="G1:I1"/>
    <mergeCell ref="A1:C1"/>
    <mergeCell ref="D1:F1"/>
    <mergeCell ref="A2:B2"/>
  </mergeCells>
  <conditionalFormatting sqref="F2 I2 F4:F77 I4:I77">
    <cfRule type="cellIs" dxfId="39" priority="1" stopIfTrue="1" operator="lessThanOrEqual">
      <formula>-0.1</formula>
    </cfRule>
    <cfRule type="expression" dxfId="38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I319"/>
  <sheetViews>
    <sheetView workbookViewId="0">
      <pane xSplit="2" ySplit="3" topLeftCell="C4" activePane="bottomRight" state="frozen"/>
      <selection pane="bottomRight" activeCell="D5" sqref="D5"/>
      <selection pane="bottomLeft" activeCell="C23" sqref="C23"/>
      <selection pane="topRight" activeCell="C23" sqref="C23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66" t="str" cm="1">
        <f t="array" ref="A1">portfolio</f>
        <v>Solar Income LLC</v>
      </c>
      <c r="B1" s="66"/>
      <c r="C1" s="66"/>
      <c r="D1" s="67" t="s">
        <v>10</v>
      </c>
      <c r="E1" s="67"/>
      <c r="F1" s="67"/>
      <c r="G1" s="65" t="s">
        <v>11</v>
      </c>
      <c r="H1" s="65"/>
      <c r="I1" s="65"/>
    </row>
    <row r="2" spans="1:9" ht="19.5" customHeight="1">
      <c r="A2" s="68" t="s">
        <v>2</v>
      </c>
      <c r="B2" s="68"/>
      <c r="C2" s="5">
        <f>SUM(C4:C77)</f>
        <v>161679.8702468611</v>
      </c>
      <c r="D2" s="5">
        <f>SUM(D4:D77)</f>
        <v>0</v>
      </c>
      <c r="E2" s="5">
        <f>C2-D2</f>
        <v>161679.8702468611</v>
      </c>
      <c r="F2" s="6">
        <f>IFERROR(E2/D2, 0)</f>
        <v>0</v>
      </c>
      <c r="G2" s="5">
        <f>SUM(G4:G77)</f>
        <v>85045.15</v>
      </c>
      <c r="H2" s="7">
        <f>C2-G2</f>
        <v>76634.720246861107</v>
      </c>
      <c r="I2" s="6">
        <f>IFERROR(H2/G2, 0)</f>
        <v>0.90110629761792549</v>
      </c>
    </row>
    <row r="3" spans="1:9" ht="14.25" customHeight="1">
      <c r="A3" s="8" t="s">
        <v>3</v>
      </c>
      <c r="B3" s="8" t="s">
        <v>4</v>
      </c>
      <c r="C3" s="22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</row>
    <row r="4" spans="1:9" ht="15.6">
      <c r="A4" s="44" t="str" cm="1">
        <f t="array" ref="A4:A5">Sites[Site]</f>
        <v>Westbrook - Lee Building 9</v>
      </c>
      <c r="B4" s="9" t="str" cm="1">
        <f t="array" ref="B4:B5">Sites[State]</f>
        <v>CT</v>
      </c>
      <c r="C4" s="23">
        <f>SUM(Jan!C4, Feb!C4, Mar!C4)</f>
        <v>70966.8901673293</v>
      </c>
      <c r="D4" s="12">
        <f>SUM(Jan!D4, Feb!D4, Mar!D4)</f>
        <v>0</v>
      </c>
      <c r="E4" s="12">
        <f>IF(AND(ISNUMBER(C4),ISNUMBER(D4)), C4-D4, "")</f>
        <v>70966.8901673293</v>
      </c>
      <c r="F4" s="13" t="str">
        <f>IFERROR(E4/D4, "")</f>
        <v/>
      </c>
      <c r="G4" s="14">
        <f>SUM(Jan!G4, Feb!G4, Mar!G4)</f>
        <v>0</v>
      </c>
      <c r="H4" s="14">
        <f>SUM(Jan!H4, Feb!H4, Mar!H4)</f>
        <v>0</v>
      </c>
      <c r="I4" s="15" t="str">
        <f>IFERROR(H4/G4, "")</f>
        <v/>
      </c>
    </row>
    <row r="5" spans="1:9" ht="15.6">
      <c r="A5" s="16" t="str">
        <v>Westbrook - Lee Building 82</v>
      </c>
      <c r="B5" s="10" t="str">
        <v>CT</v>
      </c>
      <c r="C5" s="11">
        <f>SUM(Jan!C5, Feb!C5, Mar!C5)</f>
        <v>90712.980079531801</v>
      </c>
      <c r="D5" s="17">
        <f>SUM(Jan!D5, Feb!D5, Mar!D5)</f>
        <v>0</v>
      </c>
      <c r="E5" s="17">
        <f t="shared" ref="E5" si="0">IF(AND(ISNUMBER(C5),ISNUMBER(D5)), C5-D5, "")</f>
        <v>90712.980079531801</v>
      </c>
      <c r="F5" s="18" t="str">
        <f>IFERROR(E5/D5, "")</f>
        <v/>
      </c>
      <c r="G5" s="19">
        <f>SUM(Jan!G5, Feb!G5, Mar!G5)</f>
        <v>85045.15</v>
      </c>
      <c r="H5" s="19">
        <f>SUM(Jan!H5, Feb!H5, Mar!H5)</f>
        <v>5667.8300795317991</v>
      </c>
      <c r="I5" s="18">
        <f>IFERROR(H5/G5, "")</f>
        <v>6.6644953645584717E-2</v>
      </c>
    </row>
    <row r="6" spans="1:9" ht="13.9">
      <c r="A6" s="20"/>
      <c r="B6" s="20"/>
      <c r="C6" s="20"/>
      <c r="D6" s="20"/>
      <c r="E6" s="20"/>
      <c r="F6" s="20"/>
      <c r="G6" s="20"/>
      <c r="H6" s="20"/>
      <c r="I6" s="20"/>
    </row>
    <row r="7" spans="1:9" ht="13.9">
      <c r="A7" s="20"/>
      <c r="B7" s="20"/>
      <c r="C7" s="20"/>
      <c r="D7" s="20"/>
      <c r="E7" s="20"/>
      <c r="F7" s="20"/>
      <c r="G7" s="20"/>
      <c r="H7" s="20"/>
      <c r="I7" s="20"/>
    </row>
    <row r="8" spans="1:9" ht="13.9">
      <c r="A8" s="20"/>
      <c r="B8" s="20"/>
      <c r="C8" s="20"/>
      <c r="D8" s="20"/>
      <c r="E8" s="20"/>
      <c r="F8" s="20"/>
      <c r="G8" s="20"/>
      <c r="H8" s="20"/>
      <c r="I8" s="20"/>
    </row>
    <row r="9" spans="1:9" ht="13.9">
      <c r="A9" s="20"/>
      <c r="B9" s="20"/>
      <c r="C9" s="20"/>
      <c r="D9" s="20"/>
      <c r="E9" s="20"/>
      <c r="F9" s="20"/>
      <c r="G9" s="20"/>
      <c r="H9" s="20"/>
      <c r="I9" s="20"/>
    </row>
    <row r="10" spans="1:9" ht="13.9">
      <c r="A10" s="20"/>
      <c r="B10" s="20"/>
      <c r="C10" s="20"/>
      <c r="D10" s="20"/>
      <c r="E10" s="20"/>
      <c r="F10" s="21"/>
      <c r="G10" s="20"/>
      <c r="H10" s="20"/>
      <c r="I10" s="21"/>
    </row>
    <row r="11" spans="1:9" ht="13.9">
      <c r="A11" s="20"/>
      <c r="B11" s="20"/>
      <c r="C11" s="20"/>
      <c r="D11" s="20"/>
      <c r="E11" s="20"/>
      <c r="F11" s="21"/>
      <c r="G11" s="20"/>
      <c r="H11" s="20"/>
      <c r="I11" s="21"/>
    </row>
    <row r="12" spans="1:9" ht="13.9">
      <c r="A12" s="20"/>
      <c r="B12" s="20"/>
      <c r="C12" s="20"/>
      <c r="D12" s="20"/>
      <c r="E12" s="20"/>
      <c r="F12" s="21"/>
      <c r="G12" s="20"/>
      <c r="H12" s="20"/>
      <c r="I12" s="21"/>
    </row>
    <row r="13" spans="1:9" ht="13.9">
      <c r="A13" s="20"/>
      <c r="B13" s="20"/>
      <c r="C13" s="20"/>
      <c r="D13" s="20"/>
      <c r="E13" s="20"/>
      <c r="F13" s="21"/>
      <c r="G13" s="20"/>
      <c r="H13" s="20"/>
      <c r="I13" s="21"/>
    </row>
    <row r="14" spans="1:9" ht="13.9">
      <c r="A14" s="20"/>
      <c r="B14" s="20"/>
      <c r="C14" s="20"/>
      <c r="D14" s="20"/>
      <c r="E14" s="20"/>
      <c r="F14" s="21"/>
      <c r="G14" s="20"/>
      <c r="H14" s="20"/>
      <c r="I14" s="21"/>
    </row>
    <row r="15" spans="1:9" ht="13.9">
      <c r="A15" s="20"/>
      <c r="B15" s="20"/>
      <c r="C15" s="20"/>
      <c r="D15" s="20"/>
      <c r="E15" s="20"/>
      <c r="F15" s="21"/>
      <c r="G15" s="20"/>
      <c r="H15" s="20"/>
      <c r="I15" s="21"/>
    </row>
    <row r="16" spans="1:9" ht="13.9">
      <c r="A16" s="20"/>
      <c r="B16" s="20"/>
      <c r="C16" s="20"/>
      <c r="D16" s="20"/>
      <c r="E16" s="20"/>
      <c r="F16" s="21"/>
      <c r="G16" s="20"/>
      <c r="H16" s="20"/>
      <c r="I16" s="21"/>
    </row>
    <row r="17" spans="1:9" ht="13.9">
      <c r="A17" s="20"/>
      <c r="B17" s="20"/>
      <c r="C17" s="20"/>
      <c r="D17" s="20"/>
      <c r="E17" s="20"/>
      <c r="F17" s="21"/>
      <c r="G17" s="20"/>
      <c r="H17" s="20"/>
      <c r="I17" s="21"/>
    </row>
    <row r="18" spans="1:9" ht="13.9">
      <c r="A18" s="20"/>
      <c r="B18" s="20"/>
      <c r="C18" s="20"/>
      <c r="D18" s="20"/>
      <c r="E18" s="20"/>
      <c r="F18" s="21"/>
      <c r="G18" s="20"/>
      <c r="H18" s="20"/>
      <c r="I18" s="21"/>
    </row>
    <row r="19" spans="1:9" ht="13.9">
      <c r="A19" s="20"/>
      <c r="B19" s="20"/>
      <c r="C19" s="20"/>
      <c r="D19" s="20"/>
      <c r="E19" s="20"/>
      <c r="F19" s="21"/>
      <c r="G19" s="20"/>
      <c r="H19" s="20"/>
      <c r="I19" s="21"/>
    </row>
    <row r="20" spans="1:9" ht="13.9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9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9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9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9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9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9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9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9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9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9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9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9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9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9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9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9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9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9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9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9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9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9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9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9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9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9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9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9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9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9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9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9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9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9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9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9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9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9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9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9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9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9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9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9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9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9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9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9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9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9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9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9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9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9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9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9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9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9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9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9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9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9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9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9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9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9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9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9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9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9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9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9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9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9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9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9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9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9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9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9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9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9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9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9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9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9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9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9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9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9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9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9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9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9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9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9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9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9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9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9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9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9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9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9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9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9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9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9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9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9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9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9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9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9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9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9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9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9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9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9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9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9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9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9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9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9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9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9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9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9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9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9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9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9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9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9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9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9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9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9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9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9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9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9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9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9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9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9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9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9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9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9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9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9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9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9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9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9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9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9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9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9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9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9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9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9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9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9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9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9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9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9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9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9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9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9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9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9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9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9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9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9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9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9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9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9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9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9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9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9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9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9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9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9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9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9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9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9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9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9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9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9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9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9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9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9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9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9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9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9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9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9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9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9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9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9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9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9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9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9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9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9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9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9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9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9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9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9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9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9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9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9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9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9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9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9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9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9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9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9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9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9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9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9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9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9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9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9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9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9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9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9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9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9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9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9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9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9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9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9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9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9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9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9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9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9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9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9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9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9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9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9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9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9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9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9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9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9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9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9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9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9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9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9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9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9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9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9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9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9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9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9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9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9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9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9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9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9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9">
      <c r="A319" s="20"/>
      <c r="B319" s="20"/>
      <c r="C319" s="20"/>
      <c r="D319" s="20"/>
      <c r="E319" s="20"/>
      <c r="F319" s="21"/>
      <c r="G319" s="20"/>
      <c r="H319" s="20"/>
      <c r="I319" s="21"/>
    </row>
  </sheetData>
  <sortState xmlns:xlrd2="http://schemas.microsoft.com/office/spreadsheetml/2017/richdata2" ref="A3:I3">
    <sortCondition ref="A3"/>
  </sortState>
  <mergeCells count="4">
    <mergeCell ref="G1:I1"/>
    <mergeCell ref="A1:C1"/>
    <mergeCell ref="D1:F1"/>
    <mergeCell ref="A2:B2"/>
  </mergeCells>
  <conditionalFormatting sqref="F2 I2 F4:F77 I4:I77">
    <cfRule type="cellIs" dxfId="37" priority="1" stopIfTrue="1" operator="lessThanOrEqual">
      <formula>-0.1</formula>
    </cfRule>
    <cfRule type="expression" dxfId="36" priority="2">
      <formula>AND(ISNUMBER(F2), F2&gt;=0.1)</formula>
    </cfRule>
  </conditionalFormatting>
  <pageMargins left="0.4" right="0.7" top="0.25" bottom="0.25" header="0.3" footer="0.3"/>
  <pageSetup scale="73" fitToHeight="9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74E64-E3A4-43F8-9B1A-78F26543F23E}">
  <sheetPr codeName="Sheet3">
    <pageSetUpPr fitToPage="1"/>
  </sheetPr>
  <dimension ref="A1:I319"/>
  <sheetViews>
    <sheetView workbookViewId="0">
      <pane xSplit="2" ySplit="3" topLeftCell="C4" activePane="bottomRight" state="frozen"/>
      <selection pane="bottomRight" activeCell="H20" sqref="H20"/>
      <selection pane="bottomLeft" activeCell="C23" sqref="C23"/>
      <selection pane="topRight" activeCell="C23" sqref="C23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66" t="str" cm="1">
        <f t="array" ref="A1">portfolio</f>
        <v>Solar Income LLC</v>
      </c>
      <c r="B1" s="66"/>
      <c r="C1" s="66"/>
      <c r="D1" s="67" t="s">
        <v>12</v>
      </c>
      <c r="E1" s="67"/>
      <c r="F1" s="67"/>
      <c r="G1" s="65" t="s">
        <v>13</v>
      </c>
      <c r="H1" s="65"/>
      <c r="I1" s="65"/>
    </row>
    <row r="2" spans="1:9" ht="19.5" customHeight="1">
      <c r="A2" s="68" t="s">
        <v>2</v>
      </c>
      <c r="B2" s="68"/>
      <c r="C2" s="5">
        <f>SUM(C4:C77)</f>
        <v>229774.66</v>
      </c>
      <c r="D2" s="5">
        <f>SUM(D4:D77)</f>
        <v>0</v>
      </c>
      <c r="E2" s="5">
        <f>C2-D2</f>
        <v>229774.66</v>
      </c>
      <c r="F2" s="6">
        <f>IFERROR(E2/D2, 0)</f>
        <v>0</v>
      </c>
      <c r="G2" s="5">
        <f>SUM(G4:G77)</f>
        <v>122578.98199999999</v>
      </c>
      <c r="H2" s="7">
        <f>C2-G2</f>
        <v>107195.67800000001</v>
      </c>
      <c r="I2" s="6">
        <f>IFERROR(H2/G2, 0)</f>
        <v>0.87450292253202122</v>
      </c>
    </row>
    <row r="3" spans="1:9" ht="14.25" customHeight="1">
      <c r="A3" s="8" t="s">
        <v>3</v>
      </c>
      <c r="B3" s="8" t="s">
        <v>4</v>
      </c>
      <c r="C3" s="22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</row>
    <row r="4" spans="1:9" ht="15.6">
      <c r="A4" s="44" t="str" cm="1">
        <f t="array" ref="A4:A5">Sites[Site]</f>
        <v>Westbrook - Lee Building 9</v>
      </c>
      <c r="B4" s="9" t="str" cm="1">
        <f t="array" ref="B4:B5">Sites[State]</f>
        <v>CT</v>
      </c>
      <c r="C4" s="23">
        <f>SUM(Apr!C4, May!C4, Jun!C4)</f>
        <v>103998.1</v>
      </c>
      <c r="D4" s="12">
        <f>SUM(Apr!D4, May!D4, Jun!D4)</f>
        <v>0</v>
      </c>
      <c r="E4" s="12">
        <f>IF(AND(ISNUMBER(C4),ISNUMBER(D4)), C4-D4, "")</f>
        <v>103998.1</v>
      </c>
      <c r="F4" s="13" t="str">
        <f>IFERROR(E4/D4, "")</f>
        <v/>
      </c>
      <c r="G4" s="14">
        <f>SUM(Apr!G4,May!G4,Jun!G4)</f>
        <v>0</v>
      </c>
      <c r="H4" s="14">
        <f>SUM(Apr!H4, May!H4, Jun!H4)</f>
        <v>0</v>
      </c>
      <c r="I4" s="15" t="str">
        <f>IFERROR(H4/G4, "")</f>
        <v/>
      </c>
    </row>
    <row r="5" spans="1:9" ht="15.6">
      <c r="A5" s="16" t="str">
        <v>Westbrook - Lee Building 82</v>
      </c>
      <c r="B5" s="10" t="str">
        <v>CT</v>
      </c>
      <c r="C5" s="11">
        <f>SUM(Apr!C5, May!C5, Jun!C5)</f>
        <v>125776.56</v>
      </c>
      <c r="D5" s="17">
        <f>SUM(Apr!D5, May!D5, Jun!D5)</f>
        <v>0</v>
      </c>
      <c r="E5" s="17">
        <f t="shared" ref="E5" si="0">IF(AND(ISNUMBER(C5),ISNUMBER(D5)), C5-D5, "")</f>
        <v>125776.56</v>
      </c>
      <c r="F5" s="18" t="str">
        <f>IFERROR(E5/D5, "")</f>
        <v/>
      </c>
      <c r="G5" s="17">
        <f>SUM(Apr!G5,May!G5,Jun!G5)</f>
        <v>122578.98199999999</v>
      </c>
      <c r="H5" s="19">
        <f>SUM(Apr!H5, May!H5, Jun!H5)</f>
        <v>3197.5779999999941</v>
      </c>
      <c r="I5" s="18">
        <f>IFERROR(H5/G5, "")</f>
        <v>2.6085858667026573E-2</v>
      </c>
    </row>
    <row r="6" spans="1:9" ht="13.9">
      <c r="A6" s="20"/>
      <c r="B6" s="20"/>
      <c r="C6" s="20"/>
      <c r="D6" s="20"/>
      <c r="E6" s="20"/>
      <c r="F6" s="20"/>
      <c r="G6" s="20"/>
      <c r="H6" s="20"/>
      <c r="I6" s="20"/>
    </row>
    <row r="7" spans="1:9" ht="13.9">
      <c r="A7" s="20"/>
      <c r="B7" s="20"/>
      <c r="C7" s="20"/>
      <c r="D7" s="20"/>
      <c r="E7" s="20"/>
      <c r="F7" s="20"/>
      <c r="G7" s="20"/>
      <c r="H7" s="20"/>
      <c r="I7" s="20"/>
    </row>
    <row r="8" spans="1:9" ht="13.9">
      <c r="A8" s="20"/>
      <c r="B8" s="20"/>
      <c r="C8" s="20"/>
      <c r="D8" s="20"/>
      <c r="E8" s="20"/>
      <c r="F8" s="20"/>
      <c r="G8" s="20"/>
      <c r="H8" s="20"/>
      <c r="I8" s="20"/>
    </row>
    <row r="9" spans="1:9" ht="13.9">
      <c r="A9" s="20"/>
      <c r="B9" s="20"/>
      <c r="C9" s="20"/>
      <c r="D9" s="20"/>
      <c r="E9" s="20"/>
      <c r="F9" s="20"/>
      <c r="G9" s="20"/>
      <c r="H9" s="20"/>
      <c r="I9" s="20"/>
    </row>
    <row r="10" spans="1:9" ht="13.9">
      <c r="A10" s="20"/>
      <c r="B10" s="20"/>
      <c r="C10" s="20"/>
      <c r="D10" s="20"/>
      <c r="E10" s="20"/>
      <c r="F10" s="21"/>
      <c r="G10" s="20"/>
      <c r="H10" s="20"/>
      <c r="I10" s="21"/>
    </row>
    <row r="11" spans="1:9" ht="13.9">
      <c r="A11" s="20"/>
      <c r="B11" s="20"/>
      <c r="C11" s="20"/>
      <c r="D11" s="20"/>
      <c r="E11" s="20"/>
      <c r="F11" s="21"/>
      <c r="G11" s="20"/>
      <c r="H11" s="20"/>
      <c r="I11" s="21"/>
    </row>
    <row r="12" spans="1:9" ht="13.9">
      <c r="A12" s="20"/>
      <c r="B12" s="20"/>
      <c r="C12" s="20"/>
      <c r="D12" s="20"/>
      <c r="E12" s="20"/>
      <c r="F12" s="21"/>
      <c r="G12" s="20"/>
      <c r="H12" s="20"/>
      <c r="I12" s="21"/>
    </row>
    <row r="13" spans="1:9" ht="13.9">
      <c r="A13" s="20"/>
      <c r="B13" s="20"/>
      <c r="C13" s="20"/>
      <c r="D13" s="20"/>
      <c r="E13" s="20"/>
      <c r="F13" s="21"/>
      <c r="G13" s="20"/>
      <c r="H13" s="20"/>
      <c r="I13" s="21"/>
    </row>
    <row r="14" spans="1:9" ht="13.9">
      <c r="A14" s="20"/>
      <c r="B14" s="20"/>
      <c r="C14" s="20"/>
      <c r="D14" s="20"/>
      <c r="E14" s="20"/>
      <c r="F14" s="21"/>
      <c r="G14" s="20"/>
      <c r="H14" s="20"/>
      <c r="I14" s="21"/>
    </row>
    <row r="15" spans="1:9" ht="13.9">
      <c r="A15" s="20"/>
      <c r="B15" s="20"/>
      <c r="C15" s="20"/>
      <c r="D15" s="20"/>
      <c r="E15" s="20"/>
      <c r="F15" s="21"/>
      <c r="G15" s="20"/>
      <c r="H15" s="20"/>
      <c r="I15" s="21"/>
    </row>
    <row r="16" spans="1:9" ht="13.9">
      <c r="A16" s="20"/>
      <c r="B16" s="20"/>
      <c r="C16" s="20"/>
      <c r="D16" s="20"/>
      <c r="E16" s="20"/>
      <c r="F16" s="21"/>
      <c r="G16" s="20"/>
      <c r="H16" s="20"/>
      <c r="I16" s="21"/>
    </row>
    <row r="17" spans="1:9" ht="13.9">
      <c r="A17" s="20"/>
      <c r="B17" s="20"/>
      <c r="C17" s="20"/>
      <c r="D17" s="20"/>
      <c r="E17" s="20"/>
      <c r="F17" s="21"/>
      <c r="G17" s="20"/>
      <c r="H17" s="20"/>
      <c r="I17" s="21"/>
    </row>
    <row r="18" spans="1:9" ht="13.9">
      <c r="A18" s="20"/>
      <c r="B18" s="20"/>
      <c r="C18" s="20"/>
      <c r="D18" s="20"/>
      <c r="E18" s="20"/>
      <c r="F18" s="21"/>
      <c r="G18" s="20"/>
      <c r="H18" s="20"/>
      <c r="I18" s="21"/>
    </row>
    <row r="19" spans="1:9" ht="13.9">
      <c r="A19" s="20"/>
      <c r="B19" s="20"/>
      <c r="C19" s="20"/>
      <c r="D19" s="20"/>
      <c r="E19" s="20"/>
      <c r="F19" s="21"/>
      <c r="G19" s="20"/>
      <c r="H19" s="20"/>
      <c r="I19" s="21"/>
    </row>
    <row r="20" spans="1:9" ht="13.9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9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9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9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9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9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9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9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9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9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9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9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9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9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9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9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9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9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9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9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9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9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9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9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9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9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9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9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9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9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9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9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9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9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9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9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9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9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9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9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9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9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9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9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9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9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9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9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9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9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9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9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9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9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9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9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9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9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9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9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9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9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9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9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9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9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9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9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9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9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9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9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9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9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9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9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9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9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9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9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9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9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9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9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9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9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9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9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9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9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9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9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9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9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9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9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9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9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9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9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9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9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9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9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9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9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9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9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9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9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9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9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9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9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9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9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9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9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9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9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9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9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9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9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9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9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9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9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9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9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9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9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9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9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9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9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9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9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9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9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9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9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9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9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9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9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9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9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9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9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9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9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9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9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9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9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9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9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9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9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9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9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9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9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9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9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9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9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9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9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9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9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9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9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9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9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9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9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9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9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9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9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9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9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9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9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9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9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9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9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9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9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9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9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9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9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9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9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9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9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9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9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9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9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9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9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9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9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9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9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9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9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9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9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9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9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9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9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9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9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9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9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9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9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9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9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9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9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9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9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9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9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9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9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9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9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9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9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9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9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9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9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9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9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9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9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9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9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9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9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9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9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9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9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9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9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9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9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9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9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9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9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9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9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9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9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9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9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9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9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9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9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9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9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9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9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9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9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9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9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9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9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9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9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9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9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9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9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9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9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9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9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9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9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9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9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9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9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9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9">
      <c r="A319" s="20"/>
      <c r="B319" s="20"/>
      <c r="C319" s="20"/>
      <c r="D319" s="20"/>
      <c r="E319" s="20"/>
      <c r="F319" s="21"/>
      <c r="G319" s="20"/>
      <c r="H319" s="20"/>
      <c r="I319" s="21"/>
    </row>
  </sheetData>
  <sortState xmlns:xlrd2="http://schemas.microsoft.com/office/spreadsheetml/2017/richdata2" ref="A3:I4">
    <sortCondition ref="A3:A4"/>
  </sortState>
  <mergeCells count="4">
    <mergeCell ref="G1:I1"/>
    <mergeCell ref="A1:C1"/>
    <mergeCell ref="D1:F1"/>
    <mergeCell ref="A2:B2"/>
  </mergeCells>
  <conditionalFormatting sqref="F2 I2 F4:F77 I4:I77">
    <cfRule type="cellIs" dxfId="35" priority="1" stopIfTrue="1" operator="lessThanOrEqual">
      <formula>-0.1</formula>
    </cfRule>
    <cfRule type="expression" dxfId="34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FAF7D-C0A7-49C0-9FFC-8D8BC8F00BC8}">
  <sheetPr codeName="Sheet4">
    <pageSetUpPr fitToPage="1"/>
  </sheetPr>
  <dimension ref="A1:I319"/>
  <sheetViews>
    <sheetView workbookViewId="0">
      <pane xSplit="2" ySplit="3" topLeftCell="C4" activePane="bottomRight" state="frozen"/>
      <selection pane="bottomRight" activeCell="C5" sqref="C5"/>
      <selection pane="bottomLeft" activeCell="C23" sqref="C23"/>
      <selection pane="topRight" activeCell="C23" sqref="C23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66" t="str" cm="1">
        <f t="array" ref="A1">portfolio</f>
        <v>Solar Income LLC</v>
      </c>
      <c r="B1" s="66"/>
      <c r="C1" s="66"/>
      <c r="D1" s="67" t="s">
        <v>14</v>
      </c>
      <c r="E1" s="67"/>
      <c r="F1" s="67"/>
      <c r="G1" s="65" t="s">
        <v>15</v>
      </c>
      <c r="H1" s="65"/>
      <c r="I1" s="65"/>
    </row>
    <row r="2" spans="1:9" ht="19.5" customHeight="1">
      <c r="A2" s="68" t="s">
        <v>2</v>
      </c>
      <c r="B2" s="68"/>
      <c r="C2" s="5">
        <f>SUM(C4:C77)</f>
        <v>0</v>
      </c>
      <c r="D2" s="5">
        <f>SUM(D4:D77)</f>
        <v>0</v>
      </c>
      <c r="E2" s="5">
        <f>C2-D2</f>
        <v>0</v>
      </c>
      <c r="F2" s="6">
        <f>IFERROR(E2/D2, 0)</f>
        <v>0</v>
      </c>
      <c r="G2" s="5">
        <f>SUM(G4:G77)</f>
        <v>0</v>
      </c>
      <c r="H2" s="7">
        <f>C2-G2</f>
        <v>0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22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</row>
    <row r="4" spans="1:9" ht="15.6">
      <c r="A4" s="44" t="str" cm="1">
        <f t="array" ref="A4:A5">Sites[Site]</f>
        <v>Westbrook - Lee Building 9</v>
      </c>
      <c r="B4" s="9" t="str" cm="1">
        <f t="array" ref="B4:B5">Sites[State]</f>
        <v>CT</v>
      </c>
      <c r="C4" s="23">
        <f>SUM(Jul!C4, Aug!C4, Sep!C4)</f>
        <v>0</v>
      </c>
      <c r="D4" s="12">
        <f>SUM(Jul!D4, Aug!D4, Sep!D4)</f>
        <v>0</v>
      </c>
      <c r="E4" s="12">
        <f>IF(AND(ISNUMBER(C4),ISNUMBER(D4)), C4-D4, "")</f>
        <v>0</v>
      </c>
      <c r="F4" s="13" t="str">
        <f>IFERROR(E4/D4, "")</f>
        <v/>
      </c>
      <c r="G4" s="14">
        <f>SUM(Jul!G4,Aug!G4,Sep!G4)</f>
        <v>0</v>
      </c>
      <c r="H4" s="14">
        <f>SUM(Jul!H4, Aug!H4, Sep!H4)</f>
        <v>0</v>
      </c>
      <c r="I4" s="15" t="str">
        <f>IFERROR(H4/G4, "")</f>
        <v/>
      </c>
    </row>
    <row r="5" spans="1:9" ht="15.6">
      <c r="A5" s="16" t="str">
        <v>Westbrook - Lee Building 82</v>
      </c>
      <c r="B5" s="10" t="str">
        <v>CT</v>
      </c>
      <c r="C5" s="11">
        <f>SUM(Jul!C5, Aug!C5, Sep!C5)</f>
        <v>0</v>
      </c>
      <c r="D5" s="17">
        <f>SUM(Jul!D5, Aug!D5, Sep!D5)</f>
        <v>0</v>
      </c>
      <c r="E5" s="17">
        <f t="shared" ref="E5" si="0">IF(AND(ISNUMBER(C5),ISNUMBER(D5)), C5-D5, "")</f>
        <v>0</v>
      </c>
      <c r="F5" s="18" t="str">
        <f>IFERROR(E5/D5, "")</f>
        <v/>
      </c>
      <c r="G5" s="17">
        <f>SUM(Jul!G5,Aug!G5,Sep!G5)</f>
        <v>0</v>
      </c>
      <c r="H5" s="19">
        <f>SUM(Jul!H5, Aug!H5, Sep!H5)</f>
        <v>0</v>
      </c>
      <c r="I5" s="18" t="str">
        <f>IFERROR(H5/G5, "")</f>
        <v/>
      </c>
    </row>
    <row r="6" spans="1:9" ht="15.6">
      <c r="A6" s="16"/>
      <c r="B6" s="20"/>
      <c r="C6" s="20"/>
      <c r="D6" s="20"/>
      <c r="E6" s="20"/>
      <c r="F6" s="20"/>
      <c r="G6" s="20"/>
      <c r="H6" s="20"/>
      <c r="I6" s="20"/>
    </row>
    <row r="7" spans="1:9" ht="15.6">
      <c r="A7" s="16"/>
      <c r="B7" s="20"/>
      <c r="C7" s="20"/>
      <c r="D7" s="20"/>
      <c r="E7" s="20"/>
      <c r="F7" s="20"/>
      <c r="G7" s="20"/>
      <c r="H7" s="20"/>
      <c r="I7" s="20"/>
    </row>
    <row r="8" spans="1:9" ht="15.6">
      <c r="A8" s="16"/>
      <c r="B8" s="20"/>
      <c r="C8" s="20"/>
      <c r="D8" s="20"/>
      <c r="E8" s="20"/>
      <c r="F8" s="20"/>
      <c r="G8" s="20"/>
      <c r="H8" s="20"/>
      <c r="I8" s="20"/>
    </row>
    <row r="9" spans="1:9" ht="13.9">
      <c r="A9" s="20"/>
      <c r="B9" s="20"/>
      <c r="C9" s="20"/>
      <c r="D9" s="20"/>
      <c r="E9" s="20"/>
      <c r="F9" s="20"/>
      <c r="G9" s="20"/>
      <c r="H9" s="20"/>
      <c r="I9" s="20"/>
    </row>
    <row r="10" spans="1:9" ht="13.9">
      <c r="A10" s="20"/>
      <c r="B10" s="20"/>
      <c r="C10" s="20"/>
      <c r="D10" s="20"/>
      <c r="E10" s="20"/>
      <c r="F10" s="21"/>
      <c r="G10" s="20"/>
      <c r="H10" s="20"/>
      <c r="I10" s="21"/>
    </row>
    <row r="11" spans="1:9" ht="13.9">
      <c r="A11" s="20"/>
      <c r="B11" s="20"/>
      <c r="C11" s="20"/>
      <c r="D11" s="20"/>
      <c r="E11" s="20"/>
      <c r="F11" s="21"/>
      <c r="G11" s="20"/>
      <c r="H11" s="20"/>
      <c r="I11" s="21"/>
    </row>
    <row r="12" spans="1:9" ht="13.9">
      <c r="A12" s="20"/>
      <c r="B12" s="20"/>
      <c r="C12" s="20"/>
      <c r="D12" s="20"/>
      <c r="E12" s="20"/>
      <c r="F12" s="21"/>
      <c r="G12" s="20"/>
      <c r="H12" s="20"/>
      <c r="I12" s="21"/>
    </row>
    <row r="13" spans="1:9" ht="13.9">
      <c r="A13" s="20"/>
      <c r="B13" s="20"/>
      <c r="C13" s="20"/>
      <c r="D13" s="20"/>
      <c r="E13" s="20"/>
      <c r="F13" s="21"/>
      <c r="G13" s="20"/>
      <c r="H13" s="20"/>
      <c r="I13" s="21"/>
    </row>
    <row r="14" spans="1:9" ht="13.9">
      <c r="A14" s="20"/>
      <c r="B14" s="20"/>
      <c r="C14" s="20"/>
      <c r="D14" s="20"/>
      <c r="E14" s="20"/>
      <c r="F14" s="21"/>
      <c r="G14" s="20"/>
      <c r="H14" s="20"/>
      <c r="I14" s="21"/>
    </row>
    <row r="15" spans="1:9" ht="13.9">
      <c r="A15" s="20"/>
      <c r="B15" s="20"/>
      <c r="C15" s="20"/>
      <c r="D15" s="20"/>
      <c r="E15" s="20"/>
      <c r="F15" s="21"/>
      <c r="G15" s="20"/>
      <c r="H15" s="20"/>
      <c r="I15" s="21"/>
    </row>
    <row r="16" spans="1:9" ht="13.9">
      <c r="A16" s="20"/>
      <c r="B16" s="20"/>
      <c r="C16" s="20"/>
      <c r="D16" s="20"/>
      <c r="E16" s="20"/>
      <c r="F16" s="21"/>
      <c r="G16" s="20"/>
      <c r="H16" s="20"/>
      <c r="I16" s="21"/>
    </row>
    <row r="17" spans="1:9" ht="13.9">
      <c r="A17" s="20"/>
      <c r="B17" s="20"/>
      <c r="C17" s="20"/>
      <c r="D17" s="20"/>
      <c r="E17" s="20"/>
      <c r="F17" s="21"/>
      <c r="G17" s="20"/>
      <c r="H17" s="20"/>
      <c r="I17" s="21"/>
    </row>
    <row r="18" spans="1:9" ht="13.9">
      <c r="A18" s="20"/>
      <c r="B18" s="20"/>
      <c r="C18" s="20"/>
      <c r="D18" s="20"/>
      <c r="E18" s="20"/>
      <c r="F18" s="21"/>
      <c r="G18" s="20"/>
      <c r="H18" s="20"/>
      <c r="I18" s="21"/>
    </row>
    <row r="19" spans="1:9" ht="13.9">
      <c r="A19" s="20"/>
      <c r="B19" s="20"/>
      <c r="C19" s="20"/>
      <c r="D19" s="20"/>
      <c r="E19" s="20"/>
      <c r="F19" s="21"/>
      <c r="G19" s="20"/>
      <c r="H19" s="20"/>
      <c r="I19" s="21"/>
    </row>
    <row r="20" spans="1:9" ht="13.9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9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9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9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9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9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9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9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9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9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9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9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9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9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9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9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9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9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9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9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9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9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9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9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9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9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9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9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9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9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9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9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9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9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9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9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9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9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9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9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9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9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9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9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9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9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9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9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9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9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9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9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9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9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9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9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9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9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9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9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9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9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9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9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9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9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9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9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9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9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9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9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9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9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9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9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9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9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9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9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9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9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9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9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9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9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9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9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9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9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9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9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9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9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9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9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9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9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9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9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9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9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9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9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9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9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9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9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9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9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9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9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9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9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9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9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9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9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9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9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9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9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9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9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9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9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9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9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9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9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9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9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9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9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9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9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9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9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9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9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9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9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9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9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9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9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9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9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9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9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9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9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9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9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9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9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9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9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9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9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9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9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9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9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9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9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9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9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9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9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9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9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9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9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9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9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9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9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9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9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9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9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9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9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9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9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9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9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9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9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9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9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9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9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9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9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9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9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9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9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9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9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9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9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9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9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9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9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9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9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9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9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9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9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9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9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9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9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9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9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9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9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9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9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9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9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9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9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9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9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9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9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9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9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9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9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9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9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9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9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9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9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9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9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9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9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9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9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9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9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9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9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9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9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9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9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9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9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9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9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9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9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9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9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9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9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9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9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9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9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9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9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9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9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9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9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9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9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9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9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9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9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9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9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9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9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9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9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9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9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9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9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9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9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9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9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9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9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9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9">
      <c r="A319" s="20"/>
      <c r="B319" s="20"/>
      <c r="C319" s="20"/>
      <c r="D319" s="20"/>
      <c r="E319" s="20"/>
      <c r="F319" s="21"/>
      <c r="G319" s="20"/>
      <c r="H319" s="20"/>
      <c r="I319" s="21"/>
    </row>
  </sheetData>
  <mergeCells count="4">
    <mergeCell ref="G1:I1"/>
    <mergeCell ref="A1:C1"/>
    <mergeCell ref="D1:F1"/>
    <mergeCell ref="A2:B2"/>
  </mergeCells>
  <conditionalFormatting sqref="F2 I2 F4:F77 I4:I77">
    <cfRule type="cellIs" dxfId="33" priority="1" stopIfTrue="1" operator="lessThanOrEqual">
      <formula>-0.1</formula>
    </cfRule>
    <cfRule type="expression" dxfId="32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2352A-0CAA-4862-87B6-A6A1C7531211}">
  <sheetPr codeName="Sheet5">
    <pageSetUpPr fitToPage="1"/>
  </sheetPr>
  <dimension ref="A1:I319"/>
  <sheetViews>
    <sheetView workbookViewId="0">
      <pane xSplit="2" ySplit="3" topLeftCell="C4" activePane="bottomRight" state="frozen"/>
      <selection pane="bottomRight" activeCell="D5" sqref="D5"/>
      <selection pane="bottomLeft" activeCell="C23" sqref="C23"/>
      <selection pane="topRight" activeCell="C23" sqref="C23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66" t="str" cm="1">
        <f t="array" ref="A1">portfolio</f>
        <v>Solar Income LLC</v>
      </c>
      <c r="B1" s="66"/>
      <c r="C1" s="66"/>
      <c r="D1" s="67" t="s">
        <v>16</v>
      </c>
      <c r="E1" s="67"/>
      <c r="F1" s="67"/>
      <c r="G1" s="65" t="s">
        <v>17</v>
      </c>
      <c r="H1" s="65"/>
      <c r="I1" s="65"/>
    </row>
    <row r="2" spans="1:9" ht="19.5" customHeight="1">
      <c r="A2" s="68" t="s">
        <v>2</v>
      </c>
      <c r="B2" s="68"/>
      <c r="C2" s="5">
        <f>SUM(C4:C77)</f>
        <v>0</v>
      </c>
      <c r="D2" s="5">
        <f>SUM(D4:D77)</f>
        <v>0</v>
      </c>
      <c r="E2" s="5">
        <f>C2-D2</f>
        <v>0</v>
      </c>
      <c r="F2" s="6">
        <f>IFERROR(E2/D2, 0)</f>
        <v>0</v>
      </c>
      <c r="G2" s="5">
        <f>SUM(G4:G77)</f>
        <v>0</v>
      </c>
      <c r="H2" s="7">
        <f>C2-G2</f>
        <v>0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22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</row>
    <row r="4" spans="1:9" ht="15.6">
      <c r="A4" s="44" t="str" cm="1">
        <f t="array" ref="A4:A5">Sites[Site]</f>
        <v>Westbrook - Lee Building 9</v>
      </c>
      <c r="B4" s="9" t="str" cm="1">
        <f t="array" ref="B4:B5">Sites[State]</f>
        <v>CT</v>
      </c>
      <c r="C4" s="23">
        <f>SUM(Oct!C4, Nov!C4, Dec!C4)</f>
        <v>0</v>
      </c>
      <c r="D4" s="12">
        <f>SUM(Oct!D4, Nov!D4, Dec!D4)</f>
        <v>0</v>
      </c>
      <c r="E4" s="12">
        <f>IF(AND(ISNUMBER(C4),ISNUMBER(D4)), C4-D4, "")</f>
        <v>0</v>
      </c>
      <c r="F4" s="13" t="str">
        <f>IFERROR(E4/D4, "")</f>
        <v/>
      </c>
      <c r="G4" s="14">
        <f>SUM(Oct!G4,Nov!G4,Dec!G4)</f>
        <v>0</v>
      </c>
      <c r="H4" s="14">
        <f>SUM(Oct!H4, Nov!H4, Dec!H4)</f>
        <v>0</v>
      </c>
      <c r="I4" s="15" t="str">
        <f>IFERROR(H4/G4, "")</f>
        <v/>
      </c>
    </row>
    <row r="5" spans="1:9" ht="15.6">
      <c r="A5" s="16" t="str">
        <v>Westbrook - Lee Building 82</v>
      </c>
      <c r="B5" s="10" t="str">
        <v>CT</v>
      </c>
      <c r="C5" s="11">
        <f>SUM(Oct!C5, Nov!C5, Dec!C5)</f>
        <v>0</v>
      </c>
      <c r="D5" s="17">
        <f>SUM(Oct!D5, Nov!D5, Dec!D5)</f>
        <v>0</v>
      </c>
      <c r="E5" s="17">
        <f t="shared" ref="E5" si="0">IF(AND(ISNUMBER(C5),ISNUMBER(D5)), C5-D5, "")</f>
        <v>0</v>
      </c>
      <c r="F5" s="18" t="str">
        <f>IFERROR(E5/D5, "")</f>
        <v/>
      </c>
      <c r="G5" s="11">
        <f>SUM(Oct!G5,Nov!G5,Dec!G5)</f>
        <v>0</v>
      </c>
      <c r="H5" s="19">
        <f>SUM(Oct!H5, Nov!H5, Dec!H5)</f>
        <v>0</v>
      </c>
      <c r="I5" s="18" t="str">
        <f>IFERROR(H5/G5, "")</f>
        <v/>
      </c>
    </row>
    <row r="6" spans="1:9" ht="14.45">
      <c r="A6" s="20"/>
      <c r="B6" s="10"/>
      <c r="C6" s="42"/>
      <c r="D6" s="17"/>
      <c r="E6" s="17"/>
      <c r="F6" s="18"/>
      <c r="G6" s="19"/>
      <c r="H6" s="19"/>
      <c r="I6" s="18"/>
    </row>
    <row r="7" spans="1:9" ht="14.45">
      <c r="A7" s="20"/>
      <c r="B7" s="10"/>
      <c r="C7" s="42"/>
      <c r="D7" s="17"/>
      <c r="E7" s="17"/>
      <c r="F7" s="18"/>
      <c r="G7" s="19"/>
      <c r="H7" s="19"/>
      <c r="I7" s="18"/>
    </row>
    <row r="8" spans="1:9" ht="13.9">
      <c r="A8" s="20"/>
      <c r="B8" s="20"/>
      <c r="C8" s="20"/>
      <c r="D8" s="20"/>
      <c r="E8" s="20"/>
      <c r="F8" s="20"/>
      <c r="G8" s="20"/>
      <c r="H8" s="20"/>
      <c r="I8" s="20"/>
    </row>
    <row r="9" spans="1:9" ht="13.9">
      <c r="A9" s="20"/>
      <c r="B9" s="20"/>
      <c r="C9" s="20"/>
      <c r="D9" s="20"/>
      <c r="E9" s="20"/>
      <c r="F9" s="20"/>
      <c r="G9" s="20"/>
      <c r="H9" s="20"/>
      <c r="I9" s="20"/>
    </row>
    <row r="10" spans="1:9" ht="13.9">
      <c r="A10" s="20"/>
      <c r="B10" s="20"/>
      <c r="C10" s="20"/>
      <c r="D10" s="20"/>
      <c r="E10" s="20"/>
      <c r="F10" s="21"/>
      <c r="G10" s="20"/>
      <c r="H10" s="20"/>
      <c r="I10" s="21"/>
    </row>
    <row r="11" spans="1:9" ht="13.9">
      <c r="A11" s="20"/>
      <c r="B11" s="20"/>
      <c r="C11" s="20"/>
      <c r="D11" s="20"/>
      <c r="E11" s="20"/>
      <c r="F11" s="21"/>
      <c r="G11" s="20"/>
      <c r="H11" s="20"/>
      <c r="I11" s="21"/>
    </row>
    <row r="12" spans="1:9" ht="13.9">
      <c r="A12" s="20"/>
      <c r="B12" s="20"/>
      <c r="C12" s="20"/>
      <c r="D12" s="20"/>
      <c r="E12" s="20"/>
      <c r="F12" s="21"/>
      <c r="G12" s="20"/>
      <c r="H12" s="20"/>
      <c r="I12" s="21"/>
    </row>
    <row r="13" spans="1:9" ht="13.9">
      <c r="A13" s="20"/>
      <c r="B13" s="20"/>
      <c r="C13" s="20"/>
      <c r="D13" s="20"/>
      <c r="E13" s="20"/>
      <c r="F13" s="21"/>
      <c r="G13" s="20"/>
      <c r="H13" s="20"/>
      <c r="I13" s="21"/>
    </row>
    <row r="14" spans="1:9" ht="13.9">
      <c r="A14" s="20"/>
      <c r="B14" s="20"/>
      <c r="C14" s="20"/>
      <c r="D14" s="20"/>
      <c r="E14" s="20"/>
      <c r="F14" s="21"/>
      <c r="G14" s="20"/>
      <c r="H14" s="20"/>
      <c r="I14" s="21"/>
    </row>
    <row r="15" spans="1:9" ht="13.9">
      <c r="A15" s="20"/>
      <c r="B15" s="20"/>
      <c r="C15" s="20"/>
      <c r="D15" s="20"/>
      <c r="E15" s="20"/>
      <c r="F15" s="21"/>
      <c r="G15" s="20"/>
      <c r="H15" s="20"/>
      <c r="I15" s="21"/>
    </row>
    <row r="16" spans="1:9" ht="13.9">
      <c r="A16" s="20"/>
      <c r="B16" s="20"/>
      <c r="C16" s="20"/>
      <c r="D16" s="20"/>
      <c r="E16" s="20"/>
      <c r="F16" s="21"/>
      <c r="G16" s="20"/>
      <c r="H16" s="20"/>
      <c r="I16" s="21"/>
    </row>
    <row r="17" spans="1:9" ht="13.9">
      <c r="A17" s="20"/>
      <c r="B17" s="20"/>
      <c r="C17" s="20"/>
      <c r="D17" s="20"/>
      <c r="E17" s="20"/>
      <c r="F17" s="21"/>
      <c r="G17" s="20"/>
      <c r="H17" s="20"/>
      <c r="I17" s="21"/>
    </row>
    <row r="18" spans="1:9" ht="13.9">
      <c r="A18" s="20"/>
      <c r="B18" s="20"/>
      <c r="C18" s="20"/>
      <c r="D18" s="20"/>
      <c r="E18" s="20"/>
      <c r="F18" s="21"/>
      <c r="G18" s="20"/>
      <c r="H18" s="20"/>
      <c r="I18" s="21"/>
    </row>
    <row r="19" spans="1:9" ht="13.9">
      <c r="A19" s="20"/>
      <c r="B19" s="20"/>
      <c r="C19" s="20"/>
      <c r="D19" s="20"/>
      <c r="E19" s="20"/>
      <c r="F19" s="21"/>
      <c r="G19" s="20"/>
      <c r="H19" s="20"/>
      <c r="I19" s="21"/>
    </row>
    <row r="20" spans="1:9" ht="13.9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9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9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9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9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9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9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9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9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9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9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9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9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9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9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9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9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9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9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9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9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9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9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9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9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9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9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9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9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9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9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9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9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9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9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9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9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9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9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9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9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9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9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9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9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9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9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9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9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9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9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9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9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9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9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9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9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9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9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9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9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9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9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9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9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9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9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9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9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9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9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9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9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9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9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9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9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9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9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9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9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9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9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9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9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9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9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9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9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9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9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9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9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9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9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9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9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9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9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9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9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9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9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9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9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9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9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9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9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9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9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9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9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9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9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9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9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9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9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9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9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9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9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9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9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9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9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9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9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9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9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9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9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9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9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9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9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9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9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9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9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9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9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9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9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9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9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9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9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9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9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9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9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9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9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9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9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9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9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9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9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9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9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9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9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9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9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9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9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9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9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9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9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9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9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9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9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9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9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9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9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9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9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9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9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9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9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9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9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9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9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9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9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9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9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9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9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9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9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9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9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9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9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9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9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9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9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9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9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9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9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9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9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9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9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9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9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9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9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9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9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9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9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9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9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9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9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9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9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9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9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9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9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9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9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9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9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9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9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9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9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9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9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9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9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9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9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9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9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9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9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9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9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9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9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9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9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9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9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9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9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9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9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9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9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9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9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9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9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9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9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9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9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9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9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9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9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9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9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9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9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9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9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9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9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9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9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9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9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9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9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9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9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9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9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9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9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9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9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9">
      <c r="A319" s="20"/>
      <c r="B319" s="20"/>
      <c r="C319" s="20"/>
      <c r="D319" s="20"/>
      <c r="E319" s="20"/>
      <c r="F319" s="21"/>
      <c r="G319" s="20"/>
      <c r="H319" s="20"/>
      <c r="I319" s="21"/>
    </row>
  </sheetData>
  <mergeCells count="4">
    <mergeCell ref="G1:I1"/>
    <mergeCell ref="A1:C1"/>
    <mergeCell ref="D1:F1"/>
    <mergeCell ref="A2:B2"/>
  </mergeCells>
  <conditionalFormatting sqref="F2 I2 F4:F77 I4:I77">
    <cfRule type="cellIs" dxfId="31" priority="1" stopIfTrue="1" operator="lessThanOrEqual">
      <formula>-0.1</formula>
    </cfRule>
    <cfRule type="expression" dxfId="30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DA570-4BE0-4AD5-A388-4413E2BD5FBD}">
  <sheetPr codeName="Sheet6">
    <pageSetUpPr fitToPage="1"/>
  </sheetPr>
  <dimension ref="A1:N318"/>
  <sheetViews>
    <sheetView zoomScale="80" zoomScaleNormal="80" workbookViewId="0">
      <pane xSplit="2" ySplit="3" topLeftCell="C4" activePane="bottomRight" state="frozen"/>
      <selection pane="bottomRight" activeCell="G17" sqref="G17"/>
      <selection pane="bottomLeft" activeCell="G17" sqref="G17"/>
      <selection pane="topRight" activeCell="G17" sqref="G17"/>
    </sheetView>
  </sheetViews>
  <sheetFormatPr defaultRowHeight="13.9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  <col min="12" max="14" width="8.85546875" style="62"/>
  </cols>
  <sheetData>
    <row r="1" spans="1:13" ht="19.5" customHeight="1">
      <c r="A1" s="66" t="str" cm="1">
        <f t="array" ref="A1">portfolio</f>
        <v>Solar Income LLC</v>
      </c>
      <c r="B1" s="66"/>
      <c r="C1" s="66"/>
      <c r="D1" s="67" t="s">
        <v>18</v>
      </c>
      <c r="E1" s="67"/>
      <c r="F1" s="67"/>
      <c r="G1" s="65" t="s">
        <v>19</v>
      </c>
      <c r="H1" s="65"/>
      <c r="I1" s="65"/>
      <c r="J1" s="4"/>
      <c r="K1" s="4"/>
    </row>
    <row r="2" spans="1:13" ht="19.5" customHeight="1">
      <c r="A2" s="68" t="s">
        <v>2</v>
      </c>
      <c r="B2" s="68"/>
      <c r="C2" s="5">
        <f>SUM(C4:C76)</f>
        <v>44086.459728263406</v>
      </c>
      <c r="D2" s="5">
        <f>SUM(D4:D76)</f>
        <v>0</v>
      </c>
      <c r="E2" s="5">
        <f>C2-D2</f>
        <v>44086.459728263406</v>
      </c>
      <c r="F2" s="6">
        <f>IFERROR(E2/D2, 0)</f>
        <v>0</v>
      </c>
      <c r="G2" s="5">
        <f>SUM(G4:G76)</f>
        <v>22894.69</v>
      </c>
      <c r="H2" s="7">
        <f>C2-G2</f>
        <v>21191.769728263407</v>
      </c>
      <c r="I2" s="6">
        <f>IFERROR(H2/G2, 0)</f>
        <v>0.92561942215698956</v>
      </c>
      <c r="J2" s="25" t="str">
        <f ca="1">IF(AND(TODAY()&gt;DATE(2024, 1, 1), COUNTA(Sites[Site])&lt;&gt;(COUNT(C:C)-1)), "Some sites are missing actual data; if new sites were added, make sure they are aligned correctly (including prior months!)", "")</f>
        <v/>
      </c>
      <c r="K2" s="4"/>
    </row>
    <row r="3" spans="1:13" ht="14.25" customHeight="1">
      <c r="A3" s="26" t="s">
        <v>3</v>
      </c>
      <c r="B3" s="8" t="s">
        <v>4</v>
      </c>
      <c r="C3" s="22" t="s">
        <v>5</v>
      </c>
      <c r="D3" s="33" t="s">
        <v>6</v>
      </c>
      <c r="E3" s="33" t="s">
        <v>7</v>
      </c>
      <c r="F3" s="34" t="s">
        <v>8</v>
      </c>
      <c r="G3" s="38" t="s">
        <v>9</v>
      </c>
      <c r="H3" s="36" t="s">
        <v>7</v>
      </c>
      <c r="I3" s="37" t="s">
        <v>8</v>
      </c>
      <c r="J3" s="24" t="s">
        <v>20</v>
      </c>
      <c r="K3" s="24" t="s">
        <v>21</v>
      </c>
    </row>
    <row r="4" spans="1:13" ht="57" customHeight="1">
      <c r="A4" s="43" t="str" cm="1">
        <f t="array" ref="A4:A5">Sites[Site]</f>
        <v>Westbrook - Lee Building 9</v>
      </c>
      <c r="B4" s="27" t="str" cm="1">
        <f t="array" ref="B4:B5">Sites[State]</f>
        <v>CT</v>
      </c>
      <c r="C4" s="23">
        <v>19387.489724194202</v>
      </c>
      <c r="D4" s="12" t="s">
        <v>22</v>
      </c>
      <c r="E4" s="12" t="str">
        <f>IF(AND(ISNUMBER(C4),ISNUMBER(D4)), C4-D4, "")</f>
        <v/>
      </c>
      <c r="F4" s="12" t="str">
        <f>IFERROR(E4/D4, "")</f>
        <v/>
      </c>
      <c r="G4" s="14" t="s">
        <v>22</v>
      </c>
      <c r="H4" s="14" t="str">
        <f>IF(AND(ISNUMBER(C4),ISNUMBER(G4)), C4-G4, "")</f>
        <v/>
      </c>
      <c r="I4" s="15" t="str">
        <f>IFERROR(H4/G4, "")</f>
        <v/>
      </c>
      <c r="J4" s="39" t="s">
        <v>23</v>
      </c>
      <c r="K4" s="58" t="s">
        <v>24</v>
      </c>
      <c r="L4" s="63" t="s">
        <v>25</v>
      </c>
      <c r="M4" s="63" t="s">
        <v>26</v>
      </c>
    </row>
    <row r="5" spans="1:13" ht="28.9">
      <c r="A5" s="28" t="str">
        <v>Westbrook - Lee Building 82</v>
      </c>
      <c r="B5" s="29" t="str">
        <v>CT</v>
      </c>
      <c r="C5" s="11">
        <v>24698.970004069201</v>
      </c>
      <c r="D5" s="17" t="s">
        <v>22</v>
      </c>
      <c r="E5" s="17" t="str">
        <f t="shared" ref="E5" si="0">IF(AND(ISNUMBER(C5),ISNUMBER(D5)), C5-D5, "")</f>
        <v/>
      </c>
      <c r="F5" s="17" t="str">
        <f t="shared" ref="F5" si="1">IFERROR(E5/D5, "")</f>
        <v/>
      </c>
      <c r="G5" s="19">
        <v>22894.69</v>
      </c>
      <c r="H5" s="19">
        <f t="shared" ref="H5" si="2">IF(AND(ISNUMBER(C5),ISNUMBER(G5)), C5-G5, "")</f>
        <v>1804.2800040692018</v>
      </c>
      <c r="I5" s="18">
        <f t="shared" ref="I5" si="3">IFERROR(H5/G5, "")</f>
        <v>7.8807793600577339E-2</v>
      </c>
      <c r="J5" s="40" t="s">
        <v>27</v>
      </c>
      <c r="K5" s="61" t="s">
        <v>28</v>
      </c>
    </row>
    <row r="6" spans="1:13" ht="14.45">
      <c r="A6" s="20"/>
      <c r="B6" s="31"/>
      <c r="C6" s="20"/>
      <c r="D6" s="20"/>
      <c r="E6" s="20"/>
      <c r="F6" s="20"/>
      <c r="G6" s="20"/>
      <c r="H6" s="20"/>
      <c r="I6" s="20"/>
      <c r="J6" s="20"/>
      <c r="K6" s="20"/>
    </row>
    <row r="7" spans="1:13" ht="14.45">
      <c r="A7" s="20"/>
      <c r="B7" s="31"/>
      <c r="C7" s="20"/>
      <c r="D7" s="20"/>
      <c r="E7" s="20"/>
      <c r="F7" s="20"/>
      <c r="G7" s="20"/>
      <c r="H7" s="20"/>
      <c r="I7" s="20"/>
      <c r="J7" s="20"/>
      <c r="K7" s="20"/>
    </row>
    <row r="8" spans="1:13" ht="14.45">
      <c r="A8" s="20"/>
      <c r="B8" s="31"/>
      <c r="C8" s="20"/>
      <c r="D8" s="20"/>
      <c r="E8" s="20"/>
      <c r="F8" s="20"/>
      <c r="G8" s="20"/>
      <c r="H8" s="20"/>
      <c r="I8" s="20"/>
      <c r="J8" s="20"/>
      <c r="K8" s="20"/>
    </row>
    <row r="9" spans="1:13" ht="14.45">
      <c r="A9" s="20"/>
      <c r="B9" s="31"/>
      <c r="C9" s="20"/>
      <c r="D9" s="20"/>
      <c r="E9" s="20"/>
      <c r="F9" s="21"/>
      <c r="G9" s="20"/>
      <c r="H9" s="20"/>
      <c r="I9" s="21"/>
      <c r="J9" s="20"/>
      <c r="K9" s="20"/>
    </row>
    <row r="10" spans="1:13" ht="14.45">
      <c r="A10" s="20"/>
      <c r="B10" s="31"/>
      <c r="C10" s="20"/>
      <c r="D10" s="20"/>
      <c r="E10" s="20"/>
      <c r="F10" s="21"/>
      <c r="G10" s="20"/>
      <c r="H10" s="20"/>
      <c r="I10" s="21"/>
      <c r="J10" s="20"/>
      <c r="K10" s="20"/>
    </row>
    <row r="11" spans="1:13" ht="14.45">
      <c r="A11" s="20"/>
      <c r="B11" s="31"/>
      <c r="C11" s="20"/>
      <c r="D11" s="20"/>
      <c r="E11" s="20"/>
      <c r="F11" s="21"/>
      <c r="G11" s="20"/>
      <c r="H11" s="20"/>
      <c r="I11" s="21"/>
      <c r="J11" s="20"/>
      <c r="K11" s="20"/>
    </row>
    <row r="12" spans="1:13" ht="14.45">
      <c r="A12" s="20"/>
      <c r="B12" s="31"/>
      <c r="C12" s="20"/>
      <c r="D12" s="20"/>
      <c r="E12" s="20"/>
      <c r="F12" s="21"/>
      <c r="G12" s="20"/>
      <c r="H12" s="20"/>
      <c r="I12" s="21"/>
      <c r="J12" s="20"/>
      <c r="K12" s="20"/>
    </row>
    <row r="13" spans="1:13" ht="14.45">
      <c r="A13" s="20"/>
      <c r="B13" s="31"/>
      <c r="C13" s="20"/>
      <c r="D13" s="20"/>
      <c r="E13" s="20"/>
      <c r="F13" s="21"/>
      <c r="G13" s="20"/>
      <c r="H13" s="20"/>
      <c r="I13" s="21"/>
      <c r="J13" s="20"/>
      <c r="K13" s="20"/>
    </row>
    <row r="14" spans="1:13" ht="14.45">
      <c r="A14" s="20"/>
      <c r="B14" s="31"/>
      <c r="C14" s="20"/>
      <c r="D14" s="20"/>
      <c r="E14" s="20"/>
      <c r="F14" s="21"/>
      <c r="G14" s="20"/>
      <c r="H14" s="20"/>
      <c r="I14" s="21"/>
      <c r="J14" s="20"/>
      <c r="K14" s="20"/>
    </row>
    <row r="15" spans="1:13" ht="14.45">
      <c r="A15" s="20"/>
      <c r="B15" s="31"/>
      <c r="C15" s="20"/>
      <c r="D15" s="20"/>
      <c r="E15" s="20"/>
      <c r="F15" s="21"/>
      <c r="G15" s="20"/>
      <c r="H15" s="20"/>
      <c r="I15" s="21"/>
      <c r="J15" s="20"/>
      <c r="K15" s="20"/>
    </row>
    <row r="16" spans="1:13" ht="14.45">
      <c r="A16" s="20"/>
      <c r="B16" s="31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31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31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31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31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31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31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31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31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31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31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31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31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31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31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31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31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31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31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31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31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31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31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31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31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31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31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31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31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31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31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31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31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31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31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31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31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31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31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31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31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31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31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31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31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31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31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31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31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31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31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31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31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31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31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31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31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31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31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31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31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31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31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31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31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31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31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31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31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31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31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31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31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31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31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31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31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31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31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31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31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31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31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31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31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31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31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31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31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31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31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31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31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31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31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31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31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31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31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31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31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31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31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31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31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31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31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31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31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31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31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31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31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31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31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31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31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31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31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31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31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31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31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31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31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31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31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31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31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31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31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31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31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31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31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31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31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31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31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31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31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31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31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31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31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31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31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31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31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31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31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31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31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31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31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31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31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31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31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31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31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31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31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31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31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31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31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31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31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31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31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31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31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31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31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31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31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31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31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31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31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31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31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31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31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31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31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31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31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31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31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31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31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31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31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31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31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31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31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31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31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31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31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31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31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31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31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31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31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31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31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31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31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31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31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31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31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31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31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31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31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31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31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31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31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31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31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31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31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31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31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31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31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31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31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31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31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31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31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31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31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31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31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31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31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31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31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31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31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31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31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31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31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31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31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31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31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31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31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31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31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31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31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31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31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31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31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31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31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31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31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31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31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31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31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31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31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31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31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31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31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31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31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31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31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31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31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31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31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31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31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31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31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31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31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31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31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31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31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31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31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31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31"/>
      <c r="C318" s="20"/>
      <c r="D318" s="20"/>
      <c r="E318" s="20"/>
      <c r="F318" s="21"/>
      <c r="G318" s="20"/>
      <c r="H318" s="20"/>
      <c r="I318" s="21"/>
      <c r="J318" s="20"/>
      <c r="K318" s="20"/>
    </row>
  </sheetData>
  <mergeCells count="4">
    <mergeCell ref="D1:F1"/>
    <mergeCell ref="A1:C1"/>
    <mergeCell ref="G1:I1"/>
    <mergeCell ref="A2:B2"/>
  </mergeCells>
  <conditionalFormatting sqref="F2 I2 I4:I76 F6:F76">
    <cfRule type="cellIs" dxfId="29" priority="6" stopIfTrue="1" operator="lessThanOrEqual">
      <formula>-0.1</formula>
    </cfRule>
    <cfRule type="expression" dxfId="28" priority="7">
      <formula>AND(ISNUMBER(F2), F2&gt;=0.1)</formula>
    </cfRule>
  </conditionalFormatting>
  <hyperlinks>
    <hyperlink ref="K4" r:id="rId1" display="https://us3.assetplanner.com/service_request?ID=096097" xr:uid="{6D6972D0-63C1-40B2-B0DF-B205F0B94EA1}"/>
    <hyperlink ref="L4" r:id="rId2" display="https://us3.assetplanner.com/service_request?ID=091134" xr:uid="{78583BB3-271B-462E-A6AF-0629768A2EDD}"/>
    <hyperlink ref="M4" r:id="rId3" display="https://us3.assetplanner.com/service_request?ID=092275" xr:uid="{07D7D4C8-2F3F-4BE6-9C36-CDFCC194F9FD}"/>
    <hyperlink ref="K5" r:id="rId4" display="https://us3.assetplanner.com/service_request?ID=085123" xr:uid="{A84D7DD3-073B-4CB7-B1D7-966416687D2E}"/>
  </hyperlinks>
  <pageMargins left="0.4" right="0.7" top="0.25" bottom="0.25" header="0.3" footer="0.3"/>
  <pageSetup fitToHeight="99" orientation="landscape" r:id="rId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24030-967D-40AB-9B78-5C3C0C46A55D}">
  <sheetPr codeName="Sheet7">
    <pageSetUpPr fitToPage="1"/>
  </sheetPr>
  <dimension ref="A1:N319"/>
  <sheetViews>
    <sheetView zoomScale="70" zoomScaleNormal="70" workbookViewId="0">
      <pane xSplit="2" ySplit="3" topLeftCell="C4" activePane="bottomRight" state="frozen"/>
      <selection pane="bottomRight" activeCell="G17" sqref="G17"/>
      <selection pane="bottomLeft" activeCell="G17" sqref="G17"/>
      <selection pane="topRight" activeCell="G17" sqref="G17"/>
    </sheetView>
  </sheetViews>
  <sheetFormatPr defaultRowHeight="13.9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  <col min="12" max="14" width="8.85546875" style="62"/>
  </cols>
  <sheetData>
    <row r="1" spans="1:14" ht="19.5" customHeight="1">
      <c r="A1" s="66" t="str" cm="1">
        <f t="array" ref="A1">portfolio</f>
        <v>Solar Income LLC</v>
      </c>
      <c r="B1" s="66"/>
      <c r="C1" s="66"/>
      <c r="D1" s="67" t="s">
        <v>29</v>
      </c>
      <c r="E1" s="67"/>
      <c r="F1" s="67"/>
      <c r="G1" s="65" t="s">
        <v>30</v>
      </c>
      <c r="H1" s="65"/>
      <c r="I1" s="65"/>
      <c r="J1" s="4"/>
      <c r="K1" s="4"/>
    </row>
    <row r="2" spans="1:14" ht="19.5" customHeight="1">
      <c r="A2" s="68" t="s">
        <v>2</v>
      </c>
      <c r="B2" s="68"/>
      <c r="C2" s="5">
        <f>SUM(C4:C77)</f>
        <v>47513.790208597697</v>
      </c>
      <c r="D2" s="5">
        <f>SUM(D4:D77)</f>
        <v>0</v>
      </c>
      <c r="E2" s="5">
        <f>C2-D2</f>
        <v>47513.790208597697</v>
      </c>
      <c r="F2" s="6">
        <f>IFERROR(E2/D2, 0)</f>
        <v>0</v>
      </c>
      <c r="G2" s="5">
        <f>SUM(G4:G77)</f>
        <v>26976.46</v>
      </c>
      <c r="H2" s="7">
        <f>C2-G2</f>
        <v>20537.330208597697</v>
      </c>
      <c r="I2" s="6">
        <f>IFERROR(H2/G2, 0)</f>
        <v>0.76130560527948066</v>
      </c>
      <c r="J2" s="25" t="str">
        <f ca="1">IF(AND(TODAY()&gt;DATE(2024, 2, 1), COUNTA(Sites[Site])&lt;&gt;(COUNT(C:C)-1)), "Some sites are missing actual data; if new sites were added, make sure they are aligned correctly (including prior months!)", "")</f>
        <v/>
      </c>
      <c r="K2" s="4"/>
    </row>
    <row r="3" spans="1:14" ht="14.25" customHeight="1">
      <c r="A3" s="8" t="s">
        <v>3</v>
      </c>
      <c r="B3" s="8" t="s">
        <v>4</v>
      </c>
      <c r="C3" s="22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  <c r="J3" s="24" t="s">
        <v>20</v>
      </c>
      <c r="K3" s="24" t="s">
        <v>21</v>
      </c>
    </row>
    <row r="4" spans="1:14" ht="98.25" customHeight="1">
      <c r="A4" s="43" t="str" cm="1">
        <f t="array" ref="A4:A5">Sites[Site]</f>
        <v>Westbrook - Lee Building 9</v>
      </c>
      <c r="B4" s="27" t="str" cm="1">
        <f t="array" ref="B4:B5">Sites[State]</f>
        <v>CT</v>
      </c>
      <c r="C4" s="23">
        <v>20619.490193135101</v>
      </c>
      <c r="D4" s="12" t="s">
        <v>22</v>
      </c>
      <c r="E4" s="12" t="str">
        <f>IF(AND(ISNUMBER(C4),ISNUMBER(D4)), C4-D4, "")</f>
        <v/>
      </c>
      <c r="F4" s="12" t="str">
        <f>IFERROR(E4/D4, "")</f>
        <v/>
      </c>
      <c r="G4" s="14" t="s">
        <v>22</v>
      </c>
      <c r="H4" s="14" t="str">
        <f>IF(AND(ISNUMBER(C4),ISNUMBER(G4)), C4-G4, "")</f>
        <v/>
      </c>
      <c r="I4" s="15" t="str">
        <f>IFERROR(H4/G4, "")</f>
        <v/>
      </c>
      <c r="J4" s="39" t="s">
        <v>31</v>
      </c>
      <c r="K4" s="58" t="s">
        <v>32</v>
      </c>
      <c r="L4" s="63" t="s">
        <v>26</v>
      </c>
      <c r="M4" s="63" t="s">
        <v>33</v>
      </c>
      <c r="N4" s="63" t="s">
        <v>25</v>
      </c>
    </row>
    <row r="5" spans="1:14" ht="28.9">
      <c r="A5" s="28" t="str">
        <v>Westbrook - Lee Building 82</v>
      </c>
      <c r="B5" s="29" t="str">
        <v>CT</v>
      </c>
      <c r="C5" s="11">
        <v>26894.300015462599</v>
      </c>
      <c r="D5" s="17" t="s">
        <v>22</v>
      </c>
      <c r="E5" s="17" t="str">
        <f t="shared" ref="E5" si="0">IF(AND(ISNUMBER(C5),ISNUMBER(D5)), C5-D5, "")</f>
        <v/>
      </c>
      <c r="F5" s="17" t="str">
        <f t="shared" ref="F5" si="1">IFERROR(E5/D5, "")</f>
        <v/>
      </c>
      <c r="G5" s="19">
        <v>26976.46</v>
      </c>
      <c r="H5" s="19">
        <f t="shared" ref="H5" si="2">IF(AND(ISNUMBER(C5),ISNUMBER(G5)), C5-G5, "")</f>
        <v>-82.159984537400305</v>
      </c>
      <c r="I5" s="18">
        <f t="shared" ref="I5" si="3">IFERROR(H5/G5, "")</f>
        <v>-3.0456177177213134E-3</v>
      </c>
      <c r="J5" s="51" t="s">
        <v>34</v>
      </c>
      <c r="K5" s="60" t="s">
        <v>28</v>
      </c>
    </row>
    <row r="6" spans="1:14" ht="14.45">
      <c r="A6" s="20"/>
      <c r="B6" s="31"/>
      <c r="C6" s="20"/>
      <c r="D6" s="20"/>
      <c r="E6" s="20"/>
      <c r="F6" s="20"/>
      <c r="G6" s="20"/>
      <c r="H6" s="20"/>
      <c r="I6" s="20"/>
      <c r="J6" s="20"/>
      <c r="K6" s="20"/>
    </row>
    <row r="7" spans="1:14" ht="14.45">
      <c r="A7" s="20"/>
      <c r="B7" s="31"/>
      <c r="C7" s="20"/>
      <c r="D7" s="20"/>
      <c r="E7" s="20"/>
      <c r="F7" s="20"/>
      <c r="G7" s="20"/>
      <c r="H7" s="20"/>
      <c r="I7" s="20"/>
      <c r="J7" s="20"/>
      <c r="K7" s="20"/>
    </row>
    <row r="8" spans="1:14" ht="14.45">
      <c r="A8" s="20"/>
      <c r="B8" s="31"/>
      <c r="C8" s="20"/>
      <c r="D8" s="20"/>
      <c r="E8" s="20"/>
      <c r="F8" s="20"/>
      <c r="G8" s="20"/>
      <c r="H8" s="20"/>
      <c r="I8" s="20"/>
      <c r="J8" s="20"/>
      <c r="K8" s="20"/>
    </row>
    <row r="9" spans="1:14" ht="14.45">
      <c r="A9" s="20"/>
      <c r="B9" s="31"/>
      <c r="C9" s="20"/>
      <c r="D9" s="20"/>
      <c r="E9" s="20"/>
      <c r="F9" s="20"/>
      <c r="G9" s="20"/>
      <c r="H9" s="20"/>
      <c r="I9" s="20"/>
      <c r="J9" s="20"/>
      <c r="K9" s="20"/>
    </row>
    <row r="10" spans="1:14" ht="14.45">
      <c r="A10" s="20"/>
      <c r="B10" s="31"/>
      <c r="C10" s="20"/>
      <c r="D10" s="20"/>
      <c r="E10" s="20"/>
      <c r="F10" s="21"/>
      <c r="G10" s="20"/>
      <c r="H10" s="20"/>
      <c r="I10" s="21"/>
      <c r="J10" s="20"/>
      <c r="K10" s="20"/>
    </row>
    <row r="11" spans="1:14" ht="14.45">
      <c r="A11" s="20"/>
      <c r="B11" s="31"/>
      <c r="C11" s="20"/>
      <c r="D11" s="20"/>
      <c r="E11" s="20"/>
      <c r="F11" s="21"/>
      <c r="G11" s="20"/>
      <c r="H11" s="20"/>
      <c r="I11" s="21"/>
      <c r="J11" s="20"/>
      <c r="K11" s="20"/>
    </row>
    <row r="12" spans="1:14" ht="14.45">
      <c r="A12" s="20"/>
      <c r="B12" s="31"/>
      <c r="C12" s="20"/>
      <c r="D12" s="20"/>
      <c r="E12" s="20"/>
      <c r="F12" s="21"/>
      <c r="G12" s="20"/>
      <c r="H12" s="20"/>
      <c r="I12" s="21"/>
      <c r="J12" s="20"/>
      <c r="K12" s="20"/>
    </row>
    <row r="13" spans="1:14" ht="14.45">
      <c r="A13" s="20"/>
      <c r="B13" s="31"/>
      <c r="C13" s="20"/>
      <c r="D13" s="20"/>
      <c r="E13" s="20"/>
      <c r="F13" s="21"/>
      <c r="G13" s="20"/>
      <c r="H13" s="20"/>
      <c r="I13" s="21"/>
      <c r="J13" s="20"/>
      <c r="K13" s="20"/>
    </row>
    <row r="14" spans="1:14" ht="14.45">
      <c r="A14" s="20"/>
      <c r="B14" s="31"/>
      <c r="C14" s="20"/>
      <c r="D14" s="20"/>
      <c r="E14" s="20"/>
      <c r="F14" s="21"/>
      <c r="G14" s="20"/>
      <c r="H14" s="20"/>
      <c r="I14" s="21"/>
      <c r="J14" s="20"/>
      <c r="K14" s="20"/>
    </row>
    <row r="15" spans="1:14" ht="14.45">
      <c r="A15" s="20"/>
      <c r="B15" s="31"/>
      <c r="C15" s="20"/>
      <c r="D15" s="20"/>
      <c r="E15" s="20"/>
      <c r="F15" s="21"/>
      <c r="G15" s="20"/>
      <c r="H15" s="20"/>
      <c r="I15" s="21"/>
      <c r="J15" s="20"/>
      <c r="K15" s="20"/>
    </row>
    <row r="16" spans="1:14" ht="14.45">
      <c r="A16" s="20"/>
      <c r="B16" s="31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31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31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31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31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31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31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31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31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31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31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31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31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31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31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31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31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31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31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31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31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31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31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31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31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31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31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31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31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31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31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31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31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31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31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31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31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31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31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31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31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31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31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31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31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31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31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31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31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31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31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31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31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31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31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31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31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31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31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31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31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31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31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31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31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31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31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31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31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31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31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31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31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31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31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31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31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31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31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31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31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31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31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31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31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31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31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31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31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31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31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31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31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31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31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31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31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31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31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31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31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31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31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31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31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31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31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31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31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31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31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31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31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31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31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31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31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31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31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31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31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31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31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31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31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31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31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31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31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31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31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31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31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31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31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31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31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31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31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31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31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31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31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31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31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31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31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31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31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31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31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31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31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31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31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31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31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31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31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31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31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31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31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31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31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31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31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31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31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31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31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31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31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31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31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31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31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31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31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31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31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31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31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31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31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31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31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31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31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31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31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31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31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31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31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31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31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31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31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31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31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31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31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31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31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31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31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31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31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31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31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31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31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31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31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31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31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31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31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31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31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31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31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31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31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31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31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31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31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31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31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31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31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31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31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31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31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31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31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31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31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31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31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31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31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31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31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31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31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31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31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31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31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31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31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31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31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31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31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31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31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31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31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31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31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31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31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31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31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31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31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31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31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31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31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31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31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31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31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31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31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31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31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31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31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31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31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31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31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31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31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31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31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31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31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31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31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31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31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31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31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31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31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C319" s="20"/>
      <c r="D319" s="20"/>
      <c r="E319" s="20"/>
      <c r="F319" s="21"/>
      <c r="G319" s="20"/>
      <c r="H319" s="20"/>
      <c r="I319" s="21"/>
      <c r="J319" s="20"/>
      <c r="K319" s="20"/>
    </row>
  </sheetData>
  <mergeCells count="4">
    <mergeCell ref="G1:I1"/>
    <mergeCell ref="A1:C1"/>
    <mergeCell ref="D1:F1"/>
    <mergeCell ref="A2:B2"/>
  </mergeCells>
  <conditionalFormatting sqref="F2 I2 I4:I77 F6:F77">
    <cfRule type="cellIs" dxfId="27" priority="1" stopIfTrue="1" operator="lessThanOrEqual">
      <formula>-0.1</formula>
    </cfRule>
    <cfRule type="expression" dxfId="26" priority="2">
      <formula>AND(ISNUMBER(F2), F2&gt;=0.1)</formula>
    </cfRule>
  </conditionalFormatting>
  <hyperlinks>
    <hyperlink ref="K4" r:id="rId1" display="https://us3.assetplanner.com/service_request?ID=096681" xr:uid="{36BBC862-215C-4336-AFDD-94DC7AF097EC}"/>
    <hyperlink ref="L4" r:id="rId2" display="https://us3.assetplanner.com/service_request?ID=092275" xr:uid="{BD261736-789F-431B-BD5F-AD675CABB2DC}"/>
    <hyperlink ref="M4" r:id="rId3" display="https://us3.assetplanner.com/service_request?ID=096097" xr:uid="{13822922-B01F-4DEA-8AC5-F584A3A13217}"/>
    <hyperlink ref="N4" r:id="rId4" display="https://us3.assetplanner.com/service_request?ID=091134" xr:uid="{B0FDE49B-7FE8-434C-8E65-DE36BD3C7838}"/>
    <hyperlink ref="K5" r:id="rId5" display="https://us3.assetplanner.com/service_request?ID=085123" xr:uid="{A2360D6E-F696-49BA-AB96-64C3CAC259A6}"/>
  </hyperlinks>
  <pageMargins left="0.4" right="0.7" top="0.25" bottom="0.25" header="0.3" footer="0.3"/>
  <pageSetup fitToHeight="99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961AB-A757-4049-8AB9-40F3BCB812B3}">
  <sheetPr codeName="Sheet8">
    <pageSetUpPr fitToPage="1"/>
  </sheetPr>
  <dimension ref="A1:N319"/>
  <sheetViews>
    <sheetView zoomScale="60" zoomScaleNormal="60" workbookViewId="0">
      <pane xSplit="2" ySplit="3" topLeftCell="C4" activePane="bottomRight" state="frozen"/>
      <selection pane="bottomRight" activeCell="G17" sqref="G17"/>
      <selection pane="bottomLeft" activeCell="G17" sqref="G17"/>
      <selection pane="topRight" activeCell="G17" sqref="G17"/>
    </sheetView>
  </sheetViews>
  <sheetFormatPr defaultRowHeight="13.9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  <col min="12" max="14" width="8.85546875" style="62"/>
  </cols>
  <sheetData>
    <row r="1" spans="1:14" ht="19.5" customHeight="1">
      <c r="A1" s="66" t="str" cm="1">
        <f t="array" ref="A1">portfolio</f>
        <v>Solar Income LLC</v>
      </c>
      <c r="B1" s="66"/>
      <c r="C1" s="66"/>
      <c r="D1" s="67" t="s">
        <v>35</v>
      </c>
      <c r="E1" s="67"/>
      <c r="F1" s="67"/>
      <c r="G1" s="65" t="s">
        <v>36</v>
      </c>
      <c r="H1" s="65"/>
      <c r="I1" s="65"/>
      <c r="J1" s="4"/>
      <c r="K1" s="4"/>
    </row>
    <row r="2" spans="1:14" ht="19.5" customHeight="1">
      <c r="A2" s="68" t="s">
        <v>2</v>
      </c>
      <c r="B2" s="68"/>
      <c r="C2" s="5">
        <f>SUM(C4:C77)</f>
        <v>70079.620309999998</v>
      </c>
      <c r="D2" s="5">
        <f>SUM(D4:D77)</f>
        <v>0</v>
      </c>
      <c r="E2" s="5">
        <f>C2-D2</f>
        <v>70079.620309999998</v>
      </c>
      <c r="F2" s="6">
        <f>IFERROR(E2/D2, 0)</f>
        <v>0</v>
      </c>
      <c r="G2" s="5">
        <f>SUM(G4:G77)</f>
        <v>35174</v>
      </c>
      <c r="H2" s="7">
        <f>C2-G2</f>
        <v>34905.620309999998</v>
      </c>
      <c r="I2" s="6">
        <f>IFERROR(H2/G2, 0)</f>
        <v>0.99236994114971278</v>
      </c>
      <c r="J2" s="25" t="str">
        <f ca="1">IF(AND(TODAY()&gt;DATE(2024, 3, 1), COUNTA(Sites[Site])&lt;&gt;(COUNT(C:C)-1)), "Some sites are missing actual data; if new sites were added, make sure they are aligned correctly (including prior months!)", "")</f>
        <v/>
      </c>
      <c r="K2" s="4"/>
    </row>
    <row r="3" spans="1:14" ht="14.25" customHeight="1">
      <c r="A3" s="8" t="s">
        <v>3</v>
      </c>
      <c r="B3" s="8" t="s">
        <v>4</v>
      </c>
      <c r="C3" s="22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  <c r="J3" s="24" t="s">
        <v>20</v>
      </c>
      <c r="K3" s="24" t="s">
        <v>21</v>
      </c>
    </row>
    <row r="4" spans="1:14" ht="105.75" customHeight="1">
      <c r="A4" s="30" t="str" cm="1">
        <f t="array" ref="A4:A5">Sites[Site]</f>
        <v>Westbrook - Lee Building 9</v>
      </c>
      <c r="B4" s="27" t="str" cm="1">
        <f t="array" ref="B4:B5">Sites[State]</f>
        <v>CT</v>
      </c>
      <c r="C4" s="23">
        <v>30959.910250000001</v>
      </c>
      <c r="D4" s="12" t="s">
        <v>22</v>
      </c>
      <c r="E4" s="12" t="str">
        <f t="shared" ref="E4:E5" si="0">IF(AND(ISNUMBER(C4),ISNUMBER(D4)), C4-D4, "")</f>
        <v/>
      </c>
      <c r="F4" s="12" t="str">
        <f>IFERROR(E4/D4, "")</f>
        <v/>
      </c>
      <c r="G4" s="14" t="s">
        <v>22</v>
      </c>
      <c r="H4" s="14" t="str">
        <f>IF(AND(ISNUMBER(C4),ISNUMBER(G4)), C4-G4, "")</f>
        <v/>
      </c>
      <c r="I4" s="15" t="str">
        <f>IFERROR(H4/G4, "")</f>
        <v/>
      </c>
      <c r="J4" s="39" t="s">
        <v>37</v>
      </c>
      <c r="K4" s="58" t="s">
        <v>38</v>
      </c>
      <c r="L4" s="63" t="s">
        <v>26</v>
      </c>
      <c r="M4" s="63" t="s">
        <v>33</v>
      </c>
      <c r="N4" s="63" t="s">
        <v>25</v>
      </c>
    </row>
    <row r="5" spans="1:14" ht="28.9">
      <c r="A5" s="28" t="str">
        <v>Westbrook - Lee Building 82</v>
      </c>
      <c r="B5" s="29" t="str">
        <v>CT</v>
      </c>
      <c r="C5" s="11">
        <v>39119.710059999998</v>
      </c>
      <c r="D5" s="17" t="s">
        <v>22</v>
      </c>
      <c r="E5" s="17" t="str">
        <f t="shared" si="0"/>
        <v/>
      </c>
      <c r="F5" s="17" t="str">
        <f>IFERROR(E5/D5, "")</f>
        <v/>
      </c>
      <c r="G5" s="19">
        <v>35174</v>
      </c>
      <c r="H5" s="19">
        <f t="shared" ref="H5" si="1">IF(AND(ISNUMBER(C5),ISNUMBER(G5)), C5-G5, "")</f>
        <v>3945.7100599999976</v>
      </c>
      <c r="I5" s="18">
        <f t="shared" ref="I5" si="2">IFERROR(H5/G5, "")</f>
        <v>0.11217689372832199</v>
      </c>
      <c r="J5" s="40" t="s">
        <v>34</v>
      </c>
      <c r="K5" s="59" t="s">
        <v>28</v>
      </c>
    </row>
    <row r="6" spans="1:14" ht="14.45">
      <c r="A6" s="20"/>
      <c r="B6" s="31"/>
      <c r="C6" s="20"/>
      <c r="D6" s="20"/>
      <c r="E6" s="20"/>
      <c r="F6" s="20"/>
      <c r="G6" s="20"/>
      <c r="H6" s="20"/>
      <c r="I6" s="20"/>
      <c r="J6" s="20"/>
      <c r="K6" s="20"/>
    </row>
    <row r="7" spans="1:14" ht="14.45">
      <c r="A7" s="20"/>
      <c r="B7" s="31"/>
      <c r="C7" s="20"/>
      <c r="D7" s="20"/>
      <c r="E7" s="20"/>
      <c r="F7" s="20"/>
      <c r="G7" s="20"/>
      <c r="H7" s="20"/>
      <c r="I7" s="20"/>
      <c r="J7" s="20"/>
      <c r="K7" s="20"/>
    </row>
    <row r="8" spans="1:14" ht="14.45">
      <c r="A8" s="20"/>
      <c r="B8" s="31"/>
      <c r="C8" s="20"/>
      <c r="D8" s="20"/>
      <c r="E8" s="20"/>
      <c r="F8" s="20"/>
      <c r="G8" s="20"/>
      <c r="H8" s="20"/>
      <c r="I8" s="20"/>
      <c r="J8" s="20"/>
      <c r="K8" s="20"/>
    </row>
    <row r="9" spans="1:14" ht="14.45">
      <c r="A9" s="20"/>
      <c r="B9" s="31"/>
      <c r="C9" s="20"/>
      <c r="D9" s="20"/>
      <c r="E9" s="20"/>
      <c r="F9" s="20"/>
      <c r="G9" s="20"/>
      <c r="H9" s="20"/>
      <c r="I9" s="20"/>
      <c r="J9" s="20"/>
      <c r="K9" s="20"/>
    </row>
    <row r="10" spans="1:14" ht="14.45">
      <c r="A10" s="20"/>
      <c r="B10" s="31"/>
      <c r="C10" s="20"/>
      <c r="D10" s="20"/>
      <c r="E10" s="20"/>
      <c r="F10" s="21"/>
      <c r="G10" s="20"/>
      <c r="H10" s="20"/>
      <c r="I10" s="21"/>
      <c r="J10" s="20"/>
      <c r="K10" s="20"/>
    </row>
    <row r="11" spans="1:14" ht="14.45">
      <c r="A11" s="20"/>
      <c r="B11" s="31"/>
      <c r="C11" s="20"/>
      <c r="D11" s="20"/>
      <c r="E11" s="20"/>
      <c r="F11" s="21"/>
      <c r="G11" s="20"/>
      <c r="H11" s="20"/>
      <c r="I11" s="21"/>
      <c r="J11" s="20"/>
      <c r="K11" s="20"/>
    </row>
    <row r="12" spans="1:14" ht="14.45">
      <c r="A12" s="20"/>
      <c r="B12" s="31"/>
      <c r="C12" s="20"/>
      <c r="D12" s="20"/>
      <c r="E12" s="20"/>
      <c r="F12" s="21"/>
      <c r="G12" s="20"/>
      <c r="H12" s="20"/>
      <c r="I12" s="21"/>
      <c r="J12" s="20"/>
      <c r="K12" s="20"/>
    </row>
    <row r="13" spans="1:14" ht="14.45">
      <c r="A13" s="20"/>
      <c r="B13" s="31"/>
      <c r="C13" s="20"/>
      <c r="D13" s="20"/>
      <c r="E13" s="20"/>
      <c r="F13" s="21"/>
      <c r="G13" s="20"/>
      <c r="H13" s="20"/>
      <c r="I13" s="21"/>
      <c r="J13" s="20"/>
      <c r="K13" s="20"/>
    </row>
    <row r="14" spans="1:14" ht="14.45">
      <c r="A14" s="20"/>
      <c r="B14" s="31"/>
      <c r="C14" s="20"/>
      <c r="D14" s="20"/>
      <c r="E14" s="20"/>
      <c r="F14" s="21"/>
      <c r="G14" s="20"/>
      <c r="H14" s="20"/>
      <c r="I14" s="21"/>
      <c r="J14" s="20"/>
      <c r="K14" s="20"/>
    </row>
    <row r="15" spans="1:14" ht="14.45">
      <c r="A15" s="20"/>
      <c r="B15" s="31"/>
      <c r="C15" s="20"/>
      <c r="D15" s="20"/>
      <c r="E15" s="20"/>
      <c r="F15" s="21"/>
      <c r="G15" s="20"/>
      <c r="H15" s="20"/>
      <c r="I15" s="21"/>
      <c r="J15" s="20"/>
      <c r="K15" s="20"/>
    </row>
    <row r="16" spans="1:14" ht="14.45">
      <c r="A16" s="20"/>
      <c r="B16" s="31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31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31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31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31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31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31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31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31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31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31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31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31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31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31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31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31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31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31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31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31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31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31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31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31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31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31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31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31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31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31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31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31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31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31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31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31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31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31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31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31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31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31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31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31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31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31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31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31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31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31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31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31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31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31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31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31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31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31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31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31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31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31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31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31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31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31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31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31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31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31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31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31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31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31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31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31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31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31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31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31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31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31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31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31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31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31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31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31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31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31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31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31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31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31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31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31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31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31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31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31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31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31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31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31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31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31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31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31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31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31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31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31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31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31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31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31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31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31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31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31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31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31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31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31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31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31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31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31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31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31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31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31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31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31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31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31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31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31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31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31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31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31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31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31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31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31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31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31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31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31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31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31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31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31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31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31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31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31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31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31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31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31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31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31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31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31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31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31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31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31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31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31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31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31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31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31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31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31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31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31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31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31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31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31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31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31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31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31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31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31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31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31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31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31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31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31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31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31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31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31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31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31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31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31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31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31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31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31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31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31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31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31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31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31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31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31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31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31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31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31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31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31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31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31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31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31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31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31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31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31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31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31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31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31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31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31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31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31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31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31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31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31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31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31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31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31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31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31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31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31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31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31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31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31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31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31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31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31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31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31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31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31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31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31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31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31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31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31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31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31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31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31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31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31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31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31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31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31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31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31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31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31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31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31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31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31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31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31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31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31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31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31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31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31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31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31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31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31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31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31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31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31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C319" s="20"/>
      <c r="D319" s="20"/>
      <c r="E319" s="20"/>
      <c r="F319" s="21"/>
      <c r="G319" s="20"/>
      <c r="H319" s="20"/>
      <c r="I319" s="21"/>
      <c r="J319" s="20"/>
      <c r="K319" s="20"/>
    </row>
  </sheetData>
  <mergeCells count="4">
    <mergeCell ref="G1:I1"/>
    <mergeCell ref="A1:C1"/>
    <mergeCell ref="D1:F1"/>
    <mergeCell ref="A2:B2"/>
  </mergeCells>
  <conditionalFormatting sqref="F2 I2 F6:F77">
    <cfRule type="cellIs" dxfId="25" priority="7" stopIfTrue="1" operator="lessThanOrEqual">
      <formula>-0.1</formula>
    </cfRule>
    <cfRule type="expression" dxfId="24" priority="8">
      <formula>AND(ISNUMBER(F2), F2&gt;=0.1)</formula>
    </cfRule>
  </conditionalFormatting>
  <conditionalFormatting sqref="I4:I77">
    <cfRule type="cellIs" dxfId="23" priority="1" stopIfTrue="1" operator="lessThanOrEqual">
      <formula>-0.1</formula>
    </cfRule>
    <cfRule type="expression" dxfId="22" priority="2">
      <formula>AND(ISNUMBER(I4), I4&gt;=0.1)</formula>
    </cfRule>
  </conditionalFormatting>
  <hyperlinks>
    <hyperlink ref="K4" r:id="rId1" display="https://us3.assetplanner.com/service_request?ID=096681" xr:uid="{39A64917-EAEB-443A-9725-388C0B715875}"/>
    <hyperlink ref="L4" r:id="rId2" display="https://us3.assetplanner.com/service_request?ID=092275" xr:uid="{F5CD2496-6C76-4A84-B7E3-B77B5AB16D1F}"/>
    <hyperlink ref="M4" r:id="rId3" display="https://us3.assetplanner.com/service_request?ID=096097" xr:uid="{77F354C1-16B4-415A-A108-5707FF2D4B27}"/>
    <hyperlink ref="N4" r:id="rId4" display="https://us3.assetplanner.com/service_request?ID=091134" xr:uid="{02E16D5E-1A46-4969-BA04-CF338B98DF81}"/>
    <hyperlink ref="K5" r:id="rId5" display="https://us3.assetplanner.com/service_request?ID=085123" xr:uid="{0AA24537-C249-43BB-B7D3-3122D2A07440}"/>
  </hyperlinks>
  <pageMargins left="0.4" right="0.7" top="0.25" bottom="0.25" header="0.3" footer="0.3"/>
  <pageSetup fitToHeight="9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FA865-F03F-435F-98CB-83683B1083B8}">
  <sheetPr codeName="Sheet9">
    <pageSetUpPr fitToPage="1"/>
  </sheetPr>
  <dimension ref="A1:N319"/>
  <sheetViews>
    <sheetView zoomScale="90" zoomScaleNormal="90" workbookViewId="0">
      <pane xSplit="2" ySplit="3" topLeftCell="C4" activePane="bottomRight" state="frozen"/>
      <selection pane="bottomRight" activeCell="G17" sqref="G17"/>
      <selection pane="bottomLeft" activeCell="G17" sqref="G17"/>
      <selection pane="topRight" activeCell="G17" sqref="G17"/>
    </sheetView>
  </sheetViews>
  <sheetFormatPr defaultRowHeight="13.9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  <col min="12" max="14" width="8.85546875" style="62"/>
  </cols>
  <sheetData>
    <row r="1" spans="1:12" ht="19.5" customHeight="1">
      <c r="A1" s="66" t="str" cm="1">
        <f t="array" ref="A1">portfolio</f>
        <v>Solar Income LLC</v>
      </c>
      <c r="B1" s="66"/>
      <c r="C1" s="66"/>
      <c r="D1" s="67" t="s">
        <v>39</v>
      </c>
      <c r="E1" s="67"/>
      <c r="F1" s="67"/>
      <c r="G1" s="65" t="s">
        <v>40</v>
      </c>
      <c r="H1" s="65"/>
      <c r="I1" s="65"/>
      <c r="J1" s="4"/>
      <c r="K1" s="4"/>
    </row>
    <row r="2" spans="1:12" ht="19.5" customHeight="1">
      <c r="A2" s="68" t="s">
        <v>2</v>
      </c>
      <c r="B2" s="68"/>
      <c r="C2" s="5">
        <f>SUM(C4:C77)</f>
        <v>75097.119999999995</v>
      </c>
      <c r="D2" s="5">
        <f>SUM(D4:D77)</f>
        <v>0</v>
      </c>
      <c r="E2" s="5">
        <f>C2-D2</f>
        <v>75097.119999999995</v>
      </c>
      <c r="F2" s="6">
        <f>IFERROR(E2/D2, 0)</f>
        <v>0</v>
      </c>
      <c r="G2" s="5">
        <f>SUM(G4:G77)</f>
        <v>38980.588000000003</v>
      </c>
      <c r="H2" s="7">
        <f>C2-G2</f>
        <v>36116.531999999992</v>
      </c>
      <c r="I2" s="6">
        <f>IFERROR(H2/G2, 0)</f>
        <v>0.92652609550168896</v>
      </c>
      <c r="J2" s="25" t="str">
        <f ca="1">IF(AND(TODAY()&gt;DATE(2024, 4, 1), COUNTA(Sites[Site])&lt;&gt;(COUNT(C:C)-1)), "Some sites are missing actual data; if new sites were added, make sure they are aligned correctly (including prior months!)", "")</f>
        <v/>
      </c>
      <c r="K2" s="4"/>
    </row>
    <row r="3" spans="1:12" ht="14.25" customHeight="1">
      <c r="A3" s="8" t="s">
        <v>3</v>
      </c>
      <c r="B3" s="8" t="s">
        <v>4</v>
      </c>
      <c r="C3" s="22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  <c r="J3" s="24" t="s">
        <v>20</v>
      </c>
      <c r="K3" s="24" t="s">
        <v>21</v>
      </c>
    </row>
    <row r="4" spans="1:12" ht="76.5" customHeight="1">
      <c r="A4" s="30" t="str" cm="1">
        <f t="array" ref="A4:A5">Sites[Site]</f>
        <v>Westbrook - Lee Building 9</v>
      </c>
      <c r="B4" s="27" t="str" cm="1">
        <f t="array" ref="B4:B5">Sites[State]</f>
        <v>CT</v>
      </c>
      <c r="C4" s="23">
        <v>34426.1</v>
      </c>
      <c r="D4" s="12" t="s">
        <v>22</v>
      </c>
      <c r="E4" s="12" t="str">
        <f>IF(AND(ISNUMBER(C4),ISNUMBER(D4)), C4-D4, "")</f>
        <v/>
      </c>
      <c r="F4" s="13" t="str">
        <f>IFERROR(E4/D4, "")</f>
        <v/>
      </c>
      <c r="G4" s="57" t="s">
        <v>22</v>
      </c>
      <c r="H4" s="14" t="str">
        <f>IF(AND(ISNUMBER(C4),ISNUMBER(G4)), C4-G4, "")</f>
        <v/>
      </c>
      <c r="I4" s="15" t="str">
        <f>IFERROR(H4/G4, "")</f>
        <v/>
      </c>
      <c r="J4" s="39" t="s">
        <v>41</v>
      </c>
      <c r="K4" s="58" t="s">
        <v>42</v>
      </c>
      <c r="L4" s="63" t="s">
        <v>25</v>
      </c>
    </row>
    <row r="5" spans="1:12" ht="28.9">
      <c r="A5" s="28" t="str">
        <v>Westbrook - Lee Building 82</v>
      </c>
      <c r="B5" s="29" t="str">
        <v>CT</v>
      </c>
      <c r="C5" s="11">
        <v>40671.019999999997</v>
      </c>
      <c r="D5" s="17" t="s">
        <v>22</v>
      </c>
      <c r="E5" s="17" t="str">
        <f t="shared" ref="E5" si="0">IF(AND(ISNUMBER(C5),ISNUMBER(D5)), C5-D5, "")</f>
        <v/>
      </c>
      <c r="F5" s="18" t="str">
        <f>IFERROR(E5/D5, "")</f>
        <v/>
      </c>
      <c r="G5" s="19">
        <v>38980.588000000003</v>
      </c>
      <c r="H5" s="56">
        <f>IF(AND(ISNUMBER(C5),ISNUMBER(G5)), C5-G5, "")</f>
        <v>1690.4319999999934</v>
      </c>
      <c r="I5" s="18">
        <f t="shared" ref="I5" si="1">IFERROR(H5/G5, "")</f>
        <v>4.3365995402634597E-2</v>
      </c>
      <c r="J5" s="40" t="s">
        <v>34</v>
      </c>
      <c r="K5" s="59" t="s">
        <v>28</v>
      </c>
    </row>
    <row r="6" spans="1:12" ht="14.45">
      <c r="A6" s="20"/>
      <c r="B6" s="31"/>
      <c r="C6" s="20"/>
      <c r="D6" s="20"/>
      <c r="E6" s="20"/>
      <c r="F6" s="20"/>
      <c r="G6" s="20"/>
      <c r="H6" s="20"/>
      <c r="I6" s="20"/>
      <c r="J6" s="20"/>
      <c r="K6" s="20"/>
    </row>
    <row r="7" spans="1:12" ht="14.45">
      <c r="A7" s="20"/>
      <c r="B7" s="31"/>
      <c r="C7" s="20"/>
      <c r="D7" s="20"/>
      <c r="E7" s="20"/>
      <c r="F7" s="20"/>
      <c r="G7" s="20"/>
      <c r="H7" s="20"/>
      <c r="I7" s="20"/>
      <c r="J7" s="20"/>
      <c r="K7" s="20"/>
    </row>
    <row r="8" spans="1:12" ht="14.45">
      <c r="A8" s="20"/>
      <c r="B8" s="31"/>
      <c r="C8" s="20"/>
      <c r="D8" s="20"/>
      <c r="E8" s="20"/>
      <c r="F8" s="20"/>
      <c r="G8" s="20"/>
      <c r="H8" s="20"/>
      <c r="I8" s="20"/>
      <c r="J8" s="20"/>
      <c r="K8" s="20"/>
    </row>
    <row r="9" spans="1:12" ht="14.45">
      <c r="A9" s="20"/>
      <c r="B9" s="31"/>
      <c r="C9" s="20"/>
      <c r="D9" s="20"/>
      <c r="E9" s="20"/>
      <c r="F9" s="20"/>
      <c r="G9" s="20"/>
      <c r="H9" s="20"/>
      <c r="I9" s="20"/>
      <c r="J9" s="20"/>
      <c r="K9" s="20"/>
    </row>
    <row r="10" spans="1:12" ht="14.45">
      <c r="A10" s="20"/>
      <c r="B10" s="31"/>
      <c r="C10" s="20"/>
      <c r="D10" s="20"/>
      <c r="E10" s="20"/>
      <c r="F10" s="21"/>
      <c r="G10" s="20"/>
      <c r="H10" s="20"/>
      <c r="I10" s="21"/>
      <c r="J10" s="20"/>
      <c r="K10" s="20"/>
    </row>
    <row r="11" spans="1:12" ht="14.45">
      <c r="A11" s="20"/>
      <c r="B11" s="31"/>
      <c r="C11" s="20"/>
      <c r="D11" s="20"/>
      <c r="E11" s="20"/>
      <c r="F11" s="21"/>
      <c r="G11" s="20"/>
      <c r="H11" s="20"/>
      <c r="I11" s="21"/>
      <c r="J11" s="20"/>
      <c r="K11" s="20"/>
    </row>
    <row r="12" spans="1:12" ht="14.45">
      <c r="A12" s="20"/>
      <c r="B12" s="31"/>
      <c r="C12" s="20"/>
      <c r="D12" s="20"/>
      <c r="E12" s="20"/>
      <c r="F12" s="21"/>
      <c r="G12" s="20"/>
      <c r="H12" s="20"/>
      <c r="I12" s="21"/>
      <c r="J12" s="20"/>
      <c r="K12" s="20"/>
    </row>
    <row r="13" spans="1:12" ht="14.45">
      <c r="A13" s="20"/>
      <c r="B13" s="31"/>
      <c r="C13" s="20"/>
      <c r="D13" s="20"/>
      <c r="E13" s="20"/>
      <c r="F13" s="21"/>
      <c r="G13" s="20"/>
      <c r="H13" s="20"/>
      <c r="I13" s="21"/>
      <c r="J13" s="20"/>
      <c r="K13" s="20"/>
    </row>
    <row r="14" spans="1:12" ht="14.45">
      <c r="A14" s="20"/>
      <c r="B14" s="31"/>
      <c r="C14" s="20"/>
      <c r="D14" s="20"/>
      <c r="E14" s="20"/>
      <c r="F14" s="21"/>
      <c r="G14" s="20"/>
      <c r="H14" s="20"/>
      <c r="I14" s="21"/>
      <c r="J14" s="20"/>
      <c r="K14" s="20"/>
    </row>
    <row r="15" spans="1:12" ht="14.45">
      <c r="A15" s="20"/>
      <c r="B15" s="31"/>
      <c r="C15" s="20"/>
      <c r="D15" s="20"/>
      <c r="E15" s="20"/>
      <c r="F15" s="21"/>
      <c r="G15" s="20"/>
      <c r="H15" s="20"/>
      <c r="I15" s="21"/>
      <c r="J15" s="20"/>
      <c r="K15" s="20"/>
    </row>
    <row r="16" spans="1:12" ht="14.45">
      <c r="A16" s="20"/>
      <c r="B16" s="31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31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31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31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31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31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31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31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31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31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31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31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31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31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31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31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31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31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31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31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31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31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31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31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31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31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31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31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31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31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31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31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31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31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31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31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31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31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31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31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31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31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31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31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31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31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31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31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31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31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31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31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31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31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31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31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31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31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31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31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31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31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31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31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31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31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31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31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31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31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31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31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31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31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31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31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31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31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31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31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31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31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31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31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31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31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31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31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31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31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31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31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31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31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31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31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31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31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31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31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31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31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31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31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31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31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31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31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31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31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31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31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31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31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31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31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31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31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31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31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31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31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31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31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31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31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31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31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31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31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31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31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31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31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31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31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31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31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31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31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31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31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31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31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31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31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31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31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31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31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31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31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31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31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31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31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31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31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31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31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31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31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31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31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31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31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31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31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31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31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31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31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31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31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31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31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31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31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31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31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31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31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31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31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31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31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31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31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31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31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31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31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31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31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31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31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31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31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31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31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31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31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31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31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31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31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31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31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31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31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31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31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31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31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31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31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31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31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31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31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31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31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31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31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31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31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31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31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31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31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31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31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31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31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31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31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31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31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31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31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31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31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31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31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31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31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31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31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31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31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31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31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31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31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31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31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31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31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31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31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31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31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31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31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31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31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31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31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31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31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31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31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31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31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31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31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31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31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31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31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31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31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31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31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31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31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31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31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31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31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31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31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31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31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31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31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31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31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31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31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31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31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31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C319" s="20"/>
      <c r="D319" s="20"/>
      <c r="E319" s="20"/>
      <c r="F319" s="21"/>
      <c r="G319" s="20"/>
      <c r="H319" s="20"/>
      <c r="I319" s="21"/>
      <c r="J319" s="20"/>
      <c r="K319" s="20"/>
    </row>
  </sheetData>
  <mergeCells count="4">
    <mergeCell ref="G1:I1"/>
    <mergeCell ref="A1:C1"/>
    <mergeCell ref="D1:F1"/>
    <mergeCell ref="A2:B2"/>
  </mergeCells>
  <conditionalFormatting sqref="F2 I2 F4:F77 I4:I77">
    <cfRule type="cellIs" dxfId="21" priority="3" stopIfTrue="1" operator="lessThanOrEqual">
      <formula>-0.1</formula>
    </cfRule>
    <cfRule type="expression" dxfId="20" priority="4">
      <formula>AND(ISNUMBER(F2), F2&gt;=0.1)</formula>
    </cfRule>
  </conditionalFormatting>
  <hyperlinks>
    <hyperlink ref="K4" r:id="rId1" display="https://us3.assetplanner.com/service_request?ID=096097" xr:uid="{1EC380A2-A42B-41A7-8D42-61C90C7230C7}"/>
    <hyperlink ref="L4" r:id="rId2" display="https://us3.assetplanner.com/service_request?ID=091134" xr:uid="{F986CD69-FC8E-4E7A-ADF7-5C9F6BFA5AD2}"/>
    <hyperlink ref="K5" r:id="rId3" display="https://us3.assetplanner.com/service_request?ID=085123" xr:uid="{E183E5BB-C152-4E55-A0A4-67FC6ADF3A34}"/>
  </hyperlinks>
  <pageMargins left="0.4" right="0.7" top="0.25" bottom="0.25" header="0.3" footer="0.3"/>
  <pageSetup fitToHeight="9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A3C74-EDA3-4B8F-8C65-FD4243AE8FF6}">
  <sheetPr codeName="Sheet10">
    <pageSetUpPr fitToPage="1"/>
  </sheetPr>
  <dimension ref="A1:N319"/>
  <sheetViews>
    <sheetView zoomScale="60" zoomScaleNormal="60" workbookViewId="0">
      <pane xSplit="2" ySplit="3" topLeftCell="C4" activePane="bottomRight" state="frozen"/>
      <selection pane="bottomRight" activeCell="G15" sqref="G15"/>
      <selection pane="bottomLeft" activeCell="G17" sqref="G17"/>
      <selection pane="topRight" activeCell="G17" sqref="G17"/>
    </sheetView>
  </sheetViews>
  <sheetFormatPr defaultRowHeight="13.9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  <col min="12" max="14" width="8.85546875" style="62"/>
  </cols>
  <sheetData>
    <row r="1" spans="1:14" ht="19.5" customHeight="1">
      <c r="A1" s="66" t="str" cm="1">
        <f t="array" ref="A1">portfolio</f>
        <v>Solar Income LLC</v>
      </c>
      <c r="B1" s="66"/>
      <c r="C1" s="66"/>
      <c r="D1" s="67" t="s">
        <v>43</v>
      </c>
      <c r="E1" s="67"/>
      <c r="F1" s="67"/>
      <c r="G1" s="65" t="s">
        <v>44</v>
      </c>
      <c r="H1" s="65"/>
      <c r="I1" s="65"/>
      <c r="J1" s="4"/>
      <c r="K1" s="4"/>
    </row>
    <row r="2" spans="1:14" ht="19.5" customHeight="1">
      <c r="A2" s="68" t="s">
        <v>2</v>
      </c>
      <c r="B2" s="68"/>
      <c r="C2" s="5">
        <f>SUM(C4:C77)</f>
        <v>73033.34</v>
      </c>
      <c r="D2" s="5">
        <f>SUM(D4:D77)</f>
        <v>0</v>
      </c>
      <c r="E2" s="5">
        <f>C2-D2</f>
        <v>73033.34</v>
      </c>
      <c r="F2" s="6">
        <f>IFERROR(E2/D2, 0)</f>
        <v>0</v>
      </c>
      <c r="G2" s="5">
        <f>SUM(G4:G77)</f>
        <v>42287.328000000001</v>
      </c>
      <c r="H2" s="7">
        <f>C2-G2</f>
        <v>30746.011999999995</v>
      </c>
      <c r="I2" s="6">
        <f>IFERROR(H2/G2, 0)</f>
        <v>0.72707388842350107</v>
      </c>
      <c r="J2" s="25" t="str">
        <f ca="1">IF(AND(TODAY()&gt;DATE(2024, 5, 1), COUNTA(Sites[Site])&lt;&gt;(COUNT(C:C)-1)), "Some sites are missing actual data; if new sites were added, make sure they are aligned correctly (including prior months!)", "")</f>
        <v/>
      </c>
      <c r="K2" s="4"/>
    </row>
    <row r="3" spans="1:14" ht="14.25" customHeight="1">
      <c r="A3" s="8" t="s">
        <v>3</v>
      </c>
      <c r="B3" s="8" t="s">
        <v>4</v>
      </c>
      <c r="C3" s="22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  <c r="J3" s="24" t="s">
        <v>20</v>
      </c>
      <c r="K3" s="24" t="s">
        <v>21</v>
      </c>
    </row>
    <row r="4" spans="1:14" ht="100.9">
      <c r="A4" s="30" t="str" cm="1">
        <f t="array" ref="A4:A5">Sites[Site]</f>
        <v>Westbrook - Lee Building 9</v>
      </c>
      <c r="B4" s="27" t="str" cm="1">
        <f t="array" ref="B4:B5">Sites[State]</f>
        <v>CT</v>
      </c>
      <c r="C4" s="23">
        <v>33152.03</v>
      </c>
      <c r="D4" s="12" t="s">
        <v>22</v>
      </c>
      <c r="E4" s="12" t="str">
        <f>IF(AND(ISNUMBER(C4),ISNUMBER(D4)), C4-D4, "")</f>
        <v/>
      </c>
      <c r="F4" s="13" t="str">
        <f>IFERROR(E4/D4, "")</f>
        <v/>
      </c>
      <c r="G4" s="69" t="s">
        <v>22</v>
      </c>
      <c r="H4" s="14" t="str">
        <f>IF(AND(ISNUMBER(C4),ISNUMBER(G4)), C4-G4, "")</f>
        <v/>
      </c>
      <c r="I4" s="15" t="str">
        <f>IFERROR(H4/G4, "")</f>
        <v/>
      </c>
      <c r="J4" s="39" t="s">
        <v>45</v>
      </c>
      <c r="K4" s="58" t="s">
        <v>46</v>
      </c>
      <c r="L4" s="63" t="s">
        <v>25</v>
      </c>
      <c r="M4" s="64" t="s">
        <v>47</v>
      </c>
      <c r="N4" s="63" t="s">
        <v>48</v>
      </c>
    </row>
    <row r="5" spans="1:14" ht="28.9">
      <c r="A5" s="28" t="str">
        <v>Westbrook - Lee Building 82</v>
      </c>
      <c r="B5" s="29" t="str">
        <v>CT</v>
      </c>
      <c r="C5" s="11">
        <v>39881.31</v>
      </c>
      <c r="D5" s="17" t="s">
        <v>22</v>
      </c>
      <c r="E5" s="17" t="str">
        <f t="shared" ref="E5" si="0">IF(AND(ISNUMBER(C5),ISNUMBER(D5)), C5-D5, "")</f>
        <v/>
      </c>
      <c r="F5" s="18" t="str">
        <f>IFERROR(E5/D5, "")</f>
        <v/>
      </c>
      <c r="G5" s="19">
        <v>42287.328000000001</v>
      </c>
      <c r="H5" s="56">
        <f>IF(AND(ISNUMBER(C5),ISNUMBER(G5)), C5-G5, "")</f>
        <v>-2406.0180000000037</v>
      </c>
      <c r="I5" s="18">
        <f t="shared" ref="I5" si="1">IFERROR(H5/G5, "")</f>
        <v>-5.6896903015485008E-2</v>
      </c>
      <c r="J5" s="40" t="s">
        <v>34</v>
      </c>
      <c r="K5" s="59" t="s">
        <v>28</v>
      </c>
    </row>
    <row r="6" spans="1:14" ht="14.45">
      <c r="A6" s="20"/>
      <c r="B6" s="31"/>
      <c r="C6" s="20"/>
      <c r="D6" s="20"/>
      <c r="E6" s="20"/>
      <c r="F6" s="20"/>
      <c r="G6" s="20"/>
      <c r="H6" s="20"/>
      <c r="I6" s="20"/>
      <c r="J6" s="20"/>
      <c r="K6" s="20"/>
    </row>
    <row r="7" spans="1:14" ht="14.45">
      <c r="A7" s="20"/>
      <c r="B7" s="31"/>
      <c r="C7" s="20"/>
      <c r="D7" s="20"/>
      <c r="E7" s="20"/>
      <c r="F7" s="20"/>
      <c r="G7" s="20"/>
      <c r="H7" s="20"/>
      <c r="I7" s="20"/>
      <c r="J7" s="20"/>
      <c r="K7" s="20"/>
    </row>
    <row r="8" spans="1:14" ht="14.45">
      <c r="A8" s="20"/>
      <c r="B8" s="31"/>
      <c r="C8" s="20"/>
      <c r="D8" s="20"/>
      <c r="E8" s="20"/>
      <c r="F8" s="20"/>
      <c r="G8" s="20"/>
      <c r="H8" s="20"/>
      <c r="I8" s="20"/>
      <c r="J8" s="20"/>
      <c r="K8" s="20"/>
    </row>
    <row r="9" spans="1:14" ht="14.45">
      <c r="A9" s="20"/>
      <c r="B9" s="31"/>
      <c r="C9" s="20"/>
      <c r="D9" s="20"/>
      <c r="E9" s="20"/>
      <c r="F9" s="20"/>
      <c r="G9" s="20"/>
      <c r="H9" s="20"/>
      <c r="I9" s="20"/>
      <c r="J9" s="20"/>
      <c r="K9" s="20"/>
    </row>
    <row r="10" spans="1:14" ht="14.45">
      <c r="A10" s="20"/>
      <c r="B10" s="31"/>
      <c r="C10" s="20"/>
      <c r="D10" s="20"/>
      <c r="E10" s="20"/>
      <c r="F10" s="21"/>
      <c r="G10" s="20"/>
      <c r="H10" s="20"/>
      <c r="I10" s="21"/>
      <c r="J10" s="20"/>
      <c r="K10" s="20"/>
    </row>
    <row r="11" spans="1:14" ht="14.45">
      <c r="A11" s="20"/>
      <c r="B11" s="31"/>
      <c r="C11" s="20"/>
      <c r="D11" s="20"/>
      <c r="E11" s="20"/>
      <c r="F11" s="21"/>
      <c r="G11" s="20"/>
      <c r="H11" s="20"/>
      <c r="I11" s="21"/>
      <c r="J11" s="20"/>
      <c r="K11" s="20"/>
    </row>
    <row r="12" spans="1:14" ht="14.45">
      <c r="A12" s="20"/>
      <c r="B12" s="31"/>
      <c r="C12" s="20"/>
      <c r="D12" s="20"/>
      <c r="E12" s="20"/>
      <c r="F12" s="21"/>
      <c r="G12" s="20"/>
      <c r="H12" s="20"/>
      <c r="I12" s="21"/>
      <c r="J12" s="20"/>
      <c r="K12" s="20"/>
    </row>
    <row r="13" spans="1:14" ht="14.45">
      <c r="A13" s="20"/>
      <c r="B13" s="31"/>
      <c r="C13" s="20"/>
      <c r="D13" s="20"/>
      <c r="E13" s="20"/>
      <c r="F13" s="21"/>
      <c r="G13" s="20"/>
      <c r="H13" s="20"/>
      <c r="I13" s="21"/>
      <c r="J13" s="20"/>
      <c r="K13" s="20"/>
    </row>
    <row r="14" spans="1:14" ht="14.45">
      <c r="A14" s="20"/>
      <c r="B14" s="31"/>
      <c r="C14" s="20"/>
      <c r="D14" s="20"/>
      <c r="E14" s="20"/>
      <c r="F14" s="21"/>
      <c r="G14" s="20"/>
      <c r="H14" s="20"/>
      <c r="I14" s="21"/>
      <c r="J14" s="20"/>
      <c r="K14" s="20"/>
    </row>
    <row r="15" spans="1:14" ht="14.45">
      <c r="A15" s="20"/>
      <c r="B15" s="31"/>
      <c r="C15" s="20"/>
      <c r="D15" s="20"/>
      <c r="E15" s="20"/>
      <c r="F15" s="21"/>
      <c r="G15" s="20"/>
      <c r="H15" s="20"/>
      <c r="I15" s="21"/>
      <c r="J15" s="20"/>
      <c r="K15" s="20"/>
    </row>
    <row r="16" spans="1:14" ht="14.45">
      <c r="A16" s="20"/>
      <c r="B16" s="31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31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31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31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31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31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31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31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31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31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31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31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31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31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31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31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31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31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31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31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31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31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31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31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31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31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31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31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31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31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31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31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31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31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31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31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31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31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31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31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31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31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31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31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31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31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31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31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31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31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31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31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31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31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31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31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31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31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31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31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31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31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31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31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31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31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31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31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31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31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31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31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31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31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31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31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31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31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31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31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31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31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31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31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31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31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31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31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31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31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31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31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31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31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31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31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31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31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31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31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31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31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31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31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31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31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31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31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31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31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31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31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31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31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31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31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31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31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31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31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31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31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31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31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31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31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31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31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31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31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31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31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31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31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31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31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31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31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31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31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31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31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31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31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31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31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31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31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31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31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31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31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31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31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31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31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31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31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31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31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31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31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31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31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31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31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31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31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31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31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31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31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31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31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31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31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31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31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31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31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31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31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31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31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31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31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31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31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31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31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31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31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31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31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31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31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31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31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31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31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31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31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31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31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31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31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31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31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31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31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31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31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31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31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31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31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31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31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31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31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31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31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31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31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31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31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31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31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31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31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31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31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31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31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31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31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31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31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31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31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31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31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31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31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31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31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31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31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31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31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31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31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31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31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31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31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31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31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31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31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31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31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31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31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31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31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31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31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31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31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31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31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31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31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31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31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31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31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31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31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31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31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31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31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31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31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31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31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31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31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31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31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31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31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31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31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31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31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31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31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31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31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31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C319" s="20"/>
      <c r="D319" s="20"/>
      <c r="E319" s="20"/>
      <c r="F319" s="21"/>
      <c r="G319" s="20"/>
      <c r="H319" s="20"/>
      <c r="I319" s="21"/>
      <c r="J319" s="20"/>
      <c r="K319" s="20"/>
    </row>
  </sheetData>
  <mergeCells count="4">
    <mergeCell ref="G1:I1"/>
    <mergeCell ref="A1:C1"/>
    <mergeCell ref="D1:F1"/>
    <mergeCell ref="A2:B2"/>
  </mergeCells>
  <conditionalFormatting sqref="F2 I2 F4:F77 I4:I77">
    <cfRule type="cellIs" dxfId="19" priority="3" stopIfTrue="1" operator="lessThanOrEqual">
      <formula>-0.1</formula>
    </cfRule>
    <cfRule type="expression" dxfId="18" priority="4">
      <formula>AND(ISNUMBER(F2), F2&gt;=0.1)</formula>
    </cfRule>
  </conditionalFormatting>
  <hyperlinks>
    <hyperlink ref="K4" r:id="rId1" display="https://us3.assetplanner.com/service_request?ID=096097" xr:uid="{5955E969-E26C-475A-AA8E-2F7EB5E2E7A4}"/>
    <hyperlink ref="L4" r:id="rId2" display="https://us3.assetplanner.com/service_request?ID=091134" xr:uid="{73439C17-71B1-4F27-898F-23D9FE697AD7}"/>
    <hyperlink ref="M4" r:id="rId3" display="https://us3.assetplanner.com/service_request?ID=92275" xr:uid="{CFCD6F37-8E95-459B-8028-CACE5A684611}"/>
    <hyperlink ref="N4" r:id="rId4" display="https://us3.assetplanner.com/service_request?ID=101806" xr:uid="{565D6DD6-DF15-4EAB-94B2-CEBCA86C4244}"/>
    <hyperlink ref="K5" r:id="rId5" display="https://us3.assetplanner.com/service_request?ID=085123" xr:uid="{FDEDF8FF-3564-48A4-A2B9-6B91DD029650}"/>
  </hyperlinks>
  <pageMargins left="0.4" right="0.7" top="0.25" bottom="0.25" header="0.3" footer="0.3"/>
  <pageSetup fitToHeight="99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8AFFB-6AF8-48AC-9706-52E390C2AC4B}">
  <sheetPr codeName="Sheet11">
    <pageSetUpPr fitToPage="1"/>
  </sheetPr>
  <dimension ref="A1:N319"/>
  <sheetViews>
    <sheetView tabSelected="1" zoomScale="80" zoomScaleNormal="80" workbookViewId="0">
      <pane xSplit="2" ySplit="3" topLeftCell="C4" activePane="bottomRight" state="frozen"/>
      <selection pane="bottomRight" activeCell="I21" sqref="I21"/>
      <selection pane="bottomLeft" activeCell="G17" sqref="G17"/>
      <selection pane="topRight" activeCell="G17" sqref="G17"/>
    </sheetView>
  </sheetViews>
  <sheetFormatPr defaultRowHeight="13.9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  <col min="12" max="14" width="8.85546875" style="62"/>
  </cols>
  <sheetData>
    <row r="1" spans="1:14" ht="19.5" customHeight="1">
      <c r="A1" s="66" t="str" cm="1">
        <f t="array" ref="A1">portfolio</f>
        <v>Solar Income LLC</v>
      </c>
      <c r="B1" s="66"/>
      <c r="C1" s="66"/>
      <c r="D1" s="67" t="s">
        <v>49</v>
      </c>
      <c r="E1" s="67"/>
      <c r="F1" s="67"/>
      <c r="G1" s="65" t="s">
        <v>50</v>
      </c>
      <c r="H1" s="65"/>
      <c r="I1" s="65"/>
      <c r="J1" s="4"/>
      <c r="K1" s="4"/>
    </row>
    <row r="2" spans="1:14" ht="19.5" customHeight="1">
      <c r="A2" s="68" t="s">
        <v>2</v>
      </c>
      <c r="B2" s="68"/>
      <c r="C2" s="5">
        <f>SUM(C4:C77)</f>
        <v>81644.200000000012</v>
      </c>
      <c r="D2" s="5">
        <f>SUM(D4:D77)</f>
        <v>0</v>
      </c>
      <c r="E2" s="5">
        <f>C2-D2</f>
        <v>81644.200000000012</v>
      </c>
      <c r="F2" s="6">
        <f>IFERROR(E2/D2, 0)</f>
        <v>0</v>
      </c>
      <c r="G2" s="5">
        <f>SUM(G4:G77)</f>
        <v>41311.065999999999</v>
      </c>
      <c r="H2" s="7">
        <f>C2-G2</f>
        <v>40333.134000000013</v>
      </c>
      <c r="I2" s="6">
        <f>IFERROR(H2/G2, 0)</f>
        <v>0.97632760190695667</v>
      </c>
      <c r="J2" s="25" t="str">
        <f ca="1">IF(AND(TODAY()&gt;DATE(2024, 6, 1), COUNTA(Sites[Site])&lt;&gt;(COUNT(C:C)-1)), "Some sites are missing actual data; if new sites were added, make sure they are aligned correctly (including prior months!)", "")</f>
        <v/>
      </c>
      <c r="K2" s="4"/>
    </row>
    <row r="3" spans="1:14" ht="14.25" customHeight="1">
      <c r="A3" s="8" t="s">
        <v>3</v>
      </c>
      <c r="B3" s="8" t="s">
        <v>4</v>
      </c>
      <c r="C3" s="22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  <c r="J3" s="24" t="s">
        <v>20</v>
      </c>
      <c r="K3" s="24" t="s">
        <v>21</v>
      </c>
    </row>
    <row r="4" spans="1:14" ht="63" customHeight="1">
      <c r="A4" s="30" t="str" cm="1">
        <f t="array" ref="A4:A5">Sites[Site]</f>
        <v>Westbrook - Lee Building 9</v>
      </c>
      <c r="B4" s="27" t="str" cm="1">
        <f t="array" ref="B4:B5">Sites[State]</f>
        <v>CT</v>
      </c>
      <c r="C4" s="23">
        <v>36419.97</v>
      </c>
      <c r="D4" s="12" t="s">
        <v>22</v>
      </c>
      <c r="E4" s="12" t="str">
        <f>IF(AND(ISNUMBER(C4),ISNUMBER(D4)), C4-D4, "")</f>
        <v/>
      </c>
      <c r="F4" s="13" t="str">
        <f>IFERROR(E4/D4, "")</f>
        <v/>
      </c>
      <c r="G4" s="57" t="s">
        <v>22</v>
      </c>
      <c r="H4" s="14" t="str">
        <f>IF(AND(ISNUMBER(C4),ISNUMBER(G4)), C4-G4, "")</f>
        <v/>
      </c>
      <c r="I4" s="15" t="str">
        <f>IFERROR(H4/G4, "")</f>
        <v/>
      </c>
      <c r="J4" s="39" t="s">
        <v>51</v>
      </c>
      <c r="K4" s="58" t="s">
        <v>52</v>
      </c>
      <c r="L4" s="63" t="s">
        <v>33</v>
      </c>
      <c r="M4" s="63" t="s">
        <v>25</v>
      </c>
      <c r="N4" s="63" t="s">
        <v>26</v>
      </c>
    </row>
    <row r="5" spans="1:14" ht="28.9">
      <c r="A5" s="28" t="str">
        <v>Westbrook - Lee Building 82</v>
      </c>
      <c r="B5" s="29" t="str">
        <v>CT</v>
      </c>
      <c r="C5" s="11">
        <v>45224.23</v>
      </c>
      <c r="D5" s="17" t="s">
        <v>22</v>
      </c>
      <c r="E5" s="17" t="str">
        <f t="shared" ref="E5" si="0">IF(AND(ISNUMBER(C5),ISNUMBER(D5)), C5-D5, "")</f>
        <v/>
      </c>
      <c r="F5" s="18" t="str">
        <f>IFERROR(E5/D5, "")</f>
        <v/>
      </c>
      <c r="G5" s="19">
        <v>41311.065999999999</v>
      </c>
      <c r="H5" s="56">
        <f>IF(AND(ISNUMBER(C5),ISNUMBER(G5)), C5-G5, "")</f>
        <v>3913.1640000000043</v>
      </c>
      <c r="I5" s="18">
        <f t="shared" ref="I5" si="1">IFERROR(H5/G5, "")</f>
        <v>9.4724353034124187E-2</v>
      </c>
      <c r="J5" s="40" t="s">
        <v>34</v>
      </c>
      <c r="K5" s="59" t="s">
        <v>28</v>
      </c>
    </row>
    <row r="6" spans="1:14" ht="14.45">
      <c r="A6" s="20"/>
      <c r="B6" s="31"/>
      <c r="C6" s="20"/>
      <c r="D6" s="20"/>
      <c r="E6" s="20"/>
      <c r="F6" s="20"/>
      <c r="G6" s="20"/>
      <c r="H6" s="20"/>
      <c r="I6" s="20"/>
      <c r="J6" s="20"/>
      <c r="K6" s="20"/>
    </row>
    <row r="7" spans="1:14" ht="14.45">
      <c r="A7" s="20"/>
      <c r="B7" s="31"/>
      <c r="C7" s="20"/>
      <c r="D7" s="20"/>
      <c r="E7" s="20"/>
      <c r="F7" s="20"/>
      <c r="G7" s="20"/>
      <c r="H7" s="20"/>
      <c r="I7" s="20"/>
      <c r="J7" s="20"/>
      <c r="K7" s="20"/>
    </row>
    <row r="8" spans="1:14" ht="14.45">
      <c r="A8" s="20"/>
      <c r="B8" s="31"/>
      <c r="C8" s="20"/>
      <c r="D8" s="20"/>
      <c r="E8" s="20"/>
      <c r="F8" s="20"/>
      <c r="G8" s="20"/>
      <c r="H8" s="20"/>
      <c r="I8" s="20"/>
      <c r="J8" s="20"/>
      <c r="K8" s="20"/>
    </row>
    <row r="9" spans="1:14" ht="14.45">
      <c r="A9" s="20"/>
      <c r="B9" s="31"/>
      <c r="C9" s="20"/>
      <c r="D9" s="20"/>
      <c r="E9" s="20"/>
      <c r="F9" s="20"/>
      <c r="G9" s="20"/>
      <c r="H9" s="20"/>
      <c r="I9" s="20"/>
      <c r="J9" s="20"/>
      <c r="K9" s="20"/>
    </row>
    <row r="10" spans="1:14" ht="14.45">
      <c r="A10" s="20"/>
      <c r="B10" s="31"/>
      <c r="C10" s="20"/>
      <c r="D10" s="20"/>
      <c r="E10" s="20"/>
      <c r="F10" s="21"/>
      <c r="G10" s="20"/>
      <c r="H10" s="20"/>
      <c r="I10" s="21"/>
      <c r="J10" s="20"/>
      <c r="K10" s="20"/>
    </row>
    <row r="11" spans="1:14" ht="14.45">
      <c r="A11" s="20"/>
      <c r="B11" s="31"/>
      <c r="C11" s="20"/>
      <c r="D11" s="20"/>
      <c r="E11" s="20"/>
      <c r="F11" s="21"/>
      <c r="G11" s="20"/>
      <c r="H11" s="20"/>
      <c r="I11" s="21"/>
      <c r="J11" s="20"/>
      <c r="K11" s="20"/>
    </row>
    <row r="12" spans="1:14" ht="14.45">
      <c r="A12" s="20"/>
      <c r="B12" s="31"/>
      <c r="C12" s="20"/>
      <c r="D12" s="20"/>
      <c r="E12" s="20"/>
      <c r="F12" s="21"/>
      <c r="G12" s="20"/>
      <c r="H12" s="20"/>
      <c r="I12" s="21"/>
      <c r="J12" s="20"/>
      <c r="K12" s="20"/>
    </row>
    <row r="13" spans="1:14" ht="14.45">
      <c r="A13" s="20"/>
      <c r="B13" s="31"/>
      <c r="C13" s="20"/>
      <c r="D13" s="20"/>
      <c r="E13" s="20"/>
      <c r="F13" s="21"/>
      <c r="G13" s="20"/>
      <c r="H13" s="20"/>
      <c r="I13" s="21"/>
      <c r="J13" s="20"/>
      <c r="K13" s="20"/>
    </row>
    <row r="14" spans="1:14" ht="14.45">
      <c r="A14" s="20"/>
      <c r="B14" s="31"/>
      <c r="C14" s="20"/>
      <c r="D14" s="20"/>
      <c r="E14" s="20"/>
      <c r="F14" s="21"/>
      <c r="G14" s="20"/>
      <c r="H14" s="20"/>
      <c r="I14" s="21"/>
      <c r="J14" s="20"/>
      <c r="K14" s="20"/>
    </row>
    <row r="15" spans="1:14" ht="14.45">
      <c r="A15" s="20"/>
      <c r="B15" s="31"/>
      <c r="C15" s="20"/>
      <c r="D15" s="20"/>
      <c r="E15" s="20"/>
      <c r="F15" s="21"/>
      <c r="G15" s="20"/>
      <c r="H15" s="20"/>
      <c r="I15" s="21"/>
      <c r="J15" s="20"/>
      <c r="K15" s="20"/>
    </row>
    <row r="16" spans="1:14" ht="14.45">
      <c r="A16" s="20"/>
      <c r="B16" s="31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31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31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31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31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31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31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31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31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31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31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31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31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31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31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31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31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31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31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31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31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31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31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31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31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31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31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31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31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31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31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31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31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31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31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31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31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31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31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31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31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31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31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31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31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31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31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31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31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31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31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31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31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31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31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31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31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31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31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31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31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31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31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31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31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31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31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31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31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31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31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31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31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31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31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31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31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31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31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31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31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31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31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31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31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31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31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31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31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31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31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31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31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31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31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31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31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31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31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31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31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31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31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31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31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31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31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31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31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31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31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31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31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31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31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31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31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31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31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31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31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31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31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31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31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31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31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31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31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31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31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31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31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31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31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31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31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31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31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31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31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31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31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31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31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31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31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31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31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31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31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31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31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31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31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31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31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31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31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31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31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31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31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31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31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31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31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31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31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31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31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31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31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31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31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31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31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31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31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31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31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31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31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31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31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31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31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31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31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31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31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31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31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31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31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31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31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31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31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31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31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31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31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31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31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31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31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31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31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31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31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31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31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31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31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31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31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31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31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31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31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31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31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31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31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31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31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31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31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31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31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31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31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31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31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31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31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31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31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31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31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31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31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31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31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31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31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31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31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31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31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31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31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31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31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31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31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31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31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31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31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31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31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31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31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31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31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31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31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31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31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31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31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31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31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31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31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31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31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31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31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31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31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31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31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31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31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31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31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31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31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31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31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31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31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31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31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31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31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31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31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31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31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C319" s="20"/>
      <c r="D319" s="20"/>
      <c r="E319" s="20"/>
      <c r="F319" s="21"/>
      <c r="G319" s="20"/>
      <c r="H319" s="20"/>
      <c r="I319" s="21"/>
      <c r="J319" s="20"/>
      <c r="K319" s="20"/>
    </row>
  </sheetData>
  <mergeCells count="4">
    <mergeCell ref="G1:I1"/>
    <mergeCell ref="A1:C1"/>
    <mergeCell ref="D1:F1"/>
    <mergeCell ref="A2:B2"/>
  </mergeCells>
  <conditionalFormatting sqref="F2 I2 F4:F77 I4:I77">
    <cfRule type="cellIs" dxfId="17" priority="3" stopIfTrue="1" operator="lessThanOrEqual">
      <formula>-0.1</formula>
    </cfRule>
    <cfRule type="expression" dxfId="16" priority="4">
      <formula>AND(ISNUMBER(F2), F2&gt;=0.1)</formula>
    </cfRule>
  </conditionalFormatting>
  <hyperlinks>
    <hyperlink ref="K4" r:id="rId1" display="https://us3.assetplanner.com/service_request?ID=103398" xr:uid="{FBAA93B9-41B9-4BFB-AD27-4D831FFE2BEC}"/>
    <hyperlink ref="L4" r:id="rId2" display="https://us3.assetplanner.com/service_request?ID=096097" xr:uid="{678FBCE1-38BE-43E9-A15C-F5298CD2BEE9}"/>
    <hyperlink ref="M4" r:id="rId3" display="https://us3.assetplanner.com/service_request?ID=091134" xr:uid="{3185E7F2-36E6-451E-A363-7DBCC98F72DB}"/>
    <hyperlink ref="N4" r:id="rId4" display="https://us3.assetplanner.com/service_request?ID=092275" xr:uid="{E928FA3A-46F2-4CC2-8218-B1882851A0F3}"/>
    <hyperlink ref="K5" r:id="rId5" display="https://us3.assetplanner.com/service_request?ID=085123" xr:uid="{9691CEC2-3EFA-400F-9694-389B4F216FE3}"/>
  </hyperlinks>
  <pageMargins left="0.4" right="0.7" top="0.25" bottom="0.25" header="0.3" footer="0.3"/>
  <pageSetup fitToHeight="99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CD936-B73F-469A-B0B5-B8EA155C9C51}">
  <sheetPr codeName="Sheet12">
    <pageSetUpPr fitToPage="1"/>
  </sheetPr>
  <dimension ref="A1:K319"/>
  <sheetViews>
    <sheetView workbookViewId="0">
      <pane xSplit="2" ySplit="3" topLeftCell="C4" activePane="bottomRight" state="frozen"/>
      <selection pane="bottomRight" activeCell="D13" sqref="D13"/>
      <selection pane="bottomLeft" activeCell="J4" activeCellId="3" sqref="C4:C5 D4:D6 G4:G5 J4:K5"/>
      <selection pane="topRight" activeCell="J4" activeCellId="3" sqref="C4:C5 D4:D6 G4:G5 J4:K5"/>
    </sheetView>
  </sheetViews>
  <sheetFormatPr defaultRowHeight="13.9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6" t="str" cm="1">
        <f t="array" ref="A1">portfolio</f>
        <v>Solar Income LLC</v>
      </c>
      <c r="B1" s="66"/>
      <c r="C1" s="66"/>
      <c r="D1" s="67" t="s">
        <v>53</v>
      </c>
      <c r="E1" s="67"/>
      <c r="F1" s="67"/>
      <c r="G1" s="65" t="s">
        <v>54</v>
      </c>
      <c r="H1" s="65"/>
      <c r="I1" s="65"/>
      <c r="J1" s="4"/>
      <c r="K1" s="4"/>
    </row>
    <row r="2" spans="1:11" ht="19.5" customHeight="1">
      <c r="A2" s="68" t="s">
        <v>2</v>
      </c>
      <c r="B2" s="68"/>
      <c r="C2" s="5">
        <f>SUM(C4:C77)</f>
        <v>0</v>
      </c>
      <c r="D2" s="5">
        <f>SUM(D4:D77)</f>
        <v>0</v>
      </c>
      <c r="E2" s="5">
        <f>C2-D2</f>
        <v>0</v>
      </c>
      <c r="F2" s="6">
        <f>IFERROR(E2/D2, 0)</f>
        <v>0</v>
      </c>
      <c r="G2" s="5">
        <f>SUM(G4:G77)</f>
        <v>0</v>
      </c>
      <c r="H2" s="7">
        <f>C2-G2</f>
        <v>0</v>
      </c>
      <c r="I2" s="6">
        <f>IFERROR(H2/G2, 0)</f>
        <v>0</v>
      </c>
      <c r="J2" s="25" t="str">
        <f ca="1">IF(AND(TODAY()&gt;DATE(2024, 7,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  <c r="J3" s="24" t="s">
        <v>20</v>
      </c>
      <c r="K3" s="24" t="s">
        <v>21</v>
      </c>
    </row>
    <row r="4" spans="1:11" ht="15.6">
      <c r="A4" s="30" t="str" cm="1">
        <f t="array" ref="A4:A5">Sites[Site]</f>
        <v>Westbrook - Lee Building 9</v>
      </c>
      <c r="B4" s="27" t="str" cm="1">
        <f t="array" ref="B4:B5">Sites[State]</f>
        <v>CT</v>
      </c>
      <c r="C4" s="23"/>
      <c r="D4" s="12"/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39"/>
      <c r="K4" s="39"/>
    </row>
    <row r="5" spans="1:11" ht="15.6">
      <c r="A5" s="28" t="str">
        <v>Westbrook - Lee Building 82</v>
      </c>
      <c r="B5" s="29" t="str">
        <v>CT</v>
      </c>
      <c r="C5" s="11"/>
      <c r="D5" s="17"/>
      <c r="E5" s="17" t="str">
        <f t="shared" ref="E5" si="0">IF(AND(ISNUMBER(C5),ISNUMBER(D5)), C5-D5, "")</f>
        <v/>
      </c>
      <c r="F5" s="18" t="str">
        <f>IFERROR(E5/D5, "")</f>
        <v/>
      </c>
      <c r="G5" s="19"/>
      <c r="H5" s="19" t="str">
        <f t="shared" ref="H5" si="1">IF(AND(ISNUMBER(C5),ISNUMBER(G5)), C5-G5, "")</f>
        <v/>
      </c>
      <c r="I5" s="18" t="str">
        <f t="shared" ref="I5" si="2">IFERROR(H5/G5, "")</f>
        <v/>
      </c>
      <c r="J5" s="40"/>
      <c r="K5" s="51"/>
    </row>
    <row r="6" spans="1:11" ht="14.45">
      <c r="A6" s="20"/>
      <c r="B6" s="31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31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31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31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31"/>
      <c r="C10" s="20"/>
      <c r="D10" s="20"/>
      <c r="E10" s="20"/>
      <c r="F10" s="21"/>
      <c r="G10" s="20"/>
      <c r="H10" s="20"/>
      <c r="I10" s="21"/>
      <c r="J10" s="20"/>
      <c r="K10" s="20"/>
    </row>
    <row r="11" spans="1:11" ht="14.45">
      <c r="A11" s="20"/>
      <c r="B11" s="31"/>
      <c r="C11" s="20"/>
      <c r="D11" s="20"/>
      <c r="E11" s="20"/>
      <c r="F11" s="21"/>
      <c r="G11" s="20"/>
      <c r="H11" s="20"/>
      <c r="I11" s="21"/>
      <c r="J11" s="20"/>
      <c r="K11" s="20"/>
    </row>
    <row r="12" spans="1:11" ht="14.45">
      <c r="A12" s="20"/>
      <c r="B12" s="31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31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31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31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31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31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31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31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31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31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31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31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31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31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31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31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31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31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31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31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31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31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31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31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31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31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31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31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31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31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31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31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31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31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31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31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31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31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31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31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31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31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31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31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31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31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31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31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31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31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31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31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31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31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31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31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31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31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31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31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31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31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31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31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31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31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31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31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31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31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31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31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31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31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31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31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31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31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31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31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31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31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31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31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31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31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31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31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31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31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31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31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31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31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31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31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31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31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31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31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31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31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31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31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31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31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31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31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31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31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31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31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31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31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31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31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31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31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31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31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31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31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31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31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31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31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31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31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31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31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31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31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31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31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31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31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31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31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31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31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31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31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31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31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31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31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31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31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31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31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31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31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31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31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31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31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31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31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31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31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31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31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31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31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31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31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31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31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31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31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31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31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31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31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31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31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31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31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31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31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31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31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31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31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31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31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31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31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31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31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31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31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31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31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31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31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31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31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31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31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31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31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31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31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31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31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31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31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31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31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31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31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31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31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31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31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31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31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31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31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31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31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31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31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31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31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31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31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31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31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31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31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31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31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31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31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31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31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31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31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31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31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31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31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31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31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31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31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31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31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31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31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31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31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31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31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31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31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31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31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31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31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31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31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31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31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31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31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31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31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31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31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31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31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31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31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31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31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31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31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31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31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31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31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31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31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31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31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31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31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31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31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31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31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31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31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31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31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31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31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31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31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31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31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31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31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31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C319" s="20"/>
      <c r="D319" s="20"/>
      <c r="E319" s="20"/>
      <c r="F319" s="21"/>
      <c r="G319" s="20"/>
      <c r="H319" s="20"/>
      <c r="I319" s="21"/>
      <c r="J319" s="20"/>
      <c r="K319" s="20"/>
    </row>
  </sheetData>
  <sortState xmlns:xlrd2="http://schemas.microsoft.com/office/spreadsheetml/2017/richdata2" ref="A3:K5">
    <sortCondition ref="A3:A5"/>
  </sortState>
  <mergeCells count="4">
    <mergeCell ref="G1:I1"/>
    <mergeCell ref="A1:C1"/>
    <mergeCell ref="D1:F1"/>
    <mergeCell ref="A2:B2"/>
  </mergeCells>
  <conditionalFormatting sqref="F2 I2 F4:F77 I4:I77">
    <cfRule type="cellIs" dxfId="15" priority="3" stopIfTrue="1" operator="lessThanOrEqual">
      <formula>-0.1</formula>
    </cfRule>
    <cfRule type="expression" dxfId="14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80AE8-42BF-4DAC-863F-113F77A3E00F}">
  <sheetPr codeName="Sheet13">
    <pageSetUpPr fitToPage="1"/>
  </sheetPr>
  <dimension ref="A1:K319"/>
  <sheetViews>
    <sheetView workbookViewId="0">
      <pane xSplit="2" ySplit="3" topLeftCell="C4" activePane="bottomRight" state="frozen"/>
      <selection pane="bottomRight" activeCell="J4" activeCellId="3" sqref="C4:C5 D4:D6 G4:G5 J4:K5"/>
      <selection pane="bottomLeft" activeCell="J4" activeCellId="3" sqref="C4:C5 D4:D6 G4:G5 J4:K5"/>
      <selection pane="topRight" activeCell="J4" activeCellId="3" sqref="C4:C5 D4:D6 G4:G5 J4:K5"/>
    </sheetView>
  </sheetViews>
  <sheetFormatPr defaultRowHeight="13.9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6" t="str" cm="1">
        <f t="array" ref="A1">portfolio</f>
        <v>Solar Income LLC</v>
      </c>
      <c r="B1" s="66"/>
      <c r="C1" s="66"/>
      <c r="D1" s="67" t="s">
        <v>55</v>
      </c>
      <c r="E1" s="67"/>
      <c r="F1" s="67"/>
      <c r="G1" s="65" t="s">
        <v>56</v>
      </c>
      <c r="H1" s="65"/>
      <c r="I1" s="65"/>
      <c r="J1" s="4"/>
      <c r="K1" s="4"/>
    </row>
    <row r="2" spans="1:11" ht="19.5" customHeight="1">
      <c r="A2" s="68" t="s">
        <v>2</v>
      </c>
      <c r="B2" s="68"/>
      <c r="C2" s="5">
        <f>SUM(C4:C77)</f>
        <v>0</v>
      </c>
      <c r="D2" s="5">
        <f>SUM(D4:D77)</f>
        <v>0</v>
      </c>
      <c r="E2" s="5">
        <f>C2-D2</f>
        <v>0</v>
      </c>
      <c r="F2" s="6">
        <f>IFERROR(E2/D2, 0)</f>
        <v>0</v>
      </c>
      <c r="G2" s="5">
        <f>SUM(G4:G77)</f>
        <v>0</v>
      </c>
      <c r="H2" s="7">
        <f>C2-G2</f>
        <v>0</v>
      </c>
      <c r="I2" s="6">
        <f>IFERROR(H2/G2, 0)</f>
        <v>0</v>
      </c>
      <c r="J2" s="25" t="str">
        <f ca="1">IF(AND(TODAY()&gt;DATE(2024, 8,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  <c r="J3" s="24" t="s">
        <v>20</v>
      </c>
      <c r="K3" s="24" t="s">
        <v>21</v>
      </c>
    </row>
    <row r="4" spans="1:11" ht="15.6">
      <c r="A4" s="30" t="str" cm="1">
        <f t="array" ref="A4:A5">Sites[Site]</f>
        <v>Westbrook - Lee Building 9</v>
      </c>
      <c r="B4" s="27" t="str" cm="1">
        <f t="array" ref="B4:B5">Sites[State]</f>
        <v>CT</v>
      </c>
      <c r="C4" s="23"/>
      <c r="D4" s="12"/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39"/>
      <c r="K4" s="39"/>
    </row>
    <row r="5" spans="1:11" ht="15.6">
      <c r="A5" s="28" t="str">
        <v>Westbrook - Lee Building 82</v>
      </c>
      <c r="B5" s="29" t="str">
        <v>CT</v>
      </c>
      <c r="C5" s="11"/>
      <c r="D5" s="17"/>
      <c r="E5" s="17" t="str">
        <f t="shared" ref="E5" si="0">IF(AND(ISNUMBER(C5),ISNUMBER(D5)), C5-D5, "")</f>
        <v/>
      </c>
      <c r="F5" s="18" t="str">
        <f>IFERROR(E5/D5, "")</f>
        <v/>
      </c>
      <c r="G5" s="19"/>
      <c r="H5" s="19" t="str">
        <f t="shared" ref="H5" si="1">IF(AND(ISNUMBER(C5),ISNUMBER(G5)), C5-G5, "")</f>
        <v/>
      </c>
      <c r="I5" s="18" t="str">
        <f t="shared" ref="I5" si="2">IFERROR(H5/G5, "")</f>
        <v/>
      </c>
      <c r="J5" s="40"/>
      <c r="K5" s="51"/>
    </row>
    <row r="6" spans="1:11" ht="14.45">
      <c r="A6" s="20"/>
      <c r="B6" s="31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31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31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31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31"/>
      <c r="C10" s="20"/>
      <c r="D10" s="20"/>
      <c r="E10" s="20"/>
      <c r="F10" s="21"/>
      <c r="G10" s="20"/>
      <c r="H10" s="20"/>
      <c r="I10" s="21"/>
      <c r="J10" s="20"/>
      <c r="K10" s="20"/>
    </row>
    <row r="11" spans="1:11" ht="14.45">
      <c r="A11" s="20"/>
      <c r="B11" s="31"/>
      <c r="C11" s="20"/>
      <c r="D11" s="20"/>
      <c r="E11" s="20"/>
      <c r="F11" s="21"/>
      <c r="G11" s="20"/>
      <c r="H11" s="20"/>
      <c r="I11" s="21"/>
      <c r="J11" s="20"/>
      <c r="K11" s="20"/>
    </row>
    <row r="12" spans="1:11" ht="14.45">
      <c r="A12" s="20"/>
      <c r="B12" s="31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31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31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31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31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31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31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31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31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31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31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31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31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31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31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31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31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31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31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31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31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31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31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31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31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31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31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31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31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31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31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31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31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31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31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31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31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31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31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31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31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31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31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31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31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31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31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31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31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31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31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31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31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31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31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31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31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31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31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31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31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31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31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31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31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31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31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31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31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31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31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31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31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31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31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31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31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31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31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31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31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31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31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31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31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31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31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31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31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31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31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31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31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31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31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31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31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31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31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31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31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31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31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31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31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31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31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31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31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31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31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31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31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31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31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31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31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31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31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31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31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31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31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31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31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31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31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31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31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31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31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31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31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31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31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31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31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31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31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31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31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31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31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31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31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31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31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31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31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31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31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31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31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31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31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31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31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31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31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31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31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31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31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31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31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31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31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31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31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31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31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31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31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31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31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31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31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31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31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31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31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31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31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31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31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31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31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31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31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31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31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31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31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31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31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31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31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31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31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31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31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31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31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31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31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31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31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31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31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31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31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31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31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31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31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31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31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31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31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31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31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31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31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31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31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31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31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31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31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31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31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31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31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31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31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31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31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31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31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31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31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31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31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31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31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31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31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31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31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31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31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31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31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31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31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31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31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31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31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31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31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31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31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31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31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31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31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31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31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31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31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31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31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31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31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31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31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31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31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31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31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31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31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31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31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31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31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31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31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31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31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31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31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31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31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31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31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31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31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31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31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31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31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31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31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31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31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C319" s="20"/>
      <c r="D319" s="20"/>
      <c r="E319" s="20"/>
      <c r="F319" s="21"/>
      <c r="G319" s="20"/>
      <c r="H319" s="20"/>
      <c r="I319" s="21"/>
      <c r="J319" s="20"/>
      <c r="K319" s="20"/>
    </row>
  </sheetData>
  <mergeCells count="4">
    <mergeCell ref="G1:I1"/>
    <mergeCell ref="A1:C1"/>
    <mergeCell ref="D1:F1"/>
    <mergeCell ref="A2:B2"/>
  </mergeCells>
  <conditionalFormatting sqref="F2 I2 F4:F77 I4:I77">
    <cfRule type="cellIs" dxfId="13" priority="3" stopIfTrue="1" operator="lessThanOrEqual">
      <formula>-0.1</formula>
    </cfRule>
    <cfRule type="expression" dxfId="12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CA70E-2643-48AC-AA44-E3F75A2814BF}">
  <sheetPr codeName="Sheet14">
    <pageSetUpPr fitToPage="1"/>
  </sheetPr>
  <dimension ref="A1:K319"/>
  <sheetViews>
    <sheetView workbookViewId="0">
      <pane xSplit="2" ySplit="3" topLeftCell="J4" activePane="bottomRight" state="frozen"/>
      <selection pane="bottomRight" activeCell="J4" activeCellId="3" sqref="C4:C5 D4:D6 G4:G5 J4:K5"/>
      <selection pane="bottomLeft" activeCell="J4" activeCellId="3" sqref="C4:C5 D4:D6 G4:G5 J4:K5"/>
      <selection pane="topRight" activeCell="J4" activeCellId="3" sqref="C4:C5 D4:D6 G4:G5 J4:K5"/>
    </sheetView>
  </sheetViews>
  <sheetFormatPr defaultRowHeight="13.9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6" t="str" cm="1">
        <f t="array" ref="A1">portfolio</f>
        <v>Solar Income LLC</v>
      </c>
      <c r="B1" s="66"/>
      <c r="C1" s="66"/>
      <c r="D1" s="67" t="s">
        <v>57</v>
      </c>
      <c r="E1" s="67"/>
      <c r="F1" s="67"/>
      <c r="G1" s="65" t="s">
        <v>58</v>
      </c>
      <c r="H1" s="65"/>
      <c r="I1" s="65"/>
      <c r="J1" s="4"/>
      <c r="K1" s="4"/>
    </row>
    <row r="2" spans="1:11" ht="19.5" customHeight="1">
      <c r="A2" s="68" t="s">
        <v>2</v>
      </c>
      <c r="B2" s="68"/>
      <c r="C2" s="5">
        <f>SUM(C4:C77)</f>
        <v>0</v>
      </c>
      <c r="D2" s="5">
        <f>SUM(D4:D77)</f>
        <v>0</v>
      </c>
      <c r="E2" s="5">
        <f>C2-D2</f>
        <v>0</v>
      </c>
      <c r="F2" s="6">
        <f>IFERROR(E2/D2, 0)</f>
        <v>0</v>
      </c>
      <c r="G2" s="5">
        <f>SUM(G4:G77)</f>
        <v>0</v>
      </c>
      <c r="H2" s="7">
        <f>C2-G2</f>
        <v>0</v>
      </c>
      <c r="I2" s="6">
        <f>IFERROR(H2/G2, 0)</f>
        <v>0</v>
      </c>
      <c r="J2" s="25" t="str">
        <f ca="1">IF(AND(TODAY()&gt;DATE(2024, 9,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  <c r="J3" s="24" t="s">
        <v>20</v>
      </c>
      <c r="K3" s="24" t="s">
        <v>21</v>
      </c>
    </row>
    <row r="4" spans="1:11" ht="15.6">
      <c r="A4" s="30" t="str" cm="1">
        <f t="array" ref="A4:A5">Sites[Site]</f>
        <v>Westbrook - Lee Building 9</v>
      </c>
      <c r="B4" s="27" t="str" cm="1">
        <f t="array" ref="B4:B5">Sites[State]</f>
        <v>CT</v>
      </c>
      <c r="C4" s="23"/>
      <c r="D4" s="12"/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39"/>
      <c r="K4" s="39"/>
    </row>
    <row r="5" spans="1:11" ht="15.6">
      <c r="A5" s="28" t="str">
        <v>Westbrook - Lee Building 82</v>
      </c>
      <c r="B5" s="29" t="str">
        <v>CT</v>
      </c>
      <c r="C5" s="11"/>
      <c r="D5" s="17"/>
      <c r="E5" s="17" t="str">
        <f t="shared" ref="E5" si="0">IF(AND(ISNUMBER(C5),ISNUMBER(D5)), C5-D5, "")</f>
        <v/>
      </c>
      <c r="F5" s="18" t="str">
        <f>IFERROR(E5/D5, "")</f>
        <v/>
      </c>
      <c r="G5" s="19"/>
      <c r="H5" s="19" t="str">
        <f t="shared" ref="H5" si="1">IF(AND(ISNUMBER(C5),ISNUMBER(G5)), C5-G5, "")</f>
        <v/>
      </c>
      <c r="I5" s="18" t="str">
        <f t="shared" ref="I5" si="2">IFERROR(H5/G5, "")</f>
        <v/>
      </c>
      <c r="J5" s="40"/>
      <c r="K5" s="51"/>
    </row>
    <row r="6" spans="1:11" ht="14.45">
      <c r="A6" s="20"/>
      <c r="B6" s="31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31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31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31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31"/>
      <c r="C10" s="20"/>
      <c r="D10" s="20"/>
      <c r="E10" s="20"/>
      <c r="F10" s="21"/>
      <c r="G10" s="20"/>
      <c r="H10" s="20"/>
      <c r="I10" s="21"/>
      <c r="J10" s="20"/>
      <c r="K10" s="20"/>
    </row>
    <row r="11" spans="1:11" ht="14.45">
      <c r="A11" s="20"/>
      <c r="B11" s="31"/>
      <c r="C11" s="20"/>
      <c r="D11" s="20"/>
      <c r="E11" s="20"/>
      <c r="F11" s="21"/>
      <c r="G11" s="20"/>
      <c r="H11" s="20"/>
      <c r="I11" s="21"/>
      <c r="J11" s="20"/>
      <c r="K11" s="20"/>
    </row>
    <row r="12" spans="1:11" ht="14.45">
      <c r="A12" s="20"/>
      <c r="B12" s="31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31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31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31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31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31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31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31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31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31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31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31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31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31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31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31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31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31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31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31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31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31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31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31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31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31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31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31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31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31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31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31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31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31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31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31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31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31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31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31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31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31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31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31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31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31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31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31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31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31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31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31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31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31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31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31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31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31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31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31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31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31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31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31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31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31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31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31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31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31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31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31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31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31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31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31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31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31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31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31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31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31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31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31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31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31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31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31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31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31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31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31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31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31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31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31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31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31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31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31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31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31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31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31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31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31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31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31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31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31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31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31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31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31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31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31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31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31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31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31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31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31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31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31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31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31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31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31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31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31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31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31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31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31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31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31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31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31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31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31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31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31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31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31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31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31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31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31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31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31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31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31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31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31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31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31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31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31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31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31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31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31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31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31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31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31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31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31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31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31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31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31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31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31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31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31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31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31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31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31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31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31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31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31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31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31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31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31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31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31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31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31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31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31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31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31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31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31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31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31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31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31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31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31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31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31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31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31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31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31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31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31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31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31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31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31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31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31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31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31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31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31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31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31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31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31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31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31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31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31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31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31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31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31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31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31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31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31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31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31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31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31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31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31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31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31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31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31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31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31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31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31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31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31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31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31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31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31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31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31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31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31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31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31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31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31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31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31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31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31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31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31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31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31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31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31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31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31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31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31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31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31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31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31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31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31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31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31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31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31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31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31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31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31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31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31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31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31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31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31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31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31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31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31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31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31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31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C319" s="20"/>
      <c r="D319" s="20"/>
      <c r="E319" s="20"/>
      <c r="F319" s="21"/>
      <c r="G319" s="20"/>
      <c r="H319" s="20"/>
      <c r="I319" s="21"/>
      <c r="J319" s="20"/>
      <c r="K319" s="20"/>
    </row>
  </sheetData>
  <mergeCells count="4">
    <mergeCell ref="G1:I1"/>
    <mergeCell ref="A1:C1"/>
    <mergeCell ref="D1:F1"/>
    <mergeCell ref="A2:B2"/>
  </mergeCells>
  <conditionalFormatting sqref="F2 I2 F4:F77 I4:I77">
    <cfRule type="cellIs" dxfId="11" priority="3" stopIfTrue="1" operator="lessThanOrEqual">
      <formula>-0.1</formula>
    </cfRule>
    <cfRule type="expression" dxfId="10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DE706-15D9-4E58-ADBD-0129509DEFD6}">
  <sheetPr codeName="Sheet15">
    <pageSetUpPr fitToPage="1"/>
  </sheetPr>
  <dimension ref="A1:K319"/>
  <sheetViews>
    <sheetView workbookViewId="0">
      <pane xSplit="2" ySplit="3" topLeftCell="C4" activePane="bottomRight" state="frozen"/>
      <selection pane="bottomRight" activeCell="J4" activeCellId="3" sqref="C4:C5 D4:D6 G4:G5 J4:K5"/>
      <selection pane="bottomLeft" activeCell="J4" activeCellId="3" sqref="C4:C5 D4:D6 G4:G5 J4:K5"/>
      <selection pane="topRight" activeCell="J4" activeCellId="3" sqref="C4:C5 D4:D6 G4:G5 J4:K5"/>
    </sheetView>
  </sheetViews>
  <sheetFormatPr defaultRowHeight="13.9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4.28515625" customWidth="1"/>
    <col min="11" max="11" width="30.5703125" customWidth="1"/>
  </cols>
  <sheetData>
    <row r="1" spans="1:11" ht="19.5" customHeight="1">
      <c r="A1" s="66" t="str" cm="1">
        <f t="array" ref="A1">portfolio</f>
        <v>Solar Income LLC</v>
      </c>
      <c r="B1" s="66"/>
      <c r="C1" s="66"/>
      <c r="D1" s="67" t="s">
        <v>59</v>
      </c>
      <c r="E1" s="67"/>
      <c r="F1" s="67"/>
      <c r="G1" s="65" t="s">
        <v>60</v>
      </c>
      <c r="H1" s="65"/>
      <c r="I1" s="65"/>
      <c r="J1" s="4"/>
      <c r="K1" s="4"/>
    </row>
    <row r="2" spans="1:11" ht="19.5" customHeight="1">
      <c r="A2" s="68" t="s">
        <v>2</v>
      </c>
      <c r="B2" s="68"/>
      <c r="C2" s="5">
        <f>SUM(C4:C77)</f>
        <v>0</v>
      </c>
      <c r="D2" s="5">
        <f>SUM(D4:D77)</f>
        <v>0</v>
      </c>
      <c r="E2" s="5">
        <f>C2-D2</f>
        <v>0</v>
      </c>
      <c r="F2" s="6">
        <f>IFERROR(E2/D2, 0)</f>
        <v>0</v>
      </c>
      <c r="G2" s="5">
        <f>SUM(G4:G77)</f>
        <v>0</v>
      </c>
      <c r="H2" s="7">
        <f>C2-G2</f>
        <v>0</v>
      </c>
      <c r="I2" s="6">
        <f>IFERROR(H2/G2, 0)</f>
        <v>0</v>
      </c>
      <c r="J2" s="25" t="str">
        <f ca="1">IF(AND(TODAY()&gt;DATE(2024, 10,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  <c r="J3" s="24" t="s">
        <v>20</v>
      </c>
      <c r="K3" s="24" t="s">
        <v>21</v>
      </c>
    </row>
    <row r="4" spans="1:11" ht="15.6">
      <c r="A4" s="30" t="str" cm="1">
        <f t="array" ref="A4:A5">Sites[Site]</f>
        <v>Westbrook - Lee Building 9</v>
      </c>
      <c r="B4" s="27" t="str" cm="1">
        <f t="array" ref="B4:B5">Sites[State]</f>
        <v>CT</v>
      </c>
      <c r="C4" s="23"/>
      <c r="D4" s="12"/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39"/>
      <c r="K4" s="39"/>
    </row>
    <row r="5" spans="1:11" ht="15.6">
      <c r="A5" s="28" t="str">
        <v>Westbrook - Lee Building 82</v>
      </c>
      <c r="B5" s="29" t="str">
        <v>CT</v>
      </c>
      <c r="C5" s="11"/>
      <c r="D5" s="17"/>
      <c r="E5" s="17" t="str">
        <f t="shared" ref="E5" si="0">IF(AND(ISNUMBER(C5),ISNUMBER(D5)), C5-D5, "")</f>
        <v/>
      </c>
      <c r="F5" s="18" t="str">
        <f>IFERROR(E5/D5, "")</f>
        <v/>
      </c>
      <c r="G5" s="19"/>
      <c r="H5" s="19" t="str">
        <f t="shared" ref="H5" si="1">IF(AND(ISNUMBER(C5),ISNUMBER(G5)), C5-G5, "")</f>
        <v/>
      </c>
      <c r="I5" s="18" t="str">
        <f t="shared" ref="I5" si="2">IFERROR(H5/G5, "")</f>
        <v/>
      </c>
      <c r="J5" s="52"/>
      <c r="K5" s="53"/>
    </row>
    <row r="6" spans="1:11" ht="14.45">
      <c r="A6" s="20"/>
      <c r="B6" s="31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31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31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31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31"/>
      <c r="C10" s="20"/>
      <c r="D10" s="20"/>
      <c r="E10" s="20"/>
      <c r="F10" s="21"/>
      <c r="G10" s="20"/>
      <c r="H10" s="20"/>
      <c r="I10" s="21"/>
      <c r="J10" s="20"/>
      <c r="K10" s="20"/>
    </row>
    <row r="11" spans="1:11" ht="14.45">
      <c r="A11" s="20"/>
      <c r="B11" s="31"/>
      <c r="C11" s="20"/>
      <c r="D11" s="20"/>
      <c r="E11" s="20"/>
      <c r="F11" s="21"/>
      <c r="G11" s="20"/>
      <c r="H11" s="20"/>
      <c r="I11" s="21"/>
      <c r="J11" s="20"/>
      <c r="K11" s="20"/>
    </row>
    <row r="12" spans="1:11" ht="14.45">
      <c r="A12" s="20"/>
      <c r="B12" s="31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31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31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31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31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31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31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31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31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31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31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31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31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31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31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31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31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31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31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31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31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31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31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31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31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31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31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31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31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31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31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31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31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31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31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31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31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31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31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31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31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31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31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31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31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31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31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31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31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31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31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31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31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31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31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31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31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31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31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31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31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31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31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31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31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31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31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31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31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31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31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31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31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31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31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31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31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31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31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31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31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31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31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31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31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31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31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31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31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31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31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31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31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31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31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31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31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31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31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31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31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31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31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31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31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31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31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31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31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31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31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31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31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31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31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31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31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31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31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31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31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31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31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31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31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31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31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31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31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31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31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31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31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31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31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31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31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31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31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31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31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31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31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31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31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31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31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31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31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31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31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31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31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31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31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31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31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31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31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31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31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31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31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31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31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31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31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31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31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31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31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31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31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31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31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31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31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31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31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31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31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31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31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31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31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31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31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31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31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31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31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31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31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31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31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31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31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31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31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31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31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31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31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31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31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31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31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31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31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31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31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31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31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31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31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31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31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31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31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31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31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31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31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31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31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31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31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31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31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31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31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31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31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31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31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31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31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31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31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31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31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31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31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31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31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31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31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31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31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31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31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31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31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31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31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31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31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31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31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31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31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31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31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31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31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31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31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31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31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31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31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31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31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31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31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31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31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31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31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31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31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31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31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31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31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31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31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31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31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31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31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31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31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31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31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31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31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31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31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31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31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31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31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31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31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31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31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C319" s="20"/>
      <c r="D319" s="20"/>
      <c r="E319" s="20"/>
      <c r="F319" s="21"/>
      <c r="G319" s="20"/>
      <c r="H319" s="20"/>
      <c r="I319" s="21"/>
      <c r="J319" s="20"/>
      <c r="K319" s="20"/>
    </row>
  </sheetData>
  <mergeCells count="4">
    <mergeCell ref="G1:I1"/>
    <mergeCell ref="A1:C1"/>
    <mergeCell ref="D1:F1"/>
    <mergeCell ref="A2:B2"/>
  </mergeCells>
  <conditionalFormatting sqref="F2 I2 F4:F77 I4:I77">
    <cfRule type="cellIs" dxfId="9" priority="3" stopIfTrue="1" operator="lessThanOrEqual">
      <formula>-0.1</formula>
    </cfRule>
    <cfRule type="expression" dxfId="8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7A98F-A32F-42EE-8114-2658DE422011}">
  <sheetPr codeName="Sheet16">
    <pageSetUpPr fitToPage="1"/>
  </sheetPr>
  <dimension ref="A1:K319"/>
  <sheetViews>
    <sheetView workbookViewId="0">
      <pane xSplit="2" ySplit="3" topLeftCell="C4" activePane="bottomRight" state="frozen"/>
      <selection pane="bottomRight" activeCell="J4" activeCellId="3" sqref="C4:C5 D4:D6 G4:G5 J4:K5"/>
      <selection pane="bottomLeft" activeCell="J4" activeCellId="3" sqref="C4:C5 D4:D6 G4:G5 J4:K5"/>
      <selection pane="topRight" activeCell="J4" activeCellId="3" sqref="C4:C5 D4:D6 G4:G5 J4:K5"/>
    </sheetView>
  </sheetViews>
  <sheetFormatPr defaultRowHeight="13.9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95.140625" customWidth="1"/>
    <col min="11" max="11" width="35" customWidth="1"/>
  </cols>
  <sheetData>
    <row r="1" spans="1:11" ht="19.5" customHeight="1">
      <c r="A1" s="66" t="str" cm="1">
        <f t="array" ref="A1">portfolio</f>
        <v>Solar Income LLC</v>
      </c>
      <c r="B1" s="66"/>
      <c r="C1" s="66"/>
      <c r="D1" s="67" t="s">
        <v>61</v>
      </c>
      <c r="E1" s="67"/>
      <c r="F1" s="67"/>
      <c r="G1" s="65" t="s">
        <v>62</v>
      </c>
      <c r="H1" s="65"/>
      <c r="I1" s="65"/>
      <c r="J1" s="4"/>
      <c r="K1" s="4"/>
    </row>
    <row r="2" spans="1:11" ht="19.5" customHeight="1">
      <c r="A2" s="68" t="s">
        <v>2</v>
      </c>
      <c r="B2" s="68"/>
      <c r="C2" s="5">
        <f>SUM(C4:C77)</f>
        <v>0</v>
      </c>
      <c r="D2" s="5">
        <f>SUM(D4:D77)</f>
        <v>0</v>
      </c>
      <c r="E2" s="5">
        <f>C2-D2</f>
        <v>0</v>
      </c>
      <c r="F2" s="6">
        <f>IFERROR(E2/D2, 0)</f>
        <v>0</v>
      </c>
      <c r="G2" s="5">
        <f>SUM(G4:G77)</f>
        <v>0</v>
      </c>
      <c r="H2" s="7">
        <f>C2-G2</f>
        <v>0</v>
      </c>
      <c r="I2" s="6">
        <f>IFERROR(H2/G2, 0)</f>
        <v>0</v>
      </c>
      <c r="J2" s="25" t="str">
        <f ca="1">IF(AND(TODAY()&gt;DATE(2024, 11,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  <c r="J3" s="24" t="s">
        <v>20</v>
      </c>
      <c r="K3" s="24" t="s">
        <v>21</v>
      </c>
    </row>
    <row r="4" spans="1:11" ht="15.6">
      <c r="A4" s="30" t="str" cm="1">
        <f t="array" ref="A4:A5">Sites[Site]</f>
        <v>Westbrook - Lee Building 9</v>
      </c>
      <c r="B4" s="27" t="str" cm="1">
        <f t="array" ref="B4:B5">Sites[State]</f>
        <v>CT</v>
      </c>
      <c r="C4" s="23"/>
      <c r="D4" s="12"/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39"/>
      <c r="K4" s="39"/>
    </row>
    <row r="5" spans="1:11" ht="15.6">
      <c r="A5" s="28" t="str">
        <v>Westbrook - Lee Building 82</v>
      </c>
      <c r="B5" s="29" t="str">
        <v>CT</v>
      </c>
      <c r="C5" s="11"/>
      <c r="D5" s="17"/>
      <c r="E5" s="17" t="str">
        <f t="shared" ref="E5" si="0">IF(AND(ISNUMBER(C5),ISNUMBER(D5)), C5-D5, "")</f>
        <v/>
      </c>
      <c r="F5" s="18" t="str">
        <f>IFERROR(E5/D5, "")</f>
        <v/>
      </c>
      <c r="G5" s="19"/>
      <c r="H5" s="19" t="str">
        <f t="shared" ref="H5" si="1">IF(AND(ISNUMBER(C5),ISNUMBER(G5)), C5-G5, "")</f>
        <v/>
      </c>
      <c r="I5" s="18" t="str">
        <f t="shared" ref="I5" si="2">IFERROR(H5/G5, "")</f>
        <v/>
      </c>
      <c r="J5" s="52"/>
      <c r="K5" s="53"/>
    </row>
    <row r="6" spans="1:11" ht="14.45">
      <c r="A6" s="20"/>
      <c r="B6" s="31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31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31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31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31"/>
      <c r="C10" s="20"/>
      <c r="D10" s="20"/>
      <c r="E10" s="20"/>
      <c r="F10" s="21"/>
      <c r="G10" s="20"/>
      <c r="H10" s="20"/>
      <c r="I10" s="21"/>
      <c r="J10" s="20"/>
      <c r="K10" s="20"/>
    </row>
    <row r="11" spans="1:11" ht="14.45">
      <c r="A11" s="20"/>
      <c r="B11" s="31"/>
      <c r="C11" s="20"/>
      <c r="D11" s="20"/>
      <c r="E11" s="20"/>
      <c r="F11" s="21"/>
      <c r="G11" s="20"/>
      <c r="H11" s="20"/>
      <c r="I11" s="21"/>
      <c r="J11" s="20"/>
      <c r="K11" s="20"/>
    </row>
    <row r="12" spans="1:11" ht="14.45">
      <c r="A12" s="20"/>
      <c r="B12" s="31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31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31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31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31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31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31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31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31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31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31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31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31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31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31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31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31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31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31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31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31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31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31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31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31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31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31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31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31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31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31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31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31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31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31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31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31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31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31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31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31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31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31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31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31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31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31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31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31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31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31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31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31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31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31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31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31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31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31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31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31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31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31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31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31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31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31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31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31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31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31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31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31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31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31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31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31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31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31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31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31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31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31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31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31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31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31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31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31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31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31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31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31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31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31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31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31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31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31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31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31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31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31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31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31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31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31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31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31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31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31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31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31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31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31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31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31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31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31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31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31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31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31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31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31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31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31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31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31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31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31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31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31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31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31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31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31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31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31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31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31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31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31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31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31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31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31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31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31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31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31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31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31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31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31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31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31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31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31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31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31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31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31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31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31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31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31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31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31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31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31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31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31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31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31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31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31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31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31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31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31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31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31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31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31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31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31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31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31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31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31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31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31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31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31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31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31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31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31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31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31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31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31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31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31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31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31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31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31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31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31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31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31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31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31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31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31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31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31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31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31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31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31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31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31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31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31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31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31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31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31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31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31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31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31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31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31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31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31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31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31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31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31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31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31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31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31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31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31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31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31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31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31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31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31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31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31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31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31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31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31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31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31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31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31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31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31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31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31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31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31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31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31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31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31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31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31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31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31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31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31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31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31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31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31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31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31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31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31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31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31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31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31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31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31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31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31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31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31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31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31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31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31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31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31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31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31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C319" s="20"/>
      <c r="D319" s="20"/>
      <c r="E319" s="20"/>
      <c r="F319" s="21"/>
      <c r="G319" s="20"/>
      <c r="H319" s="20"/>
      <c r="I319" s="21"/>
      <c r="J319" s="20"/>
      <c r="K319" s="20"/>
    </row>
  </sheetData>
  <mergeCells count="4">
    <mergeCell ref="G1:I1"/>
    <mergeCell ref="A1:C1"/>
    <mergeCell ref="D1:F1"/>
    <mergeCell ref="A2:B2"/>
  </mergeCells>
  <conditionalFormatting sqref="F2 I2 F4:F77 I4:I77">
    <cfRule type="cellIs" dxfId="7" priority="3" stopIfTrue="1" operator="lessThanOrEqual">
      <formula>-0.1</formula>
    </cfRule>
    <cfRule type="expression" dxfId="6" priority="4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ACBC8-3831-4E2B-BAD7-988F02FCC664}">
  <sheetPr codeName="Sheet17">
    <pageSetUpPr fitToPage="1"/>
  </sheetPr>
  <dimension ref="A1:K319"/>
  <sheetViews>
    <sheetView workbookViewId="0">
      <pane xSplit="2" ySplit="3" topLeftCell="C4" activePane="bottomRight" state="frozen"/>
      <selection pane="bottomRight" activeCell="J4" activeCellId="3" sqref="C4:C5 D4:D6 G4:G5 J4:K5"/>
      <selection pane="bottomLeft" activeCell="J4" activeCellId="3" sqref="C4:C5 D4:D6 G4:G5 J4:K5"/>
      <selection pane="topRight" activeCell="J4" activeCellId="3" sqref="C4:C5 D4:D6 G4:G5 J4:K5"/>
    </sheetView>
  </sheetViews>
  <sheetFormatPr defaultRowHeight="13.9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6.7109375" customWidth="1"/>
    <col min="11" max="11" width="20.5703125" bestFit="1" customWidth="1"/>
  </cols>
  <sheetData>
    <row r="1" spans="1:11" ht="19.5" customHeight="1">
      <c r="A1" s="66" t="str" cm="1">
        <f t="array" ref="A1">portfolio</f>
        <v>Solar Income LLC</v>
      </c>
      <c r="B1" s="66"/>
      <c r="C1" s="66"/>
      <c r="D1" s="67" t="s">
        <v>63</v>
      </c>
      <c r="E1" s="67"/>
      <c r="F1" s="67"/>
      <c r="G1" s="65" t="s">
        <v>64</v>
      </c>
      <c r="H1" s="65"/>
      <c r="I1" s="65"/>
      <c r="J1" s="4"/>
      <c r="K1" s="4"/>
    </row>
    <row r="2" spans="1:11" ht="19.5" customHeight="1">
      <c r="A2" s="68" t="s">
        <v>2</v>
      </c>
      <c r="B2" s="68"/>
      <c r="C2" s="5">
        <f>SUM(C4:C77)</f>
        <v>0</v>
      </c>
      <c r="D2" s="5">
        <f>SUM(D4:D77)</f>
        <v>0</v>
      </c>
      <c r="E2" s="5">
        <f>C2-D2</f>
        <v>0</v>
      </c>
      <c r="F2" s="6">
        <f>IFERROR(E2/D2, 0)</f>
        <v>0</v>
      </c>
      <c r="G2" s="5">
        <f>SUM(G4:G77)</f>
        <v>0</v>
      </c>
      <c r="H2" s="7">
        <f>C2-G2</f>
        <v>0</v>
      </c>
      <c r="I2" s="6">
        <f>IFERROR(H2/G2, 0)</f>
        <v>0</v>
      </c>
      <c r="J2" s="25" t="str">
        <f ca="1">IF(AND(TODAY()&gt;DATE(2024, 12,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  <c r="J3" s="24" t="s">
        <v>20</v>
      </c>
      <c r="K3" s="24" t="s">
        <v>21</v>
      </c>
    </row>
    <row r="4" spans="1:11" ht="15.6">
      <c r="A4" s="30" t="str" cm="1">
        <f t="array" ref="A4:A5">Sites[Site]</f>
        <v>Westbrook - Lee Building 9</v>
      </c>
      <c r="B4" s="27" t="str" cm="1">
        <f t="array" ref="B4:B5">Sites[State]</f>
        <v>CT</v>
      </c>
      <c r="C4" s="23"/>
      <c r="D4" s="12"/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55"/>
      <c r="K4" s="55"/>
    </row>
    <row r="5" spans="1:11" ht="15.6">
      <c r="A5" s="28" t="str">
        <v>Westbrook - Lee Building 82</v>
      </c>
      <c r="B5" s="29" t="str">
        <v>CT</v>
      </c>
      <c r="C5" s="11"/>
      <c r="D5" s="17"/>
      <c r="E5" s="17" t="str">
        <f t="shared" ref="E5" si="0">IF(AND(ISNUMBER(C5),ISNUMBER(D5)), C5-D5, "")</f>
        <v/>
      </c>
      <c r="F5" s="18" t="str">
        <f>IFERROR(E5/D5, "")</f>
        <v/>
      </c>
      <c r="G5" s="19"/>
      <c r="H5" s="19" t="str">
        <f t="shared" ref="H5" si="1">IF(AND(ISNUMBER(C5),ISNUMBER(G5)), C5-G5, "")</f>
        <v/>
      </c>
      <c r="I5" s="18" t="str">
        <f t="shared" ref="I5" si="2">IFERROR(H5/G5, "")</f>
        <v/>
      </c>
      <c r="J5" s="54"/>
      <c r="K5" s="51"/>
    </row>
    <row r="6" spans="1:11" ht="14.45">
      <c r="A6" s="20"/>
      <c r="B6" s="31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31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31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31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31"/>
      <c r="C10" s="20"/>
      <c r="D10" s="20"/>
      <c r="E10" s="20"/>
      <c r="F10" s="21"/>
      <c r="G10" s="20"/>
      <c r="H10" s="20"/>
      <c r="I10" s="21"/>
      <c r="J10" s="20"/>
      <c r="K10" s="20"/>
    </row>
    <row r="11" spans="1:11" ht="14.45">
      <c r="A11" s="20"/>
      <c r="B11" s="31"/>
      <c r="C11" s="20"/>
      <c r="D11" s="20"/>
      <c r="E11" s="20"/>
      <c r="F11" s="21"/>
      <c r="G11" s="20"/>
      <c r="H11" s="20"/>
      <c r="I11" s="21"/>
      <c r="J11" s="20"/>
      <c r="K11" s="20"/>
    </row>
    <row r="12" spans="1:11" ht="14.45">
      <c r="A12" s="20"/>
      <c r="B12" s="31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31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31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31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31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31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31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31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31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31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31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31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31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31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31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31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31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31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31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31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31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31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31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31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31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31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31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31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31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31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31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31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31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31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31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31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31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31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31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31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31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31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31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31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31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31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31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31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31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31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31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31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31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31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31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31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31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31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31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31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31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31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31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31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31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31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31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31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31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31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31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31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31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31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31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31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31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31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31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31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31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31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31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31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31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31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31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31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31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31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31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31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31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31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31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31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31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31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31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31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31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31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31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31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31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31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31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31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31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31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31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31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31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31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31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31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31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31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31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31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31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31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31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31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31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31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31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31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31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31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31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31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31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31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31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31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31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31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31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31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31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31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31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31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31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31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31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31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31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31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31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31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31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31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31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31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31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31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31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31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31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31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31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31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31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31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31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31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31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31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31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31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31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31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31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31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31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31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31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31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31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31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31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31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31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31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31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31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31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31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31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31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31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31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31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31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31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31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31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31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31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31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31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31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31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31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31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31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31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31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31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31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31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31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31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31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31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31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31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31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31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31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31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31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31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31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31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31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31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31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31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31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31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31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31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31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31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31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31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31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31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31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31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31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31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31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31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31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31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31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31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31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31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31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31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31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31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31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31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31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31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31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31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31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31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31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31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31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31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31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31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31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31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31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31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31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31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31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31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31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31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31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31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31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31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31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31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31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31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31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31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31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31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31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31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31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31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31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31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31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31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31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31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31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31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31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31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C319" s="20"/>
      <c r="D319" s="20"/>
      <c r="E319" s="20"/>
      <c r="F319" s="21"/>
      <c r="G319" s="20"/>
      <c r="H319" s="20"/>
      <c r="I319" s="21"/>
      <c r="J319" s="20"/>
      <c r="K319" s="20"/>
    </row>
  </sheetData>
  <mergeCells count="4">
    <mergeCell ref="G1:I1"/>
    <mergeCell ref="A1:C1"/>
    <mergeCell ref="D1:F1"/>
    <mergeCell ref="A2:B2"/>
  </mergeCells>
  <conditionalFormatting sqref="F2 I2 F4:F77 I4:I77">
    <cfRule type="cellIs" dxfId="5" priority="3" stopIfTrue="1" operator="lessThanOrEqual">
      <formula>-0.1</formula>
    </cfRule>
    <cfRule type="expression" dxfId="4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61CDE-78DD-4ECF-A397-BCAAB973E340}">
  <sheetPr codeName="Sheet18">
    <tabColor rgb="FF0070C0"/>
  </sheetPr>
  <dimension ref="A1:L10"/>
  <sheetViews>
    <sheetView workbookViewId="0">
      <pane ySplit="3" topLeftCell="A4" activePane="bottomLeft" state="frozen"/>
      <selection pane="bottomLeft" activeCell="B14" sqref="B14"/>
    </sheetView>
  </sheetViews>
  <sheetFormatPr defaultRowHeight="12.75" customHeight="1"/>
  <cols>
    <col min="1" max="2" width="41.85546875" customWidth="1"/>
    <col min="4" max="4" width="9.140625" customWidth="1"/>
    <col min="5" max="5" width="24.140625" customWidth="1"/>
    <col min="6" max="10" width="9.140625" customWidth="1"/>
    <col min="11" max="12" width="22" bestFit="1" customWidth="1"/>
    <col min="13" max="14" width="9.140625" customWidth="1"/>
  </cols>
  <sheetData>
    <row r="1" spans="1:12" ht="12.75" customHeight="1">
      <c r="A1" t="s">
        <v>65</v>
      </c>
      <c r="B1" t="s">
        <v>66</v>
      </c>
    </row>
    <row r="3" spans="1:12" ht="13.15">
      <c r="A3" t="s">
        <v>67</v>
      </c>
      <c r="B3" t="s">
        <v>3</v>
      </c>
      <c r="C3" t="s">
        <v>4</v>
      </c>
      <c r="D3" t="s">
        <v>68</v>
      </c>
      <c r="E3" s="2" t="s">
        <v>69</v>
      </c>
    </row>
    <row r="4" spans="1:12" ht="14.45">
      <c r="A4" s="45" t="s">
        <v>70</v>
      </c>
      <c r="B4" s="46" t="s">
        <v>71</v>
      </c>
      <c r="C4" s="46" t="s">
        <v>72</v>
      </c>
      <c r="D4" s="47" t="s">
        <v>73</v>
      </c>
      <c r="E4" t="s">
        <v>74</v>
      </c>
      <c r="G4" s="3"/>
    </row>
    <row r="5" spans="1:12" ht="14.45">
      <c r="A5" s="48" t="s">
        <v>75</v>
      </c>
      <c r="B5" s="49" t="s">
        <v>76</v>
      </c>
      <c r="C5" s="50" t="s">
        <v>72</v>
      </c>
      <c r="D5" s="47" t="s">
        <v>73</v>
      </c>
      <c r="E5" t="s">
        <v>74</v>
      </c>
      <c r="G5" s="3"/>
    </row>
    <row r="6" spans="1:12" ht="12.75" customHeight="1">
      <c r="K6" s="41"/>
      <c r="L6" s="41"/>
    </row>
    <row r="7" spans="1:12" ht="12.75" customHeight="1">
      <c r="K7" s="41"/>
      <c r="L7" s="41"/>
    </row>
    <row r="8" spans="1:12" ht="12.75" customHeight="1">
      <c r="K8" s="41"/>
      <c r="L8" s="41"/>
    </row>
    <row r="9" spans="1:12" ht="12.75" customHeight="1">
      <c r="K9" s="41"/>
      <c r="L9" s="41"/>
    </row>
    <row r="10" spans="1:12" ht="12.75" customHeight="1">
      <c r="K10" s="41"/>
      <c r="L10" s="41"/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dcd8467-55ca-498e-a9f8-86795db5db7a">
      <UserInfo>
        <DisplayName>Dufault, Michael</DisplayName>
        <AccountId>404</AccountId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7.xml>��
</file>

<file path=customXml/item8.xml>��
</file>

<file path=customXml/item9.xml>��
</file>

<file path=customXml/item10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a6a9a05f395d571cc5e7c431912b6c21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3d86a4dd4a5ede252cec9a8dd7f3a509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11.xml>��
</file>

<file path=customXml/item12.xml>��
</file>

<file path=customXml/item13.xml>��
</file>

<file path=customXml/item14.xml>��
</file>

<file path=customXml/item15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16.xml>��
</file>

<file path=customXml/item17.xml>��
</file>

<file path=customXml/item18.xml>��
</file>

<file path=customXml/item19.xml>��
</file>

<file path=customXml/item20.xml>��
</file>

<file path=customXml/itemProps1.xml><?xml version="1.0" encoding="utf-8"?>
<ds:datastoreItem xmlns:ds="http://schemas.openxmlformats.org/officeDocument/2006/customXml" ds:itemID="{2BC74AAC-D69B-4AF1-9649-B21EF3C1C463}"/>
</file>

<file path=customXml/itemProps2.xml><?xml version="1.0" encoding="utf-8"?>
<ds:datastoreItem xmlns:ds="http://schemas.openxmlformats.org/officeDocument/2006/customXml" ds:itemID="{E3716282-BFD2-4ED2-BA47-BFA1123827F0}"/>
</file>

<file path=customXml/itemProps3.xml><?xml version="1.0" encoding="utf-8"?>
<ds:datastoreItem xmlns:ds="http://schemas.openxmlformats.org/officeDocument/2006/customXml" ds:itemID="{E20E8303-6A67-485C-B6F4-303542CC295C}"/>
</file>

<file path=customXml/itemProps4.xml><?xml version="1.0" encoding="utf-8"?>
<ds:datastoreItem xmlns:ds="http://schemas.openxmlformats.org/officeDocument/2006/customXml" ds:itemID="{F6B2B1A1-1C4B-4AC9-9A7D-7A102DD1C942}"/>
</file>

<file path=customXml/itemProps5.xml><?xml version="1.0" encoding="utf-8"?>
<ds:datastoreItem xmlns:ds="http://schemas.openxmlformats.org/officeDocument/2006/customXml" ds:itemID="{3AEAA9D8-2182-46BA-A58E-96C72DDA1C54}"/>
</file>

<file path=customXml/itemProps6.xml><?xml version="1.0" encoding="utf-8"?>
<ds:datastoreItem xmlns:ds="http://schemas.openxmlformats.org/officeDocument/2006/customXml" ds:itemID="{8D732231-4216-4543-A665-18A2886B0EB7}"/>
</file>

<file path=customXml/itemProps7.xml><?xml version="1.0" encoding="utf-8"?>
<ds:datastoreItem xmlns:ds="http://schemas.openxmlformats.org/officeDocument/2006/customXml" ds:itemID="{98A113BB-8B7A-453C-8BD4-8EFC67FC2D3F}"/>
</file>

<file path=customXml/itemProps8.xml><?xml version="1.0" encoding="utf-8"?>
<ds:datastoreItem xmlns:ds="http://schemas.openxmlformats.org/officeDocument/2006/customXml" ds:itemID="{66B09F59-6532-46F8-924A-9A02417E070D}"/>
</file>

<file path=customXml/itemProps9.xml><?xml version="1.0" encoding="utf-8"?>
<ds:datastoreItem xmlns:ds="http://schemas.openxmlformats.org/officeDocument/2006/customXml" ds:itemID="{BF5C6359-7763-4C37-8EAF-2BC4698CB285}"/>
</file>

<file path=customXml/itemProps10.xml><?xml version="1.0" encoding="utf-8"?>
<ds:datastoreItem xmlns:ds="http://schemas.openxmlformats.org/officeDocument/2006/customXml" ds:itemID="{781C76C0-A298-4948-94B2-EA01818827A2}"/>
</file>

<file path=customXml/itemProps11.xml><?xml version="1.0" encoding="utf-8"?>
<ds:datastoreItem xmlns:ds="http://schemas.openxmlformats.org/officeDocument/2006/customXml" ds:itemID="{14966E4F-347B-477B-B74C-9DAC05405806}"/>
</file>

<file path=customXml/itemProps12.xml><?xml version="1.0" encoding="utf-8"?>
<ds:datastoreItem xmlns:ds="http://schemas.openxmlformats.org/officeDocument/2006/customXml" ds:itemID="{89CF5C07-45EB-4100-9AFB-2C6AF77FA787}"/>
</file>

<file path=customXml/itemProps13.xml><?xml version="1.0" encoding="utf-8"?>
<ds:datastoreItem xmlns:ds="http://schemas.openxmlformats.org/officeDocument/2006/customXml" ds:itemID="{CB52044A-5C0B-44A2-99D0-C1C315EC302D}"/>
</file>

<file path=customXml/itemProps14.xml><?xml version="1.0" encoding="utf-8"?>
<ds:datastoreItem xmlns:ds="http://schemas.openxmlformats.org/officeDocument/2006/customXml" ds:itemID="{D3A7101F-9A85-4235-8B03-415370C100B2}"/>
</file>

<file path=customXml/itemProps15.xml><?xml version="1.0" encoding="utf-8"?>
<ds:datastoreItem xmlns:ds="http://schemas.openxmlformats.org/officeDocument/2006/customXml" ds:itemID="{7946C510-7D04-49D8-9B25-EEC04582A1CA}"/>
</file>

<file path=customXml/itemProps16.xml><?xml version="1.0" encoding="utf-8"?>
<ds:datastoreItem xmlns:ds="http://schemas.openxmlformats.org/officeDocument/2006/customXml" ds:itemID="{F12EFA50-0068-4A8C-85A0-F1B26389EBC3}"/>
</file>

<file path=customXml/itemProps17.xml><?xml version="1.0" encoding="utf-8"?>
<ds:datastoreItem xmlns:ds="http://schemas.openxmlformats.org/officeDocument/2006/customXml" ds:itemID="{1954BBA4-0359-438C-B0EC-A756015F7C02}"/>
</file>

<file path=customXml/itemProps18.xml><?xml version="1.0" encoding="utf-8"?>
<ds:datastoreItem xmlns:ds="http://schemas.openxmlformats.org/officeDocument/2006/customXml" ds:itemID="{0389C43E-394D-44C0-87DC-4780FCFCFB40}"/>
</file>

<file path=customXml/itemProps19.xml><?xml version="1.0" encoding="utf-8"?>
<ds:datastoreItem xmlns:ds="http://schemas.openxmlformats.org/officeDocument/2006/customXml" ds:itemID="{078388C9-06F9-42F4-B857-EF76B5CAF1FD}"/>
</file>

<file path=customXml/itemProps20.xml><?xml version="1.0" encoding="utf-8"?>
<ds:datastoreItem xmlns:ds="http://schemas.openxmlformats.org/officeDocument/2006/customXml" ds:itemID="{BE26B669-A686-459C-A5E9-FEC3409C4C8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Chapman, Brett</dc:creator>
  <cp:keywords/>
  <dc:description/>
  <cp:lastModifiedBy>Jayasri  Garapati</cp:lastModifiedBy>
  <cp:revision/>
  <dcterms:created xsi:type="dcterms:W3CDTF">2021-01-01T16:39:53Z</dcterms:created>
  <dcterms:modified xsi:type="dcterms:W3CDTF">2025-07-17T05:21:51Z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  <property fmtid="{D5CDD505-2E9C-101B-9397-08002B2CF9AE}" pid="3" name="MSIP_Label_9d817c99-0b37-4a07-8277-96aa1f96b74b_Enabled">
    <vt:lpwstr>true</vt:lpwstr>
  </property>
  <property fmtid="{D5CDD505-2E9C-101B-9397-08002B2CF9AE}" pid="4" name="MSIP_Label_9d817c99-0b37-4a07-8277-96aa1f96b74b_SetDate">
    <vt:lpwstr>2024-10-17T15:47:45Z</vt:lpwstr>
  </property>
  <property fmtid="{D5CDD505-2E9C-101B-9397-08002B2CF9AE}" pid="5" name="MSIP_Label_9d817c99-0b37-4a07-8277-96aa1f96b74b_Method">
    <vt:lpwstr>Standard</vt:lpwstr>
  </property>
  <property fmtid="{D5CDD505-2E9C-101B-9397-08002B2CF9AE}" pid="6" name="MSIP_Label_9d817c99-0b37-4a07-8277-96aa1f96b74b_Name">
    <vt:lpwstr>9d817c99-0b37-4a07-8277-96aa1f96b74b</vt:lpwstr>
  </property>
  <property fmtid="{D5CDD505-2E9C-101B-9397-08002B2CF9AE}" pid="7" name="MSIP_Label_9d817c99-0b37-4a07-8277-96aa1f96b74b_SiteId">
    <vt:lpwstr>d11dfc6a-833a-4712-84db-fc468665e0e1</vt:lpwstr>
  </property>
  <property fmtid="{D5CDD505-2E9C-101B-9397-08002B2CF9AE}" pid="8" name="MSIP_Label_9d817c99-0b37-4a07-8277-96aa1f96b74b_ActionId">
    <vt:lpwstr>569a0cc3-59ad-4a60-b9e4-83b3229a8c7e</vt:lpwstr>
  </property>
  <property fmtid="{D5CDD505-2E9C-101B-9397-08002B2CF9AE}" pid="9" name="MSIP_Label_9d817c99-0b37-4a07-8277-96aa1f96b74b_ContentBits">
    <vt:lpwstr>0</vt:lpwstr>
  </property>
</Properties>
</file>