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1C981CF-1CA9-4B57-B3E7-08D8CA317140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<sst xmlns="http://schemas.openxmlformats.org/spreadsheetml/2006/main" count="279" uniqueCount="67">
  <si>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</si>
  <si>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</si>
  <si>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</si>
  <si>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</si>
  <si>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</si>
  <si>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</si>
  <si>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</si>
  <si>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</si>
  <si>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</si>
  <si>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</si>
  <si>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</si>
  <si>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</si>
  <si>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</si>
  <si>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</si>
  <si>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</si>
  <si>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</si>
  <si>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</si>
  <si>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</si>
  <si>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</si>
  <si>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</si>
  <si>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</si>
  <si>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</si>
  <si>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</si>
  <si>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production was low on 01/20 to 01/28  due to rain.</t>
  </si>
  <si>
    <t/>
  </si>
  <si>
    <t>1. Inverter 1 is performing low compared to peers due to several optimizers underperformance.</t>
  </si>
  <si>
    <t>1.SR092525</t>
  </si>
  <si>
    <t>February Actual v. Expected</t>
  </si>
  <si>
    <t>February Actual v. Forecasted</t>
  </si>
  <si>
    <t>1. Site production was low on 02/09 to 02/14  due to rain.</t>
  </si>
  <si>
    <t>March Actual v. Expected</t>
  </si>
  <si>
    <t>March Actual v. Forecasted</t>
  </si>
  <si>
    <t>1. Inverter 3 tripped offline at 9:15am on 03/07 reporting AC Voltage too low.  After remote reset inverter back online at 11:15 on 03/07 
2. Inverter 1 tripped offline at 10:00 on 03/13 reporting Power output outside specified limits.  technician replaced  relay board and inverter back online at 09:00 on 03/26</t>
  </si>
  <si>
    <t>1.	SR098256
2.SR098498</t>
  </si>
  <si>
    <t>SR098498</t>
  </si>
  <si>
    <t>April Actual v. Expected</t>
  </si>
  <si>
    <t>April Actual v. Forecasted</t>
  </si>
  <si>
    <t>1. SR092525</t>
  </si>
  <si>
    <t>May Actual v. Expected</t>
  </si>
  <si>
    <t>May Actual v. Forecasted</t>
  </si>
  <si>
    <t>1. Site has low production/generation on 05/05,05/06, 05/09,05/10,05/20,05/21,05/22,05/25, and 05/29 due to low irradiance.</t>
  </si>
  <si>
    <t>June Actual v. Expected</t>
  </si>
  <si>
    <t>June Actual v. Forecasted</t>
  </si>
  <si>
    <t>1. Site has low production/generation on 06/07,06/10,06/14,06/26, and 06/28 due to low irradiance.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</si>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</sst>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vertical="top" wrapText="1"/>
    </xf>
    <xf numFmtId="3" fontId="29" fillId="0" borderId="0" xfId="1" applyNumberFormat="1" applyFont="1" applyFill="1" applyBorder="1" applyAlignment="1">
      <alignment horizontal="right" vertical="center"/>
    </xf>
    <xf numFmtId="49" fontId="34" fillId="38" borderId="0" xfId="45" applyNumberFormat="1" applyFill="1" applyBorder="1" applyAlignment="1">
      <alignment vertical="top" wrapText="1"/>
    </xf>
    <xf numFmtId="49" fontId="34" fillId="0" borderId="0" xfId="45" applyNumberFormat="1" applyAlignment="1">
      <alignment vertical="top" wrapText="1"/>
    </xf>
    <xf numFmtId="0" fontId="34" fillId="0" borderId="0" xfId="45" applyAlignment="1">
      <alignment vertical="top"/>
    </xf>
    <xf numFmtId="3" fontId="29" fillId="0" borderId="0" xfId="1" applyNumberFormat="1" applyFont="1" applyFill="1" applyBorder="1" applyAlignment="1">
      <alignment horizontal="right"/>
    </xf>
    <xf numFmtId="49" fontId="34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25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525" TargetMode="External"/><Relationship Id="rId2" Type="http://schemas.openxmlformats.org/officeDocument/2006/relationships/hyperlink" Target="https://us3.assetplanner.com/service_request?ID=098498" TargetMode="External"/><Relationship Id="rId1" Type="http://schemas.openxmlformats.org/officeDocument/2006/relationships/hyperlink" Target="https://us3.assetplanner.com/service_request?ID=09825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52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Yankee Sprinkler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107690.70845000001</v>
      </c>
      <c r="D2" s="5">
        <f>SUM(D4:D77)</f>
        <v>0</v>
      </c>
      <c r="E2" s="5">
        <f>C2-D2</f>
        <v>107690.70845000001</v>
      </c>
      <c r="F2" s="6">
        <f>IFERROR(E2/D2, 0)</f>
        <v>0</v>
      </c>
      <c r="G2" s="5">
        <f>SUM(G4:G77)</f>
        <v>113714.83100000001</v>
      </c>
      <c r="H2" s="7">
        <f>C2-G2</f>
        <v>-6024.12255</v>
      </c>
      <c r="I2" s="6">
        <f>IFERROR(H2/G2, 0)</f>
        <v>-5.2975698042412776E-2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91957.689920000004</v>
      </c>
      <c r="D4" s="12">
        <f>SUM('1st Qtr'!D4, '2nd Qtr'!D4, '3rd Qtr'!D4, '4th Qtr'!D4)</f>
        <v>0</v>
      </c>
      <c r="E4" s="12">
        <f>IF(AND(ISNUMBER(C4),ISNUMBER(D4)), C4-D4, "")</f>
        <v>91957.689920000004</v>
      </c>
      <c r="F4" s="13" t="str">
        <f>IFERROR(E4/D4, "")</f>
        <v/>
      </c>
      <c r="G4" s="14">
        <f>SUM('1st Qtr'!G4, '2nd Qtr'!G4, '3rd Qtr'!G4, '4th Qtr'!G4)</f>
        <v>113714.83100000001</v>
      </c>
      <c r="H4" s="14">
        <f>SUM('1st Qtr'!H4, '2nd Qtr'!H4, '3rd Qtr'!H4, '4th Qtr'!H4)</f>
        <v>-21757.141080000001</v>
      </c>
      <c r="I4" s="15">
        <f>IFERROR(H4/G4, "")</f>
        <v>-0.19133072518922356</v>
      </c>
    </row>
    <row r="5" spans="1:9" ht="15.6">
      <c r="A5" s="28" t="str">
        <v>Yankee Phase 2</v>
      </c>
      <c r="B5" s="28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Yankee Sprinkler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43100.583449999998</v>
      </c>
      <c r="D2" s="5">
        <f>SUM(D4:D77)</f>
        <v>0</v>
      </c>
      <c r="E2" s="5">
        <f>C2-D2</f>
        <v>43100.583449999998</v>
      </c>
      <c r="F2" s="6">
        <f>IFERROR(E2/D2, 0)</f>
        <v>0</v>
      </c>
      <c r="G2" s="5">
        <f>SUM(G4:G77)</f>
        <v>40075.240000000005</v>
      </c>
      <c r="H2" s="7">
        <f>C2-G2</f>
        <v>3025.343449999993</v>
      </c>
      <c r="I2" s="6">
        <f>IFERROR(H2/G2, 0)</f>
        <v>7.5491586575651012E-2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27367.564920000001</v>
      </c>
      <c r="D4" s="12">
        <f>SUM(Jan!D4, Feb!D4, Mar!D4)</f>
        <v>0</v>
      </c>
      <c r="E4" s="12">
        <f>IF(AND(ISNUMBER(C4),ISNUMBER(D4)), C4-D4, "")</f>
        <v>27367.564920000001</v>
      </c>
      <c r="F4" s="13" t="str">
        <f>IFERROR(E4/D4, "")</f>
        <v/>
      </c>
      <c r="G4" s="14">
        <f>SUM(Jan!G4, Feb!G4, Mar!G4)</f>
        <v>40075.240000000005</v>
      </c>
      <c r="H4" s="14">
        <f>SUM(Jan!H4, Feb!H4, Mar!H4)</f>
        <v>-12707.675080000001</v>
      </c>
      <c r="I4" s="15">
        <f>IFERROR(H4/G4, "")</f>
        <v>-0.31709542051401313</v>
      </c>
    </row>
    <row r="5" spans="1:9" ht="15.6">
      <c r="A5" s="16" t="str">
        <v>Yankee Phase 2</v>
      </c>
      <c r="B5" s="10" t="str">
        <v>MA</v>
      </c>
      <c r="C5" s="11">
        <f>SUM(Jan!C5, Feb!C5, Mar!C5)</f>
        <v>15733.018529999999</v>
      </c>
      <c r="D5" s="17">
        <f>SUM(Jan!D5, Feb!D5, Mar!D5)</f>
        <v>0</v>
      </c>
      <c r="E5" s="17">
        <f t="shared" ref="E5" si="0">IF(AND(ISNUMBER(C5),ISNUMBER(D5)), C5-D5, "")</f>
        <v>15733.018529999999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G4" activePane="bottomRight" state="frozen"/>
      <selection pane="bottomRight" activeCell="G11" sqref="G11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Yankee Sprinkler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97011.134999999995</v>
      </c>
      <c r="D2" s="5">
        <f>SUM(D4:D77)</f>
        <v>0</v>
      </c>
      <c r="E2" s="5">
        <f>C2-D2</f>
        <v>97011.134999999995</v>
      </c>
      <c r="F2" s="6">
        <f>IFERROR(E2/D2, 0)</f>
        <v>0</v>
      </c>
      <c r="G2" s="5">
        <f>SUM(G4:G77)</f>
        <v>73639.591</v>
      </c>
      <c r="H2" s="7">
        <f>C2-G2</f>
        <v>23371.543999999994</v>
      </c>
      <c r="I2" s="6">
        <f>IFERROR(H2/G2, 0)</f>
        <v>0.31737742812830116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64590.125</v>
      </c>
      <c r="D4" s="12">
        <f>SUM(Apr!D4, May!D4, Jun!D4)</f>
        <v>0</v>
      </c>
      <c r="E4" s="12">
        <f>IF(AND(ISNUMBER(C4),ISNUMBER(D4)), C4-D4, "")</f>
        <v>64590.125</v>
      </c>
      <c r="F4" s="13" t="str">
        <f>IFERROR(E4/D4, "")</f>
        <v/>
      </c>
      <c r="G4" s="14">
        <f>SUM(Apr!G4,May!G4,Jun!G4)</f>
        <v>73639.591</v>
      </c>
      <c r="H4" s="14">
        <f>SUM(Apr!H4, May!H4, Jun!H4)</f>
        <v>-9049.4660000000003</v>
      </c>
      <c r="I4" s="15">
        <f>IFERROR(H4/G4, "")</f>
        <v>-0.12288859670608437</v>
      </c>
    </row>
    <row r="5" spans="1:9" ht="15.6">
      <c r="A5" s="16" t="str">
        <v>Yankee Phase 2</v>
      </c>
      <c r="B5" s="10" t="str">
        <v>MA</v>
      </c>
      <c r="C5" s="11">
        <f>SUM(Apr!C5, May!C5, Jun!C5)</f>
        <v>32421.01</v>
      </c>
      <c r="D5" s="17">
        <f>SUM(Apr!D5, May!D5, Jun!D5)</f>
        <v>0</v>
      </c>
      <c r="E5" s="17">
        <f t="shared" ref="E5" si="0">IF(AND(ISNUMBER(C5),ISNUMBER(D5)), C5-D5, "")</f>
        <v>32421.01</v>
      </c>
      <c r="F5" s="18" t="str">
        <f>IFERROR(E5/D5, "")</f>
        <v/>
      </c>
      <c r="G5" s="20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G5">
    <cfRule type="cellIs" dxfId="38" priority="1" stopIfTrue="1" operator="lessThanOrEqual">
      <formula>-0.1</formula>
    </cfRule>
    <cfRule type="expression" dxfId="37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Yankee Sprinkler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2" sqref="G12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Yankee Sprinkler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I24" sqref="I2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8146.3729999999996</v>
      </c>
      <c r="D2" s="5">
        <f>SUM(D4:D76)</f>
        <v>0</v>
      </c>
      <c r="E2" s="5">
        <f>C2-D2</f>
        <v>8146.3729999999996</v>
      </c>
      <c r="F2" s="6">
        <f>IFERROR(E2/D2, 0)</f>
        <v>0</v>
      </c>
      <c r="G2" s="5">
        <f>SUM(G4:G76)</f>
        <v>9310.4</v>
      </c>
      <c r="H2" s="7">
        <f>C2-G2</f>
        <v>-1164.027</v>
      </c>
      <c r="I2" s="6">
        <f>IFERROR(H2/G2, 0)</f>
        <v>-0.1250243813369995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5093.9650000000001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9310.4</v>
      </c>
      <c r="H4" s="14">
        <f>IF(AND(ISNUMBER(C4),ISNUMBER(G4)), C4-G4, "")</f>
        <v>-4216.4349999999995</v>
      </c>
      <c r="I4" s="15">
        <f>IFERROR(H4/G4, "")</f>
        <v>-0.45287366815604052</v>
      </c>
      <c r="J4" s="39" t="s">
        <v>23</v>
      </c>
      <c r="K4" s="39" t="s">
        <v>24</v>
      </c>
    </row>
    <row r="5" spans="1:11" ht="28.9">
      <c r="A5" s="28" t="str">
        <v>Yankee Phase 2</v>
      </c>
      <c r="B5" s="29" t="str">
        <v>MA</v>
      </c>
      <c r="C5" s="11">
        <v>3052.4079999999999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hyperlinks>
    <hyperlink ref="K5" r:id="rId1" display="https://us3.assetplanner.com/service_request?ID=092525" xr:uid="{8AC0F3E2-DB56-473D-AC2E-2688BBE5624D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K1" sqref="K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11707.275000000001</v>
      </c>
      <c r="D2" s="5">
        <f>SUM(D4:D77)</f>
        <v>0</v>
      </c>
      <c r="E2" s="5">
        <f>C2-D2</f>
        <v>11707.275000000001</v>
      </c>
      <c r="F2" s="6">
        <f>IFERROR(E2/D2, 0)</f>
        <v>0</v>
      </c>
      <c r="G2" s="5">
        <f>SUM(G4:G77)</f>
        <v>12380.68</v>
      </c>
      <c r="H2" s="7">
        <f>C2-G2</f>
        <v>-673.40499999999884</v>
      </c>
      <c r="I2" s="6">
        <f>IFERROR(H2/G2, 0)</f>
        <v>-5.4391600461363904E-2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7580.31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>
        <v>12380.68</v>
      </c>
      <c r="H4" s="14">
        <f>IF(AND(ISNUMBER(C4),ISNUMBER(G4)), C4-G4, "")</f>
        <v>-4800.37</v>
      </c>
      <c r="I4" s="15">
        <f>IFERROR(H4/G4, "")</f>
        <v>-0.38773072238358475</v>
      </c>
      <c r="J4" s="39" t="s">
        <v>29</v>
      </c>
      <c r="K4" s="39"/>
    </row>
    <row r="5" spans="1:11" ht="28.9">
      <c r="A5" s="28" t="str">
        <v>Yankee Phase 2</v>
      </c>
      <c r="B5" s="29" t="str">
        <v>MA</v>
      </c>
      <c r="C5" s="11">
        <v>4126.9650000000001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46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25</v>
      </c>
      <c r="K5" s="48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1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1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H16:H17">
    <cfRule type="cellIs" dxfId="28" priority="3" stopIfTrue="1" operator="lessThanOrEqual">
      <formula>-0.1</formula>
    </cfRule>
    <cfRule type="expression" dxfId="27" priority="4">
      <formula>AND(ISNUMBER(H16), H16&gt;=0.1)</formula>
    </cfRule>
  </conditionalFormatting>
  <conditionalFormatting sqref="I4:I77">
    <cfRule type="cellIs" dxfId="26" priority="1" stopIfTrue="1" operator="lessThanOrEqual">
      <formula>-0.1</formula>
    </cfRule>
    <cfRule type="expression" dxfId="25" priority="2">
      <formula>AND(ISNUMBER(I4), I4&gt;=0.1)</formula>
    </cfRule>
  </conditionalFormatting>
  <hyperlinks>
    <hyperlink ref="K5" r:id="rId1" display="https://us3.assetplanner.com/service_request?ID=092525" xr:uid="{06FD39C8-1E64-46B7-AF4A-0DB5D809BBB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9"/>
  <sheetViews>
    <sheetView zoomScaleNormal="80" workbookViewId="0">
      <pane xSplit="2" ySplit="3" topLeftCell="G4" activePane="bottomRight" state="frozen"/>
      <selection pane="bottomRight" activeCell="I9" sqref="I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Yankee Sprinkler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2" ht="19.5" customHeight="1">
      <c r="A2" s="55" t="s">
        <v>2</v>
      </c>
      <c r="B2" s="55"/>
      <c r="C2" s="5">
        <f>SUM(C4:C77)</f>
        <v>23246.935449999997</v>
      </c>
      <c r="D2" s="5">
        <f>SUM(D4:D77)</f>
        <v>0</v>
      </c>
      <c r="E2" s="5">
        <f>C2-D2</f>
        <v>23246.935449999997</v>
      </c>
      <c r="F2" s="6">
        <f>IFERROR(E2/D2, 0)</f>
        <v>0</v>
      </c>
      <c r="G2" s="5">
        <f>SUM(G4:G77)</f>
        <v>18384.16</v>
      </c>
      <c r="H2" s="7">
        <f>C2-G2</f>
        <v>4862.7754499999974</v>
      </c>
      <c r="I2" s="6">
        <f>IFERROR(H2/G2, 0)</f>
        <v>0.26450898218901475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72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14693.289919999999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14">
        <v>18384.16</v>
      </c>
      <c r="H4" s="14">
        <f>IF(AND(ISNUMBER(C4),ISNUMBER(G4)), C4-G4, "")</f>
        <v>-3690.8700800000006</v>
      </c>
      <c r="I4" s="15">
        <f>IFERROR(H4/G4, "")</f>
        <v>-0.20076359648741093</v>
      </c>
      <c r="J4" s="39" t="s">
        <v>32</v>
      </c>
      <c r="K4" s="47" t="s">
        <v>33</v>
      </c>
      <c r="L4" s="49" t="s">
        <v>34</v>
      </c>
    </row>
    <row r="5" spans="1:12" ht="28.9">
      <c r="A5" s="28" t="str">
        <v>Yankee Phase 2</v>
      </c>
      <c r="B5" s="29" t="str">
        <v>MA</v>
      </c>
      <c r="C5" s="11">
        <v>8553.6455299999998</v>
      </c>
      <c r="D5" s="17" t="s">
        <v>22</v>
      </c>
      <c r="E5" s="17" t="str">
        <f t="shared" si="0"/>
        <v/>
      </c>
      <c r="F5" s="18" t="str">
        <f>IFERROR(E5/D5, "")</f>
        <v/>
      </c>
      <c r="G5" s="46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26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hyperlinks>
    <hyperlink ref="K4" r:id="rId1" display="https://us3.assetplanner.com/service_request?ID=098256" xr:uid="{5C8DBBE0-8DB3-4B45-BC7B-130B066632A7}"/>
    <hyperlink ref="L4" r:id="rId2" display="https://us3.assetplanner.com/service_request?ID=098498" xr:uid="{3B458709-1749-4E00-A956-8F0F0530FD1B}"/>
    <hyperlink ref="K5" r:id="rId3" display="https://us3.assetplanner.com/service_request?ID=092525" xr:uid="{23F0768B-971B-4577-8111-0245BF3BF2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J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30490.68</v>
      </c>
      <c r="D2" s="5">
        <f>SUM(D4:D77)</f>
        <v>0</v>
      </c>
      <c r="E2" s="5">
        <f>C2-D2</f>
        <v>30490.68</v>
      </c>
      <c r="F2" s="6">
        <f>IFERROR(E2/D2, 0)</f>
        <v>0</v>
      </c>
      <c r="G2" s="5">
        <f>SUM(G4:G77)</f>
        <v>21503.87</v>
      </c>
      <c r="H2" s="7">
        <f>C2-G2</f>
        <v>8986.8100000000013</v>
      </c>
      <c r="I2" s="6">
        <f>IFERROR(H2/G2, 0)</f>
        <v>0.41791593792187182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20166.584999999999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21503.87</v>
      </c>
      <c r="H4" s="14">
        <f>IF(AND(ISNUMBER(C4),ISNUMBER(G4)), C4-G4, "")</f>
        <v>-1337.2849999999999</v>
      </c>
      <c r="I4" s="15">
        <f>IFERROR(H4/G4, "")</f>
        <v>-6.2188108466057504E-2</v>
      </c>
      <c r="J4" s="39"/>
      <c r="K4" s="39"/>
    </row>
    <row r="5" spans="1:11" ht="28.9">
      <c r="A5" s="28" t="str">
        <v>Yankee Phase 2</v>
      </c>
      <c r="B5" s="29" t="str">
        <v>MA</v>
      </c>
      <c r="C5" s="11">
        <v>10324.094999999999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51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5" r:id="rId1" display="https://us3.assetplanner.com/service_request?ID=092525" xr:uid="{033568F8-26A6-4B83-BBFE-020560E5561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H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32024.245000000003</v>
      </c>
      <c r="D2" s="5">
        <f>SUM(D4:D77)</f>
        <v>0</v>
      </c>
      <c r="E2" s="5">
        <f>C2-D2</f>
        <v>32024.245000000003</v>
      </c>
      <c r="F2" s="6">
        <f>IFERROR(E2/D2, 0)</f>
        <v>0</v>
      </c>
      <c r="G2" s="5">
        <f>SUM(G4:G77)</f>
        <v>25748.952000000001</v>
      </c>
      <c r="H2" s="7">
        <f>C2-G2</f>
        <v>6275.2930000000015</v>
      </c>
      <c r="I2" s="6">
        <f>IFERROR(H2/G2, 0)</f>
        <v>0.24371061781465908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21365.38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25748.952000000001</v>
      </c>
      <c r="H4" s="14">
        <f>IF(AND(ISNUMBER(C4),ISNUMBER(G4)), C4-G4, "")</f>
        <v>-4383.5720000000001</v>
      </c>
      <c r="I4" s="15">
        <f>IFERROR(H4/G4, "")</f>
        <v>-0.17024273453925426</v>
      </c>
      <c r="J4" s="39" t="s">
        <v>40</v>
      </c>
      <c r="K4" s="39"/>
    </row>
    <row r="5" spans="1:11" ht="28.9">
      <c r="A5" s="28" t="str">
        <v>Yankee Phase 2</v>
      </c>
      <c r="B5" s="29" t="str">
        <v>MA</v>
      </c>
      <c r="C5" s="11">
        <v>10658.865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5" r:id="rId1" display="https://us3.assetplanner.com/service_request?ID=092525" xr:uid="{B0605A00-CAB4-4A40-A479-8A998E07751E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tabSelected="1" workbookViewId="0">
      <pane xSplit="2" ySplit="3" topLeftCell="G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34496.21</v>
      </c>
      <c r="D2" s="5">
        <f>SUM(D4:D77)</f>
        <v>0</v>
      </c>
      <c r="E2" s="5">
        <f>C2-D2</f>
        <v>34496.21</v>
      </c>
      <c r="F2" s="6">
        <f>IFERROR(E2/D2, 0)</f>
        <v>0</v>
      </c>
      <c r="G2" s="5">
        <f>SUM(G4:G77)</f>
        <v>26386.769</v>
      </c>
      <c r="H2" s="7">
        <f>C2-G2</f>
        <v>8109.4409999999989</v>
      </c>
      <c r="I2" s="6">
        <f>IFERROR(H2/G2, 0)</f>
        <v>0.30732982124488217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23058.16</v>
      </c>
      <c r="D4" s="12">
        <v>0</v>
      </c>
      <c r="E4" s="12">
        <f>IF(AND(ISNUMBER(C4),ISNUMBER(D4)), C4-D4, "")</f>
        <v>23058.16</v>
      </c>
      <c r="F4" s="13" t="str">
        <f>IFERROR(E4/D4, "")</f>
        <v/>
      </c>
      <c r="G4" s="14">
        <v>26386.769</v>
      </c>
      <c r="H4" s="14">
        <f>IF(AND(ISNUMBER(C4),ISNUMBER(G4)), C4-G4, "")</f>
        <v>-3328.6090000000004</v>
      </c>
      <c r="I4" s="15">
        <f>IFERROR(H4/G4, "")</f>
        <v>-0.12614689581736971</v>
      </c>
      <c r="J4" s="39" t="s">
        <v>43</v>
      </c>
      <c r="K4" s="39"/>
    </row>
    <row r="5" spans="1:11" ht="28.9">
      <c r="A5" s="28" t="str">
        <v>Yankee Phase 2</v>
      </c>
      <c r="B5" s="29" t="str">
        <v>MA</v>
      </c>
      <c r="C5" s="11">
        <v>11438.05</v>
      </c>
      <c r="D5" s="17">
        <v>0</v>
      </c>
      <c r="E5" s="17">
        <f t="shared" ref="E5" si="0">IF(AND(ISNUMBER(C5),ISNUMBER(D5)), C5-D5, "")</f>
        <v>11438.05</v>
      </c>
      <c r="F5" s="18" t="str">
        <f>IFERROR(E5/D5, "")</f>
        <v/>
      </c>
      <c r="G5" s="50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25</v>
      </c>
      <c r="K5" s="48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5" r:id="rId1" display="https://us3.assetplanner.com/service_request?ID=092525" xr:uid="{A54A2617-F639-4637-A9F9-06371ECD3DB3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H10" activePane="bottomRight" state="frozen"/>
      <selection pane="bottomRight" activeCell="H10" sqref="H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44</v>
      </c>
      <c r="E1" s="54"/>
      <c r="F1" s="54"/>
      <c r="G1" s="52" t="s">
        <v>45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H11" sqref="H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46</v>
      </c>
      <c r="E1" s="54"/>
      <c r="F1" s="54"/>
      <c r="G1" s="52" t="s">
        <v>47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12" sqref="G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H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50</v>
      </c>
      <c r="E1" s="54"/>
      <c r="F1" s="54"/>
      <c r="G1" s="52" t="s">
        <v>51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5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H4" activePane="bottomRight" state="frozen"/>
      <selection pane="bottomRight" activeCell="K14" sqref="K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52</v>
      </c>
      <c r="E1" s="54"/>
      <c r="F1" s="54"/>
      <c r="G1" s="52" t="s">
        <v>53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90" zoomScaleNormal="90" workbookViewId="0">
      <pane xSplit="2" ySplit="3" topLeftCell="G9" activePane="bottomRight" state="frozen"/>
      <selection pane="bottomRight" activeCell="G9" sqref="G9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Yankee Sprinkler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t="s">
        <v>61</v>
      </c>
      <c r="B4" t="s">
        <v>62</v>
      </c>
      <c r="C4" t="s">
        <v>63</v>
      </c>
      <c r="E4" t="s">
        <v>64</v>
      </c>
      <c r="G4" s="3"/>
    </row>
    <row r="5" spans="1:12" ht="14.45">
      <c r="A5" t="s">
        <v>65</v>
      </c>
      <c r="B5" t="s">
        <v>66</v>
      </c>
      <c r="C5" t="s">
        <v>63</v>
      </c>
      <c r="E5" t="s">
        <v>64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603912AF-A388-41CE-8A3E-FBE87E9CD1E1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