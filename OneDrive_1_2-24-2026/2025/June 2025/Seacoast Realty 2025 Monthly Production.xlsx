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8015298-7402-4D31-8078-6A2F3310468A}" xr6:coauthVersionLast="47" xr6:coauthVersionMax="47" xr10:uidLastSave="{00000000-0000-0000-0000-000000000000}"/>
  <bookViews>
    <workbookView xWindow="-108" yWindow="-108" windowWidth="23256" windowHeight="12456" tabRatio="866" firstSheet="10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H4" i="3"/>
  <c r="I4" i="3" s="1"/>
  <c r="G4" i="30"/>
  <c r="G2" i="30" s="1"/>
  <c r="G4" i="29"/>
  <c r="G4" i="18"/>
  <c r="G2" i="18" s="1"/>
  <c r="D2" i="3"/>
  <c r="F5" i="1"/>
  <c r="F5" i="4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F4" i="20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<sst xmlns="http://schemas.openxmlformats.org/spreadsheetml/2006/main" count="270" uniqueCount="61">
  <si>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</si>
  <si>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</si>
  <si>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</si>
  <si>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</si>
  <si>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</si>
  <si>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</si>
  <si>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</si>
  <si>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</si>
  <si>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</si>
  <si>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</si>
  <si>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</si>
  <si>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</si>
  <si>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 xml:space="preserve"> 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</si>
  <si>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</si>
  <si>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</si>
  <si>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</si>
  <si>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</si>
  <si>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</si>
  <si>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</si>
  <si>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</si>
  <si>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</si>
  <si>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</si>
  <si>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</si>
  <si>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</si>
  <si>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snow/rain.</t>
  </si>
  <si>
    <t>February Actual v. Expected</t>
  </si>
  <si>
    <t>February Actual v. Forecasted</t>
  </si>
  <si>
    <t>March Actual v. Expected</t>
  </si>
  <si>
    <t>March Actual v. Forecasted</t>
  </si>
  <si>
    <t xml:space="preserve">1. Inverter 1 started late for production on 03/09 due to  "DC voltage too high Wait for grid" and selfresolved on 03/09 at 10:30AM.
2. The site tripped offline at 7:30 AM on 03/18. Following a thermal event investigation on 03/19, the site will remain offline. While panel damage appears minimal, the wiring insulation may be compromised. Further investigation and repairs are required before safely re-energizing the site.
</t>
  </si>
  <si>
    <t>1.	SR098309
2. SR098691</t>
  </si>
  <si>
    <t>SR098691</t>
  </si>
  <si>
    <t>April Actual v. Expected</t>
  </si>
  <si>
    <t>April Actual v. Forecasted</t>
  </si>
  <si>
    <t>1. Site was offline from 03/18 to through out the month due to thermal event.</t>
  </si>
  <si>
    <t>1. SR098691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</si>
  <si>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</si>
  <si>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</si>
  <si>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</si>
  <si>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</si>
  <si>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</si>
  <si>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</si>
  <si>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</si>
  <si>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</si>
  <si>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</si>
  <si>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</si>
  <si>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</si>
  <si>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</si>
  <si>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</si>
  <si>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</si>
  <si>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</si>
  <si>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</si>
  <si>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</si>
  <si>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Plymouth - Seacoast Realty</t>
  </si>
  <si>
    <t>Site DAS Name</t>
  </si>
  <si>
    <t>Update</t>
  </si>
  <si>
    <t>DAS</t>
  </si>
  <si>
    <t>CDF (77 Industrial Park, Plymouth)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</si>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</sst>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" fontId="35" fillId="0" borderId="0" xfId="0" applyNumberFormat="1" applyFont="1" applyAlignment="1">
      <alignment horizontal="right"/>
    </xf>
    <xf numFmtId="4" fontId="30" fillId="0" borderId="0" xfId="0" applyNumberFormat="1" applyFont="1" applyAlignment="1">
      <alignment horizontal="right"/>
    </xf>
    <xf numFmtId="3" fontId="35" fillId="0" borderId="0" xfId="0" applyNumberFormat="1" applyFont="1" applyAlignment="1">
      <alignment horizontal="right" wrapText="1"/>
    </xf>
    <xf numFmtId="3" fontId="35" fillId="0" borderId="0" xfId="0" applyNumberFormat="1" applyFont="1" applyAlignment="1">
      <alignment horizontal="right"/>
    </xf>
    <xf numFmtId="3" fontId="30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 inden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691" TargetMode="External"/><Relationship Id="rId1" Type="http://schemas.openxmlformats.org/officeDocument/2006/relationships/hyperlink" Target="https://us3.assetplanner.com/service_request?ID=09830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H12" sqref="H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0</v>
      </c>
      <c r="E1" s="64"/>
      <c r="F1" s="64"/>
      <c r="G1" s="62" t="s">
        <v>1</v>
      </c>
      <c r="H1" s="62"/>
      <c r="I1" s="62"/>
    </row>
    <row r="2" spans="1:9" ht="19.5" customHeight="1">
      <c r="A2" s="65" t="s">
        <v>2</v>
      </c>
      <c r="B2" s="65"/>
      <c r="C2" s="5">
        <f>SUM(C4:C79)</f>
        <v>76730</v>
      </c>
      <c r="D2" s="5">
        <f>SUM(D4:D79)</f>
        <v>270444.87199999997</v>
      </c>
      <c r="E2" s="5">
        <f>C2-D2</f>
        <v>-193714.87199999997</v>
      </c>
      <c r="F2" s="6">
        <f>IFERROR(E2/D2, 0)</f>
        <v>-0.71628228913136871</v>
      </c>
      <c r="G2" s="5">
        <f>SUM(G4:G79)</f>
        <v>0</v>
      </c>
      <c r="H2" s="7">
        <f>C2-G2</f>
        <v>76730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Plymouth - Seacoast Realty</v>
      </c>
      <c r="B4" s="9" t="str" cm="1">
        <f t="array" ref="B4">Sites[State]</f>
        <v>MA</v>
      </c>
      <c r="C4" s="23">
        <f>SUM('1st Qtr'!C4, '2nd Qtr'!C4, '3rd Qtr'!C4, '4th Qtr'!C4)</f>
        <v>76730</v>
      </c>
      <c r="D4" s="12">
        <f>SUM('1st Qtr'!D4, '2nd Qtr'!D4, '3rd Qtr'!D4, '4th Qtr'!D4)</f>
        <v>270444.87199999997</v>
      </c>
      <c r="E4" s="12">
        <f>IF(AND(ISNUMBER(C4),ISNUMBER(D4)), C4-D4, "")</f>
        <v>-193714.87199999997</v>
      </c>
      <c r="F4" s="13">
        <f>IFERROR(E4/D4, "")</f>
        <v>-0.71628228913136871</v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10</v>
      </c>
      <c r="E1" s="64"/>
      <c r="F1" s="64"/>
      <c r="G1" s="62" t="s">
        <v>11</v>
      </c>
      <c r="H1" s="62"/>
      <c r="I1" s="62"/>
    </row>
    <row r="2" spans="1:9" ht="19.5" customHeight="1">
      <c r="A2" s="65" t="s">
        <v>2</v>
      </c>
      <c r="B2" s="65"/>
      <c r="C2" s="5">
        <f>SUM(C4:C79)</f>
        <v>76730</v>
      </c>
      <c r="D2" s="5">
        <f>SUM(D4:D79)</f>
        <v>108943.44</v>
      </c>
      <c r="E2" s="5">
        <f>C2-D2</f>
        <v>-32213.440000000002</v>
      </c>
      <c r="F2" s="6">
        <f>IFERROR(E2/D2, 0)</f>
        <v>-0.29568957984069533</v>
      </c>
      <c r="G2" s="5">
        <f>SUM(G4:G79)</f>
        <v>0</v>
      </c>
      <c r="H2" s="7">
        <f>C2-G2</f>
        <v>76730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SUM(Jan!C4, Feb!C4, Mar!C4)</f>
        <v>76730</v>
      </c>
      <c r="D4" s="12">
        <f>SUM(Jan!D4, Feb!D4, Mar!D4)</f>
        <v>108943.44</v>
      </c>
      <c r="E4" s="12">
        <f>IF(AND(ISNUMBER(C4),ISNUMBER(D4)), C4-D4, "")</f>
        <v>-32213.440000000002</v>
      </c>
      <c r="F4" s="13">
        <f>IFERROR(E4/D4, "")</f>
        <v>-0.29568957984069533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54" t="s">
        <v>12</v>
      </c>
      <c r="D5" s="54" t="s">
        <v>12</v>
      </c>
      <c r="E5" s="17" t="s">
        <v>12</v>
      </c>
      <c r="F5" s="18" t="str">
        <f>IFERROR(E5/D5, "")</f>
        <v/>
      </c>
      <c r="G5" s="20"/>
      <c r="H5" s="20"/>
      <c r="I5" s="20"/>
    </row>
    <row r="6" spans="1:9" ht="13.9">
      <c r="A6" s="20"/>
      <c r="B6" s="20"/>
      <c r="C6" s="20"/>
      <c r="D6" s="20"/>
      <c r="E6" s="54" t="s">
        <v>12</v>
      </c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13" sqref="G13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13</v>
      </c>
      <c r="E1" s="64"/>
      <c r="F1" s="64"/>
      <c r="G1" s="62" t="s">
        <v>14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161501.43199999997</v>
      </c>
      <c r="E2" s="5">
        <f>C2-D2</f>
        <v>-161501.43199999997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161501.43199999997</v>
      </c>
      <c r="E4" s="12">
        <f>IF(AND(ISNUMBER(C4),ISNUMBER(D4)), C4-D4, "")</f>
        <v>-161501.43199999997</v>
      </c>
      <c r="F4" s="13">
        <f>IFERROR(E4/D4, "")</f>
        <v>-1</v>
      </c>
      <c r="G4" s="14">
        <f>SUM(Apr!G4,May!G4,Jun!G4,)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15</v>
      </c>
      <c r="E1" s="64"/>
      <c r="F1" s="64"/>
      <c r="G1" s="62" t="s">
        <v>16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F10" sqref="F10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17</v>
      </c>
      <c r="E1" s="64"/>
      <c r="F1" s="64"/>
      <c r="G1" s="62" t="s">
        <v>18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1" sqref="F11"/>
      <selection pane="bottomLeft" activeCell="A4" sqref="A4:XFD4"/>
      <selection pane="topRight" activeCell="A4" sqref="A4:XFD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19</v>
      </c>
      <c r="E1" s="64"/>
      <c r="F1" s="64"/>
      <c r="G1" s="62" t="s">
        <v>20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SUM(C4:C78)</f>
        <v>22040</v>
      </c>
      <c r="D2" s="5">
        <f>SUM(D4:D78)</f>
        <v>31721.37</v>
      </c>
      <c r="E2" s="5">
        <f>C2-D2</f>
        <v>-9681.369999999999</v>
      </c>
      <c r="F2" s="6">
        <f>IFERROR(E2/D2, 0)</f>
        <v>-0.30520024828688042</v>
      </c>
      <c r="G2" s="5">
        <f>SUM(G4:G78)</f>
        <v>0</v>
      </c>
      <c r="H2" s="7">
        <f>C2-G2</f>
        <v>22040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5" t="str" cm="1">
        <f t="array" ref="A4">Sites[Site]</f>
        <v>MA: Plymouth - Seacoast Realty</v>
      </c>
      <c r="B4" s="27" t="str" cm="1">
        <f t="array" ref="B4">Sites[State]</f>
        <v>MA</v>
      </c>
      <c r="C4" s="23">
        <v>22040</v>
      </c>
      <c r="D4" s="12">
        <v>31721.37</v>
      </c>
      <c r="E4" s="12">
        <f>IF(AND(ISNUMBER(C4),ISNUMBER(D4)), C4-D4, "")</f>
        <v>-9681.369999999999</v>
      </c>
      <c r="F4" s="13">
        <f>IFERROR(E4/D4, "")</f>
        <v>-0.30520024828688042</v>
      </c>
      <c r="G4" s="57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51" t="s">
        <v>12</v>
      </c>
      <c r="D5" s="52" t="s">
        <v>12</v>
      </c>
      <c r="E5" s="52" t="s">
        <v>12</v>
      </c>
      <c r="F5" s="51" t="s">
        <v>12</v>
      </c>
      <c r="G5" s="49"/>
      <c r="H5" s="49"/>
      <c r="I5" s="50"/>
      <c r="J5" s="39"/>
      <c r="K5" s="20"/>
    </row>
    <row r="6" spans="1:11" ht="14.45">
      <c r="A6" s="20"/>
      <c r="B6" s="29"/>
      <c r="C6" s="20"/>
      <c r="D6" s="20"/>
      <c r="E6" s="54" t="s">
        <v>12</v>
      </c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F6:F78">
    <cfRule type="cellIs" dxfId="26" priority="3" stopIfTrue="1" operator="lessThanOrEqual">
      <formula>-0.1</formula>
    </cfRule>
    <cfRule type="expression" dxfId="25" priority="4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G4" sqref="G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25</v>
      </c>
      <c r="E1" s="64"/>
      <c r="F1" s="64"/>
      <c r="G1" s="62" t="s">
        <v>26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27840</v>
      </c>
      <c r="D2" s="5">
        <f>SUM(D4:D79)</f>
        <v>32921.550000000003</v>
      </c>
      <c r="E2" s="5">
        <f>C2-D2</f>
        <v>-5081.5500000000029</v>
      </c>
      <c r="F2" s="6">
        <f>IFERROR(E2/D2, 0)</f>
        <v>-0.15435330353522245</v>
      </c>
      <c r="G2" s="5">
        <f>SUM(G4:G79)</f>
        <v>0</v>
      </c>
      <c r="H2" s="7">
        <f>C2-G2</f>
        <v>27840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5" t="str" cm="1">
        <f t="array" ref="A4">Sites[Site]</f>
        <v>MA: Plymouth - Seacoast Realty</v>
      </c>
      <c r="B4" s="27" t="str" cm="1">
        <f t="array" ref="B4">Sites[State]</f>
        <v>MA</v>
      </c>
      <c r="C4" s="23">
        <v>27840</v>
      </c>
      <c r="D4" s="12">
        <v>32921.550000000003</v>
      </c>
      <c r="E4" s="12">
        <f>IF(AND(ISNUMBER(C4),ISNUMBER(D4)), C4-D4, "")</f>
        <v>-5081.5500000000029</v>
      </c>
      <c r="F4" s="13">
        <f>IFERROR(E4/D4, "")</f>
        <v>-0.15435330353522245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53"/>
      <c r="D5" s="53"/>
      <c r="E5" s="53"/>
      <c r="F5" s="18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55" t="s">
        <v>12</v>
      </c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MA: Plymouth - Seacoast Realty</v>
      </c>
      <c r="B1" s="63"/>
      <c r="C1" s="63"/>
      <c r="D1" s="64" t="s">
        <v>27</v>
      </c>
      <c r="E1" s="64"/>
      <c r="F1" s="64"/>
      <c r="G1" s="62" t="s">
        <v>28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26850</v>
      </c>
      <c r="D2" s="5">
        <f>SUM(D4:D79)</f>
        <v>44300.52</v>
      </c>
      <c r="E2" s="5">
        <f>C2-D2</f>
        <v>-17450.519999999997</v>
      </c>
      <c r="F2" s="6">
        <f>IFERROR(E2/D2, 0)</f>
        <v>-0.39391230622123619</v>
      </c>
      <c r="G2" s="5">
        <f>SUM(G4:G79)</f>
        <v>0</v>
      </c>
      <c r="H2" s="7">
        <f>C2-G2</f>
        <v>26850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2" ht="102" customHeight="1">
      <c r="A4" s="56" t="str" cm="1">
        <f t="array" ref="A4">Sites[Site]</f>
        <v>MA: Plymouth - Seacoast Realty</v>
      </c>
      <c r="B4" s="27" t="str" cm="1">
        <f t="array" ref="B4">Sites[State]</f>
        <v>MA</v>
      </c>
      <c r="C4" s="23">
        <v>26850</v>
      </c>
      <c r="D4" s="12">
        <v>44300.52</v>
      </c>
      <c r="E4" s="12">
        <f>IF(AND(ISNUMBER(C4),ISNUMBER(D4)), C4-D4, "")</f>
        <v>-17450.519999999997</v>
      </c>
      <c r="F4" s="13">
        <f>IFERROR(E4/D4, "")</f>
        <v>-0.39391230622123619</v>
      </c>
      <c r="G4" s="59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29</v>
      </c>
      <c r="K4" s="60" t="s">
        <v>30</v>
      </c>
      <c r="L4" s="61" t="s">
        <v>31</v>
      </c>
    </row>
    <row r="5" spans="1:12" ht="14.45">
      <c r="A5" s="20"/>
      <c r="B5" s="29"/>
      <c r="C5" s="54" t="s">
        <v>12</v>
      </c>
      <c r="D5" s="54" t="s">
        <v>12</v>
      </c>
      <c r="E5" s="17" t="s">
        <v>12</v>
      </c>
      <c r="F5" s="18" t="str">
        <f>IFERROR(E5/D5, "")</f>
        <v/>
      </c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309" xr:uid="{BC194B4F-CCD7-4355-B645-459C114AA6C3}"/>
    <hyperlink ref="L4" r:id="rId2" display="https://us3.assetplanner.com/service_request?ID=098691" xr:uid="{AC01CE18-6A08-4FDC-A27F-132316A5166D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bottomRight" activeCell="K4" sqref="K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32</v>
      </c>
      <c r="E1" s="64"/>
      <c r="F1" s="64"/>
      <c r="G1" s="62" t="s">
        <v>33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49780.000999999997</v>
      </c>
      <c r="E2" s="5">
        <f>C2-D2</f>
        <v>-49780.000999999997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49780.000999999997</v>
      </c>
      <c r="E4" s="12">
        <f>IF(AND(ISNUMBER(C4),ISNUMBER(D4)), C4-D4, "")</f>
        <v>-49780.000999999997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8691" xr:uid="{78CD56EC-E5A9-47D8-B3A0-5C548819C60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36</v>
      </c>
      <c r="E1" s="64"/>
      <c r="F1" s="64"/>
      <c r="G1" s="62" t="s">
        <v>37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53928.25</v>
      </c>
      <c r="E2" s="5">
        <f>C2-D2</f>
        <v>-53928.25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53928.25</v>
      </c>
      <c r="E4" s="12">
        <f>IF(AND(ISNUMBER(C4),ISNUMBER(D4)), C4-D4, "")</f>
        <v>-53928.25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8691" xr:uid="{628135D5-4803-4814-900E-03E3D7748F2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E4" activePane="bottomRight" state="frozen"/>
      <selection pane="bottomRight" activeCell="K4" sqref="K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38</v>
      </c>
      <c r="E1" s="64"/>
      <c r="F1" s="64"/>
      <c r="G1" s="62" t="s">
        <v>39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57793.180999999997</v>
      </c>
      <c r="E2" s="5">
        <f>C2-D2</f>
        <v>-57793.180999999997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57793.180999999997</v>
      </c>
      <c r="E4" s="12">
        <f>IF(AND(ISNUMBER(C4),ISNUMBER(D4)), C4-D4, "")</f>
        <v>-57793.180999999997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8691" xr:uid="{D6BBE751-6A95-40FD-BB66-3B9B2768DB2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40</v>
      </c>
      <c r="E1" s="64"/>
      <c r="F1" s="64"/>
      <c r="G1" s="62" t="s">
        <v>41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42</v>
      </c>
      <c r="E1" s="64"/>
      <c r="F1" s="64"/>
      <c r="G1" s="62" t="s">
        <v>43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F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44</v>
      </c>
      <c r="E1" s="64"/>
      <c r="F1" s="64"/>
      <c r="G1" s="62" t="s">
        <v>45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46</v>
      </c>
      <c r="E1" s="64"/>
      <c r="F1" s="64"/>
      <c r="G1" s="62" t="s">
        <v>47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48</v>
      </c>
      <c r="E1" s="64"/>
      <c r="F1" s="64"/>
      <c r="G1" s="62" t="s">
        <v>49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50</v>
      </c>
      <c r="E1" s="64"/>
      <c r="F1" s="64"/>
      <c r="G1" s="62" t="s">
        <v>51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2" sqref="A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44" t="s">
        <v>57</v>
      </c>
      <c r="B4" t="s">
        <v>53</v>
      </c>
      <c r="C4" s="42" t="s">
        <v>58</v>
      </c>
      <c r="D4" s="41" t="s">
        <v>59</v>
      </c>
      <c r="E4" t="s">
        <v>60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AD14705A-7EBC-46AD-A95F-FFB517FCDCA2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