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C91B725C-D4E1-44BC-A5B3-397FEC1952AA}" xr6:coauthVersionLast="47" xr6:coauthVersionMax="47" xr10:uidLastSave="{E75BAFB9-1D5E-4A17-95DD-D17CFDA94658}"/>
  <bookViews>
    <workbookView xWindow="-108" yWindow="-108" windowWidth="23256" windowHeight="1389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G2" i="18" s="1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<sst xmlns="http://schemas.openxmlformats.org/spreadsheetml/2006/main" count="251" uniqueCount="52">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</sst>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Hubbardston Solar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SUM(C4:C87)</f>
        <v>1366984</v>
      </c>
      <c r="D2" s="6">
        <f>SUM(D4:D87)</f>
        <v>0</v>
      </c>
      <c r="E2" s="6">
        <f>C2-D2</f>
        <v>1366984</v>
      </c>
      <c r="F2" s="7">
        <f>IFERROR(E2/D2, 0)</f>
        <v>0</v>
      </c>
      <c r="G2" s="6">
        <f>SUM(G4:G87)</f>
        <v>0</v>
      </c>
      <c r="H2" s="8">
        <f>C2-G2</f>
        <v>1366984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1366984</v>
      </c>
      <c r="D4" s="13">
        <f>SUM('1st Qtr'!D4, '2nd Qtr'!D4, '3rd Qtr'!D4, '4th Qtr'!D4)</f>
        <v>0</v>
      </c>
      <c r="E4" s="13">
        <f>IF(AND(ISNUMBER(C4),ISNUMBER(D4)), C4-D4, "")</f>
        <v>1366984</v>
      </c>
      <c r="F4" s="14" t="str">
        <f>IFERROR(E4/D4, "")</f>
        <v/>
      </c>
      <c r="G4" s="15"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15" sqref="E1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Hubbardston Solar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SUM(C4:C87)</f>
        <v>456483</v>
      </c>
      <c r="D2" s="6">
        <f>SUM(D4:D87)</f>
        <v>0</v>
      </c>
      <c r="E2" s="6">
        <f>C2-D2</f>
        <v>456483</v>
      </c>
      <c r="F2" s="7">
        <f>IFERROR(E2/D2, 0)</f>
        <v>0</v>
      </c>
      <c r="G2" s="6">
        <f>SUM(G4:G87)</f>
        <v>0</v>
      </c>
      <c r="H2" s="8">
        <f>C2-G2</f>
        <v>456483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456483</v>
      </c>
      <c r="D4" s="13">
        <f>SUM(Jan!D4, Feb!D4, Mar!D4)</f>
        <v>0</v>
      </c>
      <c r="E4" s="13">
        <f>IF(AND(ISNUMBER(C4),ISNUMBER(D4)), C4-D4, "")</f>
        <v>456483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Hubbardston Solar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SUM(C4:C87)</f>
        <v>910501</v>
      </c>
      <c r="D2" s="6">
        <f>SUM(D4:D87)</f>
        <v>0</v>
      </c>
      <c r="E2" s="6">
        <f>C2-D2</f>
        <v>910501</v>
      </c>
      <c r="F2" s="7">
        <f>IFERROR(E2/D2, 0)</f>
        <v>0</v>
      </c>
      <c r="G2" s="6">
        <f>SUM(G4:G87)</f>
        <v>0</v>
      </c>
      <c r="H2" s="8">
        <f>C2-G2</f>
        <v>910501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910501</v>
      </c>
      <c r="D4" s="13">
        <f>SUM(Apr!D4, May!D4, Jun!D4)</f>
        <v>0</v>
      </c>
      <c r="E4" s="13">
        <f>IF(AND(ISNUMBER(C4),ISNUMBER(D4)), C4-D4, "")</f>
        <v>910501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Hubbardston Solar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Hubbardston Solar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H16" sqref="H16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23</v>
      </c>
      <c r="E1" s="46"/>
      <c r="F1" s="46"/>
      <c r="G1" s="44" t="s">
        <v>24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62341</v>
      </c>
      <c r="D2" s="6">
        <f>SUM(D4:D88)</f>
        <v>0</v>
      </c>
      <c r="E2" s="6">
        <f>C2-D2</f>
        <v>62341</v>
      </c>
      <c r="F2" s="7">
        <f>IFERROR(E2/D2, 0)</f>
        <v>0</v>
      </c>
      <c r="G2" s="6">
        <f>SUM(G4:G88)</f>
        <v>0</v>
      </c>
      <c r="H2" s="8">
        <f>C2-G2</f>
        <v>62341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62341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F15" sqref="F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25</v>
      </c>
      <c r="E1" s="46"/>
      <c r="F1" s="46"/>
      <c r="G1" s="44" t="s">
        <v>26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267072</v>
      </c>
      <c r="D2" s="6">
        <f>SUM(D4:D88)</f>
        <v>0</v>
      </c>
      <c r="E2" s="6">
        <f>C2-D2</f>
        <v>267072</v>
      </c>
      <c r="F2" s="7">
        <f>IFERROR(E2/D2, 0)</f>
        <v>0</v>
      </c>
      <c r="G2" s="6">
        <f>SUM(G4:G88)</f>
        <v>0</v>
      </c>
      <c r="H2" s="8">
        <f>C2-G2</f>
        <v>267072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267072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G12" sqref="G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27</v>
      </c>
      <c r="E1" s="46"/>
      <c r="F1" s="46"/>
      <c r="G1" s="44" t="s">
        <v>28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291503</v>
      </c>
      <c r="D2" s="6">
        <f>SUM(D4:D88)</f>
        <v>0</v>
      </c>
      <c r="E2" s="6">
        <f>C2-D2</f>
        <v>291503</v>
      </c>
      <c r="F2" s="7">
        <f>IFERROR(E2/D2, 0)</f>
        <v>0</v>
      </c>
      <c r="G2" s="6">
        <f>SUM(G4:G88)</f>
        <v>0</v>
      </c>
      <c r="H2" s="8">
        <f>C2-G2</f>
        <v>291503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291503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2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29</v>
      </c>
      <c r="E1" s="46"/>
      <c r="F1" s="46"/>
      <c r="G1" s="44" t="s">
        <v>30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266514</v>
      </c>
      <c r="D2" s="6">
        <f>SUM(D4:D88)</f>
        <v>0</v>
      </c>
      <c r="E2" s="6">
        <f>C2-D2</f>
        <v>266514</v>
      </c>
      <c r="F2" s="7">
        <f>IFERROR(E2/D2, 0)</f>
        <v>0</v>
      </c>
      <c r="G2" s="6">
        <f>SUM(G4:G88)</f>
        <v>0</v>
      </c>
      <c r="H2" s="8">
        <f>C2-G2</f>
        <v>266514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266514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tabSelected="1" workbookViewId="0">
      <pane xSplit="2" ySplit="3" topLeftCell="C4" activePane="bottomRight" state="frozen"/>
      <selection pane="bottomRight" activeCell="G4" sqref="G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352484</v>
      </c>
      <c r="D2" s="6">
        <f>SUM(D4:D88)</f>
        <v>0</v>
      </c>
      <c r="E2" s="6">
        <f>C2-D2</f>
        <v>352484</v>
      </c>
      <c r="F2" s="7">
        <f>IFERROR(E2/D2, 0)</f>
        <v>0</v>
      </c>
      <c r="G2" s="6">
        <f>SUM(G4:G88)</f>
        <v>0</v>
      </c>
      <c r="H2" s="8">
        <f>C2-G2</f>
        <v>352484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352484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43" t="s">
        <v>22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33</v>
      </c>
      <c r="E1" s="46"/>
      <c r="F1" s="46"/>
      <c r="G1" s="44" t="s">
        <v>34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/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Hubbardston Solar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s="3" t="s">
        <v>46</v>
      </c>
      <c r="B4" t="s">
        <v>46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7A8CBAA0-89F2-4D82-8893-58C10E288D44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