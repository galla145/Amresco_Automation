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EBD40F14-F5A7-4063-A2AF-AFBEAC737D2A}" xr6:coauthVersionLast="47" xr6:coauthVersionMax="47" xr10:uidLastSave="{8838B86A-5E20-4763-A12D-705E034B7E5E}"/>
  <bookViews>
    <workbookView xWindow="-108" yWindow="-108" windowWidth="23256" windowHeight="13896" tabRatio="713" activeTab="2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8" l="1"/>
  <c r="J13" i="36"/>
  <c r="J10" i="36"/>
  <c r="J7" i="36"/>
  <c r="N102" i="33"/>
  <c r="O102" i="33" s="1"/>
  <c r="M102" i="33"/>
  <c r="L102" i="33"/>
  <c r="J13" i="12"/>
  <c r="J10" i="12"/>
  <c r="J7" i="12"/>
  <c r="F102" i="33"/>
  <c r="J10" i="18"/>
  <c r="I102" i="33"/>
  <c r="J7" i="18"/>
  <c r="O101" i="33"/>
  <c r="N101" i="33"/>
  <c r="M101" i="33"/>
  <c r="L101" i="33"/>
  <c r="F101" i="33"/>
  <c r="I101" i="33"/>
  <c r="M100" i="33"/>
  <c r="N100" i="33"/>
  <c r="L100" i="33"/>
  <c r="I100" i="33"/>
  <c r="F100" i="33"/>
  <c r="O100" i="33" l="1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N109" i="33" s="1"/>
  <c r="D109" i="33"/>
  <c r="N97" i="33"/>
  <c r="M97" i="33"/>
  <c r="L97" i="33"/>
  <c r="I97" i="33"/>
  <c r="F97" i="33"/>
  <c r="K50" i="32"/>
  <c r="J14" i="36" s="1"/>
  <c r="J50" i="32"/>
  <c r="J14" i="18" s="1"/>
  <c r="I50" i="32"/>
  <c r="J14" i="12" s="1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M109" i="33" l="1"/>
  <c r="O109" i="33" s="1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F50" i="32" l="1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<sst xmlns="http://schemas.openxmlformats.org/spreadsheetml/2006/main" count="552" uniqueCount="93">
  <si>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</si>
  <si>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</si>
  <si>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</si>
  <si>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</si>
  <si>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</si>
  <si>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</si>
  <si>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</si>
  <si>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</si>
  <si>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</si>
  <si>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</si>
  <si>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</si>
  <si>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</si>
  <si>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</si>
  <si>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</si>
  <si>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</si>
  <si>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</si>
  <si>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</si>
  <si>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</si>
  <si>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</si>
  <si>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</si>
  <si>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</si>
  <si>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</si>
  <si>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</si>
  <si>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</si>
  <si>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June'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</si>
  <si>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</si>
  <si>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</si>
  <si>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</si>
  <si>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</si>
  <si>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</si>
  <si>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</si>
  <si>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</si>
  <si>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</si>
  <si>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</si>
  <si>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</si>
  <si>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</si>
  <si>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</si>
  <si>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June  2025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</si>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</sst>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 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Merrimack!$G$32:$G$61</c:f>
              <c:numCache>
                <c:formatCode>0</c:formatCode>
                <c:ptCount val="30"/>
                <c:pt idx="0">
                  <c:v>13678.595744680613</c:v>
                </c:pt>
                <c:pt idx="1">
                  <c:v>15997</c:v>
                </c:pt>
                <c:pt idx="2">
                  <c:v>18089</c:v>
                </c:pt>
                <c:pt idx="3">
                  <c:v>15610</c:v>
                </c:pt>
                <c:pt idx="4">
                  <c:v>14518</c:v>
                </c:pt>
                <c:pt idx="5">
                  <c:v>8507</c:v>
                </c:pt>
                <c:pt idx="6">
                  <c:v>4220</c:v>
                </c:pt>
                <c:pt idx="7">
                  <c:v>14106.682539684698</c:v>
                </c:pt>
                <c:pt idx="8">
                  <c:v>6241.317460315302</c:v>
                </c:pt>
                <c:pt idx="9">
                  <c:v>4050</c:v>
                </c:pt>
                <c:pt idx="10">
                  <c:v>15474</c:v>
                </c:pt>
                <c:pt idx="11">
                  <c:v>17083</c:v>
                </c:pt>
                <c:pt idx="12">
                  <c:v>10816</c:v>
                </c:pt>
                <c:pt idx="13">
                  <c:v>3638</c:v>
                </c:pt>
                <c:pt idx="14">
                  <c:v>13627</c:v>
                </c:pt>
                <c:pt idx="15">
                  <c:v>17765</c:v>
                </c:pt>
                <c:pt idx="16">
                  <c:v>4165</c:v>
                </c:pt>
                <c:pt idx="17">
                  <c:v>5537</c:v>
                </c:pt>
                <c:pt idx="18">
                  <c:v>14032</c:v>
                </c:pt>
                <c:pt idx="19">
                  <c:v>15294.859649123624</c:v>
                </c:pt>
                <c:pt idx="20">
                  <c:v>17643.140350876376</c:v>
                </c:pt>
                <c:pt idx="21">
                  <c:v>13603</c:v>
                </c:pt>
                <c:pt idx="22">
                  <c:v>15008</c:v>
                </c:pt>
                <c:pt idx="23">
                  <c:v>17262</c:v>
                </c:pt>
                <c:pt idx="24">
                  <c:v>16877</c:v>
                </c:pt>
                <c:pt idx="25">
                  <c:v>5098</c:v>
                </c:pt>
                <c:pt idx="26">
                  <c:v>12516</c:v>
                </c:pt>
                <c:pt idx="27">
                  <c:v>2793</c:v>
                </c:pt>
                <c:pt idx="28">
                  <c:v>12925</c:v>
                </c:pt>
                <c:pt idx="29">
                  <c:v>17075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Merrimack!$H$32:$H$61</c:f>
              <c:numCache>
                <c:formatCode>0</c:formatCode>
                <c:ptCount val="30"/>
                <c:pt idx="0">
                  <c:v>6625.835</c:v>
                </c:pt>
                <c:pt idx="1">
                  <c:v>7538.6369999999997</c:v>
                </c:pt>
                <c:pt idx="2">
                  <c:v>8500.52</c:v>
                </c:pt>
                <c:pt idx="3">
                  <c:v>7451.232</c:v>
                </c:pt>
                <c:pt idx="4">
                  <c:v>6914.201</c:v>
                </c:pt>
                <c:pt idx="5">
                  <c:v>3912.2469999999998</c:v>
                </c:pt>
                <c:pt idx="6">
                  <c:v>1807.7750000000001</c:v>
                </c:pt>
                <c:pt idx="7">
                  <c:v>6481.259</c:v>
                </c:pt>
                <c:pt idx="8">
                  <c:v>2631.7240000000002</c:v>
                </c:pt>
                <c:pt idx="9">
                  <c:v>1706.6859999999999</c:v>
                </c:pt>
                <c:pt idx="10">
                  <c:v>7162.7309999999998</c:v>
                </c:pt>
                <c:pt idx="11">
                  <c:v>7932.5039999999999</c:v>
                </c:pt>
                <c:pt idx="12">
                  <c:v>4897.9409999999998</c:v>
                </c:pt>
                <c:pt idx="13">
                  <c:v>1537.0809999999999</c:v>
                </c:pt>
                <c:pt idx="14">
                  <c:v>6369.0249999999996</c:v>
                </c:pt>
                <c:pt idx="15">
                  <c:v>8203.393</c:v>
                </c:pt>
                <c:pt idx="16">
                  <c:v>1772.8510000000001</c:v>
                </c:pt>
                <c:pt idx="17">
                  <c:v>2421.2660000000001</c:v>
                </c:pt>
                <c:pt idx="18">
                  <c:v>6704.2569999999996</c:v>
                </c:pt>
                <c:pt idx="19">
                  <c:v>7387.933</c:v>
                </c:pt>
                <c:pt idx="20">
                  <c:v>8365.1470000000008</c:v>
                </c:pt>
                <c:pt idx="21">
                  <c:v>6534.6840000000002</c:v>
                </c:pt>
                <c:pt idx="22">
                  <c:v>7228.8220000000001</c:v>
                </c:pt>
                <c:pt idx="23">
                  <c:v>8241.0030000000006</c:v>
                </c:pt>
                <c:pt idx="24">
                  <c:v>7933.1390000000001</c:v>
                </c:pt>
                <c:pt idx="25">
                  <c:v>2147.5720000000001</c:v>
                </c:pt>
                <c:pt idx="26">
                  <c:v>5821.2269999999999</c:v>
                </c:pt>
                <c:pt idx="27">
                  <c:v>1161.143</c:v>
                </c:pt>
                <c:pt idx="28">
                  <c:v>6167.9390000000003</c:v>
                </c:pt>
                <c:pt idx="29">
                  <c:v>8049.35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Smithfield!$G$32:$G$61</c:f>
              <c:numCache>
                <c:formatCode>0</c:formatCode>
                <c:ptCount val="30"/>
                <c:pt idx="0">
                  <c:v>18197</c:v>
                </c:pt>
                <c:pt idx="1">
                  <c:v>21269.5</c:v>
                </c:pt>
                <c:pt idx="2">
                  <c:v>23031.75</c:v>
                </c:pt>
                <c:pt idx="3">
                  <c:v>19985.5</c:v>
                </c:pt>
                <c:pt idx="4">
                  <c:v>19840.25</c:v>
                </c:pt>
                <c:pt idx="5">
                  <c:v>19170.25</c:v>
                </c:pt>
                <c:pt idx="6">
                  <c:v>5861.25</c:v>
                </c:pt>
                <c:pt idx="7">
                  <c:v>15377</c:v>
                </c:pt>
                <c:pt idx="8">
                  <c:v>11122.25</c:v>
                </c:pt>
                <c:pt idx="9">
                  <c:v>4921.75</c:v>
                </c:pt>
                <c:pt idx="10">
                  <c:v>22001.5</c:v>
                </c:pt>
                <c:pt idx="11">
                  <c:v>21839</c:v>
                </c:pt>
                <c:pt idx="12">
                  <c:v>19708.75</c:v>
                </c:pt>
                <c:pt idx="13">
                  <c:v>4276</c:v>
                </c:pt>
                <c:pt idx="14">
                  <c:v>14706</c:v>
                </c:pt>
                <c:pt idx="15">
                  <c:v>23174.75</c:v>
                </c:pt>
                <c:pt idx="16">
                  <c:v>6812</c:v>
                </c:pt>
                <c:pt idx="17">
                  <c:v>8702</c:v>
                </c:pt>
                <c:pt idx="18">
                  <c:v>19348.25</c:v>
                </c:pt>
                <c:pt idx="19">
                  <c:v>22408</c:v>
                </c:pt>
                <c:pt idx="20">
                  <c:v>22720.5</c:v>
                </c:pt>
                <c:pt idx="21">
                  <c:v>17152.75</c:v>
                </c:pt>
                <c:pt idx="22">
                  <c:v>20177.5</c:v>
                </c:pt>
                <c:pt idx="23">
                  <c:v>22352</c:v>
                </c:pt>
                <c:pt idx="24">
                  <c:v>18402.75</c:v>
                </c:pt>
                <c:pt idx="25">
                  <c:v>4383.5</c:v>
                </c:pt>
                <c:pt idx="26">
                  <c:v>18591.75</c:v>
                </c:pt>
                <c:pt idx="27">
                  <c:v>5454</c:v>
                </c:pt>
                <c:pt idx="28">
                  <c:v>22445.5</c:v>
                </c:pt>
                <c:pt idx="29">
                  <c:v>19617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Smithfield!$H$32:$H$61</c:f>
              <c:numCache>
                <c:formatCode>0</c:formatCode>
                <c:ptCount val="30"/>
                <c:pt idx="0">
                  <c:v>6040.7120000000004</c:v>
                </c:pt>
                <c:pt idx="1">
                  <c:v>7337.3909999999996</c:v>
                </c:pt>
                <c:pt idx="2">
                  <c:v>7790.7030000000004</c:v>
                </c:pt>
                <c:pt idx="3">
                  <c:v>6488.5230000000001</c:v>
                </c:pt>
                <c:pt idx="4">
                  <c:v>6793.8140000000003</c:v>
                </c:pt>
                <c:pt idx="5">
                  <c:v>6242.3890000000001</c:v>
                </c:pt>
                <c:pt idx="6">
                  <c:v>1804.251</c:v>
                </c:pt>
                <c:pt idx="7">
                  <c:v>4836.6049999999996</c:v>
                </c:pt>
                <c:pt idx="8">
                  <c:v>3432.212</c:v>
                </c:pt>
                <c:pt idx="9">
                  <c:v>1443.1089999999999</c:v>
                </c:pt>
                <c:pt idx="10">
                  <c:v>7351.1229999999996</c:v>
                </c:pt>
                <c:pt idx="11">
                  <c:v>7323.3680000000004</c:v>
                </c:pt>
                <c:pt idx="12">
                  <c:v>6568.9970000000003</c:v>
                </c:pt>
                <c:pt idx="13">
                  <c:v>1228.2449999999999</c:v>
                </c:pt>
                <c:pt idx="14">
                  <c:v>4522.9430000000002</c:v>
                </c:pt>
                <c:pt idx="15">
                  <c:v>7625.1319999999996</c:v>
                </c:pt>
                <c:pt idx="16">
                  <c:v>2011.499</c:v>
                </c:pt>
                <c:pt idx="17">
                  <c:v>2651.2150000000001</c:v>
                </c:pt>
                <c:pt idx="18">
                  <c:v>6368.7</c:v>
                </c:pt>
                <c:pt idx="19">
                  <c:v>7433.45</c:v>
                </c:pt>
                <c:pt idx="20">
                  <c:v>7620.2669999999998</c:v>
                </c:pt>
                <c:pt idx="21">
                  <c:v>5657.4769999999999</c:v>
                </c:pt>
                <c:pt idx="22">
                  <c:v>6760.64</c:v>
                </c:pt>
                <c:pt idx="23">
                  <c:v>7604.7719999999999</c:v>
                </c:pt>
                <c:pt idx="24">
                  <c:v>6185.6809999999996</c:v>
                </c:pt>
                <c:pt idx="25">
                  <c:v>1279.462</c:v>
                </c:pt>
                <c:pt idx="26">
                  <c:v>6161.0590000000002</c:v>
                </c:pt>
                <c:pt idx="27">
                  <c:v>1639.98</c:v>
                </c:pt>
                <c:pt idx="28">
                  <c:v>7670.7190000000001</c:v>
                </c:pt>
                <c:pt idx="29">
                  <c:v>6565.5910000000003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Westlake!$G$32:$G$61</c:f>
              <c:numCache>
                <c:formatCode>0</c:formatCode>
                <c:ptCount val="30"/>
                <c:pt idx="0">
                  <c:v>18757</c:v>
                </c:pt>
                <c:pt idx="1">
                  <c:v>23310</c:v>
                </c:pt>
                <c:pt idx="2">
                  <c:v>12360</c:v>
                </c:pt>
                <c:pt idx="3">
                  <c:v>12516</c:v>
                </c:pt>
                <c:pt idx="4">
                  <c:v>14375</c:v>
                </c:pt>
                <c:pt idx="5">
                  <c:v>23796</c:v>
                </c:pt>
                <c:pt idx="6">
                  <c:v>16976</c:v>
                </c:pt>
                <c:pt idx="7">
                  <c:v>18638</c:v>
                </c:pt>
                <c:pt idx="8">
                  <c:v>23699</c:v>
                </c:pt>
                <c:pt idx="9">
                  <c:v>6427</c:v>
                </c:pt>
                <c:pt idx="10">
                  <c:v>6648</c:v>
                </c:pt>
                <c:pt idx="11">
                  <c:v>16040</c:v>
                </c:pt>
                <c:pt idx="12">
                  <c:v>19896</c:v>
                </c:pt>
                <c:pt idx="13">
                  <c:v>22407</c:v>
                </c:pt>
                <c:pt idx="14">
                  <c:v>12252</c:v>
                </c:pt>
                <c:pt idx="15">
                  <c:v>22524</c:v>
                </c:pt>
                <c:pt idx="16">
                  <c:v>24739</c:v>
                </c:pt>
                <c:pt idx="17">
                  <c:v>16985</c:v>
                </c:pt>
                <c:pt idx="18">
                  <c:v>19922</c:v>
                </c:pt>
                <c:pt idx="19">
                  <c:v>21525</c:v>
                </c:pt>
                <c:pt idx="20">
                  <c:v>20767</c:v>
                </c:pt>
                <c:pt idx="21">
                  <c:v>23873</c:v>
                </c:pt>
                <c:pt idx="22">
                  <c:v>22157</c:v>
                </c:pt>
                <c:pt idx="23">
                  <c:v>23448</c:v>
                </c:pt>
                <c:pt idx="24">
                  <c:v>17166</c:v>
                </c:pt>
                <c:pt idx="25">
                  <c:v>19365</c:v>
                </c:pt>
                <c:pt idx="26">
                  <c:v>21499</c:v>
                </c:pt>
                <c:pt idx="27">
                  <c:v>24786</c:v>
                </c:pt>
                <c:pt idx="28">
                  <c:v>25018</c:v>
                </c:pt>
                <c:pt idx="29">
                  <c:v>23333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Westlake!$H$32:$H$61</c:f>
              <c:numCache>
                <c:formatCode>0</c:formatCode>
                <c:ptCount val="30"/>
                <c:pt idx="0">
                  <c:v>7062.884</c:v>
                </c:pt>
                <c:pt idx="1">
                  <c:v>8985.4269999999997</c:v>
                </c:pt>
                <c:pt idx="2">
                  <c:v>4458.9780000000001</c:v>
                </c:pt>
                <c:pt idx="3">
                  <c:v>4346.9570000000003</c:v>
                </c:pt>
                <c:pt idx="4">
                  <c:v>5358.9040000000005</c:v>
                </c:pt>
                <c:pt idx="5">
                  <c:v>9329.6730000000007</c:v>
                </c:pt>
                <c:pt idx="6">
                  <c:v>6676.78</c:v>
                </c:pt>
                <c:pt idx="7">
                  <c:v>7149.8459999999995</c:v>
                </c:pt>
                <c:pt idx="8">
                  <c:v>9643.1139999999996</c:v>
                </c:pt>
                <c:pt idx="9">
                  <c:v>1692.162</c:v>
                </c:pt>
                <c:pt idx="10">
                  <c:v>1731.5419999999999</c:v>
                </c:pt>
                <c:pt idx="11">
                  <c:v>6395.2690000000002</c:v>
                </c:pt>
                <c:pt idx="12">
                  <c:v>7851.2070000000003</c:v>
                </c:pt>
                <c:pt idx="13">
                  <c:v>9158.5210000000006</c:v>
                </c:pt>
                <c:pt idx="14">
                  <c:v>4601.9669999999996</c:v>
                </c:pt>
                <c:pt idx="15">
                  <c:v>9387.15</c:v>
                </c:pt>
                <c:pt idx="16">
                  <c:v>10110.68</c:v>
                </c:pt>
                <c:pt idx="17">
                  <c:v>7087.2550000000001</c:v>
                </c:pt>
                <c:pt idx="18">
                  <c:v>7774.3329999999996</c:v>
                </c:pt>
                <c:pt idx="19">
                  <c:v>8763.5259999999998</c:v>
                </c:pt>
                <c:pt idx="20">
                  <c:v>8882.2530000000006</c:v>
                </c:pt>
                <c:pt idx="21">
                  <c:v>9752.6020000000008</c:v>
                </c:pt>
                <c:pt idx="22">
                  <c:v>8761.9449999999997</c:v>
                </c:pt>
                <c:pt idx="23">
                  <c:v>9433.8279999999995</c:v>
                </c:pt>
                <c:pt idx="24">
                  <c:v>6756.625</c:v>
                </c:pt>
                <c:pt idx="25">
                  <c:v>7790.6949999999997</c:v>
                </c:pt>
                <c:pt idx="26">
                  <c:v>8399.7150000000001</c:v>
                </c:pt>
                <c:pt idx="27">
                  <c:v>9978.4609999999993</c:v>
                </c:pt>
                <c:pt idx="28">
                  <c:v>10004.209999999999</c:v>
                </c:pt>
                <c:pt idx="29">
                  <c:v>9206.098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2"/>
  <sheetViews>
    <sheetView view="pageLayout" zoomScale="90" zoomScaleNormal="80" zoomScalePageLayoutView="90" workbookViewId="0">
      <selection activeCell="J14" sqref="J14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94" t="s">
        <v>22</v>
      </c>
      <c r="F1" s="194"/>
      <c r="G1" s="194"/>
      <c r="H1" s="194"/>
      <c r="I1" s="194"/>
      <c r="J1" s="194"/>
    </row>
    <row r="2" spans="3:13">
      <c r="E2" s="195" t="s">
        <v>23</v>
      </c>
      <c r="F2" s="195"/>
      <c r="G2" s="195"/>
      <c r="H2" s="195"/>
      <c r="I2" s="195"/>
      <c r="J2" s="195"/>
    </row>
    <row r="3" spans="3:13">
      <c r="E3" s="196" t="s">
        <v>24</v>
      </c>
      <c r="F3" s="197"/>
      <c r="G3" s="197"/>
      <c r="H3" s="197"/>
      <c r="I3" s="197"/>
      <c r="J3" s="197"/>
    </row>
    <row r="5" spans="3:13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SUM(G32:G61)</f>
        <v>363249.59574468061</v>
      </c>
      <c r="K6" s="21" t="s">
        <v>26</v>
      </c>
      <c r="L6" s="23"/>
    </row>
    <row r="7" spans="3:13">
      <c r="C7" s="3"/>
      <c r="D7" s="2"/>
      <c r="E7" s="182" t="s">
        <v>4</v>
      </c>
      <c r="F7" s="182"/>
      <c r="G7" s="182"/>
      <c r="H7" s="182"/>
      <c r="I7" s="182"/>
      <c r="J7" s="8">
        <f>'Predicted Data'!D22</f>
        <v>441106.2</v>
      </c>
      <c r="K7" s="69"/>
      <c r="L7" s="4"/>
    </row>
    <row r="8" spans="3:13" ht="16.149999999999999">
      <c r="C8" s="3"/>
      <c r="D8" s="2"/>
      <c r="E8" s="182" t="s">
        <v>6</v>
      </c>
      <c r="F8" s="182"/>
      <c r="G8" s="182"/>
      <c r="H8" s="182"/>
      <c r="I8" s="182"/>
      <c r="J8" s="8">
        <f>SUM(H32:H61)</f>
        <v>169609.12400000001</v>
      </c>
      <c r="K8" s="2" t="s">
        <v>26</v>
      </c>
      <c r="L8" s="4"/>
    </row>
    <row r="9" spans="3:13" ht="16.149999999999999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</row>
    <row r="10" spans="3:13">
      <c r="C10" s="3"/>
      <c r="D10" s="2"/>
      <c r="E10" s="182" t="s">
        <v>10</v>
      </c>
      <c r="F10" s="182"/>
      <c r="G10" s="182"/>
      <c r="H10" s="182"/>
      <c r="I10" s="182"/>
      <c r="J10" s="85">
        <f>'Plant Health'!H102</f>
        <v>356731.43699999992</v>
      </c>
      <c r="K10" s="2" t="s">
        <v>26</v>
      </c>
      <c r="L10" s="4"/>
    </row>
    <row r="11" spans="3:13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1.0182718932749419</v>
      </c>
      <c r="K11" s="2"/>
      <c r="L11" s="4"/>
      <c r="M11" s="61"/>
    </row>
    <row r="12" spans="3:13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0.8234969169435401</v>
      </c>
      <c r="K12" s="2"/>
      <c r="L12" s="4"/>
    </row>
    <row r="13" spans="3:13">
      <c r="C13" s="3"/>
      <c r="D13" s="2"/>
      <c r="E13" s="182" t="s">
        <v>18</v>
      </c>
      <c r="F13" s="182"/>
      <c r="G13" s="182"/>
      <c r="H13" s="182"/>
      <c r="I13" s="182"/>
      <c r="J13" s="31">
        <f>Availability!J43</f>
        <v>1</v>
      </c>
      <c r="K13" s="2"/>
      <c r="L13" s="4"/>
    </row>
    <row r="14" spans="3:13">
      <c r="C14" s="5"/>
      <c r="D14" s="6"/>
      <c r="E14" s="193" t="s">
        <v>20</v>
      </c>
      <c r="F14" s="193"/>
      <c r="G14" s="193"/>
      <c r="H14" s="193"/>
      <c r="I14" s="193"/>
      <c r="J14" s="9">
        <f>Availability!J50</f>
        <v>0.9966666666666667</v>
      </c>
      <c r="K14" s="6"/>
      <c r="L14" s="7"/>
    </row>
    <row r="16" spans="3:13">
      <c r="C16" s="183" t="s">
        <v>27</v>
      </c>
      <c r="D16" s="183"/>
      <c r="E16" s="183"/>
      <c r="F16" s="183"/>
      <c r="G16" s="183"/>
      <c r="H16" s="183"/>
      <c r="I16" s="183"/>
      <c r="J16" s="183"/>
      <c r="K16" s="183"/>
      <c r="L16" s="183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3" t="s">
        <v>28</v>
      </c>
      <c r="G30" s="183"/>
      <c r="H30" s="183"/>
      <c r="I30" s="183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>
      <c r="E32" s="2"/>
      <c r="F32" s="160">
        <v>45809</v>
      </c>
      <c r="G32" s="161">
        <v>13678.595744680613</v>
      </c>
      <c r="H32" s="162">
        <v>6625.835</v>
      </c>
      <c r="I32" s="162">
        <v>56.428510000000003</v>
      </c>
      <c r="J32" s="2"/>
      <c r="K32" s="151"/>
    </row>
    <row r="33" spans="5:15">
      <c r="E33" s="2"/>
      <c r="F33" s="160">
        <v>45810</v>
      </c>
      <c r="G33" s="161">
        <v>15997</v>
      </c>
      <c r="H33" s="162">
        <v>7538.6369999999997</v>
      </c>
      <c r="I33" s="162">
        <v>59.49644</v>
      </c>
      <c r="J33" s="2"/>
      <c r="K33" s="14"/>
    </row>
    <row r="34" spans="5:15">
      <c r="E34" s="2"/>
      <c r="F34" s="160">
        <v>45811</v>
      </c>
      <c r="G34" s="161">
        <v>18089</v>
      </c>
      <c r="H34" s="162">
        <v>8500.52</v>
      </c>
      <c r="I34" s="162">
        <v>64.833489999999998</v>
      </c>
      <c r="J34" s="2"/>
      <c r="K34" s="14"/>
    </row>
    <row r="35" spans="5:15">
      <c r="E35" s="2"/>
      <c r="F35" s="160">
        <v>45812</v>
      </c>
      <c r="G35" s="161">
        <v>15610</v>
      </c>
      <c r="H35" s="162">
        <v>7451.232</v>
      </c>
      <c r="I35" s="162">
        <v>70.861850000000004</v>
      </c>
      <c r="J35" s="2"/>
      <c r="K35" s="14"/>
    </row>
    <row r="36" spans="5:15">
      <c r="E36" s="2"/>
      <c r="F36" s="160">
        <v>45813</v>
      </c>
      <c r="G36" s="161">
        <v>14518</v>
      </c>
      <c r="H36" s="162">
        <v>6914.201</v>
      </c>
      <c r="I36" s="162">
        <v>77.279690000000002</v>
      </c>
      <c r="J36" s="2"/>
      <c r="K36" s="14"/>
    </row>
    <row r="37" spans="5:15">
      <c r="E37" s="2"/>
      <c r="F37" s="160">
        <v>45814</v>
      </c>
      <c r="G37" s="161">
        <v>8507</v>
      </c>
      <c r="H37" s="162">
        <v>3912.2469999999998</v>
      </c>
      <c r="I37" s="162">
        <v>72.285539999999997</v>
      </c>
      <c r="J37" s="2"/>
      <c r="K37" s="14"/>
    </row>
    <row r="38" spans="5:15">
      <c r="E38" s="2"/>
      <c r="F38" s="160">
        <v>45815</v>
      </c>
      <c r="G38" s="161">
        <v>4220</v>
      </c>
      <c r="H38" s="162">
        <v>1807.7750000000001</v>
      </c>
      <c r="I38" s="162">
        <v>65.896500000000003</v>
      </c>
      <c r="J38" s="2"/>
      <c r="K38" s="14"/>
    </row>
    <row r="39" spans="5:15">
      <c r="E39" s="2"/>
      <c r="F39" s="160">
        <v>45816</v>
      </c>
      <c r="G39" s="161">
        <v>14106.682539684698</v>
      </c>
      <c r="H39" s="162">
        <v>6481.259</v>
      </c>
      <c r="I39" s="162">
        <v>65.455309999999997</v>
      </c>
      <c r="J39" s="2"/>
      <c r="K39" s="14"/>
    </row>
    <row r="40" spans="5:15">
      <c r="E40" s="2"/>
      <c r="F40" s="160">
        <v>45817</v>
      </c>
      <c r="G40" s="161">
        <v>6241.317460315302</v>
      </c>
      <c r="H40" s="162">
        <v>2631.7240000000002</v>
      </c>
      <c r="I40" s="162">
        <v>61.382240000000003</v>
      </c>
      <c r="J40" s="2"/>
      <c r="K40" s="14"/>
    </row>
    <row r="41" spans="5:15">
      <c r="E41" s="2"/>
      <c r="F41" s="160">
        <v>45818</v>
      </c>
      <c r="G41" s="161">
        <v>4050</v>
      </c>
      <c r="H41" s="162">
        <v>1706.6859999999999</v>
      </c>
      <c r="I41" s="162">
        <v>61.351109999999998</v>
      </c>
      <c r="J41" s="2"/>
      <c r="K41" s="14"/>
    </row>
    <row r="42" spans="5:15">
      <c r="E42" s="2"/>
      <c r="F42" s="160">
        <v>45819</v>
      </c>
      <c r="G42" s="161">
        <v>15474</v>
      </c>
      <c r="H42" s="162">
        <v>7162.7309999999998</v>
      </c>
      <c r="I42" s="162">
        <v>69.427440000000004</v>
      </c>
      <c r="J42" s="2"/>
      <c r="K42" s="14"/>
    </row>
    <row r="43" spans="5:15">
      <c r="E43" s="2"/>
      <c r="F43" s="160">
        <v>45820</v>
      </c>
      <c r="G43" s="161">
        <v>17083</v>
      </c>
      <c r="H43" s="162">
        <v>7932.5039999999999</v>
      </c>
      <c r="I43" s="162">
        <v>74.175380000000004</v>
      </c>
      <c r="J43" s="2"/>
      <c r="K43" s="14"/>
    </row>
    <row r="44" spans="5:15">
      <c r="E44" s="2"/>
      <c r="F44" s="160">
        <v>45821</v>
      </c>
      <c r="G44" s="161">
        <v>10816</v>
      </c>
      <c r="H44" s="162">
        <v>4897.9409999999998</v>
      </c>
      <c r="I44" s="162">
        <v>63.433050000000001</v>
      </c>
      <c r="J44" s="2"/>
      <c r="K44" s="14"/>
    </row>
    <row r="45" spans="5:15">
      <c r="E45" s="2"/>
      <c r="F45" s="160">
        <v>45822</v>
      </c>
      <c r="G45" s="161">
        <v>3638</v>
      </c>
      <c r="H45" s="162">
        <v>1537.0809999999999</v>
      </c>
      <c r="I45" s="162">
        <v>58.890639999999998</v>
      </c>
      <c r="J45" s="2"/>
      <c r="K45" s="14"/>
    </row>
    <row r="46" spans="5:15">
      <c r="E46" s="2"/>
      <c r="F46" s="160">
        <v>45823</v>
      </c>
      <c r="G46" s="161">
        <v>13627</v>
      </c>
      <c r="H46" s="162">
        <v>6369.0249999999996</v>
      </c>
      <c r="I46" s="162">
        <v>65.427279999999996</v>
      </c>
      <c r="J46" s="2"/>
      <c r="K46" s="14"/>
    </row>
    <row r="47" spans="5:15">
      <c r="E47" s="2"/>
      <c r="F47" s="160">
        <v>45824</v>
      </c>
      <c r="G47" s="161">
        <v>17765</v>
      </c>
      <c r="H47" s="162">
        <v>8203.393</v>
      </c>
      <c r="I47" s="162">
        <v>67.246679999999998</v>
      </c>
      <c r="J47" s="2"/>
      <c r="K47" s="14"/>
    </row>
    <row r="48" spans="5:15">
      <c r="E48" s="2"/>
      <c r="F48" s="160">
        <v>45825</v>
      </c>
      <c r="G48" s="161">
        <v>4165</v>
      </c>
      <c r="H48" s="162">
        <v>1772.8510000000001</v>
      </c>
      <c r="I48" s="162">
        <v>65.513300000000001</v>
      </c>
      <c r="J48" s="2"/>
      <c r="K48" s="14"/>
      <c r="M48" s="2"/>
      <c r="N48" s="2"/>
      <c r="O48" s="2"/>
    </row>
    <row r="49" spans="3:15">
      <c r="E49" s="2"/>
      <c r="F49" s="160">
        <v>45826</v>
      </c>
      <c r="G49" s="161">
        <v>5537</v>
      </c>
      <c r="H49" s="162">
        <v>2421.2660000000001</v>
      </c>
      <c r="I49" s="162">
        <v>71.911209999999997</v>
      </c>
      <c r="J49" s="2"/>
      <c r="K49" s="14"/>
      <c r="M49" s="2"/>
      <c r="N49" s="2"/>
      <c r="O49" s="2"/>
    </row>
    <row r="50" spans="3:15">
      <c r="E50" s="2"/>
      <c r="F50" s="160">
        <v>45827</v>
      </c>
      <c r="G50" s="161">
        <v>14032</v>
      </c>
      <c r="H50" s="162">
        <v>6704.2569999999996</v>
      </c>
      <c r="I50" s="162">
        <v>81.514110000000002</v>
      </c>
      <c r="J50" s="2"/>
      <c r="K50" s="14"/>
    </row>
    <row r="51" spans="3:15">
      <c r="E51" s="2"/>
      <c r="F51" s="160">
        <v>45828</v>
      </c>
      <c r="G51" s="161">
        <v>15294.859649123624</v>
      </c>
      <c r="H51" s="162">
        <v>7387.933</v>
      </c>
      <c r="I51" s="162">
        <v>75.575720000000004</v>
      </c>
      <c r="J51" s="2"/>
      <c r="K51" s="14"/>
    </row>
    <row r="52" spans="3:15">
      <c r="E52" s="2"/>
      <c r="F52" s="160">
        <v>45829</v>
      </c>
      <c r="G52" s="161">
        <v>17643.140350876376</v>
      </c>
      <c r="H52" s="162">
        <v>8365.1470000000008</v>
      </c>
      <c r="I52" s="162">
        <v>73.4101</v>
      </c>
      <c r="J52" s="2"/>
      <c r="K52" s="14"/>
    </row>
    <row r="53" spans="3:15">
      <c r="E53" s="2"/>
      <c r="F53" s="160">
        <v>45830</v>
      </c>
      <c r="G53" s="161">
        <v>13603</v>
      </c>
      <c r="H53" s="162">
        <v>6534.6840000000002</v>
      </c>
      <c r="I53" s="162">
        <v>78.412319999999994</v>
      </c>
      <c r="J53" s="2"/>
      <c r="K53" s="14"/>
    </row>
    <row r="54" spans="3:15">
      <c r="E54" s="2"/>
      <c r="F54" s="160">
        <v>45831</v>
      </c>
      <c r="G54" s="161">
        <v>15008</v>
      </c>
      <c r="H54" s="162">
        <v>7228.8220000000001</v>
      </c>
      <c r="I54" s="162">
        <v>84.589839999999995</v>
      </c>
      <c r="J54" s="2"/>
      <c r="K54" s="14"/>
    </row>
    <row r="55" spans="3:15">
      <c r="E55" s="2"/>
      <c r="F55" s="160">
        <v>45832</v>
      </c>
      <c r="G55" s="161">
        <v>17262</v>
      </c>
      <c r="H55" s="162">
        <v>8241.0030000000006</v>
      </c>
      <c r="I55" s="162">
        <v>86.970799999999997</v>
      </c>
      <c r="J55" s="2"/>
      <c r="K55" s="14"/>
    </row>
    <row r="56" spans="3:15">
      <c r="E56" s="2"/>
      <c r="F56" s="160">
        <v>45833</v>
      </c>
      <c r="G56" s="161">
        <v>16877</v>
      </c>
      <c r="H56" s="162">
        <v>7933.1390000000001</v>
      </c>
      <c r="I56" s="162">
        <v>85.214569999999995</v>
      </c>
      <c r="J56" s="2"/>
      <c r="K56" s="14"/>
    </row>
    <row r="57" spans="3:15">
      <c r="E57" s="2"/>
      <c r="F57" s="160">
        <v>45834</v>
      </c>
      <c r="G57" s="161">
        <v>5098</v>
      </c>
      <c r="H57" s="162">
        <v>2147.5720000000001</v>
      </c>
      <c r="I57" s="162">
        <v>67.971599999999995</v>
      </c>
      <c r="J57" s="2"/>
      <c r="K57" s="14"/>
    </row>
    <row r="58" spans="3:15">
      <c r="E58" s="2"/>
      <c r="F58" s="160">
        <v>45835</v>
      </c>
      <c r="G58" s="161">
        <v>12516</v>
      </c>
      <c r="H58" s="162">
        <v>5821.2269999999999</v>
      </c>
      <c r="I58" s="162">
        <v>69.244960000000006</v>
      </c>
      <c r="J58" s="2"/>
      <c r="K58" s="14"/>
    </row>
    <row r="59" spans="3:15">
      <c r="E59" s="2"/>
      <c r="F59" s="160">
        <v>45836</v>
      </c>
      <c r="G59" s="161">
        <v>2793</v>
      </c>
      <c r="H59" s="162">
        <v>1161.143</v>
      </c>
      <c r="I59" s="162">
        <v>62.767699999999998</v>
      </c>
      <c r="J59" s="2"/>
      <c r="K59" s="14"/>
    </row>
    <row r="60" spans="3:15">
      <c r="E60" s="2"/>
      <c r="F60" s="160">
        <v>45837</v>
      </c>
      <c r="G60" s="161">
        <v>12925</v>
      </c>
      <c r="H60" s="162">
        <v>6167.9390000000003</v>
      </c>
      <c r="I60" s="162">
        <v>72.560519999999997</v>
      </c>
      <c r="J60" s="2"/>
      <c r="K60" s="14"/>
    </row>
    <row r="61" spans="3:15">
      <c r="E61" s="2"/>
      <c r="F61" s="160">
        <v>45838</v>
      </c>
      <c r="G61" s="161">
        <v>17075</v>
      </c>
      <c r="H61" s="162">
        <v>8049.35</v>
      </c>
      <c r="I61" s="162">
        <v>75.923929999999999</v>
      </c>
      <c r="J61" s="2"/>
      <c r="K61" s="14"/>
    </row>
    <row r="62" spans="3:15" s="2" customFormat="1">
      <c r="F62" s="157"/>
      <c r="G62" s="155"/>
      <c r="H62" s="155"/>
      <c r="I62" s="156"/>
      <c r="K62" s="14"/>
    </row>
    <row r="63" spans="3:15">
      <c r="F63" s="143"/>
      <c r="G63" s="137"/>
      <c r="H63" s="2"/>
      <c r="I63" s="2"/>
    </row>
    <row r="64" spans="3:15">
      <c r="C64" s="179" t="s">
        <v>33</v>
      </c>
      <c r="D64" s="180"/>
      <c r="E64" s="180"/>
      <c r="F64" s="180"/>
      <c r="G64" s="180"/>
      <c r="H64" s="180"/>
      <c r="I64" s="180"/>
      <c r="J64" s="180"/>
      <c r="K64" s="180"/>
      <c r="L64" s="181"/>
    </row>
    <row r="65" spans="3:12" ht="15" customHeight="1">
      <c r="C65" s="184"/>
      <c r="D65" s="185"/>
      <c r="E65" s="185"/>
      <c r="F65" s="185"/>
      <c r="G65" s="185"/>
      <c r="H65" s="185"/>
      <c r="I65" s="185"/>
      <c r="J65" s="185"/>
      <c r="K65" s="185"/>
      <c r="L65" s="186"/>
    </row>
    <row r="66" spans="3:12">
      <c r="C66" s="187"/>
      <c r="D66" s="188"/>
      <c r="E66" s="188"/>
      <c r="F66" s="188"/>
      <c r="G66" s="188"/>
      <c r="H66" s="188"/>
      <c r="I66" s="188"/>
      <c r="J66" s="188"/>
      <c r="K66" s="188"/>
      <c r="L66" s="189"/>
    </row>
    <row r="67" spans="3:12">
      <c r="C67" s="190"/>
      <c r="D67" s="191"/>
      <c r="E67" s="191"/>
      <c r="F67" s="191"/>
      <c r="G67" s="191"/>
      <c r="H67" s="191"/>
      <c r="I67" s="191"/>
      <c r="J67" s="191"/>
      <c r="K67" s="191"/>
      <c r="L67" s="192"/>
    </row>
    <row r="69" spans="3:12">
      <c r="C69" s="176" t="s">
        <v>34</v>
      </c>
      <c r="D69" s="177"/>
      <c r="E69" s="177"/>
      <c r="F69" s="177"/>
      <c r="G69" s="177"/>
      <c r="H69" s="177"/>
      <c r="I69" s="177"/>
      <c r="J69" s="177"/>
      <c r="K69" s="177"/>
      <c r="L69" s="178"/>
    </row>
    <row r="70" spans="3:12" ht="14.85" customHeight="1">
      <c r="C70" s="184"/>
      <c r="D70" s="185"/>
      <c r="E70" s="185"/>
      <c r="F70" s="185"/>
      <c r="G70" s="185"/>
      <c r="H70" s="185"/>
      <c r="I70" s="185"/>
      <c r="J70" s="185"/>
      <c r="K70" s="185"/>
      <c r="L70" s="186"/>
    </row>
    <row r="71" spans="3:12">
      <c r="C71" s="187"/>
      <c r="D71" s="188"/>
      <c r="E71" s="188"/>
      <c r="F71" s="188"/>
      <c r="G71" s="188"/>
      <c r="H71" s="188"/>
      <c r="I71" s="188"/>
      <c r="J71" s="188"/>
      <c r="K71" s="188"/>
      <c r="L71" s="189"/>
    </row>
    <row r="72" spans="3:12">
      <c r="C72" s="190"/>
      <c r="D72" s="191"/>
      <c r="E72" s="191"/>
      <c r="F72" s="191"/>
      <c r="G72" s="191"/>
      <c r="H72" s="191"/>
      <c r="I72" s="191"/>
      <c r="J72" s="191"/>
      <c r="K72" s="191"/>
      <c r="L72" s="192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3"/>
  <sheetViews>
    <sheetView tabSelected="1" zoomScale="85" zoomScaleNormal="85" workbookViewId="0">
      <selection activeCell="O13" sqref="O13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94" t="s">
        <v>35</v>
      </c>
      <c r="F1" s="194"/>
      <c r="G1" s="194"/>
      <c r="H1" s="194"/>
      <c r="I1" s="194"/>
      <c r="J1" s="194"/>
    </row>
    <row r="2" spans="3:18">
      <c r="E2" s="195" t="s">
        <v>23</v>
      </c>
      <c r="F2" s="195"/>
      <c r="G2" s="195"/>
      <c r="H2" s="195"/>
      <c r="I2" s="195"/>
      <c r="J2" s="195"/>
    </row>
    <row r="3" spans="3:18" ht="14.25" customHeight="1">
      <c r="E3" s="196" t="s">
        <v>24</v>
      </c>
      <c r="F3" s="197"/>
      <c r="G3" s="197"/>
      <c r="H3" s="197"/>
      <c r="I3" s="197"/>
      <c r="J3" s="197"/>
    </row>
    <row r="5" spans="3:18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SUM(G32:G61)</f>
        <v>493050</v>
      </c>
      <c r="K6" s="2"/>
      <c r="L6" s="23"/>
      <c r="R6" s="26"/>
    </row>
    <row r="7" spans="3:18">
      <c r="C7" s="3"/>
      <c r="D7" s="2"/>
      <c r="E7" s="182" t="s">
        <v>4</v>
      </c>
      <c r="F7" s="182"/>
      <c r="G7" s="182"/>
      <c r="H7" s="182"/>
      <c r="I7" s="182"/>
      <c r="J7" s="8">
        <f>'Predicted Data'!D10</f>
        <v>491177.6</v>
      </c>
      <c r="K7" s="69"/>
      <c r="L7" s="4"/>
      <c r="R7" s="26"/>
    </row>
    <row r="8" spans="3:18" ht="16.149999999999999">
      <c r="C8" s="3"/>
      <c r="D8" s="2"/>
      <c r="E8" s="182" t="s">
        <v>6</v>
      </c>
      <c r="F8" s="182"/>
      <c r="G8" s="182"/>
      <c r="H8" s="182"/>
      <c r="I8" s="182"/>
      <c r="J8" s="8">
        <f>SUM(H32:H61)</f>
        <v>162440.02900000004</v>
      </c>
      <c r="K8" s="2"/>
      <c r="L8" s="4"/>
      <c r="R8" s="26"/>
    </row>
    <row r="9" spans="3:18" ht="16.149999999999999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  <c r="R9" s="44"/>
    </row>
    <row r="10" spans="3:18">
      <c r="C10" s="3"/>
      <c r="D10" s="2"/>
      <c r="E10" s="182" t="s">
        <v>10</v>
      </c>
      <c r="F10" s="182"/>
      <c r="G10" s="182"/>
      <c r="H10" s="182"/>
      <c r="I10" s="182"/>
      <c r="J10" s="84">
        <f>'Plant Health'!E102</f>
        <v>452685.08499999985</v>
      </c>
      <c r="K10" s="2"/>
      <c r="L10" s="4"/>
      <c r="R10" s="26"/>
    </row>
    <row r="11" spans="3:18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1.089167759967175</v>
      </c>
      <c r="K11" s="2"/>
      <c r="L11" s="4"/>
      <c r="R11" s="26"/>
    </row>
    <row r="12" spans="3:18">
      <c r="C12" s="3"/>
      <c r="D12" s="2"/>
      <c r="E12" s="182" t="s">
        <v>16</v>
      </c>
      <c r="F12" s="182"/>
      <c r="G12" s="182"/>
      <c r="H12" s="182"/>
      <c r="I12" s="182"/>
      <c r="J12" s="31">
        <f>J6/J7</f>
        <v>1.0038120630908249</v>
      </c>
      <c r="K12" s="2"/>
      <c r="L12" s="4"/>
      <c r="R12" s="26"/>
    </row>
    <row r="13" spans="3:18">
      <c r="C13" s="3"/>
      <c r="D13" s="2"/>
      <c r="E13" s="182" t="s">
        <v>18</v>
      </c>
      <c r="F13" s="182"/>
      <c r="G13" s="182"/>
      <c r="H13" s="182"/>
      <c r="I13" s="182"/>
      <c r="J13" s="31">
        <f>Availability!I43</f>
        <v>1</v>
      </c>
      <c r="K13" s="2"/>
      <c r="L13" s="4"/>
      <c r="R13" s="26"/>
    </row>
    <row r="14" spans="3:18">
      <c r="C14" s="5"/>
      <c r="D14" s="6"/>
      <c r="E14" s="193" t="s">
        <v>20</v>
      </c>
      <c r="F14" s="193"/>
      <c r="G14" s="193"/>
      <c r="H14" s="193"/>
      <c r="I14" s="193"/>
      <c r="J14" s="9">
        <f>Availability!I50</f>
        <v>0.99898333333333333</v>
      </c>
      <c r="K14" s="6"/>
      <c r="L14" s="7"/>
      <c r="R14" s="26"/>
    </row>
    <row r="15" spans="3:18">
      <c r="R15" s="26"/>
    </row>
    <row r="16" spans="3:18">
      <c r="C16" s="179" t="s">
        <v>27</v>
      </c>
      <c r="D16" s="180"/>
      <c r="E16" s="180"/>
      <c r="F16" s="180"/>
      <c r="G16" s="180"/>
      <c r="H16" s="180"/>
      <c r="I16" s="180"/>
      <c r="J16" s="180"/>
      <c r="K16" s="180"/>
      <c r="L16" s="181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>
      <c r="E32" s="2"/>
      <c r="F32" s="154">
        <v>45809</v>
      </c>
      <c r="G32" s="162">
        <v>18197</v>
      </c>
      <c r="H32" s="162">
        <v>6040.7120000000004</v>
      </c>
      <c r="I32" s="162">
        <v>56.722189999999998</v>
      </c>
      <c r="J32" s="14"/>
      <c r="K32" s="14"/>
      <c r="R32" s="26"/>
    </row>
    <row r="33" spans="5:18">
      <c r="E33" s="2"/>
      <c r="F33" s="154">
        <v>45810</v>
      </c>
      <c r="G33" s="162">
        <v>21269.5</v>
      </c>
      <c r="H33" s="162">
        <v>7337.3909999999996</v>
      </c>
      <c r="I33" s="162">
        <v>62.012320000000003</v>
      </c>
      <c r="J33" s="14"/>
      <c r="K33" s="14"/>
      <c r="R33" s="26"/>
    </row>
    <row r="34" spans="5:18">
      <c r="E34" s="2"/>
      <c r="F34" s="154">
        <v>45811</v>
      </c>
      <c r="G34" s="162">
        <v>23031.75</v>
      </c>
      <c r="H34" s="162">
        <v>7790.7030000000004</v>
      </c>
      <c r="I34" s="162">
        <v>68.057839999999999</v>
      </c>
      <c r="J34" s="14"/>
      <c r="K34" s="14"/>
      <c r="R34" s="26"/>
    </row>
    <row r="35" spans="5:18">
      <c r="E35" s="2"/>
      <c r="F35" s="154">
        <v>45812</v>
      </c>
      <c r="G35" s="162">
        <v>19985.5</v>
      </c>
      <c r="H35" s="162">
        <v>6488.5230000000001</v>
      </c>
      <c r="I35" s="162">
        <v>71.696929999999995</v>
      </c>
      <c r="J35" s="14"/>
      <c r="K35" s="14"/>
      <c r="R35" s="26"/>
    </row>
    <row r="36" spans="5:18">
      <c r="E36" s="2"/>
      <c r="F36" s="154">
        <v>45813</v>
      </c>
      <c r="G36" s="162">
        <v>19840.25</v>
      </c>
      <c r="H36" s="162">
        <v>6793.8140000000003</v>
      </c>
      <c r="I36" s="162">
        <v>80.907449999999997</v>
      </c>
      <c r="J36" s="14"/>
      <c r="K36" s="14"/>
      <c r="R36" s="26"/>
    </row>
    <row r="37" spans="5:18">
      <c r="E37" s="2"/>
      <c r="F37" s="154">
        <v>45814</v>
      </c>
      <c r="G37" s="162">
        <v>19170.25</v>
      </c>
      <c r="H37" s="162">
        <v>6242.3890000000001</v>
      </c>
      <c r="I37" s="162">
        <v>79.545500000000004</v>
      </c>
      <c r="J37" s="14"/>
      <c r="K37" s="14"/>
      <c r="R37" s="26"/>
    </row>
    <row r="38" spans="5:18">
      <c r="E38" s="2"/>
      <c r="F38" s="154">
        <v>45815</v>
      </c>
      <c r="G38" s="162">
        <v>5861.25</v>
      </c>
      <c r="H38" s="162">
        <v>1804.251</v>
      </c>
      <c r="I38" s="162">
        <v>69.565929999999994</v>
      </c>
      <c r="J38" s="14"/>
      <c r="K38" s="14"/>
    </row>
    <row r="39" spans="5:18">
      <c r="E39" s="2"/>
      <c r="F39" s="154">
        <v>45816</v>
      </c>
      <c r="G39" s="162">
        <v>15377</v>
      </c>
      <c r="H39" s="162">
        <v>4836.6049999999996</v>
      </c>
      <c r="I39" s="162">
        <v>67.067019999999999</v>
      </c>
      <c r="J39" s="14"/>
      <c r="K39" s="14"/>
    </row>
    <row r="40" spans="5:18">
      <c r="E40" s="2"/>
      <c r="F40" s="154">
        <v>45817</v>
      </c>
      <c r="G40" s="162">
        <v>11122.25</v>
      </c>
      <c r="H40" s="162">
        <v>3432.212</v>
      </c>
      <c r="I40" s="162">
        <v>65.364000000000004</v>
      </c>
      <c r="J40" s="14"/>
      <c r="K40" s="14"/>
    </row>
    <row r="41" spans="5:18">
      <c r="E41" s="2"/>
      <c r="F41" s="154">
        <v>45818</v>
      </c>
      <c r="G41" s="162">
        <v>4921.75</v>
      </c>
      <c r="H41" s="162">
        <v>1443.1089999999999</v>
      </c>
      <c r="I41" s="162">
        <v>62.944890000000001</v>
      </c>
      <c r="J41" s="14"/>
      <c r="K41" s="14"/>
    </row>
    <row r="42" spans="5:18">
      <c r="E42" s="2"/>
      <c r="F42" s="154">
        <v>45819</v>
      </c>
      <c r="G42" s="162">
        <v>22001.5</v>
      </c>
      <c r="H42" s="162">
        <v>7351.1229999999996</v>
      </c>
      <c r="I42" s="162">
        <v>72.643749999999997</v>
      </c>
      <c r="J42" s="14"/>
      <c r="K42" s="14"/>
    </row>
    <row r="43" spans="5:18">
      <c r="E43" s="2"/>
      <c r="F43" s="154">
        <v>45820</v>
      </c>
      <c r="G43" s="162">
        <v>21839</v>
      </c>
      <c r="H43" s="162">
        <v>7323.3680000000004</v>
      </c>
      <c r="I43" s="162">
        <v>77.050200000000004</v>
      </c>
      <c r="J43" s="14"/>
      <c r="K43" s="14"/>
    </row>
    <row r="44" spans="5:18">
      <c r="E44" s="2"/>
      <c r="F44" s="154">
        <v>45821</v>
      </c>
      <c r="G44" s="162">
        <v>19708.75</v>
      </c>
      <c r="H44" s="162">
        <v>6568.9970000000003</v>
      </c>
      <c r="I44" s="162">
        <v>71.648060000000001</v>
      </c>
      <c r="J44" s="14"/>
      <c r="K44" s="14"/>
    </row>
    <row r="45" spans="5:18">
      <c r="E45" s="2"/>
      <c r="F45" s="154">
        <v>45822</v>
      </c>
      <c r="G45" s="162">
        <v>4276</v>
      </c>
      <c r="H45" s="162">
        <v>1228.2449999999999</v>
      </c>
      <c r="I45" s="162">
        <v>59.000729999999997</v>
      </c>
      <c r="J45" s="14"/>
      <c r="K45" s="14"/>
    </row>
    <row r="46" spans="5:18">
      <c r="E46" s="2"/>
      <c r="F46" s="154">
        <v>45823</v>
      </c>
      <c r="G46" s="162">
        <v>14706</v>
      </c>
      <c r="H46" s="162">
        <v>4522.9430000000002</v>
      </c>
      <c r="I46" s="162">
        <v>66.349909999999994</v>
      </c>
      <c r="J46" s="14"/>
      <c r="K46" s="14"/>
    </row>
    <row r="47" spans="5:18">
      <c r="E47" s="2"/>
      <c r="F47" s="154">
        <v>45824</v>
      </c>
      <c r="G47" s="162">
        <v>23174.75</v>
      </c>
      <c r="H47" s="162">
        <v>7625.1319999999996</v>
      </c>
      <c r="I47" s="162">
        <v>69.36842</v>
      </c>
      <c r="J47" s="14"/>
      <c r="K47" s="14"/>
    </row>
    <row r="48" spans="5:18">
      <c r="E48" s="2"/>
      <c r="F48" s="154">
        <v>45825</v>
      </c>
      <c r="G48" s="162">
        <v>6812</v>
      </c>
      <c r="H48" s="162">
        <v>2011.499</v>
      </c>
      <c r="I48" s="162">
        <v>67.138050000000007</v>
      </c>
      <c r="J48" s="14"/>
      <c r="K48" s="14"/>
    </row>
    <row r="49" spans="3:12">
      <c r="E49" s="2"/>
      <c r="F49" s="154">
        <v>45826</v>
      </c>
      <c r="G49" s="162">
        <v>8702</v>
      </c>
      <c r="H49" s="162">
        <v>2651.2150000000001</v>
      </c>
      <c r="I49" s="162">
        <v>72.614180000000005</v>
      </c>
      <c r="J49" s="14"/>
      <c r="K49" s="14"/>
    </row>
    <row r="50" spans="3:12">
      <c r="E50" s="2"/>
      <c r="F50" s="154">
        <v>45827</v>
      </c>
      <c r="G50" s="162">
        <v>19348.25</v>
      </c>
      <c r="H50" s="162">
        <v>6368.7</v>
      </c>
      <c r="I50" s="162">
        <v>81.004589999999993</v>
      </c>
      <c r="J50" s="14"/>
      <c r="K50" s="14"/>
    </row>
    <row r="51" spans="3:12">
      <c r="E51" s="2"/>
      <c r="F51" s="154">
        <v>45828</v>
      </c>
      <c r="G51" s="162">
        <v>22408</v>
      </c>
      <c r="H51" s="162">
        <v>7433.45</v>
      </c>
      <c r="I51" s="162">
        <v>76.050610000000006</v>
      </c>
      <c r="J51" s="14"/>
      <c r="K51" s="14"/>
    </row>
    <row r="52" spans="3:12">
      <c r="E52" s="2"/>
      <c r="F52" s="154">
        <v>45829</v>
      </c>
      <c r="G52" s="162">
        <v>22720.5</v>
      </c>
      <c r="H52" s="162">
        <v>7620.2669999999998</v>
      </c>
      <c r="I52" s="162">
        <v>76.961119999999994</v>
      </c>
      <c r="J52" s="14"/>
      <c r="K52" s="14"/>
    </row>
    <row r="53" spans="3:12">
      <c r="E53" s="2"/>
      <c r="F53" s="154">
        <v>45830</v>
      </c>
      <c r="G53" s="162">
        <v>17152.75</v>
      </c>
      <c r="H53" s="162">
        <v>5657.4769999999999</v>
      </c>
      <c r="I53" s="162">
        <v>80.972329999999999</v>
      </c>
      <c r="J53" s="14"/>
      <c r="K53" s="14"/>
    </row>
    <row r="54" spans="3:12">
      <c r="E54" s="2"/>
      <c r="F54" s="154">
        <v>45831</v>
      </c>
      <c r="G54" s="162">
        <v>20177.5</v>
      </c>
      <c r="H54" s="162">
        <v>6760.64</v>
      </c>
      <c r="I54" s="162">
        <v>87.477080000000001</v>
      </c>
      <c r="J54" s="14"/>
      <c r="K54" s="14"/>
    </row>
    <row r="55" spans="3:12">
      <c r="E55" s="2"/>
      <c r="F55" s="154">
        <v>45832</v>
      </c>
      <c r="G55" s="162">
        <v>22352</v>
      </c>
      <c r="H55" s="162">
        <v>7604.7719999999999</v>
      </c>
      <c r="I55" s="162">
        <v>90.369150000000005</v>
      </c>
      <c r="J55" s="14"/>
      <c r="K55" s="14"/>
    </row>
    <row r="56" spans="3:12">
      <c r="E56" s="2"/>
      <c r="F56" s="154">
        <v>45833</v>
      </c>
      <c r="G56" s="162">
        <v>18402.75</v>
      </c>
      <c r="H56" s="162">
        <v>6185.6809999999996</v>
      </c>
      <c r="I56" s="162">
        <v>88.243099999999998</v>
      </c>
      <c r="J56" s="14"/>
      <c r="K56" s="14"/>
    </row>
    <row r="57" spans="3:12">
      <c r="E57" s="2"/>
      <c r="F57" s="154">
        <v>45834</v>
      </c>
      <c r="G57" s="162">
        <v>4383.5</v>
      </c>
      <c r="H57" s="162">
        <v>1279.462</v>
      </c>
      <c r="I57" s="162">
        <v>67.406459999999996</v>
      </c>
      <c r="J57" s="14"/>
      <c r="K57" s="14"/>
    </row>
    <row r="58" spans="3:12">
      <c r="E58" s="2"/>
      <c r="F58" s="154">
        <v>45835</v>
      </c>
      <c r="G58" s="162">
        <v>18591.75</v>
      </c>
      <c r="H58" s="162">
        <v>6161.0590000000002</v>
      </c>
      <c r="I58" s="162">
        <v>71.358810000000005</v>
      </c>
      <c r="J58" s="14"/>
      <c r="K58" s="14"/>
    </row>
    <row r="59" spans="3:12">
      <c r="E59" s="2"/>
      <c r="F59" s="154">
        <v>45836</v>
      </c>
      <c r="G59" s="162">
        <v>5454</v>
      </c>
      <c r="H59" s="162">
        <v>1639.98</v>
      </c>
      <c r="I59" s="162">
        <v>70.669129999999996</v>
      </c>
      <c r="J59" s="14"/>
      <c r="K59" s="14"/>
    </row>
    <row r="60" spans="3:12">
      <c r="E60" s="2"/>
      <c r="F60" s="154">
        <v>45837</v>
      </c>
      <c r="G60" s="162">
        <v>22445.5</v>
      </c>
      <c r="H60" s="162">
        <v>7670.7190000000001</v>
      </c>
      <c r="I60" s="162">
        <v>81.092429999999993</v>
      </c>
      <c r="J60" s="14"/>
      <c r="K60" s="14"/>
    </row>
    <row r="61" spans="3:12">
      <c r="E61" s="2"/>
      <c r="F61" s="154">
        <v>45838</v>
      </c>
      <c r="G61" s="162">
        <v>19617</v>
      </c>
      <c r="H61" s="162">
        <v>6565.5910000000003</v>
      </c>
      <c r="I61" s="162">
        <v>79.481049999999996</v>
      </c>
      <c r="J61" s="14"/>
      <c r="K61" s="14"/>
    </row>
    <row r="62" spans="3:12">
      <c r="F62" s="152"/>
      <c r="G62" s="2"/>
      <c r="H62" s="2"/>
      <c r="I62" s="2"/>
    </row>
    <row r="63" spans="3:12">
      <c r="F63" s="139"/>
      <c r="G63" s="2"/>
      <c r="H63" s="2"/>
      <c r="I63" s="2"/>
    </row>
    <row r="64" spans="3:12">
      <c r="C64" s="176" t="s">
        <v>33</v>
      </c>
      <c r="D64" s="177"/>
      <c r="E64" s="177"/>
      <c r="F64" s="177"/>
      <c r="G64" s="177"/>
      <c r="H64" s="177"/>
      <c r="I64" s="177"/>
      <c r="J64" s="177"/>
      <c r="K64" s="177"/>
      <c r="L64" s="178"/>
    </row>
    <row r="65" spans="3:12" ht="15" customHeight="1">
      <c r="C65" s="184"/>
      <c r="D65" s="185"/>
      <c r="E65" s="185"/>
      <c r="F65" s="185"/>
      <c r="G65" s="185"/>
      <c r="H65" s="185"/>
      <c r="I65" s="185"/>
      <c r="J65" s="185"/>
      <c r="K65" s="185"/>
      <c r="L65" s="186"/>
    </row>
    <row r="66" spans="3:12">
      <c r="C66" s="187"/>
      <c r="D66" s="188"/>
      <c r="E66" s="188"/>
      <c r="F66" s="188"/>
      <c r="G66" s="188"/>
      <c r="H66" s="188"/>
      <c r="I66" s="188"/>
      <c r="J66" s="188"/>
      <c r="K66" s="188"/>
      <c r="L66" s="189"/>
    </row>
    <row r="67" spans="3:12">
      <c r="C67" s="190"/>
      <c r="D67" s="191"/>
      <c r="E67" s="191"/>
      <c r="F67" s="191"/>
      <c r="G67" s="191"/>
      <c r="H67" s="191"/>
      <c r="I67" s="191"/>
      <c r="J67" s="191"/>
      <c r="K67" s="191"/>
      <c r="L67" s="192"/>
    </row>
    <row r="68" spans="3:12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>
      <c r="C69" s="176" t="s">
        <v>34</v>
      </c>
      <c r="D69" s="177"/>
      <c r="E69" s="177"/>
      <c r="F69" s="177"/>
      <c r="G69" s="177"/>
      <c r="H69" s="177"/>
      <c r="I69" s="177"/>
      <c r="J69" s="177"/>
      <c r="K69" s="177"/>
      <c r="L69" s="178"/>
    </row>
    <row r="70" spans="3:12" ht="14.85" customHeight="1">
      <c r="C70" s="184"/>
      <c r="D70" s="185"/>
      <c r="E70" s="185"/>
      <c r="F70" s="185"/>
      <c r="G70" s="185"/>
      <c r="H70" s="185"/>
      <c r="I70" s="185"/>
      <c r="J70" s="185"/>
      <c r="K70" s="185"/>
      <c r="L70" s="186"/>
    </row>
    <row r="71" spans="3:12">
      <c r="C71" s="187"/>
      <c r="D71" s="188"/>
      <c r="E71" s="188"/>
      <c r="F71" s="188"/>
      <c r="G71" s="188"/>
      <c r="H71" s="188"/>
      <c r="I71" s="188"/>
      <c r="J71" s="188"/>
      <c r="K71" s="188"/>
      <c r="L71" s="189"/>
    </row>
    <row r="72" spans="3:12">
      <c r="C72" s="190"/>
      <c r="D72" s="191"/>
      <c r="E72" s="191"/>
      <c r="F72" s="191"/>
      <c r="G72" s="191"/>
      <c r="H72" s="191"/>
      <c r="I72" s="191"/>
      <c r="J72" s="191"/>
      <c r="K72" s="191"/>
      <c r="L72" s="192"/>
    </row>
    <row r="73" spans="3:12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E1:J1"/>
    <mergeCell ref="E2:J2"/>
    <mergeCell ref="E3:J3"/>
    <mergeCell ref="E8:I8"/>
    <mergeCell ref="E9:I9"/>
    <mergeCell ref="E6:I6"/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2"/>
  <sheetViews>
    <sheetView topLeftCell="A25" zoomScale="80" zoomScaleNormal="80" workbookViewId="0">
      <selection activeCell="N47" sqref="N47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8" t="s">
        <v>36</v>
      </c>
      <c r="F1" s="218"/>
      <c r="G1" s="218"/>
      <c r="H1" s="218"/>
      <c r="I1" s="218"/>
      <c r="J1" s="218"/>
    </row>
    <row r="2" spans="3:13">
      <c r="E2" s="219" t="s">
        <v>23</v>
      </c>
      <c r="F2" s="219"/>
      <c r="G2" s="219"/>
      <c r="H2" s="219"/>
      <c r="I2" s="219"/>
      <c r="J2" s="219"/>
    </row>
    <row r="3" spans="3:13" ht="14.25" customHeight="1">
      <c r="E3" s="196" t="s">
        <v>37</v>
      </c>
      <c r="F3" s="197"/>
      <c r="G3" s="197"/>
      <c r="H3" s="197"/>
      <c r="I3" s="197"/>
      <c r="J3" s="197"/>
    </row>
    <row r="5" spans="3:13">
      <c r="C5" s="210" t="s">
        <v>25</v>
      </c>
      <c r="D5" s="211"/>
      <c r="E5" s="211"/>
      <c r="F5" s="211"/>
      <c r="G5" s="211"/>
      <c r="H5" s="211"/>
      <c r="I5" s="211"/>
      <c r="J5" s="211"/>
      <c r="K5" s="211"/>
      <c r="L5" s="212"/>
    </row>
    <row r="6" spans="3:13">
      <c r="C6" s="107"/>
      <c r="D6" s="108"/>
      <c r="E6" s="220" t="s">
        <v>2</v>
      </c>
      <c r="F6" s="220"/>
      <c r="G6" s="220"/>
      <c r="H6" s="220"/>
      <c r="I6" s="220"/>
      <c r="J6" s="109">
        <f>SUM(G32:G61)</f>
        <v>575204</v>
      </c>
      <c r="K6" s="108"/>
      <c r="L6" s="110"/>
    </row>
    <row r="7" spans="3:13">
      <c r="C7" s="111"/>
      <c r="E7" s="217" t="s">
        <v>4</v>
      </c>
      <c r="F7" s="217"/>
      <c r="G7" s="217"/>
      <c r="H7" s="217"/>
      <c r="I7" s="217"/>
      <c r="J7" s="112">
        <f>'Predicted Data'!D34</f>
        <v>511081</v>
      </c>
      <c r="K7" s="113"/>
      <c r="L7" s="114"/>
    </row>
    <row r="8" spans="3:13" ht="16.149999999999999">
      <c r="C8" s="111"/>
      <c r="E8" s="217" t="s">
        <v>6</v>
      </c>
      <c r="F8" s="217"/>
      <c r="G8" s="217"/>
      <c r="H8" s="217"/>
      <c r="I8" s="217"/>
      <c r="J8" s="112">
        <f>SUM(H32:H61)</f>
        <v>226532.60700000002</v>
      </c>
      <c r="L8" s="114"/>
    </row>
    <row r="9" spans="3:13" ht="16.149999999999999">
      <c r="C9" s="111"/>
      <c r="E9" s="217" t="s">
        <v>8</v>
      </c>
      <c r="F9" s="217"/>
      <c r="G9" s="217"/>
      <c r="H9" s="217"/>
      <c r="I9" s="217"/>
      <c r="J9" s="115"/>
      <c r="K9" s="113"/>
      <c r="L9" s="114"/>
    </row>
    <row r="10" spans="3:13">
      <c r="C10" s="111"/>
      <c r="E10" s="217" t="s">
        <v>10</v>
      </c>
      <c r="F10" s="217"/>
      <c r="G10" s="217"/>
      <c r="H10" s="217"/>
      <c r="I10" s="217"/>
      <c r="J10" s="116">
        <f>'Plant Health'!K102</f>
        <v>541222.24100000004</v>
      </c>
      <c r="L10" s="114"/>
    </row>
    <row r="11" spans="3:13">
      <c r="C11" s="111"/>
      <c r="E11" s="217" t="s">
        <v>12</v>
      </c>
      <c r="F11" s="217"/>
      <c r="G11" s="217"/>
      <c r="H11" s="217"/>
      <c r="I11" s="217"/>
      <c r="J11" s="117">
        <f>J6/J10</f>
        <v>1.0627870704966094</v>
      </c>
      <c r="L11" s="114"/>
      <c r="M11" s="118"/>
    </row>
    <row r="12" spans="3:13">
      <c r="C12" s="111"/>
      <c r="E12" s="217" t="s">
        <v>16</v>
      </c>
      <c r="F12" s="217"/>
      <c r="G12" s="217"/>
      <c r="H12" s="217"/>
      <c r="I12" s="217"/>
      <c r="J12" s="117">
        <f>J6/J7</f>
        <v>1.1254654350288897</v>
      </c>
      <c r="L12" s="114"/>
    </row>
    <row r="13" spans="3:13">
      <c r="C13" s="111"/>
      <c r="E13" s="217" t="s">
        <v>18</v>
      </c>
      <c r="F13" s="217"/>
      <c r="G13" s="217"/>
      <c r="H13" s="217"/>
      <c r="I13" s="217"/>
      <c r="J13" s="117">
        <f>Availability!K43</f>
        <v>1</v>
      </c>
      <c r="L13" s="114"/>
    </row>
    <row r="14" spans="3:13">
      <c r="C14" s="119"/>
      <c r="D14" s="120"/>
      <c r="E14" s="209" t="s">
        <v>20</v>
      </c>
      <c r="F14" s="209"/>
      <c r="G14" s="209"/>
      <c r="H14" s="209"/>
      <c r="I14" s="209"/>
      <c r="J14" s="121">
        <f>Availability!K50</f>
        <v>0.99904999999999999</v>
      </c>
      <c r="K14" s="120"/>
      <c r="L14" s="122"/>
    </row>
    <row r="16" spans="3:13">
      <c r="C16" s="210" t="s">
        <v>27</v>
      </c>
      <c r="D16" s="211"/>
      <c r="E16" s="211"/>
      <c r="F16" s="211"/>
      <c r="G16" s="211"/>
      <c r="H16" s="211"/>
      <c r="I16" s="211"/>
      <c r="J16" s="211"/>
      <c r="K16" s="211"/>
      <c r="L16" s="212"/>
    </row>
    <row r="30" spans="5:12">
      <c r="E30" s="123"/>
      <c r="F30" s="213" t="s">
        <v>28</v>
      </c>
      <c r="G30" s="213"/>
      <c r="H30" s="213"/>
      <c r="I30" s="213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45809</v>
      </c>
      <c r="G32" s="162">
        <v>18757</v>
      </c>
      <c r="H32" s="162">
        <v>7062.884</v>
      </c>
      <c r="I32" s="162">
        <v>81.844170000000005</v>
      </c>
      <c r="K32" s="127"/>
    </row>
    <row r="33" spans="6:11">
      <c r="F33" s="140">
        <v>45810</v>
      </c>
      <c r="G33" s="162">
        <v>23310</v>
      </c>
      <c r="H33" s="162">
        <v>8985.4269999999997</v>
      </c>
      <c r="I33" s="162">
        <v>87.083780000000004</v>
      </c>
      <c r="K33" s="127"/>
    </row>
    <row r="34" spans="6:11">
      <c r="F34" s="140">
        <v>45811</v>
      </c>
      <c r="G34" s="162">
        <v>12360</v>
      </c>
      <c r="H34" s="162">
        <v>4458.9780000000001</v>
      </c>
      <c r="I34" s="162">
        <v>84.071240000000003</v>
      </c>
      <c r="K34" s="127"/>
    </row>
    <row r="35" spans="6:11">
      <c r="F35" s="140">
        <v>45812</v>
      </c>
      <c r="G35" s="162">
        <v>12516</v>
      </c>
      <c r="H35" s="162">
        <v>4346.9570000000003</v>
      </c>
      <c r="I35" s="162">
        <v>74.056219999999996</v>
      </c>
      <c r="K35" s="127"/>
    </row>
    <row r="36" spans="6:11">
      <c r="F36" s="140">
        <v>45813</v>
      </c>
      <c r="G36" s="162">
        <v>14375</v>
      </c>
      <c r="H36" s="162">
        <v>5358.9040000000005</v>
      </c>
      <c r="I36" s="162">
        <v>80.966459999999998</v>
      </c>
      <c r="K36" s="127"/>
    </row>
    <row r="37" spans="6:11">
      <c r="F37" s="140">
        <v>45814</v>
      </c>
      <c r="G37" s="162">
        <v>23796</v>
      </c>
      <c r="H37" s="162">
        <v>9329.6730000000007</v>
      </c>
      <c r="I37" s="162">
        <v>89.251220000000004</v>
      </c>
      <c r="K37" s="127"/>
    </row>
    <row r="38" spans="6:11">
      <c r="F38" s="140">
        <v>45815</v>
      </c>
      <c r="G38" s="162">
        <v>16976</v>
      </c>
      <c r="H38" s="162">
        <v>6676.78</v>
      </c>
      <c r="I38" s="162">
        <v>88.915180000000007</v>
      </c>
      <c r="K38" s="127"/>
    </row>
    <row r="39" spans="6:11">
      <c r="F39" s="140">
        <v>45816</v>
      </c>
      <c r="G39" s="162">
        <v>18638</v>
      </c>
      <c r="H39" s="162">
        <v>7149.8459999999995</v>
      </c>
      <c r="I39" s="162">
        <v>89.761790000000005</v>
      </c>
      <c r="K39" s="127"/>
    </row>
    <row r="40" spans="6:11">
      <c r="F40" s="140">
        <v>45817</v>
      </c>
      <c r="G40" s="162">
        <v>23699</v>
      </c>
      <c r="H40" s="162">
        <v>9643.1139999999996</v>
      </c>
      <c r="I40" s="162">
        <v>81.574110000000005</v>
      </c>
      <c r="K40" s="127"/>
    </row>
    <row r="41" spans="6:11">
      <c r="F41" s="140">
        <v>45818</v>
      </c>
      <c r="G41" s="162">
        <v>6427</v>
      </c>
      <c r="H41" s="162">
        <v>1692.162</v>
      </c>
      <c r="I41" s="162">
        <v>77.262410000000003</v>
      </c>
      <c r="K41" s="127"/>
    </row>
    <row r="42" spans="6:11">
      <c r="F42" s="140">
        <v>45819</v>
      </c>
      <c r="G42" s="162">
        <v>6648</v>
      </c>
      <c r="H42" s="162">
        <v>1731.5419999999999</v>
      </c>
      <c r="I42" s="162">
        <v>74.837549999999993</v>
      </c>
      <c r="K42" s="127"/>
    </row>
    <row r="43" spans="6:11">
      <c r="F43" s="140">
        <v>45820</v>
      </c>
      <c r="G43" s="162">
        <v>16040</v>
      </c>
      <c r="H43" s="162">
        <v>6395.2690000000002</v>
      </c>
      <c r="I43" s="162">
        <v>80.239270000000005</v>
      </c>
      <c r="K43" s="127"/>
    </row>
    <row r="44" spans="6:11">
      <c r="F44" s="140">
        <v>45821</v>
      </c>
      <c r="G44" s="162">
        <v>19896</v>
      </c>
      <c r="H44" s="162">
        <v>7851.2070000000003</v>
      </c>
      <c r="I44" s="162">
        <v>84.24727</v>
      </c>
      <c r="K44" s="127"/>
    </row>
    <row r="45" spans="6:11">
      <c r="F45" s="140">
        <v>45822</v>
      </c>
      <c r="G45" s="162">
        <v>22407</v>
      </c>
      <c r="H45" s="162">
        <v>9158.5210000000006</v>
      </c>
      <c r="I45" s="162">
        <v>88.43965</v>
      </c>
      <c r="K45" s="127"/>
    </row>
    <row r="46" spans="6:11">
      <c r="F46" s="140">
        <v>45823</v>
      </c>
      <c r="G46" s="162">
        <v>12252</v>
      </c>
      <c r="H46" s="162">
        <v>4601.9669999999996</v>
      </c>
      <c r="I46" s="162">
        <v>79.347020000000001</v>
      </c>
      <c r="K46" s="127"/>
    </row>
    <row r="47" spans="6:11">
      <c r="F47" s="140">
        <v>45824</v>
      </c>
      <c r="G47" s="162">
        <v>22524</v>
      </c>
      <c r="H47" s="162">
        <v>9387.15</v>
      </c>
      <c r="I47" s="162">
        <v>86.67747</v>
      </c>
      <c r="K47" s="127"/>
    </row>
    <row r="48" spans="6:11">
      <c r="F48" s="140">
        <v>45825</v>
      </c>
      <c r="G48" s="162">
        <v>24739</v>
      </c>
      <c r="H48" s="162">
        <v>10110.68</v>
      </c>
      <c r="I48" s="162">
        <v>88.773160000000004</v>
      </c>
      <c r="K48" s="127"/>
    </row>
    <row r="49" spans="3:20">
      <c r="F49" s="140">
        <v>45826</v>
      </c>
      <c r="G49" s="162">
        <v>16985</v>
      </c>
      <c r="H49" s="162">
        <v>7087.2550000000001</v>
      </c>
      <c r="I49" s="162">
        <v>88.840919999999997</v>
      </c>
      <c r="K49" s="127"/>
    </row>
    <row r="50" spans="3:20">
      <c r="F50" s="140">
        <v>45827</v>
      </c>
      <c r="G50" s="162">
        <v>19922</v>
      </c>
      <c r="H50" s="162">
        <v>7774.3329999999996</v>
      </c>
      <c r="I50" s="162">
        <v>90.407709999999994</v>
      </c>
      <c r="K50" s="127"/>
    </row>
    <row r="51" spans="3:20">
      <c r="F51" s="140">
        <v>45828</v>
      </c>
      <c r="G51" s="162">
        <v>21525</v>
      </c>
      <c r="H51" s="162">
        <v>8763.5259999999998</v>
      </c>
      <c r="I51" s="162">
        <v>90.649889999999999</v>
      </c>
      <c r="K51" s="127"/>
    </row>
    <row r="52" spans="3:20">
      <c r="F52" s="140">
        <v>45829</v>
      </c>
      <c r="G52" s="162">
        <v>20767</v>
      </c>
      <c r="H52" s="162">
        <v>8882.2530000000006</v>
      </c>
      <c r="I52" s="162">
        <v>89.116640000000004</v>
      </c>
      <c r="K52" s="127"/>
    </row>
    <row r="53" spans="3:20">
      <c r="F53" s="140">
        <v>45830</v>
      </c>
      <c r="G53" s="162">
        <v>23873</v>
      </c>
      <c r="H53" s="162">
        <v>9752.6020000000008</v>
      </c>
      <c r="I53" s="162">
        <v>89.450419999999994</v>
      </c>
      <c r="K53" s="127"/>
    </row>
    <row r="54" spans="3:20">
      <c r="F54" s="140">
        <v>45831</v>
      </c>
      <c r="G54" s="162">
        <v>22157</v>
      </c>
      <c r="H54" s="162">
        <v>8761.9449999999997</v>
      </c>
      <c r="I54" s="162">
        <v>89.976799999999997</v>
      </c>
      <c r="K54" s="127"/>
    </row>
    <row r="55" spans="3:20">
      <c r="F55" s="140">
        <v>45832</v>
      </c>
      <c r="G55" s="162">
        <v>23448</v>
      </c>
      <c r="H55" s="162">
        <v>9433.8279999999995</v>
      </c>
      <c r="I55" s="162">
        <v>91.005870000000002</v>
      </c>
      <c r="K55" s="127"/>
    </row>
    <row r="56" spans="3:20">
      <c r="F56" s="140">
        <v>45833</v>
      </c>
      <c r="G56" s="162">
        <v>17166</v>
      </c>
      <c r="H56" s="162">
        <v>6756.625</v>
      </c>
      <c r="I56" s="162">
        <v>86.044880000000006</v>
      </c>
      <c r="K56" s="127"/>
    </row>
    <row r="57" spans="3:20">
      <c r="F57" s="140">
        <v>45834</v>
      </c>
      <c r="G57" s="162">
        <v>19365</v>
      </c>
      <c r="H57" s="162">
        <v>7790.6949999999997</v>
      </c>
      <c r="I57" s="162">
        <v>87.97439</v>
      </c>
      <c r="K57" s="127"/>
    </row>
    <row r="58" spans="3:20">
      <c r="F58" s="140">
        <v>45835</v>
      </c>
      <c r="G58" s="162">
        <v>21499</v>
      </c>
      <c r="H58" s="162">
        <v>8399.7150000000001</v>
      </c>
      <c r="I58" s="162">
        <v>89.240080000000006</v>
      </c>
      <c r="K58" s="127"/>
      <c r="R58" s="112"/>
      <c r="S58" s="112"/>
      <c r="T58" s="112"/>
    </row>
    <row r="59" spans="3:20">
      <c r="F59" s="140">
        <v>45836</v>
      </c>
      <c r="G59" s="162">
        <v>24786</v>
      </c>
      <c r="H59" s="162">
        <v>9978.4609999999993</v>
      </c>
      <c r="I59" s="162">
        <v>92.197289999999995</v>
      </c>
      <c r="K59" s="127"/>
    </row>
    <row r="60" spans="3:20">
      <c r="F60" s="140">
        <v>45837</v>
      </c>
      <c r="G60" s="162">
        <v>25018</v>
      </c>
      <c r="H60" s="162">
        <v>10004.209999999999</v>
      </c>
      <c r="I60" s="162">
        <v>92.172849999999997</v>
      </c>
      <c r="K60" s="127"/>
      <c r="R60" s="112"/>
      <c r="S60" s="112"/>
      <c r="T60" s="112"/>
    </row>
    <row r="61" spans="3:20">
      <c r="F61" s="140">
        <v>45838</v>
      </c>
      <c r="G61" s="162">
        <v>23333</v>
      </c>
      <c r="H61" s="162">
        <v>9206.098</v>
      </c>
      <c r="I61" s="162">
        <v>90.122010000000003</v>
      </c>
      <c r="K61" s="127"/>
    </row>
    <row r="62" spans="3:20">
      <c r="F62" s="152"/>
      <c r="G62" s="150"/>
      <c r="H62" s="150"/>
      <c r="I62" s="150"/>
    </row>
    <row r="63" spans="3:20">
      <c r="F63" s="153"/>
      <c r="G63" s="128"/>
    </row>
    <row r="64" spans="3:20">
      <c r="C64" s="210" t="s">
        <v>33</v>
      </c>
      <c r="D64" s="211"/>
      <c r="E64" s="211"/>
      <c r="F64" s="211"/>
      <c r="G64" s="211"/>
      <c r="H64" s="211"/>
      <c r="I64" s="211"/>
      <c r="J64" s="211"/>
      <c r="K64" s="211"/>
      <c r="L64" s="212"/>
    </row>
    <row r="65" spans="3:12" ht="15" customHeight="1">
      <c r="C65" s="200"/>
      <c r="D65" s="201"/>
      <c r="E65" s="201"/>
      <c r="F65" s="201"/>
      <c r="G65" s="201"/>
      <c r="H65" s="201"/>
      <c r="I65" s="201"/>
      <c r="J65" s="201"/>
      <c r="K65" s="201"/>
      <c r="L65" s="202"/>
    </row>
    <row r="66" spans="3:12">
      <c r="C66" s="203"/>
      <c r="D66" s="204"/>
      <c r="E66" s="204"/>
      <c r="F66" s="204"/>
      <c r="G66" s="204"/>
      <c r="H66" s="204"/>
      <c r="I66" s="204"/>
      <c r="J66" s="204"/>
      <c r="K66" s="204"/>
      <c r="L66" s="205"/>
    </row>
    <row r="67" spans="3:12">
      <c r="C67" s="206"/>
      <c r="D67" s="207"/>
      <c r="E67" s="207"/>
      <c r="F67" s="207"/>
      <c r="G67" s="207"/>
      <c r="H67" s="207"/>
      <c r="I67" s="207"/>
      <c r="J67" s="207"/>
      <c r="K67" s="207"/>
      <c r="L67" s="208"/>
    </row>
    <row r="69" spans="3:12">
      <c r="C69" s="214" t="s">
        <v>34</v>
      </c>
      <c r="D69" s="215"/>
      <c r="E69" s="215"/>
      <c r="F69" s="215"/>
      <c r="G69" s="215"/>
      <c r="H69" s="215"/>
      <c r="I69" s="215"/>
      <c r="J69" s="215"/>
      <c r="K69" s="215"/>
      <c r="L69" s="216"/>
    </row>
    <row r="70" spans="3:12" ht="14.85" customHeight="1">
      <c r="C70" s="200"/>
      <c r="D70" s="201"/>
      <c r="E70" s="201"/>
      <c r="F70" s="201"/>
      <c r="G70" s="201"/>
      <c r="H70" s="201"/>
      <c r="I70" s="201"/>
      <c r="J70" s="201"/>
      <c r="K70" s="201"/>
      <c r="L70" s="202"/>
    </row>
    <row r="71" spans="3:12">
      <c r="C71" s="203"/>
      <c r="D71" s="204"/>
      <c r="E71" s="204"/>
      <c r="F71" s="204"/>
      <c r="G71" s="204"/>
      <c r="H71" s="204"/>
      <c r="I71" s="204"/>
      <c r="J71" s="204"/>
      <c r="K71" s="204"/>
      <c r="L71" s="205"/>
    </row>
    <row r="72" spans="3:12">
      <c r="C72" s="206"/>
      <c r="D72" s="207"/>
      <c r="E72" s="207"/>
      <c r="F72" s="207"/>
      <c r="G72" s="207"/>
      <c r="H72" s="207"/>
      <c r="I72" s="207"/>
      <c r="J72" s="207"/>
      <c r="K72" s="207"/>
      <c r="L72" s="208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0:L72"/>
    <mergeCell ref="E14:I14"/>
    <mergeCell ref="C16:L16"/>
    <mergeCell ref="F30:I30"/>
    <mergeCell ref="C64:L64"/>
    <mergeCell ref="C65:L67"/>
    <mergeCell ref="C69:L69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0" zoomScaleNormal="100" workbookViewId="0">
      <selection activeCell="K43" sqref="K43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38</v>
      </c>
      <c r="D4" s="225"/>
      <c r="E4" s="226"/>
      <c r="G4" s="224" t="s">
        <v>39</v>
      </c>
      <c r="H4" s="225"/>
      <c r="I4" s="226"/>
    </row>
    <row r="5" spans="3:9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>
      <c r="C6" s="43" t="s">
        <v>40</v>
      </c>
      <c r="D6" s="46"/>
      <c r="E6" s="46"/>
      <c r="G6" s="43" t="s">
        <v>40</v>
      </c>
      <c r="H6" s="62">
        <v>0.99899000000000004</v>
      </c>
      <c r="I6" s="62">
        <v>0.99677000000000004</v>
      </c>
    </row>
    <row r="7" spans="3:9">
      <c r="C7" s="43" t="s">
        <v>41</v>
      </c>
      <c r="D7" s="46"/>
      <c r="E7" s="46"/>
      <c r="G7" s="43" t="s">
        <v>41</v>
      </c>
      <c r="H7" s="62">
        <v>0.99977000000000005</v>
      </c>
      <c r="I7" s="62">
        <v>0.96015000000000006</v>
      </c>
    </row>
    <row r="8" spans="3:9">
      <c r="C8" s="43" t="s">
        <v>42</v>
      </c>
      <c r="D8" s="46"/>
      <c r="E8" s="46"/>
      <c r="G8" s="43" t="s">
        <v>42</v>
      </c>
      <c r="H8" s="62">
        <v>0.99834999999999996</v>
      </c>
      <c r="I8" s="62">
        <v>0.99973000000000001</v>
      </c>
    </row>
    <row r="9" spans="3:9">
      <c r="C9" s="43" t="s">
        <v>43</v>
      </c>
      <c r="D9" s="46"/>
      <c r="E9" s="46"/>
      <c r="G9" s="43" t="s">
        <v>43</v>
      </c>
      <c r="H9" s="62">
        <v>1</v>
      </c>
      <c r="I9" s="62">
        <v>1</v>
      </c>
    </row>
    <row r="10" spans="3:9">
      <c r="C10" s="43" t="s">
        <v>44</v>
      </c>
      <c r="D10" s="46"/>
      <c r="E10" s="46"/>
      <c r="G10" s="43" t="s">
        <v>44</v>
      </c>
      <c r="H10" s="62">
        <v>1</v>
      </c>
      <c r="I10" s="62">
        <v>1</v>
      </c>
    </row>
    <row r="11" spans="3:9">
      <c r="C11" s="43" t="s">
        <v>45</v>
      </c>
      <c r="D11" s="46"/>
      <c r="E11" s="46"/>
      <c r="G11" s="43" t="s">
        <v>45</v>
      </c>
      <c r="H11" s="62">
        <v>1</v>
      </c>
      <c r="I11" s="62">
        <v>0.99909999999999999</v>
      </c>
    </row>
    <row r="12" spans="3:9">
      <c r="C12" s="43" t="s">
        <v>46</v>
      </c>
      <c r="D12" s="46">
        <v>0.98024</v>
      </c>
      <c r="E12" s="46">
        <v>1</v>
      </c>
      <c r="G12" s="43" t="s">
        <v>46</v>
      </c>
      <c r="H12" s="62">
        <v>1</v>
      </c>
      <c r="I12" s="62">
        <v>1</v>
      </c>
    </row>
    <row r="13" spans="3:9">
      <c r="C13" s="43" t="s">
        <v>47</v>
      </c>
      <c r="D13" s="46">
        <v>0.98093999999999992</v>
      </c>
      <c r="E13" s="46">
        <v>1</v>
      </c>
      <c r="G13" s="43" t="s">
        <v>47</v>
      </c>
      <c r="H13" s="90">
        <v>0.998</v>
      </c>
      <c r="I13" s="91">
        <v>1</v>
      </c>
    </row>
    <row r="14" spans="3:9">
      <c r="C14" s="43" t="s">
        <v>48</v>
      </c>
      <c r="D14" s="46">
        <v>0.97177999999999998</v>
      </c>
      <c r="E14" s="46">
        <v>1</v>
      </c>
      <c r="G14" s="43" t="s">
        <v>48</v>
      </c>
      <c r="H14" s="90">
        <v>1</v>
      </c>
      <c r="I14" s="91">
        <v>0.97929999999999995</v>
      </c>
    </row>
    <row r="15" spans="3:9">
      <c r="C15" s="43" t="s">
        <v>49</v>
      </c>
      <c r="D15" s="46">
        <v>0.99820999999999993</v>
      </c>
      <c r="E15" s="46">
        <v>0.99462000000000006</v>
      </c>
      <c r="G15" s="43" t="s">
        <v>49</v>
      </c>
      <c r="H15" s="62">
        <v>1</v>
      </c>
      <c r="I15" s="62">
        <v>1</v>
      </c>
    </row>
    <row r="16" spans="3:9">
      <c r="C16" s="43" t="s">
        <v>50</v>
      </c>
      <c r="D16" s="46">
        <v>1</v>
      </c>
      <c r="E16" s="46">
        <v>1</v>
      </c>
      <c r="G16" s="43" t="s">
        <v>50</v>
      </c>
      <c r="H16" s="62">
        <v>1</v>
      </c>
      <c r="I16" s="46">
        <v>0.98499999999999999</v>
      </c>
    </row>
    <row r="17" spans="3:12">
      <c r="C17" s="43" t="s">
        <v>51</v>
      </c>
      <c r="D17" s="46">
        <v>1</v>
      </c>
      <c r="E17" s="46">
        <v>0.99820999999999993</v>
      </c>
      <c r="G17" s="43" t="s">
        <v>51</v>
      </c>
      <c r="H17" s="46">
        <v>0.98167000000000004</v>
      </c>
      <c r="I17" s="46">
        <v>1</v>
      </c>
    </row>
    <row r="18" spans="3:12">
      <c r="C18" s="56" t="s">
        <v>52</v>
      </c>
      <c r="D18" s="52">
        <f>AVERAGE(D6:D17)</f>
        <v>0.98852833333333334</v>
      </c>
      <c r="E18" s="52">
        <f>AVERAGE(E6:E17)</f>
        <v>0.99880500000000005</v>
      </c>
      <c r="G18" s="56" t="s">
        <v>52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53</v>
      </c>
      <c r="D20" s="225"/>
      <c r="E20" s="226"/>
      <c r="G20" s="221" t="s">
        <v>54</v>
      </c>
      <c r="H20" s="227"/>
      <c r="I20" s="222"/>
      <c r="K20" s="221" t="s">
        <v>54</v>
      </c>
      <c r="L20" s="222"/>
    </row>
    <row r="21" spans="3:12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>
      <c r="C22" s="43" t="s">
        <v>40</v>
      </c>
      <c r="D22" s="62">
        <v>1</v>
      </c>
      <c r="E22" s="62">
        <v>1</v>
      </c>
      <c r="G22" s="43" t="s">
        <v>40</v>
      </c>
      <c r="H22" s="62">
        <v>1</v>
      </c>
      <c r="I22" s="62">
        <v>0.99860000000000004</v>
      </c>
      <c r="K22" s="43" t="s">
        <v>40</v>
      </c>
      <c r="L22" s="62">
        <v>0.9647</v>
      </c>
    </row>
    <row r="23" spans="3:12">
      <c r="C23" s="43" t="s">
        <v>41</v>
      </c>
      <c r="D23" s="62">
        <v>1</v>
      </c>
      <c r="E23" s="62">
        <v>0.99867000000000006</v>
      </c>
      <c r="G23" s="43" t="s">
        <v>41</v>
      </c>
      <c r="H23" s="62">
        <v>1</v>
      </c>
      <c r="I23" s="62">
        <v>0.99960000000000004</v>
      </c>
      <c r="K23" s="43" t="s">
        <v>41</v>
      </c>
      <c r="L23" s="62">
        <v>0.82140000000000002</v>
      </c>
    </row>
    <row r="24" spans="3:12">
      <c r="C24" s="43" t="s">
        <v>42</v>
      </c>
      <c r="D24" s="62">
        <v>1</v>
      </c>
      <c r="E24" s="62">
        <v>1</v>
      </c>
      <c r="G24" s="43" t="s">
        <v>42</v>
      </c>
      <c r="H24" s="62">
        <v>1</v>
      </c>
      <c r="I24" s="62">
        <v>1</v>
      </c>
      <c r="K24" s="43" t="s">
        <v>42</v>
      </c>
      <c r="L24" s="62">
        <v>1</v>
      </c>
    </row>
    <row r="25" spans="3:12">
      <c r="C25" s="43" t="s">
        <v>43</v>
      </c>
      <c r="D25" s="62">
        <v>1</v>
      </c>
      <c r="E25" s="62">
        <v>1</v>
      </c>
      <c r="G25" s="43" t="s">
        <v>43</v>
      </c>
      <c r="H25" s="62">
        <v>1</v>
      </c>
      <c r="I25" s="62">
        <v>1</v>
      </c>
      <c r="K25" s="43" t="s">
        <v>43</v>
      </c>
      <c r="L25" s="62">
        <v>1</v>
      </c>
    </row>
    <row r="26" spans="3:12">
      <c r="C26" s="43" t="s">
        <v>44</v>
      </c>
      <c r="D26" s="62">
        <v>0.99953999999999998</v>
      </c>
      <c r="E26" s="62">
        <v>0.99919000000000002</v>
      </c>
      <c r="G26" s="43" t="s">
        <v>44</v>
      </c>
      <c r="H26" s="62">
        <v>1</v>
      </c>
      <c r="I26" s="62">
        <v>1</v>
      </c>
      <c r="K26" s="43" t="s">
        <v>44</v>
      </c>
      <c r="L26" s="62">
        <v>1</v>
      </c>
    </row>
    <row r="27" spans="3:12">
      <c r="C27" s="43" t="s">
        <v>45</v>
      </c>
      <c r="D27" s="62">
        <v>1</v>
      </c>
      <c r="E27" s="62">
        <v>1</v>
      </c>
      <c r="G27" s="43" t="s">
        <v>45</v>
      </c>
      <c r="H27" s="62">
        <v>1</v>
      </c>
      <c r="I27" s="62">
        <v>0.88139999999999996</v>
      </c>
      <c r="K27" s="43" t="s">
        <v>45</v>
      </c>
      <c r="L27" s="136">
        <v>1</v>
      </c>
    </row>
    <row r="28" spans="3:12">
      <c r="C28" s="43" t="s">
        <v>46</v>
      </c>
      <c r="D28" s="62">
        <v>1</v>
      </c>
      <c r="E28" s="62">
        <v>1</v>
      </c>
      <c r="G28" s="43" t="s">
        <v>46</v>
      </c>
      <c r="H28" s="62">
        <v>0.99544999999999995</v>
      </c>
      <c r="I28" s="62">
        <v>1</v>
      </c>
      <c r="K28" s="43" t="s">
        <v>46</v>
      </c>
      <c r="L28" s="136">
        <v>1</v>
      </c>
    </row>
    <row r="29" spans="3:12">
      <c r="C29" s="43" t="s">
        <v>47</v>
      </c>
      <c r="D29" s="62">
        <v>1</v>
      </c>
      <c r="E29" s="62">
        <v>0.99942999999999993</v>
      </c>
      <c r="G29" s="43" t="s">
        <v>47</v>
      </c>
      <c r="H29" s="62">
        <v>1</v>
      </c>
      <c r="I29" s="62">
        <v>1</v>
      </c>
      <c r="K29" s="43" t="s">
        <v>47</v>
      </c>
      <c r="L29" s="62">
        <v>0.98</v>
      </c>
    </row>
    <row r="30" spans="3:12">
      <c r="C30" s="43" t="s">
        <v>48</v>
      </c>
      <c r="D30" s="62">
        <v>1</v>
      </c>
      <c r="E30" s="62">
        <v>1</v>
      </c>
      <c r="G30" s="43" t="s">
        <v>48</v>
      </c>
      <c r="H30" s="62">
        <v>1</v>
      </c>
      <c r="I30" s="62">
        <v>1</v>
      </c>
      <c r="K30" s="43" t="s">
        <v>48</v>
      </c>
      <c r="L30" s="62">
        <v>1</v>
      </c>
    </row>
    <row r="31" spans="3:12">
      <c r="C31" s="43" t="s">
        <v>49</v>
      </c>
      <c r="D31" s="46">
        <v>1</v>
      </c>
      <c r="E31" s="46">
        <v>0.99968000000000001</v>
      </c>
      <c r="G31" s="43" t="s">
        <v>49</v>
      </c>
      <c r="H31" s="62">
        <v>0.99950000000000006</v>
      </c>
      <c r="I31" s="62">
        <v>1</v>
      </c>
      <c r="K31" s="43" t="s">
        <v>49</v>
      </c>
      <c r="L31" s="62">
        <v>1</v>
      </c>
    </row>
    <row r="32" spans="3:12">
      <c r="C32" s="43" t="s">
        <v>50</v>
      </c>
      <c r="D32" s="46">
        <v>1</v>
      </c>
      <c r="E32" s="46">
        <v>0.99951999999999996</v>
      </c>
      <c r="G32" s="43" t="s">
        <v>50</v>
      </c>
      <c r="H32" s="62">
        <v>1</v>
      </c>
      <c r="I32" s="46" t="s">
        <v>55</v>
      </c>
      <c r="K32" s="43" t="s">
        <v>50</v>
      </c>
      <c r="L32" s="142">
        <v>0.96</v>
      </c>
    </row>
    <row r="33" spans="3:12">
      <c r="C33" s="43" t="s">
        <v>51</v>
      </c>
      <c r="D33" s="46">
        <v>1</v>
      </c>
      <c r="E33" s="46">
        <v>1</v>
      </c>
      <c r="G33" s="43" t="s">
        <v>51</v>
      </c>
      <c r="H33" s="46">
        <v>1</v>
      </c>
      <c r="I33" s="46">
        <v>1</v>
      </c>
      <c r="K33" s="43" t="s">
        <v>51</v>
      </c>
      <c r="L33" s="46">
        <v>1</v>
      </c>
    </row>
    <row r="34" spans="3:12">
      <c r="C34" s="56" t="s">
        <v>52</v>
      </c>
      <c r="D34" s="52">
        <f>AVERAGE(D22:D33)</f>
        <v>0.99996166666666664</v>
      </c>
      <c r="E34" s="52">
        <f>AVERAGE(E22:E33)</f>
        <v>0.99970749999999997</v>
      </c>
      <c r="G34" s="56" t="s">
        <v>52</v>
      </c>
      <c r="H34" s="52">
        <f>AVERAGE(H22:H33)</f>
        <v>0.99957916666666657</v>
      </c>
      <c r="I34" s="52">
        <f>AVERAGE(I22:I33)</f>
        <v>0.98905454545454541</v>
      </c>
      <c r="K34" s="56" t="s">
        <v>52</v>
      </c>
      <c r="L34" s="52">
        <f>AVERAGE(L22:L33)</f>
        <v>0.9771749999999999</v>
      </c>
    </row>
    <row r="36" spans="3:12">
      <c r="C36" s="223" t="s">
        <v>56</v>
      </c>
      <c r="D36" s="223"/>
      <c r="E36" s="223"/>
      <c r="F36" s="223"/>
      <c r="H36" s="223" t="s">
        <v>57</v>
      </c>
      <c r="I36" s="223"/>
      <c r="J36" s="223"/>
      <c r="K36" s="223"/>
    </row>
    <row r="37" spans="3:12">
      <c r="C37" s="1"/>
      <c r="D37" s="42" t="s">
        <v>35</v>
      </c>
      <c r="E37" s="42" t="s">
        <v>22</v>
      </c>
      <c r="F37" s="42" t="s">
        <v>36</v>
      </c>
      <c r="H37" s="1"/>
      <c r="I37" s="42" t="s">
        <v>35</v>
      </c>
      <c r="J37" s="42" t="s">
        <v>22</v>
      </c>
      <c r="K37" s="42" t="s">
        <v>36</v>
      </c>
    </row>
    <row r="38" spans="3:12">
      <c r="C38" s="43" t="s">
        <v>40</v>
      </c>
      <c r="D38" s="62">
        <v>1</v>
      </c>
      <c r="E38" s="62">
        <v>0.98660000000000003</v>
      </c>
      <c r="F38" s="62">
        <v>1</v>
      </c>
      <c r="H38" s="43" t="s">
        <v>40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41</v>
      </c>
      <c r="D39" s="62">
        <v>0.99970000000000003</v>
      </c>
      <c r="E39" s="62">
        <v>1</v>
      </c>
      <c r="F39" s="62">
        <v>0.99809999999999999</v>
      </c>
      <c r="H39" s="43" t="s">
        <v>41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42</v>
      </c>
      <c r="D40" s="62">
        <v>1</v>
      </c>
      <c r="E40" s="62">
        <v>1</v>
      </c>
      <c r="F40" s="62">
        <v>0.99750000000000005</v>
      </c>
      <c r="H40" s="43" t="s">
        <v>42</v>
      </c>
      <c r="I40" s="62">
        <v>1</v>
      </c>
      <c r="J40" s="62">
        <v>1</v>
      </c>
      <c r="K40" s="62">
        <v>1</v>
      </c>
    </row>
    <row r="41" spans="3:12">
      <c r="C41" s="43" t="s">
        <v>43</v>
      </c>
      <c r="D41" s="62">
        <v>1</v>
      </c>
      <c r="E41" s="62">
        <v>1</v>
      </c>
      <c r="F41" s="62">
        <v>1</v>
      </c>
      <c r="H41" s="43" t="s">
        <v>43</v>
      </c>
      <c r="I41" s="62">
        <v>1</v>
      </c>
      <c r="J41" s="62">
        <v>1</v>
      </c>
      <c r="K41" s="62">
        <v>1</v>
      </c>
    </row>
    <row r="42" spans="3:12">
      <c r="C42" s="43" t="s">
        <v>44</v>
      </c>
      <c r="D42" s="62">
        <v>1</v>
      </c>
      <c r="E42" s="62">
        <v>1</v>
      </c>
      <c r="F42" s="62">
        <v>1</v>
      </c>
      <c r="H42" s="43" t="s">
        <v>44</v>
      </c>
      <c r="I42" s="62">
        <v>1</v>
      </c>
      <c r="J42" s="62">
        <v>1</v>
      </c>
      <c r="K42" s="62">
        <v>1</v>
      </c>
    </row>
    <row r="43" spans="3:12">
      <c r="C43" s="43" t="s">
        <v>45</v>
      </c>
      <c r="D43" s="62">
        <v>1</v>
      </c>
      <c r="E43" s="62">
        <v>1</v>
      </c>
      <c r="F43" s="62">
        <v>1</v>
      </c>
      <c r="H43" s="43" t="s">
        <v>45</v>
      </c>
      <c r="I43" s="62">
        <v>1</v>
      </c>
      <c r="J43" s="62">
        <v>1</v>
      </c>
      <c r="K43" s="62">
        <v>1</v>
      </c>
    </row>
    <row r="44" spans="3:12">
      <c r="C44" s="43" t="s">
        <v>46</v>
      </c>
      <c r="D44" s="62">
        <v>1</v>
      </c>
      <c r="E44" s="149">
        <v>1</v>
      </c>
      <c r="F44" s="62">
        <v>1</v>
      </c>
      <c r="H44" s="43" t="s">
        <v>46</v>
      </c>
      <c r="I44" s="62"/>
      <c r="J44" s="149"/>
      <c r="K44" s="62"/>
    </row>
    <row r="45" spans="3:12">
      <c r="C45" s="43" t="s">
        <v>47</v>
      </c>
      <c r="D45" s="62">
        <v>0.98780000000000001</v>
      </c>
      <c r="E45" s="149">
        <v>1</v>
      </c>
      <c r="F45" s="62">
        <v>1</v>
      </c>
      <c r="H45" s="43" t="s">
        <v>47</v>
      </c>
      <c r="I45" s="62"/>
      <c r="J45" s="149"/>
      <c r="K45" s="62"/>
    </row>
    <row r="46" spans="3:12">
      <c r="C46" s="43" t="s">
        <v>48</v>
      </c>
      <c r="D46" s="62">
        <v>1</v>
      </c>
      <c r="E46" s="149">
        <v>1</v>
      </c>
      <c r="F46" s="62">
        <v>1</v>
      </c>
      <c r="H46" s="43" t="s">
        <v>48</v>
      </c>
      <c r="I46" s="62"/>
      <c r="J46" s="149"/>
      <c r="K46" s="62"/>
    </row>
    <row r="47" spans="3:12">
      <c r="C47" s="43" t="s">
        <v>49</v>
      </c>
      <c r="D47" s="62">
        <v>1</v>
      </c>
      <c r="E47" s="62">
        <v>1</v>
      </c>
      <c r="F47" s="62">
        <v>0.97189999999999999</v>
      </c>
      <c r="H47" s="43" t="s">
        <v>49</v>
      </c>
      <c r="I47" s="62"/>
      <c r="J47" s="62"/>
      <c r="K47" s="62"/>
    </row>
    <row r="48" spans="3:12">
      <c r="C48" s="43" t="s">
        <v>50</v>
      </c>
      <c r="D48" s="62">
        <v>1</v>
      </c>
      <c r="E48" s="46">
        <v>1</v>
      </c>
      <c r="F48" s="62">
        <v>0.99109999999999998</v>
      </c>
      <c r="H48" s="43" t="s">
        <v>50</v>
      </c>
      <c r="I48" s="62"/>
      <c r="J48" s="46"/>
      <c r="K48" s="62"/>
    </row>
    <row r="49" spans="3:11">
      <c r="C49" s="43" t="s">
        <v>51</v>
      </c>
      <c r="D49" s="46">
        <v>0.99750000000000005</v>
      </c>
      <c r="E49" s="46">
        <v>1</v>
      </c>
      <c r="F49" s="46">
        <v>1</v>
      </c>
      <c r="H49" s="43" t="s">
        <v>51</v>
      </c>
      <c r="I49" s="46"/>
      <c r="J49" s="46"/>
      <c r="K49" s="46"/>
    </row>
    <row r="50" spans="3:11">
      <c r="C50" s="56" t="s">
        <v>52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52</v>
      </c>
      <c r="I50" s="52">
        <f>AVERAGE(I38:I49)</f>
        <v>0.99898333333333333</v>
      </c>
      <c r="J50" s="52">
        <f>AVERAGE(J38:J49)</f>
        <v>0.9966666666666667</v>
      </c>
      <c r="K50" s="52">
        <f>AVERAGE(K38:K49)</f>
        <v>0.99904999999999999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84" zoomScaleNormal="100" workbookViewId="0">
      <selection activeCell="K102" sqref="K102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58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6">
      <c r="C5" s="42"/>
      <c r="D5" s="236" t="s">
        <v>35</v>
      </c>
      <c r="E5" s="237"/>
      <c r="F5" s="238"/>
      <c r="G5" s="236" t="s">
        <v>22</v>
      </c>
      <c r="H5" s="237"/>
      <c r="I5" s="238"/>
      <c r="J5" s="231" t="s">
        <v>59</v>
      </c>
      <c r="K5" s="232"/>
      <c r="L5" s="233"/>
    </row>
    <row r="6" spans="3:12">
      <c r="C6" s="42"/>
      <c r="D6" s="42" t="s">
        <v>60</v>
      </c>
      <c r="E6" s="42" t="s">
        <v>61</v>
      </c>
      <c r="F6" s="42" t="s">
        <v>62</v>
      </c>
      <c r="G6" s="42" t="s">
        <v>60</v>
      </c>
      <c r="H6" s="42" t="s">
        <v>61</v>
      </c>
      <c r="I6" s="42" t="s">
        <v>62</v>
      </c>
      <c r="J6" s="49" t="s">
        <v>60</v>
      </c>
      <c r="K6" s="49" t="s">
        <v>61</v>
      </c>
      <c r="L6" s="49" t="s">
        <v>62</v>
      </c>
    </row>
    <row r="7" spans="3:12">
      <c r="C7" s="47" t="s">
        <v>40</v>
      </c>
      <c r="D7" s="86" t="s">
        <v>63</v>
      </c>
      <c r="E7" s="86" t="s">
        <v>63</v>
      </c>
      <c r="F7" s="86" t="s">
        <v>63</v>
      </c>
      <c r="G7" s="86" t="s">
        <v>63</v>
      </c>
      <c r="H7" s="86" t="s">
        <v>63</v>
      </c>
      <c r="I7" s="86" t="s">
        <v>63</v>
      </c>
      <c r="J7" s="86" t="s">
        <v>63</v>
      </c>
      <c r="K7" s="86" t="s">
        <v>63</v>
      </c>
      <c r="L7" s="86" t="s">
        <v>63</v>
      </c>
    </row>
    <row r="8" spans="3:12">
      <c r="C8" s="47" t="s">
        <v>41</v>
      </c>
      <c r="D8" s="86" t="s">
        <v>63</v>
      </c>
      <c r="E8" s="86" t="s">
        <v>63</v>
      </c>
      <c r="F8" s="86" t="s">
        <v>63</v>
      </c>
      <c r="G8" s="86" t="s">
        <v>63</v>
      </c>
      <c r="H8" s="86" t="s">
        <v>63</v>
      </c>
      <c r="I8" s="86" t="s">
        <v>63</v>
      </c>
      <c r="J8" s="86" t="s">
        <v>63</v>
      </c>
      <c r="K8" s="86" t="s">
        <v>63</v>
      </c>
      <c r="L8" s="86" t="s">
        <v>63</v>
      </c>
    </row>
    <row r="9" spans="3:12">
      <c r="C9" s="47" t="s">
        <v>42</v>
      </c>
      <c r="D9" s="86" t="s">
        <v>63</v>
      </c>
      <c r="E9" s="86" t="s">
        <v>63</v>
      </c>
      <c r="F9" s="86" t="s">
        <v>63</v>
      </c>
      <c r="G9" s="86" t="s">
        <v>63</v>
      </c>
      <c r="H9" s="86" t="s">
        <v>63</v>
      </c>
      <c r="I9" s="86" t="s">
        <v>63</v>
      </c>
      <c r="J9" s="86" t="s">
        <v>63</v>
      </c>
      <c r="K9" s="86" t="s">
        <v>63</v>
      </c>
      <c r="L9" s="86" t="s">
        <v>63</v>
      </c>
    </row>
    <row r="10" spans="3:12">
      <c r="C10" s="47" t="s">
        <v>43</v>
      </c>
      <c r="D10" s="86" t="s">
        <v>63</v>
      </c>
      <c r="E10" s="86" t="s">
        <v>63</v>
      </c>
      <c r="F10" s="86" t="s">
        <v>63</v>
      </c>
      <c r="G10" s="86" t="s">
        <v>63</v>
      </c>
      <c r="H10" s="86" t="s">
        <v>63</v>
      </c>
      <c r="I10" s="86" t="s">
        <v>63</v>
      </c>
      <c r="J10" s="86" t="s">
        <v>63</v>
      </c>
      <c r="K10" s="86" t="s">
        <v>63</v>
      </c>
      <c r="L10" s="86" t="s">
        <v>63</v>
      </c>
    </row>
    <row r="11" spans="3:12">
      <c r="C11" s="47" t="s">
        <v>44</v>
      </c>
      <c r="D11" s="86" t="s">
        <v>63</v>
      </c>
      <c r="E11" s="86" t="s">
        <v>63</v>
      </c>
      <c r="F11" s="86" t="s">
        <v>63</v>
      </c>
      <c r="G11" s="86" t="s">
        <v>63</v>
      </c>
      <c r="H11" s="86" t="s">
        <v>63</v>
      </c>
      <c r="I11" s="86" t="s">
        <v>63</v>
      </c>
      <c r="J11" s="86" t="s">
        <v>63</v>
      </c>
      <c r="K11" s="86" t="s">
        <v>63</v>
      </c>
      <c r="L11" s="86" t="s">
        <v>63</v>
      </c>
    </row>
    <row r="12" spans="3:12">
      <c r="C12" s="47" t="s">
        <v>45</v>
      </c>
      <c r="D12" s="86" t="s">
        <v>63</v>
      </c>
      <c r="E12" s="86" t="s">
        <v>63</v>
      </c>
      <c r="F12" s="86" t="s">
        <v>63</v>
      </c>
      <c r="G12" s="86" t="s">
        <v>63</v>
      </c>
      <c r="H12" s="86" t="s">
        <v>63</v>
      </c>
      <c r="I12" s="86" t="s">
        <v>63</v>
      </c>
      <c r="J12" s="86" t="s">
        <v>63</v>
      </c>
      <c r="K12" s="86" t="s">
        <v>63</v>
      </c>
      <c r="L12" s="86" t="s">
        <v>63</v>
      </c>
    </row>
    <row r="13" spans="3:12">
      <c r="C13" s="47" t="s">
        <v>46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47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63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48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63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49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50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51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64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65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6">
      <c r="C23" s="42"/>
      <c r="D23" s="236" t="s">
        <v>35</v>
      </c>
      <c r="E23" s="237"/>
      <c r="F23" s="238"/>
      <c r="G23" s="236" t="s">
        <v>22</v>
      </c>
      <c r="H23" s="237"/>
      <c r="I23" s="238"/>
      <c r="J23" s="231" t="s">
        <v>59</v>
      </c>
      <c r="K23" s="232"/>
      <c r="L23" s="233"/>
    </row>
    <row r="24" spans="3:12">
      <c r="C24" s="42"/>
      <c r="D24" s="42" t="s">
        <v>60</v>
      </c>
      <c r="E24" s="42" t="s">
        <v>61</v>
      </c>
      <c r="F24" s="42" t="s">
        <v>62</v>
      </c>
      <c r="G24" s="42" t="s">
        <v>60</v>
      </c>
      <c r="H24" s="42" t="s">
        <v>61</v>
      </c>
      <c r="I24" s="42" t="s">
        <v>62</v>
      </c>
      <c r="J24" s="49" t="s">
        <v>60</v>
      </c>
      <c r="K24" s="49" t="s">
        <v>61</v>
      </c>
      <c r="L24" s="49" t="s">
        <v>62</v>
      </c>
    </row>
    <row r="25" spans="3:12">
      <c r="C25" s="47" t="s">
        <v>40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41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42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43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44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45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46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47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48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49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50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51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64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66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6">
      <c r="C41" s="42"/>
      <c r="D41" s="236" t="s">
        <v>35</v>
      </c>
      <c r="E41" s="237"/>
      <c r="F41" s="238"/>
      <c r="G41" s="236" t="s">
        <v>22</v>
      </c>
      <c r="H41" s="237"/>
      <c r="I41" s="238"/>
      <c r="J41" s="231" t="s">
        <v>59</v>
      </c>
      <c r="K41" s="232"/>
      <c r="L41" s="233"/>
    </row>
    <row r="42" spans="3:43">
      <c r="C42" s="42"/>
      <c r="D42" s="42" t="s">
        <v>60</v>
      </c>
      <c r="E42" s="42" t="s">
        <v>61</v>
      </c>
      <c r="F42" s="42" t="s">
        <v>62</v>
      </c>
      <c r="G42" s="42" t="s">
        <v>60</v>
      </c>
      <c r="H42" s="42" t="s">
        <v>61</v>
      </c>
      <c r="I42" s="42" t="s">
        <v>62</v>
      </c>
      <c r="J42" s="49" t="s">
        <v>60</v>
      </c>
      <c r="K42" s="49" t="s">
        <v>61</v>
      </c>
      <c r="L42" s="49" t="s">
        <v>62</v>
      </c>
    </row>
    <row r="43" spans="3:43">
      <c r="C43" s="47" t="s">
        <v>40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41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42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43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44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45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46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4"/>
      <c r="AO49" s="234"/>
      <c r="AP49" s="234"/>
      <c r="AQ49" s="234"/>
    </row>
    <row r="50" spans="3:43" ht="15.6">
      <c r="C50" s="47" t="s">
        <v>47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5"/>
      <c r="AP50" s="235"/>
      <c r="AQ50" s="235"/>
    </row>
    <row r="51" spans="3:43">
      <c r="C51" s="47" t="s">
        <v>48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49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50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51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64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67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31" t="s">
        <v>35</v>
      </c>
      <c r="E59" s="232"/>
      <c r="F59" s="233"/>
      <c r="G59" s="231" t="s">
        <v>22</v>
      </c>
      <c r="H59" s="232"/>
      <c r="I59" s="233"/>
      <c r="J59" s="231" t="s">
        <v>36</v>
      </c>
      <c r="K59" s="232"/>
      <c r="L59" s="233"/>
      <c r="M59" s="231" t="s">
        <v>59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60</v>
      </c>
      <c r="E60" s="42" t="s">
        <v>61</v>
      </c>
      <c r="F60" s="42" t="s">
        <v>62</v>
      </c>
      <c r="G60" s="42" t="s">
        <v>60</v>
      </c>
      <c r="H60" s="42" t="s">
        <v>61</v>
      </c>
      <c r="I60" s="42" t="s">
        <v>62</v>
      </c>
      <c r="J60" s="42" t="s">
        <v>60</v>
      </c>
      <c r="K60" s="42" t="s">
        <v>61</v>
      </c>
      <c r="L60" s="42" t="s">
        <v>62</v>
      </c>
      <c r="M60" s="49" t="s">
        <v>60</v>
      </c>
      <c r="N60" s="49" t="s">
        <v>61</v>
      </c>
      <c r="O60" s="49" t="s">
        <v>62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40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41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42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43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44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45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46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47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48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49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50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51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64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68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6">
      <c r="C77" s="42"/>
      <c r="D77" s="231" t="s">
        <v>35</v>
      </c>
      <c r="E77" s="232"/>
      <c r="F77" s="233"/>
      <c r="G77" s="231" t="s">
        <v>22</v>
      </c>
      <c r="H77" s="232"/>
      <c r="I77" s="233"/>
      <c r="J77" s="231" t="s">
        <v>36</v>
      </c>
      <c r="K77" s="232"/>
      <c r="L77" s="233"/>
      <c r="M77" s="231" t="s">
        <v>59</v>
      </c>
      <c r="N77" s="232"/>
      <c r="O77" s="233"/>
    </row>
    <row r="78" spans="3:43">
      <c r="C78" s="42"/>
      <c r="D78" s="42" t="s">
        <v>60</v>
      </c>
      <c r="E78" s="42" t="s">
        <v>61</v>
      </c>
      <c r="F78" s="42" t="s">
        <v>62</v>
      </c>
      <c r="G78" s="42" t="s">
        <v>60</v>
      </c>
      <c r="H78" s="42" t="s">
        <v>61</v>
      </c>
      <c r="I78" s="42" t="s">
        <v>62</v>
      </c>
      <c r="J78" s="42" t="s">
        <v>60</v>
      </c>
      <c r="K78" s="42" t="s">
        <v>61</v>
      </c>
      <c r="L78" s="42" t="s">
        <v>62</v>
      </c>
      <c r="M78" s="49" t="s">
        <v>60</v>
      </c>
      <c r="N78" s="49" t="s">
        <v>61</v>
      </c>
      <c r="O78" s="49" t="s">
        <v>62</v>
      </c>
    </row>
    <row r="79" spans="3:43">
      <c r="C79" s="47" t="s">
        <v>40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41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42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69</v>
      </c>
    </row>
    <row r="82" spans="3:16">
      <c r="C82" s="47" t="s">
        <v>43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44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45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46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47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48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49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50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51</v>
      </c>
      <c r="D90" s="86">
        <f>Smithfield!J6</f>
        <v>493050</v>
      </c>
      <c r="E90" s="86">
        <v>200509</v>
      </c>
      <c r="F90" s="46">
        <f t="shared" si="29"/>
        <v>2.4589918657017891</v>
      </c>
      <c r="G90" s="86">
        <f>Merrimack!J6</f>
        <v>363249.59574468061</v>
      </c>
      <c r="H90" s="86">
        <v>186514</v>
      </c>
      <c r="I90" s="46">
        <f>G90/H90</f>
        <v>1.9475728135404347</v>
      </c>
      <c r="J90" s="86">
        <f>Westlake!J6</f>
        <v>575204</v>
      </c>
      <c r="K90" s="86">
        <v>250803</v>
      </c>
      <c r="L90" s="46">
        <f t="shared" si="31"/>
        <v>2.2934494403974433</v>
      </c>
      <c r="M90" s="50">
        <f t="shared" si="35"/>
        <v>1431503.5957446806</v>
      </c>
      <c r="N90" s="50">
        <f t="shared" si="34"/>
        <v>637826</v>
      </c>
      <c r="O90" s="51">
        <f t="shared" si="32"/>
        <v>2.2443481384338058</v>
      </c>
    </row>
    <row r="91" spans="3:16">
      <c r="C91" s="49" t="s">
        <v>64</v>
      </c>
      <c r="D91" s="53">
        <f>SUM(D79:D90)</f>
        <v>4757225.7</v>
      </c>
      <c r="E91" s="53">
        <f>SUM(E79:E90)</f>
        <v>4199996.8692999994</v>
      </c>
      <c r="F91" s="55">
        <f>D91/E91</f>
        <v>1.1326736300146034</v>
      </c>
      <c r="G91" s="53">
        <f>SUM(G79:G90)</f>
        <v>3722781.9407446804</v>
      </c>
      <c r="H91" s="53">
        <f>SUM(H79:H90)</f>
        <v>3528167.0586000006</v>
      </c>
      <c r="I91" s="55">
        <f t="shared" ref="I91" si="36">G91/H91</f>
        <v>1.0551603364898214</v>
      </c>
      <c r="J91" s="53">
        <f>SUM(J79:J90)</f>
        <v>5714342.0000000009</v>
      </c>
      <c r="K91" s="53">
        <f>SUM(K79:K90)</f>
        <v>5141104.1964999996</v>
      </c>
      <c r="L91" s="55">
        <f>J91/K91</f>
        <v>1.1115009113976437</v>
      </c>
      <c r="M91" s="54">
        <f t="shared" si="35"/>
        <v>14194349.640744682</v>
      </c>
      <c r="N91" s="54">
        <f t="shared" si="34"/>
        <v>12869268.124399999</v>
      </c>
      <c r="O91" s="55">
        <f t="shared" ref="O91" si="37">M91/N91</f>
        <v>1.1029647920562275</v>
      </c>
    </row>
    <row r="94" spans="3:16">
      <c r="C94" s="228" t="s">
        <v>68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6">
      <c r="C95" s="42"/>
      <c r="D95" s="231" t="s">
        <v>35</v>
      </c>
      <c r="E95" s="232"/>
      <c r="F95" s="233"/>
      <c r="G95" s="231" t="s">
        <v>22</v>
      </c>
      <c r="H95" s="232"/>
      <c r="I95" s="233"/>
      <c r="J95" s="231" t="s">
        <v>36</v>
      </c>
      <c r="K95" s="232"/>
      <c r="L95" s="233"/>
      <c r="M95" s="231" t="s">
        <v>59</v>
      </c>
      <c r="N95" s="232"/>
      <c r="O95" s="233"/>
    </row>
    <row r="96" spans="3:16">
      <c r="C96" s="42"/>
      <c r="D96" s="42" t="s">
        <v>60</v>
      </c>
      <c r="E96" s="42" t="s">
        <v>61</v>
      </c>
      <c r="F96" s="42" t="s">
        <v>62</v>
      </c>
      <c r="G96" s="42" t="s">
        <v>60</v>
      </c>
      <c r="H96" s="42" t="s">
        <v>61</v>
      </c>
      <c r="I96" s="42" t="s">
        <v>62</v>
      </c>
      <c r="J96" s="42" t="s">
        <v>60</v>
      </c>
      <c r="K96" s="42" t="s">
        <v>61</v>
      </c>
      <c r="L96" s="42" t="s">
        <v>62</v>
      </c>
      <c r="M96" s="49" t="s">
        <v>60</v>
      </c>
      <c r="N96" s="49" t="s">
        <v>61</v>
      </c>
      <c r="O96" s="49" t="s">
        <v>62</v>
      </c>
    </row>
    <row r="97" spans="3:15">
      <c r="C97" s="47" t="s">
        <v>40</v>
      </c>
      <c r="D97" s="48">
        <v>194299.75</v>
      </c>
      <c r="E97" s="48">
        <v>261206.57600000006</v>
      </c>
      <c r="F97" s="46">
        <f t="shared" ref="F97:F102" si="38">D97/E97</f>
        <v>0.74385474123744866</v>
      </c>
      <c r="G97" s="48">
        <v>152720.45000000001</v>
      </c>
      <c r="H97" s="48">
        <v>225291.31930000006</v>
      </c>
      <c r="I97" s="46">
        <f t="shared" ref="I97:I102" si="39">G97/H97</f>
        <v>0.67787986893820795</v>
      </c>
      <c r="J97" s="48">
        <v>359558</v>
      </c>
      <c r="K97" s="48">
        <v>330650.56599999988</v>
      </c>
      <c r="L97" s="46">
        <f t="shared" ref="L97:L102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41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2" si="42">SUM(D98,G98,J98)</f>
        <v>704570.5</v>
      </c>
      <c r="N98" s="50">
        <f t="shared" ref="N98:N102" si="43">SUM(E98,H98,K98)</f>
        <v>814511.79449999984</v>
      </c>
      <c r="O98" s="51">
        <f t="shared" si="41"/>
        <v>0.86502185082845984</v>
      </c>
    </row>
    <row r="99" spans="3:15">
      <c r="C99" s="93" t="s">
        <v>42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>
      <c r="C100" s="47" t="s">
        <v>43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>
      <c r="C101" s="47" t="s">
        <v>44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>
      <c r="C102" s="47" t="s">
        <v>45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>
      <c r="C103" s="47" t="s">
        <v>46</v>
      </c>
      <c r="D103" s="48"/>
      <c r="E103" s="48"/>
      <c r="F103" s="46"/>
      <c r="G103" s="48"/>
      <c r="H103" s="48"/>
      <c r="I103" s="46"/>
      <c r="J103" s="48"/>
      <c r="K103" s="48"/>
      <c r="L103" s="46"/>
      <c r="M103" s="50"/>
      <c r="N103" s="50"/>
      <c r="O103" s="51"/>
    </row>
    <row r="104" spans="3:15">
      <c r="C104" s="47" t="s">
        <v>47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>
      <c r="C105" s="47" t="s">
        <v>48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49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50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51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64</v>
      </c>
      <c r="D109" s="53">
        <f>SUM(D97:D108)</f>
        <v>2189918.75</v>
      </c>
      <c r="E109" s="53">
        <f>SUM(E97:E108)</f>
        <v>2151336.517</v>
      </c>
      <c r="F109" s="55">
        <f>D109/E109</f>
        <v>1.0179340761871147</v>
      </c>
      <c r="G109" s="53">
        <f>SUM(G97:G108)</f>
        <v>1582521.4509999999</v>
      </c>
      <c r="H109" s="53">
        <f>SUM(H97:H108)</f>
        <v>1729256.0053999999</v>
      </c>
      <c r="I109" s="55">
        <f t="shared" ref="I109" si="44">G109/H109</f>
        <v>0.91514584657113374</v>
      </c>
      <c r="J109" s="53">
        <f>SUM(J97:J108)</f>
        <v>2812091</v>
      </c>
      <c r="K109" s="53">
        <f>SUM(K97:K108)</f>
        <v>2579536.4307999997</v>
      </c>
      <c r="L109" s="55">
        <f>J109/K109</f>
        <v>1.0901536285447526</v>
      </c>
      <c r="M109" s="54">
        <f t="shared" ref="M109" si="45">SUM(D109,G109,J109)</f>
        <v>6584531.2009999994</v>
      </c>
      <c r="N109" s="54">
        <f t="shared" ref="N109" si="46">SUM(E109,H109,K109)</f>
        <v>6460128.9531999994</v>
      </c>
      <c r="O109" s="55">
        <f t="shared" si="41"/>
        <v>1.0192569294980369</v>
      </c>
    </row>
  </sheetData>
  <mergeCells count="29">
    <mergeCell ref="C94:O94"/>
    <mergeCell ref="D95:F95"/>
    <mergeCell ref="G95:I95"/>
    <mergeCell ref="J95:L95"/>
    <mergeCell ref="M95:O95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4" workbookViewId="0">
      <selection activeCell="B34" sqref="B34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30.6">
      <c r="A4" s="70" t="s">
        <v>70</v>
      </c>
      <c r="B4" s="71" t="s">
        <v>71</v>
      </c>
      <c r="C4" s="71" t="s">
        <v>72</v>
      </c>
      <c r="D4" s="72" t="s">
        <v>4</v>
      </c>
      <c r="E4" s="73" t="s">
        <v>73</v>
      </c>
      <c r="F4" s="60"/>
      <c r="G4" s="60"/>
      <c r="H4" s="60"/>
    </row>
    <row r="5" spans="1:8">
      <c r="A5" s="1" t="s">
        <v>35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35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35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35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35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35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35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35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35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35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35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35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36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36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36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36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36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36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36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36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36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36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36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36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74</v>
      </c>
      <c r="B1" s="17" t="s">
        <v>75</v>
      </c>
      <c r="C1" s="17" t="s">
        <v>76</v>
      </c>
      <c r="D1" s="32"/>
      <c r="H1" s="195" t="s">
        <v>77</v>
      </c>
      <c r="I1" s="195"/>
      <c r="J1" s="195"/>
      <c r="K1" s="195"/>
      <c r="L1" s="195"/>
      <c r="M1" s="195"/>
      <c r="N1" s="195"/>
      <c r="O1" s="195"/>
      <c r="Q1" s="32" t="s">
        <v>78</v>
      </c>
    </row>
    <row r="2" spans="1:17">
      <c r="A2" s="33" t="s">
        <v>79</v>
      </c>
      <c r="B2" s="34" t="s">
        <v>80</v>
      </c>
      <c r="C2" s="34" t="s">
        <v>81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40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41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82</v>
      </c>
      <c r="F5" s="19"/>
      <c r="G5" t="s">
        <v>83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43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44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45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46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47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48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49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50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51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t="s">
        <v>84</v>
      </c>
      <c r="P1" t="s">
        <v>85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40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41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83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43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44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45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46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47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48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86</v>
      </c>
      <c r="F12" s="26" t="s">
        <v>49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50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51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74</v>
      </c>
      <c r="B1" s="17" t="s">
        <v>75</v>
      </c>
      <c r="C1" s="17" t="s">
        <v>76</v>
      </c>
      <c r="G1" s="195" t="s">
        <v>87</v>
      </c>
      <c r="H1" s="195"/>
      <c r="I1" s="195"/>
      <c r="J1" s="195"/>
      <c r="K1" s="195"/>
      <c r="L1" s="195"/>
      <c r="M1" s="195"/>
      <c r="N1" s="195"/>
      <c r="P1" s="32" t="s">
        <v>88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40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41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83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43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44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45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46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47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89</v>
      </c>
      <c r="E11" s="26"/>
      <c r="F11" t="s">
        <v>48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49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50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51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s="195" t="s">
        <v>90</v>
      </c>
      <c r="H1" s="195"/>
      <c r="I1" s="195"/>
      <c r="J1" s="195"/>
      <c r="K1" s="195"/>
      <c r="L1" s="195"/>
      <c r="M1" s="195"/>
      <c r="N1" s="195"/>
      <c r="P1" s="32" t="s">
        <v>91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40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41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83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43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44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45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46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47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92</v>
      </c>
      <c r="E11" s="26"/>
      <c r="F11" t="s">
        <v>48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49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50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51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2410DE-0C3D-4C69-92D9-9A7972A06D71}"/>
</file>

<file path=customXml/itemProps2.xml><?xml version="1.0" encoding="utf-8"?>
<ds:datastoreItem xmlns:ds="http://schemas.openxmlformats.org/officeDocument/2006/customXml" ds:itemID="{AE4FB608-2C95-4CB3-B789-2A06D4831A94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Jayasri  Garapati</cp:lastModifiedBy>
  <cp:revision/>
  <dcterms:created xsi:type="dcterms:W3CDTF">2013-05-02T09:51:31Z</dcterms:created>
  <dcterms:modified xsi:type="dcterms:W3CDTF">2025-09-09T04:37:57Z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