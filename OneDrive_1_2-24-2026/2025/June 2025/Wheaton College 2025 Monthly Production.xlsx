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C04AF2DD-E7C7-4261-9CB2-1BA88D8A917C}" xr6:coauthVersionLast="47" xr6:coauthVersionMax="47" xr10:uidLastSave="{00000000-0000-0000-0000-000000000000}"/>
  <bookViews>
    <workbookView xWindow="-108" yWindow="-108" windowWidth="23256" windowHeight="12456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33" l="1"/>
  <c r="H4" i="32"/>
  <c r="H4" i="31"/>
  <c r="H4" i="28"/>
  <c r="H4" i="27"/>
  <c r="H4" i="26"/>
  <c r="H4" i="19"/>
  <c r="I4" i="19" s="1"/>
  <c r="H4" i="20"/>
  <c r="I4" i="20" s="1"/>
  <c r="H4" i="21"/>
  <c r="I4" i="21" s="1"/>
  <c r="H4" i="4"/>
  <c r="H4" i="3"/>
  <c r="H4" i="72"/>
  <c r="G4" i="30"/>
  <c r="G4" i="29"/>
  <c r="G4" i="18"/>
  <c r="G2" i="18" s="1"/>
  <c r="I4" i="4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I4" i="3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I4" i="33"/>
  <c r="E4" i="33"/>
  <c r="F4" i="33" s="1"/>
  <c r="G2" i="33"/>
  <c r="D2" i="33"/>
  <c r="C2" i="33"/>
  <c r="A1" i="33" a="1"/>
  <c r="A1" i="33" s="1"/>
  <c r="I4" i="32"/>
  <c r="E4" i="32"/>
  <c r="F4" i="32" s="1"/>
  <c r="G2" i="32"/>
  <c r="D2" i="32"/>
  <c r="C2" i="32"/>
  <c r="A1" i="32" a="1"/>
  <c r="A1" i="32" s="1"/>
  <c r="I4" i="31"/>
  <c r="E4" i="31"/>
  <c r="F4" i="31" s="1"/>
  <c r="G2" i="31"/>
  <c r="D2" i="31"/>
  <c r="C2" i="31"/>
  <c r="A1" i="31" a="1"/>
  <c r="A1" i="31" s="1"/>
  <c r="I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I4" i="27"/>
  <c r="E4" i="27"/>
  <c r="F4" i="27" s="1"/>
  <c r="G2" i="27"/>
  <c r="D2" i="27"/>
  <c r="C2" i="27"/>
  <c r="A1" i="27" a="1"/>
  <c r="A1" i="27" s="1"/>
  <c r="I4" i="26"/>
  <c r="E4" i="26"/>
  <c r="F4" i="26" s="1"/>
  <c r="G2" i="26"/>
  <c r="D2" i="26"/>
  <c r="C2" i="26"/>
  <c r="A1" i="26" a="1"/>
  <c r="A1" i="26" s="1"/>
  <c r="E4" i="19"/>
  <c r="F4" i="19" s="1"/>
  <c r="G2" i="19"/>
  <c r="D2" i="19"/>
  <c r="C2" i="19"/>
  <c r="A1" i="19" a="1"/>
  <c r="A1" i="19" s="1"/>
  <c r="E4" i="20"/>
  <c r="F4" i="20" s="1"/>
  <c r="G2" i="20"/>
  <c r="D2" i="20"/>
  <c r="C2" i="20"/>
  <c r="A1" i="20" a="1"/>
  <c r="A1" i="20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I4" i="72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<sst xmlns="http://schemas.openxmlformats.org/spreadsheetml/2006/main" count="271" uniqueCount="69">
  <si>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</si>
  <si>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</si>
  <si>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</si>
  <si>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</si>
  <si>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</si>
  <si>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</si>
  <si>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</si>
  <si>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</si>
  <si>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</si>
  <si>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</si>
  <si>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</si>
  <si>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</si>
  <si>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</si>
  <si>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</si>
  <si>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</si>
  <si>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</si>
  <si>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</si>
  <si>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</si>
  <si>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</si>
  <si>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</si>
  <si>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</si>
  <si>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</si>
  <si>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Weather station reporting erraneous values since 03/12/2024.</t>
  </si>
  <si>
    <t>1. SR081787</t>
  </si>
  <si>
    <t>February Actual v. Expected</t>
  </si>
  <si>
    <t>February Actual v. Forecasted</t>
  </si>
  <si>
    <t>N/A</t>
  </si>
  <si>
    <t>1.Inverter 16 went offline on 02/01 and came back online at 7:15 AM on 02/02. However, the inverter started production late at 2:25 PM on 02/04. It tripped offline again at 12:35 PM on 02/19. On 02/20, upon the technician's arrival, several faults were identified: "Isolation Error, grid voltage fault, and protect 0260." The inverter was brought back online on 02/20.
2.Inverter 16 was offline on 02/25 and back online at 02:35PM on same day.
3.Inverter 12 was taken offline from 09:15AM to 09:55AM on 02/26 to replace damaged screen
4. Weather station reporting erraneous values since 03/12/2024.</t>
  </si>
  <si>
    <t>1.SR096218
2.SR097773
3.SR097591
4. SR081787</t>
  </si>
  <si>
    <t>SR097773</t>
  </si>
  <si>
    <t>SR097591</t>
  </si>
  <si>
    <t>SR081787</t>
  </si>
  <si>
    <t>March Actual v. Expected</t>
  </si>
  <si>
    <t>March Actual v. Forecasted</t>
  </si>
  <si>
    <t>April Actual v. Expected</t>
  </si>
  <si>
    <t>April Actual v. Forecasted</t>
  </si>
  <si>
    <t>1. Inverter 16 was offline from 07:00 on 04/07 to 17:00 on 04/09; issue self-resolved.
2. Inverter 10 was offline on 04/21 and back online at 17:30 the same day, it again offline from 04/23 and back online on 04/27, and it was again offline on 04/29 and back online at 10:40 on 04/30.
3.  Inverter 12 went offline on 04/01, back online on 04/02, then offline again from 04/03 to 06:25 on 04/19. It tripped on 04/20, recovered on 04/23, late started on 04/24, and went offline again on 04/25, remaining down for the rest of the month. Parts are needed to restore operation.
4. Weather station reporting erraneous values since 03/12/2024.</t>
  </si>
  <si>
    <t>1. SR099479
2. SR100077
3. SR097591, PM4612, SR098351
4. SR081787</t>
  </si>
  <si>
    <t>SR100077</t>
  </si>
  <si>
    <t>SR098351</t>
  </si>
  <si>
    <t>May Actual v. Expected</t>
  </si>
  <si>
    <t>May Actual v. Forecasted</t>
  </si>
  <si>
    <t>1. Inverter 12 was offline from 04/25 and came back online at 11:35 on 05/20; issue self-resolved.
2. Invertre 10 is offline from 05/01 and back online at 08:15 on 05/06, it again offline from 05/07 and back online on 05/10; issue self-resolved. 
3. Weather station reporting erraneous values since 03/12/2024.</t>
  </si>
  <si>
    <t>1. SR098351
2. SR100077 
3. SR081787</t>
  </si>
  <si>
    <t>June Actual v. Expected</t>
  </si>
  <si>
    <t>June Actual v. Forecasted</t>
  </si>
  <si>
    <t>1.Weather station reporting erraneous values since 03/12/2024.</t>
  </si>
  <si>
    <t>1.	SR081787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</si>
  <si>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</si>
  <si>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</si>
  <si>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</si>
  <si>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</si>
  <si>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</si>
  <si>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</si>
  <si>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</si>
  <si>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</si>
  <si>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</si>
  <si>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</si>
  <si>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</si>
  <si>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</si>
  <si>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</si>
  <si>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MA: Norton - Wheaton College</t>
  </si>
  <si>
    <t>Site DAS Name</t>
  </si>
  <si>
    <t>Update</t>
  </si>
  <si>
    <t>DAS</t>
  </si>
  <si>
    <t>Wheaton College</t>
  </si>
  <si>
    <t>MA</t>
  </si>
  <si>
    <t>A</t>
  </si>
  <si>
    <t>Solrenview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</si>
</sst>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u/>
      <sz val="10"/>
      <color theme="10"/>
      <name val="Arial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65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35" fillId="46" borderId="0" xfId="0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35" fillId="47" borderId="0" xfId="0" applyNumberFormat="1" applyFont="1" applyFill="1" applyAlignment="1">
      <alignment vertical="center"/>
    </xf>
    <xf numFmtId="9" fontId="30" fillId="38" borderId="12" xfId="2" applyFont="1" applyFill="1" applyBorder="1" applyAlignment="1">
      <alignment horizontal="left" vertical="top" wrapText="1"/>
    </xf>
    <xf numFmtId="0" fontId="34" fillId="40" borderId="0" xfId="0" applyFont="1" applyFill="1" applyAlignment="1">
      <alignment horizontal="left" vertical="center"/>
    </xf>
    <xf numFmtId="3" fontId="30" fillId="4" borderId="0" xfId="1" applyNumberFormat="1" applyFont="1" applyFill="1" applyBorder="1" applyAlignment="1">
      <alignment horizontal="right" vertical="center"/>
    </xf>
    <xf numFmtId="0" fontId="34" fillId="40" borderId="0" xfId="0" applyFont="1" applyFill="1" applyAlignment="1">
      <alignment horizontal="center" vertical="center"/>
    </xf>
    <xf numFmtId="49" fontId="36" fillId="38" borderId="0" xfId="45" applyNumberFormat="1" applyFill="1" applyBorder="1" applyAlignment="1">
      <alignment vertical="top" wrapText="1"/>
    </xf>
    <xf numFmtId="0" fontId="0" fillId="0" borderId="0" xfId="0" applyAlignment="1">
      <alignment horizontal="left" vertical="top"/>
    </xf>
    <xf numFmtId="0" fontId="36" fillId="0" borderId="0" xfId="45" applyAlignment="1">
      <alignment horizontal="left" vertical="top"/>
    </xf>
    <xf numFmtId="9" fontId="36" fillId="38" borderId="12" xfId="45" applyNumberForma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81787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7591" TargetMode="External"/><Relationship Id="rId2" Type="http://schemas.openxmlformats.org/officeDocument/2006/relationships/hyperlink" Target="https://us3.assetplanner.com/service_request?ID=097773" TargetMode="External"/><Relationship Id="rId1" Type="http://schemas.openxmlformats.org/officeDocument/2006/relationships/hyperlink" Target="https://us3.assetplanner.com/service_request?ID=096218" TargetMode="External"/><Relationship Id="rId4" Type="http://schemas.openxmlformats.org/officeDocument/2006/relationships/hyperlink" Target="https://us3.assetplanner.com/service_request?ID=081787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81787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7591" TargetMode="External"/><Relationship Id="rId2" Type="http://schemas.openxmlformats.org/officeDocument/2006/relationships/hyperlink" Target="https://us3.assetplanner.com/service_request?ID=100077" TargetMode="External"/><Relationship Id="rId1" Type="http://schemas.openxmlformats.org/officeDocument/2006/relationships/hyperlink" Target="https://us3.assetplanner.com/service_request?ID=099479" TargetMode="External"/><Relationship Id="rId5" Type="http://schemas.openxmlformats.org/officeDocument/2006/relationships/hyperlink" Target="https://us3.assetplanner.com/service_request?ID=081787" TargetMode="External"/><Relationship Id="rId4" Type="http://schemas.openxmlformats.org/officeDocument/2006/relationships/hyperlink" Target="https://us3.assetplanner.com/service_request?ID=098351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81787" TargetMode="External"/><Relationship Id="rId2" Type="http://schemas.openxmlformats.org/officeDocument/2006/relationships/hyperlink" Target="https://us3.assetplanner.com/service_request?ID=100077" TargetMode="External"/><Relationship Id="rId1" Type="http://schemas.openxmlformats.org/officeDocument/2006/relationships/hyperlink" Target="https://us3.assetplanner.com/service_request?ID=098351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81787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G9" sqref="G9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2" t="str" cm="1">
        <f t="array" ref="A1">portfolio</f>
        <v>MA: Norton - Wheaton College</v>
      </c>
      <c r="B1" s="62"/>
      <c r="C1" s="62"/>
      <c r="D1" s="63" t="s">
        <v>0</v>
      </c>
      <c r="E1" s="63"/>
      <c r="F1" s="63"/>
      <c r="G1" s="61" t="s">
        <v>1</v>
      </c>
      <c r="H1" s="61"/>
      <c r="I1" s="61"/>
    </row>
    <row r="2" spans="1:9" ht="19.5" customHeight="1">
      <c r="A2" s="64" t="s">
        <v>2</v>
      </c>
      <c r="B2" s="64"/>
      <c r="C2" s="5">
        <f>SUM(C4:C79)</f>
        <v>191186</v>
      </c>
      <c r="D2" s="5">
        <f>SUM(D4:D79)</f>
        <v>0</v>
      </c>
      <c r="E2" s="5">
        <f>C2-D2</f>
        <v>191186</v>
      </c>
      <c r="F2" s="6">
        <f>IFERROR(E2/D2, 0)</f>
        <v>0</v>
      </c>
      <c r="G2" s="5">
        <f>SUM(G4:G79)</f>
        <v>0</v>
      </c>
      <c r="H2" s="7">
        <f>C2-G2</f>
        <v>191186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MA: Norton - Wheaton College</v>
      </c>
      <c r="B4" s="9" t="str" cm="1">
        <f t="array" ref="B4">Sites[State]</f>
        <v>MA</v>
      </c>
      <c r="C4" s="23">
        <f>SUM('1st Qtr'!C4, '2nd Qtr'!C4, '3rd Qtr'!C4, '4th Qtr'!C4)</f>
        <v>191186</v>
      </c>
      <c r="D4" s="12">
        <f>SUM('1st Qtr'!D4, '2nd Qtr'!D4, '3rd Qtr'!D4, '4th Qtr'!D4)</f>
        <v>0</v>
      </c>
      <c r="E4" s="12">
        <f>IF(AND(ISNUMBER(C4),ISNUMBER(D4)), C4-D4, "")</f>
        <v>191186</v>
      </c>
      <c r="F4" s="13" t="str">
        <f>IFERROR(E4/D4, "")</f>
        <v/>
      </c>
      <c r="G4" s="14">
        <f>SUM('1st Qtr'!G4, '2nd Qtr'!G4, '3rd Qtr'!G4, '4th Qtr'!G4)</f>
        <v>0</v>
      </c>
      <c r="H4" s="14">
        <f>SUM('1st Qtr'!H4, '2nd Qtr'!H4, '3rd Qtr'!H4, '4th Qtr'!H4)</f>
        <v>13777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I4" sqref="I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2" t="str" cm="1">
        <f t="array" ref="A1">portfolio</f>
        <v>MA: Norton - Wheaton College</v>
      </c>
      <c r="B1" s="62"/>
      <c r="C1" s="62"/>
      <c r="D1" s="63" t="s">
        <v>10</v>
      </c>
      <c r="E1" s="63"/>
      <c r="F1" s="63"/>
      <c r="G1" s="61" t="s">
        <v>11</v>
      </c>
      <c r="H1" s="61"/>
      <c r="I1" s="61"/>
    </row>
    <row r="2" spans="1:9" ht="19.5" customHeight="1">
      <c r="A2" s="64" t="s">
        <v>2</v>
      </c>
      <c r="B2" s="64"/>
      <c r="C2" s="5">
        <f>SUM(C4:C79)</f>
        <v>67281</v>
      </c>
      <c r="D2" s="5">
        <f>SUM(D4:D79)</f>
        <v>0</v>
      </c>
      <c r="E2" s="5">
        <f>C2-D2</f>
        <v>67281</v>
      </c>
      <c r="F2" s="6">
        <f>IFERROR(E2/D2, 0)</f>
        <v>0</v>
      </c>
      <c r="G2" s="5">
        <f>SUM(G4:G79)</f>
        <v>0</v>
      </c>
      <c r="H2" s="7">
        <f>C2-G2</f>
        <v>67281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Norton - Wheaton College</v>
      </c>
      <c r="B4" s="9" t="str" cm="1">
        <f t="array" ref="B4">Sites[State]</f>
        <v>MA</v>
      </c>
      <c r="C4" s="23">
        <f>SUM(Jan!C4, Feb!C4, Mar!C4)</f>
        <v>67281</v>
      </c>
      <c r="D4" s="12">
        <f>SUM(Jan!D4, Feb!D4, Mar!D4)</f>
        <v>0</v>
      </c>
      <c r="E4" s="12">
        <f>IF(AND(ISNUMBER(C4),ISNUMBER(D4)), C4-D4, "")</f>
        <v>67281</v>
      </c>
      <c r="F4" s="13" t="str">
        <f>IFERROR(E4/D4, "")</f>
        <v/>
      </c>
      <c r="G4" s="14">
        <f>SUM(Jan!G4, Feb!G4, Mar!G4)</f>
        <v>0</v>
      </c>
      <c r="H4" s="14">
        <f>SUM(Jan!H4, Feb!H4, Mar!H4)</f>
        <v>13777</v>
      </c>
      <c r="I4" s="15" t="str">
        <f>IFERROR(H4/G4, "")</f>
        <v/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G5" sqref="G5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2" t="str" cm="1">
        <f t="array" ref="A1">portfolio</f>
        <v>MA: Norton - Wheaton College</v>
      </c>
      <c r="B1" s="62"/>
      <c r="C1" s="62"/>
      <c r="D1" s="63" t="s">
        <v>12</v>
      </c>
      <c r="E1" s="63"/>
      <c r="F1" s="63"/>
      <c r="G1" s="61" t="s">
        <v>13</v>
      </c>
      <c r="H1" s="61"/>
      <c r="I1" s="61"/>
    </row>
    <row r="2" spans="1:9" ht="19.5" customHeight="1">
      <c r="A2" s="64" t="s">
        <v>2</v>
      </c>
      <c r="B2" s="64"/>
      <c r="C2" s="5">
        <f>SUM(C4:C79)</f>
        <v>123905</v>
      </c>
      <c r="D2" s="5">
        <f>SUM(D4:D79)</f>
        <v>0</v>
      </c>
      <c r="E2" s="5">
        <f>C2-D2</f>
        <v>123905</v>
      </c>
      <c r="F2" s="6">
        <f>IFERROR(E2/D2, 0)</f>
        <v>0</v>
      </c>
      <c r="G2" s="5">
        <f>SUM(G4:G79)</f>
        <v>0</v>
      </c>
      <c r="H2" s="7">
        <f>C2-G2</f>
        <v>123905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Norton - Wheaton College</v>
      </c>
      <c r="B4" s="9" t="str" cm="1">
        <f t="array" ref="B4">Sites[State]</f>
        <v>MA</v>
      </c>
      <c r="C4" s="23">
        <f>SUM(Apr!C4, May!C4, Jun!C4)</f>
        <v>123905</v>
      </c>
      <c r="D4" s="12">
        <f>SUM(Apr!D4, May!D4, Jun!D4)</f>
        <v>0</v>
      </c>
      <c r="E4" s="12">
        <f>IF(AND(ISNUMBER(C4),ISNUMBER(D4)), C4-D4, "")</f>
        <v>123905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2" t="str" cm="1">
        <f t="array" ref="A1">portfolio</f>
        <v>MA: Norton - Wheaton College</v>
      </c>
      <c r="B1" s="62"/>
      <c r="C1" s="62"/>
      <c r="D1" s="63" t="s">
        <v>14</v>
      </c>
      <c r="E1" s="63"/>
      <c r="F1" s="63"/>
      <c r="G1" s="61" t="s">
        <v>15</v>
      </c>
      <c r="H1" s="61"/>
      <c r="I1" s="61"/>
    </row>
    <row r="2" spans="1:9" ht="19.5" customHeight="1">
      <c r="A2" s="64" t="s">
        <v>2</v>
      </c>
      <c r="B2" s="64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Norton - Wheaton College</v>
      </c>
      <c r="B4" s="9" t="str" cm="1">
        <f t="array" ref="B4">Sites[State]</f>
        <v>MA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SUM(Jul!G4,Aug!G4,Sep!G4)</f>
        <v>0</v>
      </c>
      <c r="H4" s="14">
        <f>SUM(Jul!H4, Aug!H4, Sep!H4)</f>
        <v>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M15" sqref="M15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2" t="str" cm="1">
        <f t="array" ref="A1">portfolio</f>
        <v>MA: Norton - Wheaton College</v>
      </c>
      <c r="B1" s="62"/>
      <c r="C1" s="62"/>
      <c r="D1" s="63" t="s">
        <v>16</v>
      </c>
      <c r="E1" s="63"/>
      <c r="F1" s="63"/>
      <c r="G1" s="61" t="s">
        <v>17</v>
      </c>
      <c r="H1" s="61"/>
      <c r="I1" s="61"/>
    </row>
    <row r="2" spans="1:9" ht="19.5" customHeight="1">
      <c r="A2" s="64" t="s">
        <v>2</v>
      </c>
      <c r="B2" s="64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Norton - Wheaton College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6">
      <c r="A5" s="16"/>
      <c r="B5" s="10"/>
      <c r="C5" s="41"/>
      <c r="D5" s="17"/>
      <c r="E5" s="17"/>
      <c r="F5" s="18"/>
      <c r="G5" s="19"/>
      <c r="H5" s="19"/>
      <c r="I5" s="18"/>
    </row>
    <row r="6" spans="1:9" ht="14.45">
      <c r="A6" s="20"/>
      <c r="B6" s="10"/>
      <c r="C6" s="41"/>
      <c r="D6" s="17"/>
      <c r="E6" s="17"/>
      <c r="F6" s="18"/>
      <c r="G6" s="19"/>
      <c r="H6" s="19"/>
      <c r="I6" s="18"/>
    </row>
    <row r="7" spans="1:9" ht="14.45">
      <c r="A7" s="20"/>
      <c r="B7" s="10"/>
      <c r="C7" s="41"/>
      <c r="D7" s="17"/>
      <c r="E7" s="17"/>
      <c r="F7" s="18"/>
      <c r="G7" s="19"/>
      <c r="H7" s="19"/>
      <c r="I7" s="18"/>
    </row>
    <row r="8" spans="1:9" ht="14.45">
      <c r="A8" s="20"/>
      <c r="B8" s="10"/>
      <c r="C8" s="41"/>
      <c r="D8" s="17"/>
      <c r="E8" s="17"/>
      <c r="F8" s="18"/>
      <c r="G8" s="19"/>
      <c r="H8" s="19"/>
      <c r="I8" s="18"/>
    </row>
    <row r="9" spans="1:9" ht="14.45">
      <c r="A9" s="20"/>
      <c r="B9" s="10"/>
      <c r="C9" s="41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tabSelected="1" workbookViewId="0">
      <pane xSplit="2" ySplit="3" topLeftCell="F4" activePane="bottomRight" state="frozen"/>
      <selection pane="bottomRight" activeCell="K4" sqref="K4"/>
      <selection pane="bottomLeft" activeCell="F16" sqref="F16"/>
      <selection pane="topRight" activeCell="F16" sqref="F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MA: Norton - Wheaton College</v>
      </c>
      <c r="B1" s="62"/>
      <c r="C1" s="62"/>
      <c r="D1" s="63" t="s">
        <v>18</v>
      </c>
      <c r="E1" s="63"/>
      <c r="F1" s="63"/>
      <c r="G1" s="61" t="s">
        <v>19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SUM(C4:C78)</f>
        <v>13777</v>
      </c>
      <c r="D2" s="5">
        <f>SUM(D4:D78)</f>
        <v>0</v>
      </c>
      <c r="E2" s="5">
        <f>C2-D2</f>
        <v>13777</v>
      </c>
      <c r="F2" s="6">
        <f>IFERROR(E2/D2, 0)</f>
        <v>0</v>
      </c>
      <c r="G2" s="5">
        <f>SUM(G4:G78)</f>
        <v>0</v>
      </c>
      <c r="H2" s="7">
        <f>C2-G2</f>
        <v>13777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7" t="s">
        <v>5</v>
      </c>
      <c r="D3" s="48" t="s">
        <v>6</v>
      </c>
      <c r="E3" s="31" t="s">
        <v>7</v>
      </c>
      <c r="F3" s="32" t="s">
        <v>8</v>
      </c>
      <c r="G3" s="51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MA: Norton - Wheaton College</v>
      </c>
      <c r="B4" s="27" t="str" cm="1">
        <f t="array" ref="B4">Sites[State]</f>
        <v>MA</v>
      </c>
      <c r="C4" s="49">
        <v>13777</v>
      </c>
      <c r="D4" s="50">
        <v>0</v>
      </c>
      <c r="E4" s="12">
        <f>IF(AND(ISNUMBER(C4),ISNUMBER(D4)), C4-D4, "")</f>
        <v>13777</v>
      </c>
      <c r="F4" s="40" t="str">
        <f>IFERROR(E4/D4, "")</f>
        <v/>
      </c>
      <c r="G4" s="52">
        <v>0</v>
      </c>
      <c r="H4" s="14">
        <f>IF(AND(ISNUMBER(C4),ISNUMBER(G4)), C4-G4, "")</f>
        <v>13777</v>
      </c>
      <c r="I4" s="15" t="str">
        <f>IFERROR(H4/G4, "")</f>
        <v/>
      </c>
      <c r="J4" s="53" t="s">
        <v>22</v>
      </c>
      <c r="K4" s="60" t="s">
        <v>23</v>
      </c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conditionalFormatting sqref="F5:F78">
    <cfRule type="cellIs" dxfId="26" priority="1" stopIfTrue="1" operator="lessThanOrEqual">
      <formula>-0.1</formula>
    </cfRule>
    <cfRule type="expression" dxfId="25" priority="2">
      <formula>AND(ISNUMBER(F5), F5&gt;=0.1)</formula>
    </cfRule>
  </conditionalFormatting>
  <hyperlinks>
    <hyperlink ref="K4" r:id="rId1" display="https://us3.assetplanner.com/service_request?ID=081787" xr:uid="{16B54B48-B702-4C3B-A4C8-C5FB2A17A0AB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P321"/>
  <sheetViews>
    <sheetView zoomScale="80" zoomScaleNormal="80" workbookViewId="0">
      <pane xSplit="2" ySplit="3" topLeftCell="G4" activePane="bottomRight" state="frozen"/>
      <selection pane="bottomRight" activeCell="L1" sqref="L1:P1048576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6" width="8.85546875" style="58"/>
  </cols>
  <sheetData>
    <row r="1" spans="1:14" ht="19.5" customHeight="1">
      <c r="A1" s="62" t="str" cm="1">
        <f t="array" ref="A1">portfolio</f>
        <v>MA: Norton - Wheaton College</v>
      </c>
      <c r="B1" s="62"/>
      <c r="C1" s="62"/>
      <c r="D1" s="63" t="s">
        <v>24</v>
      </c>
      <c r="E1" s="63"/>
      <c r="F1" s="63"/>
      <c r="G1" s="61" t="s">
        <v>25</v>
      </c>
      <c r="H1" s="61"/>
      <c r="I1" s="61"/>
      <c r="J1" s="4"/>
      <c r="K1" s="4"/>
    </row>
    <row r="2" spans="1:14" ht="19.5" customHeight="1">
      <c r="A2" s="64" t="s">
        <v>2</v>
      </c>
      <c r="B2" s="64"/>
      <c r="C2" s="5">
        <f>SUM(C4:C79)</f>
        <v>18434</v>
      </c>
      <c r="D2" s="5">
        <f>SUM(D4:D79)</f>
        <v>0</v>
      </c>
      <c r="E2" s="5">
        <f>C2-D2</f>
        <v>18434</v>
      </c>
      <c r="F2" s="6">
        <f>IFERROR(E2/D2, 0)</f>
        <v>0</v>
      </c>
      <c r="G2" s="5">
        <f>SUM(G4:G79)</f>
        <v>0</v>
      </c>
      <c r="H2" s="7">
        <f>C2-G2</f>
        <v>18434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4" ht="133.5" customHeight="1">
      <c r="A4" s="54" t="str" cm="1">
        <f t="array" ref="A4">Sites[Site]</f>
        <v>MA: Norton - Wheaton College</v>
      </c>
      <c r="B4" s="27" t="str" cm="1">
        <f t="array" ref="B4">Sites[State]</f>
        <v>MA</v>
      </c>
      <c r="C4" s="23">
        <v>18434</v>
      </c>
      <c r="D4" s="12" t="s">
        <v>26</v>
      </c>
      <c r="E4" s="12" t="str">
        <f>IF(AND(ISNUMBER(C4),ISNUMBER(D4)), C4-D4, "")</f>
        <v/>
      </c>
      <c r="F4" s="13" t="str">
        <f>IFERROR(E4/D4, "")</f>
        <v/>
      </c>
      <c r="G4" s="55" t="s">
        <v>26</v>
      </c>
      <c r="H4" s="14" t="str">
        <f>IF(AND(ISNUMBER(C4),ISNUMBER(G4)), C4-G4, "")</f>
        <v/>
      </c>
      <c r="I4" s="15" t="str">
        <f>IFERROR(H4/G4, "")</f>
        <v/>
      </c>
      <c r="J4" s="36" t="s">
        <v>27</v>
      </c>
      <c r="K4" s="57" t="s">
        <v>28</v>
      </c>
      <c r="L4" s="59" t="s">
        <v>29</v>
      </c>
      <c r="M4" s="59" t="s">
        <v>30</v>
      </c>
      <c r="N4" s="59" t="s">
        <v>31</v>
      </c>
    </row>
    <row r="5" spans="1:14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4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4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4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4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4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4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4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4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4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4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4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6218" xr:uid="{4853CEAB-057E-4CB6-8242-E9F30BEB0FE4}"/>
    <hyperlink ref="L4" r:id="rId2" display="https://us3.assetplanner.com/service_request?ID=097773" xr:uid="{C6EE84D2-7377-4146-A836-5D5F7A9E7935}"/>
    <hyperlink ref="M4" r:id="rId3" display="https://us3.assetplanner.com/service_request?ID=097591" xr:uid="{9782D02F-A025-45C5-AD70-03DCED8D68F6}"/>
    <hyperlink ref="N4" r:id="rId4" display="https://us3.assetplanner.com/service_request?ID=081787" xr:uid="{6390B6E6-9E28-40A5-A93B-9986A4D6D448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zoomScale="90" zoomScaleNormal="90" workbookViewId="0">
      <pane xSplit="2" ySplit="3" topLeftCell="I4" activePane="bottomRight" state="frozen"/>
      <selection pane="bottomRight" activeCell="K4" sqref="K4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MA: Norton - Wheaton College</v>
      </c>
      <c r="B1" s="62"/>
      <c r="C1" s="62"/>
      <c r="D1" s="63" t="s">
        <v>32</v>
      </c>
      <c r="E1" s="63"/>
      <c r="F1" s="63"/>
      <c r="G1" s="61" t="s">
        <v>33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SUM(C4:C79)</f>
        <v>35070</v>
      </c>
      <c r="D2" s="5">
        <f>SUM(D4:D79)</f>
        <v>0</v>
      </c>
      <c r="E2" s="5">
        <f>C2-D2</f>
        <v>35070</v>
      </c>
      <c r="F2" s="6">
        <f>IFERROR(E2/D2, 0)</f>
        <v>0</v>
      </c>
      <c r="G2" s="5">
        <f>SUM(G4:G79)</f>
        <v>0</v>
      </c>
      <c r="H2" s="7">
        <f>C2-G2</f>
        <v>35070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>
        <v>35070</v>
      </c>
      <c r="D4" s="12" t="s">
        <v>26</v>
      </c>
      <c r="E4" s="12" t="str">
        <f>IF(AND(ISNUMBER(C4),ISNUMBER(D4)), C4-D4, "")</f>
        <v/>
      </c>
      <c r="F4" s="13" t="str">
        <f>IFERROR(E4/D4, "")</f>
        <v/>
      </c>
      <c r="G4" s="55" t="s">
        <v>26</v>
      </c>
      <c r="H4" s="14" t="str">
        <f>IF(AND(ISNUMBER(C4),ISNUMBER(G4)), C4-G4, "")</f>
        <v/>
      </c>
      <c r="I4" s="15" t="str">
        <f>IFERROR(H4/G4, "")</f>
        <v/>
      </c>
      <c r="J4" s="36" t="s">
        <v>22</v>
      </c>
      <c r="K4" s="57" t="s">
        <v>23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hyperlinks>
    <hyperlink ref="K4" r:id="rId1" display="https://us3.assetplanner.com/service_request?ID=081787" xr:uid="{CA9D4AE2-057C-4F93-8ABF-6712343FF6DC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O321"/>
  <sheetViews>
    <sheetView workbookViewId="0">
      <pane xSplit="2" ySplit="3" topLeftCell="J4" activePane="bottomRight" state="frozen"/>
      <selection pane="bottomRight" activeCell="J8" sqref="J8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5" width="8.85546875" style="58"/>
  </cols>
  <sheetData>
    <row r="1" spans="1:15" ht="19.5" customHeight="1">
      <c r="A1" s="62" t="str" cm="1">
        <f t="array" ref="A1">portfolio</f>
        <v>MA: Norton - Wheaton College</v>
      </c>
      <c r="B1" s="62"/>
      <c r="C1" s="62"/>
      <c r="D1" s="63" t="s">
        <v>34</v>
      </c>
      <c r="E1" s="63"/>
      <c r="F1" s="63"/>
      <c r="G1" s="61" t="s">
        <v>35</v>
      </c>
      <c r="H1" s="61"/>
      <c r="I1" s="61"/>
      <c r="J1" s="4"/>
      <c r="K1" s="4"/>
    </row>
    <row r="2" spans="1:15" ht="19.5" customHeight="1">
      <c r="A2" s="64" t="s">
        <v>2</v>
      </c>
      <c r="B2" s="64"/>
      <c r="C2" s="5">
        <f>SUM(C4:C79)</f>
        <v>38389</v>
      </c>
      <c r="D2" s="5">
        <f>SUM(D4:D79)</f>
        <v>0</v>
      </c>
      <c r="E2" s="5">
        <f>C2-D2</f>
        <v>38389</v>
      </c>
      <c r="F2" s="6">
        <f>IFERROR(E2/D2, 0)</f>
        <v>0</v>
      </c>
      <c r="G2" s="5">
        <f>SUM(G4:G79)</f>
        <v>0</v>
      </c>
      <c r="H2" s="7">
        <f>C2-G2</f>
        <v>38389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5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5" ht="174.75" customHeight="1">
      <c r="A4" s="56" t="str" cm="1">
        <f t="array" ref="A4">Sites[Site]</f>
        <v>MA: Norton - Wheaton College</v>
      </c>
      <c r="B4" s="27" t="str" cm="1">
        <f t="array" ref="B4">Sites[State]</f>
        <v>MA</v>
      </c>
      <c r="C4" s="23">
        <v>38389</v>
      </c>
      <c r="D4" s="12" t="s">
        <v>26</v>
      </c>
      <c r="E4" s="12" t="str">
        <f>IF(AND(ISNUMBER(C4),ISNUMBER(D4)), C4-D4, "")</f>
        <v/>
      </c>
      <c r="F4" s="13" t="str">
        <f>IFERROR(E4/D4, "")</f>
        <v/>
      </c>
      <c r="G4" s="14" t="s">
        <v>26</v>
      </c>
      <c r="H4" s="14" t="str">
        <f>IF(AND(ISNUMBER(C4),ISNUMBER(G4)), C4-G4, "")</f>
        <v/>
      </c>
      <c r="I4" s="15" t="str">
        <f>IFERROR(H4/G4, "")</f>
        <v/>
      </c>
      <c r="J4" s="36" t="s">
        <v>36</v>
      </c>
      <c r="K4" s="57" t="s">
        <v>37</v>
      </c>
      <c r="L4" s="59" t="s">
        <v>38</v>
      </c>
      <c r="M4" s="59" t="s">
        <v>30</v>
      </c>
      <c r="N4" s="59" t="s">
        <v>39</v>
      </c>
      <c r="O4" s="59" t="s">
        <v>31</v>
      </c>
    </row>
    <row r="5" spans="1:15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5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5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5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5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5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5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5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5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5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5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5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hyperlinks>
    <hyperlink ref="K4" r:id="rId1" display="https://us3.assetplanner.com/service_request?ID=099479" xr:uid="{206FDDED-E3FF-49C2-A6A4-5B109D448D03}"/>
    <hyperlink ref="L4" r:id="rId2" display="https://us3.assetplanner.com/service_request?ID=100077" xr:uid="{DC71E34D-6A9E-4FC2-BE42-7A6AF4360223}"/>
    <hyperlink ref="M4" r:id="rId3" display="https://us3.assetplanner.com/service_request?ID=097591" xr:uid="{CEE489EB-9318-40C5-BFC7-8686C9307D3C}"/>
    <hyperlink ref="N4" r:id="rId4" display="https://us3.assetplanner.com/service_request?ID=098351" xr:uid="{28486D3B-0CC9-41C4-B664-946B0A97955A}"/>
    <hyperlink ref="O4" r:id="rId5" display="https://us3.assetplanner.com/service_request?ID=081787" xr:uid="{706EDD4B-09B9-48F8-96D4-C51622FD1073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N321"/>
  <sheetViews>
    <sheetView zoomScale="80" zoomScaleNormal="80" workbookViewId="0">
      <pane xSplit="2" ySplit="3" topLeftCell="C4" activePane="bottomRight" state="frozen"/>
      <selection pane="bottomRight" activeCell="L1" sqref="L1:N1048576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4" width="8.85546875" style="58"/>
  </cols>
  <sheetData>
    <row r="1" spans="1:13" ht="19.5" customHeight="1">
      <c r="A1" s="62" t="str" cm="1">
        <f t="array" ref="A1">portfolio</f>
        <v>MA: Norton - Wheaton College</v>
      </c>
      <c r="B1" s="62"/>
      <c r="C1" s="62"/>
      <c r="D1" s="63" t="s">
        <v>40</v>
      </c>
      <c r="E1" s="63"/>
      <c r="F1" s="63"/>
      <c r="G1" s="61" t="s">
        <v>41</v>
      </c>
      <c r="H1" s="61"/>
      <c r="I1" s="61"/>
      <c r="J1" s="4"/>
      <c r="K1" s="4"/>
    </row>
    <row r="2" spans="1:13" ht="19.5" customHeight="1">
      <c r="A2" s="64" t="s">
        <v>2</v>
      </c>
      <c r="B2" s="64"/>
      <c r="C2" s="5">
        <f>SUM(C4:C79)</f>
        <v>39667</v>
      </c>
      <c r="D2" s="5">
        <f>SUM(D4:D79)</f>
        <v>0</v>
      </c>
      <c r="E2" s="5">
        <f>C2-D2</f>
        <v>39667</v>
      </c>
      <c r="F2" s="6">
        <f>IFERROR(E2/D2, 0)</f>
        <v>0</v>
      </c>
      <c r="G2" s="5">
        <f>SUM(G4:G79)</f>
        <v>0</v>
      </c>
      <c r="H2" s="7">
        <f>C2-G2</f>
        <v>39667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3" ht="108.75" customHeight="1">
      <c r="A4" s="56" t="str" cm="1">
        <f t="array" ref="A4">Sites[Site]</f>
        <v>MA: Norton - Wheaton College</v>
      </c>
      <c r="B4" s="27" t="str" cm="1">
        <f t="array" ref="B4">Sites[State]</f>
        <v>MA</v>
      </c>
      <c r="C4" s="23">
        <v>39667</v>
      </c>
      <c r="D4" s="12" t="s">
        <v>26</v>
      </c>
      <c r="E4" s="12" t="str">
        <f>IF(AND(ISNUMBER(C4),ISNUMBER(D4)), C4-D4, "")</f>
        <v/>
      </c>
      <c r="F4" s="13" t="str">
        <f>IFERROR(E4/D4, "")</f>
        <v/>
      </c>
      <c r="G4" s="14" t="s">
        <v>26</v>
      </c>
      <c r="H4" s="14" t="str">
        <f>IF(AND(ISNUMBER(C4),ISNUMBER(G4)), C4-G4, "")</f>
        <v/>
      </c>
      <c r="I4" s="15" t="str">
        <f>IFERROR(H4/G4, "")</f>
        <v/>
      </c>
      <c r="J4" s="36" t="s">
        <v>42</v>
      </c>
      <c r="K4" s="57" t="s">
        <v>43</v>
      </c>
      <c r="L4" s="59" t="s">
        <v>38</v>
      </c>
      <c r="M4" s="59" t="s">
        <v>31</v>
      </c>
    </row>
    <row r="5" spans="1:13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3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3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3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3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3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3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3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3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3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3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3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hyperlinks>
    <hyperlink ref="K4" r:id="rId1" display="https://us3.assetplanner.com/service_request?ID=098351" xr:uid="{4B5A71E6-A78D-42BC-95B7-4891AFA76D94}"/>
    <hyperlink ref="L4" r:id="rId2" display="https://us3.assetplanner.com/service_request?ID=100077" xr:uid="{024C44A5-9F8E-4729-B42D-495C97C8B858}"/>
    <hyperlink ref="M4" r:id="rId3" display="https://us3.assetplanner.com/service_request?ID=081787" xr:uid="{4E1E50AD-FE89-4E91-9F32-28433A36B14D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zoomScale="80" zoomScaleNormal="80" workbookViewId="0">
      <pane xSplit="2" ySplit="3" topLeftCell="D4" activePane="bottomRight" state="frozen"/>
      <selection pane="bottomRight" activeCell="K4" sqref="K4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MA: Norton - Wheaton College</v>
      </c>
      <c r="B1" s="62"/>
      <c r="C1" s="62"/>
      <c r="D1" s="63" t="s">
        <v>44</v>
      </c>
      <c r="E1" s="63"/>
      <c r="F1" s="63"/>
      <c r="G1" s="61" t="s">
        <v>45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SUM(C4:C79)</f>
        <v>45849</v>
      </c>
      <c r="D2" s="5">
        <f>SUM(D4:D79)</f>
        <v>0</v>
      </c>
      <c r="E2" s="5">
        <f>C2-D2</f>
        <v>45849</v>
      </c>
      <c r="F2" s="6">
        <f>IFERROR(E2/D2, 0)</f>
        <v>0</v>
      </c>
      <c r="G2" s="5">
        <f>SUM(G4:G79)</f>
        <v>0</v>
      </c>
      <c r="H2" s="7">
        <f>C2-G2</f>
        <v>45849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>
        <v>45849</v>
      </c>
      <c r="D4" s="12" t="s">
        <v>26</v>
      </c>
      <c r="E4" s="12" t="str">
        <f>IF(AND(ISNUMBER(C4),ISNUMBER(D4)), C4-D4, "")</f>
        <v/>
      </c>
      <c r="F4" s="13" t="str">
        <f>IFERROR(E4/D4, "")</f>
        <v/>
      </c>
      <c r="G4" s="55" t="s">
        <v>26</v>
      </c>
      <c r="H4" s="14" t="str">
        <f>IF(AND(ISNUMBER(C4),ISNUMBER(G4)), C4-G4, "")</f>
        <v/>
      </c>
      <c r="I4" s="15" t="str">
        <f>IFERROR(H4/G4, "")</f>
        <v/>
      </c>
      <c r="J4" s="36" t="s">
        <v>46</v>
      </c>
      <c r="K4" s="57" t="s">
        <v>47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hyperlinks>
    <hyperlink ref="K4" r:id="rId1" display="https://us3.assetplanner.com/service_request?ID=081787" xr:uid="{443D0C89-002D-4400-81AD-84AF35CC514E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D4" activePane="bottomRight" state="frozen"/>
      <selection pane="bottomRight" activeCell="H5" sqref="H5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MA: Norton - Wheaton College</v>
      </c>
      <c r="B1" s="62"/>
      <c r="C1" s="62"/>
      <c r="D1" s="63" t="s">
        <v>48</v>
      </c>
      <c r="E1" s="63"/>
      <c r="F1" s="63"/>
      <c r="G1" s="61" t="s">
        <v>49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D4" activePane="bottomRight" state="frozen"/>
      <selection pane="bottomRight" activeCell="H5" sqref="H5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MA: Norton - Wheaton College</v>
      </c>
      <c r="B1" s="62"/>
      <c r="C1" s="62"/>
      <c r="D1" s="63" t="s">
        <v>50</v>
      </c>
      <c r="E1" s="63"/>
      <c r="F1" s="63"/>
      <c r="G1" s="61" t="s">
        <v>51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D4" activePane="bottomRight" state="frozen"/>
      <selection pane="bottomRight" activeCell="H5" sqref="H5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MA: Norton - Wheaton College</v>
      </c>
      <c r="B1" s="62"/>
      <c r="C1" s="62"/>
      <c r="D1" s="63" t="s">
        <v>52</v>
      </c>
      <c r="E1" s="63"/>
      <c r="F1" s="63"/>
      <c r="G1" s="61" t="s">
        <v>53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D4" activePane="bottomRight" state="frozen"/>
      <selection pane="bottomRight" activeCell="H5" sqref="H5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MA: Norton - Wheaton College</v>
      </c>
      <c r="B1" s="62"/>
      <c r="C1" s="62"/>
      <c r="D1" s="63" t="s">
        <v>54</v>
      </c>
      <c r="E1" s="63"/>
      <c r="F1" s="63"/>
      <c r="G1" s="61" t="s">
        <v>55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D4" activePane="bottomRight" state="frozen"/>
      <selection pane="bottomRight" activeCell="H5" sqref="H5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MA: Norton - Wheaton College</v>
      </c>
      <c r="B1" s="62"/>
      <c r="C1" s="62"/>
      <c r="D1" s="63" t="s">
        <v>56</v>
      </c>
      <c r="E1" s="63"/>
      <c r="F1" s="63"/>
      <c r="G1" s="61" t="s">
        <v>57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4" activePane="bottomRight" state="frozen"/>
      <selection pane="bottomRight" activeCell="G14" sqref="G14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MA: Norton - Wheaton College</v>
      </c>
      <c r="B1" s="62"/>
      <c r="C1" s="62"/>
      <c r="D1" s="63" t="s">
        <v>58</v>
      </c>
      <c r="E1" s="63"/>
      <c r="F1" s="63"/>
      <c r="G1" s="61" t="s">
        <v>59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A4" sqref="A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60</v>
      </c>
      <c r="B1" t="s">
        <v>61</v>
      </c>
    </row>
    <row r="3" spans="1:12" ht="13.15">
      <c r="A3" t="s">
        <v>62</v>
      </c>
      <c r="B3" t="s">
        <v>3</v>
      </c>
      <c r="C3" t="s">
        <v>4</v>
      </c>
      <c r="D3" t="s">
        <v>63</v>
      </c>
      <c r="E3" s="2" t="s">
        <v>64</v>
      </c>
    </row>
    <row r="4" spans="1:12" ht="14.45">
      <c r="A4" s="45" t="s">
        <v>65</v>
      </c>
      <c r="B4" t="s">
        <v>61</v>
      </c>
      <c r="C4" s="43" t="s">
        <v>66</v>
      </c>
      <c r="D4" s="42" t="s">
        <v>67</v>
      </c>
      <c r="E4" t="s">
        <v>68</v>
      </c>
      <c r="G4" s="3"/>
    </row>
    <row r="5" spans="1:12" ht="14.45">
      <c r="A5" s="45"/>
      <c r="C5" s="43"/>
      <c r="D5" s="42"/>
      <c r="G5" s="3"/>
    </row>
    <row r="6" spans="1:12" ht="14.4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716282-BFD2-4ED2-BA47-BFA1123827F0}"/>
</file>

<file path=customXml/itemProps2.xml><?xml version="1.0" encoding="utf-8"?>
<ds:datastoreItem xmlns:ds="http://schemas.openxmlformats.org/officeDocument/2006/customXml" ds:itemID="{BE26B669-A686-459C-A5E9-FEC3409C4C81}"/>
</file>

<file path=customXml/itemProps3.xml><?xml version="1.0" encoding="utf-8"?>
<ds:datastoreItem xmlns:ds="http://schemas.openxmlformats.org/officeDocument/2006/customXml" ds:itemID="{D3A7101F-9A85-4235-8B03-415370C100B2}"/>
</file>

<file path=customXml/itemProps4.xml><?xml version="1.0" encoding="utf-8"?>
<ds:datastoreItem xmlns:ds="http://schemas.openxmlformats.org/officeDocument/2006/customXml" ds:itemID="{7946C510-7D04-49D8-9B25-EEC04582A1CA}"/>
</file>

<file path=customXml/itemProps5.xml><?xml version="1.0" encoding="utf-8"?>
<ds:datastoreItem xmlns:ds="http://schemas.openxmlformats.org/officeDocument/2006/customXml" ds:itemID="{F6B2B1A1-1C4B-4AC9-9A7D-7A102DD1C942}"/>
</file>

<file path=customXml/itemProps6.xml><?xml version="1.0" encoding="utf-8"?>
<ds:datastoreItem xmlns:ds="http://schemas.openxmlformats.org/officeDocument/2006/customXml" ds:itemID="{1954BBA4-0359-438C-B0EC-A756015F7C02}"/>
</file>

<file path=customXml/itemProps7.xml><?xml version="1.0" encoding="utf-8"?>
<ds:datastoreItem xmlns:ds="http://schemas.openxmlformats.org/officeDocument/2006/customXml" ds:itemID="{98A113BB-8B7A-453C-8BD4-8EFC67FC2D3F}"/>
</file>

<file path=customXml/itemProps8.xml><?xml version="1.0" encoding="utf-8"?>
<ds:datastoreItem xmlns:ds="http://schemas.openxmlformats.org/officeDocument/2006/customXml" ds:itemID="{14966E4F-347B-477B-B74C-9DAC05405806}"/>
</file>

<file path=customXml/itemProps9.xml><?xml version="1.0" encoding="utf-8"?>
<ds:datastoreItem xmlns:ds="http://schemas.openxmlformats.org/officeDocument/2006/customXml" ds:itemID="{CB52044A-5C0B-44A2-99D0-C1C315EC302D}"/>
</file>

<file path=customXml/itemProps10.xml><?xml version="1.0" encoding="utf-8"?>
<ds:datastoreItem xmlns:ds="http://schemas.openxmlformats.org/officeDocument/2006/customXml" ds:itemID="{F12EFA50-0068-4A8C-85A0-F1B26389EBC3}"/>
</file>

<file path=customXml/itemProps11.xml><?xml version="1.0" encoding="utf-8"?>
<ds:datastoreItem xmlns:ds="http://schemas.openxmlformats.org/officeDocument/2006/customXml" ds:itemID="{E20E8303-6A67-485C-B6F4-303542CC295C}"/>
</file>

<file path=customXml/itemProps12.xml><?xml version="1.0" encoding="utf-8"?>
<ds:datastoreItem xmlns:ds="http://schemas.openxmlformats.org/officeDocument/2006/customXml" ds:itemID="{3AEAA9D8-2182-46BA-A58E-96C72DDA1C54}"/>
</file>

<file path=customXml/itemProps13.xml><?xml version="1.0" encoding="utf-8"?>
<ds:datastoreItem xmlns:ds="http://schemas.openxmlformats.org/officeDocument/2006/customXml" ds:itemID="{8D732231-4216-4543-A665-18A2886B0EB7}"/>
</file>

<file path=customXml/itemProps14.xml><?xml version="1.0" encoding="utf-8"?>
<ds:datastoreItem xmlns:ds="http://schemas.openxmlformats.org/officeDocument/2006/customXml" ds:itemID="{078388C9-06F9-42F4-B857-EF76B5CAF1FD}"/>
</file>

<file path=customXml/itemProps15.xml><?xml version="1.0" encoding="utf-8"?>
<ds:datastoreItem xmlns:ds="http://schemas.openxmlformats.org/officeDocument/2006/customXml" ds:itemID="{BF5C6359-7763-4C37-8EAF-2BC4698CB285}"/>
</file>

<file path=customXml/itemProps16.xml><?xml version="1.0" encoding="utf-8"?>
<ds:datastoreItem xmlns:ds="http://schemas.openxmlformats.org/officeDocument/2006/customXml" ds:itemID="{66B09F59-6532-46F8-924A-9A02417E070D}"/>
</file>

<file path=customXml/itemProps17.xml><?xml version="1.0" encoding="utf-8"?>
<ds:datastoreItem xmlns:ds="http://schemas.openxmlformats.org/officeDocument/2006/customXml" ds:itemID="{0389C43E-394D-44C0-87DC-4780FCFCFB40}"/>
</file>

<file path=customXml/itemProps18.xml><?xml version="1.0" encoding="utf-8"?>
<ds:datastoreItem xmlns:ds="http://schemas.openxmlformats.org/officeDocument/2006/customXml" ds:itemID="{89CF5C07-45EB-4100-9AFB-2C6AF77FA787}"/>
</file>

<file path=customXml/itemProps19.xml><?xml version="1.0" encoding="utf-8"?>
<ds:datastoreItem xmlns:ds="http://schemas.openxmlformats.org/officeDocument/2006/customXml" ds:itemID="{2BC74AAC-D69B-4AF1-9649-B21EF3C1C463}"/>
</file>

<file path=customXml/itemProps20.xml><?xml version="1.0" encoding="utf-8"?>
<ds:datastoreItem xmlns:ds="http://schemas.openxmlformats.org/officeDocument/2006/customXml" ds:itemID="{2A33E645-D795-4483-8612-D16FAD979C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2025-07-17T05:23:32Z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