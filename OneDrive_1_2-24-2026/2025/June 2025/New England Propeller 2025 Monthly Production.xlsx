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E52ED33-28B5-4924-B998-B652A4E37FD7}" xr6:coauthVersionLast="47" xr6:coauthVersionMax="47" xr10:uidLastSave="{00000000-0000-0000-0000-000000000000}"/>
  <bookViews>
    <workbookView xWindow="-108" yWindow="-108" windowWidth="23256" windowHeight="12456" tabRatio="866" firstSheet="5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E4" i="30"/>
  <c r="F4" i="30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<sst xmlns="http://schemas.openxmlformats.org/spreadsheetml/2006/main" count="252" uniqueCount="61">
  <si>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</si>
  <si>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</si>
  <si>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</si>
  <si>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</si>
  <si>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</si>
  <si>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</si>
  <si>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</si>
  <si>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</si>
  <si>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</si>
  <si>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</si>
  <si>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</si>
  <si>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</si>
  <si>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</si>
  <si>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</si>
  <si>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</si>
  <si>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</si>
  <si>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</si>
  <si>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</si>
  <si>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</si>
  <si>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</si>
  <si>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</si>
  <si>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</si>
  <si>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</si>
  <si>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not started for production on 01/20, 01/21, 01/22 and low production 01/23, 01/24, 01/25 01/26 due to snow event.</t>
  </si>
  <si>
    <t>February Actual v. Expected</t>
  </si>
  <si>
    <t>February Actual v. Forecasted</t>
  </si>
  <si>
    <t>1. Site was not started for production on 02/09, 02/10, 02/11, 02/12, 02/13, 02/16 due to heavy snow.</t>
  </si>
  <si>
    <t>March Actual v. Expected</t>
  </si>
  <si>
    <t>March Actual v. Forecasted</t>
  </si>
  <si>
    <t>1.Low genaration on 03/05,03/17,03/24 due to rain.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</si>
  <si>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</si>
  <si>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</si>
  <si>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</si>
  <si>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</si>
  <si>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</si>
  <si>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</si>
  <si>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</si>
  <si>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</si>
  <si>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</si>
  <si>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</si>
  <si>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</si>
  <si>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</si>
  <si>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</si>
  <si>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</si>
  <si>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</si>
  <si>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</si>
  <si>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</si>
  <si>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</si>
  <si>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</si>
  <si>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</si>
  <si>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</si>
  <si>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</si>
  <si>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</si>
  <si>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</si>
  <si>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</si>
  <si>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</si>
  <si>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</si>
  <si>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</si>
  <si>
    <t>1. Site has low production on 06/09, 06/10, 06/17, 06/18 due to low irradiance.</t>
  </si>
  <si>
    <t>1. Site has low production on 05/04, 05/05, 05/06,05/09, 05/15, 05/21, 05/22, due to low irradiance.</t>
  </si>
  <si>
    <t>1. Site has low production on 04/03, 04/05, 04/06, 04/07, 04/12,  due to low irradiance.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</si>
</sst>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3" fontId="30" fillId="3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New England Propeller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 x14ac:dyDescent="0.25">
      <c r="A2" s="45" t="s">
        <v>2</v>
      </c>
      <c r="B2" s="45"/>
      <c r="C2" s="5">
        <f>SUM(C4:C58)</f>
        <v>60152</v>
      </c>
      <c r="D2" s="5">
        <f>SUM(D4:D58)</f>
        <v>0</v>
      </c>
      <c r="E2" s="5">
        <f>C2-D2</f>
        <v>60152</v>
      </c>
      <c r="F2" s="6">
        <f>IFERROR(E2/D2, 0)</f>
        <v>0</v>
      </c>
      <c r="G2" s="5">
        <f>SUM(G4:G58)</f>
        <v>75553.764999999999</v>
      </c>
      <c r="H2" s="7">
        <f>C2-G2</f>
        <v>-15401.764999999999</v>
      </c>
      <c r="I2" s="6">
        <f>IFERROR(H2/G2, 0)</f>
        <v>-0.20385172069188079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60152</v>
      </c>
      <c r="D4" s="11">
        <f>SUM('1st Qtr'!D4, '2nd Qtr'!D4, '3rd Qtr'!D4, '4th Qtr'!D4)</f>
        <v>0</v>
      </c>
      <c r="E4" s="11">
        <f>IF(AND(ISNUMBER(C4),ISNUMBER(D4)), C4-D4, "")</f>
        <v>60152</v>
      </c>
      <c r="F4" s="12" t="str">
        <f>IFERROR(E4/D4, "")</f>
        <v/>
      </c>
      <c r="G4" s="13">
        <f>SUM('1st Qtr'!G4, '2nd Qtr'!G4, '3rd Qtr'!G4, '4th Qtr'!G4)</f>
        <v>75553.764999999999</v>
      </c>
      <c r="H4" s="13">
        <f>SUM('1st Qtr'!H4, '2nd Qtr'!H4, '3rd Qtr'!H4, '4th Qtr'!H4)</f>
        <v>-15401.764999999999</v>
      </c>
      <c r="I4" s="14">
        <f>IFERROR(H4/G4, "")</f>
        <v>-0.20385172069188079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E19" sqref="E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New England Propeller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 x14ac:dyDescent="0.25">
      <c r="A2" s="45" t="s">
        <v>2</v>
      </c>
      <c r="B2" s="45"/>
      <c r="C2" s="5">
        <f>SUM(C4:C58)</f>
        <v>21602.75</v>
      </c>
      <c r="D2" s="5">
        <f>SUM(D4:D58)</f>
        <v>0</v>
      </c>
      <c r="E2" s="5">
        <f>C2-D2</f>
        <v>21602.75</v>
      </c>
      <c r="F2" s="6">
        <f>IFERROR(E2/D2, 0)</f>
        <v>0</v>
      </c>
      <c r="G2" s="5">
        <f>SUM(G4:G58)</f>
        <v>27183.436000000002</v>
      </c>
      <c r="H2" s="7">
        <f>C2-G2</f>
        <v>-5580.6860000000015</v>
      </c>
      <c r="I2" s="6">
        <f>IFERROR(H2/G2, 0)</f>
        <v>-0.20529729942896113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21602.75</v>
      </c>
      <c r="D4" s="11">
        <f>SUM(Jan!D4, Feb!D4, Mar!D4)</f>
        <v>0</v>
      </c>
      <c r="E4" s="11">
        <f>IF(AND(ISNUMBER(C4),ISNUMBER(D4)), C4-D4, "")</f>
        <v>21602.75</v>
      </c>
      <c r="F4" s="12" t="str">
        <f>IFERROR(E4/D4, "")</f>
        <v/>
      </c>
      <c r="G4" s="13">
        <f>SUM(Jan!G4, Feb!G4, Mar!G4)</f>
        <v>27183.436000000002</v>
      </c>
      <c r="H4" s="13">
        <f>SUM(Jan!H4, Feb!H4, Mar!H4)</f>
        <v>-5580.6860000000006</v>
      </c>
      <c r="I4" s="14">
        <f>IFERROR(H4/G4, "")</f>
        <v>-0.20529729942896108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New England Propeller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 x14ac:dyDescent="0.25">
      <c r="A2" s="45" t="s">
        <v>2</v>
      </c>
      <c r="B2" s="45"/>
      <c r="C2" s="5">
        <f>SUM(C4:C58)</f>
        <v>38549.25</v>
      </c>
      <c r="D2" s="5">
        <f>SUM(D4:D58)</f>
        <v>0</v>
      </c>
      <c r="E2" s="5">
        <f>C2-D2</f>
        <v>38549.25</v>
      </c>
      <c r="F2" s="6">
        <f>IFERROR(E2/D2, 0)</f>
        <v>0</v>
      </c>
      <c r="G2" s="5">
        <f>SUM(G4:G58)</f>
        <v>48370.328999999998</v>
      </c>
      <c r="H2" s="7">
        <f>C2-G2</f>
        <v>-9821.0789999999979</v>
      </c>
      <c r="I2" s="6">
        <f>IFERROR(H2/G2, 0)</f>
        <v>-0.20303932602980637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38549.25</v>
      </c>
      <c r="D4" s="11">
        <f>SUM(Apr!D4, May!D4, Jun!D4)</f>
        <v>0</v>
      </c>
      <c r="E4" s="11">
        <f>IF(AND(ISNUMBER(C4),ISNUMBER(D4)), C4-D4, "")</f>
        <v>38549.25</v>
      </c>
      <c r="F4" s="12" t="str">
        <f>IFERROR(E4/D4, "")</f>
        <v/>
      </c>
      <c r="G4" s="13">
        <f>SUM(Apr!G4,May!G4,Jun!G4)</f>
        <v>48370.328999999998</v>
      </c>
      <c r="H4" s="13">
        <f>SUM(Apr!H4, May!H4, Jun!H4)</f>
        <v>-9821.0789999999979</v>
      </c>
      <c r="I4" s="14">
        <f>IFERROR(H4/G4, "")</f>
        <v>-0.20303932602980637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New England Propeller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3" t="str" cm="1">
        <f t="array" ref="A1">portfolio</f>
        <v>New England Propeller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C4" activePane="bottomRight" state="frozen"/>
      <selection pane="topRight" activeCell="B13" sqref="B13"/>
      <selection pane="bottomLeft" activeCell="B13" sqref="B13"/>
      <selection pane="bottomRight" activeCell="C11" sqref="C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SUM(C4:C57)</f>
        <v>4554.75</v>
      </c>
      <c r="D2" s="5">
        <f>SUM(D4:D57)</f>
        <v>0</v>
      </c>
      <c r="E2" s="5">
        <f>C2-D2</f>
        <v>4554.75</v>
      </c>
      <c r="F2" s="6">
        <f>IFERROR(E2/D2, 0)</f>
        <v>0</v>
      </c>
      <c r="G2" s="5">
        <f>SUM(G4:G57)</f>
        <v>6298.7</v>
      </c>
      <c r="H2" s="7">
        <f>C2-G2</f>
        <v>-1743.9499999999998</v>
      </c>
      <c r="I2" s="6">
        <f>IFERROR(H2/G2, 0)</f>
        <v>-0.27687459317001917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8" x14ac:dyDescent="0.3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4554.75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40">
        <v>6298.7</v>
      </c>
      <c r="H4" s="13">
        <f>IF(AND(ISNUMBER(C4),ISNUMBER(G4)), C4-G4, "")</f>
        <v>-1743.9499999999998</v>
      </c>
      <c r="I4" s="14">
        <f>IFERROR(H4/G4, "")</f>
        <v>-0.27687459317001917</v>
      </c>
      <c r="J4" s="32" t="s">
        <v>23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D4" activePane="bottomRight" state="frozen"/>
      <selection pane="topRight" activeCell="H18" sqref="H18"/>
      <selection pane="bottomLeft" activeCell="H18" sqref="H18"/>
      <selection pane="bottomRight" activeCell="D11" sqref="D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6076</v>
      </c>
      <c r="D2" s="5">
        <f>SUM(D4:D58)</f>
        <v>0</v>
      </c>
      <c r="E2" s="5">
        <f>C2-D2</f>
        <v>6076</v>
      </c>
      <c r="F2" s="6">
        <f>IFERROR(E2/D2, 0)</f>
        <v>0</v>
      </c>
      <c r="G2" s="5">
        <f>SUM(G4:G58)</f>
        <v>8170.6</v>
      </c>
      <c r="H2" s="7">
        <f>C2-G2</f>
        <v>-2094.6000000000004</v>
      </c>
      <c r="I2" s="6">
        <f>IFERROR(H2/G2, 0)</f>
        <v>-0.25635816219127117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8" x14ac:dyDescent="0.3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6076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8170.6</v>
      </c>
      <c r="H4" s="13">
        <f>IF(AND(ISNUMBER(C4),ISNUMBER(G4)), C4-G4, "")</f>
        <v>-2094.6000000000004</v>
      </c>
      <c r="I4" s="14">
        <f>IFERROR(H4/G4, "")</f>
        <v>-0.25635816219127117</v>
      </c>
      <c r="J4" s="32" t="s">
        <v>26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G20" sqref="G2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27</v>
      </c>
      <c r="E1" s="44"/>
      <c r="F1" s="44"/>
      <c r="G1" s="42" t="s">
        <v>28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10972</v>
      </c>
      <c r="D2" s="5">
        <f>SUM(D4:D58)</f>
        <v>0</v>
      </c>
      <c r="E2" s="5">
        <f>C2-D2</f>
        <v>10972</v>
      </c>
      <c r="F2" s="6">
        <f>IFERROR(E2/D2, 0)</f>
        <v>0</v>
      </c>
      <c r="G2" s="5">
        <f>SUM(G4:G58)</f>
        <v>12714.136</v>
      </c>
      <c r="H2" s="7">
        <f>C2-G2</f>
        <v>-1742.1360000000004</v>
      </c>
      <c r="I2" s="6">
        <f>IFERROR(H2/G2, 0)</f>
        <v>-0.13702354607501449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10972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12714.136</v>
      </c>
      <c r="H4" s="13">
        <f>IF(AND(ISNUMBER(C4),ISNUMBER(G4)), C4-G4, "")</f>
        <v>-1742.1360000000004</v>
      </c>
      <c r="I4" s="14">
        <f>IFERROR(H4/G4, "")</f>
        <v>-0.13702354607501449</v>
      </c>
      <c r="J4" s="32" t="s">
        <v>29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tabSelected="1" zoomScale="80" zoomScaleNormal="80"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12540</v>
      </c>
      <c r="D2" s="5">
        <f>SUM(D4:D58)</f>
        <v>0</v>
      </c>
      <c r="E2" s="5">
        <f>C2-D2</f>
        <v>12540</v>
      </c>
      <c r="F2" s="6">
        <f>IFERROR(E2/D2, 0)</f>
        <v>0</v>
      </c>
      <c r="G2" s="5">
        <f>SUM(G4:G58)</f>
        <v>14384.657999999999</v>
      </c>
      <c r="H2" s="7">
        <f>C2-G2</f>
        <v>-1844.6579999999994</v>
      </c>
      <c r="I2" s="6">
        <f>IFERROR(H2/G2, 0)</f>
        <v>-0.12823787677120996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8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12540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14384.657999999999</v>
      </c>
      <c r="H4" s="13">
        <f>IF(AND(ISNUMBER(C4),ISNUMBER(G4)), C4-G4, "")</f>
        <v>-1844.6579999999994</v>
      </c>
      <c r="I4" s="14">
        <f>IFERROR(H4/G4, "")</f>
        <v>-0.12823787677120996</v>
      </c>
      <c r="J4" s="32" t="s">
        <v>60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D4" activePane="bottomRight" state="frozen"/>
      <selection pane="topRight" activeCell="H18" sqref="H18"/>
      <selection pane="bottomLeft" activeCell="H18" sqref="H18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12431.5</v>
      </c>
      <c r="D2" s="5">
        <f>SUM(D4:D58)</f>
        <v>0</v>
      </c>
      <c r="E2" s="5">
        <f>C2-D2</f>
        <v>12431.5</v>
      </c>
      <c r="F2" s="6">
        <f>IFERROR(E2/D2, 0)</f>
        <v>0</v>
      </c>
      <c r="G2" s="5">
        <f>SUM(G4:G58)</f>
        <v>16962.787</v>
      </c>
      <c r="H2" s="7">
        <f>C2-G2</f>
        <v>-4531.2870000000003</v>
      </c>
      <c r="I2" s="6">
        <f>IFERROR(H2/G2, 0)</f>
        <v>-0.26713104397290377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8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12431.5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16962.787</v>
      </c>
      <c r="H4" s="13">
        <f>IF(AND(ISNUMBER(C4),ISNUMBER(G4)), C4-G4, "")</f>
        <v>-4531.2870000000003</v>
      </c>
      <c r="I4" s="14">
        <f>IFERROR(H4/G4, "")</f>
        <v>-0.26713104397290377</v>
      </c>
      <c r="J4" s="32" t="s">
        <v>59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D4" activePane="bottomRight" state="frozen"/>
      <selection pane="topRight" activeCell="H18" sqref="H18"/>
      <selection pane="bottomLeft" activeCell="H18" sqref="H18"/>
      <selection pane="bottomRight" activeCell="J4" sqref="J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13577.75</v>
      </c>
      <c r="D2" s="5">
        <f>SUM(D4:D58)</f>
        <v>0</v>
      </c>
      <c r="E2" s="5">
        <f>C2-D2</f>
        <v>13577.75</v>
      </c>
      <c r="F2" s="6">
        <f>IFERROR(E2/D2, 0)</f>
        <v>0</v>
      </c>
      <c r="G2" s="5">
        <f>SUM(G4:G58)</f>
        <v>17022.883999999998</v>
      </c>
      <c r="H2" s="7">
        <f>C2-G2</f>
        <v>-3445.1339999999982</v>
      </c>
      <c r="I2" s="6">
        <f>IFERROR(H2/G2, 0)</f>
        <v>-0.20238251050762013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13577.75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17022.883999999998</v>
      </c>
      <c r="H4" s="13">
        <f>IF(AND(ISNUMBER(C4),ISNUMBER(G4)), C4-G4, "")</f>
        <v>-3445.1339999999982</v>
      </c>
      <c r="I4" s="14">
        <f>IFERROR(H4/G4, "")</f>
        <v>-0.20238251050762013</v>
      </c>
      <c r="J4" s="32" t="s">
        <v>58</v>
      </c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topRight" activeCell="H18" sqref="H18"/>
      <selection pane="bottomLeft" activeCell="H18" sqref="H18"/>
      <selection pane="bottomRight" activeCell="H18" sqref="H1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3" t="str" cm="1">
        <f t="array" ref="A1">portfolio</f>
        <v>New England Propeller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4"/>
      <c r="K1" s="4"/>
    </row>
    <row r="2" spans="1:11" ht="19.5" customHeight="1" x14ac:dyDescent="0.25">
      <c r="A2" s="45" t="s">
        <v>2</v>
      </c>
      <c r="B2" s="45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48</v>
      </c>
      <c r="B1" t="s">
        <v>49</v>
      </c>
    </row>
    <row r="3" spans="1:12" ht="13.2" x14ac:dyDescent="0.2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" x14ac:dyDescent="0.3">
      <c r="A4" s="38" t="s">
        <v>53</v>
      </c>
      <c r="B4" t="s">
        <v>54</v>
      </c>
      <c r="C4" s="36" t="s">
        <v>55</v>
      </c>
      <c r="D4" s="35" t="s">
        <v>56</v>
      </c>
      <c r="E4" t="s">
        <v>57</v>
      </c>
      <c r="G4" s="3"/>
    </row>
    <row r="5" spans="1:12" ht="14.4" x14ac:dyDescent="0.3">
      <c r="A5" s="38"/>
      <c r="C5" s="36"/>
      <c r="D5" s="35"/>
      <c r="G5" s="3"/>
    </row>
    <row r="6" spans="1:12" ht="14.4" x14ac:dyDescent="0.3">
      <c r="A6" s="38"/>
      <c r="C6" s="36"/>
      <c r="D6" s="35"/>
      <c r="G6" s="3"/>
    </row>
    <row r="7" spans="1:12" ht="12.75" customHeight="1" x14ac:dyDescent="0.25">
      <c r="A7" s="38"/>
      <c r="C7" s="36"/>
      <c r="D7" s="35"/>
    </row>
    <row r="8" spans="1:12" ht="12.75" customHeight="1" x14ac:dyDescent="0.25">
      <c r="A8" s="38"/>
      <c r="C8" s="36"/>
      <c r="D8" s="35"/>
    </row>
    <row r="9" spans="1:12" ht="12.75" customHeight="1" x14ac:dyDescent="0.25">
      <c r="A9" s="38"/>
      <c r="C9" s="36"/>
      <c r="D9" s="35"/>
    </row>
    <row r="10" spans="1:12" ht="12.75" customHeight="1" x14ac:dyDescent="0.25">
      <c r="A10" s="38"/>
      <c r="C10" s="36"/>
      <c r="D10" s="35"/>
      <c r="K10" s="33"/>
      <c r="L10" s="33"/>
    </row>
    <row r="11" spans="1:12" ht="12.75" customHeight="1" x14ac:dyDescent="0.25">
      <c r="A11" s="38"/>
      <c r="C11" s="36"/>
      <c r="D11" s="35"/>
      <c r="K11" s="33"/>
      <c r="L11" s="33"/>
    </row>
    <row r="12" spans="1:12" ht="12.75" customHeight="1" x14ac:dyDescent="0.25">
      <c r="A12" s="38"/>
      <c r="C12" s="36"/>
      <c r="D12" s="35"/>
      <c r="K12" s="33"/>
      <c r="L12" s="33"/>
    </row>
    <row r="13" spans="1:12" ht="12.75" customHeight="1" x14ac:dyDescent="0.25">
      <c r="A13" s="38"/>
      <c r="C13" s="36"/>
      <c r="D13" s="35"/>
      <c r="K13" s="33"/>
      <c r="L13" s="33"/>
    </row>
    <row r="14" spans="1:12" ht="12.75" customHeight="1" x14ac:dyDescent="0.25">
      <c r="A14" s="38"/>
      <c r="C14" s="36"/>
      <c r="D14" s="35"/>
      <c r="K14" s="33"/>
      <c r="L14" s="33"/>
    </row>
    <row r="15" spans="1:12" ht="12.75" customHeight="1" x14ac:dyDescent="0.25">
      <c r="A15" s="38"/>
      <c r="C15" s="36"/>
      <c r="D15" s="35"/>
      <c r="K15" s="33"/>
      <c r="L15" s="33"/>
    </row>
    <row r="16" spans="1:12" ht="12.75" customHeight="1" x14ac:dyDescent="0.25">
      <c r="A16" s="38"/>
      <c r="C16" s="36"/>
      <c r="D16" s="35"/>
      <c r="K16" s="33"/>
      <c r="L16" s="33"/>
    </row>
    <row r="17" spans="1:12" ht="12.75" customHeight="1" x14ac:dyDescent="0.25">
      <c r="A17" s="38"/>
      <c r="C17" s="36"/>
      <c r="D17" s="35"/>
      <c r="K17" s="33"/>
      <c r="L17" s="33"/>
    </row>
    <row r="18" spans="1:12" ht="12.75" customHeight="1" x14ac:dyDescent="0.25">
      <c r="A18" s="38"/>
      <c r="C18" s="36"/>
      <c r="D18" s="35"/>
      <c r="K18" s="33"/>
      <c r="L18" s="33"/>
    </row>
    <row r="19" spans="1:12" ht="12.75" customHeight="1" x14ac:dyDescent="0.25">
      <c r="A19" s="38"/>
      <c r="C19" s="36"/>
      <c r="D19" s="35"/>
      <c r="K19" s="33"/>
      <c r="L19" s="33"/>
    </row>
    <row r="20" spans="1:12" ht="12.75" customHeight="1" x14ac:dyDescent="0.25">
      <c r="A20" s="38"/>
      <c r="C20" s="36"/>
      <c r="D20" s="35"/>
      <c r="K20" s="33"/>
      <c r="L20" s="33"/>
    </row>
    <row r="21" spans="1:12" ht="12.75" customHeight="1" x14ac:dyDescent="0.25">
      <c r="A21" s="38"/>
      <c r="C21" s="36"/>
      <c r="D21" s="35"/>
      <c r="K21" s="33"/>
      <c r="L21" s="33"/>
    </row>
    <row r="22" spans="1:12" ht="12.75" customHeight="1" x14ac:dyDescent="0.25">
      <c r="A22" s="38"/>
      <c r="C22" s="36"/>
      <c r="D22" s="35"/>
      <c r="K22" s="33"/>
      <c r="L22" s="33"/>
    </row>
    <row r="23" spans="1:12" ht="12.75" customHeight="1" x14ac:dyDescent="0.25">
      <c r="A23" s="38"/>
      <c r="C23" s="36"/>
      <c r="D23" s="35"/>
      <c r="K23" s="33"/>
      <c r="L23" s="33"/>
    </row>
    <row r="24" spans="1:12" ht="12.75" customHeight="1" x14ac:dyDescent="0.25">
      <c r="A24" s="38"/>
      <c r="C24" s="36"/>
      <c r="D24" s="35"/>
      <c r="K24" s="33"/>
      <c r="L24" s="33"/>
    </row>
    <row r="25" spans="1:12" ht="12.75" customHeight="1" x14ac:dyDescent="0.25">
      <c r="A25" s="38"/>
      <c r="C25" s="36"/>
      <c r="D25" s="35"/>
      <c r="K25" s="33"/>
      <c r="L25" s="33"/>
    </row>
    <row r="26" spans="1:12" ht="12.75" customHeight="1" x14ac:dyDescent="0.25">
      <c r="K26" s="33"/>
      <c r="L26" s="33"/>
    </row>
    <row r="27" spans="1:12" ht="12.75" customHeight="1" x14ac:dyDescent="0.25">
      <c r="K27" s="33"/>
      <c r="L27" s="33"/>
    </row>
    <row r="28" spans="1:12" ht="12.75" customHeight="1" x14ac:dyDescent="0.25">
      <c r="K28" s="33"/>
      <c r="L28" s="33"/>
    </row>
    <row r="29" spans="1:12" ht="12.75" customHeight="1" x14ac:dyDescent="0.25">
      <c r="K29" s="33"/>
      <c r="L29" s="33"/>
    </row>
    <row r="30" spans="1:12" ht="12.75" customHeight="1" x14ac:dyDescent="0.25">
      <c r="K30" s="33"/>
      <c r="L30" s="33"/>
    </row>
    <row r="31" spans="1:12" ht="12.75" customHeight="1" x14ac:dyDescent="0.25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2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F7D51BC7-220D-4F57-A2CF-68C2F8C7B8CE}"/>
</file>

<file path=customXml/itemProps1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2025-07-17T05:42:12Z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