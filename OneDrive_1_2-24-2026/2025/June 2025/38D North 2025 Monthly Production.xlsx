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E9DF837-35A1-4EA9-8AE1-BAB23FB90E5D}" xr6:coauthVersionLast="47" xr6:coauthVersionMax="47" xr10:uidLastSave="{00000000-0000-0000-0000-000000000000}"/>
  <bookViews>
    <workbookView xWindow="-108" yWindow="-108" windowWidth="23256" windowHeight="12456"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20" l="1"/>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c r="H21" i="31"/>
  <c r="I21" i="31" s="1"/>
  <c r="H22" i="31"/>
  <c r="I22" i="31" s="1"/>
  <c r="H23" i="31"/>
  <c r="I23" i="31" s="1"/>
  <c r="H24" i="31"/>
  <c r="I24" i="31" s="1"/>
  <c r="E18" i="31"/>
  <c r="F18" i="31" s="1"/>
  <c r="E19" i="31"/>
  <c r="F19" i="31" s="1"/>
  <c r="E20" i="31"/>
  <c r="F20" i="31"/>
  <c r="E21" i="31"/>
  <c r="F21" i="31"/>
  <c r="E22" i="31"/>
  <c r="F22" i="31" s="1"/>
  <c r="E23" i="31"/>
  <c r="F23" i="31" s="1"/>
  <c r="E24" i="31"/>
  <c r="F24" i="31"/>
  <c r="H18" i="28" l="1"/>
  <c r="I18" i="28" s="1"/>
  <c r="H19" i="28"/>
  <c r="I19" i="28" s="1"/>
  <c r="H20" i="28"/>
  <c r="I20" i="28" s="1"/>
  <c r="H21" i="28"/>
  <c r="I21" i="28" s="1"/>
  <c r="H22" i="28"/>
  <c r="I22" i="28" s="1"/>
  <c r="H23" i="28"/>
  <c r="I23" i="28" s="1"/>
  <c r="H24" i="28"/>
  <c r="I24" i="28" s="1"/>
  <c r="F21" i="28"/>
  <c r="E18" i="28"/>
  <c r="F18" i="28" s="1"/>
  <c r="E19" i="28"/>
  <c r="F19" i="28" s="1"/>
  <c r="E20" i="28"/>
  <c r="F20" i="28" s="1"/>
  <c r="E21" i="28"/>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I23" i="27"/>
  <c r="H18" i="27"/>
  <c r="I18" i="27" s="1"/>
  <c r="H19" i="27"/>
  <c r="I19" i="27" s="1"/>
  <c r="H20" i="27"/>
  <c r="I20" i="27" s="1"/>
  <c r="H21" i="27"/>
  <c r="I21" i="27" s="1"/>
  <c r="H22" i="27"/>
  <c r="I22" i="27" s="1"/>
  <c r="H23" i="27"/>
  <c r="H24" i="27"/>
  <c r="I24" i="27" s="1"/>
  <c r="E18" i="27"/>
  <c r="F18" i="27" s="1"/>
  <c r="E19" i="27"/>
  <c r="F19" i="27" s="1"/>
  <c r="E20" i="27"/>
  <c r="F20" i="27" s="1"/>
  <c r="E21" i="27"/>
  <c r="F21" i="27" s="1"/>
  <c r="E22" i="27"/>
  <c r="F22" i="27" s="1"/>
  <c r="E23" i="27"/>
  <c r="F23" i="27" s="1"/>
  <c r="E24" i="27"/>
  <c r="F24" i="27" s="1"/>
  <c r="I21" i="26"/>
  <c r="H18" i="26"/>
  <c r="I18" i="26" s="1"/>
  <c r="H19" i="26"/>
  <c r="I19" i="26" s="1"/>
  <c r="H20" i="26"/>
  <c r="I20" i="26" s="1"/>
  <c r="H21" i="26"/>
  <c r="H22" i="26"/>
  <c r="I22" i="26" s="1"/>
  <c r="H23" i="26"/>
  <c r="I23" i="26" s="1"/>
  <c r="H24" i="26"/>
  <c r="I24" i="26" s="1"/>
  <c r="F19" i="26"/>
  <c r="E18" i="26"/>
  <c r="F18" i="26" s="1"/>
  <c r="E19" i="26"/>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C18" i="29" l="1"/>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18" i="30"/>
  <c r="D18" i="30"/>
  <c r="H18" i="30"/>
  <c r="I18" i="30" s="1"/>
  <c r="C19" i="30"/>
  <c r="C19" i="34" s="1"/>
  <c r="D19" i="30"/>
  <c r="D19" i="34" s="1"/>
  <c r="H19" i="30"/>
  <c r="I19" i="30" s="1"/>
  <c r="C20" i="30"/>
  <c r="D20" i="30"/>
  <c r="H20" i="30"/>
  <c r="I20" i="30" s="1"/>
  <c r="C21" i="30"/>
  <c r="D21" i="30"/>
  <c r="H21" i="30"/>
  <c r="I21" i="30" s="1"/>
  <c r="C22" i="30"/>
  <c r="D22" i="30"/>
  <c r="H22" i="30"/>
  <c r="I22" i="30" s="1"/>
  <c r="C23" i="30"/>
  <c r="D23" i="30"/>
  <c r="H23" i="30"/>
  <c r="I23" i="30" s="1"/>
  <c r="C24" i="30"/>
  <c r="D24" i="30"/>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30"/>
  <c r="D16" i="30"/>
  <c r="C17" i="30"/>
  <c r="D17" i="30"/>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E10" i="30"/>
  <c r="F10" i="30" s="1"/>
  <c r="C8" i="34"/>
  <c r="D22" i="34"/>
  <c r="E20" i="30"/>
  <c r="F20" i="30" s="1"/>
  <c r="E11" i="30"/>
  <c r="F11" i="30" s="1"/>
  <c r="E15" i="30"/>
  <c r="F15" i="30" s="1"/>
  <c r="E17" i="30"/>
  <c r="F17" i="30" s="1"/>
  <c r="D17" i="34"/>
  <c r="D15" i="34"/>
  <c r="D13" i="34"/>
  <c r="D10" i="34"/>
  <c r="C10" i="34"/>
  <c r="D6" i="34"/>
  <c r="E6" i="34" s="1"/>
  <c r="F6" i="34" s="1"/>
  <c r="D8" i="34"/>
  <c r="D7" i="34"/>
  <c r="C5" i="34"/>
  <c r="H18" i="34"/>
  <c r="I18" i="34" s="1"/>
  <c r="E19" i="34"/>
  <c r="F19" i="34" s="1"/>
  <c r="D16" i="34"/>
  <c r="E8" i="30"/>
  <c r="F8" i="30" s="1"/>
  <c r="E12" i="30"/>
  <c r="F12" i="30" s="1"/>
  <c r="E13" i="30"/>
  <c r="F13" i="30" s="1"/>
  <c r="D20" i="34"/>
  <c r="C9" i="34"/>
  <c r="E16" i="30"/>
  <c r="F16" i="30" s="1"/>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E19" i="30"/>
  <c r="F19" i="30" s="1"/>
  <c r="H9" i="29"/>
  <c r="E9" i="30"/>
  <c r="F9" i="30" s="1"/>
  <c r="E6" i="18"/>
  <c r="F6" i="18" s="1"/>
  <c r="E10" i="18"/>
  <c r="F10" i="18" s="1"/>
  <c r="E14" i="18"/>
  <c r="F14" i="18" s="1"/>
  <c r="E6" i="29"/>
  <c r="F6" i="29" s="1"/>
  <c r="E10" i="29"/>
  <c r="F10" i="29" s="1"/>
  <c r="E14" i="29"/>
  <c r="F14" i="29" s="1"/>
  <c r="E6" i="30"/>
  <c r="F6" i="30" s="1"/>
  <c r="H17" i="29"/>
  <c r="E21" i="30"/>
  <c r="F21" i="30" s="1"/>
  <c r="E21" i="1"/>
  <c r="F21" i="1" s="1"/>
  <c r="H24" i="1"/>
  <c r="I24" i="1" s="1"/>
  <c r="H23" i="1"/>
  <c r="I23" i="1" s="1"/>
  <c r="H21" i="1"/>
  <c r="I21" i="1" s="1"/>
  <c r="E24" i="30"/>
  <c r="F24" i="30" s="1"/>
  <c r="E23" i="30"/>
  <c r="F23" i="30" s="1"/>
  <c r="E22" i="30"/>
  <c r="F22" i="30" s="1"/>
  <c r="E18" i="30"/>
  <c r="F18" i="30"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13" i="34" l="1"/>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<sst xmlns="http://schemas.openxmlformats.org/spreadsheetml/2006/main" count="551" uniqueCount="262">
  <si>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</si>
  <si>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</si>
  <si>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</si>
  <si>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</si>
  <si>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</si>
  <si>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</si>
  <si>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</si>
  <si>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</si>
  <si>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</si>
  <si>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</si>
  <si>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</si>
  <si>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</si>
  <si>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</si>
  <si>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</si>
  <si>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</si>
  <si>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</si>
  <si>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</si>
  <si>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</si>
  <si>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</si>
  <si>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</si>
  <si>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</si>
  <si>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</si>
  <si>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</si>
  <si>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</si>
  <si>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</si>
  <si>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</si>
  <si>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</si>
  <si>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</si>
  <si>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</si>
  <si>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</si>
  <si>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</si>
  <si>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</si>
  <si>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</si>
  <si>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</si>
  <si>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</si>
  <si>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</si>
  <si>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</si>
  <si>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</si>
  <si>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</si>
  <si>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</si>
  <si>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</si>
  <si>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</si>
  <si>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</si>
  <si>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</si>
  <si>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</si>
  <si>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</si>
  <si>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</si>
  <si>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</si>
  <si>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</si>
  <si>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</si>
  <si>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</si>
  <si>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</si>
  <si>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</si>
  <si>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</si>
  <si>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</si>
  <si>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</si>
  <si>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</si>
  <si>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</si>
  <si>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</si>
  <si>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</si>
  <si>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</si>
  <si>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</si>
  <si>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</si>
  <si>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</si>
  <si>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</si>
  <si>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</si>
  <si>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</si>
  <si>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</si>
  <si>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</si>
  <si>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</si>
  <si>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</si>
  <si>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</si>
  <si>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</si>
  <si>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</si>
  <si>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</si>
  <si>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</si>
  <si>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</si>
  <si>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</si>
  <si>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</si>
  <si>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</si>
  <si>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</si>
  <si>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</si>
  <si>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</si>
  <si>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</si>
  <si>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</si>
  <si>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</si>
  <si>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</si>
  <si>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</si>
  <si>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</si>
  <si>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</si>
  <si>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</si>
  <si>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</si>
  <si>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</si>
  <si>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</si>
  <si>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</si>
  <si>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</si>
  <si>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</si>
  <si>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</si>
  <si>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</si>
  <si>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</si>
  <si>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</si>
  <si>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</si>
  <si>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</si>
  <si>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</si>
  <si>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</si>
  <si>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</si>
  <si>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</si>
  <si>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</si>
  <si>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</si>
  <si>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</si>
  <si>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</si>
  <si>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</si>
  <si>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</si>
  <si>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</si>
  <si>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</si>
  <si>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</si>
  <si>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</si>
  <si>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</si>
  <si>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</si>
  <si>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</si>
  <si>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</si>
  <si>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</si>
  <si>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</si>
  <si>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</si>
  <si>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</si>
  <si>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</si>
  <si>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</si>
  <si>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</si>
  <si>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</si>
  <si>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</si>
  <si>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</si>
  <si>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</si>
  <si>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</si>
  <si>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</si>
  <si>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</si>
  <si>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</si>
  <si>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</si>
  <si>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</si>
  <si>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</si>
  <si>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</si>
  <si>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</si>
  <si>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</si>
  <si>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</si>
  <si>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</si>
  <si>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</si>
  <si>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</si>
  <si>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</si>
  <si>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</si>
  <si>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</si>
  <si>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</si>
  <si>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</si>
  <si>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</si>
  <si>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</si>
  <si>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</si>
  <si>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</si>
  <si>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</si>
  <si>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</si>
  <si>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</si>
  <si>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</si>
  <si>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</si>
  <si>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</si>
  <si>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</si>
  <si>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</si>
  <si>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</si>
  <si>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</si>
  <si>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</si>
  <si>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</si>
  <si>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</si>
  <si>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</si>
  <si>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</si>
  <si>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</si>
  <si>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</si>
  <si>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</si>
  <si>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</si>
  <si>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</si>
  <si>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</si>
  <si>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</si>
  <si>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</si>
  <si>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</si>
  <si>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</si>
  <si>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</si>
  <si>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</si>
  <si>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</si>
  <si>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</si>
  <si>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</si>
  <si>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</si>
  <si>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</si>
  <si>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</si>
  <si>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</si>
  <si>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</si>
  <si>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</si>
  <si>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</si>
  <si>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</si>
  <si>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</si>
  <si>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</si>
  <si>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</si>
  <si>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</si>
  <si>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</si>
  <si>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</si>
  <si>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</si>
  <si>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</si>
  <si>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</si>
  <si>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</si>
  <si>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</si>
  <si>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</si>
  <si>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</si>
  <si>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</si>
  <si>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</si>
  <si>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</si>
  <si>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</si>
  <si>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</si>
  <si>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</si>
  <si>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</si>
  <si>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</si>
  <si>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</si>
  <si>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</si>
  <si>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</si>
  <si>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</si>
  <si>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July Actual v. Expected</t>
  </si>
  <si>
    <t>July Actual v. Forecasted</t>
  </si>
  <si>
    <t>August Actual v. Expected</t>
  </si>
  <si>
    <t>August Actual v. Forecasted</t>
  </si>
  <si>
    <t>s</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</si>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</sst>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sz val="11"/>
      <color rgb="FF000000"/>
      <name val="Calibri"/>
    </font>
    <font>
      <sz val="11"/>
      <name val="Calibri"/>
      <scheme val="minor"/>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1" fillId="0" borderId="0" applyNumberFormat="0" applyFill="0" applyBorder="0" applyAlignment="0" applyProtection="0"/>
  </cellStyleXfs>
  <cellXfs count="10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28" fillId="0" borderId="1" xfId="0" applyNumberFormat="1" applyFont="1" applyBorder="1" applyAlignment="1">
      <alignment wrapText="1"/>
    </xf>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9" fillId="0" borderId="1" xfId="0" applyNumberFormat="1" applyFont="1" applyBorder="1" applyAlignment="1">
      <alignment wrapText="1"/>
    </xf>
    <xf numFmtId="49" fontId="24" fillId="0" borderId="1" xfId="0" applyNumberFormat="1" applyFont="1" applyBorder="1" applyAlignment="1">
      <alignment vertical="center" wrapText="1"/>
    </xf>
    <xf numFmtId="49" fontId="39"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49" fontId="40" fillId="38" borderId="1" xfId="2" applyNumberFormat="1" applyFont="1" applyFill="1" applyBorder="1" applyAlignment="1">
      <alignment vertical="top" wrapText="1"/>
    </xf>
    <xf numFmtId="0" fontId="40" fillId="0" borderId="0" xfId="0" applyFont="1"/>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41" fillId="38" borderId="1" xfId="45" applyNumberFormat="1" applyFill="1" applyBorder="1" applyAlignment="1">
      <alignment horizontal="left" vertical="top" wrapText="1"/>
    </xf>
    <xf numFmtId="49" fontId="41" fillId="0" borderId="1" xfId="45" applyNumberFormat="1" applyBorder="1" applyAlignment="1">
      <alignment horizontal="left" vertical="center" wrapText="1"/>
    </xf>
    <xf numFmtId="49" fontId="41" fillId="0" borderId="1" xfId="45" applyNumberFormat="1" applyBorder="1" applyAlignment="1">
      <alignment horizontal="left" vertical="top" wrapText="1"/>
    </xf>
    <xf numFmtId="0" fontId="41" fillId="0" borderId="0" xfId="45" applyAlignment="1">
      <alignment vertical="top"/>
    </xf>
    <xf numFmtId="0" fontId="41"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41" fillId="0" borderId="0" xfId="45" applyAlignment="1">
      <alignment horizontal="left" vertical="top"/>
    </xf>
    <xf numFmtId="49" fontId="39" fillId="38" borderId="1" xfId="2" applyNumberFormat="1" applyFont="1" applyFill="1" applyBorder="1" applyAlignment="1">
      <alignment horizontal="left" vertical="top" wrapText="1"/>
    </xf>
    <xf numFmtId="49" fontId="41" fillId="38" borderId="1" xfId="45" applyNumberFormat="1" applyFill="1" applyBorder="1" applyAlignment="1">
      <alignment vertical="top" wrapText="1"/>
    </xf>
    <xf numFmtId="49" fontId="41" fillId="0" borderId="1" xfId="45" applyNumberFormat="1" applyBorder="1" applyAlignment="1">
      <alignment vertical="top" wrapText="1"/>
    </xf>
    <xf numFmtId="0" fontId="31" fillId="46" borderId="1" xfId="0" applyFont="1" applyFill="1" applyBorder="1" applyAlignment="1">
      <alignment horizontal="left" vertical="top" wrapText="1"/>
    </xf>
    <xf numFmtId="0" fontId="41" fillId="46" borderId="1" xfId="45" applyFill="1" applyBorder="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4" totalsRowShown="0">
  <autoFilter ref="A3:E2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tabSelected="1" zoomScale="90" zoomScaleNormal="90" workbookViewId="0">
      <pane xSplit="2" ySplit="3" topLeftCell="C4" activePane="bottomRight" state="frozen"/>
      <selection pane="bottomRight" activeCell="H29" sqref="H2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100" t="str" cm="1">
        <f t="array" ref="A1">portfolio</f>
        <v>38 DN</v>
      </c>
      <c r="B1" s="100"/>
      <c r="C1" s="100"/>
      <c r="D1" s="101" t="s">
        <v>0</v>
      </c>
      <c r="E1" s="101"/>
      <c r="F1" s="101"/>
      <c r="G1" s="99" t="s">
        <v>1</v>
      </c>
      <c r="H1" s="99"/>
      <c r="I1" s="99"/>
    </row>
    <row r="2" spans="1:12" ht="19.5" customHeight="1">
      <c r="A2" s="102" t="s">
        <v>2</v>
      </c>
      <c r="B2" s="102"/>
      <c r="C2" s="5">
        <f>SUM(C4:C99)</f>
        <v>19834297.496677741</v>
      </c>
      <c r="D2" s="5">
        <f>SUM(D4:D99)</f>
        <v>23055030.460000001</v>
      </c>
      <c r="E2" s="5">
        <f>C2-D2</f>
        <v>-3220732.9633222595</v>
      </c>
      <c r="F2" s="6">
        <f>IFERROR(E2/D2, 0)</f>
        <v>-0.13969762342800476</v>
      </c>
      <c r="G2" s="5">
        <f>SUM(G4:G99)</f>
        <v>23370819.329999994</v>
      </c>
      <c r="H2" s="7">
        <f>C2-G2</f>
        <v>-3536521.8333222531</v>
      </c>
      <c r="I2" s="6">
        <f>IFERROR(H2/G2, 0)</f>
        <v>-0.15132211598515036</v>
      </c>
    </row>
    <row r="3" spans="1:12" ht="14.25" customHeight="1">
      <c r="A3" s="17" t="s">
        <v>3</v>
      </c>
      <c r="B3" s="17" t="s">
        <v>4</v>
      </c>
      <c r="C3" s="27" t="s">
        <v>5</v>
      </c>
      <c r="D3" s="28" t="s">
        <v>6</v>
      </c>
      <c r="E3" s="28" t="s">
        <v>7</v>
      </c>
      <c r="F3" s="29" t="s">
        <v>8</v>
      </c>
      <c r="G3" s="30" t="s">
        <v>9</v>
      </c>
      <c r="H3" s="31" t="s">
        <v>7</v>
      </c>
      <c r="I3" s="32" t="s">
        <v>8</v>
      </c>
    </row>
    <row r="4" spans="1:12" ht="15.6">
      <c r="A4" s="34" t="str" cm="1">
        <f t="array" ref="A4:A24">Sites[Site]</f>
        <v>6th St.</v>
      </c>
      <c r="B4" s="35" t="str" cm="1">
        <f t="array" ref="B4:B24">Sites[State]</f>
        <v>CA</v>
      </c>
      <c r="C4" s="36">
        <f>SUM('1st Qtr'!C4, '2nd Qtr'!C4, '3rd Qtr'!C4, '4th Qtr'!C4)</f>
        <v>1114994.0000000009</v>
      </c>
      <c r="D4" s="37">
        <f>SUM('1st Qtr'!D4, '2nd Qtr'!D4, '3rd Qtr'!D4, '4th Qtr'!D4)</f>
        <v>1001004.99</v>
      </c>
      <c r="E4" s="37">
        <f>IF(AND(ISNUMBER(C4),ISNUMBER(D4)), C4-D4, "")</f>
        <v>113989.01000000094</v>
      </c>
      <c r="F4" s="38">
        <f>IFERROR(E4/D4, "")</f>
        <v>0.1138745671987119</v>
      </c>
      <c r="G4" s="39">
        <f>SUM('1st Qtr'!G4, '2nd Qtr'!G4, '3rd Qtr'!G4, '4th Qtr'!G4)</f>
        <v>1206054.8999999999</v>
      </c>
      <c r="H4" s="39">
        <f>SUM('1st Qtr'!H4, '2nd Qtr'!H4, '3rd Qtr'!H4, '4th Qtr'!H4)</f>
        <v>-91060.899999998976</v>
      </c>
      <c r="I4" s="40">
        <f>IFERROR(H4/G4, "")</f>
        <v>-7.5503113498397945E-2</v>
      </c>
    </row>
    <row r="5" spans="1:12" ht="15.6">
      <c r="A5" s="41" t="str">
        <v>Barton Acres</v>
      </c>
      <c r="B5" s="42" t="str">
        <v>MA</v>
      </c>
      <c r="C5" s="43">
        <f>SUM('1st Qtr'!C5, '2nd Qtr'!C5, '3rd Qtr'!C5, '4th Qtr'!C5)</f>
        <v>742449</v>
      </c>
      <c r="D5" s="44">
        <f>SUM('1st Qtr'!D5, '2nd Qtr'!D5, '3rd Qtr'!D5, '4th Qtr'!D5)</f>
        <v>938063</v>
      </c>
      <c r="E5" s="44">
        <f t="shared" ref="E5:E15" si="0">IF(AND(ISNUMBER(C5),ISNUMBER(D5)), C5-D5, "")</f>
        <v>-195614</v>
      </c>
      <c r="F5" s="45">
        <f>IFERROR(E5/D5, "")</f>
        <v>-0.2085297042949141</v>
      </c>
      <c r="G5" s="46">
        <f>SUM('1st Qtr'!G5, '2nd Qtr'!G5, '3rd Qtr'!G5, '4th Qtr'!G5)</f>
        <v>866675.26</v>
      </c>
      <c r="H5" s="71">
        <f>SUM('1st Qtr'!H5, '2nd Qtr'!H5, '3rd Qtr'!H5, '4th Qtr'!H5)</f>
        <v>-124226.26000000001</v>
      </c>
      <c r="I5" s="45">
        <f>IFERROR(H5/G5, "")</f>
        <v>-0.14333657107046072</v>
      </c>
      <c r="K5" s="72"/>
    </row>
    <row r="6" spans="1:12" ht="15.6">
      <c r="A6" s="34" t="str">
        <v>Bowden</v>
      </c>
      <c r="B6" s="35" t="str">
        <v>MA</v>
      </c>
      <c r="C6" s="36">
        <f>SUM('1st Qtr'!C6, '2nd Qtr'!C6, '3rd Qtr'!C6, '4th Qtr'!C6)</f>
        <v>1541590</v>
      </c>
      <c r="D6" s="37">
        <f>SUM('1st Qtr'!D6, '2nd Qtr'!D6, '3rd Qtr'!D6, '4th Qtr'!D6)</f>
        <v>1730704.2999999998</v>
      </c>
      <c r="E6" s="37">
        <f t="shared" si="0"/>
        <v>-189114.29999999981</v>
      </c>
      <c r="F6" s="38">
        <f t="shared" ref="F6:F15" si="1">IFERROR(E6/D6, "")</f>
        <v>-0.1092701393299825</v>
      </c>
      <c r="G6" s="39">
        <f>SUM('1st Qtr'!G6, '2nd Qtr'!G6, '3rd Qtr'!G6, '4th Qtr'!G6)</f>
        <v>1790674</v>
      </c>
      <c r="H6" s="39">
        <f>SUM('1st Qtr'!H6, '2nd Qtr'!H6, '3rd Qtr'!H6, '4th Qtr'!H6)</f>
        <v>-249084.00000000006</v>
      </c>
      <c r="I6" s="40">
        <f t="shared" ref="I6:I15" si="2">IFERROR(H6/G6, "")</f>
        <v>-0.1391006961624506</v>
      </c>
    </row>
    <row r="7" spans="1:12" ht="15.6">
      <c r="A7" s="41" t="str">
        <v>Blair Wire Village</v>
      </c>
      <c r="B7" s="42" t="str">
        <v>MA</v>
      </c>
      <c r="C7" s="43">
        <f>SUM('1st Qtr'!C7, '2nd Qtr'!C7, '3rd Qtr'!C7, '4th Qtr'!C7)</f>
        <v>758330</v>
      </c>
      <c r="D7" s="44">
        <f>SUM('1st Qtr'!D7, '2nd Qtr'!D7, '3rd Qtr'!D7, '4th Qtr'!D7)</f>
        <v>987126.4</v>
      </c>
      <c r="E7" s="44">
        <f t="shared" si="0"/>
        <v>-228796.40000000002</v>
      </c>
      <c r="F7" s="45">
        <f t="shared" si="1"/>
        <v>-0.23178024617718665</v>
      </c>
      <c r="G7" s="46">
        <f>SUM('1st Qtr'!G7, '2nd Qtr'!G7, '3rd Qtr'!G7, '4th Qtr'!G7)</f>
        <v>895861.33000000007</v>
      </c>
      <c r="H7" s="71">
        <f>SUM('1st Qtr'!H7, '2nd Qtr'!H7, '3rd Qtr'!H7, '4th Qtr'!H7)</f>
        <v>-137531.33000000002</v>
      </c>
      <c r="I7" s="45">
        <f t="shared" si="2"/>
        <v>-0.1535185473403568</v>
      </c>
      <c r="L7" s="72"/>
    </row>
    <row r="8" spans="1:12" ht="15.6">
      <c r="A8" s="34" t="str">
        <v>Boutilier</v>
      </c>
      <c r="B8" s="35" t="str">
        <v>MA</v>
      </c>
      <c r="C8" s="36">
        <f>SUM('1st Qtr'!C8, '2nd Qtr'!C8, '3rd Qtr'!C8, '4th Qtr'!C8)</f>
        <v>2148573</v>
      </c>
      <c r="D8" s="37">
        <f>SUM('1st Qtr'!D8, '2nd Qtr'!D8, '3rd Qtr'!D8, '4th Qtr'!D8)</f>
        <v>2451798.2999999998</v>
      </c>
      <c r="E8" s="37">
        <f t="shared" si="0"/>
        <v>-303225.29999999981</v>
      </c>
      <c r="F8" s="38">
        <f t="shared" si="1"/>
        <v>-0.12367465137731755</v>
      </c>
      <c r="G8" s="39">
        <f>SUM('1st Qtr'!G8, '2nd Qtr'!G8, '3rd Qtr'!G8, '4th Qtr'!G8)</f>
        <v>2379117.0999999996</v>
      </c>
      <c r="H8" s="39">
        <f>SUM('1st Qtr'!H8, '2nd Qtr'!H8, '3rd Qtr'!H8, '4th Qtr'!H8)</f>
        <v>-230544.10000000003</v>
      </c>
      <c r="I8" s="40">
        <f t="shared" si="2"/>
        <v>-9.6903216743723999E-2</v>
      </c>
    </row>
    <row r="9" spans="1:12" ht="15.6">
      <c r="A9" s="41" t="str">
        <v>Cherry Valley</v>
      </c>
      <c r="B9" s="42" t="str">
        <v>MA</v>
      </c>
      <c r="C9" s="43">
        <f>SUM('1st Qtr'!C9, '2nd Qtr'!C9, '3rd Qtr'!C9, '4th Qtr'!C9)</f>
        <v>720556</v>
      </c>
      <c r="D9" s="44">
        <f>SUM('1st Qtr'!D9, '2nd Qtr'!D9, '3rd Qtr'!D9, '4th Qtr'!D9)</f>
        <v>946728.9</v>
      </c>
      <c r="E9" s="44">
        <f t="shared" si="0"/>
        <v>-226172.90000000002</v>
      </c>
      <c r="F9" s="45">
        <f t="shared" si="1"/>
        <v>-0.23889933010389777</v>
      </c>
      <c r="G9" s="46">
        <f>SUM('1st Qtr'!G9, '2nd Qtr'!G9, '3rd Qtr'!G9, '4th Qtr'!G9)</f>
        <v>882556</v>
      </c>
      <c r="H9" s="71">
        <f>SUM('1st Qtr'!H9, '2nd Qtr'!H9, '3rd Qtr'!H9, '4th Qtr'!H9)</f>
        <v>-162000</v>
      </c>
      <c r="I9" s="45">
        <f t="shared" si="2"/>
        <v>-0.18355775724146683</v>
      </c>
      <c r="K9" s="73"/>
    </row>
    <row r="10" spans="1:12" ht="15.6">
      <c r="A10" s="34" t="str">
        <v>Cohasse</v>
      </c>
      <c r="B10" s="35" t="str">
        <v>MA</v>
      </c>
      <c r="C10" s="36">
        <f>SUM('1st Qtr'!C10, '2nd Qtr'!C10, '3rd Qtr'!C10, '4th Qtr'!C10)</f>
        <v>704423</v>
      </c>
      <c r="D10" s="37">
        <f>SUM('1st Qtr'!D10, '2nd Qtr'!D10, '3rd Qtr'!D10, '4th Qtr'!D10)</f>
        <v>884282.5</v>
      </c>
      <c r="E10" s="37">
        <f t="shared" si="0"/>
        <v>-179859.5</v>
      </c>
      <c r="F10" s="38">
        <f t="shared" si="1"/>
        <v>-0.20339597357179409</v>
      </c>
      <c r="G10" s="39">
        <f>SUM('1st Qtr'!G10, '2nd Qtr'!G10, '3rd Qtr'!G10, '4th Qtr'!G10)</f>
        <v>973480.9</v>
      </c>
      <c r="H10" s="39">
        <f>SUM('1st Qtr'!H10, '2nd Qtr'!H10, '3rd Qtr'!H10, '4th Qtr'!H10)</f>
        <v>-269057.90000000002</v>
      </c>
      <c r="I10" s="40">
        <f t="shared" si="2"/>
        <v>-0.27638744632791462</v>
      </c>
    </row>
    <row r="11" spans="1:12" ht="15.6">
      <c r="A11" s="41" t="str">
        <v>ISM Dighton Solar 2</v>
      </c>
      <c r="B11" s="42" t="str">
        <v>MA</v>
      </c>
      <c r="C11" s="43">
        <f>SUM('1st Qtr'!C11, '2nd Qtr'!C11, '3rd Qtr'!C11, '4th Qtr'!C11)</f>
        <v>1804666</v>
      </c>
      <c r="D11" s="44">
        <f>SUM('1st Qtr'!D11, '2nd Qtr'!D11, '3rd Qtr'!D11, '4th Qtr'!D11)</f>
        <v>1868698.4</v>
      </c>
      <c r="E11" s="44">
        <f t="shared" si="0"/>
        <v>-64032.399999999907</v>
      </c>
      <c r="F11" s="45">
        <f t="shared" si="1"/>
        <v>-3.4265775579408596E-2</v>
      </c>
      <c r="G11" s="46">
        <f>SUM('1st Qtr'!G11, '2nd Qtr'!G11, '3rd Qtr'!G11, '4th Qtr'!G11)</f>
        <v>1859231</v>
      </c>
      <c r="H11" s="71">
        <f>SUM('1st Qtr'!H11, '2nd Qtr'!H11, '3rd Qtr'!H11, '4th Qtr'!H11)</f>
        <v>-54565</v>
      </c>
      <c r="I11" s="45">
        <f t="shared" si="2"/>
        <v>-2.9348155231921153E-2</v>
      </c>
    </row>
    <row r="12" spans="1:12" ht="15.6">
      <c r="A12" s="34" t="str">
        <v>Dudley River 1</v>
      </c>
      <c r="B12" s="35" t="str">
        <v>MA</v>
      </c>
      <c r="C12" s="36">
        <f>SUM('1st Qtr'!C12, '2nd Qtr'!C12, '3rd Qtr'!C12, '4th Qtr'!C12)</f>
        <v>776586</v>
      </c>
      <c r="D12" s="37">
        <f>SUM('1st Qtr'!D12, '2nd Qtr'!D12, '3rd Qtr'!D12, '4th Qtr'!D12)</f>
        <v>888318.1</v>
      </c>
      <c r="E12" s="37">
        <f t="shared" si="0"/>
        <v>-111732.09999999998</v>
      </c>
      <c r="F12" s="38">
        <f t="shared" si="1"/>
        <v>-0.12577938015672538</v>
      </c>
      <c r="G12" s="39">
        <f>SUM('1st Qtr'!G12, '2nd Qtr'!G12, '3rd Qtr'!G12, '4th Qtr'!G12)</f>
        <v>907362.85</v>
      </c>
      <c r="H12" s="39">
        <f>SUM('1st Qtr'!H12, '2nd Qtr'!H12, '3rd Qtr'!H12, '4th Qtr'!H12)</f>
        <v>-130776.84999999998</v>
      </c>
      <c r="I12" s="40">
        <f t="shared" si="2"/>
        <v>-0.14412850382842982</v>
      </c>
    </row>
    <row r="13" spans="1:12" ht="15.6">
      <c r="A13" s="41" t="str">
        <v>Dudley River 2</v>
      </c>
      <c r="B13" s="42" t="str">
        <v>MA</v>
      </c>
      <c r="C13" s="43">
        <f>SUM('1st Qtr'!C13, '2nd Qtr'!C13, '3rd Qtr'!C13, '4th Qtr'!C13)</f>
        <v>769701</v>
      </c>
      <c r="D13" s="44">
        <f>SUM('1st Qtr'!D13, '2nd Qtr'!D13, '3rd Qtr'!D13, '4th Qtr'!D13)</f>
        <v>879279.60000000009</v>
      </c>
      <c r="E13" s="44">
        <f t="shared" si="0"/>
        <v>-109578.60000000009</v>
      </c>
      <c r="F13" s="45">
        <f t="shared" si="1"/>
        <v>-0.12462315741204513</v>
      </c>
      <c r="G13" s="46">
        <f>SUM('1st Qtr'!G13, '2nd Qtr'!G13, '3rd Qtr'!G13, '4th Qtr'!G13)</f>
        <v>868529.79</v>
      </c>
      <c r="H13" s="71">
        <f>SUM('1st Qtr'!H13, '2nd Qtr'!H13, '3rd Qtr'!H13, '4th Qtr'!H13)</f>
        <v>-98828.79</v>
      </c>
      <c r="I13" s="45">
        <f t="shared" si="2"/>
        <v>-0.11378860130980653</v>
      </c>
    </row>
    <row r="14" spans="1:12" ht="15.6">
      <c r="A14" s="34" t="str">
        <v>Dudley River 3</v>
      </c>
      <c r="B14" s="35" t="str">
        <v>MA</v>
      </c>
      <c r="C14" s="36">
        <f>SUM('1st Qtr'!C14, '2nd Qtr'!C14, '3rd Qtr'!C14, '4th Qtr'!C14)</f>
        <v>803725</v>
      </c>
      <c r="D14" s="37">
        <f>SUM('1st Qtr'!D14, '2nd Qtr'!D14, '3rd Qtr'!D14, '4th Qtr'!D14)</f>
        <v>880566.10000000009</v>
      </c>
      <c r="E14" s="37">
        <f t="shared" si="0"/>
        <v>-76841.100000000093</v>
      </c>
      <c r="F14" s="38">
        <f t="shared" si="1"/>
        <v>-8.7263295736685856E-2</v>
      </c>
      <c r="G14" s="39">
        <f>SUM('1st Qtr'!G14, '2nd Qtr'!G14, '3rd Qtr'!G14, '4th Qtr'!G14)</f>
        <v>880862.89</v>
      </c>
      <c r="H14" s="39">
        <f>SUM('1st Qtr'!H14, '2nd Qtr'!H14, '3rd Qtr'!H14, '4th Qtr'!H14)</f>
        <v>-77137.88999999997</v>
      </c>
      <c r="I14" s="40">
        <f t="shared" si="2"/>
        <v>-8.7570825012278544E-2</v>
      </c>
    </row>
    <row r="15" spans="1:12" ht="15.6">
      <c r="A15" s="41" t="str">
        <v>Flint Pond</v>
      </c>
      <c r="B15" s="42" t="str">
        <v>MA</v>
      </c>
      <c r="C15" s="43">
        <f>SUM('1st Qtr'!C15, '2nd Qtr'!C15, '3rd Qtr'!C15, '4th Qtr'!C15)</f>
        <v>374722</v>
      </c>
      <c r="D15" s="44">
        <f>SUM('1st Qtr'!D15, '2nd Qtr'!D15, '3rd Qtr'!D15, '4th Qtr'!D15)</f>
        <v>401657.04</v>
      </c>
      <c r="E15" s="44">
        <f t="shared" si="0"/>
        <v>-26935.039999999979</v>
      </c>
      <c r="F15" s="45">
        <f t="shared" si="1"/>
        <v>-6.7059798080471786E-2</v>
      </c>
      <c r="G15" s="46">
        <f>SUM('1st Qtr'!G15, '2nd Qtr'!G15, '3rd Qtr'!G15, '4th Qtr'!G15)</f>
        <v>412383.44</v>
      </c>
      <c r="H15" s="71">
        <f>SUM('1st Qtr'!H15, '2nd Qtr'!H15, '3rd Qtr'!H15, '4th Qtr'!H15)</f>
        <v>-37661.44000000001</v>
      </c>
      <c r="I15" s="45">
        <f t="shared" si="2"/>
        <v>-9.1326266641550899E-2</v>
      </c>
    </row>
    <row r="16" spans="1:12" ht="15.6">
      <c r="A16" s="34" t="str">
        <v>Incom</v>
      </c>
      <c r="B16" s="35" t="str">
        <v>MA</v>
      </c>
      <c r="C16" s="36">
        <f>SUM('1st Qtr'!C16, '2nd Qtr'!C16, '3rd Qtr'!C16, '4th Qtr'!C16)</f>
        <v>1581273</v>
      </c>
      <c r="D16" s="37">
        <f>SUM('1st Qtr'!D16, '2nd Qtr'!D16, '3rd Qtr'!D16, '4th Qtr'!D16)</f>
        <v>1985248.7999999998</v>
      </c>
      <c r="E16" s="37">
        <f t="shared" ref="E16:E19" si="3">IF(AND(ISNUMBER(C16),ISNUMBER(D16)), C16-D16, "")</f>
        <v>-403975.79999999981</v>
      </c>
      <c r="F16" s="38">
        <f t="shared" ref="F16:F19" si="4">IFERROR(E16/D16, "")</f>
        <v>-0.20348875163657063</v>
      </c>
      <c r="G16" s="39">
        <f>SUM('1st Qtr'!G16, '2nd Qtr'!G16, '3rd Qtr'!G16, '4th Qtr'!G16)</f>
        <v>1956147.4000000001</v>
      </c>
      <c r="H16" s="39">
        <f>SUM('1st Qtr'!H16, '2nd Qtr'!H16, '3rd Qtr'!H16, '4th Qtr'!H16)</f>
        <v>-374874.4</v>
      </c>
      <c r="I16" s="40">
        <f t="shared" ref="I16:I19" si="5">IFERROR(H16/G16, "")</f>
        <v>-0.19163913721430195</v>
      </c>
    </row>
    <row r="17" spans="1:9" ht="15.6">
      <c r="A17" s="41" t="str">
        <v>JH</v>
      </c>
      <c r="B17" s="42" t="str">
        <v>MA</v>
      </c>
      <c r="C17" s="43">
        <f>SUM('1st Qtr'!C17, '2nd Qtr'!C17, '3rd Qtr'!C17, '4th Qtr'!C17)</f>
        <v>716442</v>
      </c>
      <c r="D17" s="44">
        <f>SUM('1st Qtr'!D17, '2nd Qtr'!D17, '3rd Qtr'!D17, '4th Qtr'!D17)</f>
        <v>900774.3</v>
      </c>
      <c r="E17" s="44">
        <f t="shared" si="3"/>
        <v>-184332.30000000005</v>
      </c>
      <c r="F17" s="45">
        <f t="shared" si="4"/>
        <v>-0.2046376101094359</v>
      </c>
      <c r="G17" s="46">
        <f>SUM('1st Qtr'!G17, '2nd Qtr'!G17, '3rd Qtr'!G17, '4th Qtr'!G17)</f>
        <v>948283.39999999991</v>
      </c>
      <c r="H17" s="71">
        <f>SUM('1st Qtr'!H17, '2nd Qtr'!H17, '3rd Qtr'!H17, '4th Qtr'!H17)</f>
        <v>-231841.4</v>
      </c>
      <c r="I17" s="45">
        <f t="shared" si="5"/>
        <v>-0.24448535110917266</v>
      </c>
    </row>
    <row r="18" spans="1:9" ht="12.75" customHeight="1">
      <c r="A18" s="34" t="str">
        <v>Ledeaux</v>
      </c>
      <c r="B18" s="41" t="str">
        <v>MA</v>
      </c>
      <c r="C18" s="36">
        <f>SUM('1st Qtr'!C18, '2nd Qtr'!C18, '3rd Qtr'!C18, '4th Qtr'!C18)</f>
        <v>651376</v>
      </c>
      <c r="D18" s="37">
        <f>SUM('1st Qtr'!D18, '2nd Qtr'!D18, '3rd Qtr'!D18, '4th Qtr'!D18)</f>
        <v>783302.28</v>
      </c>
      <c r="E18" s="37">
        <f t="shared" si="3"/>
        <v>-131926.28000000003</v>
      </c>
      <c r="F18" s="38">
        <f t="shared" si="4"/>
        <v>-0.16842320438541303</v>
      </c>
      <c r="G18" s="39">
        <f>SUM('1st Qtr'!G18, '2nd Qtr'!G18, '3rd Qtr'!G18, '4th Qtr'!G18)</f>
        <v>918377.12999999989</v>
      </c>
      <c r="H18" s="39">
        <f>SUM('1st Qtr'!H18, '2nd Qtr'!H18, '3rd Qtr'!H18, '4th Qtr'!H18)</f>
        <v>-267001.13</v>
      </c>
      <c r="I18" s="40">
        <f t="shared" si="5"/>
        <v>-0.29073146671237343</v>
      </c>
    </row>
    <row r="19" spans="1:9" ht="15.6">
      <c r="A19" s="41" t="str">
        <v>Palombo A</v>
      </c>
      <c r="B19" s="41" t="str">
        <v>MA</v>
      </c>
      <c r="C19" s="43">
        <f>SUM('1st Qtr'!C19, '2nd Qtr'!C19, '3rd Qtr'!C19, '4th Qtr'!C19)</f>
        <v>1645458.9966777409</v>
      </c>
      <c r="D19" s="44">
        <f>SUM('1st Qtr'!D19, '2nd Qtr'!D19, '3rd Qtr'!D19, '4th Qtr'!D19)</f>
        <v>1918593</v>
      </c>
      <c r="E19" s="44">
        <f t="shared" si="3"/>
        <v>-273134.00332225906</v>
      </c>
      <c r="F19" s="45">
        <f t="shared" si="4"/>
        <v>-0.14236161777003203</v>
      </c>
      <c r="G19" s="46">
        <f>SUM('1st Qtr'!G19, '2nd Qtr'!G19, '3rd Qtr'!G19, '4th Qtr'!G19)</f>
        <v>2051379</v>
      </c>
      <c r="H19" s="71">
        <f>SUM('1st Qtr'!H19, '2nd Qtr'!H19, '3rd Qtr'!H19, '4th Qtr'!H19)</f>
        <v>-405920.003322259</v>
      </c>
      <c r="I19" s="45">
        <f t="shared" si="5"/>
        <v>-0.19787664947445546</v>
      </c>
    </row>
    <row r="20" spans="1:9" ht="15.6">
      <c r="A20" s="34" t="str">
        <v>Palombo B</v>
      </c>
      <c r="B20" s="41" t="str">
        <v>MA</v>
      </c>
      <c r="C20" s="36">
        <f>SUM('1st Qtr'!C20, '2nd Qtr'!C20, '3rd Qtr'!C20, '4th Qtr'!C20)</f>
        <v>802064</v>
      </c>
      <c r="D20" s="37">
        <f>SUM('1st Qtr'!D20, '2nd Qtr'!D20, '3rd Qtr'!D20, '4th Qtr'!D20)</f>
        <v>859226.8</v>
      </c>
      <c r="E20" s="37">
        <f t="shared" ref="E20:E24" si="6">IF(AND(ISNUMBER(C20),ISNUMBER(D20)), C20-D20, "")</f>
        <v>-57162.800000000047</v>
      </c>
      <c r="F20" s="38">
        <f t="shared" ref="F20:F24" si="7">IFERROR(E20/D20, "")</f>
        <v>-6.6528185573355075E-2</v>
      </c>
      <c r="G20" s="39">
        <f>SUM('1st Qtr'!G20, '2nd Qtr'!G20, '3rd Qtr'!G20, '4th Qtr'!G20)</f>
        <v>900948.12</v>
      </c>
      <c r="H20" s="39">
        <f>SUM('1st Qtr'!H20, '2nd Qtr'!H20, '3rd Qtr'!H20, '4th Qtr'!H20)</f>
        <v>-98884.120000000024</v>
      </c>
      <c r="I20" s="40">
        <f t="shared" ref="I20:I24" si="8">IFERROR(H20/G20, "")</f>
        <v>-0.10975562055670866</v>
      </c>
    </row>
    <row r="21" spans="1:9" ht="15.6">
      <c r="A21" s="41" t="str">
        <v>St Josephs Church</v>
      </c>
      <c r="B21" s="41" t="str">
        <v>MA</v>
      </c>
      <c r="C21" s="43">
        <f>SUM('1st Qtr'!C21, '2nd Qtr'!C21, '3rd Qtr'!C21, '4th Qtr'!C21)</f>
        <v>748223</v>
      </c>
      <c r="D21" s="44">
        <f>SUM('1st Qtr'!D21, '2nd Qtr'!D21, '3rd Qtr'!D21, '4th Qtr'!D21)</f>
        <v>973958.9</v>
      </c>
      <c r="E21" s="44">
        <f t="shared" si="6"/>
        <v>-225735.90000000002</v>
      </c>
      <c r="F21" s="45">
        <f t="shared" si="7"/>
        <v>-0.23177148440247328</v>
      </c>
      <c r="G21" s="46">
        <f>SUM('1st Qtr'!G21, '2nd Qtr'!G21, '3rd Qtr'!G21, '4th Qtr'!G21)</f>
        <v>904555.32000000007</v>
      </c>
      <c r="H21" s="71">
        <f>SUM('1st Qtr'!H21, '2nd Qtr'!H21, '3rd Qtr'!H21, '4th Qtr'!H21)</f>
        <v>-156332.32</v>
      </c>
      <c r="I21" s="45">
        <f t="shared" si="8"/>
        <v>-0.17282781555029714</v>
      </c>
    </row>
    <row r="22" spans="1:9" ht="15.6">
      <c r="A22" s="34" t="str">
        <v>Sunset A</v>
      </c>
      <c r="B22" s="41" t="str">
        <v>MA</v>
      </c>
      <c r="C22" s="36">
        <f>SUM('1st Qtr'!C22, '2nd Qtr'!C22, '3rd Qtr'!C22, '4th Qtr'!C22)</f>
        <v>354644</v>
      </c>
      <c r="D22" s="37">
        <f>SUM('1st Qtr'!D22, '2nd Qtr'!D22, '3rd Qtr'!D22, '4th Qtr'!D22)</f>
        <v>472545.32</v>
      </c>
      <c r="E22" s="37">
        <f t="shared" si="6"/>
        <v>-117901.32</v>
      </c>
      <c r="F22" s="38">
        <f t="shared" si="7"/>
        <v>-0.24950267204000667</v>
      </c>
      <c r="G22" s="39">
        <f>SUM('1st Qtr'!G22, '2nd Qtr'!G22, '3rd Qtr'!G22, '4th Qtr'!G22)</f>
        <v>408038.31</v>
      </c>
      <c r="H22" s="39">
        <f>SUM('1st Qtr'!H22, '2nd Qtr'!H22, '3rd Qtr'!H22, '4th Qtr'!H22)</f>
        <v>-53394.309999999983</v>
      </c>
      <c r="I22" s="40">
        <f t="shared" si="8"/>
        <v>-0.13085611985796133</v>
      </c>
    </row>
    <row r="23" spans="1:9" ht="15.6">
      <c r="A23" s="41" t="str">
        <v>Sunset B</v>
      </c>
      <c r="B23" s="41" t="str">
        <v>MA</v>
      </c>
      <c r="C23" s="43">
        <f>SUM('1st Qtr'!C23, '2nd Qtr'!C23, '3rd Qtr'!C23, '4th Qtr'!C23)</f>
        <v>339532.5</v>
      </c>
      <c r="D23" s="44">
        <f>SUM('1st Qtr'!D23, '2nd Qtr'!D23, '3rd Qtr'!D23, '4th Qtr'!D23)</f>
        <v>416751.93000000005</v>
      </c>
      <c r="E23" s="44">
        <f t="shared" si="6"/>
        <v>-77219.430000000051</v>
      </c>
      <c r="F23" s="45">
        <f t="shared" si="7"/>
        <v>-0.1852887159994677</v>
      </c>
      <c r="G23" s="46">
        <f>SUM('1st Qtr'!G23, '2nd Qtr'!G23, '3rd Qtr'!G23, '4th Qtr'!G23)</f>
        <v>403143.36</v>
      </c>
      <c r="H23" s="71">
        <f>SUM('1st Qtr'!H23, '2nd Qtr'!H23, '3rd Qtr'!H23, '4th Qtr'!H23)</f>
        <v>-63610.86</v>
      </c>
      <c r="I23" s="45">
        <f t="shared" si="8"/>
        <v>-0.15778719510597919</v>
      </c>
    </row>
    <row r="24" spans="1:9" ht="15.6">
      <c r="A24" s="34" t="str">
        <v>Woodchuck</v>
      </c>
      <c r="B24" s="41" t="str">
        <v>MA</v>
      </c>
      <c r="C24" s="36">
        <f>SUM('1st Qtr'!C24, '2nd Qtr'!C24, '3rd Qtr'!C24, '4th Qtr'!C24)</f>
        <v>734969</v>
      </c>
      <c r="D24" s="37">
        <f>SUM('1st Qtr'!D24, '2nd Qtr'!D24, '3rd Qtr'!D24, '4th Qtr'!D24)</f>
        <v>886401.5</v>
      </c>
      <c r="E24" s="37">
        <f t="shared" si="6"/>
        <v>-151432.5</v>
      </c>
      <c r="F24" s="38">
        <f t="shared" si="7"/>
        <v>-0.17083962515857656</v>
      </c>
      <c r="G24" s="39">
        <f>SUM('1st Qtr'!G24, '2nd Qtr'!G24, '3rd Qtr'!G24, '4th Qtr'!G24)</f>
        <v>957157.83</v>
      </c>
      <c r="H24" s="39">
        <f>SUM('1st Qtr'!H24, '2nd Qtr'!H24, '3rd Qtr'!H24, '4th Qtr'!H24)</f>
        <v>-222188.83</v>
      </c>
      <c r="I24" s="40">
        <f t="shared" si="8"/>
        <v>-0.23213395224484557</v>
      </c>
    </row>
    <row r="25" spans="1:9" ht="13.9">
      <c r="A25" s="13"/>
      <c r="B25" s="13"/>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G24" activePane="bottomRight" state="frozen"/>
      <selection pane="bottomRight" activeCell="G24" sqref="G2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0" t="str" cm="1">
        <f t="array" ref="A1">portfolio</f>
        <v>38 DN</v>
      </c>
      <c r="B1" s="100"/>
      <c r="C1" s="100"/>
      <c r="D1" s="101" t="s">
        <v>10</v>
      </c>
      <c r="E1" s="101"/>
      <c r="F1" s="101"/>
      <c r="G1" s="99" t="s">
        <v>11</v>
      </c>
      <c r="H1" s="99"/>
      <c r="I1" s="99"/>
    </row>
    <row r="2" spans="1:9" ht="19.5" customHeight="1">
      <c r="A2" s="102" t="s">
        <v>2</v>
      </c>
      <c r="B2" s="102"/>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6">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6">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6">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6">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6">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6">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6">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6">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6">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6">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6">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6">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6">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6">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6">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6">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6">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6">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6">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4.45">
      <c r="A25" s="13"/>
      <c r="B25" s="8"/>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bottomRight" activeCell="L11" sqref="L11"/>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0" t="str" cm="1">
        <f t="array" ref="A1">portfolio</f>
        <v>38 DN</v>
      </c>
      <c r="B1" s="100"/>
      <c r="C1" s="100"/>
      <c r="D1" s="101" t="s">
        <v>12</v>
      </c>
      <c r="E1" s="101"/>
      <c r="F1" s="101"/>
      <c r="G1" s="99" t="s">
        <v>13</v>
      </c>
      <c r="H1" s="99"/>
      <c r="I1" s="99"/>
    </row>
    <row r="2" spans="1:9" ht="19.5" customHeight="1">
      <c r="A2" s="102" t="s">
        <v>2</v>
      </c>
      <c r="B2" s="102"/>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6">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6">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6">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6">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6">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6">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6">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6">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6">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6">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6">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6">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6">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6">
      <c r="A19" s="56" t="str">
        <v>Palombo A</v>
      </c>
      <c r="B19" s="42" t="str">
        <v>MA</v>
      </c>
      <c r="C19" s="43">
        <f>SUM(Apr!C19, May!C19, Jun!C19)</f>
        <v>1002886</v>
      </c>
      <c r="D19" s="44">
        <f>SUM(Apr!D19, May!D19, Jun!D19)</f>
        <v>1009720.8</v>
      </c>
      <c r="E19" s="44">
        <f t="shared" ref="E19:E24" si="6">IF(AND(ISNUMBER(C19),ISNUMBER(D19)), C19-D19, "")</f>
        <v>-6834.8000000000466</v>
      </c>
      <c r="F19" s="45">
        <f t="shared" ref="F19:F24" si="7">IFERROR(E19/D19, "")</f>
        <v>-6.7689999057165568E-3</v>
      </c>
      <c r="G19" s="46">
        <f>SUM(Apr!G19, May!G19, Jun!G19)</f>
        <v>1145758</v>
      </c>
      <c r="H19" s="46">
        <f>SUM(Apr!H19, May!H19, Jun!H19)</f>
        <v>-142872</v>
      </c>
      <c r="I19" s="45">
        <f t="shared" ref="I19:I24" si="8">IFERROR(H19/G19, "")</f>
        <v>-0.1246964891364494</v>
      </c>
    </row>
    <row r="20" spans="1:9" ht="15.6">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6">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6">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6">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6">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ht="13.9">
      <c r="A25" s="13"/>
      <c r="B25" s="13"/>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0" t="str" cm="1">
        <f t="array" ref="A1">portfolio</f>
        <v>38 DN</v>
      </c>
      <c r="B1" s="100"/>
      <c r="C1" s="100"/>
      <c r="D1" s="101" t="s">
        <v>14</v>
      </c>
      <c r="E1" s="101"/>
      <c r="F1" s="101"/>
      <c r="G1" s="99" t="s">
        <v>15</v>
      </c>
      <c r="H1" s="99"/>
      <c r="I1" s="99"/>
    </row>
    <row r="2" spans="1:9" ht="19.5" customHeight="1">
      <c r="A2" s="102" t="s">
        <v>2</v>
      </c>
      <c r="B2" s="102"/>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SUM(Jul!C4, Aug!C4, Sep!C4)</f>
        <v>0</v>
      </c>
      <c r="D4" s="37">
        <f>SUM(Jul!D4, Aug!D4, Sep!D4)</f>
        <v>0</v>
      </c>
      <c r="E4" s="37">
        <f>IF(AND(ISNUMBER(C4),ISNUMBER(D4)), C4-D4, "")</f>
        <v>0</v>
      </c>
      <c r="F4" s="38" t="str">
        <f>IFERROR(E4/D4, "")</f>
        <v/>
      </c>
      <c r="G4" s="39">
        <f>SUM(Jul!G4,Aug!G4,Sep!G4)</f>
        <v>0</v>
      </c>
      <c r="H4" s="39">
        <f>SUM(Jul!H4, Aug!H4, Sep!H4)</f>
        <v>0</v>
      </c>
      <c r="I4" s="40" t="str">
        <f>IFERROR(H4/G4, "")</f>
        <v/>
      </c>
    </row>
    <row r="5" spans="1:9" ht="15.6">
      <c r="A5" s="56" t="str">
        <v>Barton Acres</v>
      </c>
      <c r="B5" s="42" t="str">
        <v>MA</v>
      </c>
      <c r="C5" s="43">
        <f>SUM(Jul!C5, Aug!C5, Sep!C5)</f>
        <v>0</v>
      </c>
      <c r="D5" s="44">
        <f>SUM(Jul!D5, Aug!D5, Sep!D5)</f>
        <v>0</v>
      </c>
      <c r="E5" s="44">
        <f t="shared" ref="E5:E15" si="0">IF(AND(ISNUMBER(C5),ISNUMBER(D5)), C5-D5, "")</f>
        <v>0</v>
      </c>
      <c r="F5" s="45" t="str">
        <f>IFERROR(E5/D5, "")</f>
        <v/>
      </c>
      <c r="G5" s="46">
        <f>SUM(Jul!G5,Aug!G5,Sep!G5)</f>
        <v>0</v>
      </c>
      <c r="H5" s="46">
        <f>SUM(Jul!H5, Aug!H5, Sep!H5)</f>
        <v>0</v>
      </c>
      <c r="I5" s="45" t="str">
        <f>IFERROR(H5/G5, "")</f>
        <v/>
      </c>
    </row>
    <row r="6" spans="1:9" ht="15.6">
      <c r="A6" s="55" t="str">
        <v>Bowden</v>
      </c>
      <c r="B6" s="35" t="str">
        <v>MA</v>
      </c>
      <c r="C6" s="36">
        <f>SUM(Jul!C6, Aug!C6, Sep!C6)</f>
        <v>0</v>
      </c>
      <c r="D6" s="37">
        <f>SUM(Jul!D6, Aug!D6, Sep!D6)</f>
        <v>0</v>
      </c>
      <c r="E6" s="37">
        <f t="shared" si="0"/>
        <v>0</v>
      </c>
      <c r="F6" s="38" t="str">
        <f t="shared" ref="F6:F15" si="1">IFERROR(E6/D6, "")</f>
        <v/>
      </c>
      <c r="G6" s="39">
        <f>SUM(Jul!G6,Aug!G6,Sep!G6)</f>
        <v>0</v>
      </c>
      <c r="H6" s="39">
        <f>SUM(Jul!H6, Aug!H6, Sep!H6)</f>
        <v>0</v>
      </c>
      <c r="I6" s="40" t="str">
        <f t="shared" ref="I6:I15" si="2">IFERROR(H6/G6, "")</f>
        <v/>
      </c>
    </row>
    <row r="7" spans="1:9" ht="15.6">
      <c r="A7" s="56" t="str">
        <v>Blair Wire Village</v>
      </c>
      <c r="B7" s="42" t="str">
        <v>MA</v>
      </c>
      <c r="C7" s="43">
        <f>SUM(Jul!C7, Aug!C7, Sep!C7)</f>
        <v>0</v>
      </c>
      <c r="D7" s="44">
        <f>SUM(Jul!D7, Aug!D7, Sep!D7)</f>
        <v>0</v>
      </c>
      <c r="E7" s="44">
        <f t="shared" si="0"/>
        <v>0</v>
      </c>
      <c r="F7" s="45" t="str">
        <f t="shared" si="1"/>
        <v/>
      </c>
      <c r="G7" s="46">
        <f>SUM(Jul!G7,Aug!G7,Sep!G7)</f>
        <v>0</v>
      </c>
      <c r="H7" s="46">
        <f>SUM(Jul!H7, Aug!H7, Sep!H7)</f>
        <v>0</v>
      </c>
      <c r="I7" s="45" t="str">
        <f t="shared" si="2"/>
        <v/>
      </c>
    </row>
    <row r="8" spans="1:9" ht="15.6">
      <c r="A8" s="55" t="str">
        <v>Boutilier</v>
      </c>
      <c r="B8" s="35" t="str">
        <v>MA</v>
      </c>
      <c r="C8" s="36">
        <f>SUM(Jul!C8, Aug!C8, Sep!C8)</f>
        <v>0</v>
      </c>
      <c r="D8" s="37">
        <f>SUM(Jul!D8, Aug!D8, Sep!D8)</f>
        <v>0</v>
      </c>
      <c r="E8" s="37">
        <f t="shared" si="0"/>
        <v>0</v>
      </c>
      <c r="F8" s="38" t="str">
        <f t="shared" si="1"/>
        <v/>
      </c>
      <c r="G8" s="39">
        <f>SUM(Jul!G8,Aug!G8,Sep!G8)</f>
        <v>0</v>
      </c>
      <c r="H8" s="39">
        <f>SUM(Jul!H8, Aug!H8, Sep!H8)</f>
        <v>0</v>
      </c>
      <c r="I8" s="40" t="str">
        <f t="shared" si="2"/>
        <v/>
      </c>
    </row>
    <row r="9" spans="1:9" ht="15.6">
      <c r="A9" s="56" t="str">
        <v>Cherry Valley</v>
      </c>
      <c r="B9" s="42" t="str">
        <v>MA</v>
      </c>
      <c r="C9" s="43">
        <f>SUM(Jul!C9, Aug!C9, Sep!C9)</f>
        <v>0</v>
      </c>
      <c r="D9" s="44">
        <f>SUM(Jul!D9, Aug!D9, Sep!D9)</f>
        <v>0</v>
      </c>
      <c r="E9" s="44">
        <f t="shared" si="0"/>
        <v>0</v>
      </c>
      <c r="F9" s="45" t="str">
        <f t="shared" si="1"/>
        <v/>
      </c>
      <c r="G9" s="46">
        <f>SUM(Jul!G9,Aug!G9,Sep!G9)</f>
        <v>0</v>
      </c>
      <c r="H9" s="46">
        <f>SUM(Jul!H9, Aug!H9, Sep!H9)</f>
        <v>0</v>
      </c>
      <c r="I9" s="45" t="str">
        <f t="shared" si="2"/>
        <v/>
      </c>
    </row>
    <row r="10" spans="1:9" ht="15.6">
      <c r="A10" s="55" t="str">
        <v>Cohasse</v>
      </c>
      <c r="B10" s="35" t="str">
        <v>MA</v>
      </c>
      <c r="C10" s="36">
        <f>SUM(Jul!C10, Aug!C10, Sep!C10)</f>
        <v>0</v>
      </c>
      <c r="D10" s="37">
        <f>SUM(Jul!D10, Aug!D10, Sep!D10)</f>
        <v>0</v>
      </c>
      <c r="E10" s="37">
        <f t="shared" si="0"/>
        <v>0</v>
      </c>
      <c r="F10" s="38" t="str">
        <f t="shared" si="1"/>
        <v/>
      </c>
      <c r="G10" s="39">
        <f>SUM(Jul!G10,Aug!G10,Sep!G10)</f>
        <v>0</v>
      </c>
      <c r="H10" s="39">
        <f>SUM(Jul!H10, Aug!H10, Sep!H10)</f>
        <v>0</v>
      </c>
      <c r="I10" s="40" t="str">
        <f t="shared" si="2"/>
        <v/>
      </c>
    </row>
    <row r="11" spans="1:9" ht="15.6">
      <c r="A11" s="56" t="str">
        <v>ISM Dighton Solar 2</v>
      </c>
      <c r="B11" s="42" t="str">
        <v>MA</v>
      </c>
      <c r="C11" s="43">
        <f>SUM(Jul!C11, Aug!C11, Sep!C11)</f>
        <v>0</v>
      </c>
      <c r="D11" s="44">
        <f>SUM(Jul!D11, Aug!D11, Sep!D11)</f>
        <v>0</v>
      </c>
      <c r="E11" s="44">
        <f t="shared" si="0"/>
        <v>0</v>
      </c>
      <c r="F11" s="45" t="str">
        <f t="shared" si="1"/>
        <v/>
      </c>
      <c r="G11" s="46">
        <f>SUM(Jul!G11,Aug!G11,Sep!G11)</f>
        <v>0</v>
      </c>
      <c r="H11" s="46">
        <f>SUM(Jul!H11, Aug!H11, Sep!H11)</f>
        <v>0</v>
      </c>
      <c r="I11" s="45" t="str">
        <f t="shared" si="2"/>
        <v/>
      </c>
    </row>
    <row r="12" spans="1:9" ht="15.6">
      <c r="A12" s="55" t="str">
        <v>Dudley River 1</v>
      </c>
      <c r="B12" s="35" t="str">
        <v>MA</v>
      </c>
      <c r="C12" s="36">
        <f>SUM(Jul!C12, Aug!C12, Sep!C12)</f>
        <v>0</v>
      </c>
      <c r="D12" s="37">
        <f>SUM(Jul!D12, Aug!D12, Sep!D12)</f>
        <v>0</v>
      </c>
      <c r="E12" s="37">
        <f t="shared" si="0"/>
        <v>0</v>
      </c>
      <c r="F12" s="38" t="str">
        <f t="shared" si="1"/>
        <v/>
      </c>
      <c r="G12" s="39">
        <f>SUM(Jul!G12,Aug!G12,Sep!G12)</f>
        <v>0</v>
      </c>
      <c r="H12" s="39">
        <f>SUM(Jul!H12, Aug!H12, Sep!H12)</f>
        <v>0</v>
      </c>
      <c r="I12" s="40" t="str">
        <f t="shared" si="2"/>
        <v/>
      </c>
    </row>
    <row r="13" spans="1:9" ht="15.6">
      <c r="A13" s="56" t="str">
        <v>Dudley River 2</v>
      </c>
      <c r="B13" s="42" t="str">
        <v>MA</v>
      </c>
      <c r="C13" s="43">
        <f>SUM(Jul!C13, Aug!C13, Sep!C13)</f>
        <v>0</v>
      </c>
      <c r="D13" s="44">
        <f>SUM(Jul!D13, Aug!D13, Sep!D13)</f>
        <v>0</v>
      </c>
      <c r="E13" s="44">
        <f t="shared" si="0"/>
        <v>0</v>
      </c>
      <c r="F13" s="45" t="str">
        <f t="shared" si="1"/>
        <v/>
      </c>
      <c r="G13" s="46">
        <f>SUM(Jul!G13,Aug!G13,Sep!G13)</f>
        <v>0</v>
      </c>
      <c r="H13" s="46">
        <f>SUM(Jul!H13, Aug!H13, Sep!H13)</f>
        <v>0</v>
      </c>
      <c r="I13" s="45" t="str">
        <f t="shared" si="2"/>
        <v/>
      </c>
    </row>
    <row r="14" spans="1:9" ht="15.6">
      <c r="A14" s="55" t="str">
        <v>Dudley River 3</v>
      </c>
      <c r="B14" s="35" t="str">
        <v>MA</v>
      </c>
      <c r="C14" s="36">
        <f>SUM(Jul!C14, Aug!C14, Sep!C14)</f>
        <v>0</v>
      </c>
      <c r="D14" s="37">
        <f>SUM(Jul!D14, Aug!D14, Sep!D14)</f>
        <v>0</v>
      </c>
      <c r="E14" s="37">
        <f t="shared" si="0"/>
        <v>0</v>
      </c>
      <c r="F14" s="38" t="str">
        <f t="shared" si="1"/>
        <v/>
      </c>
      <c r="G14" s="39">
        <f>SUM(Jul!G14,Aug!G14,Sep!G14)</f>
        <v>0</v>
      </c>
      <c r="H14" s="39">
        <f>SUM(Jul!H14, Aug!H14, Sep!H14)</f>
        <v>0</v>
      </c>
      <c r="I14" s="40" t="str">
        <f t="shared" si="2"/>
        <v/>
      </c>
    </row>
    <row r="15" spans="1:9" ht="15.6">
      <c r="A15" s="56" t="str">
        <v>Flint Pond</v>
      </c>
      <c r="B15" s="42" t="str">
        <v>MA</v>
      </c>
      <c r="C15" s="43">
        <f>SUM(Jul!C15, Aug!C15, Sep!C15)</f>
        <v>0</v>
      </c>
      <c r="D15" s="44">
        <f>SUM(Jul!D15, Aug!D15, Sep!D15)</f>
        <v>0</v>
      </c>
      <c r="E15" s="44">
        <f t="shared" si="0"/>
        <v>0</v>
      </c>
      <c r="F15" s="45" t="str">
        <f t="shared" si="1"/>
        <v/>
      </c>
      <c r="G15" s="46">
        <f>SUM(Jul!G15,Aug!G15,Sep!G15)</f>
        <v>0</v>
      </c>
      <c r="H15" s="46">
        <f>SUM(Jul!H15, Aug!H15, Sep!H15)</f>
        <v>0</v>
      </c>
      <c r="I15" s="45" t="str">
        <f t="shared" si="2"/>
        <v/>
      </c>
    </row>
    <row r="16" spans="1:9" ht="15.6">
      <c r="A16" s="55" t="str">
        <v>Incom</v>
      </c>
      <c r="B16" s="35" t="str">
        <v>MA</v>
      </c>
      <c r="C16" s="36">
        <f>SUM(Jul!C16, Aug!C16, Sep!C16)</f>
        <v>0</v>
      </c>
      <c r="D16" s="37">
        <f>SUM(Jul!D16, Aug!D16, Sep!D16)</f>
        <v>0</v>
      </c>
      <c r="E16" s="37">
        <f t="shared" ref="E16:E19" si="3">IF(AND(ISNUMBER(C16),ISNUMBER(D16)), C16-D16, "")</f>
        <v>0</v>
      </c>
      <c r="F16" s="38" t="str">
        <f t="shared" ref="F16:F19" si="4">IFERROR(E16/D16, "")</f>
        <v/>
      </c>
      <c r="G16" s="39">
        <f>SUM(Jul!G16,Aug!G16,Sep!G16)</f>
        <v>0</v>
      </c>
      <c r="H16" s="39">
        <f>SUM(Jul!H16, Aug!H16, Sep!H16)</f>
        <v>0</v>
      </c>
      <c r="I16" s="40" t="str">
        <f t="shared" ref="I16:I19" si="5">IFERROR(H16/G16, "")</f>
        <v/>
      </c>
    </row>
    <row r="17" spans="1:9" ht="15.6">
      <c r="A17" s="56" t="str">
        <v>JH</v>
      </c>
      <c r="B17" s="42" t="str">
        <v>MA</v>
      </c>
      <c r="C17" s="43">
        <f>SUM(Jul!C17, Aug!C17, Sep!C17)</f>
        <v>0</v>
      </c>
      <c r="D17" s="44">
        <f>SUM(Jul!D17, Aug!D17, Sep!D17)</f>
        <v>0</v>
      </c>
      <c r="E17" s="44">
        <f t="shared" si="3"/>
        <v>0</v>
      </c>
      <c r="F17" s="45" t="str">
        <f t="shared" si="4"/>
        <v/>
      </c>
      <c r="G17" s="46">
        <f>SUM(Jul!G17,Aug!G17,Sep!G17)</f>
        <v>0</v>
      </c>
      <c r="H17" s="46">
        <f>SUM(Jul!H17, Aug!H17, Sep!H17)</f>
        <v>0</v>
      </c>
      <c r="I17" s="45" t="str">
        <f t="shared" si="5"/>
        <v/>
      </c>
    </row>
    <row r="18" spans="1:9" ht="12.75" customHeight="1">
      <c r="A18" s="55" t="str">
        <v>Ledeaux</v>
      </c>
      <c r="B18" s="34" t="str">
        <v>MA</v>
      </c>
      <c r="C18" s="36">
        <f>SUM(Jul!C18, Aug!C18, Sep!C18)</f>
        <v>0</v>
      </c>
      <c r="D18" s="37">
        <f>SUM(Jul!D18, Aug!D18, Sep!D18)</f>
        <v>0</v>
      </c>
      <c r="E18" s="37">
        <f t="shared" si="3"/>
        <v>0</v>
      </c>
      <c r="F18" s="38" t="str">
        <f t="shared" si="4"/>
        <v/>
      </c>
      <c r="G18" s="39">
        <f>SUM(Jul!G18,Aug!G18,Sep!G18)</f>
        <v>0</v>
      </c>
      <c r="H18" s="39">
        <f>SUM(Jul!H18, Aug!H18, Sep!H18)</f>
        <v>0</v>
      </c>
      <c r="I18" s="40" t="str">
        <f t="shared" si="5"/>
        <v/>
      </c>
    </row>
    <row r="19" spans="1:9" ht="15.6">
      <c r="A19" s="56" t="str">
        <v>Palombo A</v>
      </c>
      <c r="B19" s="41" t="str">
        <v>MA</v>
      </c>
      <c r="C19" s="43">
        <f>SUM(Jul!C19, Aug!C19, Sep!C19)</f>
        <v>0</v>
      </c>
      <c r="D19" s="44">
        <f>SUM(Jul!D19, Aug!D19, Sep!D19)</f>
        <v>0</v>
      </c>
      <c r="E19" s="44">
        <f t="shared" si="3"/>
        <v>0</v>
      </c>
      <c r="F19" s="45" t="str">
        <f t="shared" si="4"/>
        <v/>
      </c>
      <c r="G19" s="46">
        <f>SUM(Jul!G19,Aug!G19,Sep!G19)</f>
        <v>0</v>
      </c>
      <c r="H19" s="46">
        <f>SUM(Jul!H19, Aug!H19, Sep!H19)</f>
        <v>0</v>
      </c>
      <c r="I19" s="45" t="str">
        <f t="shared" si="5"/>
        <v/>
      </c>
    </row>
    <row r="20" spans="1:9" ht="15.6">
      <c r="A20" s="55" t="str">
        <v>Palombo B</v>
      </c>
      <c r="B20" s="34" t="str">
        <v>MA</v>
      </c>
      <c r="C20" s="36">
        <f>SUM(Jul!C20, Aug!C20, Sep!C20)</f>
        <v>0</v>
      </c>
      <c r="D20" s="37">
        <f>SUM(Jul!D20, Aug!D20, Sep!D20)</f>
        <v>0</v>
      </c>
      <c r="E20" s="37">
        <f t="shared" ref="E20:E24" si="6">IF(AND(ISNUMBER(C20),ISNUMBER(D20)), C20-D20, "")</f>
        <v>0</v>
      </c>
      <c r="F20" s="38" t="str">
        <f t="shared" ref="F20:F24" si="7">IFERROR(E20/D20, "")</f>
        <v/>
      </c>
      <c r="G20" s="39">
        <f>SUM(Jul!G20,Aug!G20,Sep!G20)</f>
        <v>0</v>
      </c>
      <c r="H20" s="39">
        <f>SUM(Jul!H20, Aug!H20, Sep!H20)</f>
        <v>0</v>
      </c>
      <c r="I20" s="40" t="str">
        <f t="shared" ref="I20:I24" si="8">IFERROR(H20/G20, "")</f>
        <v/>
      </c>
    </row>
    <row r="21" spans="1:9" ht="15.6">
      <c r="A21" s="56" t="str">
        <v>St Josephs Church</v>
      </c>
      <c r="B21" s="41" t="str">
        <v>MA</v>
      </c>
      <c r="C21" s="43">
        <f>SUM(Jul!C21, Aug!C21, Sep!C21)</f>
        <v>0</v>
      </c>
      <c r="D21" s="44">
        <f>SUM(Jul!D21, Aug!D21, Sep!D21)</f>
        <v>0</v>
      </c>
      <c r="E21" s="44">
        <f t="shared" si="6"/>
        <v>0</v>
      </c>
      <c r="F21" s="45" t="str">
        <f t="shared" si="7"/>
        <v/>
      </c>
      <c r="G21" s="46">
        <f>SUM(Jul!G21,Aug!G21,Sep!G21)</f>
        <v>0</v>
      </c>
      <c r="H21" s="46">
        <f>SUM(Jul!H21, Aug!H21, Sep!H21)</f>
        <v>0</v>
      </c>
      <c r="I21" s="45" t="str">
        <f t="shared" si="8"/>
        <v/>
      </c>
    </row>
    <row r="22" spans="1:9" ht="15.6">
      <c r="A22" s="55" t="str">
        <v>Sunset A</v>
      </c>
      <c r="B22" s="34" t="str">
        <v>MA</v>
      </c>
      <c r="C22" s="36">
        <f>SUM(Jul!C22, Aug!C22, Sep!C22)</f>
        <v>0</v>
      </c>
      <c r="D22" s="37">
        <f>SUM(Jul!D22, Aug!D22, Sep!D22)</f>
        <v>0</v>
      </c>
      <c r="E22" s="37">
        <f t="shared" si="6"/>
        <v>0</v>
      </c>
      <c r="F22" s="38" t="str">
        <f t="shared" si="7"/>
        <v/>
      </c>
      <c r="G22" s="39">
        <f>SUM(Jul!G22,Aug!G22,Sep!G22)</f>
        <v>0</v>
      </c>
      <c r="H22" s="39">
        <f>SUM(Jul!H22, Aug!H22, Sep!H22)</f>
        <v>0</v>
      </c>
      <c r="I22" s="40" t="str">
        <f t="shared" si="8"/>
        <v/>
      </c>
    </row>
    <row r="23" spans="1:9" ht="15.6">
      <c r="A23" s="56" t="str">
        <v>Sunset B</v>
      </c>
      <c r="B23" s="41" t="str">
        <v>MA</v>
      </c>
      <c r="C23" s="43">
        <f>SUM(Jul!C23, Aug!C23, Sep!C23)</f>
        <v>0</v>
      </c>
      <c r="D23" s="44">
        <f>SUM(Jul!D23, Aug!D23, Sep!D23)</f>
        <v>0</v>
      </c>
      <c r="E23" s="44">
        <f t="shared" si="6"/>
        <v>0</v>
      </c>
      <c r="F23" s="45" t="str">
        <f t="shared" si="7"/>
        <v/>
      </c>
      <c r="G23" s="46">
        <f>SUM(Jul!G23,Aug!G23,Sep!G23)</f>
        <v>0</v>
      </c>
      <c r="H23" s="46">
        <f>SUM(Jul!H23, Aug!H23, Sep!H23)</f>
        <v>0</v>
      </c>
      <c r="I23" s="45" t="str">
        <f t="shared" si="8"/>
        <v/>
      </c>
    </row>
    <row r="24" spans="1:9" ht="15.6">
      <c r="A24" s="55" t="str">
        <v>Woodchuck</v>
      </c>
      <c r="B24" s="34" t="str">
        <v>MA</v>
      </c>
      <c r="C24" s="36">
        <f>SUM(Jul!C24, Aug!C24, Sep!C24)</f>
        <v>0</v>
      </c>
      <c r="D24" s="37">
        <f>SUM(Jul!D24, Aug!D24, Sep!D24)</f>
        <v>0</v>
      </c>
      <c r="E24" s="37">
        <f t="shared" si="6"/>
        <v>0</v>
      </c>
      <c r="F24" s="38" t="str">
        <f t="shared" si="7"/>
        <v/>
      </c>
      <c r="G24" s="39">
        <f>SUM(Jul!G24,Aug!G24,Sep!G24)</f>
        <v>0</v>
      </c>
      <c r="H24" s="39">
        <f>SUM(Jul!H24, Aug!H24, Sep!H24)</f>
        <v>0</v>
      </c>
      <c r="I24" s="40" t="str">
        <f t="shared" si="8"/>
        <v/>
      </c>
    </row>
    <row r="25" spans="1:9" ht="15.6">
      <c r="A25" s="9"/>
      <c r="B25" s="13"/>
      <c r="C25" s="13"/>
      <c r="D25" s="13"/>
      <c r="E25" s="13"/>
      <c r="F25" s="13"/>
      <c r="G25" s="13"/>
      <c r="H25" s="13"/>
      <c r="I25" s="13"/>
    </row>
    <row r="26" spans="1:9" ht="15.6">
      <c r="A26" s="9"/>
      <c r="B26" s="13"/>
      <c r="C26" s="13"/>
      <c r="D26" s="13"/>
      <c r="E26" s="13"/>
      <c r="F26" s="13"/>
      <c r="G26" s="13"/>
      <c r="H26" s="13"/>
      <c r="I26" s="13"/>
    </row>
    <row r="27" spans="1:9" ht="15.6">
      <c r="A27" s="9"/>
      <c r="B27" s="13"/>
      <c r="C27" s="13"/>
      <c r="D27" s="13"/>
      <c r="E27" s="13"/>
      <c r="F27" s="13"/>
      <c r="G27" s="13"/>
      <c r="H27" s="13"/>
      <c r="I27" s="13"/>
    </row>
    <row r="28" spans="1:9" ht="15.6">
      <c r="A28" s="9"/>
      <c r="B28" s="13"/>
      <c r="C28" s="13"/>
      <c r="D28" s="13"/>
      <c r="E28" s="13"/>
      <c r="F28" s="13"/>
      <c r="G28" s="13"/>
      <c r="H28" s="13"/>
      <c r="I28" s="13"/>
    </row>
    <row r="29" spans="1:9" ht="15.6">
      <c r="A29" s="9"/>
      <c r="B29" s="13"/>
      <c r="C29" s="13"/>
      <c r="D29" s="13"/>
      <c r="E29" s="13"/>
      <c r="F29" s="13"/>
      <c r="G29" s="13"/>
      <c r="H29" s="13"/>
      <c r="I29" s="13"/>
    </row>
    <row r="30" spans="1:9" ht="15.6">
      <c r="A30" s="9"/>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0" t="str" cm="1">
        <f t="array" ref="A1">portfolio</f>
        <v>38 DN</v>
      </c>
      <c r="B1" s="100"/>
      <c r="C1" s="100"/>
      <c r="D1" s="101" t="s">
        <v>16</v>
      </c>
      <c r="E1" s="101"/>
      <c r="F1" s="101"/>
      <c r="G1" s="99" t="s">
        <v>17</v>
      </c>
      <c r="H1" s="99"/>
      <c r="I1" s="99"/>
    </row>
    <row r="2" spans="1:9" ht="19.5" customHeight="1">
      <c r="A2" s="102" t="s">
        <v>2</v>
      </c>
      <c r="B2" s="102"/>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SUM(Oct!C4, Nov!C4, Dec!C4)</f>
        <v>0</v>
      </c>
      <c r="D4" s="37">
        <f>SUM(Oct!D4, Nov!D4, Dec!D4)</f>
        <v>0</v>
      </c>
      <c r="E4" s="37">
        <f>IF(AND(ISNUMBER(C4),ISNUMBER(D4)), C4-D4, "")</f>
        <v>0</v>
      </c>
      <c r="F4" s="38" t="str">
        <f>IFERROR(E4/D4, "")</f>
        <v/>
      </c>
      <c r="G4" s="39"/>
      <c r="H4" s="39">
        <f>SUM(Oct!H4, Nov!H4, Dec!H4)</f>
        <v>0</v>
      </c>
      <c r="I4" s="40" t="str">
        <f>IFERROR(H4/G4, "")</f>
        <v/>
      </c>
    </row>
    <row r="5" spans="1:9" ht="15.6">
      <c r="A5" s="56" t="str">
        <v>Barton Acres</v>
      </c>
      <c r="B5" s="42" t="str">
        <v>MA</v>
      </c>
      <c r="C5" s="43">
        <f>SUM(Oct!C5, Nov!C5, Dec!C5)</f>
        <v>0</v>
      </c>
      <c r="D5" s="44">
        <f>SUM(Oct!D5, Nov!D5, Dec!D5)</f>
        <v>0</v>
      </c>
      <c r="E5" s="44">
        <f t="shared" ref="E5:E15" si="0">IF(AND(ISNUMBER(C5),ISNUMBER(D5)), C5-D5, "")</f>
        <v>0</v>
      </c>
      <c r="F5" s="45" t="str">
        <f>IFERROR(E5/D5, "")</f>
        <v/>
      </c>
      <c r="G5" s="46"/>
      <c r="H5" s="46">
        <f>SUM(Oct!H5, Nov!H5, Dec!H5)</f>
        <v>0</v>
      </c>
      <c r="I5" s="45" t="str">
        <f>IFERROR(H5/G5, "")</f>
        <v/>
      </c>
    </row>
    <row r="6" spans="1:9" ht="15.6">
      <c r="A6" s="55" t="str">
        <v>Bowden</v>
      </c>
      <c r="B6" s="35" t="str">
        <v>MA</v>
      </c>
      <c r="C6" s="36">
        <f>SUM(Oct!C6, Nov!C6, Dec!C6)</f>
        <v>0</v>
      </c>
      <c r="D6" s="37">
        <f>SUM(Oct!D6, Nov!D6, Dec!D6)</f>
        <v>0</v>
      </c>
      <c r="E6" s="37">
        <f t="shared" si="0"/>
        <v>0</v>
      </c>
      <c r="F6" s="38" t="str">
        <f t="shared" ref="F6:F15" si="1">IFERROR(E6/D6, "")</f>
        <v/>
      </c>
      <c r="G6" s="39"/>
      <c r="H6" s="39">
        <f>SUM(Oct!H6, Nov!H6, Dec!H6)</f>
        <v>0</v>
      </c>
      <c r="I6" s="40" t="str">
        <f t="shared" ref="I6:I15" si="2">IFERROR(H6/G6, "")</f>
        <v/>
      </c>
    </row>
    <row r="7" spans="1:9" ht="15.6">
      <c r="A7" s="56" t="str">
        <v>Blair Wire Village</v>
      </c>
      <c r="B7" s="42" t="str">
        <v>MA</v>
      </c>
      <c r="C7" s="43">
        <f>SUM(Oct!C7, Nov!C7, Dec!C7)</f>
        <v>0</v>
      </c>
      <c r="D7" s="44">
        <f>SUM(Oct!D7, Nov!D7, Dec!D7)</f>
        <v>0</v>
      </c>
      <c r="E7" s="44">
        <f t="shared" si="0"/>
        <v>0</v>
      </c>
      <c r="F7" s="45" t="str">
        <f t="shared" si="1"/>
        <v/>
      </c>
      <c r="G7" s="46"/>
      <c r="H7" s="46">
        <f>SUM(Oct!H7, Nov!H7, Dec!H7)</f>
        <v>0</v>
      </c>
      <c r="I7" s="45" t="str">
        <f t="shared" si="2"/>
        <v/>
      </c>
    </row>
    <row r="8" spans="1:9" ht="15.6">
      <c r="A8" s="55" t="str">
        <v>Boutilier</v>
      </c>
      <c r="B8" s="35" t="str">
        <v>MA</v>
      </c>
      <c r="C8" s="36">
        <f>SUM(Oct!C8, Nov!C8, Dec!C8)</f>
        <v>0</v>
      </c>
      <c r="D8" s="37">
        <f>SUM(Oct!D8, Nov!D8, Dec!D8)</f>
        <v>0</v>
      </c>
      <c r="E8" s="37">
        <f t="shared" si="0"/>
        <v>0</v>
      </c>
      <c r="F8" s="38" t="str">
        <f t="shared" si="1"/>
        <v/>
      </c>
      <c r="G8" s="39"/>
      <c r="H8" s="39">
        <f>SUM(Oct!H8, Nov!H8, Dec!H8)</f>
        <v>0</v>
      </c>
      <c r="I8" s="40" t="str">
        <f t="shared" si="2"/>
        <v/>
      </c>
    </row>
    <row r="9" spans="1:9" ht="15.6">
      <c r="A9" s="56" t="str">
        <v>Cherry Valley</v>
      </c>
      <c r="B9" s="42" t="str">
        <v>MA</v>
      </c>
      <c r="C9" s="43">
        <f>SUM(Oct!C9, Nov!C9, Dec!C9)</f>
        <v>0</v>
      </c>
      <c r="D9" s="44">
        <f>SUM(Oct!D9, Nov!D9, Dec!D9)</f>
        <v>0</v>
      </c>
      <c r="E9" s="44">
        <f t="shared" si="0"/>
        <v>0</v>
      </c>
      <c r="F9" s="45" t="str">
        <f t="shared" si="1"/>
        <v/>
      </c>
      <c r="G9" s="46"/>
      <c r="H9" s="46">
        <f>SUM(Oct!H9, Nov!H9, Dec!H9)</f>
        <v>0</v>
      </c>
      <c r="I9" s="45" t="str">
        <f t="shared" si="2"/>
        <v/>
      </c>
    </row>
    <row r="10" spans="1:9" ht="15.6">
      <c r="A10" s="55" t="str">
        <v>Cohasse</v>
      </c>
      <c r="B10" s="35" t="str">
        <v>MA</v>
      </c>
      <c r="C10" s="36">
        <f>SUM(Oct!C10, Nov!C10, Dec!C10)</f>
        <v>0</v>
      </c>
      <c r="D10" s="37">
        <f>SUM(Oct!D10, Nov!D10, Dec!D10)</f>
        <v>0</v>
      </c>
      <c r="E10" s="37">
        <f t="shared" si="0"/>
        <v>0</v>
      </c>
      <c r="F10" s="38" t="str">
        <f t="shared" si="1"/>
        <v/>
      </c>
      <c r="G10" s="39"/>
      <c r="H10" s="39">
        <f>SUM(Oct!H10, Nov!H10, Dec!H10)</f>
        <v>0</v>
      </c>
      <c r="I10" s="40" t="str">
        <f t="shared" si="2"/>
        <v/>
      </c>
    </row>
    <row r="11" spans="1:9" ht="15.6">
      <c r="A11" s="56" t="str">
        <v>ISM Dighton Solar 2</v>
      </c>
      <c r="B11" s="42" t="str">
        <v>MA</v>
      </c>
      <c r="C11" s="43">
        <f>SUM(Oct!C11, Nov!C11, Dec!C11)</f>
        <v>0</v>
      </c>
      <c r="D11" s="44">
        <f>SUM(Oct!D11, Nov!D11, Dec!D11)</f>
        <v>0</v>
      </c>
      <c r="E11" s="44">
        <f t="shared" si="0"/>
        <v>0</v>
      </c>
      <c r="F11" s="45" t="str">
        <f t="shared" si="1"/>
        <v/>
      </c>
      <c r="G11" s="46"/>
      <c r="H11" s="46">
        <f>SUM(Oct!H11, Nov!H11, Dec!H11)</f>
        <v>0</v>
      </c>
      <c r="I11" s="45" t="str">
        <f t="shared" si="2"/>
        <v/>
      </c>
    </row>
    <row r="12" spans="1:9" ht="15.6">
      <c r="A12" s="55" t="str">
        <v>Dudley River 1</v>
      </c>
      <c r="B12" s="35" t="str">
        <v>MA</v>
      </c>
      <c r="C12" s="36">
        <f>SUM(Oct!C12, Nov!C12, Dec!C12)</f>
        <v>0</v>
      </c>
      <c r="D12" s="37">
        <f>SUM(Oct!D12, Nov!D12, Dec!D12)</f>
        <v>0</v>
      </c>
      <c r="E12" s="37">
        <f t="shared" si="0"/>
        <v>0</v>
      </c>
      <c r="F12" s="38" t="str">
        <f t="shared" si="1"/>
        <v/>
      </c>
      <c r="G12" s="39"/>
      <c r="H12" s="39">
        <f>SUM(Oct!H12, Nov!H12, Dec!H12)</f>
        <v>0</v>
      </c>
      <c r="I12" s="40" t="str">
        <f t="shared" si="2"/>
        <v/>
      </c>
    </row>
    <row r="13" spans="1:9" ht="15.6">
      <c r="A13" s="56" t="str">
        <v>Dudley River 2</v>
      </c>
      <c r="B13" s="42" t="str">
        <v>MA</v>
      </c>
      <c r="C13" s="43">
        <f>SUM(Oct!C13, Nov!C13, Dec!C13)</f>
        <v>0</v>
      </c>
      <c r="D13" s="44">
        <f>SUM(Oct!D13, Nov!D13, Dec!D13)</f>
        <v>0</v>
      </c>
      <c r="E13" s="44">
        <f t="shared" si="0"/>
        <v>0</v>
      </c>
      <c r="F13" s="45" t="str">
        <f t="shared" si="1"/>
        <v/>
      </c>
      <c r="G13" s="46"/>
      <c r="H13" s="46">
        <f>SUM(Oct!H13, Nov!H13, Dec!H13)</f>
        <v>0</v>
      </c>
      <c r="I13" s="45" t="str">
        <f t="shared" si="2"/>
        <v/>
      </c>
    </row>
    <row r="14" spans="1:9" ht="15.6">
      <c r="A14" s="55" t="str">
        <v>Dudley River 3</v>
      </c>
      <c r="B14" s="35" t="str">
        <v>MA</v>
      </c>
      <c r="C14" s="36">
        <f>SUM(Oct!C14, Nov!C14, Dec!C14)</f>
        <v>0</v>
      </c>
      <c r="D14" s="37">
        <f>SUM(Oct!D14, Nov!D14, Dec!D14)</f>
        <v>0</v>
      </c>
      <c r="E14" s="37">
        <f t="shared" si="0"/>
        <v>0</v>
      </c>
      <c r="F14" s="38" t="str">
        <f t="shared" si="1"/>
        <v/>
      </c>
      <c r="G14" s="39"/>
      <c r="H14" s="39">
        <f>SUM(Oct!H14, Nov!H14, Dec!H14)</f>
        <v>0</v>
      </c>
      <c r="I14" s="40" t="str">
        <f t="shared" si="2"/>
        <v/>
      </c>
    </row>
    <row r="15" spans="1:9" ht="15.6">
      <c r="A15" s="56" t="str">
        <v>Flint Pond</v>
      </c>
      <c r="B15" s="42" t="str">
        <v>MA</v>
      </c>
      <c r="C15" s="43">
        <f>SUM(Oct!C15, Nov!C15, Dec!C15)</f>
        <v>0</v>
      </c>
      <c r="D15" s="44">
        <f>SUM(Oct!D15, Nov!D15, Dec!D15)</f>
        <v>0</v>
      </c>
      <c r="E15" s="44">
        <f t="shared" si="0"/>
        <v>0</v>
      </c>
      <c r="F15" s="45" t="str">
        <f t="shared" si="1"/>
        <v/>
      </c>
      <c r="G15" s="46"/>
      <c r="H15" s="46">
        <f>SUM(Oct!H15, Nov!H15, Dec!H15)</f>
        <v>0</v>
      </c>
      <c r="I15" s="45" t="str">
        <f t="shared" si="2"/>
        <v/>
      </c>
    </row>
    <row r="16" spans="1:9" ht="15.6">
      <c r="A16" s="55" t="str">
        <v>Incom</v>
      </c>
      <c r="B16" s="35" t="str">
        <v>MA</v>
      </c>
      <c r="C16" s="36">
        <f>SUM(Oct!C16, Nov!C16, Dec!C16)</f>
        <v>0</v>
      </c>
      <c r="D16" s="37">
        <f>SUM(Oct!D16, Nov!D16, Dec!D16)</f>
        <v>0</v>
      </c>
      <c r="E16" s="37">
        <f t="shared" ref="E16:E18" si="3">IF(AND(ISNUMBER(C16),ISNUMBER(D16)), C16-D16, "")</f>
        <v>0</v>
      </c>
      <c r="F16" s="38" t="str">
        <f t="shared" ref="F16:F18" si="4">IFERROR(E16/D16, "")</f>
        <v/>
      </c>
      <c r="G16" s="39"/>
      <c r="H16" s="39">
        <f>SUM(Oct!H16, Nov!H16, Dec!H16)</f>
        <v>0</v>
      </c>
      <c r="I16" s="40" t="str">
        <f t="shared" ref="I16:I18" si="5">IFERROR(H16/G16, "")</f>
        <v/>
      </c>
    </row>
    <row r="17" spans="1:9" ht="15.6">
      <c r="A17" s="56" t="str">
        <v>JH</v>
      </c>
      <c r="B17" s="42" t="str">
        <v>MA</v>
      </c>
      <c r="C17" s="43">
        <f>SUM(Oct!C17, Nov!C17, Dec!C17)</f>
        <v>0</v>
      </c>
      <c r="D17" s="44">
        <f>SUM(Oct!D17, Nov!D17, Dec!D17)</f>
        <v>0</v>
      </c>
      <c r="E17" s="44">
        <f t="shared" si="3"/>
        <v>0</v>
      </c>
      <c r="F17" s="45" t="str">
        <f t="shared" si="4"/>
        <v/>
      </c>
      <c r="G17" s="46"/>
      <c r="H17" s="46">
        <f>SUM(Oct!H17, Nov!H17, Dec!H17)</f>
        <v>0</v>
      </c>
      <c r="I17" s="45" t="str">
        <f t="shared" si="5"/>
        <v/>
      </c>
    </row>
    <row r="18" spans="1:9" ht="12.75" customHeight="1">
      <c r="A18" s="55" t="str">
        <v>Ledeaux</v>
      </c>
      <c r="B18" s="35" t="str">
        <v>MA</v>
      </c>
      <c r="C18" s="43">
        <f>SUM(Oct!C18, Nov!C18, Dec!C18)</f>
        <v>0</v>
      </c>
      <c r="D18" s="44">
        <f>SUM(Oct!D18, Nov!D18, Dec!D18)</f>
        <v>0</v>
      </c>
      <c r="E18" s="44">
        <f t="shared" si="3"/>
        <v>0</v>
      </c>
      <c r="F18" s="45" t="str">
        <f t="shared" si="4"/>
        <v/>
      </c>
      <c r="G18" s="46"/>
      <c r="H18" s="46">
        <f>SUM(Oct!H18, Nov!H18, Dec!H18)</f>
        <v>0</v>
      </c>
      <c r="I18" s="45" t="str">
        <f t="shared" si="5"/>
        <v/>
      </c>
    </row>
    <row r="19" spans="1:9" ht="15.6">
      <c r="A19" s="56" t="str">
        <v>Palombo A</v>
      </c>
      <c r="B19" s="42" t="str">
        <v>MA</v>
      </c>
      <c r="C19" s="36">
        <f>SUM(Oct!C19, Nov!C19, Dec!C19)</f>
        <v>0</v>
      </c>
      <c r="D19" s="37">
        <f>SUM(Oct!D19, Nov!D19, Dec!D19)</f>
        <v>0</v>
      </c>
      <c r="E19" s="37">
        <f t="shared" ref="E19:E24" si="6">IF(AND(ISNUMBER(C19),ISNUMBER(D19)), C19-D19, "")</f>
        <v>0</v>
      </c>
      <c r="F19" s="38" t="str">
        <f t="shared" ref="F19:F24" si="7">IFERROR(E19/D19, "")</f>
        <v/>
      </c>
      <c r="G19" s="39"/>
      <c r="H19" s="39">
        <f>SUM(Oct!H19, Nov!H19, Dec!H19)</f>
        <v>0</v>
      </c>
      <c r="I19" s="40" t="str">
        <f t="shared" ref="I19:I24" si="8">IFERROR(H19/G19, "")</f>
        <v/>
      </c>
    </row>
    <row r="20" spans="1:9" ht="15.6">
      <c r="A20" s="55" t="str">
        <v>Palombo B</v>
      </c>
      <c r="B20" s="35" t="str">
        <v>MA</v>
      </c>
      <c r="C20" s="43">
        <f>SUM(Oct!C20, Nov!C20, Dec!C20)</f>
        <v>0</v>
      </c>
      <c r="D20" s="44">
        <f>SUM(Oct!D20, Nov!D20, Dec!D20)</f>
        <v>0</v>
      </c>
      <c r="E20" s="44">
        <f t="shared" si="6"/>
        <v>0</v>
      </c>
      <c r="F20" s="45" t="str">
        <f t="shared" si="7"/>
        <v/>
      </c>
      <c r="G20" s="46"/>
      <c r="H20" s="46">
        <f>SUM(Oct!H20, Nov!H20, Dec!H20)</f>
        <v>0</v>
      </c>
      <c r="I20" s="45" t="str">
        <f t="shared" si="8"/>
        <v/>
      </c>
    </row>
    <row r="21" spans="1:9" ht="15.6">
      <c r="A21" s="56" t="str">
        <v>St Josephs Church</v>
      </c>
      <c r="B21" s="42" t="str">
        <v>MA</v>
      </c>
      <c r="C21" s="43">
        <f>SUM(Oct!C21, Nov!C21, Dec!C21)</f>
        <v>0</v>
      </c>
      <c r="D21" s="44">
        <f>SUM(Oct!D21, Nov!D21, Dec!D21)</f>
        <v>0</v>
      </c>
      <c r="E21" s="44">
        <f t="shared" si="6"/>
        <v>0</v>
      </c>
      <c r="F21" s="45" t="str">
        <f t="shared" si="7"/>
        <v/>
      </c>
      <c r="G21" s="46"/>
      <c r="H21" s="46">
        <f>SUM(Oct!H21, Nov!H21, Dec!H21)</f>
        <v>0</v>
      </c>
      <c r="I21" s="45" t="str">
        <f t="shared" si="8"/>
        <v/>
      </c>
    </row>
    <row r="22" spans="1:9" ht="15.6">
      <c r="A22" s="55" t="str">
        <v>Sunset A</v>
      </c>
      <c r="B22" s="35" t="str">
        <v>MA</v>
      </c>
      <c r="C22" s="36">
        <f>SUM(Oct!C22, Nov!C22, Dec!C22)</f>
        <v>0</v>
      </c>
      <c r="D22" s="37">
        <f>SUM(Oct!D22, Nov!D22, Dec!D22)</f>
        <v>0</v>
      </c>
      <c r="E22" s="37">
        <f t="shared" si="6"/>
        <v>0</v>
      </c>
      <c r="F22" s="38" t="str">
        <f t="shared" si="7"/>
        <v/>
      </c>
      <c r="G22" s="39"/>
      <c r="H22" s="39">
        <f>SUM(Oct!H22, Nov!H22, Dec!H22)</f>
        <v>0</v>
      </c>
      <c r="I22" s="40" t="str">
        <f t="shared" si="8"/>
        <v/>
      </c>
    </row>
    <row r="23" spans="1:9" ht="15.6">
      <c r="A23" s="56" t="str">
        <v>Sunset B</v>
      </c>
      <c r="B23" s="42" t="str">
        <v>MA</v>
      </c>
      <c r="C23" s="43">
        <f>SUM(Oct!C23, Nov!C23, Dec!C23)</f>
        <v>0</v>
      </c>
      <c r="D23" s="44">
        <f>SUM(Oct!D23, Nov!D23, Dec!D23)</f>
        <v>0</v>
      </c>
      <c r="E23" s="44">
        <f t="shared" si="6"/>
        <v>0</v>
      </c>
      <c r="F23" s="45" t="str">
        <f t="shared" si="7"/>
        <v/>
      </c>
      <c r="G23" s="46"/>
      <c r="H23" s="46">
        <f>SUM(Oct!H23, Nov!H23, Dec!H23)</f>
        <v>0</v>
      </c>
      <c r="I23" s="45" t="str">
        <f t="shared" si="8"/>
        <v/>
      </c>
    </row>
    <row r="24" spans="1:9" ht="15.6">
      <c r="A24" s="55" t="str">
        <v>Woodchuck</v>
      </c>
      <c r="B24" s="35" t="str">
        <v>MA</v>
      </c>
      <c r="C24" s="43">
        <f>SUM(Oct!C24, Nov!C24, Dec!C24)</f>
        <v>0</v>
      </c>
      <c r="D24" s="44">
        <f>SUM(Oct!D24, Nov!D24, Dec!D24)</f>
        <v>0</v>
      </c>
      <c r="E24" s="44">
        <f t="shared" si="6"/>
        <v>0</v>
      </c>
      <c r="F24" s="45" t="str">
        <f t="shared" si="7"/>
        <v/>
      </c>
      <c r="G24" s="46"/>
      <c r="H24" s="46">
        <f>SUM(Oct!H24, Nov!H24, Dec!H24)</f>
        <v>0</v>
      </c>
      <c r="I24" s="45" t="str">
        <f t="shared" si="8"/>
        <v/>
      </c>
    </row>
    <row r="25" spans="1:9" ht="15.6">
      <c r="A25" s="9"/>
      <c r="B25" s="8"/>
      <c r="C25" s="23"/>
      <c r="D25" s="10"/>
      <c r="E25" s="10"/>
      <c r="F25" s="11"/>
      <c r="G25" s="12"/>
      <c r="H25" s="12"/>
      <c r="I25" s="11"/>
    </row>
    <row r="26" spans="1:9" ht="14.45">
      <c r="A26" s="13"/>
      <c r="B26" s="8"/>
      <c r="C26" s="23"/>
      <c r="D26" s="10"/>
      <c r="E26" s="10"/>
      <c r="F26" s="11"/>
      <c r="G26" s="12"/>
      <c r="H26" s="12"/>
      <c r="I26" s="11"/>
    </row>
    <row r="27" spans="1:9" ht="14.45">
      <c r="A27" s="13"/>
      <c r="B27" s="8"/>
      <c r="C27" s="23"/>
      <c r="D27" s="10"/>
      <c r="E27" s="10"/>
      <c r="F27" s="11"/>
      <c r="G27" s="12"/>
      <c r="H27" s="12"/>
      <c r="I27" s="11"/>
    </row>
    <row r="28" spans="1:9" ht="14.45">
      <c r="A28" s="13"/>
      <c r="B28" s="8"/>
      <c r="C28" s="23"/>
      <c r="D28" s="10"/>
      <c r="E28" s="10"/>
      <c r="F28" s="11"/>
      <c r="G28" s="12"/>
      <c r="H28" s="12"/>
      <c r="I28" s="11"/>
    </row>
    <row r="29" spans="1:9" ht="14.45">
      <c r="A29" s="13"/>
      <c r="B29" s="8"/>
      <c r="C29" s="23"/>
      <c r="D29" s="10"/>
      <c r="E29" s="10"/>
      <c r="F29" s="11"/>
      <c r="G29" s="12"/>
      <c r="H29" s="12"/>
      <c r="I29" s="11"/>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bottomRight" activeCell="J8" sqref="J8"/>
      <selection pane="bottomLeft" activeCell="D28" sqref="D28"/>
      <selection pane="topRight" activeCell="D28" sqref="D28"/>
    </sheetView>
  </sheetViews>
  <sheetFormatPr defaultRowHeight="13.9"/>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6">
      <c r="A1" s="100" t="str" cm="1">
        <f t="array" ref="A1">portfolio</f>
        <v>38 DN</v>
      </c>
      <c r="B1" s="100"/>
      <c r="C1" s="100"/>
      <c r="D1" s="101" t="s">
        <v>18</v>
      </c>
      <c r="E1" s="101"/>
      <c r="F1" s="101"/>
      <c r="G1" s="99" t="s">
        <v>19</v>
      </c>
      <c r="H1" s="99"/>
      <c r="I1" s="99"/>
      <c r="J1" s="4"/>
      <c r="K1" s="4"/>
    </row>
    <row r="2" spans="1:12" ht="15.6">
      <c r="A2" s="102" t="s">
        <v>2</v>
      </c>
      <c r="B2" s="102"/>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
      </c>
      <c r="K2" s="4"/>
    </row>
    <row r="3" spans="1:12" ht="15.6">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4">Sites[Site]</f>
        <v>6th St.</v>
      </c>
      <c r="B4" s="48" t="str" cm="1">
        <f t="array" ref="B4:B24">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5" t="s">
        <v>23</v>
      </c>
    </row>
    <row r="5" spans="1:12" ht="15.6">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84" t="s">
        <v>24</v>
      </c>
      <c r="K5" s="86"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5" t="s">
        <v>27</v>
      </c>
      <c r="L6" s="88" t="s">
        <v>28</v>
      </c>
    </row>
    <row r="7" spans="1:12" ht="15.6">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84" t="s">
        <v>29</v>
      </c>
      <c r="K7" s="84"/>
    </row>
    <row r="8" spans="1:12" ht="15.6">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28.9">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84" t="s">
        <v>30</v>
      </c>
      <c r="K9" s="86" t="s">
        <v>31</v>
      </c>
    </row>
    <row r="10" spans="1:12" ht="15.6">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43.15">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84" t="s">
        <v>32</v>
      </c>
      <c r="K11" s="87" t="s">
        <v>33</v>
      </c>
      <c r="L11" s="88" t="s">
        <v>34</v>
      </c>
    </row>
    <row r="12" spans="1:12" ht="28.9">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5" t="s">
        <v>36</v>
      </c>
    </row>
    <row r="13" spans="1:12" ht="86.45">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84" t="s">
        <v>37</v>
      </c>
      <c r="K13" s="87" t="s">
        <v>38</v>
      </c>
      <c r="L13" s="88" t="s">
        <v>39</v>
      </c>
    </row>
    <row r="14" spans="1:12" ht="28.9">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5" t="s">
        <v>41</v>
      </c>
    </row>
    <row r="15" spans="1:12" ht="28.9">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84" t="s">
        <v>42</v>
      </c>
      <c r="K15" s="86" t="s">
        <v>43</v>
      </c>
    </row>
    <row r="16" spans="1:12" ht="28.9">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5" t="s">
        <v>45</v>
      </c>
    </row>
    <row r="17" spans="1:11" ht="15.6">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6">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6">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6">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6">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6">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6">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6">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4.45">
      <c r="A25" s="13"/>
      <c r="B25" s="18"/>
      <c r="C25" s="21"/>
      <c r="D25" s="13"/>
      <c r="E25" s="13"/>
      <c r="F25" s="13"/>
      <c r="G25" s="13"/>
      <c r="H25" s="13"/>
      <c r="I25" s="13"/>
      <c r="J25" s="22"/>
      <c r="K25" s="13"/>
    </row>
    <row r="26" spans="1:11" ht="14.45">
      <c r="A26" s="13"/>
      <c r="B26" s="18"/>
      <c r="C26" s="13"/>
      <c r="D26" s="13"/>
      <c r="E26" s="13"/>
      <c r="F26" s="13"/>
      <c r="G26" s="13"/>
      <c r="H26" s="13"/>
      <c r="I26" s="13"/>
      <c r="J26" s="20"/>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11" activePane="bottomRight" state="frozen"/>
      <selection pane="bottomRight" activeCell="I21" sqref="I21"/>
      <selection pane="bottomLeft" activeCell="J14" sqref="J14"/>
      <selection pane="topRight" activeCell="J14" sqref="J14"/>
    </sheetView>
  </sheetViews>
  <sheetFormatPr defaultRowHeight="14.4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100" t="str" cm="1">
        <f t="array" ref="A1">portfolio</f>
        <v>38 DN</v>
      </c>
      <c r="B1" s="100"/>
      <c r="C1" s="100"/>
      <c r="D1" s="101" t="s">
        <v>46</v>
      </c>
      <c r="E1" s="101"/>
      <c r="F1" s="101"/>
      <c r="G1" s="99" t="s">
        <v>47</v>
      </c>
      <c r="H1" s="99"/>
      <c r="I1" s="99"/>
      <c r="J1" s="60"/>
      <c r="K1" s="60"/>
    </row>
    <row r="2" spans="1:12" ht="19.5" customHeight="1">
      <c r="A2" s="102" t="s">
        <v>2</v>
      </c>
      <c r="B2" s="102"/>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
      </c>
      <c r="K2" s="60"/>
    </row>
    <row r="3" spans="1:12" ht="14.25" customHeight="1">
      <c r="A3" s="17" t="s">
        <v>3</v>
      </c>
      <c r="B3" s="17" t="s">
        <v>4</v>
      </c>
      <c r="C3" s="27" t="s">
        <v>5</v>
      </c>
      <c r="D3" s="28" t="s">
        <v>6</v>
      </c>
      <c r="E3" s="28" t="s">
        <v>7</v>
      </c>
      <c r="F3" s="29" t="s">
        <v>8</v>
      </c>
      <c r="G3" s="30" t="s">
        <v>9</v>
      </c>
      <c r="H3" s="31" t="s">
        <v>7</v>
      </c>
      <c r="I3" s="32" t="s">
        <v>8</v>
      </c>
      <c r="J3" s="83" t="s">
        <v>20</v>
      </c>
      <c r="K3" s="62" t="s">
        <v>21</v>
      </c>
    </row>
    <row r="4" spans="1:12" ht="100.9">
      <c r="A4" s="52" t="str" cm="1">
        <f t="array" ref="A4:A24">Sites[Site]</f>
        <v>6th St.</v>
      </c>
      <c r="B4" s="48" t="str" cm="1">
        <f t="array" ref="B4:B24">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5" t="s">
        <v>49</v>
      </c>
      <c r="L4" s="89" t="s">
        <v>50</v>
      </c>
    </row>
    <row r="5" spans="1:12" ht="28.9">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57.6">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5"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7" t="s">
        <v>55</v>
      </c>
    </row>
    <row r="8" spans="1:12" ht="28.9">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28.9">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7" t="s">
        <v>58</v>
      </c>
    </row>
    <row r="10" spans="1:12" ht="28.9">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5" t="s">
        <v>60</v>
      </c>
    </row>
    <row r="11" spans="1:12" ht="28.9">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7" t="s">
        <v>62</v>
      </c>
    </row>
    <row r="12" spans="1:12" ht="28.9">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28.9">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28.9">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28.9">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7" t="s">
        <v>66</v>
      </c>
    </row>
    <row r="16" spans="1:12" ht="28.9">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7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7" t="s">
        <v>69</v>
      </c>
      <c r="L17" s="89" t="s">
        <v>70</v>
      </c>
    </row>
    <row r="18" spans="1:12" ht="97.9"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5" t="s">
        <v>72</v>
      </c>
      <c r="L18" s="89" t="s">
        <v>73</v>
      </c>
    </row>
    <row r="19" spans="1:12" ht="28.9">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28.9">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28.9">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28.9">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90" t="s">
        <v>75</v>
      </c>
      <c r="K23" s="65"/>
    </row>
    <row r="24" spans="1:12" ht="86.45">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5" t="s">
        <v>77</v>
      </c>
      <c r="L24" s="89" t="s">
        <v>78</v>
      </c>
    </row>
    <row r="25" spans="1:12">
      <c r="A25" s="13"/>
      <c r="B25" s="18"/>
      <c r="C25" s="13"/>
      <c r="D25" s="13"/>
      <c r="E25" s="13"/>
      <c r="F25" s="13"/>
      <c r="G25" s="13"/>
      <c r="H25" s="13"/>
      <c r="I25" s="13"/>
    </row>
    <row r="26" spans="1:12">
      <c r="A26" s="13"/>
      <c r="B26" s="18"/>
      <c r="C26" s="13"/>
      <c r="D26" s="13"/>
      <c r="E26" s="13"/>
      <c r="F26" s="13"/>
      <c r="G26" s="13"/>
      <c r="H26" s="13"/>
      <c r="I26" s="13"/>
    </row>
    <row r="27" spans="1:12">
      <c r="A27" s="13"/>
      <c r="B27" s="18"/>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14"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0" t="str" cm="1">
        <f t="array" ref="A1">portfolio</f>
        <v>38 DN</v>
      </c>
      <c r="B1" s="100"/>
      <c r="C1" s="100"/>
      <c r="D1" s="101" t="s">
        <v>79</v>
      </c>
      <c r="E1" s="101"/>
      <c r="F1" s="101"/>
      <c r="G1" s="99" t="s">
        <v>80</v>
      </c>
      <c r="H1" s="99"/>
      <c r="I1" s="99"/>
      <c r="J1" s="4"/>
      <c r="K1" s="4"/>
    </row>
    <row r="2" spans="1:14" ht="19.5" customHeight="1">
      <c r="A2" s="102" t="s">
        <v>2</v>
      </c>
      <c r="B2" s="102"/>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6">
      <c r="A4" s="47" t="str" cm="1">
        <f t="array" ref="A4:A24">Sites[Site]</f>
        <v>6th St.</v>
      </c>
      <c r="B4" s="48" t="str" cm="1">
        <f t="array" ref="B4:B24">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92"/>
      <c r="M4" s="92"/>
      <c r="N4" s="92"/>
    </row>
    <row r="5" spans="1:14" ht="15.6">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92"/>
      <c r="M5" s="92"/>
      <c r="N5" s="92"/>
    </row>
    <row r="6" spans="1:14" ht="115.15">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5" t="s">
        <v>82</v>
      </c>
      <c r="L6" s="93" t="s">
        <v>83</v>
      </c>
      <c r="M6" s="93" t="s">
        <v>84</v>
      </c>
      <c r="N6" s="92"/>
    </row>
    <row r="7" spans="1:14" ht="28.9">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7" t="s">
        <v>86</v>
      </c>
      <c r="L7" s="92"/>
      <c r="M7" s="92"/>
      <c r="N7" s="92"/>
    </row>
    <row r="8" spans="1:14" ht="43.1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5" t="s">
        <v>88</v>
      </c>
      <c r="L8" s="92"/>
      <c r="M8" s="92"/>
      <c r="N8" s="92"/>
    </row>
    <row r="9" spans="1:14" ht="28.9">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7" t="s">
        <v>90</v>
      </c>
      <c r="L9" s="92"/>
      <c r="M9" s="92"/>
      <c r="N9" s="92"/>
    </row>
    <row r="10" spans="1:14" ht="28.9">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92"/>
      <c r="M10" s="92"/>
      <c r="N10" s="92"/>
    </row>
    <row r="11" spans="1:14" ht="28.9">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92"/>
      <c r="M11" s="92"/>
      <c r="N11" s="92"/>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5" t="s">
        <v>96</v>
      </c>
      <c r="L12" s="93" t="s">
        <v>97</v>
      </c>
      <c r="M12" s="92"/>
      <c r="N12" s="92"/>
    </row>
    <row r="13" spans="1:14" ht="43.1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7" t="s">
        <v>99</v>
      </c>
      <c r="L13" s="92"/>
      <c r="M13" s="92"/>
      <c r="N13" s="92"/>
    </row>
    <row r="14" spans="1:14" ht="28.9">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92"/>
      <c r="M14" s="92"/>
      <c r="N14" s="92"/>
    </row>
    <row r="15" spans="1:14" ht="28.9">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7" t="s">
        <v>103</v>
      </c>
      <c r="L15" s="92"/>
      <c r="M15" s="92"/>
      <c r="N15" s="92"/>
    </row>
    <row r="16" spans="1:14" ht="28.9">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5" t="s">
        <v>105</v>
      </c>
      <c r="L16" s="93" t="s">
        <v>106</v>
      </c>
      <c r="M16" s="92"/>
      <c r="N16" s="92"/>
    </row>
    <row r="17" spans="1:14" ht="57.6">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7" t="s">
        <v>108</v>
      </c>
      <c r="L17" s="92"/>
      <c r="M17" s="92"/>
      <c r="N17" s="92"/>
    </row>
    <row r="18" spans="1:14" ht="57.6">
      <c r="A18" s="91"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5" t="s">
        <v>110</v>
      </c>
      <c r="L18" s="92"/>
      <c r="M18" s="92"/>
      <c r="N18" s="92"/>
    </row>
    <row r="19" spans="1:14" ht="28.9">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7" t="s">
        <v>112</v>
      </c>
      <c r="L19" s="92"/>
      <c r="M19" s="92"/>
      <c r="N19" s="92"/>
    </row>
    <row r="20" spans="1:14" ht="28.9">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92"/>
      <c r="M20" s="92"/>
      <c r="N20" s="92"/>
    </row>
    <row r="21" spans="1:14" ht="15.6">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92"/>
      <c r="M21" s="92"/>
      <c r="N21" s="92"/>
    </row>
    <row r="22" spans="1:14" ht="43.1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92"/>
      <c r="M22" s="92"/>
      <c r="N22" s="92"/>
    </row>
    <row r="23" spans="1:14" ht="28.9">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92"/>
      <c r="M23" s="92"/>
      <c r="N23" s="92"/>
    </row>
    <row r="24" spans="1:14" ht="57.6">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5" t="s">
        <v>121</v>
      </c>
      <c r="L24" s="92"/>
      <c r="M24" s="92"/>
      <c r="N24" s="92"/>
    </row>
    <row r="25" spans="1:14" ht="14.45">
      <c r="A25" s="13"/>
      <c r="B25" s="18"/>
      <c r="C25" s="13"/>
      <c r="D25" s="13"/>
      <c r="E25" s="13"/>
      <c r="F25" s="13"/>
      <c r="G25" s="13"/>
      <c r="H25" s="13"/>
      <c r="I25" s="13"/>
      <c r="J25" s="13"/>
      <c r="K25" s="13"/>
    </row>
    <row r="26" spans="1:14" ht="14.45">
      <c r="A26" s="13"/>
      <c r="B26" s="18"/>
      <c r="C26" s="13"/>
      <c r="D26" s="13"/>
      <c r="E26" s="13"/>
      <c r="F26" s="13"/>
      <c r="G26" s="13"/>
      <c r="H26" s="13"/>
      <c r="I26" s="13"/>
      <c r="J26" s="13"/>
    </row>
    <row r="27" spans="1:14" ht="14.45">
      <c r="A27" s="13"/>
      <c r="B27" s="18"/>
      <c r="C27" s="13"/>
      <c r="D27" s="13"/>
      <c r="E27" s="13"/>
      <c r="F27" s="13"/>
      <c r="G27" s="13"/>
      <c r="H27" s="13"/>
      <c r="I27" s="13"/>
      <c r="J27" s="13"/>
    </row>
    <row r="28" spans="1:14" ht="14.45">
      <c r="A28" s="13"/>
      <c r="B28" s="18"/>
      <c r="C28" s="13"/>
      <c r="D28" s="13"/>
      <c r="E28" s="13"/>
      <c r="F28" s="13"/>
      <c r="G28" s="13"/>
      <c r="H28" s="13"/>
      <c r="I28" s="13"/>
      <c r="J28" s="13"/>
    </row>
    <row r="29" spans="1:14" ht="14.45">
      <c r="A29" s="13"/>
      <c r="B29" s="18"/>
      <c r="C29" s="13"/>
      <c r="D29" s="13"/>
      <c r="E29" s="13"/>
      <c r="F29" s="13"/>
      <c r="G29" s="13"/>
      <c r="H29" s="13"/>
      <c r="I29" s="13"/>
      <c r="J29" s="13"/>
    </row>
    <row r="30" spans="1:14" ht="14.45">
      <c r="A30" s="13"/>
      <c r="B30" s="18"/>
      <c r="C30" s="13"/>
      <c r="D30" s="13"/>
      <c r="E30" s="13"/>
      <c r="F30" s="13"/>
      <c r="G30" s="13"/>
      <c r="H30" s="13"/>
      <c r="I30" s="13"/>
      <c r="J30" s="13"/>
    </row>
    <row r="31" spans="1:14" ht="14.45">
      <c r="A31" s="13"/>
      <c r="B31" s="18"/>
      <c r="C31" s="13"/>
      <c r="D31" s="13"/>
      <c r="E31" s="13"/>
      <c r="F31" s="13"/>
      <c r="G31" s="13"/>
      <c r="H31" s="13"/>
      <c r="I31" s="13"/>
      <c r="J31" s="13"/>
    </row>
    <row r="32" spans="1:14" ht="14.45">
      <c r="A32" s="13"/>
      <c r="B32" s="18"/>
      <c r="C32" s="13"/>
      <c r="D32" s="13"/>
      <c r="E32" s="13"/>
      <c r="F32" s="14"/>
      <c r="G32" s="13"/>
      <c r="H32" s="14"/>
      <c r="I32" s="13"/>
      <c r="J32" s="13"/>
    </row>
    <row r="33" spans="1:11" ht="14.45">
      <c r="A33" s="13"/>
      <c r="B33" s="18"/>
      <c r="C33" s="13"/>
      <c r="D33" s="13"/>
      <c r="E33" s="13"/>
      <c r="F33" s="14"/>
      <c r="G33" s="13"/>
      <c r="H33" s="14"/>
      <c r="I33" s="13"/>
      <c r="J33" s="13"/>
    </row>
    <row r="34" spans="1:11" ht="14.45">
      <c r="A34" s="13"/>
      <c r="B34" s="18"/>
      <c r="C34" s="13"/>
      <c r="D34" s="13"/>
      <c r="E34" s="13"/>
      <c r="F34" s="14"/>
      <c r="G34" s="13"/>
      <c r="H34" s="14"/>
      <c r="I34" s="13"/>
      <c r="J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6" activePane="bottomRight" state="frozen"/>
      <selection pane="bottomRight" activeCell="J19" sqref="J19"/>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100" t="str" cm="1">
        <f t="array" ref="A1">portfolio</f>
        <v>38 DN</v>
      </c>
      <c r="B1" s="100"/>
      <c r="C1" s="100"/>
      <c r="D1" s="101" t="s">
        <v>122</v>
      </c>
      <c r="E1" s="101"/>
      <c r="F1" s="101"/>
      <c r="G1" s="99" t="s">
        <v>123</v>
      </c>
      <c r="H1" s="99"/>
      <c r="I1" s="99"/>
      <c r="J1" s="4"/>
      <c r="K1" s="4"/>
    </row>
    <row r="2" spans="1:13" ht="19.5" customHeight="1">
      <c r="A2" s="102" t="s">
        <v>2</v>
      </c>
      <c r="B2" s="102"/>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91" t="str" cm="1">
        <f t="array" ref="A4:A24">Sites[Site]</f>
        <v>6th St.</v>
      </c>
      <c r="B4" s="48" t="str" cm="1">
        <f t="array" ref="B4:B24">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5" t="s">
        <v>125</v>
      </c>
      <c r="L4" s="93" t="s">
        <v>126</v>
      </c>
      <c r="M4" s="92"/>
    </row>
    <row r="5" spans="1:13" ht="43.1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7" t="s">
        <v>128</v>
      </c>
      <c r="L5" s="93" t="s">
        <v>129</v>
      </c>
      <c r="M5" s="92"/>
    </row>
    <row r="6" spans="1:13" ht="15.6">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92"/>
      <c r="M6" s="92"/>
    </row>
    <row r="7" spans="1:13" ht="15.6">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92"/>
      <c r="M7" s="92"/>
    </row>
    <row r="8" spans="1:13" ht="57.6">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5" t="s">
        <v>131</v>
      </c>
      <c r="L8" s="93" t="s">
        <v>132</v>
      </c>
      <c r="M8" s="92"/>
    </row>
    <row r="9" spans="1:13" ht="28.9">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7" t="s">
        <v>134</v>
      </c>
      <c r="L9" s="92"/>
      <c r="M9" s="92"/>
    </row>
    <row r="10" spans="1:13" ht="15.6">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5" t="s">
        <v>136</v>
      </c>
      <c r="L10" s="92"/>
      <c r="M10" s="92"/>
    </row>
    <row r="11" spans="1:13" ht="86.45">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7" t="s">
        <v>138</v>
      </c>
      <c r="L11" s="93" t="s">
        <v>139</v>
      </c>
      <c r="M11" s="92"/>
    </row>
    <row r="12" spans="1:13" ht="43.15">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5" t="s">
        <v>141</v>
      </c>
      <c r="L12" s="92"/>
      <c r="M12" s="92"/>
    </row>
    <row r="13" spans="1:13" ht="43.15">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7" t="s">
        <v>142</v>
      </c>
      <c r="L13" s="92"/>
      <c r="M13" s="92"/>
    </row>
    <row r="14" spans="1:13" ht="43.15">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5" t="s">
        <v>144</v>
      </c>
      <c r="L14" s="92"/>
      <c r="M14" s="92"/>
    </row>
    <row r="15" spans="1:13" ht="15.6">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92"/>
      <c r="M15" s="92"/>
    </row>
    <row r="16" spans="1:13" ht="28.9">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4" t="s">
        <v>145</v>
      </c>
      <c r="K16" s="85" t="s">
        <v>146</v>
      </c>
      <c r="L16" s="92"/>
      <c r="M16" s="92"/>
    </row>
    <row r="17" spans="1:13" ht="15.6">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92"/>
      <c r="M17" s="92"/>
    </row>
    <row r="18" spans="1:13" ht="43.15">
      <c r="A18" s="91"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5" t="s">
        <v>148</v>
      </c>
      <c r="L18" s="92"/>
      <c r="M18" s="92"/>
    </row>
    <row r="19" spans="1:13" ht="37.5" customHeight="1">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7" t="s">
        <v>150</v>
      </c>
      <c r="L19" s="92"/>
      <c r="M19" s="92"/>
    </row>
    <row r="20" spans="1:13" ht="28.9">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5" t="s">
        <v>152</v>
      </c>
      <c r="L20" s="92"/>
      <c r="M20" s="92"/>
    </row>
    <row r="21" spans="1:13" ht="28.9">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7" t="s">
        <v>154</v>
      </c>
      <c r="L21" s="92"/>
      <c r="M21" s="92"/>
    </row>
    <row r="22" spans="1:13" ht="15.6">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92"/>
      <c r="M22" s="92"/>
    </row>
    <row r="23" spans="1:13" ht="15.6">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92"/>
      <c r="M23" s="92"/>
    </row>
    <row r="24" spans="1:13" ht="15.6">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92"/>
      <c r="M24" s="92"/>
    </row>
    <row r="25" spans="1:13" ht="14.45">
      <c r="A25" s="13"/>
      <c r="B25" s="18"/>
      <c r="C25" s="13"/>
      <c r="D25" s="13"/>
      <c r="E25" s="13"/>
      <c r="F25" s="13"/>
      <c r="G25" s="13"/>
      <c r="H25" s="13"/>
      <c r="I25" s="13"/>
      <c r="J25" s="13"/>
      <c r="K25" s="13"/>
    </row>
    <row r="26" spans="1:13" ht="14.45">
      <c r="A26" s="13"/>
      <c r="B26" s="18"/>
      <c r="C26" s="13"/>
      <c r="D26" s="13"/>
      <c r="E26" s="13"/>
      <c r="F26" s="13"/>
      <c r="G26" s="13"/>
      <c r="H26" s="13"/>
      <c r="I26" s="13"/>
      <c r="J26" s="13"/>
      <c r="K26" s="13"/>
    </row>
    <row r="27" spans="1:13" ht="14.45">
      <c r="A27" s="13"/>
      <c r="B27" s="18"/>
      <c r="C27" s="13"/>
      <c r="D27" s="13"/>
      <c r="E27" s="13"/>
      <c r="F27" s="13"/>
      <c r="G27" s="13"/>
      <c r="H27" s="13"/>
      <c r="I27" s="13"/>
      <c r="J27" s="13"/>
      <c r="K27" s="13"/>
    </row>
    <row r="28" spans="1:13" ht="14.45">
      <c r="A28" s="13"/>
      <c r="B28" s="18"/>
      <c r="C28" s="13"/>
      <c r="D28" s="13"/>
      <c r="E28" s="13"/>
      <c r="F28" s="13"/>
      <c r="G28" s="13"/>
      <c r="H28" s="13"/>
      <c r="I28" s="13"/>
      <c r="J28" s="13"/>
      <c r="K28" s="13"/>
    </row>
    <row r="29" spans="1:13" ht="14.45">
      <c r="A29" s="13"/>
      <c r="B29" s="18"/>
      <c r="C29" s="13"/>
      <c r="D29" s="13"/>
      <c r="E29" s="13"/>
      <c r="F29" s="13"/>
      <c r="G29" s="13"/>
      <c r="H29" s="13"/>
      <c r="I29" s="13"/>
      <c r="J29" s="13"/>
      <c r="K29" s="13"/>
    </row>
    <row r="30" spans="1:13" ht="14.45">
      <c r="A30" s="13"/>
      <c r="B30" s="18"/>
      <c r="C30" s="13"/>
      <c r="D30" s="13"/>
      <c r="E30" s="13"/>
      <c r="F30" s="13"/>
      <c r="G30" s="13"/>
      <c r="H30" s="13"/>
      <c r="I30" s="13"/>
      <c r="J30" s="13"/>
      <c r="K30" s="13"/>
    </row>
    <row r="31" spans="1:13" ht="14.45">
      <c r="A31" s="13"/>
      <c r="B31" s="18"/>
      <c r="C31" s="13"/>
      <c r="D31" s="13"/>
      <c r="E31" s="13"/>
      <c r="F31" s="13"/>
      <c r="G31" s="13"/>
      <c r="H31" s="13"/>
      <c r="I31" s="13"/>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5"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0" t="str" cm="1">
        <f t="array" ref="A1">portfolio</f>
        <v>38 DN</v>
      </c>
      <c r="B1" s="100"/>
      <c r="C1" s="100"/>
      <c r="D1" s="101" t="s">
        <v>155</v>
      </c>
      <c r="E1" s="101"/>
      <c r="F1" s="101"/>
      <c r="G1" s="99" t="s">
        <v>156</v>
      </c>
      <c r="H1" s="99"/>
      <c r="I1" s="99"/>
      <c r="J1" s="4"/>
      <c r="K1" s="4"/>
    </row>
    <row r="2" spans="1:12" ht="19.5" customHeight="1">
      <c r="A2" s="102" t="s">
        <v>2</v>
      </c>
      <c r="B2" s="102"/>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66.75" customHeight="1">
      <c r="A4" s="91" t="str" cm="1">
        <f t="array" ref="A4:A24">Sites[Site]</f>
        <v>6th St.</v>
      </c>
      <c r="B4" s="48" t="str" cm="1">
        <f t="array" ref="B4:B24">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95" t="s">
        <v>158</v>
      </c>
      <c r="L4" s="88" t="s">
        <v>159</v>
      </c>
    </row>
    <row r="5" spans="1:12" ht="45" customHeight="1">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7" t="s">
        <v>161</v>
      </c>
    </row>
    <row r="6" spans="1:12" ht="28.9">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6" t="s">
        <v>164</v>
      </c>
    </row>
    <row r="8" spans="1:12" ht="28.9">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28.9">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28.9">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57.6">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7" t="s">
        <v>166</v>
      </c>
      <c r="L11" s="88" t="s">
        <v>167</v>
      </c>
    </row>
    <row r="12" spans="1:12" ht="28.9">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28.9">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28.9">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28.9">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28.9">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28.9">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c r="A18" s="91"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95" t="s">
        <v>172</v>
      </c>
    </row>
    <row r="19" spans="1:12" ht="57.6">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6" t="s">
        <v>174</v>
      </c>
    </row>
    <row r="20" spans="1:12" ht="28.9">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28.9">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28.9">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95" t="s">
        <v>177</v>
      </c>
    </row>
    <row r="23" spans="1:12" ht="72">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7" t="s">
        <v>179</v>
      </c>
      <c r="L23" s="88" t="s">
        <v>180</v>
      </c>
    </row>
    <row r="24" spans="1:12" ht="28.9">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4.45">
      <c r="A25" s="13"/>
      <c r="B25" s="18"/>
      <c r="C25" s="13"/>
      <c r="D25" s="13"/>
      <c r="E25" s="13"/>
      <c r="F25" s="13"/>
      <c r="G25" s="13"/>
      <c r="H25" s="13"/>
      <c r="I25" s="13"/>
      <c r="J25" s="13"/>
      <c r="K25" s="13"/>
    </row>
    <row r="26" spans="1:12" ht="14.45">
      <c r="A26" s="13"/>
      <c r="B26" s="18"/>
      <c r="C26" s="13"/>
      <c r="D26" s="13"/>
      <c r="E26" s="13"/>
      <c r="F26" s="13"/>
      <c r="G26" s="13"/>
      <c r="H26" s="13"/>
      <c r="I26" s="13"/>
      <c r="J26" s="13"/>
      <c r="K26" s="13"/>
    </row>
    <row r="27" spans="1:12" ht="14.45">
      <c r="A27" s="13"/>
      <c r="B27" s="18"/>
      <c r="C27" s="13"/>
      <c r="D27" s="13"/>
      <c r="E27" s="13"/>
      <c r="F27" s="13"/>
      <c r="G27" s="13"/>
      <c r="H27" s="13"/>
      <c r="I27" s="13"/>
      <c r="J27" s="13"/>
      <c r="K27" s="13"/>
    </row>
    <row r="28" spans="1:12" ht="14.45">
      <c r="A28" s="13"/>
      <c r="B28" s="18"/>
      <c r="C28" s="13"/>
      <c r="D28" s="13"/>
      <c r="E28" s="13"/>
      <c r="F28" s="13"/>
      <c r="G28" s="13"/>
      <c r="H28" s="13"/>
      <c r="I28" s="13"/>
      <c r="J28" s="13"/>
      <c r="K28" s="13"/>
    </row>
    <row r="29" spans="1:12" ht="14.45">
      <c r="A29" s="13"/>
      <c r="B29" s="18"/>
      <c r="C29" s="13"/>
      <c r="D29" s="13"/>
      <c r="E29" s="13"/>
      <c r="F29" s="13"/>
      <c r="G29" s="13"/>
      <c r="H29" s="13"/>
      <c r="I29" s="13"/>
      <c r="J29" s="13"/>
      <c r="K29" s="13"/>
    </row>
    <row r="30" spans="1:12" ht="14.45">
      <c r="A30" s="13"/>
      <c r="B30" s="18"/>
      <c r="C30" s="13"/>
      <c r="D30" s="13"/>
      <c r="E30" s="13"/>
      <c r="F30" s="13"/>
      <c r="G30" s="13"/>
      <c r="H30" s="13"/>
      <c r="I30" s="13"/>
      <c r="J30" s="13"/>
      <c r="K30" s="13"/>
    </row>
    <row r="31" spans="1:12" ht="14.45">
      <c r="A31" s="13"/>
      <c r="B31" s="18"/>
      <c r="C31" s="13"/>
      <c r="D31" s="13"/>
      <c r="E31" s="13"/>
      <c r="F31" s="13"/>
      <c r="G31" s="13"/>
      <c r="H31" s="13"/>
      <c r="I31" s="13"/>
      <c r="J31" s="13"/>
      <c r="K31" s="13"/>
    </row>
    <row r="32" spans="1:12"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4" activePane="bottomRight" state="frozen"/>
      <selection pane="bottomRight" activeCell="O12" sqref="O12"/>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92"/>
  </cols>
  <sheetData>
    <row r="1" spans="1:13" ht="19.5" customHeight="1">
      <c r="A1" s="100" t="str" cm="1">
        <f t="array" ref="A1">portfolio</f>
        <v>38 DN</v>
      </c>
      <c r="B1" s="100"/>
      <c r="C1" s="100"/>
      <c r="D1" s="101" t="s">
        <v>181</v>
      </c>
      <c r="E1" s="101"/>
      <c r="F1" s="101"/>
      <c r="G1" s="99" t="s">
        <v>182</v>
      </c>
      <c r="H1" s="99"/>
      <c r="I1" s="99"/>
      <c r="J1" s="4"/>
      <c r="K1" s="4"/>
    </row>
    <row r="2" spans="1:13" ht="19.5" customHeight="1">
      <c r="A2" s="102" t="s">
        <v>2</v>
      </c>
      <c r="B2" s="102"/>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72">
      <c r="A4" s="47" t="str" cm="1">
        <f t="array" ref="A4:A24">Sites[Site]</f>
        <v>6th St.</v>
      </c>
      <c r="B4" s="48" t="str" cm="1">
        <f t="array" ref="B4:B24">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7" t="s">
        <v>183</v>
      </c>
      <c r="K4" s="98" t="s">
        <v>184</v>
      </c>
      <c r="L4" s="93" t="s">
        <v>185</v>
      </c>
    </row>
    <row r="5" spans="1:13" ht="15.6">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5" t="s">
        <v>187</v>
      </c>
      <c r="L6" s="93" t="s">
        <v>188</v>
      </c>
    </row>
    <row r="7" spans="1:13" ht="15.6">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6">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6">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3.15">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5" t="s">
        <v>191</v>
      </c>
      <c r="L10" s="93" t="s">
        <v>192</v>
      </c>
    </row>
    <row r="11" spans="1:13" ht="57.6">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7" t="s">
        <v>194</v>
      </c>
      <c r="L11" s="93" t="s">
        <v>195</v>
      </c>
      <c r="M11" s="93" t="s">
        <v>196</v>
      </c>
    </row>
    <row r="12" spans="1:13" ht="57.6">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5" t="s">
        <v>198</v>
      </c>
      <c r="L12" s="93" t="s">
        <v>199</v>
      </c>
      <c r="M12" s="93" t="s">
        <v>200</v>
      </c>
    </row>
    <row r="13" spans="1:13" ht="57.6">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7" t="s">
        <v>202</v>
      </c>
      <c r="L13" s="93" t="s">
        <v>203</v>
      </c>
      <c r="M13" s="93" t="s">
        <v>204</v>
      </c>
    </row>
    <row r="14" spans="1:13" ht="28.9">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5" t="s">
        <v>206</v>
      </c>
      <c r="L14" s="93" t="s">
        <v>207</v>
      </c>
    </row>
    <row r="15" spans="1:13" ht="28.9">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7" t="s">
        <v>209</v>
      </c>
    </row>
    <row r="16" spans="1:13" ht="86.45">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5" t="s">
        <v>211</v>
      </c>
      <c r="L16" s="93" t="s">
        <v>212</v>
      </c>
    </row>
    <row r="17" spans="1:11" ht="15.6">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6">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28.9">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15.6">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5" t="s">
        <v>216</v>
      </c>
    </row>
    <row r="23" spans="1:11" ht="15.6">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7" t="s">
        <v>217</v>
      </c>
    </row>
    <row r="24" spans="1:11" ht="15.6">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1"/>
  <sheetViews>
    <sheetView zoomScaleNormal="100" workbookViewId="0">
      <pane xSplit="2" ySplit="3" topLeftCell="C9"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0" t="str" cm="1">
        <f t="array" ref="A1">portfolio</f>
        <v>38 DN</v>
      </c>
      <c r="B1" s="100"/>
      <c r="C1" s="100"/>
      <c r="D1" s="101" t="s">
        <v>218</v>
      </c>
      <c r="E1" s="101"/>
      <c r="F1" s="101"/>
      <c r="G1" s="99" t="s">
        <v>219</v>
      </c>
      <c r="H1" s="99"/>
      <c r="I1" s="99"/>
      <c r="J1" s="4"/>
      <c r="K1" s="4"/>
    </row>
    <row r="2" spans="1:11" ht="19.5" customHeight="1">
      <c r="A2" s="102" t="s">
        <v>2</v>
      </c>
      <c r="B2" s="102"/>
      <c r="C2" s="5">
        <f>SUM(C4:C99)</f>
        <v>0</v>
      </c>
      <c r="D2" s="5">
        <f>SUM(D4:D99)</f>
        <v>0</v>
      </c>
      <c r="E2" s="5">
        <f>C2-D2</f>
        <v>0</v>
      </c>
      <c r="F2" s="6">
        <f>IFERROR(E2/D2, 0)</f>
        <v>0</v>
      </c>
      <c r="G2" s="5">
        <f>SUM(G4:G99)</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69"/>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8"/>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0" t="str" cm="1">
        <f t="array" ref="A1">portfolio</f>
        <v>38 DN</v>
      </c>
      <c r="B1" s="100"/>
      <c r="C1" s="100"/>
      <c r="D1" s="101" t="s">
        <v>220</v>
      </c>
      <c r="E1" s="101"/>
      <c r="F1" s="101"/>
      <c r="G1" s="99" t="s">
        <v>221</v>
      </c>
      <c r="H1" s="99"/>
      <c r="I1" s="99"/>
      <c r="J1" s="4"/>
      <c r="K1" s="4"/>
    </row>
    <row r="2" spans="1:11" ht="19.5" customHeight="1">
      <c r="A2" s="102" t="s">
        <v>2</v>
      </c>
      <c r="B2" s="102"/>
      <c r="C2" s="5">
        <f>SUM(C4:C99)</f>
        <v>0</v>
      </c>
      <c r="D2" s="5">
        <f>SUM(D4:D99)</f>
        <v>0</v>
      </c>
      <c r="E2" s="5">
        <f>C2-D2</f>
        <v>0</v>
      </c>
      <c r="F2" s="6">
        <f>IFERROR(E2/D2, 0)</f>
        <v>0</v>
      </c>
      <c r="G2" s="5">
        <f>SUM(G4:G99)</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t="s">
        <v>222</v>
      </c>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1"/>
  <sheetViews>
    <sheetView zoomScaleNormal="100" workbookViewId="0">
      <pane xSplit="2" ySplit="3" topLeftCell="C12"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0" t="str" cm="1">
        <f t="array" ref="A1">portfolio</f>
        <v>38 DN</v>
      </c>
      <c r="B1" s="100"/>
      <c r="C1" s="100"/>
      <c r="D1" s="101" t="s">
        <v>223</v>
      </c>
      <c r="E1" s="101"/>
      <c r="F1" s="101"/>
      <c r="G1" s="99" t="s">
        <v>224</v>
      </c>
      <c r="H1" s="99"/>
      <c r="I1" s="99"/>
      <c r="J1" s="4"/>
      <c r="K1" s="4"/>
    </row>
    <row r="2" spans="1:11" ht="19.5" customHeight="1">
      <c r="A2" s="102" t="s">
        <v>2</v>
      </c>
      <c r="B2" s="102"/>
      <c r="C2" s="5">
        <f>SUM(C4:C99)</f>
        <v>0</v>
      </c>
      <c r="D2" s="5">
        <f>SUM(D4:D99)</f>
        <v>0</v>
      </c>
      <c r="E2" s="5">
        <f>C2-D2</f>
        <v>0</v>
      </c>
      <c r="F2" s="6">
        <f>IFERROR(E2/D2, 0)</f>
        <v>0</v>
      </c>
      <c r="G2" s="5">
        <f>SUM(G4:G99)</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8"/>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34.25" customHeight="1">
      <c r="A11" s="49" t="str">
        <v>ISM Dighton Solar 2</v>
      </c>
      <c r="B11" s="50" t="str">
        <v>MA</v>
      </c>
      <c r="C11" s="43"/>
      <c r="D11" s="44"/>
      <c r="E11" s="44" t="str">
        <f t="shared" si="0"/>
        <v/>
      </c>
      <c r="F11" s="45" t="str">
        <f t="shared" si="3"/>
        <v/>
      </c>
      <c r="G11" s="46"/>
      <c r="H11" s="46" t="str">
        <f t="shared" si="1"/>
        <v/>
      </c>
      <c r="I11" s="45" t="str">
        <f t="shared" si="2"/>
        <v/>
      </c>
      <c r="J11" s="67"/>
      <c r="K11" s="67"/>
    </row>
    <row r="12" spans="1:11" ht="55.5" customHeight="1">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7"/>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1"/>
  <sheetViews>
    <sheetView zoomScaleNormal="100" workbookViewId="0">
      <pane xSplit="2" ySplit="3" topLeftCell="C13"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0" t="str" cm="1">
        <f t="array" ref="A1">portfolio</f>
        <v>38 DN</v>
      </c>
      <c r="B1" s="100"/>
      <c r="C1" s="100"/>
      <c r="D1" s="101" t="s">
        <v>225</v>
      </c>
      <c r="E1" s="101"/>
      <c r="F1" s="101"/>
      <c r="G1" s="99" t="s">
        <v>226</v>
      </c>
      <c r="H1" s="99"/>
      <c r="I1" s="99"/>
      <c r="J1" s="4"/>
      <c r="K1" s="4"/>
    </row>
    <row r="2" spans="1:11" ht="19.5" customHeight="1">
      <c r="A2" s="102" t="s">
        <v>2</v>
      </c>
      <c r="B2" s="102"/>
      <c r="C2" s="5">
        <f>SUM(C4:C99)</f>
        <v>0</v>
      </c>
      <c r="D2" s="5">
        <f>SUM(D4:D99)</f>
        <v>0</v>
      </c>
      <c r="E2" s="5">
        <f>C2-D2</f>
        <v>0</v>
      </c>
      <c r="F2" s="6">
        <f>IFERROR(E2/D2, 0)</f>
        <v>0</v>
      </c>
      <c r="G2" s="5">
        <f>SUM(G4:G99)</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36" customHeight="1">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8"/>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67"/>
      <c r="K9" s="69"/>
    </row>
    <row r="10" spans="1:11" ht="15.6">
      <c r="A10" s="51" t="str">
        <v>Cohasse</v>
      </c>
      <c r="B10" s="48" t="str">
        <v>MA</v>
      </c>
      <c r="C10" s="36"/>
      <c r="D10" s="37"/>
      <c r="E10" s="37" t="str">
        <f t="shared" si="0"/>
        <v/>
      </c>
      <c r="F10" s="38" t="str">
        <f t="shared" si="3"/>
        <v/>
      </c>
      <c r="G10" s="39"/>
      <c r="H10" s="39" t="str">
        <f t="shared" si="1"/>
        <v/>
      </c>
      <c r="I10" s="40" t="str">
        <f t="shared" si="2"/>
        <v/>
      </c>
      <c r="J10" s="57"/>
      <c r="K10" s="75"/>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4"/>
    </row>
    <row r="12" spans="1:11" ht="15.6">
      <c r="A12" s="51" t="str">
        <v>Dudley River 1</v>
      </c>
      <c r="B12" s="48" t="str">
        <v>MA</v>
      </c>
      <c r="C12" s="36"/>
      <c r="D12" s="37"/>
      <c r="E12" s="37" t="str">
        <f t="shared" si="0"/>
        <v/>
      </c>
      <c r="F12" s="38" t="str">
        <f t="shared" si="3"/>
        <v/>
      </c>
      <c r="G12" s="39"/>
      <c r="H12" s="39" t="str">
        <f t="shared" si="1"/>
        <v/>
      </c>
      <c r="I12" s="40" t="str">
        <f t="shared" si="2"/>
        <v/>
      </c>
      <c r="J12" s="57"/>
      <c r="K12" s="75"/>
    </row>
    <row r="13" spans="1:11" ht="15.6">
      <c r="A13" s="49" t="str">
        <v>Dudley River 2</v>
      </c>
      <c r="B13" s="50" t="str">
        <v>MA</v>
      </c>
      <c r="C13" s="43"/>
      <c r="D13" s="44"/>
      <c r="E13" s="44" t="str">
        <f t="shared" si="0"/>
        <v/>
      </c>
      <c r="F13" s="45" t="str">
        <f t="shared" si="3"/>
        <v/>
      </c>
      <c r="G13" s="46"/>
      <c r="H13" s="46" t="str">
        <f t="shared" si="1"/>
        <v/>
      </c>
      <c r="I13" s="45" t="str">
        <f t="shared" si="2"/>
        <v/>
      </c>
      <c r="J13" s="58"/>
      <c r="K13" s="77"/>
    </row>
    <row r="14" spans="1:11" ht="15.6">
      <c r="A14" s="51" t="str">
        <v>Dudley River 3</v>
      </c>
      <c r="B14" s="48" t="str">
        <v>MA</v>
      </c>
      <c r="C14" s="36"/>
      <c r="D14" s="37"/>
      <c r="E14" s="37" t="str">
        <f t="shared" si="0"/>
        <v/>
      </c>
      <c r="F14" s="38" t="str">
        <f t="shared" si="3"/>
        <v/>
      </c>
      <c r="G14" s="39"/>
      <c r="H14" s="39" t="str">
        <f t="shared" si="1"/>
        <v/>
      </c>
      <c r="I14" s="40" t="str">
        <f t="shared" si="2"/>
        <v/>
      </c>
      <c r="J14" s="57"/>
      <c r="K14" s="75"/>
    </row>
    <row r="15" spans="1:11" ht="15.6">
      <c r="A15" s="49" t="str">
        <v>Flint Pond</v>
      </c>
      <c r="B15" s="50" t="str">
        <v>MA</v>
      </c>
      <c r="C15" s="43"/>
      <c r="D15" s="44"/>
      <c r="E15" s="44" t="str">
        <f t="shared" si="0"/>
        <v/>
      </c>
      <c r="F15" s="45" t="str">
        <f t="shared" si="3"/>
        <v/>
      </c>
      <c r="G15" s="46"/>
      <c r="H15" s="46" t="str">
        <f t="shared" si="1"/>
        <v/>
      </c>
      <c r="I15" s="45" t="str">
        <f t="shared" si="2"/>
        <v/>
      </c>
      <c r="J15" s="69"/>
      <c r="K15" s="76"/>
    </row>
    <row r="16" spans="1:11" ht="15.6">
      <c r="A16" s="51" t="str">
        <v>Incom</v>
      </c>
      <c r="B16" s="48" t="str">
        <v>MA</v>
      </c>
      <c r="C16" s="36"/>
      <c r="D16" s="37"/>
      <c r="E16" s="37" t="str">
        <f t="shared" si="0"/>
        <v/>
      </c>
      <c r="F16" s="38" t="str">
        <f t="shared" si="3"/>
        <v/>
      </c>
      <c r="G16" s="39"/>
      <c r="H16" s="39" t="str">
        <f t="shared" si="1"/>
        <v/>
      </c>
      <c r="I16" s="40" t="str">
        <f t="shared" si="2"/>
        <v/>
      </c>
      <c r="J16" s="57"/>
      <c r="K16" s="75"/>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0" t="str" cm="1">
        <f t="array" ref="A1">portfolio</f>
        <v>38 DN</v>
      </c>
      <c r="B1" s="100"/>
      <c r="C1" s="100"/>
      <c r="D1" s="101" t="s">
        <v>227</v>
      </c>
      <c r="E1" s="101"/>
      <c r="F1" s="101"/>
      <c r="G1" s="99" t="s">
        <v>228</v>
      </c>
      <c r="H1" s="99"/>
      <c r="I1" s="99"/>
      <c r="J1" s="4"/>
      <c r="K1" s="4"/>
    </row>
    <row r="2" spans="1:11" ht="19.5" customHeight="1">
      <c r="A2" s="102" t="s">
        <v>2</v>
      </c>
      <c r="B2" s="102"/>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8"/>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IFERROR(E16/D16, "")</f>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bottomRight" activeCell="G13" sqref="G13"/>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100" t="str" cm="1">
        <f t="array" ref="A1">portfolio</f>
        <v>38 DN</v>
      </c>
      <c r="B1" s="100"/>
      <c r="C1" s="100"/>
      <c r="D1" s="101" t="s">
        <v>229</v>
      </c>
      <c r="E1" s="101"/>
      <c r="F1" s="101"/>
      <c r="G1" s="99" t="s">
        <v>230</v>
      </c>
      <c r="H1" s="99"/>
      <c r="I1" s="99"/>
      <c r="J1" s="4"/>
      <c r="K1" s="4"/>
    </row>
    <row r="2" spans="1:13" ht="19.5" customHeight="1">
      <c r="A2" s="102" t="s">
        <v>2</v>
      </c>
      <c r="B2" s="102"/>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3"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6">
      <c r="A6" s="51" t="str">
        <v>Bowden</v>
      </c>
      <c r="B6" s="48" t="str">
        <v>MA</v>
      </c>
      <c r="C6" s="36"/>
      <c r="D6" s="37"/>
      <c r="E6" s="37" t="str">
        <f t="shared" si="0"/>
        <v/>
      </c>
      <c r="F6" s="38" t="str">
        <f t="shared" ref="F6:F24" si="3">IFERROR(E6/D6, "")</f>
        <v/>
      </c>
      <c r="G6" s="39"/>
      <c r="H6" s="39" t="str">
        <f t="shared" si="1"/>
        <v/>
      </c>
      <c r="I6" s="40" t="str">
        <f t="shared" si="2"/>
        <v/>
      </c>
      <c r="J6" s="57"/>
      <c r="K6" s="57"/>
    </row>
    <row r="7" spans="1:13" ht="15.6">
      <c r="A7" s="49" t="str">
        <v>Blair Wire Village</v>
      </c>
      <c r="B7" s="50" t="str">
        <v>MA</v>
      </c>
      <c r="C7" s="43"/>
      <c r="D7" s="44"/>
      <c r="E7" s="44" t="str">
        <f t="shared" si="0"/>
        <v/>
      </c>
      <c r="F7" s="45" t="str">
        <f t="shared" si="3"/>
        <v/>
      </c>
      <c r="G7" s="46"/>
      <c r="H7" s="46" t="str">
        <f t="shared" si="1"/>
        <v/>
      </c>
      <c r="I7" s="45" t="str">
        <f t="shared" si="2"/>
        <v/>
      </c>
      <c r="J7" s="58"/>
      <c r="K7" s="59"/>
    </row>
    <row r="8" spans="1:13" ht="15.6">
      <c r="A8" s="51" t="str">
        <v>Boutilier</v>
      </c>
      <c r="B8" s="48" t="str">
        <v>MA</v>
      </c>
      <c r="C8" s="36"/>
      <c r="D8" s="37"/>
      <c r="E8" s="37" t="str">
        <f t="shared" si="0"/>
        <v/>
      </c>
      <c r="F8" s="38" t="str">
        <f t="shared" si="3"/>
        <v/>
      </c>
      <c r="G8" s="39"/>
      <c r="H8" s="39" t="str">
        <f t="shared" si="1"/>
        <v/>
      </c>
      <c r="I8" s="40" t="str">
        <f t="shared" si="2"/>
        <v/>
      </c>
      <c r="J8" s="57"/>
      <c r="K8" s="57"/>
    </row>
    <row r="9" spans="1:13" ht="15.6">
      <c r="A9" s="49" t="str">
        <v>Cherry Valley</v>
      </c>
      <c r="B9" s="50" t="str">
        <v>MA</v>
      </c>
      <c r="C9" s="43"/>
      <c r="D9" s="44"/>
      <c r="E9" s="44" t="str">
        <f t="shared" si="0"/>
        <v/>
      </c>
      <c r="F9" s="45" t="str">
        <f t="shared" si="3"/>
        <v/>
      </c>
      <c r="G9" s="46"/>
      <c r="H9" s="46" t="str">
        <f t="shared" si="1"/>
        <v/>
      </c>
      <c r="I9" s="45" t="str">
        <f t="shared" si="2"/>
        <v/>
      </c>
      <c r="J9" s="67"/>
      <c r="K9" s="80"/>
    </row>
    <row r="10" spans="1:13" ht="15.6">
      <c r="A10" s="51" t="str">
        <v>Cohasse</v>
      </c>
      <c r="B10" s="48" t="str">
        <v>MA</v>
      </c>
      <c r="C10" s="36"/>
      <c r="D10" s="37"/>
      <c r="E10" s="37" t="str">
        <f t="shared" si="0"/>
        <v/>
      </c>
      <c r="F10" s="38" t="str">
        <f t="shared" si="3"/>
        <v/>
      </c>
      <c r="G10" s="39"/>
      <c r="H10" s="39" t="str">
        <f t="shared" si="1"/>
        <v/>
      </c>
      <c r="I10" s="40" t="str">
        <f t="shared" si="2"/>
        <v/>
      </c>
      <c r="J10" s="57"/>
      <c r="K10" s="57"/>
    </row>
    <row r="11" spans="1:13" ht="15.6">
      <c r="A11" s="49" t="str">
        <v>ISM Dighton Solar 2</v>
      </c>
      <c r="B11" s="50" t="str">
        <v>MA</v>
      </c>
      <c r="C11" s="43"/>
      <c r="D11" s="44"/>
      <c r="E11" s="44" t="str">
        <f t="shared" si="0"/>
        <v/>
      </c>
      <c r="F11" s="45" t="str">
        <f t="shared" si="3"/>
        <v/>
      </c>
      <c r="G11" s="46"/>
      <c r="H11" s="46" t="str">
        <f t="shared" si="1"/>
        <v/>
      </c>
      <c r="I11" s="45" t="str">
        <f t="shared" si="2"/>
        <v/>
      </c>
      <c r="J11" s="58"/>
      <c r="K11" s="78"/>
      <c r="M11" t="s">
        <v>231</v>
      </c>
    </row>
    <row r="12" spans="1:13" ht="15.6">
      <c r="A12" s="51" t="str">
        <v>Dudley River 1</v>
      </c>
      <c r="B12" s="48" t="str">
        <v>MA</v>
      </c>
      <c r="C12" s="36"/>
      <c r="D12" s="37"/>
      <c r="E12" s="37" t="str">
        <f t="shared" si="0"/>
        <v/>
      </c>
      <c r="F12" s="38" t="str">
        <f t="shared" si="3"/>
        <v/>
      </c>
      <c r="G12" s="39"/>
      <c r="H12" s="39" t="str">
        <f t="shared" si="1"/>
        <v/>
      </c>
      <c r="I12" s="40" t="str">
        <f t="shared" si="2"/>
        <v/>
      </c>
      <c r="J12" s="66"/>
      <c r="K12" s="66"/>
    </row>
    <row r="13" spans="1:13" ht="15.6">
      <c r="A13" s="49" t="str">
        <v>Dudley River 2</v>
      </c>
      <c r="B13" s="50" t="str">
        <v>MA</v>
      </c>
      <c r="C13" s="43"/>
      <c r="D13" s="44"/>
      <c r="E13" s="44" t="str">
        <f t="shared" si="0"/>
        <v/>
      </c>
      <c r="F13" s="45" t="str">
        <f t="shared" si="3"/>
        <v/>
      </c>
      <c r="G13" s="46"/>
      <c r="H13" s="46" t="str">
        <f t="shared" si="1"/>
        <v/>
      </c>
      <c r="I13" s="45" t="str">
        <f t="shared" si="2"/>
        <v/>
      </c>
      <c r="J13" s="58"/>
      <c r="K13" s="59"/>
    </row>
    <row r="14" spans="1:13" ht="15.6">
      <c r="A14" s="51" t="str">
        <v>Dudley River 3</v>
      </c>
      <c r="B14" s="48" t="str">
        <v>MA</v>
      </c>
      <c r="C14" s="36"/>
      <c r="D14" s="37"/>
      <c r="E14" s="37" t="str">
        <f t="shared" si="0"/>
        <v/>
      </c>
      <c r="F14" s="38" t="str">
        <f t="shared" si="3"/>
        <v/>
      </c>
      <c r="G14" s="39"/>
      <c r="H14" s="39" t="str">
        <f t="shared" si="1"/>
        <v/>
      </c>
      <c r="I14" s="40" t="str">
        <f t="shared" si="2"/>
        <v/>
      </c>
      <c r="J14" s="66"/>
      <c r="K14" s="66"/>
    </row>
    <row r="15" spans="1:13" ht="15.6">
      <c r="A15" s="49" t="str">
        <v>Flint Pond</v>
      </c>
      <c r="B15" s="50" t="str">
        <v>MA</v>
      </c>
      <c r="C15" s="43"/>
      <c r="D15" s="44"/>
      <c r="E15" s="44" t="str">
        <f t="shared" si="0"/>
        <v/>
      </c>
      <c r="F15" s="45" t="str">
        <f t="shared" si="3"/>
        <v/>
      </c>
      <c r="G15" s="46"/>
      <c r="H15" s="46" t="str">
        <f t="shared" si="1"/>
        <v/>
      </c>
      <c r="I15" s="45" t="str">
        <f t="shared" si="2"/>
        <v/>
      </c>
      <c r="J15" s="82"/>
      <c r="K15" s="79"/>
    </row>
    <row r="16" spans="1:13" ht="15.6">
      <c r="A16" s="51" t="str">
        <v>Incom</v>
      </c>
      <c r="B16" s="48" t="str">
        <v>MA</v>
      </c>
      <c r="C16" s="36"/>
      <c r="D16" s="37"/>
      <c r="E16" s="37" t="str">
        <f t="shared" si="0"/>
        <v/>
      </c>
      <c r="F16" s="38" t="str">
        <f t="shared" si="3"/>
        <v/>
      </c>
      <c r="G16" s="39"/>
      <c r="H16" s="39" t="str">
        <f t="shared" si="1"/>
        <v/>
      </c>
      <c r="I16" s="40" t="str">
        <f t="shared" si="2"/>
        <v/>
      </c>
      <c r="J16" s="81"/>
      <c r="K16" s="57"/>
    </row>
    <row r="17" spans="1:11" ht="15.6">
      <c r="A17" s="49" t="str">
        <v>JH</v>
      </c>
      <c r="B17" s="50" t="str">
        <v>MA</v>
      </c>
      <c r="C17" s="43"/>
      <c r="D17" s="44"/>
      <c r="E17" s="44"/>
      <c r="F17" s="45" t="str">
        <f t="shared" si="3"/>
        <v/>
      </c>
      <c r="G17" s="46"/>
      <c r="H17" s="46" t="str">
        <f t="shared" si="1"/>
        <v/>
      </c>
      <c r="I17" s="45" t="str">
        <f t="shared" si="2"/>
        <v/>
      </c>
      <c r="J17" s="58"/>
      <c r="K17" s="79"/>
    </row>
    <row r="18" spans="1:11" ht="16.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75"/>
      <c r="K22" s="57"/>
    </row>
    <row r="23" spans="1:11" ht="15.6">
      <c r="A23" s="49" t="str">
        <v>Sunset B</v>
      </c>
      <c r="B23" s="50" t="str">
        <v>MA</v>
      </c>
      <c r="C23" s="43"/>
      <c r="D23" s="44"/>
      <c r="E23" s="44" t="str">
        <f t="shared" si="0"/>
        <v/>
      </c>
      <c r="F23" s="45" t="str">
        <f t="shared" si="3"/>
        <v/>
      </c>
      <c r="G23" s="46"/>
      <c r="H23" s="46" t="str">
        <f t="shared" si="1"/>
        <v/>
      </c>
      <c r="I23" s="45" t="str">
        <f t="shared" si="2"/>
        <v/>
      </c>
      <c r="J23" s="69"/>
      <c r="K23" s="76"/>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B30" sqref="B3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232</v>
      </c>
      <c r="B1" t="s">
        <v>233</v>
      </c>
    </row>
    <row r="3" spans="1:12" ht="13.15">
      <c r="A3" t="s">
        <v>234</v>
      </c>
      <c r="B3" t="s">
        <v>3</v>
      </c>
      <c r="C3" t="s">
        <v>4</v>
      </c>
      <c r="D3" t="s">
        <v>235</v>
      </c>
      <c r="E3" s="2" t="s">
        <v>236</v>
      </c>
    </row>
    <row r="4" spans="1:12" ht="14.45">
      <c r="A4" s="26" t="s">
        <v>237</v>
      </c>
      <c r="B4" t="s">
        <v>237</v>
      </c>
      <c r="C4" s="25" t="s">
        <v>238</v>
      </c>
      <c r="D4" s="24" t="s">
        <v>239</v>
      </c>
      <c r="E4" t="s">
        <v>240</v>
      </c>
      <c r="G4" s="3"/>
    </row>
    <row r="5" spans="1:12" ht="14.45">
      <c r="A5" s="26" t="s">
        <v>241</v>
      </c>
      <c r="B5" t="s">
        <v>241</v>
      </c>
      <c r="C5" s="25" t="s">
        <v>242</v>
      </c>
      <c r="D5" s="24" t="s">
        <v>239</v>
      </c>
      <c r="E5" t="s">
        <v>240</v>
      </c>
      <c r="G5" s="3"/>
    </row>
    <row r="6" spans="1:12" ht="14.45">
      <c r="A6" s="26" t="s">
        <v>243</v>
      </c>
      <c r="B6" t="s">
        <v>243</v>
      </c>
      <c r="C6" s="25" t="s">
        <v>242</v>
      </c>
      <c r="D6" s="24" t="s">
        <v>239</v>
      </c>
      <c r="E6" t="s">
        <v>240</v>
      </c>
      <c r="G6" s="3"/>
    </row>
    <row r="7" spans="1:12" ht="12.75" customHeight="1">
      <c r="A7" s="26" t="s">
        <v>244</v>
      </c>
      <c r="B7" t="s">
        <v>244</v>
      </c>
      <c r="C7" s="25" t="s">
        <v>242</v>
      </c>
      <c r="D7" s="24" t="s">
        <v>239</v>
      </c>
      <c r="E7" t="s">
        <v>240</v>
      </c>
    </row>
    <row r="8" spans="1:12" ht="12.75" customHeight="1">
      <c r="A8" s="26" t="s">
        <v>245</v>
      </c>
      <c r="B8" t="s">
        <v>245</v>
      </c>
      <c r="C8" s="25" t="s">
        <v>242</v>
      </c>
      <c r="D8" s="24" t="s">
        <v>239</v>
      </c>
      <c r="E8" t="s">
        <v>240</v>
      </c>
    </row>
    <row r="9" spans="1:12" ht="12.75" customHeight="1">
      <c r="A9" s="26" t="s">
        <v>246</v>
      </c>
      <c r="B9" t="s">
        <v>246</v>
      </c>
      <c r="C9" s="25" t="s">
        <v>242</v>
      </c>
      <c r="D9" s="24" t="s">
        <v>239</v>
      </c>
      <c r="E9" t="s">
        <v>240</v>
      </c>
    </row>
    <row r="10" spans="1:12" ht="12.75" customHeight="1">
      <c r="A10" s="26" t="s">
        <v>247</v>
      </c>
      <c r="B10" t="s">
        <v>247</v>
      </c>
      <c r="C10" s="25" t="s">
        <v>242</v>
      </c>
      <c r="D10" s="24" t="s">
        <v>239</v>
      </c>
      <c r="E10" t="s">
        <v>240</v>
      </c>
      <c r="K10" s="21"/>
      <c r="L10" s="21"/>
    </row>
    <row r="11" spans="1:12" ht="12.75" customHeight="1">
      <c r="A11" s="26" t="s">
        <v>248</v>
      </c>
      <c r="B11" t="s">
        <v>248</v>
      </c>
      <c r="C11" s="25" t="s">
        <v>242</v>
      </c>
      <c r="D11" s="24" t="s">
        <v>239</v>
      </c>
      <c r="E11" t="s">
        <v>240</v>
      </c>
      <c r="K11" s="21"/>
      <c r="L11" s="21"/>
    </row>
    <row r="12" spans="1:12" ht="12.75" customHeight="1">
      <c r="A12" s="26" t="s">
        <v>249</v>
      </c>
      <c r="B12" t="s">
        <v>249</v>
      </c>
      <c r="C12" s="25" t="s">
        <v>242</v>
      </c>
      <c r="D12" s="24" t="s">
        <v>239</v>
      </c>
      <c r="E12" t="s">
        <v>240</v>
      </c>
      <c r="K12" s="21"/>
      <c r="L12" s="21"/>
    </row>
    <row r="13" spans="1:12" ht="12.75" customHeight="1">
      <c r="A13" s="26" t="s">
        <v>250</v>
      </c>
      <c r="B13" t="s">
        <v>250</v>
      </c>
      <c r="C13" s="25" t="s">
        <v>242</v>
      </c>
      <c r="D13" s="24" t="s">
        <v>239</v>
      </c>
      <c r="E13" t="s">
        <v>240</v>
      </c>
      <c r="K13" s="21"/>
      <c r="L13" s="21"/>
    </row>
    <row r="14" spans="1:12" ht="12.75" customHeight="1">
      <c r="A14" s="26" t="s">
        <v>251</v>
      </c>
      <c r="B14" t="s">
        <v>251</v>
      </c>
      <c r="C14" s="25" t="s">
        <v>242</v>
      </c>
      <c r="D14" s="24" t="s">
        <v>239</v>
      </c>
      <c r="E14" t="s">
        <v>240</v>
      </c>
      <c r="K14" s="21"/>
      <c r="L14" s="21"/>
    </row>
    <row r="15" spans="1:12" ht="12.75" customHeight="1">
      <c r="A15" s="26" t="s">
        <v>252</v>
      </c>
      <c r="B15" t="s">
        <v>252</v>
      </c>
      <c r="C15" s="25" t="s">
        <v>242</v>
      </c>
      <c r="D15" s="24" t="s">
        <v>239</v>
      </c>
      <c r="E15" t="s">
        <v>240</v>
      </c>
      <c r="K15" s="21"/>
      <c r="L15" s="21"/>
    </row>
    <row r="16" spans="1:12" ht="12.75" customHeight="1">
      <c r="A16" s="26" t="s">
        <v>253</v>
      </c>
      <c r="B16" t="s">
        <v>253</v>
      </c>
      <c r="C16" s="25" t="s">
        <v>242</v>
      </c>
      <c r="D16" s="24" t="s">
        <v>239</v>
      </c>
      <c r="E16" t="s">
        <v>240</v>
      </c>
      <c r="K16" s="21"/>
      <c r="L16" s="21"/>
    </row>
    <row r="17" spans="1:12" ht="12.75" customHeight="1">
      <c r="A17" s="26" t="s">
        <v>254</v>
      </c>
      <c r="B17" t="s">
        <v>254</v>
      </c>
      <c r="C17" s="25" t="s">
        <v>242</v>
      </c>
      <c r="D17" s="24" t="s">
        <v>239</v>
      </c>
      <c r="E17" t="s">
        <v>240</v>
      </c>
      <c r="K17" s="21"/>
      <c r="L17" s="21"/>
    </row>
    <row r="18" spans="1:12" ht="12.75" customHeight="1">
      <c r="A18" s="26" t="s">
        <v>255</v>
      </c>
      <c r="B18" t="s">
        <v>255</v>
      </c>
      <c r="C18" s="25" t="s">
        <v>242</v>
      </c>
      <c r="D18" s="24" t="s">
        <v>239</v>
      </c>
      <c r="E18" t="s">
        <v>240</v>
      </c>
      <c r="K18" s="21"/>
      <c r="L18" s="21"/>
    </row>
    <row r="19" spans="1:12" ht="12.75" customHeight="1">
      <c r="A19" s="26" t="s">
        <v>256</v>
      </c>
      <c r="B19" t="s">
        <v>256</v>
      </c>
      <c r="C19" s="25" t="s">
        <v>242</v>
      </c>
      <c r="D19" s="24" t="s">
        <v>239</v>
      </c>
      <c r="E19" t="s">
        <v>240</v>
      </c>
      <c r="K19" s="21"/>
      <c r="L19" s="21"/>
    </row>
    <row r="20" spans="1:12" ht="12.75" customHeight="1">
      <c r="A20" s="26" t="s">
        <v>257</v>
      </c>
      <c r="B20" t="s">
        <v>257</v>
      </c>
      <c r="C20" s="25" t="s">
        <v>242</v>
      </c>
      <c r="D20" s="24" t="s">
        <v>239</v>
      </c>
      <c r="E20" t="s">
        <v>240</v>
      </c>
      <c r="K20" s="21"/>
      <c r="L20" s="21"/>
    </row>
    <row r="21" spans="1:12" ht="12.75" customHeight="1">
      <c r="A21" s="26" t="s">
        <v>258</v>
      </c>
      <c r="B21" t="s">
        <v>258</v>
      </c>
      <c r="C21" s="25" t="s">
        <v>242</v>
      </c>
      <c r="D21" s="24" t="s">
        <v>239</v>
      </c>
      <c r="E21" t="s">
        <v>240</v>
      </c>
      <c r="K21" s="21"/>
      <c r="L21" s="21"/>
    </row>
    <row r="22" spans="1:12" ht="12.75" customHeight="1">
      <c r="A22" s="26" t="s">
        <v>259</v>
      </c>
      <c r="B22" t="s">
        <v>259</v>
      </c>
      <c r="C22" s="25" t="s">
        <v>242</v>
      </c>
      <c r="D22" s="24" t="s">
        <v>239</v>
      </c>
      <c r="E22" t="s">
        <v>240</v>
      </c>
      <c r="K22" s="21"/>
      <c r="L22" s="21"/>
    </row>
    <row r="23" spans="1:12" ht="12.75" customHeight="1">
      <c r="A23" s="26" t="s">
        <v>260</v>
      </c>
      <c r="B23" t="s">
        <v>260</v>
      </c>
      <c r="C23" s="25" t="s">
        <v>242</v>
      </c>
      <c r="D23" s="24" t="s">
        <v>239</v>
      </c>
      <c r="E23" t="s">
        <v>240</v>
      </c>
      <c r="K23" s="21"/>
      <c r="L23" s="21"/>
    </row>
    <row r="24" spans="1:12" ht="12.75" customHeight="1">
      <c r="A24" s="26" t="s">
        <v>261</v>
      </c>
      <c r="B24" t="s">
        <v>261</v>
      </c>
      <c r="C24" s="25" t="s">
        <v>242</v>
      </c>
      <c r="D24" s="24" t="s">
        <v>239</v>
      </c>
      <c r="E24" t="s">
        <v>240</v>
      </c>
      <c r="K24" s="21"/>
      <c r="L24" s="21"/>
    </row>
    <row r="25" spans="1:12" ht="12.75" customHeight="1">
      <c r="K25" s="21"/>
      <c r="L25" s="21"/>
    </row>
    <row r="26" spans="1:12" ht="12.75" customHeight="1">
      <c r="K26" s="21"/>
      <c r="L26" s="21"/>
    </row>
    <row r="27" spans="1:12" ht="12.75" customHeight="1">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0876158-6234-43E7-928D-A5ADB8DE56C9}"/>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CB52044A-5C0B-44A2-99D0-C1C315EC302D}"/>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2025-07-11T13:41:35Z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ies>
</file>