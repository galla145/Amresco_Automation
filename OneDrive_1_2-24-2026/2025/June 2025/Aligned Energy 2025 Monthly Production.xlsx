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" documentId="13_ncr:1_{EBC7F522-6763-45C3-808A-5669CCDBB640}" xr6:coauthVersionLast="47" xr6:coauthVersionMax="47" xr10:uidLastSave="{1A50DC35-93DB-4432-A303-57C793018E4E}"/>
  <bookViews>
    <workbookView xWindow="-108" yWindow="-108" windowWidth="23256" windowHeight="12456" tabRatio="866" firstSheet="7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34" l="1"/>
  <c r="I8" i="34"/>
  <c r="I9" i="34"/>
  <c r="I10" i="34"/>
  <c r="I11" i="34"/>
  <c r="H5" i="34"/>
  <c r="H6" i="34"/>
  <c r="H7" i="34"/>
  <c r="H8" i="34"/>
  <c r="H9" i="34"/>
  <c r="H10" i="34"/>
  <c r="H11" i="34"/>
  <c r="G8" i="34"/>
  <c r="G9" i="34"/>
  <c r="G10" i="34"/>
  <c r="G11" i="34"/>
  <c r="F8" i="34"/>
  <c r="F9" i="34"/>
  <c r="F10" i="34"/>
  <c r="F11" i="34"/>
  <c r="C4" i="34"/>
  <c r="E8" i="34"/>
  <c r="E9" i="34"/>
  <c r="E10" i="34"/>
  <c r="E11" i="34"/>
  <c r="E5" i="34"/>
  <c r="E6" i="34"/>
  <c r="E7" i="34"/>
  <c r="D5" i="34"/>
  <c r="D6" i="34"/>
  <c r="D7" i="34"/>
  <c r="D8" i="34"/>
  <c r="D9" i="34"/>
  <c r="D10" i="34"/>
  <c r="D11" i="34"/>
  <c r="C5" i="34"/>
  <c r="C6" i="34"/>
  <c r="C7" i="34"/>
  <c r="C8" i="34"/>
  <c r="C9" i="34"/>
  <c r="C10" i="34"/>
  <c r="C11" i="34"/>
  <c r="I7" i="1"/>
  <c r="I8" i="1"/>
  <c r="I9" i="1"/>
  <c r="I10" i="1"/>
  <c r="I11" i="1"/>
  <c r="H8" i="1"/>
  <c r="H9" i="1"/>
  <c r="H10" i="1"/>
  <c r="H11" i="1"/>
  <c r="G8" i="1"/>
  <c r="G9" i="1"/>
  <c r="G10" i="1"/>
  <c r="G11" i="1"/>
  <c r="E8" i="1"/>
  <c r="F8" i="1" s="1"/>
  <c r="E9" i="1"/>
  <c r="F9" i="1" s="1"/>
  <c r="E10" i="1"/>
  <c r="F10" i="1" s="1"/>
  <c r="E11" i="1"/>
  <c r="F11" i="1" s="1"/>
  <c r="D8" i="1"/>
  <c r="D9" i="1"/>
  <c r="D10" i="1"/>
  <c r="D11" i="1"/>
  <c r="C8" i="1"/>
  <c r="C9" i="1"/>
  <c r="C10" i="1"/>
  <c r="C11" i="1"/>
  <c r="I8" i="29"/>
  <c r="I9" i="29"/>
  <c r="I10" i="29"/>
  <c r="I11" i="29"/>
  <c r="H8" i="29"/>
  <c r="H9" i="29"/>
  <c r="H10" i="29"/>
  <c r="H11" i="29"/>
  <c r="G8" i="29"/>
  <c r="G9" i="29"/>
  <c r="G10" i="29"/>
  <c r="G11" i="29"/>
  <c r="E11" i="29"/>
  <c r="F11" i="29"/>
  <c r="E8" i="29"/>
  <c r="F8" i="29" s="1"/>
  <c r="E9" i="29"/>
  <c r="F9" i="29" s="1"/>
  <c r="E10" i="29"/>
  <c r="F10" i="29" s="1"/>
  <c r="D8" i="29"/>
  <c r="D9" i="29"/>
  <c r="D10" i="29"/>
  <c r="D11" i="29"/>
  <c r="C8" i="29"/>
  <c r="C9" i="29"/>
  <c r="C10" i="29"/>
  <c r="I8" i="18"/>
  <c r="I9" i="18"/>
  <c r="I10" i="18"/>
  <c r="I11" i="18"/>
  <c r="H8" i="18"/>
  <c r="H9" i="18"/>
  <c r="H10" i="18"/>
  <c r="H11" i="18"/>
  <c r="G8" i="18"/>
  <c r="G9" i="18"/>
  <c r="G10" i="18"/>
  <c r="G11" i="18"/>
  <c r="E8" i="18"/>
  <c r="F8" i="18" s="1"/>
  <c r="E9" i="18"/>
  <c r="F9" i="18" s="1"/>
  <c r="E10" i="18"/>
  <c r="F10" i="18" s="1"/>
  <c r="E11" i="18"/>
  <c r="F11" i="18" s="1"/>
  <c r="D8" i="18"/>
  <c r="D9" i="18"/>
  <c r="D10" i="18"/>
  <c r="D11" i="18"/>
  <c r="C8" i="18"/>
  <c r="C9" i="18"/>
  <c r="C10" i="18"/>
  <c r="C11" i="18"/>
  <c r="H8" i="19"/>
  <c r="I8" i="19" s="1"/>
  <c r="H9" i="19"/>
  <c r="I9" i="19" s="1"/>
  <c r="H10" i="19"/>
  <c r="I10" i="19" s="1"/>
  <c r="H11" i="19"/>
  <c r="I11" i="19" s="1"/>
  <c r="E8" i="19"/>
  <c r="F8" i="19" s="1"/>
  <c r="E9" i="19"/>
  <c r="F9" i="19" s="1"/>
  <c r="E10" i="19"/>
  <c r="F10" i="19" s="1"/>
  <c r="E11" i="19"/>
  <c r="F11" i="19" s="1"/>
  <c r="E8" i="20"/>
  <c r="F8" i="20"/>
  <c r="H8" i="20"/>
  <c r="I8" i="20"/>
  <c r="E9" i="20"/>
  <c r="F9" i="20"/>
  <c r="H9" i="20"/>
  <c r="I9" i="20"/>
  <c r="E10" i="20"/>
  <c r="F10" i="20"/>
  <c r="H10" i="20"/>
  <c r="I10" i="20"/>
  <c r="A4" i="21" a="1"/>
  <c r="A4" i="21" s="1"/>
  <c r="H10" i="21"/>
  <c r="I6" i="21"/>
  <c r="I7" i="21"/>
  <c r="I8" i="21"/>
  <c r="H6" i="21"/>
  <c r="H7" i="21"/>
  <c r="H8" i="21"/>
  <c r="H9" i="21"/>
  <c r="I9" i="21" s="1"/>
  <c r="I10" i="21"/>
  <c r="F8" i="21"/>
  <c r="E8" i="21"/>
  <c r="E9" i="21"/>
  <c r="F9" i="21" s="1"/>
  <c r="E10" i="21"/>
  <c r="F10" i="21" s="1"/>
  <c r="F5" i="3"/>
  <c r="F6" i="3"/>
  <c r="F7" i="3"/>
  <c r="H5" i="3"/>
  <c r="I5" i="3" s="1"/>
  <c r="G6" i="30"/>
  <c r="G7" i="30"/>
  <c r="G5" i="30"/>
  <c r="G4" i="30"/>
  <c r="G4" i="29"/>
  <c r="G5" i="29"/>
  <c r="G6" i="29"/>
  <c r="G7" i="29"/>
  <c r="G5" i="18"/>
  <c r="G6" i="18"/>
  <c r="G7" i="18"/>
  <c r="G4" i="18"/>
  <c r="H6" i="3"/>
  <c r="I6" i="3" s="1"/>
  <c r="H7" i="3"/>
  <c r="I7" i="3" s="1"/>
  <c r="E4" i="4" l="1"/>
  <c r="E4" i="72"/>
  <c r="F4" i="72" s="1"/>
  <c r="E5" i="72"/>
  <c r="F5" i="72" s="1"/>
  <c r="E6" i="72"/>
  <c r="F6" i="72" s="1"/>
  <c r="E7" i="72"/>
  <c r="F7" i="72" s="1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E6" i="3"/>
  <c r="E7" i="3"/>
  <c r="G6" i="1"/>
  <c r="G6" i="34" s="1"/>
  <c r="G7" i="1"/>
  <c r="G7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7" i="30"/>
  <c r="C7" i="30"/>
  <c r="D6" i="30"/>
  <c r="C6" i="30"/>
  <c r="D5" i="30"/>
  <c r="C5" i="30"/>
  <c r="E5" i="30" s="1"/>
  <c r="F5" i="30" s="1"/>
  <c r="D4" i="30"/>
  <c r="C4" i="30"/>
  <c r="D7" i="29"/>
  <c r="C7" i="29"/>
  <c r="D6" i="29"/>
  <c r="C6" i="29"/>
  <c r="E6" i="29" s="1"/>
  <c r="F6" i="29" s="1"/>
  <c r="D5" i="29"/>
  <c r="C5" i="29"/>
  <c r="D4" i="29"/>
  <c r="C4" i="29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E7" i="21"/>
  <c r="F7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6" i="72"/>
  <c r="I6" i="72" s="1"/>
  <c r="H7" i="72"/>
  <c r="I7" i="72" s="1"/>
  <c r="H5" i="72"/>
  <c r="I5" i="72" s="1"/>
  <c r="H4" i="72"/>
  <c r="I4" i="72" s="1"/>
  <c r="G2" i="72"/>
  <c r="D2" i="72"/>
  <c r="C2" i="72"/>
  <c r="J2" i="72" s="1"/>
  <c r="A1" i="72" a="1"/>
  <c r="A1" i="72" s="1"/>
  <c r="E7" i="18" l="1"/>
  <c r="F7" i="18" s="1"/>
  <c r="E5" i="18"/>
  <c r="F5" i="18" s="1"/>
  <c r="D2" i="18"/>
  <c r="H6" i="29"/>
  <c r="I6" i="29" s="1"/>
  <c r="E4" i="18"/>
  <c r="F4" i="18" s="1"/>
  <c r="E6" i="30"/>
  <c r="F6" i="30" s="1"/>
  <c r="H7" i="29"/>
  <c r="I7" i="29" s="1"/>
  <c r="D4" i="34"/>
  <c r="D2" i="34" s="1"/>
  <c r="H6" i="30"/>
  <c r="I6" i="30" s="1"/>
  <c r="D2" i="29"/>
  <c r="E6" i="18"/>
  <c r="F6" i="18" s="1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7" i="1"/>
  <c r="F7" i="1" s="1"/>
  <c r="F5" i="34"/>
  <c r="G2" i="1"/>
  <c r="F6" i="34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E7" i="29"/>
  <c r="F7" i="29" s="1"/>
  <c r="I6" i="26"/>
  <c r="H4" i="29"/>
  <c r="I4" i="29" s="1"/>
  <c r="H5" i="29"/>
  <c r="I5" i="29" s="1"/>
  <c r="I7" i="26"/>
  <c r="H6" i="18"/>
  <c r="I6" i="18" s="1"/>
  <c r="H4" i="18"/>
  <c r="I4" i="18" s="1"/>
  <c r="H7" i="18"/>
  <c r="I7" i="18" s="1"/>
  <c r="H5" i="18"/>
  <c r="I5" i="18" s="1"/>
  <c r="I6" i="34"/>
  <c r="I5" i="34"/>
  <c r="F7" i="34"/>
  <c r="C2" i="29"/>
  <c r="C2" i="30"/>
  <c r="E4" i="29"/>
  <c r="F4" i="29" s="1"/>
  <c r="C2" i="18"/>
  <c r="H7" i="1"/>
  <c r="H4" i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E2" i="29"/>
  <c r="F2" i="29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<sst xmlns="http://schemas.openxmlformats.org/spreadsheetml/2006/main" count="350" uniqueCount="133">
  <si>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</si>
  <si>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</si>
  <si>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</si>
  <si>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</si>
  <si>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</si>
  <si>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</si>
  <si>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</si>
  <si>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</si>
  <si>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</si>
  <si>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</si>
  <si>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</si>
  <si>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</si>
  <si>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</si>
  <si>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</si>
  <si>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</si>
  <si>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</si>
  <si>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</si>
  <si>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</si>
  <si>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</si>
  <si>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</si>
  <si>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</si>
  <si>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</si>
  <si>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</si>
  <si>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The Site tripped offline at 10:00AM to 12:15 on 01/10 due to tech on site to work on the air break switch at the pole.
2. The site tripped offline at 01:15 AM on 01/20 due to the main breaker tripping. The site back online at 10:15 on 01/21 after resetting the SEL and main breaker.
3. Inverter 4 offline from 11/30/2024 due to Permanent fault of power module - Fault and it has been RMA'd &amp; remain offline from 12/02/2024.</t>
  </si>
  <si>
    <t>1. SR094963
2. SR095713
3.	SR093738</t>
  </si>
  <si>
    <t>1. The site tripped offline from 10:15 to 13:15 on 01/08 due to Grid Phase Voltage out of range. After being re-energized, the site is back online.</t>
  </si>
  <si>
    <t>1. SR095389</t>
  </si>
  <si>
    <t>1. Weather station experiencing seasonal shading from January to March resulting in expected energy value reporting low. Actual production is not being impacted</t>
  </si>
  <si>
    <t>1. SR099647</t>
  </si>
  <si>
    <t>1. Site generation was low due to rain/snow</t>
  </si>
  <si>
    <t>February Actual v. Expected</t>
  </si>
  <si>
    <t>February Actual v. Forecasted</t>
  </si>
  <si>
    <t>1. Inverter 4 offline from 11/30/2024 due to Permanent fault of power module - Fault and it has been RMA'd &amp; remain offline from 12/02/24.</t>
  </si>
  <si>
    <t>1.SR093738</t>
  </si>
  <si>
    <t xml:space="preserve"> </t>
  </si>
  <si>
    <t>March Actual v. Expected</t>
  </si>
  <si>
    <t>March Actual v. Forecasted</t>
  </si>
  <si>
    <t>1. Site tripped offline at 11:00 AM due to main breaker trip and back online at 15:45 on 03/07 after technician has reset the relay. 
2.Site tripped offline at 5:15 AM on 03/17 due to main breaker trip and back online at 8:15AM on 03/18 after technician reset relay.
3.Inverter 4 was offline from 11/30/2024 due to Permanent fault of power module - Fault0010 and it has been RMA'd from 12/02/24. Technician has replaced the RMA'd inverter with a new Chint inverter, bringing it back online and producing from 03/12 at 13:00.</t>
  </si>
  <si>
    <t>1.SR098258
2.SR098648
3.SR093738</t>
  </si>
  <si>
    <t>SR098648</t>
  </si>
  <si>
    <t>SR093738</t>
  </si>
  <si>
    <t>1.Site tripped offline at  5:33AM on 03/07 due to utility outage and was back online at 14:45 on 03/08 after technician has reset SEL and re-energize the site.</t>
  </si>
  <si>
    <t>1.SR098240</t>
  </si>
  <si>
    <t>April Actual v. Expected</t>
  </si>
  <si>
    <t>April Actual v. Forecasted</t>
  </si>
  <si>
    <t>1.Site tripped offline between 8:45AM to 11:45Am on 04/07 due to loss of utility power later technician reset main breaker and re-energised the site.</t>
  </si>
  <si>
    <t>1.SR099472</t>
  </si>
  <si>
    <t>1. Inverter 1.2 has tripped offline 13:30 on 04/29 due to Grid Phase Voltage Out of Range - GridV.OutLim fault. Inverter self resolved at 15:45 on the same day.</t>
  </si>
  <si>
    <t>1.SR100664</t>
  </si>
  <si>
    <t>1.Weather station is experiencing seasonal shading from 2023. Production is not being impacted but the expected energy value reporting low due to shading.</t>
  </si>
  <si>
    <t>1.SR099647</t>
  </si>
  <si>
    <t>1. Inverter 5 experienced derating of approximately 44 kW to 50 kW during peak hours on 04/19, 04/24, 04/28, and 04/29 due to an External Fan Error. The issue self-resolved on the following days.</t>
  </si>
  <si>
    <t>1.SR100020</t>
  </si>
  <si>
    <t>1.Site tripped offline from 12:15AM to 14:00 on 04/07.</t>
  </si>
  <si>
    <t>1.SR099480</t>
  </si>
  <si>
    <t>1.Inverter 1 tripped offline at 12:30 AM on 04/24 due to a "Grid Voltage &gt; Installation" fault related to a grid connection issue. It was brought back online at 4:45 PM the same day after a technician reset the breaker.
2.The weather station has been starting late on multiple days throughout the month.</t>
  </si>
  <si>
    <t>1.SR100347</t>
  </si>
  <si>
    <t>May Actual v. Expected</t>
  </si>
  <si>
    <t>May Actual v. Forecasted</t>
  </si>
  <si>
    <t>1. The site tripped offline at 08:00 on 05/12 due to a main breaker trip. A technician was on-site on 05/13 and reset the breaker. The site came back online at 16:00 on 05/13.
2. The site was taken offline from 12:53 to 13:27 on 05/16 while a technician was on-site for a preventive maintenance work.</t>
  </si>
  <si>
    <t>1. SR101376
2. PM8049</t>
  </si>
  <si>
    <t>1. The site tripped offline at 08:30 on 05/28. The technician later re-energized the site, and it came back online at 15:00 on 05/28.
2. Weather station is experiencing seasonal shading from 2023. Production is not being impacted but the expected energy value reporting low due to shading.</t>
  </si>
  <si>
    <t>1. SR102029
2. SR099647</t>
  </si>
  <si>
    <t>SR099647</t>
  </si>
  <si>
    <t>1. The site tripped offline at 08:30 on 05/28. The technician later re-energized the site, and it came back online at 15:00 on 05/28.
2. The site tripped offline at 11:45 on 05/31. The technician later re-energized the site, and it came back online at 13:45 on 05/31.
3. Inverter 5 has been experiencing derating of approximately 44 to 50 kW during peak hours due to an "External Fan Err" since 04/19. A technician was on-site on 05/19, removed the faulty fan, and installed a new RMA’d fan. The inverter has been producing in line with its peers since 15:00 on 05/19.</t>
  </si>
  <si>
    <t>1. SR102030
2. SR102218
3. SR100020</t>
  </si>
  <si>
    <t>SR102218</t>
  </si>
  <si>
    <t>SR100020</t>
  </si>
  <si>
    <t>1. Site production was low on 05/08 and 05/09 because a technician was on-site performing preventive maintenance work.</t>
  </si>
  <si>
    <t>1. PM13669</t>
  </si>
  <si>
    <t>1. Inverters 2 and 3 tripped offline at 14:15 on 05/28 due to "Waiting for grid voltage &gt; Installation failure grid connection &gt; Check grid and fuses". A technician was on-site on 05/29 and closed the inverter breakers. Both inverters came back online at 15:00 on 05/29. However, Inverter 2 tripped offline again at 10:15 on 05/30, followed by Inverter 3 at 13:30 on 05/30, both due to "Waiting for grid voltage".</t>
  </si>
  <si>
    <t>1. SR102061</t>
  </si>
  <si>
    <t>1. Inverter 1 tripped offline at 11:30 on 05/01due to "Waiting for grid voltage &gt; Installation failure grid connection &gt; Check grid and fuses". A technician was on-site on 05/01 and replaced the faulty inverter breaker with a spare one. The inverter came back online at 15:30 on 05/21.</t>
  </si>
  <si>
    <t>1. SR100825</t>
  </si>
  <si>
    <t>June Actual v. Expected</t>
  </si>
  <si>
    <t>June Actual v. Forecasted</t>
  </si>
  <si>
    <t>1. The site tripped offline at 11:15 on 06/11 and came back online at 16:04 on the same day.
2. Inverter 2 tripped offline at 15:00 on 06/23 due to 'Grid Line Voltage Out of Range' and came back online at 10:00 on 06/24.
3. Inverter 3 tripped offline at 07:00 on 06/12 and came back online at 07:15 on 06/13.</t>
  </si>
  <si>
    <t>1. SR102825
2. SR103332
3. SR102780</t>
  </si>
  <si>
    <t>SR103332</t>
  </si>
  <si>
    <t>SR102780</t>
  </si>
  <si>
    <t>1. The site tripped offline at 13:30 on 06/20 and came back online at 12:45 on 06/21.</t>
  </si>
  <si>
    <t>1. SR103230</t>
  </si>
  <si>
    <t>1. Weather station is experiencing seasonal shading from 2023. Production is not being impacted but the expected energy value reporting low due to shading.</t>
  </si>
  <si>
    <t>1. Inverter 4 tripped offline at 14:45 on 06/05 due to 'Waiting for Grid Voltages' and came back online at 14:45 on 06/06. It tripped offline again at 11:45 on 06/08 due to 'Installation Failure - Grid Connection' and later came back online at 13:00 on 06/10. 
2. Inverter 5 tripped offline at 10:00 on 06/11 and has been offline since then.</t>
  </si>
  <si>
    <t>1. SR102549
2. SR102549, SR102969</t>
  </si>
  <si>
    <t>SR102549</t>
  </si>
  <si>
    <t>SR102969</t>
  </si>
  <si>
    <t>1. Inverter 2 was offline from 10:15 on 05/30, and Inverter 3 was offline from 13:30 on 05/30 due to 'Waiting for Grid Voltage.' Inverter 2 came back online at 13:00 on 06/20, but Inverter 3 has remained offline since then.</t>
  </si>
  <si>
    <t>1. SR102971, SR102367, SR102061</t>
  </si>
  <si>
    <t>SR102367</t>
  </si>
  <si>
    <t>SR102061</t>
  </si>
  <si>
    <t>1. The site tripped offline at 06:00 on 06/17 and came back online at 10:30 on the same day.
2. Inverter 5 tripped offline at 12:15 on 06/24 due to 'Installation Failure - Grid Connection' and came back online at 07:30 on 06/25.</t>
  </si>
  <si>
    <t>1. SR103058
2. SR103397</t>
  </si>
  <si>
    <t>SR103397</t>
  </si>
  <si>
    <t>1. The site tripped offline at 09:15 on 06/24 and came back online at 09:15 on 06/25.</t>
  </si>
  <si>
    <t>1. SR103383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</si>
  <si>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</si>
  <si>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</si>
  <si>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</si>
  <si>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</si>
  <si>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</si>
  <si>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</si>
  <si>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</si>
  <si>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</si>
  <si>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</si>
  <si>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</si>
  <si>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</si>
  <si>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</si>
  <si>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</si>
  <si>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ALIGNED</t>
  </si>
  <si>
    <t>Site DAS Name</t>
  </si>
  <si>
    <t>Update</t>
  </si>
  <si>
    <t>DAS</t>
  </si>
  <si>
    <t>Conway - Lake</t>
  </si>
  <si>
    <t>Conway -US 302 and Stirch Road</t>
  </si>
  <si>
    <t>NH</t>
  </si>
  <si>
    <t>AEF</t>
  </si>
  <si>
    <t>PowerTrack</t>
  </si>
  <si>
    <t>Loudon Pleasant Street Solar GSSG</t>
  </si>
  <si>
    <t>Loudon - 7046 Pleasant Street</t>
  </si>
  <si>
    <t>Pennichuck Water East GSSG</t>
  </si>
  <si>
    <t>Nashua - Pennichuck Water  East</t>
  </si>
  <si>
    <t>Pennichuck Water West GSSG</t>
  </si>
  <si>
    <t>Nashua - Pennichuck Water West</t>
  </si>
  <si>
    <t>Boothbay Solar</t>
  </si>
  <si>
    <t>Boothbay - Wiscasset Road</t>
  </si>
  <si>
    <t>ME</t>
  </si>
  <si>
    <t>Thorndike Solar</t>
  </si>
  <si>
    <t>Thorndike -  Leonard Road</t>
  </si>
  <si>
    <t>Topsham Solar</t>
  </si>
  <si>
    <t>Topsham - Solarize LLC</t>
  </si>
  <si>
    <t>Cherryfield</t>
  </si>
  <si>
    <t>Cherryfield - 727 North Main St (IRA)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</si>
</sst>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u/>
      <sz val="10"/>
      <color theme="10"/>
      <name val="Arial"/>
    </font>
    <font>
      <sz val="11"/>
      <name val="Calibri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FFC7CE"/>
        <bgColor rgb="FF000000"/>
      </patternFill>
    </fill>
    <fill>
      <patternFill patternType="solid">
        <fgColor rgb="FFF8CBAD"/>
        <bgColor rgb="FFD9E1F2"/>
      </patternFill>
    </fill>
    <fill>
      <patternFill patternType="solid">
        <fgColor rgb="FFE2EFDA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2CC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8" fillId="0" borderId="0" applyNumberFormat="0" applyFill="0" applyBorder="0" applyAlignment="0" applyProtection="0"/>
  </cellStyleXfs>
  <cellXfs count="10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0" fontId="35" fillId="46" borderId="0" xfId="0" applyFont="1" applyFill="1"/>
    <xf numFmtId="49" fontId="30" fillId="38" borderId="0" xfId="2" applyNumberFormat="1" applyFont="1" applyFill="1" applyBorder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vertical="top" wrapText="1"/>
    </xf>
    <xf numFmtId="49" fontId="27" fillId="0" borderId="0" xfId="0" applyNumberFormat="1" applyFont="1" applyAlignment="1">
      <alignment vertical="top" wrapText="1"/>
    </xf>
    <xf numFmtId="49" fontId="27" fillId="0" borderId="0" xfId="0" applyNumberFormat="1" applyFont="1" applyAlignment="1">
      <alignment horizontal="left" vertical="top" wrapText="1"/>
    </xf>
    <xf numFmtId="49" fontId="23" fillId="0" borderId="0" xfId="0" applyNumberFormat="1" applyFont="1" applyAlignment="1">
      <alignment vertical="center" wrapText="1"/>
    </xf>
    <xf numFmtId="0" fontId="3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9" fontId="36" fillId="47" borderId="0" xfId="0" applyNumberFormat="1" applyFont="1" applyFill="1" applyAlignment="1">
      <alignment horizontal="center" vertical="center"/>
    </xf>
    <xf numFmtId="3" fontId="30" fillId="0" borderId="0" xfId="0" applyNumberFormat="1" applyFont="1" applyAlignment="1">
      <alignment vertical="center"/>
    </xf>
    <xf numFmtId="0" fontId="23" fillId="0" borderId="0" xfId="0" applyFont="1" applyAlignment="1">
      <alignment vertical="center" wrapText="1"/>
    </xf>
    <xf numFmtId="3" fontId="23" fillId="0" borderId="0" xfId="0" applyNumberFormat="1" applyFont="1" applyAlignment="1">
      <alignment horizontal="right" vertical="top"/>
    </xf>
    <xf numFmtId="0" fontId="23" fillId="46" borderId="0" xfId="0" applyFont="1" applyFill="1" applyAlignment="1">
      <alignment horizontal="center" vertical="center"/>
    </xf>
    <xf numFmtId="3" fontId="30" fillId="49" borderId="0" xfId="0" applyNumberFormat="1" applyFont="1" applyFill="1" applyAlignment="1">
      <alignment horizontal="right" vertical="center"/>
    </xf>
    <xf numFmtId="9" fontId="37" fillId="50" borderId="0" xfId="0" applyNumberFormat="1" applyFont="1" applyFill="1" applyAlignment="1">
      <alignment horizontal="center" vertical="center"/>
    </xf>
    <xf numFmtId="3" fontId="30" fillId="51" borderId="0" xfId="0" applyNumberFormat="1" applyFont="1" applyFill="1" applyAlignment="1">
      <alignment vertical="center"/>
    </xf>
    <xf numFmtId="0" fontId="30" fillId="52" borderId="0" xfId="0" applyFont="1" applyFill="1" applyAlignment="1">
      <alignment vertical="top" wrapText="1"/>
    </xf>
    <xf numFmtId="0" fontId="34" fillId="46" borderId="0" xfId="0" applyFont="1" applyFill="1" applyAlignment="1">
      <alignment horizontal="center" vertical="center"/>
    </xf>
    <xf numFmtId="0" fontId="23" fillId="0" borderId="0" xfId="0" applyFont="1" applyAlignment="1">
      <alignment vertical="top" wrapText="1"/>
    </xf>
    <xf numFmtId="3" fontId="23" fillId="48" borderId="0" xfId="0" applyNumberFormat="1" applyFont="1" applyFill="1" applyAlignment="1">
      <alignment horizontal="right" vertical="center"/>
    </xf>
    <xf numFmtId="0" fontId="34" fillId="40" borderId="0" xfId="0" applyFont="1" applyFill="1" applyAlignment="1">
      <alignment horizontal="center" vertical="center"/>
    </xf>
    <xf numFmtId="3" fontId="30" fillId="51" borderId="0" xfId="0" applyNumberFormat="1" applyFont="1" applyFill="1" applyAlignment="1">
      <alignment horizontal="right" vertical="center"/>
    </xf>
    <xf numFmtId="3" fontId="30" fillId="0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 vertical="center"/>
    </xf>
    <xf numFmtId="0" fontId="38" fillId="52" borderId="0" xfId="45" applyFill="1" applyAlignment="1">
      <alignment vertical="top" wrapText="1"/>
    </xf>
    <xf numFmtId="49" fontId="38" fillId="38" borderId="0" xfId="45" applyNumberFormat="1" applyFill="1" applyBorder="1" applyAlignment="1">
      <alignment vertical="top" wrapText="1"/>
    </xf>
    <xf numFmtId="49" fontId="38" fillId="38" borderId="0" xfId="45" applyNumberFormat="1" applyFill="1" applyBorder="1" applyAlignment="1">
      <alignment horizontal="left" vertical="top" wrapText="1"/>
    </xf>
    <xf numFmtId="49" fontId="38" fillId="0" borderId="0" xfId="45" applyNumberFormat="1" applyAlignment="1">
      <alignment horizontal="left" vertical="top" wrapText="1"/>
    </xf>
    <xf numFmtId="0" fontId="38" fillId="0" borderId="0" xfId="45" applyAlignment="1">
      <alignment horizontal="left" vertical="top"/>
    </xf>
    <xf numFmtId="0" fontId="0" fillId="0" borderId="0" xfId="0" applyAlignment="1">
      <alignment horizontal="left" vertical="top"/>
    </xf>
    <xf numFmtId="0" fontId="22" fillId="0" borderId="0" xfId="43" applyFont="1" applyAlignment="1">
      <alignment horizontal="left" wrapText="1"/>
    </xf>
    <xf numFmtId="0" fontId="22" fillId="0" borderId="0" xfId="43" applyFont="1"/>
    <xf numFmtId="0" fontId="39" fillId="0" borderId="0" xfId="0" applyFont="1" applyAlignment="1">
      <alignment horizontal="left" vertical="top" wrapText="1"/>
    </xf>
    <xf numFmtId="164" fontId="28" fillId="44" borderId="0" xfId="1" applyNumberFormat="1" applyFont="1" applyFill="1" applyAlignment="1">
      <alignment horizontal="center" vertical="center"/>
    </xf>
    <xf numFmtId="9" fontId="30" fillId="3" borderId="0" xfId="2" applyFont="1" applyFill="1" applyAlignment="1">
      <alignment horizontal="center" vertical="center"/>
    </xf>
    <xf numFmtId="3" fontId="30" fillId="4" borderId="0" xfId="1" applyNumberFormat="1" applyFont="1" applyFill="1" applyAlignment="1">
      <alignment vertical="center"/>
    </xf>
    <xf numFmtId="9" fontId="30" fillId="37" borderId="0" xfId="2" applyFont="1" applyFill="1" applyAlignment="1">
      <alignment horizontal="center" vertical="center"/>
    </xf>
    <xf numFmtId="49" fontId="30" fillId="38" borderId="0" xfId="2" applyNumberFormat="1" applyFont="1" applyFill="1" applyAlignment="1">
      <alignment vertical="top" wrapText="1"/>
    </xf>
    <xf numFmtId="164" fontId="28" fillId="0" borderId="0" xfId="1" applyNumberFormat="1" applyFont="1" applyAlignment="1">
      <alignment horizontal="center" vertical="center"/>
    </xf>
    <xf numFmtId="9" fontId="30" fillId="0" borderId="0" xfId="2" applyFont="1" applyAlignment="1">
      <alignment horizontal="center" vertical="center"/>
    </xf>
    <xf numFmtId="3" fontId="30" fillId="0" borderId="0" xfId="1" applyNumberFormat="1" applyFont="1" applyAlignment="1">
      <alignment vertical="center"/>
    </xf>
    <xf numFmtId="0" fontId="34" fillId="40" borderId="0" xfId="0" applyFont="1" applyFill="1" applyAlignment="1">
      <alignment vertical="center"/>
    </xf>
    <xf numFmtId="0" fontId="0" fillId="0" borderId="0" xfId="0" applyAlignment="1">
      <alignment wrapText="1"/>
    </xf>
    <xf numFmtId="49" fontId="38" fillId="0" borderId="0" xfId="45" applyNumberFormat="1" applyAlignment="1">
      <alignment vertical="top" wrapText="1"/>
    </xf>
    <xf numFmtId="49" fontId="38" fillId="38" borderId="0" xfId="45" applyNumberFormat="1" applyFill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1" totalsRowShown="0">
  <autoFilter ref="A3:E11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us3.assetplanner.com/service_request?ID=099647" TargetMode="External"/><Relationship Id="rId1" Type="http://schemas.openxmlformats.org/officeDocument/2006/relationships/hyperlink" Target="https://us3.assetplanner.com/service_request?ID=093738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3738" TargetMode="External"/><Relationship Id="rId2" Type="http://schemas.openxmlformats.org/officeDocument/2006/relationships/hyperlink" Target="https://us3.assetplanner.com/service_request?ID=098648" TargetMode="External"/><Relationship Id="rId1" Type="http://schemas.openxmlformats.org/officeDocument/2006/relationships/hyperlink" Target="https://us3.assetplanner.com/service_request?ID=098258" TargetMode="External"/><Relationship Id="rId5" Type="http://schemas.openxmlformats.org/officeDocument/2006/relationships/hyperlink" Target="https://us3.assetplanner.com/service_request?ID=099647" TargetMode="External"/><Relationship Id="rId4" Type="http://schemas.openxmlformats.org/officeDocument/2006/relationships/hyperlink" Target="https://us3.assetplanner.com/service_request?ID=098240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9647" TargetMode="External"/><Relationship Id="rId2" Type="http://schemas.openxmlformats.org/officeDocument/2006/relationships/hyperlink" Target="https://us3.assetplanner.com/service_request?ID=100664" TargetMode="External"/><Relationship Id="rId1" Type="http://schemas.openxmlformats.org/officeDocument/2006/relationships/hyperlink" Target="https://us3.assetplanner.com/service_request?ID=099472" TargetMode="External"/><Relationship Id="rId6" Type="http://schemas.openxmlformats.org/officeDocument/2006/relationships/hyperlink" Target="https://us3.assetplanner.com/service_request?ID=100347" TargetMode="External"/><Relationship Id="rId5" Type="http://schemas.openxmlformats.org/officeDocument/2006/relationships/hyperlink" Target="https://us3.assetplanner.com/service_request?ID=099480" TargetMode="External"/><Relationship Id="rId4" Type="http://schemas.openxmlformats.org/officeDocument/2006/relationships/hyperlink" Target="https://us3.assetplanner.com/service_request?ID=100020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0825" TargetMode="External"/><Relationship Id="rId3" Type="http://schemas.openxmlformats.org/officeDocument/2006/relationships/hyperlink" Target="https://us3.assetplanner.com/service_request?ID=099647" TargetMode="External"/><Relationship Id="rId7" Type="http://schemas.openxmlformats.org/officeDocument/2006/relationships/hyperlink" Target="https://us3.assetplanner.com/service_request?ID=102061" TargetMode="External"/><Relationship Id="rId2" Type="http://schemas.openxmlformats.org/officeDocument/2006/relationships/hyperlink" Target="https://us3.assetplanner.com/service_request?ID=102029" TargetMode="External"/><Relationship Id="rId1" Type="http://schemas.openxmlformats.org/officeDocument/2006/relationships/hyperlink" Target="https://us3.assetplanner.com/service_request?ID=101376" TargetMode="External"/><Relationship Id="rId6" Type="http://schemas.openxmlformats.org/officeDocument/2006/relationships/hyperlink" Target="https://us3.assetplanner.com/service_request?ID=100020" TargetMode="External"/><Relationship Id="rId5" Type="http://schemas.openxmlformats.org/officeDocument/2006/relationships/hyperlink" Target="https://us3.assetplanner.com/service_request?ID=102218" TargetMode="External"/><Relationship Id="rId4" Type="http://schemas.openxmlformats.org/officeDocument/2006/relationships/hyperlink" Target="https://us3.assetplanner.com/service_request?ID=102030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2969" TargetMode="External"/><Relationship Id="rId13" Type="http://schemas.openxmlformats.org/officeDocument/2006/relationships/hyperlink" Target="https://us3.assetplanner.com/service_request?ID=103397" TargetMode="External"/><Relationship Id="rId3" Type="http://schemas.openxmlformats.org/officeDocument/2006/relationships/hyperlink" Target="https://us3.assetplanner.com/service_request?ID=102780" TargetMode="External"/><Relationship Id="rId7" Type="http://schemas.openxmlformats.org/officeDocument/2006/relationships/hyperlink" Target="https://us3.assetplanner.com/service_request?ID=102549" TargetMode="External"/><Relationship Id="rId12" Type="http://schemas.openxmlformats.org/officeDocument/2006/relationships/hyperlink" Target="https://us3.assetplanner.com/service_request?ID=103058" TargetMode="External"/><Relationship Id="rId2" Type="http://schemas.openxmlformats.org/officeDocument/2006/relationships/hyperlink" Target="https://us3.assetplanner.com/service_request?ID=103332" TargetMode="External"/><Relationship Id="rId1" Type="http://schemas.openxmlformats.org/officeDocument/2006/relationships/hyperlink" Target="https://us3.assetplanner.com/service_request?ID=102825" TargetMode="External"/><Relationship Id="rId6" Type="http://schemas.openxmlformats.org/officeDocument/2006/relationships/hyperlink" Target="https://us3.assetplanner.com/service_request?ID=102549" TargetMode="External"/><Relationship Id="rId11" Type="http://schemas.openxmlformats.org/officeDocument/2006/relationships/hyperlink" Target="https://us3.assetplanner.com/service_request?ID=102061" TargetMode="External"/><Relationship Id="rId5" Type="http://schemas.openxmlformats.org/officeDocument/2006/relationships/hyperlink" Target="https://us3.assetplanner.com/service_request?ID=099647" TargetMode="External"/><Relationship Id="rId10" Type="http://schemas.openxmlformats.org/officeDocument/2006/relationships/hyperlink" Target="https://us3.assetplanner.com/service_request?ID=102367" TargetMode="External"/><Relationship Id="rId4" Type="http://schemas.openxmlformats.org/officeDocument/2006/relationships/hyperlink" Target="https://us3.assetplanner.com/service_request?ID=103230" TargetMode="External"/><Relationship Id="rId9" Type="http://schemas.openxmlformats.org/officeDocument/2006/relationships/hyperlink" Target="https://us3.assetplanner.com/service_request?ID=102971" TargetMode="External"/><Relationship Id="rId14" Type="http://schemas.openxmlformats.org/officeDocument/2006/relationships/hyperlink" Target="https://us3.assetplanner.com/service_request?ID=103383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I4" activePane="bottomRight" state="frozen"/>
      <selection pane="bottomRight" activeCell="I7" sqref="I7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8" t="str" cm="1">
        <f t="array" ref="A1">portfolio</f>
        <v>ALIGNED</v>
      </c>
      <c r="B1" s="98"/>
      <c r="C1" s="98"/>
      <c r="D1" s="99" t="s">
        <v>0</v>
      </c>
      <c r="E1" s="99"/>
      <c r="F1" s="99"/>
      <c r="G1" s="97" t="s">
        <v>1</v>
      </c>
      <c r="H1" s="97"/>
      <c r="I1" s="97"/>
    </row>
    <row r="2" spans="1:9" ht="19.5" customHeight="1">
      <c r="A2" s="100" t="s">
        <v>2</v>
      </c>
      <c r="B2" s="100"/>
      <c r="C2" s="5">
        <f>SUM(C4:C79)</f>
        <v>4897254.3943914026</v>
      </c>
      <c r="D2" s="5">
        <f>SUM(D4:D79)</f>
        <v>5040715.0779999997</v>
      </c>
      <c r="E2" s="5">
        <f>C2-D2</f>
        <v>-143460.68360859714</v>
      </c>
      <c r="F2" s="6">
        <f>IFERROR(E2/D2, 0)</f>
        <v>-2.8460383375907436E-2</v>
      </c>
      <c r="G2" s="5">
        <f>SUM(G4:G79)</f>
        <v>4796486.466</v>
      </c>
      <c r="H2" s="7">
        <f>C2-G2</f>
        <v>100767.92839140259</v>
      </c>
      <c r="I2" s="6">
        <f>IFERROR(H2/G2, 0)</f>
        <v>2.1008696491837987E-2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6" t="str" cm="1">
        <f t="array" ref="A4:A11">Sites[Site]</f>
        <v>Conway -US 302 and Stirch Road</v>
      </c>
      <c r="B4" s="9" t="str" cm="1">
        <f t="array" ref="B4:B11">Sites[State]</f>
        <v>NH</v>
      </c>
      <c r="C4" s="22">
        <f>SUM('1st Qtr'!C4, '2nd Qtr'!C4, '3rd Qtr'!C4, '4th Qtr'!C4)</f>
        <v>753680.99999999884</v>
      </c>
      <c r="D4" s="12">
        <f>SUM('1st Qtr'!D4, '2nd Qtr'!D4, '3rd Qtr'!D4, '4th Qtr'!D4)</f>
        <v>776319.16500000004</v>
      </c>
      <c r="E4" s="12">
        <f>IF(AND(ISNUMBER(C4),ISNUMBER(D4)), C4-D4, "")</f>
        <v>-22638.165000001201</v>
      </c>
      <c r="F4" s="13">
        <f>IFERROR(E4/D4, "")</f>
        <v>-2.9160899306152257E-2</v>
      </c>
      <c r="G4" s="14">
        <f>SUM('1st Qtr'!G4, '2nd Qtr'!G4, '3rd Qtr'!G4, '4th Qtr'!G4)</f>
        <v>432000</v>
      </c>
      <c r="H4" s="14">
        <f>SUM('1st Qtr'!H4, '2nd Qtr'!H4, '3rd Qtr'!H4, '4th Qtr'!H4)</f>
        <v>-113430.50000000099</v>
      </c>
      <c r="I4" s="15">
        <f>IFERROR(H4/G4, "")</f>
        <v>-0.26257060185185416</v>
      </c>
    </row>
    <row r="5" spans="1:9" ht="15.6">
      <c r="A5" s="47" t="str">
        <v>Loudon - 7046 Pleasant Street</v>
      </c>
      <c r="B5" s="10" t="str">
        <v>NH</v>
      </c>
      <c r="C5" s="18">
        <f>SUM('1st Qtr'!C5, '2nd Qtr'!C5, '3rd Qtr'!C5, '4th Qtr'!C5)</f>
        <v>814239.499871796</v>
      </c>
      <c r="D5" s="18">
        <f>SUM('1st Qtr'!D5, '2nd Qtr'!D5, '3rd Qtr'!D5, '4th Qtr'!D5)</f>
        <v>887813.03</v>
      </c>
      <c r="E5" s="16">
        <f t="shared" ref="E5:E11" si="0">IF(AND(ISNUMBER(C5),ISNUMBER(D5)), C5-D5, "")</f>
        <v>-73573.530128204031</v>
      </c>
      <c r="F5" s="17">
        <f>IFERROR(E5/D5, "")</f>
        <v>-8.2870523006633529E-2</v>
      </c>
      <c r="G5" s="18">
        <f>SUM('1st Qtr'!G5, '2nd Qtr'!G5, '3rd Qtr'!G5, '4th Qtr'!G5)</f>
        <v>1026313.5160000001</v>
      </c>
      <c r="H5" s="18">
        <f>SUM('1st Qtr'!H5, '2nd Qtr'!H5, '3rd Qtr'!H5, '4th Qtr'!H5)</f>
        <v>-212074.01612820401</v>
      </c>
      <c r="I5" s="17">
        <f>IFERROR(H5/G5, "")</f>
        <v>-0.20663667858019713</v>
      </c>
    </row>
    <row r="6" spans="1:9" ht="15.6">
      <c r="A6" s="46" t="str">
        <v>Nashua - Pennichuck Water  East</v>
      </c>
      <c r="B6" s="9" t="str">
        <v>NH</v>
      </c>
      <c r="C6" s="22">
        <f>SUM('1st Qtr'!C6, '2nd Qtr'!C6, '3rd Qtr'!C6, '4th Qtr'!C6)</f>
        <v>815650.50001960807</v>
      </c>
      <c r="D6" s="12">
        <f>SUM('1st Qtr'!D6, '2nd Qtr'!D6, '3rd Qtr'!D6, '4th Qtr'!D6)</f>
        <v>826021.30499999993</v>
      </c>
      <c r="E6" s="12">
        <f t="shared" si="0"/>
        <v>-10370.804980391869</v>
      </c>
      <c r="F6" s="13">
        <f t="shared" ref="F6:F11" si="1">IFERROR(E6/D6, "")</f>
        <v>-1.2555130137220698E-2</v>
      </c>
      <c r="G6" s="14">
        <f>SUM('1st Qtr'!G6, '2nd Qtr'!G6, '3rd Qtr'!G6, '4th Qtr'!G6)</f>
        <v>707344</v>
      </c>
      <c r="H6" s="14">
        <f>SUM('1st Qtr'!H6, '2nd Qtr'!H6, '3rd Qtr'!H6, '4th Qtr'!H6)</f>
        <v>108306.50001960801</v>
      </c>
      <c r="I6" s="15">
        <f t="shared" ref="I6:I11" si="2">IFERROR(H6/G6, "")</f>
        <v>0.1531171537746952</v>
      </c>
    </row>
    <row r="7" spans="1:9" ht="15.6">
      <c r="A7" s="47" t="str">
        <v>Nashua - Pennichuck Water West</v>
      </c>
      <c r="B7" s="10" t="str">
        <v>NH</v>
      </c>
      <c r="C7" s="18">
        <f>SUM('1st Qtr'!C7, '2nd Qtr'!C7, '3rd Qtr'!C7, '4th Qtr'!C7)</f>
        <v>620773.83124999981</v>
      </c>
      <c r="D7" s="18">
        <f>SUM('1st Qtr'!D7, '2nd Qtr'!D7, '3rd Qtr'!D7, '4th Qtr'!D7)</f>
        <v>528726.62699999998</v>
      </c>
      <c r="E7" s="16">
        <f t="shared" si="0"/>
        <v>92047.204249999835</v>
      </c>
      <c r="F7" s="17">
        <f t="shared" si="1"/>
        <v>0.17409224266286072</v>
      </c>
      <c r="G7" s="18">
        <f>SUM('1st Qtr'!G7, '2nd Qtr'!G7, '3rd Qtr'!G7, '4th Qtr'!G7)</f>
        <v>0</v>
      </c>
      <c r="H7" s="18">
        <f>SUM('1st Qtr'!H7, '2nd Qtr'!H7, '3rd Qtr'!H7, '4th Qtr'!H7)</f>
        <v>0</v>
      </c>
      <c r="I7" s="17" t="str">
        <f t="shared" si="2"/>
        <v/>
      </c>
    </row>
    <row r="8" spans="1:9" ht="15.6">
      <c r="A8" s="46" t="str">
        <v>Boothbay - Wiscasset Road</v>
      </c>
      <c r="B8" s="9" t="str">
        <v>ME</v>
      </c>
      <c r="C8" s="22">
        <f>SUM('1st Qtr'!C8, '2nd Qtr'!C8, '3rd Qtr'!C8, '4th Qtr'!C8)</f>
        <v>532951.81299999997</v>
      </c>
      <c r="D8" s="12">
        <f>SUM('1st Qtr'!D8, '2nd Qtr'!D8, '3rd Qtr'!D8, '4th Qtr'!D8)</f>
        <v>564398.35199999996</v>
      </c>
      <c r="E8" s="12">
        <f t="shared" si="0"/>
        <v>-31446.53899999999</v>
      </c>
      <c r="F8" s="13">
        <f t="shared" si="1"/>
        <v>-5.5716922079177139E-2</v>
      </c>
      <c r="G8" s="14">
        <f>SUM('1st Qtr'!G8, '2nd Qtr'!G8, '3rd Qtr'!G8, '4th Qtr'!G8)</f>
        <v>611598.5</v>
      </c>
      <c r="H8" s="14">
        <f>SUM('1st Qtr'!H8, '2nd Qtr'!H8, '3rd Qtr'!H8, '4th Qtr'!H8)</f>
        <v>-78646.687000000005</v>
      </c>
      <c r="I8" s="15">
        <f t="shared" si="2"/>
        <v>-0.12859202074563625</v>
      </c>
    </row>
    <row r="9" spans="1:9" ht="15.6">
      <c r="A9" s="47" t="str">
        <v>Thorndike -  Leonard Road</v>
      </c>
      <c r="B9" s="10" t="str">
        <v>ME</v>
      </c>
      <c r="C9" s="18">
        <f>SUM('1st Qtr'!C9, '2nd Qtr'!C9, '3rd Qtr'!C9, '4th Qtr'!C9)</f>
        <v>495412.1875</v>
      </c>
      <c r="D9" s="18">
        <f>SUM('1st Qtr'!D9, '2nd Qtr'!D9, '3rd Qtr'!D9, '4th Qtr'!D9)</f>
        <v>557091.49399999995</v>
      </c>
      <c r="E9" s="16">
        <f t="shared" si="0"/>
        <v>-61679.306499999948</v>
      </c>
      <c r="F9" s="17">
        <f t="shared" si="1"/>
        <v>-0.11071665456087533</v>
      </c>
      <c r="G9" s="18">
        <f>SUM('1st Qtr'!G9, '2nd Qtr'!G9, '3rd Qtr'!G9, '4th Qtr'!G9)</f>
        <v>1251734.5499999998</v>
      </c>
      <c r="H9" s="18">
        <f>SUM('1st Qtr'!H9, '2nd Qtr'!H9, '3rd Qtr'!H9, '4th Qtr'!H9)</f>
        <v>-756322.36249999993</v>
      </c>
      <c r="I9" s="17">
        <f t="shared" si="2"/>
        <v>-0.60421945092112384</v>
      </c>
    </row>
    <row r="10" spans="1:9" ht="15.6">
      <c r="A10" s="46" t="str">
        <v>Topsham - Solarize LLC</v>
      </c>
      <c r="B10" s="9" t="str">
        <v>ME</v>
      </c>
      <c r="C10" s="22">
        <f>SUM('1st Qtr'!C10, '2nd Qtr'!C10, '3rd Qtr'!C10, '4th Qtr'!C10)</f>
        <v>420394.25025000004</v>
      </c>
      <c r="D10" s="12">
        <f>SUM('1st Qtr'!D10, '2nd Qtr'!D10, '3rd Qtr'!D10, '4th Qtr'!D10)</f>
        <v>419567.005</v>
      </c>
      <c r="E10" s="12">
        <f t="shared" si="0"/>
        <v>827.24525000003632</v>
      </c>
      <c r="F10" s="13">
        <f t="shared" si="1"/>
        <v>1.9716642160649317E-3</v>
      </c>
      <c r="G10" s="14">
        <f>SUM('1st Qtr'!G10, '2nd Qtr'!G10, '3rd Qtr'!G10, '4th Qtr'!G10)</f>
        <v>335730</v>
      </c>
      <c r="H10" s="14">
        <f>SUM('1st Qtr'!H10, '2nd Qtr'!H10, '3rd Qtr'!H10, '4th Qtr'!H10)</f>
        <v>84664.250250000012</v>
      </c>
      <c r="I10" s="15">
        <f t="shared" si="2"/>
        <v>0.25217957957287107</v>
      </c>
    </row>
    <row r="11" spans="1:9" ht="15.6">
      <c r="A11" s="47" t="str">
        <v>Cherryfield - 727 North Main St (IRA)</v>
      </c>
      <c r="B11" s="10" t="str">
        <v>ME</v>
      </c>
      <c r="C11" s="18">
        <f>SUM('1st Qtr'!C11, '2nd Qtr'!C11, '3rd Qtr'!C11, '4th Qtr'!C11)</f>
        <v>444151.3125</v>
      </c>
      <c r="D11" s="18">
        <f>SUM('1st Qtr'!D11, '2nd Qtr'!D11, '3rd Qtr'!D11, '4th Qtr'!D11)</f>
        <v>480778.1</v>
      </c>
      <c r="E11" s="16">
        <f t="shared" si="0"/>
        <v>-36626.787499999977</v>
      </c>
      <c r="F11" s="17">
        <f t="shared" si="1"/>
        <v>-7.6182312588697315E-2</v>
      </c>
      <c r="G11" s="18">
        <f>SUM('1st Qtr'!G11, '2nd Qtr'!G11, '3rd Qtr'!G11, '4th Qtr'!G11)</f>
        <v>431765.9</v>
      </c>
      <c r="H11" s="18">
        <f>SUM('1st Qtr'!H11, '2nd Qtr'!H11, '3rd Qtr'!H11, '4th Qtr'!H11)</f>
        <v>12385.412499999977</v>
      </c>
      <c r="I11" s="17">
        <f t="shared" si="2"/>
        <v>2.8685480951598948E-2</v>
      </c>
    </row>
    <row r="12" spans="1:9" ht="14.45">
      <c r="A12" s="19"/>
      <c r="B12" s="19"/>
      <c r="C12" s="18"/>
      <c r="D12" s="19"/>
      <c r="E12" s="19"/>
      <c r="F12" s="20"/>
      <c r="G12" s="18"/>
      <c r="H12" s="18"/>
      <c r="I12" s="20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">
    <cfRule type="cellIs" dxfId="44" priority="5" stopIfTrue="1" operator="lessThanOrEqual">
      <formula>-0.1</formula>
    </cfRule>
    <cfRule type="expression" dxfId="43" priority="6">
      <formula>AND(ISNUMBER(F2), F2&gt;=0.1)</formula>
    </cfRule>
  </conditionalFormatting>
  <conditionalFormatting sqref="F4:F79 I4:I79">
    <cfRule type="cellIs" dxfId="42" priority="1" stopIfTrue="1" operator="lessThanOrEqual">
      <formula>-0.1</formula>
    </cfRule>
    <cfRule type="expression" dxfId="41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A4" sqref="A4:I12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8" t="str" cm="1">
        <f t="array" ref="A1">portfolio</f>
        <v>ALIGNED</v>
      </c>
      <c r="B1" s="98"/>
      <c r="C1" s="98"/>
      <c r="D1" s="99" t="s">
        <v>10</v>
      </c>
      <c r="E1" s="99"/>
      <c r="F1" s="99"/>
      <c r="G1" s="97" t="s">
        <v>11</v>
      </c>
      <c r="H1" s="97"/>
      <c r="I1" s="97"/>
    </row>
    <row r="2" spans="1:9" ht="19.5" customHeight="1">
      <c r="A2" s="100" t="s">
        <v>2</v>
      </c>
      <c r="B2" s="100"/>
      <c r="C2" s="5">
        <f>SUM(C4:C79)</f>
        <v>1148376.8312499996</v>
      </c>
      <c r="D2" s="5">
        <f>SUM(D4:D79)</f>
        <v>1241693.46</v>
      </c>
      <c r="E2" s="5">
        <f>C2-D2</f>
        <v>-93316.628750000382</v>
      </c>
      <c r="F2" s="6">
        <f>IFERROR(E2/D2, 0)</f>
        <v>-7.5152710194672678E-2</v>
      </c>
      <c r="G2" s="5">
        <f>SUM(G4:G79)</f>
        <v>720076.39999999991</v>
      </c>
      <c r="H2" s="7">
        <f>C2-G2</f>
        <v>428300.43124999967</v>
      </c>
      <c r="I2" s="6">
        <f>IFERROR(H2/G2, 0)</f>
        <v>0.59479859532960633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6" t="str" cm="1">
        <f t="array" ref="A4:A11">Sites[Site]</f>
        <v>Conway -US 302 and Stirch Road</v>
      </c>
      <c r="B4" s="9" t="str" cm="1">
        <f t="array" ref="B4:B11">Sites[State]</f>
        <v>NH</v>
      </c>
      <c r="C4" s="22">
        <f>SUM(Jan!C4, Feb!C4, Mar!C4)</f>
        <v>265530.99999999977</v>
      </c>
      <c r="D4" s="12">
        <f>SUM(Jan!D4, Feb!D4, Mar!D4)</f>
        <v>297220.15000000002</v>
      </c>
      <c r="E4" s="12">
        <f>IF(AND(ISNUMBER(C4),ISNUMBER(D4)), C4-D4, "")</f>
        <v>-31689.150000000256</v>
      </c>
      <c r="F4" s="13">
        <f>IFERROR(E4/D4, "")</f>
        <v>-0.10661844427438803</v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5.6">
      <c r="A5" s="47" t="str">
        <v>Loudon - 7046 Pleasant Street</v>
      </c>
      <c r="B5" s="10" t="str">
        <v>NH</v>
      </c>
      <c r="C5" s="11">
        <f>SUM(Jan!C5, Feb!C5, Mar!C5)</f>
        <v>304616.5</v>
      </c>
      <c r="D5" s="16">
        <f>SUM(Jan!D5, Feb!D5, Mar!D5)</f>
        <v>396427</v>
      </c>
      <c r="E5" s="16">
        <f t="shared" ref="E5:E11" si="0">IF(AND(ISNUMBER(C5),ISNUMBER(D5)), C5-D5, "")</f>
        <v>-91810.5</v>
      </c>
      <c r="F5" s="17">
        <f>IFERROR(E5/D5, "")</f>
        <v>-0.23159497208817764</v>
      </c>
      <c r="G5" s="18">
        <f>SUM(Jan!G5, Feb!G5, Mar!G5)</f>
        <v>430004.39999999997</v>
      </c>
      <c r="H5" s="18">
        <f>SUM(Jan!H5, Feb!H5, Mar!H5)</f>
        <v>-125387.89999999998</v>
      </c>
      <c r="I5" s="17">
        <f>IFERROR(H5/G5, "")</f>
        <v>-0.29159678366081832</v>
      </c>
    </row>
    <row r="6" spans="1:9" ht="15.6">
      <c r="A6" s="46" t="str">
        <v>Nashua - Pennichuck Water  East</v>
      </c>
      <c r="B6" s="9" t="str">
        <v>NH</v>
      </c>
      <c r="C6" s="22">
        <f>SUM(Jan!C6, Feb!C6, Mar!C6)</f>
        <v>331162.5</v>
      </c>
      <c r="D6" s="12">
        <f>SUM(Jan!D6, Feb!D6, Mar!D6)</f>
        <v>294876.74</v>
      </c>
      <c r="E6" s="12">
        <f t="shared" si="0"/>
        <v>36285.760000000009</v>
      </c>
      <c r="F6" s="13">
        <f t="shared" ref="F6:F11" si="1">IFERROR(E6/D6, "")</f>
        <v>0.12305399198322665</v>
      </c>
      <c r="G6" s="14">
        <f>SUM(Jan!G6, Feb!G6, Mar!G6)</f>
        <v>290072</v>
      </c>
      <c r="H6" s="14">
        <f>SUM(Jan!H6, Feb!H6, Mar!H6)</f>
        <v>41090.5</v>
      </c>
      <c r="I6" s="15">
        <f t="shared" ref="I6:I11" si="2">IFERROR(H6/G6, "")</f>
        <v>0.14165620949281557</v>
      </c>
    </row>
    <row r="7" spans="1:9" ht="15.6">
      <c r="A7" s="47" t="str">
        <v>Nashua - Pennichuck Water West</v>
      </c>
      <c r="B7" s="10" t="str">
        <v>NH</v>
      </c>
      <c r="C7" s="11">
        <f>SUM(Jan!C7, Feb!C7, Mar!C7)</f>
        <v>247066.83124999981</v>
      </c>
      <c r="D7" s="16">
        <f>SUM(Jan!D7, Feb!D7, Mar!D7)</f>
        <v>253169.57</v>
      </c>
      <c r="E7" s="16">
        <f t="shared" si="0"/>
        <v>-6102.7387500001932</v>
      </c>
      <c r="F7" s="17">
        <f t="shared" si="1"/>
        <v>-2.4105340740596087E-2</v>
      </c>
      <c r="G7" s="18">
        <f>SUM(Jan!G7, Feb!G7, Mar!G7)</f>
        <v>0</v>
      </c>
      <c r="H7" s="18">
        <f>SUM(Jan!H7, Feb!H7, Mar!H7)</f>
        <v>0</v>
      </c>
      <c r="I7" s="17" t="str">
        <f t="shared" si="2"/>
        <v/>
      </c>
    </row>
    <row r="8" spans="1:9" ht="15.6">
      <c r="A8" s="46" t="str">
        <v>Boothbay - Wiscasset Road</v>
      </c>
      <c r="B8" s="9" t="str">
        <v>ME</v>
      </c>
      <c r="C8" s="22">
        <f>SUM(Jan!C8, Feb!C8, Mar!C8)</f>
        <v>0</v>
      </c>
      <c r="D8" s="12">
        <f>SUM(Jan!D8, Feb!D8, Mar!D8)</f>
        <v>0</v>
      </c>
      <c r="E8" s="12">
        <f t="shared" si="0"/>
        <v>0</v>
      </c>
      <c r="F8" s="13" t="str">
        <f t="shared" si="1"/>
        <v/>
      </c>
      <c r="G8" s="14">
        <f>SUM(Jan!G8, Feb!G8, Mar!G8)</f>
        <v>0</v>
      </c>
      <c r="H8" s="14">
        <f>SUM(Jan!H8, Feb!H8, Mar!H8)</f>
        <v>0</v>
      </c>
      <c r="I8" s="15" t="str">
        <f t="shared" si="2"/>
        <v/>
      </c>
    </row>
    <row r="9" spans="1:9" ht="15.6">
      <c r="A9" s="47" t="str">
        <v>Thorndike -  Leonard Road</v>
      </c>
      <c r="B9" s="10" t="str">
        <v>ME</v>
      </c>
      <c r="C9" s="11">
        <f>SUM(Jan!C9, Feb!C9, Mar!C9)</f>
        <v>0</v>
      </c>
      <c r="D9" s="16">
        <f>SUM(Jan!D9, Feb!D9, Mar!D9)</f>
        <v>0</v>
      </c>
      <c r="E9" s="16">
        <f t="shared" si="0"/>
        <v>0</v>
      </c>
      <c r="F9" s="17" t="str">
        <f t="shared" si="1"/>
        <v/>
      </c>
      <c r="G9" s="18">
        <f>SUM(Jan!G9, Feb!G9, Mar!G9)</f>
        <v>0</v>
      </c>
      <c r="H9" s="18">
        <f>SUM(Jan!H9, Feb!H9, Mar!H9)</f>
        <v>0</v>
      </c>
      <c r="I9" s="17" t="str">
        <f t="shared" si="2"/>
        <v/>
      </c>
    </row>
    <row r="10" spans="1:9" ht="15.6">
      <c r="A10" s="46" t="str">
        <v>Topsham - Solarize LLC</v>
      </c>
      <c r="B10" s="9" t="str">
        <v>ME</v>
      </c>
      <c r="C10" s="22">
        <f>SUM(Jan!C10, Feb!C10, Mar!C10)</f>
        <v>0</v>
      </c>
      <c r="D10" s="12">
        <f>SUM(Jan!D10, Feb!D10, Mar!D10)</f>
        <v>0</v>
      </c>
      <c r="E10" s="12">
        <f t="shared" si="0"/>
        <v>0</v>
      </c>
      <c r="F10" s="13" t="str">
        <f t="shared" si="1"/>
        <v/>
      </c>
      <c r="G10" s="14">
        <f>SUM(Jan!G10, Feb!G10, Mar!G10)</f>
        <v>0</v>
      </c>
      <c r="H10" s="14">
        <f>SUM(Jan!H10, Feb!H10, Mar!H10)</f>
        <v>0</v>
      </c>
      <c r="I10" s="15" t="str">
        <f t="shared" si="2"/>
        <v/>
      </c>
    </row>
    <row r="11" spans="1:9" ht="15.6">
      <c r="A11" s="47" t="str">
        <v>Cherryfield - 727 North Main St (IRA)</v>
      </c>
      <c r="B11" s="10" t="str">
        <v>ME</v>
      </c>
      <c r="C11" s="11">
        <f>SUM(Jan!C11, Feb!C11, Mar!C11)</f>
        <v>0</v>
      </c>
      <c r="D11" s="16">
        <f>SUM(Jan!D11, Feb!D11, Mar!D11)</f>
        <v>0</v>
      </c>
      <c r="E11" s="16">
        <f t="shared" si="0"/>
        <v>0</v>
      </c>
      <c r="F11" s="17" t="str">
        <f t="shared" si="1"/>
        <v/>
      </c>
      <c r="G11" s="18">
        <f>SUM(Jan!G11, Feb!G11, Mar!G11)</f>
        <v>0</v>
      </c>
      <c r="H11" s="18">
        <f>SUM(Jan!H11, Feb!H11, Mar!H11)</f>
        <v>0</v>
      </c>
      <c r="I11" s="17" t="str">
        <f t="shared" si="2"/>
        <v/>
      </c>
    </row>
    <row r="12" spans="1:9" ht="13.9">
      <c r="A12" s="19"/>
      <c r="B12" s="19"/>
      <c r="C12" s="19"/>
      <c r="D12" s="19"/>
      <c r="E12" s="19"/>
      <c r="F12" s="20"/>
      <c r="G12" s="19"/>
      <c r="H12" s="19"/>
      <c r="I12" s="20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">
    <cfRule type="cellIs" dxfId="40" priority="5" stopIfTrue="1" operator="lessThanOrEqual">
      <formula>-0.1</formula>
    </cfRule>
    <cfRule type="expression" dxfId="39" priority="6">
      <formula>AND(ISNUMBER(F2), F2&gt;=0.1)</formula>
    </cfRule>
  </conditionalFormatting>
  <conditionalFormatting sqref="F4:F79 I4:I79">
    <cfRule type="cellIs" dxfId="38" priority="1" stopIfTrue="1" operator="lessThanOrEqual">
      <formula>-0.1</formula>
    </cfRule>
    <cfRule type="expression" dxfId="37" priority="2">
      <formula>AND(ISNUMBER(F4), F4&gt;=0.1)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A4" sqref="A4:I11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8" t="str" cm="1">
        <f t="array" ref="A1">portfolio</f>
        <v>ALIGNED</v>
      </c>
      <c r="B1" s="98"/>
      <c r="C1" s="98"/>
      <c r="D1" s="99" t="s">
        <v>12</v>
      </c>
      <c r="E1" s="99"/>
      <c r="F1" s="99"/>
      <c r="G1" s="97" t="s">
        <v>13</v>
      </c>
      <c r="H1" s="97"/>
      <c r="I1" s="97"/>
    </row>
    <row r="2" spans="1:9" ht="19.5" customHeight="1">
      <c r="A2" s="100" t="s">
        <v>2</v>
      </c>
      <c r="B2" s="100"/>
      <c r="C2" s="5">
        <f>SUM(C4:C79)</f>
        <v>3748877.5631414033</v>
      </c>
      <c r="D2" s="5">
        <f>SUM(D4:D79)</f>
        <v>3799021.6179999998</v>
      </c>
      <c r="E2" s="5">
        <f>C2-D2</f>
        <v>-50144.05485859653</v>
      </c>
      <c r="F2" s="6">
        <f>IFERROR(E2/D2, 0)</f>
        <v>-1.3199202294877947E-2</v>
      </c>
      <c r="G2" s="5">
        <f>SUM(G4:G79)</f>
        <v>4076410.0659999996</v>
      </c>
      <c r="H2" s="7">
        <f>C2-G2</f>
        <v>-327532.50285859639</v>
      </c>
      <c r="I2" s="6">
        <f>IFERROR(H2/G2, 0)</f>
        <v>-8.0348271531963292E-2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6" t="str" cm="1">
        <f t="array" ref="A4:A11">Sites[Site]</f>
        <v>Conway -US 302 and Stirch Road</v>
      </c>
      <c r="B4" s="9" t="str" cm="1">
        <f t="array" ref="B4:B11">Sites[State]</f>
        <v>NH</v>
      </c>
      <c r="C4" s="22">
        <f>SUM(Apr!C4, May!C4, Jun!C4)</f>
        <v>488149.99999999901</v>
      </c>
      <c r="D4" s="12">
        <f>SUM(Apr!D4, May!D4, Jun!D4)</f>
        <v>479099.01500000001</v>
      </c>
      <c r="E4" s="12">
        <f>IF(AND(ISNUMBER(C4),ISNUMBER(D4)), C4-D4, "")</f>
        <v>9050.9849999989965</v>
      </c>
      <c r="F4" s="13">
        <f>IFERROR(E4/D4, "")</f>
        <v>1.889167941620376E-2</v>
      </c>
      <c r="G4" s="14">
        <f>SUM(Apr!G4,May!G4,Jun!G4)</f>
        <v>432000</v>
      </c>
      <c r="H4" s="14">
        <f>SUM(Apr!H4, May!H4, Jun!H4)</f>
        <v>-113430.50000000099</v>
      </c>
      <c r="I4" s="15">
        <f>IFERROR(H4/G4, "")</f>
        <v>-0.26257060185185416</v>
      </c>
    </row>
    <row r="5" spans="1:9" ht="15.6">
      <c r="A5" s="47" t="str">
        <v>Loudon - 7046 Pleasant Street</v>
      </c>
      <c r="B5" s="10" t="str">
        <v>NH</v>
      </c>
      <c r="C5" s="11">
        <f>SUM(Apr!C5, May!C5, Jun!C5)</f>
        <v>509622.999871796</v>
      </c>
      <c r="D5" s="16">
        <f>SUM(Apr!D5, May!D5, Jun!D5)</f>
        <v>491386.03</v>
      </c>
      <c r="E5" s="16">
        <f t="shared" ref="E5:E11" si="0">IF(AND(ISNUMBER(C5),ISNUMBER(D5)), C5-D5, "")</f>
        <v>18236.969871795969</v>
      </c>
      <c r="F5" s="17">
        <f>IFERROR(E5/D5, "")</f>
        <v>3.71133258953169E-2</v>
      </c>
      <c r="G5" s="18">
        <f>SUM(Apr!G5,May!G5,Jun!G5)</f>
        <v>596309.11600000004</v>
      </c>
      <c r="H5" s="18">
        <f>SUM(Apr!H5, May!H5, Jun!H5)</f>
        <v>-86686.116128204012</v>
      </c>
      <c r="I5" s="17">
        <f>IFERROR(H5/G5, "")</f>
        <v>-0.14537110669997541</v>
      </c>
    </row>
    <row r="6" spans="1:9" ht="15.6">
      <c r="A6" s="46" t="str">
        <v>Nashua - Pennichuck Water  East</v>
      </c>
      <c r="B6" s="9" t="str">
        <v>NH</v>
      </c>
      <c r="C6" s="22">
        <f>SUM(Apr!C6, May!C6, Jun!C6)</f>
        <v>484488.00001960801</v>
      </c>
      <c r="D6" s="12">
        <f>SUM(Apr!D6, May!D6, Jun!D6)</f>
        <v>531144.56499999994</v>
      </c>
      <c r="E6" s="12">
        <f t="shared" si="0"/>
        <v>-46656.564980391937</v>
      </c>
      <c r="F6" s="13">
        <f t="shared" ref="F6:F11" si="1">IFERROR(E6/D6, "")</f>
        <v>-8.784155586792447E-2</v>
      </c>
      <c r="G6" s="14">
        <f>SUM(Apr!G6,May!G6,Jun!G6)</f>
        <v>417272</v>
      </c>
      <c r="H6" s="14">
        <f>SUM(Apr!H6, May!H6, Jun!H6)</f>
        <v>67216.000019608007</v>
      </c>
      <c r="I6" s="15">
        <f t="shared" ref="I6:I11" si="2">IFERROR(H6/G6, "")</f>
        <v>0.16108437666464082</v>
      </c>
    </row>
    <row r="7" spans="1:9" ht="15.6">
      <c r="A7" s="47" t="str">
        <v>Nashua - Pennichuck Water West</v>
      </c>
      <c r="B7" s="10" t="str">
        <v>NH</v>
      </c>
      <c r="C7" s="11">
        <f>SUM(Apr!C7, May!C7, Jun!C7)</f>
        <v>373707</v>
      </c>
      <c r="D7" s="16">
        <f>SUM(Apr!D7, May!D7, Jun!D7)</f>
        <v>275557.05699999997</v>
      </c>
      <c r="E7" s="16">
        <f t="shared" si="0"/>
        <v>98149.943000000028</v>
      </c>
      <c r="F7" s="17">
        <f t="shared" si="1"/>
        <v>0.35618736848390725</v>
      </c>
      <c r="G7" s="18">
        <f>SUM(Apr!G7,May!G7,Jun!G7)</f>
        <v>0</v>
      </c>
      <c r="H7" s="18">
        <f>SUM(Apr!H7, May!H7, Jun!H7)</f>
        <v>0</v>
      </c>
      <c r="I7" s="17" t="str">
        <f t="shared" si="2"/>
        <v/>
      </c>
    </row>
    <row r="8" spans="1:9" ht="15.6">
      <c r="A8" s="46" t="str">
        <v>Boothbay - Wiscasset Road</v>
      </c>
      <c r="B8" s="9" t="str">
        <v>ME</v>
      </c>
      <c r="C8" s="22">
        <f>SUM(Apr!C8, May!C8, Jun!C8)</f>
        <v>532951.81299999997</v>
      </c>
      <c r="D8" s="12">
        <f>SUM(Apr!D8, May!D8, Jun!D8)</f>
        <v>564398.35199999996</v>
      </c>
      <c r="E8" s="12">
        <f t="shared" si="0"/>
        <v>-31446.53899999999</v>
      </c>
      <c r="F8" s="13">
        <f t="shared" si="1"/>
        <v>-5.5716922079177139E-2</v>
      </c>
      <c r="G8" s="14">
        <f>SUM(Apr!G8,May!G8,Jun!G8)</f>
        <v>611598.5</v>
      </c>
      <c r="H8" s="14">
        <f>SUM(Apr!H8, May!H8, Jun!H8)</f>
        <v>-78646.687000000005</v>
      </c>
      <c r="I8" s="15">
        <f t="shared" si="2"/>
        <v>-0.12859202074563625</v>
      </c>
    </row>
    <row r="9" spans="1:9" ht="15.6">
      <c r="A9" s="47" t="str">
        <v>Thorndike -  Leonard Road</v>
      </c>
      <c r="B9" s="10" t="str">
        <v>ME</v>
      </c>
      <c r="C9" s="11">
        <f>SUM(Apr!C9, May!C9, Jun!C9)</f>
        <v>495412.1875</v>
      </c>
      <c r="D9" s="16">
        <f>SUM(Apr!D9, May!D9, Jun!D9)</f>
        <v>557091.49399999995</v>
      </c>
      <c r="E9" s="16">
        <f t="shared" si="0"/>
        <v>-61679.306499999948</v>
      </c>
      <c r="F9" s="17">
        <f t="shared" si="1"/>
        <v>-0.11071665456087533</v>
      </c>
      <c r="G9" s="18">
        <f>SUM(Apr!G9,May!G9,Jun!G9)</f>
        <v>1251734.5499999998</v>
      </c>
      <c r="H9" s="18">
        <f>SUM(Apr!H9, May!H9, Jun!H9)</f>
        <v>-756322.36249999993</v>
      </c>
      <c r="I9" s="17">
        <f t="shared" si="2"/>
        <v>-0.60421945092112384</v>
      </c>
    </row>
    <row r="10" spans="1:9" ht="15.6">
      <c r="A10" s="46" t="str">
        <v>Topsham - Solarize LLC</v>
      </c>
      <c r="B10" s="9" t="str">
        <v>ME</v>
      </c>
      <c r="C10" s="22">
        <f>SUM(Apr!C10, May!C10, Jun!C10)</f>
        <v>420394.25025000004</v>
      </c>
      <c r="D10" s="12">
        <f>SUM(Apr!D10, May!D10, Jun!D10)</f>
        <v>419567.005</v>
      </c>
      <c r="E10" s="12">
        <f t="shared" si="0"/>
        <v>827.24525000003632</v>
      </c>
      <c r="F10" s="13">
        <f t="shared" si="1"/>
        <v>1.9716642160649317E-3</v>
      </c>
      <c r="G10" s="14">
        <f>SUM(Apr!G10,May!G10,Jun!G10)</f>
        <v>335730</v>
      </c>
      <c r="H10" s="14">
        <f>SUM(Apr!H10, May!H10, Jun!H10)</f>
        <v>84664.250250000012</v>
      </c>
      <c r="I10" s="15">
        <f t="shared" si="2"/>
        <v>0.25217957957287107</v>
      </c>
    </row>
    <row r="11" spans="1:9" ht="15.6">
      <c r="A11" s="47" t="str">
        <v>Cherryfield - 727 North Main St (IRA)</v>
      </c>
      <c r="B11" s="10" t="str">
        <v>ME</v>
      </c>
      <c r="C11" s="11">
        <f>SUM(Apr!C11, May!C11, Jun!C11)</f>
        <v>444151.3125</v>
      </c>
      <c r="D11" s="16">
        <f>SUM(Apr!D11, May!D11, Jun!D11)</f>
        <v>480778.1</v>
      </c>
      <c r="E11" s="16">
        <f t="shared" si="0"/>
        <v>-36626.787499999977</v>
      </c>
      <c r="F11" s="17">
        <f t="shared" si="1"/>
        <v>-7.6182312588697315E-2</v>
      </c>
      <c r="G11" s="18">
        <f>SUM(Apr!G11,May!G11,Jun!G11)</f>
        <v>431765.9</v>
      </c>
      <c r="H11" s="18">
        <f>SUM(Apr!H11, May!H11, Jun!H11)</f>
        <v>12385.412499999977</v>
      </c>
      <c r="I11" s="17">
        <f t="shared" si="2"/>
        <v>2.8685480951598948E-2</v>
      </c>
    </row>
    <row r="12" spans="1:9" ht="13.9">
      <c r="A12" s="19"/>
      <c r="B12" s="19"/>
      <c r="C12" s="19"/>
      <c r="D12" s="19"/>
      <c r="E12" s="19"/>
      <c r="F12" s="20"/>
      <c r="G12" s="19"/>
      <c r="H12" s="19"/>
      <c r="I12" s="20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I11" sqref="I11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8" t="str" cm="1">
        <f t="array" ref="A1">portfolio</f>
        <v>ALIGNED</v>
      </c>
      <c r="B1" s="98"/>
      <c r="C1" s="98"/>
      <c r="D1" s="99" t="s">
        <v>14</v>
      </c>
      <c r="E1" s="99"/>
      <c r="F1" s="99"/>
      <c r="G1" s="97" t="s">
        <v>15</v>
      </c>
      <c r="H1" s="97"/>
      <c r="I1" s="97"/>
    </row>
    <row r="2" spans="1:9" ht="19.5" customHeight="1">
      <c r="A2" s="100" t="s">
        <v>2</v>
      </c>
      <c r="B2" s="100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6" t="str" cm="1">
        <f t="array" ref="A4:A11">Sites[Site]</f>
        <v>Conway -US 302 and Stirch Road</v>
      </c>
      <c r="B4" s="9" t="str" cm="1">
        <f t="array" ref="B4:B11">Sites[State]</f>
        <v>NH</v>
      </c>
      <c r="C4" s="22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47" t="str">
        <v>Loudon - 7046 Pleasant Street</v>
      </c>
      <c r="B5" s="10" t="str">
        <v>NH</v>
      </c>
      <c r="C5" s="11">
        <f>SUM(Jul!C5, Aug!C5, Sep!C5)</f>
        <v>0</v>
      </c>
      <c r="D5" s="16">
        <f>SUM(Jul!D5, Aug!D5, Sep!D5)</f>
        <v>0</v>
      </c>
      <c r="E5" s="16">
        <f t="shared" ref="E5:E11" si="0">IF(AND(ISNUMBER(C5),ISNUMBER(D5)), C5-D5, "")</f>
        <v>0</v>
      </c>
      <c r="F5" s="17" t="str">
        <f>IFERROR(E5/D5, "")</f>
        <v/>
      </c>
      <c r="G5" s="18">
        <f>SUM(Jul!G5,Aug!G5,Sep!G5)</f>
        <v>0</v>
      </c>
      <c r="H5" s="18">
        <f>SUM(Jul!H5, Aug!H5, Sep!H5)</f>
        <v>0</v>
      </c>
      <c r="I5" s="17" t="str">
        <f>IFERROR(H5/G5, "")</f>
        <v/>
      </c>
    </row>
    <row r="6" spans="1:9" ht="15.6">
      <c r="A6" s="46" t="str">
        <v>Nashua - Pennichuck Water  East</v>
      </c>
      <c r="B6" s="9" t="str">
        <v>NH</v>
      </c>
      <c r="C6" s="22">
        <f>SUM(Jul!C6, Aug!C6, Sep!C6)</f>
        <v>0</v>
      </c>
      <c r="D6" s="12">
        <f>SUM(Jul!D6, Aug!D6, Sep!D6)</f>
        <v>0</v>
      </c>
      <c r="E6" s="12">
        <f t="shared" si="0"/>
        <v>0</v>
      </c>
      <c r="F6" s="13" t="str">
        <f t="shared" ref="F6:F11" si="1">IFERROR(E6/D6, "")</f>
        <v/>
      </c>
      <c r="G6" s="14">
        <f>SUM(Jul!G6,Aug!G6,Sep!G6)</f>
        <v>0</v>
      </c>
      <c r="H6" s="14">
        <f>SUM(Jul!H6, Aug!H6, Sep!H6)</f>
        <v>0</v>
      </c>
      <c r="I6" s="15" t="str">
        <f t="shared" ref="I6:I11" si="2">IFERROR(H6/G6, "")</f>
        <v/>
      </c>
    </row>
    <row r="7" spans="1:9" ht="15.6">
      <c r="A7" s="47" t="str">
        <v>Nashua - Pennichuck Water West</v>
      </c>
      <c r="B7" s="10" t="str">
        <v>NH</v>
      </c>
      <c r="C7" s="11">
        <f>SUM(Jul!C7, Aug!C7, Sep!C7)</f>
        <v>0</v>
      </c>
      <c r="D7" s="16">
        <f>SUM(Jul!D7, Aug!D7, Sep!D7)</f>
        <v>0</v>
      </c>
      <c r="E7" s="16">
        <f t="shared" si="0"/>
        <v>0</v>
      </c>
      <c r="F7" s="17" t="str">
        <f t="shared" si="1"/>
        <v/>
      </c>
      <c r="G7" s="18">
        <f>SUM(Jul!G7,Aug!G7,Sep!G7)</f>
        <v>0</v>
      </c>
      <c r="H7" s="18">
        <f>SUM(Jul!H7, Aug!H7, Sep!H7)</f>
        <v>0</v>
      </c>
      <c r="I7" s="17" t="str">
        <f t="shared" si="2"/>
        <v/>
      </c>
    </row>
    <row r="8" spans="1:9" ht="15.6">
      <c r="A8" s="46" t="str">
        <v>Boothbay - Wiscasset Road</v>
      </c>
      <c r="B8" s="9" t="str">
        <v>ME</v>
      </c>
      <c r="C8" s="22">
        <f>SUM(Jul!C8, Aug!C8, Sep!C8)</f>
        <v>0</v>
      </c>
      <c r="D8" s="12">
        <f>SUM(Jul!D8, Aug!D8, Sep!D8)</f>
        <v>0</v>
      </c>
      <c r="E8" s="12">
        <f t="shared" si="0"/>
        <v>0</v>
      </c>
      <c r="F8" s="13" t="str">
        <f t="shared" si="1"/>
        <v/>
      </c>
      <c r="G8" s="14">
        <f>SUM(Jul!G8,Aug!G8,Sep!G8)</f>
        <v>0</v>
      </c>
      <c r="H8" s="14">
        <f>SUM(Jul!H8, Aug!H8, Sep!H8)</f>
        <v>0</v>
      </c>
      <c r="I8" s="15" t="str">
        <f t="shared" si="2"/>
        <v/>
      </c>
    </row>
    <row r="9" spans="1:9" ht="15.6">
      <c r="A9" s="47" t="str">
        <v>Thorndike -  Leonard Road</v>
      </c>
      <c r="B9" s="10" t="str">
        <v>ME</v>
      </c>
      <c r="C9" s="11">
        <f>SUM(Jul!C9, Aug!C9, Sep!C9)</f>
        <v>0</v>
      </c>
      <c r="D9" s="16">
        <f>SUM(Jul!D9, Aug!D9, Sep!D9)</f>
        <v>0</v>
      </c>
      <c r="E9" s="16">
        <f t="shared" si="0"/>
        <v>0</v>
      </c>
      <c r="F9" s="17" t="str">
        <f t="shared" si="1"/>
        <v/>
      </c>
      <c r="G9" s="18">
        <f>SUM(Jul!G9,Aug!G9,Sep!G9)</f>
        <v>0</v>
      </c>
      <c r="H9" s="18">
        <f>SUM(Jul!H9, Aug!H9, Sep!H9)</f>
        <v>0</v>
      </c>
      <c r="I9" s="17" t="str">
        <f t="shared" si="2"/>
        <v/>
      </c>
    </row>
    <row r="10" spans="1:9" ht="15.6">
      <c r="A10" s="46" t="str">
        <v>Topsham - Solarize LLC</v>
      </c>
      <c r="B10" s="9" t="str">
        <v>ME</v>
      </c>
      <c r="C10" s="22">
        <f>SUM(Jul!C10, Aug!C10, Sep!C10)</f>
        <v>0</v>
      </c>
      <c r="D10" s="12">
        <f>SUM(Jul!D10, Aug!D10, Sep!D10)</f>
        <v>0</v>
      </c>
      <c r="E10" s="12">
        <f t="shared" si="0"/>
        <v>0</v>
      </c>
      <c r="F10" s="13" t="str">
        <f t="shared" si="1"/>
        <v/>
      </c>
      <c r="G10" s="14">
        <f>SUM(Jul!G10,Aug!G10,Sep!G10)</f>
        <v>0</v>
      </c>
      <c r="H10" s="14">
        <f>SUM(Jul!H10, Aug!H10, Sep!H10)</f>
        <v>0</v>
      </c>
      <c r="I10" s="15" t="str">
        <f t="shared" si="2"/>
        <v/>
      </c>
    </row>
    <row r="11" spans="1:9" ht="15.6">
      <c r="A11" s="47" t="str">
        <v>Cherryfield - 727 North Main St (IRA)</v>
      </c>
      <c r="B11" s="10" t="str">
        <v>ME</v>
      </c>
      <c r="C11" s="11"/>
      <c r="D11" s="16">
        <f>SUM(Jul!D11, Aug!D11, Sep!D11)</f>
        <v>0</v>
      </c>
      <c r="E11" s="16" t="str">
        <f t="shared" si="0"/>
        <v/>
      </c>
      <c r="F11" s="17" t="str">
        <f t="shared" si="1"/>
        <v/>
      </c>
      <c r="G11" s="18">
        <f>SUM(Jul!G11,Aug!G11,Sep!G11)</f>
        <v>0</v>
      </c>
      <c r="H11" s="18">
        <f>SUM(Jul!H11, Aug!H11, Sep!H11)</f>
        <v>0</v>
      </c>
      <c r="I11" s="17" t="str">
        <f t="shared" si="2"/>
        <v/>
      </c>
    </row>
    <row r="12" spans="1:9" ht="13.9">
      <c r="A12" s="19"/>
      <c r="B12" s="19"/>
      <c r="C12" s="19"/>
      <c r="D12" s="19"/>
      <c r="E12" s="19"/>
      <c r="F12" s="20"/>
      <c r="G12" s="19"/>
      <c r="H12" s="19"/>
      <c r="I12" s="20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</sheetData>
  <mergeCells count="4">
    <mergeCell ref="G1:I1"/>
    <mergeCell ref="A1:C1"/>
    <mergeCell ref="D1:F1"/>
    <mergeCell ref="A2:B2"/>
  </mergeCells>
  <conditionalFormatting sqref="F2 I2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conditionalFormatting sqref="F4:F79 I4:I79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F4" activePane="bottomRight" state="frozen"/>
      <selection pane="bottomRight" activeCell="F7" sqref="F7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8" t="str" cm="1">
        <f t="array" ref="A1">portfolio</f>
        <v>ALIGNED</v>
      </c>
      <c r="B1" s="98"/>
      <c r="C1" s="98"/>
      <c r="D1" s="99" t="s">
        <v>16</v>
      </c>
      <c r="E1" s="99"/>
      <c r="F1" s="99"/>
      <c r="G1" s="97" t="s">
        <v>17</v>
      </c>
      <c r="H1" s="97"/>
      <c r="I1" s="97"/>
    </row>
    <row r="2" spans="1:9" ht="19.5" customHeight="1">
      <c r="A2" s="100" t="s">
        <v>2</v>
      </c>
      <c r="B2" s="100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6" t="str" cm="1">
        <f t="array" ref="A4:A11">Sites[Site]</f>
        <v>Conway -US 302 and Stirch Road</v>
      </c>
      <c r="B4" s="9" t="str" cm="1">
        <f t="array" ref="B4:B11">Sites[State]</f>
        <v>NH</v>
      </c>
      <c r="C4" s="22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47" t="str">
        <v>Loudon - 7046 Pleasant Street</v>
      </c>
      <c r="B5" s="10" t="str">
        <v>NH</v>
      </c>
      <c r="C5" s="11">
        <f>SUM(Oct!C5, Nov!C5, Dec!C5)</f>
        <v>0</v>
      </c>
      <c r="D5" s="16">
        <f>SUM(Oct!D5, Nov!D5, Dec!D5)</f>
        <v>0</v>
      </c>
      <c r="E5" s="16">
        <f t="shared" ref="E5:E7" si="0">IF(AND(ISNUMBER(C5),ISNUMBER(D5)), C5-D5, "")</f>
        <v>0</v>
      </c>
      <c r="F5" s="17" t="str">
        <f>IFERROR(E5/D5, "")</f>
        <v/>
      </c>
      <c r="G5" s="16">
        <f>SUM(Oct!G5,Nov!G5,Dec!G5)</f>
        <v>0</v>
      </c>
      <c r="H5" s="18">
        <f>SUM(Oct!H5, Nov!H5, Dec!H5)</f>
        <v>0</v>
      </c>
      <c r="I5" s="17" t="str">
        <f>IFERROR(H5/G5, "")</f>
        <v/>
      </c>
    </row>
    <row r="6" spans="1:9" ht="15.6">
      <c r="A6" s="46" t="str">
        <v>Nashua - Pennichuck Water  East</v>
      </c>
      <c r="B6" s="9" t="str">
        <v>NH</v>
      </c>
      <c r="C6" s="22">
        <f>SUM(Oct!C6, Nov!C6, Dec!C6)</f>
        <v>0</v>
      </c>
      <c r="D6" s="12">
        <f>SUM(Oct!D6, Nov!D6, Dec!D6)</f>
        <v>0</v>
      </c>
      <c r="E6" s="12">
        <f t="shared" si="0"/>
        <v>0</v>
      </c>
      <c r="F6" s="13" t="str">
        <f t="shared" ref="F6:F7" si="1">IFERROR(E6/D6, "")</f>
        <v/>
      </c>
      <c r="G6" s="14">
        <f>SUM(Oct!G6,Nov!G6,Dec!G6)</f>
        <v>0</v>
      </c>
      <c r="H6" s="14">
        <f>SUM(Oct!H6, Nov!H6, Dec!H6)</f>
        <v>0</v>
      </c>
      <c r="I6" s="15" t="str">
        <f t="shared" ref="I6:I7" si="2">IFERROR(H6/G6, "")</f>
        <v/>
      </c>
    </row>
    <row r="7" spans="1:9" ht="15.6">
      <c r="A7" s="47" t="str">
        <v>Nashua - Pennichuck Water West</v>
      </c>
      <c r="B7" s="10" t="str">
        <v>NH</v>
      </c>
      <c r="C7" s="11">
        <f>SUM(Oct!C7, Nov!C7, Dec!C7)</f>
        <v>0</v>
      </c>
      <c r="D7" s="16">
        <f>SUM(Oct!D7, Nov!D7, Dec!D7)</f>
        <v>0</v>
      </c>
      <c r="E7" s="16">
        <f t="shared" si="0"/>
        <v>0</v>
      </c>
      <c r="F7" s="17" t="str">
        <f t="shared" si="1"/>
        <v/>
      </c>
      <c r="G7" s="16">
        <f>SUM(Oct!G7,Nov!G7,Dec!G7)</f>
        <v>0</v>
      </c>
      <c r="H7" s="18">
        <f>SUM(Oct!H7, Nov!H7, Dec!H7)</f>
        <v>0</v>
      </c>
      <c r="I7" s="17" t="str">
        <f t="shared" si="2"/>
        <v/>
      </c>
    </row>
    <row r="8" spans="1:9" ht="14.45">
      <c r="A8" s="19" t="str">
        <v>Boothbay - Wiscasset Road</v>
      </c>
      <c r="B8" s="10" t="str">
        <v>ME</v>
      </c>
      <c r="C8" s="43"/>
      <c r="D8" s="16"/>
      <c r="E8" s="16"/>
      <c r="F8" s="17"/>
      <c r="G8" s="18"/>
      <c r="H8" s="18"/>
      <c r="I8" s="17"/>
    </row>
    <row r="9" spans="1:9" ht="14.45">
      <c r="A9" s="19" t="str">
        <v>Thorndike -  Leonard Road</v>
      </c>
      <c r="B9" s="10" t="str">
        <v>ME</v>
      </c>
      <c r="C9" s="43"/>
      <c r="D9" s="16"/>
      <c r="E9" s="16"/>
      <c r="F9" s="17"/>
      <c r="G9" s="18"/>
      <c r="H9" s="18"/>
      <c r="I9" s="17"/>
    </row>
    <row r="10" spans="1:9" ht="13.9">
      <c r="A10" s="19" t="str">
        <v>Topsham - Solarize LLC</v>
      </c>
      <c r="B10" s="19" t="str">
        <v>ME</v>
      </c>
      <c r="C10" s="19"/>
      <c r="D10" s="19"/>
      <c r="E10" s="19"/>
      <c r="F10" s="19"/>
      <c r="G10" s="19"/>
      <c r="H10" s="19"/>
      <c r="I10" s="19"/>
    </row>
    <row r="11" spans="1:9" ht="13.9">
      <c r="A11" s="19" t="str">
        <v>Cherryfield - 727 North Main St (IRA)</v>
      </c>
      <c r="B11" s="19" t="str">
        <v>ME</v>
      </c>
      <c r="C11" s="19"/>
      <c r="D11" s="19"/>
      <c r="E11" s="19"/>
      <c r="F11" s="19"/>
      <c r="G11" s="19"/>
      <c r="H11" s="19"/>
      <c r="I11" s="19"/>
    </row>
    <row r="12" spans="1:9" ht="13.9">
      <c r="A12" s="19"/>
      <c r="B12" s="19"/>
      <c r="C12" s="19"/>
      <c r="D12" s="19"/>
      <c r="E12" s="19"/>
      <c r="F12" s="20"/>
      <c r="G12" s="19"/>
      <c r="H12" s="19"/>
      <c r="I12" s="20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zoomScale="80" zoomScaleNormal="80" workbookViewId="0">
      <pane xSplit="2" ySplit="3" topLeftCell="F4" activePane="bottomRight" state="frozen"/>
      <selection pane="bottomRight" activeCell="F7" sqref="F7"/>
      <selection pane="bottomLeft" activeCell="E20" sqref="E20"/>
      <selection pane="topRight" activeCell="E20" sqref="E2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8" t="str" cm="1">
        <f t="array" ref="A1">portfolio</f>
        <v>ALIGNED</v>
      </c>
      <c r="B1" s="98"/>
      <c r="C1" s="98"/>
      <c r="D1" s="99" t="s">
        <v>18</v>
      </c>
      <c r="E1" s="99"/>
      <c r="F1" s="99"/>
      <c r="G1" s="97" t="s">
        <v>19</v>
      </c>
      <c r="H1" s="97"/>
      <c r="I1" s="97"/>
      <c r="J1" s="4"/>
      <c r="K1" s="4"/>
    </row>
    <row r="2" spans="1:11" ht="19.5" customHeight="1">
      <c r="A2" s="100" t="s">
        <v>2</v>
      </c>
      <c r="B2" s="100"/>
      <c r="C2" s="5">
        <f>SUM(C4:C78)</f>
        <v>346871.4781783917</v>
      </c>
      <c r="D2" s="5">
        <f>SUM(D4:D78)</f>
        <v>348784.49000000005</v>
      </c>
      <c r="E2" s="5">
        <f>C2-D2</f>
        <v>-1913.0118216083501</v>
      </c>
      <c r="F2" s="6">
        <f>IFERROR(E2/D2, 0)</f>
        <v>-5.4847961318702848E-3</v>
      </c>
      <c r="G2" s="5">
        <f>SUM(G4:G78)</f>
        <v>194816.2</v>
      </c>
      <c r="H2" s="7">
        <f>C2-G2</f>
        <v>152055.27817839169</v>
      </c>
      <c r="I2" s="6">
        <f>IFERROR(H2/G2, 0)</f>
        <v>0.78050633457788254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5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86.45">
      <c r="A4" s="69" t="str" cm="1">
        <f t="array" ref="A4:A11">Sites[Site]</f>
        <v>Conway -US 302 and Stirch Road</v>
      </c>
      <c r="B4" s="64" t="str" cm="1">
        <f t="array" ref="B4:B11">Sites[State]</f>
        <v>NH</v>
      </c>
      <c r="C4" s="71">
        <v>80975</v>
      </c>
      <c r="D4" s="65">
        <v>75060.55</v>
      </c>
      <c r="E4" s="65">
        <f>IF(AND(ISNUMBER(C4),ISNUMBER(D4)), C4-D4, "")</f>
        <v>5914.4499999999971</v>
      </c>
      <c r="F4" s="66">
        <f>IFERROR(E4/D4, "")</f>
        <v>7.879571892292285E-2</v>
      </c>
      <c r="G4" s="73" t="s">
        <v>22</v>
      </c>
      <c r="H4" s="67" t="str">
        <f>IF(AND(ISNUMBER(C4),ISNUMBER(G4)), C4-G4, "")</f>
        <v/>
      </c>
      <c r="I4" s="66" t="str">
        <f>IFERROR(H4/G4, "")</f>
        <v/>
      </c>
      <c r="J4" s="68" t="s">
        <v>23</v>
      </c>
      <c r="K4" s="68" t="s">
        <v>24</v>
      </c>
    </row>
    <row r="5" spans="1:11" ht="28.9">
      <c r="A5" s="58" t="str">
        <v>Loudon - 7046 Pleasant Street</v>
      </c>
      <c r="B5" s="59" t="str">
        <v>NH</v>
      </c>
      <c r="C5" s="63">
        <v>94149.5</v>
      </c>
      <c r="D5" s="16">
        <v>123337.60000000001</v>
      </c>
      <c r="E5" s="16">
        <f t="shared" ref="E5:E6" si="0">IF(AND(ISNUMBER(C5),ISNUMBER(D5)), C5-D5, "")</f>
        <v>-29188.100000000006</v>
      </c>
      <c r="F5" s="60">
        <f t="shared" ref="F5:F7" si="1">IFERROR(E5/D5, "")</f>
        <v>-0.23665208338738555</v>
      </c>
      <c r="G5" s="61">
        <v>122352.2</v>
      </c>
      <c r="H5" s="61">
        <f t="shared" ref="H5:H6" si="2">IF(AND(ISNUMBER(C5),ISNUMBER(G5)), C5-G5, "")</f>
        <v>-28202.699999999997</v>
      </c>
      <c r="I5" s="60">
        <f t="shared" ref="I5:I6" si="3">IFERROR(H5/G5, "")</f>
        <v>-0.23050423286217983</v>
      </c>
      <c r="J5" s="62" t="s">
        <v>25</v>
      </c>
      <c r="K5" s="70" t="s">
        <v>26</v>
      </c>
    </row>
    <row r="6" spans="1:11" ht="28.9">
      <c r="A6" s="69" t="str">
        <v>Nashua - Pennichuck Water  East</v>
      </c>
      <c r="B6" s="64" t="str">
        <v>NH</v>
      </c>
      <c r="C6" s="71">
        <v>97358.635678391904</v>
      </c>
      <c r="D6" s="65">
        <v>67312.38</v>
      </c>
      <c r="E6" s="65">
        <f t="shared" si="0"/>
        <v>30046.255678391899</v>
      </c>
      <c r="F6" s="66">
        <f>IFERROR(E6/D6, "")</f>
        <v>0.44637042514901265</v>
      </c>
      <c r="G6" s="67">
        <v>72464</v>
      </c>
      <c r="H6" s="67">
        <f t="shared" si="2"/>
        <v>24894.635678391904</v>
      </c>
      <c r="I6" s="66">
        <f t="shared" si="3"/>
        <v>0.34354487301821462</v>
      </c>
      <c r="J6" s="68" t="s">
        <v>27</v>
      </c>
      <c r="K6" s="68" t="s">
        <v>28</v>
      </c>
    </row>
    <row r="7" spans="1:11" ht="15.6">
      <c r="A7" s="58" t="str">
        <v>Nashua - Pennichuck Water West</v>
      </c>
      <c r="B7" s="59" t="str">
        <v>NH</v>
      </c>
      <c r="C7" s="63">
        <v>74388.342499999795</v>
      </c>
      <c r="D7" s="16">
        <v>83073.960000000006</v>
      </c>
      <c r="E7" s="16">
        <f>IF(AND(ISNUMBER(C7),ISNUMBER(D7)), C7-D7, "")</f>
        <v>-8685.6175000002113</v>
      </c>
      <c r="F7" s="60">
        <f t="shared" si="1"/>
        <v>-0.10455282858792588</v>
      </c>
      <c r="G7" s="16" t="s">
        <v>22</v>
      </c>
      <c r="H7" s="61" t="str">
        <f>IF(AND(ISNUMBER(C7),ISNUMBER(G7)), C7-G7, "")</f>
        <v/>
      </c>
      <c r="I7" s="60" t="str">
        <f t="shared" ref="I7" si="4">IFERROR(H7/G7, "")</f>
        <v/>
      </c>
      <c r="J7" s="62" t="s">
        <v>29</v>
      </c>
      <c r="K7" s="62"/>
    </row>
    <row r="8" spans="1:11" ht="14.45">
      <c r="A8" s="19" t="str">
        <v>Boothbay - Wiscasset Road</v>
      </c>
      <c r="B8" s="31" t="str">
        <v>ME</v>
      </c>
      <c r="C8" s="19"/>
      <c r="D8" s="19"/>
      <c r="E8" s="19"/>
      <c r="F8" s="19"/>
      <c r="G8" s="19"/>
      <c r="H8" s="19"/>
      <c r="I8" s="19"/>
      <c r="J8" s="19"/>
      <c r="K8" s="19"/>
    </row>
    <row r="9" spans="1:11" ht="14.45">
      <c r="A9" s="19" t="str">
        <v>Thorndike -  Leonard Road</v>
      </c>
      <c r="B9" s="31" t="str">
        <v>ME</v>
      </c>
      <c r="C9" s="19"/>
      <c r="D9" s="19"/>
      <c r="E9" s="19"/>
      <c r="F9" s="19"/>
      <c r="G9" s="19"/>
      <c r="H9" s="19"/>
      <c r="I9" s="19"/>
      <c r="J9" s="19"/>
      <c r="K9" s="19"/>
    </row>
    <row r="10" spans="1:11" ht="14.45">
      <c r="A10" s="19" t="str">
        <v>Topsham - Solarize LLC</v>
      </c>
      <c r="B10" s="31" t="str">
        <v>ME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4.45">
      <c r="A11" s="19" t="str">
        <v>Cherryfield - 727 North Main St (IRA)</v>
      </c>
      <c r="B11" s="31" t="str">
        <v>ME</v>
      </c>
      <c r="C11" s="19"/>
      <c r="D11" s="19"/>
      <c r="E11" s="19"/>
      <c r="F11" s="20"/>
      <c r="G11" s="19"/>
      <c r="H11" s="19"/>
      <c r="I11" s="20"/>
      <c r="J11" s="19"/>
      <c r="K11" s="19"/>
    </row>
    <row r="12" spans="1:11" ht="14.45">
      <c r="A12" s="19"/>
      <c r="B12" s="31"/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</sheetData>
  <mergeCells count="4">
    <mergeCell ref="D1:F1"/>
    <mergeCell ref="A1:C1"/>
    <mergeCell ref="G1:I1"/>
    <mergeCell ref="A2:B2"/>
  </mergeCells>
  <conditionalFormatting sqref="F2 I2 F8:F78 I8:I78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H17" activePane="bottomRight" state="frozen"/>
      <selection pane="bottomRight" activeCell="H17" sqref="H17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8" t="str" cm="1">
        <f t="array" ref="A1">portfolio</f>
        <v>ALIGNED</v>
      </c>
      <c r="B1" s="98"/>
      <c r="C1" s="98"/>
      <c r="D1" s="99" t="s">
        <v>30</v>
      </c>
      <c r="E1" s="99"/>
      <c r="F1" s="99"/>
      <c r="G1" s="97" t="s">
        <v>31</v>
      </c>
      <c r="H1" s="97"/>
      <c r="I1" s="97"/>
      <c r="J1" s="4"/>
      <c r="K1" s="4"/>
    </row>
    <row r="2" spans="1:11" ht="19.5" customHeight="1">
      <c r="A2" s="100" t="s">
        <v>2</v>
      </c>
      <c r="B2" s="100"/>
      <c r="C2" s="5">
        <f>SUM(C4:C77)</f>
        <v>260811.3696636479</v>
      </c>
      <c r="D2" s="5">
        <f>SUM(D4:D77)</f>
        <v>383101.45</v>
      </c>
      <c r="E2" s="5">
        <f>C2-D2</f>
        <v>-122290.08033635211</v>
      </c>
      <c r="F2" s="6">
        <f>IFERROR(E2/D2, 0)</f>
        <v>-0.31921069559082094</v>
      </c>
      <c r="G2" s="5">
        <f>SUM(G4:G77)</f>
        <v>231043.9</v>
      </c>
      <c r="H2" s="7">
        <f>C2-G2</f>
        <v>29767.469663647906</v>
      </c>
      <c r="I2" s="6">
        <f>IFERROR(H2/G2, 0)</f>
        <v>0.12883902004618131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28.9">
      <c r="A4" s="69" t="str" cm="1">
        <f t="array" ref="A4:A11">Sites[Site]</f>
        <v>Conway -US 302 and Stirch Road</v>
      </c>
      <c r="B4" s="64" t="str" cm="1">
        <f t="array" ref="B4:B11">Sites[State]</f>
        <v>NH</v>
      </c>
      <c r="C4" s="71">
        <v>50574.1815920398</v>
      </c>
      <c r="D4" s="65">
        <v>92518.7</v>
      </c>
      <c r="E4" s="65">
        <f>IF(AND(ISNUMBER(C4),ISNUMBER(D4)), C4-D4, "")</f>
        <v>-41944.518407960197</v>
      </c>
      <c r="F4" s="60">
        <f>IFERROR(E4/D4, "")</f>
        <v>-0.45336260029550995</v>
      </c>
      <c r="G4" s="73" t="s">
        <v>22</v>
      </c>
      <c r="H4" s="67" t="str">
        <f>IF(AND(ISNUMBER(C4),ISNUMBER(G4)), C4-G4, "")</f>
        <v/>
      </c>
      <c r="I4" s="66" t="str">
        <f>IFERROR(H4/G4, "")</f>
        <v/>
      </c>
      <c r="J4" s="68" t="s">
        <v>32</v>
      </c>
      <c r="K4" s="76" t="s">
        <v>33</v>
      </c>
    </row>
    <row r="5" spans="1:11" ht="15.6">
      <c r="A5" s="58" t="str">
        <v>Loudon - 7046 Pleasant Street</v>
      </c>
      <c r="B5" s="59" t="str">
        <v>NH</v>
      </c>
      <c r="C5" s="63">
        <v>68847.5</v>
      </c>
      <c r="D5" s="16">
        <v>123029.3</v>
      </c>
      <c r="E5" s="16">
        <f t="shared" ref="E5:E7" si="0">IF(AND(ISNUMBER(C5),ISNUMBER(D5)), C5-D5, "")</f>
        <v>-54181.8</v>
      </c>
      <c r="F5" s="60">
        <f t="shared" ref="F5:F7" si="1">IFERROR(E5/D5, "")</f>
        <v>-0.44039753131977505</v>
      </c>
      <c r="G5" s="61">
        <v>139243.9</v>
      </c>
      <c r="H5" s="61">
        <f t="shared" ref="H5:H7" si="2">IF(AND(ISNUMBER(C5),ISNUMBER(G5)), C5-G5, "")</f>
        <v>-70396.399999999994</v>
      </c>
      <c r="I5" s="60">
        <f t="shared" ref="I5:I7" si="3">IFERROR(H5/G5, "")</f>
        <v>-0.50556182353410095</v>
      </c>
      <c r="J5" s="62" t="s">
        <v>29</v>
      </c>
      <c r="K5" s="62"/>
    </row>
    <row r="6" spans="1:11" ht="28.9">
      <c r="A6" s="50" t="str">
        <v>Nashua - Pennichuck Water  East</v>
      </c>
      <c r="B6" s="27" t="str">
        <v>NH</v>
      </c>
      <c r="C6" s="22">
        <v>84190.364321608096</v>
      </c>
      <c r="D6" s="12">
        <v>90026.76</v>
      </c>
      <c r="E6" s="12">
        <f t="shared" si="0"/>
        <v>-5836.3956783918984</v>
      </c>
      <c r="F6" s="17">
        <f t="shared" si="1"/>
        <v>-6.4829564880396665E-2</v>
      </c>
      <c r="G6" s="14">
        <v>91800</v>
      </c>
      <c r="H6" s="14">
        <f t="shared" si="2"/>
        <v>-7609.6356783919036</v>
      </c>
      <c r="I6" s="15">
        <f t="shared" si="3"/>
        <v>-8.2893634840870409E-2</v>
      </c>
      <c r="J6" s="39" t="s">
        <v>27</v>
      </c>
      <c r="K6" s="77" t="s">
        <v>28</v>
      </c>
    </row>
    <row r="7" spans="1:11" ht="15.6">
      <c r="A7" s="49" t="str">
        <v>Nashua - Pennichuck Water West</v>
      </c>
      <c r="B7" s="29" t="str">
        <v>NH</v>
      </c>
      <c r="C7" s="11">
        <v>57199.323750000003</v>
      </c>
      <c r="D7" s="16">
        <v>77526.69</v>
      </c>
      <c r="E7" s="16">
        <f t="shared" si="0"/>
        <v>-20327.366249999999</v>
      </c>
      <c r="F7" s="60">
        <f t="shared" si="1"/>
        <v>-0.26219829906320002</v>
      </c>
      <c r="G7" s="74" t="s">
        <v>22</v>
      </c>
      <c r="H7" s="18" t="str">
        <f t="shared" si="2"/>
        <v/>
      </c>
      <c r="I7" s="17" t="str">
        <f t="shared" si="3"/>
        <v/>
      </c>
      <c r="J7" s="40" t="s">
        <v>29</v>
      </c>
      <c r="K7" s="53"/>
    </row>
    <row r="8" spans="1:11" ht="14.45">
      <c r="A8" s="19" t="str">
        <v>Boothbay - Wiscasset Road</v>
      </c>
      <c r="B8" s="31" t="str">
        <v>ME</v>
      </c>
      <c r="C8" s="19"/>
      <c r="D8" s="19"/>
      <c r="E8" s="19"/>
      <c r="F8" s="19"/>
      <c r="G8" s="19"/>
      <c r="H8" s="19"/>
      <c r="I8" s="19"/>
      <c r="J8" s="19"/>
      <c r="K8" s="19"/>
    </row>
    <row r="9" spans="1:11" ht="14.45">
      <c r="A9" s="19" t="str">
        <v>Thorndike -  Leonard Road</v>
      </c>
      <c r="B9" s="31" t="str">
        <v>ME</v>
      </c>
      <c r="C9" s="19"/>
      <c r="D9" s="19"/>
      <c r="E9" s="19"/>
      <c r="F9" s="19"/>
      <c r="G9" s="19"/>
      <c r="H9" s="19"/>
      <c r="I9" s="19"/>
      <c r="J9" s="19" t="s">
        <v>34</v>
      </c>
      <c r="K9" s="19"/>
    </row>
    <row r="10" spans="1:11" ht="14.45">
      <c r="A10" s="19" t="str">
        <v>Topsham - Solarize LLC</v>
      </c>
      <c r="B10" s="31" t="str">
        <v>ME</v>
      </c>
      <c r="C10" s="19"/>
      <c r="D10" s="19"/>
      <c r="E10" s="19"/>
      <c r="F10" s="20"/>
      <c r="G10" s="19"/>
      <c r="H10" s="19"/>
      <c r="I10" s="20"/>
      <c r="J10" s="19"/>
      <c r="K10" s="19"/>
    </row>
    <row r="11" spans="1:11" ht="14.45">
      <c r="A11" s="19" t="str">
        <v>Cherryfield - 727 North Main St (IRA)</v>
      </c>
      <c r="B11" s="31" t="str">
        <v>ME</v>
      </c>
      <c r="C11" s="19"/>
      <c r="D11" s="19"/>
      <c r="E11" s="19"/>
      <c r="F11" s="20"/>
      <c r="G11" s="19"/>
      <c r="H11" s="19"/>
      <c r="I11" s="20"/>
      <c r="J11" s="19"/>
      <c r="K11" s="19"/>
    </row>
    <row r="12" spans="1:11" ht="14.45">
      <c r="A12" s="19"/>
      <c r="B12" s="31"/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C319" s="19"/>
      <c r="D319" s="19"/>
      <c r="E319" s="19"/>
      <c r="F319" s="20"/>
      <c r="G319" s="19"/>
      <c r="H319" s="19"/>
      <c r="I319" s="20"/>
      <c r="J319" s="19"/>
      <c r="K319" s="19"/>
    </row>
  </sheetData>
  <mergeCells count="4">
    <mergeCell ref="G1:I1"/>
    <mergeCell ref="A1:C1"/>
    <mergeCell ref="D1:F1"/>
    <mergeCell ref="A2:B2"/>
  </mergeCells>
  <conditionalFormatting sqref="F2 I2 I6:I77 F8:F77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6">
    <cfRule type="cellIs" dxfId="24" priority="1" stopIfTrue="1" operator="lessThanOrEqual">
      <formula>-0.1</formula>
    </cfRule>
    <cfRule type="expression" dxfId="23" priority="2">
      <formula>AND(ISNUMBER(F6), F6&gt;=0.1)</formula>
    </cfRule>
  </conditionalFormatting>
  <hyperlinks>
    <hyperlink ref="K4" r:id="rId1" display="https://us3.assetplanner.com/service_request?ID=093738" xr:uid="{9AE87990-0645-461B-BBA4-EA4099988AA9}"/>
    <hyperlink ref="K6" r:id="rId2" display="https://us3.assetplanner.com/service_request?ID=099647" xr:uid="{B8A94AB9-5A2A-4045-95F3-A339EB7B26B4}"/>
  </hyperlinks>
  <pageMargins left="0.4" right="0.7" top="0.25" bottom="0.25" header="0.3" footer="0.3"/>
  <pageSetup fitToHeight="99" orientation="landscape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21"/>
  <sheetViews>
    <sheetView zoomScale="70" zoomScaleNormal="70" workbookViewId="0">
      <pane xSplit="2" ySplit="3" topLeftCell="C4" activePane="bottomRight" state="frozen"/>
      <selection pane="bottomRight" activeCell="H23" sqref="H23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98" t="str" cm="1">
        <f t="array" ref="A1">portfolio</f>
        <v>ALIGNED</v>
      </c>
      <c r="B1" s="98"/>
      <c r="C1" s="98"/>
      <c r="D1" s="99" t="s">
        <v>35</v>
      </c>
      <c r="E1" s="99"/>
      <c r="F1" s="99"/>
      <c r="G1" s="97" t="s">
        <v>36</v>
      </c>
      <c r="H1" s="97"/>
      <c r="I1" s="97"/>
      <c r="J1" s="4"/>
      <c r="K1" s="4"/>
    </row>
    <row r="2" spans="1:13" ht="19.5" customHeight="1">
      <c r="A2" s="100" t="s">
        <v>2</v>
      </c>
      <c r="B2" s="100"/>
      <c r="C2" s="5">
        <f>SUM(C4:C79)</f>
        <v>540693.98340796004</v>
      </c>
      <c r="D2" s="5">
        <f>SUM(D4:D79)</f>
        <v>509807.51999999996</v>
      </c>
      <c r="E2" s="5">
        <f>C2-D2</f>
        <v>30886.46340796008</v>
      </c>
      <c r="F2" s="6">
        <f>IFERROR(E2/D2, 0)</f>
        <v>6.0584558281839548E-2</v>
      </c>
      <c r="G2" s="5">
        <f>SUM(G4:G79)</f>
        <v>294216.3</v>
      </c>
      <c r="H2" s="7">
        <f>C2-G2</f>
        <v>246477.68340796005</v>
      </c>
      <c r="I2" s="6">
        <f>IFERROR(H2/G2, 0)</f>
        <v>0.83774312778714188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115.15">
      <c r="A4" s="72" t="str" cm="1">
        <f t="array" ref="A4:A11">Sites[Site]</f>
        <v>Conway -US 302 and Stirch Road</v>
      </c>
      <c r="B4" s="27" t="str" cm="1">
        <f t="array" ref="B4:B11">Sites[State]</f>
        <v>NH</v>
      </c>
      <c r="C4" s="22">
        <v>133981.81840796</v>
      </c>
      <c r="D4" s="12">
        <v>129640.9</v>
      </c>
      <c r="E4" s="12">
        <f>IF(AND(ISNUMBER(C4),ISNUMBER(D4)), C4-D4, "")</f>
        <v>4340.9184079600091</v>
      </c>
      <c r="F4" s="13">
        <f>IFERROR(E4/D4, "")</f>
        <v>3.3484173651679439E-2</v>
      </c>
      <c r="G4" s="75" t="s">
        <v>22</v>
      </c>
      <c r="H4" s="14" t="str">
        <f>IF(AND(ISNUMBER(C4),ISNUMBER(G4)), C4-G4, "")</f>
        <v/>
      </c>
      <c r="I4" s="15" t="str">
        <f>IFERROR(H4/G4, "")</f>
        <v/>
      </c>
      <c r="J4" s="52" t="s">
        <v>37</v>
      </c>
      <c r="K4" s="78" t="s">
        <v>38</v>
      </c>
      <c r="L4" s="80" t="s">
        <v>39</v>
      </c>
      <c r="M4" s="80" t="s">
        <v>40</v>
      </c>
    </row>
    <row r="5" spans="1:13" ht="28.9">
      <c r="A5" s="28" t="str">
        <v>Loudon - 7046 Pleasant Street</v>
      </c>
      <c r="B5" s="29" t="str">
        <v>NH</v>
      </c>
      <c r="C5" s="11">
        <v>141619.5</v>
      </c>
      <c r="D5" s="16">
        <v>150060.1</v>
      </c>
      <c r="E5" s="16">
        <f>IF(AND(ISNUMBER(C5),ISNUMBER(D5)), C5-D5, "")</f>
        <v>-8440.6000000000058</v>
      </c>
      <c r="F5" s="17">
        <f>IFERROR(E5/D5, "")</f>
        <v>-5.6248129915947048E-2</v>
      </c>
      <c r="G5" s="18">
        <v>168408.3</v>
      </c>
      <c r="H5" s="18">
        <f>IF(AND(ISNUMBER(C5),ISNUMBER(G5)), C5-G5, "")</f>
        <v>-26788.799999999988</v>
      </c>
      <c r="I5" s="17">
        <f t="shared" ref="I5:I7" si="0">IFERROR(H5/G5, "")</f>
        <v>-0.1590705446228006</v>
      </c>
      <c r="J5" s="40" t="s">
        <v>41</v>
      </c>
      <c r="K5" s="79" t="s">
        <v>42</v>
      </c>
      <c r="L5" s="81"/>
      <c r="M5" s="81"/>
    </row>
    <row r="6" spans="1:13" ht="28.9">
      <c r="A6" s="26" t="str">
        <v>Nashua - Pennichuck Water  East</v>
      </c>
      <c r="B6" s="27" t="str">
        <v>NH</v>
      </c>
      <c r="C6" s="22">
        <v>149613.5</v>
      </c>
      <c r="D6" s="12">
        <v>137537.60000000001</v>
      </c>
      <c r="E6" s="12">
        <f>IF(AND(ISNUMBER(C6),ISNUMBER(D6)), C6-D6, "")</f>
        <v>12075.899999999994</v>
      </c>
      <c r="F6" s="13">
        <f>IFERROR(E6/D6, "")</f>
        <v>8.7800717767359565E-2</v>
      </c>
      <c r="G6" s="14">
        <v>125808</v>
      </c>
      <c r="H6" s="14">
        <f>IF(AND(ISNUMBER(C6),ISNUMBER(G6)), C6-G6, "")</f>
        <v>23805.5</v>
      </c>
      <c r="I6" s="15">
        <f t="shared" si="0"/>
        <v>0.18922087625588199</v>
      </c>
      <c r="J6" s="39" t="s">
        <v>27</v>
      </c>
      <c r="K6" s="77" t="s">
        <v>28</v>
      </c>
      <c r="L6" s="81"/>
      <c r="M6" s="81"/>
    </row>
    <row r="7" spans="1:13" ht="15.6">
      <c r="A7" s="28" t="str">
        <v>Nashua - Pennichuck Water West</v>
      </c>
      <c r="B7" s="29" t="str">
        <v>NH</v>
      </c>
      <c r="C7" s="11">
        <v>115479.16499999999</v>
      </c>
      <c r="D7" s="16">
        <v>92568.92</v>
      </c>
      <c r="E7" s="16">
        <f>IF(AND(ISNUMBER(C7),ISNUMBER(D7)), C7-D7, "")</f>
        <v>22910.244999999995</v>
      </c>
      <c r="F7" s="17">
        <f>IFERROR(E7/D7, "")</f>
        <v>0.24749392128589159</v>
      </c>
      <c r="G7" s="74" t="s">
        <v>22</v>
      </c>
      <c r="H7" s="18" t="str">
        <f>IF(AND(ISNUMBER(C7),ISNUMBER(G7)), C7-G7, "")</f>
        <v/>
      </c>
      <c r="I7" s="17" t="str">
        <f t="shared" si="0"/>
        <v/>
      </c>
      <c r="J7" s="40"/>
      <c r="K7" s="41"/>
      <c r="L7" s="81"/>
      <c r="M7" s="81"/>
    </row>
    <row r="8" spans="1:13" ht="14.45">
      <c r="A8" s="19" t="str">
        <v>Boothbay - Wiscasset Road</v>
      </c>
      <c r="B8" s="31" t="str">
        <v>ME</v>
      </c>
      <c r="C8" s="19"/>
      <c r="D8" s="19"/>
      <c r="E8" s="19"/>
      <c r="F8" s="19"/>
      <c r="G8" s="19"/>
      <c r="H8" s="19"/>
      <c r="I8" s="19"/>
      <c r="J8" s="19"/>
      <c r="K8" s="19"/>
    </row>
    <row r="9" spans="1:13" ht="14.45">
      <c r="A9" s="19" t="str">
        <v>Thorndike -  Leonard Road</v>
      </c>
      <c r="B9" s="31" t="str">
        <v>ME</v>
      </c>
      <c r="C9" s="19"/>
      <c r="D9" s="19"/>
      <c r="E9" s="19"/>
      <c r="F9" s="19"/>
      <c r="G9" s="19"/>
      <c r="H9" s="19"/>
      <c r="I9" s="19"/>
      <c r="J9" s="19"/>
      <c r="K9" s="19"/>
    </row>
    <row r="10" spans="1:13" ht="14.45">
      <c r="A10" s="19" t="str">
        <v>Topsham - Solarize LLC</v>
      </c>
      <c r="B10" s="31" t="str">
        <v>ME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1:13" ht="14.45">
      <c r="A11" s="19" t="str">
        <v>Cherryfield - 727 North Main St (IRA)</v>
      </c>
      <c r="B11" s="31" t="str">
        <v>ME</v>
      </c>
      <c r="C11" s="19"/>
      <c r="D11" s="19"/>
      <c r="E11" s="19"/>
      <c r="F11" s="19"/>
      <c r="G11" s="19"/>
      <c r="H11" s="19"/>
      <c r="I11" s="19"/>
      <c r="J11" s="19"/>
      <c r="K11" s="19"/>
    </row>
    <row r="12" spans="1:13" ht="14.45">
      <c r="A12" s="19"/>
      <c r="B12" s="31"/>
      <c r="C12" s="19"/>
      <c r="D12" s="19"/>
      <c r="E12" s="19"/>
      <c r="F12" s="20"/>
      <c r="G12" s="19"/>
      <c r="H12" s="19"/>
      <c r="I12" s="20"/>
      <c r="J12" s="19"/>
      <c r="K12" s="19"/>
    </row>
    <row r="13" spans="1:13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3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3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3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8258" xr:uid="{BFEE06F7-B673-4E4D-8095-672354897D9C}"/>
    <hyperlink ref="L4" r:id="rId2" display="https://us3.assetplanner.com/service_request?ID=098648" xr:uid="{E9C4CFDB-7310-481C-A754-7A1F0E28217F}"/>
    <hyperlink ref="M4" r:id="rId3" display="https://us3.assetplanner.com/service_request?ID=093738" xr:uid="{EE23249C-72CD-4ECE-B712-3A7813D9E219}"/>
    <hyperlink ref="K5" r:id="rId4" display="https://us3.assetplanner.com/service_request?ID=098240" xr:uid="{7C196433-B71A-400C-806F-57D1B789A534}"/>
    <hyperlink ref="K6" r:id="rId5" display="https://us3.assetplanner.com/service_request?ID=099647" xr:uid="{00B885FD-852F-4FFC-8AEA-DD7AEBCB98CF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J4" activePane="bottomRight" state="frozen"/>
      <selection pane="bottomRight" activeCell="K4" sqref="K4:K10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8" t="str" cm="1">
        <f t="array" ref="A1">portfolio</f>
        <v>ALIGNED</v>
      </c>
      <c r="B1" s="98"/>
      <c r="C1" s="98"/>
      <c r="D1" s="99" t="s">
        <v>43</v>
      </c>
      <c r="E1" s="99"/>
      <c r="F1" s="99"/>
      <c r="G1" s="97" t="s">
        <v>44</v>
      </c>
      <c r="H1" s="97"/>
      <c r="I1" s="97"/>
      <c r="J1" s="4"/>
      <c r="K1" s="4"/>
    </row>
    <row r="2" spans="1:11" ht="19.5" customHeight="1">
      <c r="A2" s="100" t="s">
        <v>2</v>
      </c>
      <c r="B2" s="100"/>
      <c r="C2" s="5">
        <f>SUM(C4:C79)</f>
        <v>1104316.4879999999</v>
      </c>
      <c r="D2" s="5">
        <f>SUM(D4:D79)</f>
        <v>1080231.7580000001</v>
      </c>
      <c r="E2" s="5">
        <f>C2-D2</f>
        <v>24084.729999999749</v>
      </c>
      <c r="F2" s="6">
        <f>IFERROR(E2/D2, 0)</f>
        <v>2.2295891434067378E-2</v>
      </c>
      <c r="G2" s="5">
        <f>SUM(G4:G79)</f>
        <v>893850.36599999992</v>
      </c>
      <c r="H2" s="7">
        <f>C2-G2</f>
        <v>210466.12199999997</v>
      </c>
      <c r="I2" s="6">
        <f>IFERROR(H2/G2, 0)</f>
        <v>0.23546012845733957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33.75" customHeight="1">
      <c r="A4" s="30" t="str" cm="1">
        <f t="array" ref="A4:A11">Sites[Site]</f>
        <v>Conway -US 302 and Stirch Road</v>
      </c>
      <c r="B4" s="27" t="str" cm="1">
        <f t="array" ref="B4:B11">Sites[State]</f>
        <v>NH</v>
      </c>
      <c r="C4" s="22">
        <v>169580.5</v>
      </c>
      <c r="D4" s="12">
        <v>161751.51500000001</v>
      </c>
      <c r="E4" s="12">
        <f>IF(AND(ISNUMBER(C4),ISNUMBER(D4)), C4-D4, "")</f>
        <v>7828.984999999986</v>
      </c>
      <c r="F4" s="13">
        <f>IFERROR(E4/D4, "")</f>
        <v>4.8401308636892737E-2</v>
      </c>
      <c r="G4" s="75" t="s">
        <v>22</v>
      </c>
      <c r="H4" s="14" t="str">
        <f>IF(AND(ISNUMBER(C4),ISNUMBER(G4)), C4-G4, "")</f>
        <v/>
      </c>
      <c r="I4" s="15" t="str">
        <f>IFERROR(H4/G4, "")</f>
        <v/>
      </c>
      <c r="J4" s="52" t="s">
        <v>45</v>
      </c>
      <c r="K4" s="78" t="s">
        <v>46</v>
      </c>
    </row>
    <row r="5" spans="1:11" ht="28.9">
      <c r="A5" s="28" t="str">
        <v>Loudon - 7046 Pleasant Street</v>
      </c>
      <c r="B5" s="29" t="str">
        <v>NH</v>
      </c>
      <c r="C5" s="11">
        <v>169913.505</v>
      </c>
      <c r="D5" s="16">
        <v>165500.23000000001</v>
      </c>
      <c r="E5" s="16">
        <f t="shared" ref="E5:E10" si="0">IF(AND(ISNUMBER(C5),ISNUMBER(D5)), C5-D5, "")</f>
        <v>4413.2749999999942</v>
      </c>
      <c r="F5" s="17">
        <f>IFERROR(E5/D5, "")</f>
        <v>2.6666277140521156E-2</v>
      </c>
      <c r="G5" s="18">
        <v>174527.016</v>
      </c>
      <c r="H5" s="18">
        <f t="shared" ref="H5:H10" si="1">IF(AND(ISNUMBER(C5),ISNUMBER(G5)), C5-G5, "")</f>
        <v>-4613.5109999999986</v>
      </c>
      <c r="I5" s="17">
        <f t="shared" ref="I5:I10" si="2">IFERROR(H5/G5, "")</f>
        <v>-2.6434365897827522E-2</v>
      </c>
      <c r="J5" s="53" t="s">
        <v>47</v>
      </c>
      <c r="K5" s="79" t="s">
        <v>48</v>
      </c>
    </row>
    <row r="6" spans="1:11" ht="28.9">
      <c r="A6" s="26" t="str">
        <v>Nashua - Pennichuck Water  East</v>
      </c>
      <c r="B6" s="27" t="str">
        <v>NH</v>
      </c>
      <c r="C6" s="22">
        <v>164578.201</v>
      </c>
      <c r="D6" s="12">
        <v>175490.065</v>
      </c>
      <c r="E6" s="12">
        <f t="shared" si="0"/>
        <v>-10911.864000000001</v>
      </c>
      <c r="F6" s="13">
        <f t="shared" ref="F6:F10" si="3">IFERROR(E6/D6, "")</f>
        <v>-6.2179383203259976E-2</v>
      </c>
      <c r="G6" s="14">
        <v>131376</v>
      </c>
      <c r="H6" s="14">
        <f t="shared" si="1"/>
        <v>33202.201000000001</v>
      </c>
      <c r="I6" s="15">
        <f t="shared" si="2"/>
        <v>0.25272653300450615</v>
      </c>
      <c r="J6" s="52" t="s">
        <v>49</v>
      </c>
      <c r="K6" s="78" t="s">
        <v>50</v>
      </c>
    </row>
    <row r="7" spans="1:11" ht="43.15">
      <c r="A7" s="28" t="str">
        <v>Nashua - Pennichuck Water West</v>
      </c>
      <c r="B7" s="29" t="str">
        <v>NH</v>
      </c>
      <c r="C7" s="11">
        <v>126556</v>
      </c>
      <c r="D7" s="16">
        <v>96930.197</v>
      </c>
      <c r="E7" s="16">
        <f t="shared" si="0"/>
        <v>29625.803</v>
      </c>
      <c r="F7" s="17">
        <f t="shared" si="3"/>
        <v>0.30564059412775152</v>
      </c>
      <c r="G7" s="74" t="s">
        <v>22</v>
      </c>
      <c r="H7" s="18" t="str">
        <f t="shared" si="1"/>
        <v/>
      </c>
      <c r="I7" s="17" t="str">
        <f t="shared" si="2"/>
        <v/>
      </c>
      <c r="J7" s="84" t="s">
        <v>51</v>
      </c>
      <c r="K7" s="79" t="s">
        <v>52</v>
      </c>
    </row>
    <row r="8" spans="1:11" ht="15.6">
      <c r="A8" s="26" t="str">
        <v>Boothbay - Wiscasset Road</v>
      </c>
      <c r="B8" s="27" t="str">
        <v>ME</v>
      </c>
      <c r="C8" s="22">
        <v>174667.81299999999</v>
      </c>
      <c r="D8" s="12">
        <v>176099.45199999999</v>
      </c>
      <c r="E8" s="12">
        <f t="shared" si="0"/>
        <v>-1431.6389999999956</v>
      </c>
      <c r="F8" s="13">
        <f t="shared" si="3"/>
        <v>-8.129718654661092E-3</v>
      </c>
      <c r="G8" s="14">
        <v>186747.5</v>
      </c>
      <c r="H8" s="14">
        <f t="shared" si="1"/>
        <v>-12079.687000000005</v>
      </c>
      <c r="I8" s="15">
        <f t="shared" si="2"/>
        <v>-6.4684598187392098E-2</v>
      </c>
      <c r="J8" s="52"/>
      <c r="K8" s="52"/>
    </row>
    <row r="9" spans="1:11" ht="15.6">
      <c r="A9" s="28" t="str">
        <v>Thorndike -  Leonard Road</v>
      </c>
      <c r="B9" s="29" t="str">
        <v>ME</v>
      </c>
      <c r="C9" s="11">
        <v>165038.875</v>
      </c>
      <c r="D9" s="16">
        <v>172328.69399999999</v>
      </c>
      <c r="E9" s="16">
        <f t="shared" si="0"/>
        <v>-7289.8189999999886</v>
      </c>
      <c r="F9" s="17">
        <f t="shared" si="3"/>
        <v>-4.2301829316944685E-2</v>
      </c>
      <c r="G9" s="74">
        <v>380764.85</v>
      </c>
      <c r="H9" s="18">
        <f t="shared" si="1"/>
        <v>-215725.97499999998</v>
      </c>
      <c r="I9" s="17">
        <f t="shared" si="2"/>
        <v>-0.56655958395319317</v>
      </c>
      <c r="J9" s="84" t="s">
        <v>53</v>
      </c>
      <c r="K9" s="79" t="s">
        <v>54</v>
      </c>
    </row>
    <row r="10" spans="1:11" ht="57.6">
      <c r="A10" s="26" t="str">
        <v>Topsham - Solarize LLC</v>
      </c>
      <c r="B10" s="27" t="str">
        <v>ME</v>
      </c>
      <c r="C10" s="22">
        <v>133981.59400000001</v>
      </c>
      <c r="D10" s="12">
        <v>132131.60500000001</v>
      </c>
      <c r="E10" s="12">
        <f t="shared" si="0"/>
        <v>1849.9890000000014</v>
      </c>
      <c r="F10" s="13">
        <f t="shared" si="3"/>
        <v>1.4001108970105989E-2</v>
      </c>
      <c r="G10" s="14">
        <v>20435</v>
      </c>
      <c r="H10" s="14">
        <f t="shared" si="1"/>
        <v>113546.59400000001</v>
      </c>
      <c r="I10" s="15">
        <f t="shared" si="2"/>
        <v>5.5564763396134094</v>
      </c>
      <c r="J10" s="52" t="s">
        <v>55</v>
      </c>
      <c r="K10" s="78" t="s">
        <v>56</v>
      </c>
    </row>
    <row r="11" spans="1:11" ht="14.45">
      <c r="A11" s="19" t="str">
        <v>Cherryfield - 727 North Main St (IRA)</v>
      </c>
      <c r="B11" s="31" t="str">
        <v>ME</v>
      </c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31"/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4" r:id="rId1" display="https://us3.assetplanner.com/service_request?ID=099472" xr:uid="{BA0B0601-81E8-4523-8682-641E0D2D3023}"/>
    <hyperlink ref="K5" r:id="rId2" display="https://us3.assetplanner.com/service_request?ID=100664" xr:uid="{43CC1DCD-18EF-4977-BD30-14DA507B7709}"/>
    <hyperlink ref="K6" r:id="rId3" display="https://us3.assetplanner.com/service_request?ID=099647" xr:uid="{F4D470F7-B9B8-48D2-813B-BDF9DD83843E}"/>
    <hyperlink ref="K7" r:id="rId4" display="https://us3.assetplanner.com/service_request?ID=100020" xr:uid="{43C28D82-7697-4D81-A44A-CC57EB4D9A7B}"/>
    <hyperlink ref="K9" r:id="rId5" display="https://us3.assetplanner.com/service_request?ID=099480" xr:uid="{7E7447F8-1AB6-4160-9A13-1D8E27AB83A8}"/>
    <hyperlink ref="K10" r:id="rId6" display="https://us3.assetplanner.com/service_request?ID=100347" xr:uid="{751CB921-9E9C-4F87-9DA7-B086DACA9CBE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M321"/>
  <sheetViews>
    <sheetView workbookViewId="0">
      <pane xSplit="2" ySplit="3" topLeftCell="N7" activePane="bottomRight" state="frozen"/>
      <selection pane="bottomRight" activeCell="N7" sqref="N7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8.85546875" style="81"/>
  </cols>
  <sheetData>
    <row r="1" spans="1:13" ht="19.5" customHeight="1">
      <c r="A1" s="98" t="str" cm="1">
        <f t="array" ref="A1">portfolio</f>
        <v>ALIGNED</v>
      </c>
      <c r="B1" s="98"/>
      <c r="C1" s="98"/>
      <c r="D1" s="99" t="s">
        <v>57</v>
      </c>
      <c r="E1" s="99"/>
      <c r="F1" s="99"/>
      <c r="G1" s="97" t="s">
        <v>58</v>
      </c>
      <c r="H1" s="97"/>
      <c r="I1" s="97"/>
      <c r="J1" s="4"/>
      <c r="K1" s="4"/>
    </row>
    <row r="2" spans="1:13" ht="19.5" customHeight="1">
      <c r="A2" s="100" t="s">
        <v>2</v>
      </c>
      <c r="B2" s="100"/>
      <c r="C2" s="5">
        <f>SUM(C4:C79)</f>
        <v>1018446.940141402</v>
      </c>
      <c r="D2" s="5">
        <f>SUM(D4:D79)</f>
        <v>1011175.5399999999</v>
      </c>
      <c r="E2" s="5">
        <f>C2-D2</f>
        <v>7271.4001414020313</v>
      </c>
      <c r="F2" s="6">
        <f>IFERROR(E2/D2, 0)</f>
        <v>7.1910364261798029E-3</v>
      </c>
      <c r="G2" s="5">
        <f>SUM(G4:G79)</f>
        <v>1376423.2999999998</v>
      </c>
      <c r="H2" s="7">
        <f>C2-G2</f>
        <v>-357976.35985859786</v>
      </c>
      <c r="I2" s="6">
        <f>IFERROR(H2/G2, 0)</f>
        <v>-0.26007723049922066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75" customHeight="1">
      <c r="A4" s="72" t="str" cm="1">
        <f t="array" ref="A4:A11">Sites[Site]</f>
        <v>Conway -US 302 and Stirch Road</v>
      </c>
      <c r="B4" s="27" t="str" cm="1">
        <f t="array" ref="B4:B11">Sites[State]</f>
        <v>NH</v>
      </c>
      <c r="C4" s="22">
        <v>133174.99999999901</v>
      </c>
      <c r="D4" s="12">
        <v>133034.1</v>
      </c>
      <c r="E4" s="12">
        <f>IF(AND(ISNUMBER(C4),ISNUMBER(D4)), C4-D4, "")</f>
        <v>140.89999999900465</v>
      </c>
      <c r="F4" s="13">
        <f>IFERROR(E4/D4, "")</f>
        <v>1.0591269456402879E-3</v>
      </c>
      <c r="G4" s="14">
        <v>216200</v>
      </c>
      <c r="H4" s="14">
        <f>IF(AND(ISNUMBER(C4),ISNUMBER(G4)), C4-G4, "")</f>
        <v>-83025.00000000099</v>
      </c>
      <c r="I4" s="15">
        <f>IFERROR(H4/G4, "")</f>
        <v>-0.38401942645698883</v>
      </c>
      <c r="J4" s="39" t="s">
        <v>59</v>
      </c>
      <c r="K4" s="77" t="s">
        <v>60</v>
      </c>
    </row>
    <row r="5" spans="1:13" ht="15.6">
      <c r="A5" s="28" t="str">
        <v>Loudon - 7046 Pleasant Street</v>
      </c>
      <c r="B5" s="29" t="str">
        <v>NH</v>
      </c>
      <c r="C5" s="11">
        <v>157983.62237179501</v>
      </c>
      <c r="D5" s="16">
        <v>148646.9</v>
      </c>
      <c r="E5" s="16">
        <f t="shared" ref="E5:E7" si="0">IF(AND(ISNUMBER(C5),ISNUMBER(D5)), C5-D5, "")</f>
        <v>9336.722371795011</v>
      </c>
      <c r="F5" s="17">
        <f>IFERROR(E5/D5, "")</f>
        <v>6.2811416664558833E-2</v>
      </c>
      <c r="G5" s="18">
        <v>211772.2</v>
      </c>
      <c r="H5" s="18">
        <f t="shared" ref="H5:H7" si="1">IF(AND(ISNUMBER(C5),ISNUMBER(G5)), C5-G5, "")</f>
        <v>-53788.577628205006</v>
      </c>
      <c r="I5" s="17">
        <f t="shared" ref="I5:I7" si="2">IFERROR(H5/G5, "")</f>
        <v>-0.25399262806074169</v>
      </c>
      <c r="J5" s="54"/>
      <c r="K5" s="54"/>
    </row>
    <row r="6" spans="1:13" ht="57.6">
      <c r="A6" s="26" t="str">
        <v>Nashua - Pennichuck Water  East</v>
      </c>
      <c r="B6" s="27" t="str">
        <v>NH</v>
      </c>
      <c r="C6" s="22">
        <v>142766.16151960799</v>
      </c>
      <c r="D6" s="12">
        <v>162107</v>
      </c>
      <c r="E6" s="12">
        <f t="shared" si="0"/>
        <v>-19340.838480392005</v>
      </c>
      <c r="F6" s="13">
        <f t="shared" ref="F6:F7" si="3">IFERROR(E6/D6, "")</f>
        <v>-0.11930908893750428</v>
      </c>
      <c r="G6" s="14">
        <v>144688</v>
      </c>
      <c r="H6" s="14">
        <f t="shared" si="1"/>
        <v>-1921.8384803920053</v>
      </c>
      <c r="I6" s="15">
        <f t="shared" si="2"/>
        <v>-1.3282639060544103E-2</v>
      </c>
      <c r="J6" s="39" t="s">
        <v>61</v>
      </c>
      <c r="K6" s="77" t="s">
        <v>62</v>
      </c>
      <c r="L6" s="80" t="s">
        <v>63</v>
      </c>
    </row>
    <row r="7" spans="1:13" ht="115.15">
      <c r="A7" s="28" t="str">
        <v>Nashua - Pennichuck Water West</v>
      </c>
      <c r="B7" s="29" t="str">
        <v>NH</v>
      </c>
      <c r="C7" s="11">
        <v>109093</v>
      </c>
      <c r="D7" s="16">
        <v>83703.94</v>
      </c>
      <c r="E7" s="16">
        <f t="shared" si="0"/>
        <v>25389.059999999998</v>
      </c>
      <c r="F7" s="17">
        <f t="shared" si="3"/>
        <v>0.30331977204418331</v>
      </c>
      <c r="G7" s="74" t="s">
        <v>22</v>
      </c>
      <c r="H7" s="18" t="str">
        <f t="shared" si="1"/>
        <v/>
      </c>
      <c r="I7" s="17" t="str">
        <f t="shared" si="2"/>
        <v/>
      </c>
      <c r="J7" s="40" t="s">
        <v>64</v>
      </c>
      <c r="K7" s="79" t="s">
        <v>65</v>
      </c>
      <c r="L7" s="80" t="s">
        <v>66</v>
      </c>
      <c r="M7" s="80" t="s">
        <v>67</v>
      </c>
    </row>
    <row r="8" spans="1:13" ht="28.9">
      <c r="A8" s="26" t="str">
        <v>Boothbay - Wiscasset Road</v>
      </c>
      <c r="B8" s="27" t="str">
        <v>ME</v>
      </c>
      <c r="C8" s="85">
        <v>173991</v>
      </c>
      <c r="D8" s="12">
        <v>176162</v>
      </c>
      <c r="E8" s="12">
        <f>IF(AND(ISNUMBER(C8),ISNUMBER(D8)), C8-D8, "")</f>
        <v>-2171</v>
      </c>
      <c r="F8" s="86">
        <f>IFERROR(E8/D8, "")</f>
        <v>-1.2323883697959833E-2</v>
      </c>
      <c r="G8" s="87">
        <v>213942</v>
      </c>
      <c r="H8" s="87">
        <f>IF(AND(ISNUMBER(C8),ISNUMBER(G8)), C8-G8, "")</f>
        <v>-39951</v>
      </c>
      <c r="I8" s="88">
        <f>IFERROR(H8/G8, "")</f>
        <v>-0.18673752699329724</v>
      </c>
      <c r="J8" s="89" t="s">
        <v>68</v>
      </c>
      <c r="K8" s="89" t="s">
        <v>69</v>
      </c>
    </row>
    <row r="9" spans="1:13" ht="72">
      <c r="A9" s="28" t="str">
        <v>Thorndike -  Leonard Road</v>
      </c>
      <c r="B9" s="29" t="str">
        <v>ME</v>
      </c>
      <c r="C9" s="90">
        <v>172047.625</v>
      </c>
      <c r="D9" s="16">
        <v>178637.2</v>
      </c>
      <c r="E9" s="16">
        <f>IF(AND(ISNUMBER(C9),ISNUMBER(D9)), C9-D9, "")</f>
        <v>-6589.5750000000116</v>
      </c>
      <c r="F9" s="91">
        <f>IFERROR(E9/D9, "")</f>
        <v>-3.6888033399538347E-2</v>
      </c>
      <c r="G9" s="92">
        <v>432588.1</v>
      </c>
      <c r="H9" s="92">
        <f>IF(AND(ISNUMBER(C9),ISNUMBER(G9)), C9-G9, "")</f>
        <v>-260540.47499999998</v>
      </c>
      <c r="I9" s="91">
        <f>IFERROR(H9/G9, "")</f>
        <v>-0.60228303783668569</v>
      </c>
      <c r="J9" s="40" t="s">
        <v>70</v>
      </c>
      <c r="K9" s="95" t="s">
        <v>71</v>
      </c>
    </row>
    <row r="10" spans="1:13" ht="57.6">
      <c r="A10" s="26" t="str">
        <v>Topsham - Solarize LLC</v>
      </c>
      <c r="B10" s="27" t="str">
        <v>ME</v>
      </c>
      <c r="C10" s="85">
        <v>129390.53125</v>
      </c>
      <c r="D10" s="12">
        <v>128884.4</v>
      </c>
      <c r="E10" s="12">
        <f>IF(AND(ISNUMBER(C10),ISNUMBER(D10)), C10-D10, "")</f>
        <v>506.13125000000582</v>
      </c>
      <c r="F10" s="86">
        <f>IFERROR(E10/D10, "")</f>
        <v>3.9270171564596322E-3</v>
      </c>
      <c r="G10" s="87">
        <v>157233</v>
      </c>
      <c r="H10" s="87">
        <f>IF(AND(ISNUMBER(C10),ISNUMBER(G10)), C10-G10, "")</f>
        <v>-27842.46875</v>
      </c>
      <c r="I10" s="88">
        <f>IFERROR(H10/G10, "")</f>
        <v>-0.17707776834379552</v>
      </c>
      <c r="J10" s="89" t="s">
        <v>72</v>
      </c>
      <c r="K10" s="96" t="s">
        <v>73</v>
      </c>
    </row>
    <row r="11" spans="1:13" ht="14.45">
      <c r="A11" s="19" t="str">
        <v>Cherryfield - 727 North Main St (IRA)</v>
      </c>
      <c r="B11" s="31" t="str">
        <v>ME</v>
      </c>
      <c r="C11" s="19"/>
      <c r="D11" s="19"/>
      <c r="E11" s="19"/>
      <c r="F11" s="19"/>
      <c r="G11" s="19"/>
      <c r="H11" s="19"/>
      <c r="I11" s="19"/>
      <c r="J11" s="19"/>
      <c r="K11" s="19"/>
    </row>
    <row r="12" spans="1:13" ht="14.45">
      <c r="A12" s="19"/>
      <c r="B12" s="31"/>
      <c r="C12" s="19"/>
      <c r="D12" s="19"/>
      <c r="E12" s="19"/>
      <c r="F12" s="20"/>
      <c r="G12" s="19"/>
      <c r="H12" s="19"/>
      <c r="I12" s="20"/>
      <c r="J12" s="19"/>
      <c r="K12" s="19"/>
    </row>
    <row r="13" spans="1:13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3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3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3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101376" xr:uid="{6A55E4E4-7200-4CBC-9123-569D2FB9C130}"/>
    <hyperlink ref="K6" r:id="rId2" display="https://us3.assetplanner.com/service_request?ID=102029" xr:uid="{B2237EC9-75F3-4A12-AB2A-E0717D105AA5}"/>
    <hyperlink ref="L6" r:id="rId3" display="https://us3.assetplanner.com/service_request?ID=099647" xr:uid="{817A699B-511F-4419-8BDC-E0C0C4760548}"/>
    <hyperlink ref="K7" r:id="rId4" display="https://us3.assetplanner.com/service_request?ID=102030" xr:uid="{F6AC746E-4859-4CDB-A325-16F7EE4066CA}"/>
    <hyperlink ref="L7" r:id="rId5" display="https://us3.assetplanner.com/service_request?ID=102218" xr:uid="{FBA84AE9-03DE-4F0F-A323-BF00B92A76AA}"/>
    <hyperlink ref="M7" r:id="rId6" display="https://us3.assetplanner.com/service_request?ID=100020" xr:uid="{E443040C-FA48-4567-AF64-6E0CE9760EFF}"/>
    <hyperlink ref="K9" r:id="rId7" display="https://us3.assetplanner.com/service_request?ID=102061" xr:uid="{2F0F0F42-946A-441B-8CBF-12A5CA61FAD5}"/>
    <hyperlink ref="K10" r:id="rId8" display="https://us3.assetplanner.com/service_request?ID=100825" xr:uid="{C6A48680-D1A1-4D6F-BB54-BEA045F041BF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21"/>
  <sheetViews>
    <sheetView tabSelected="1" workbookViewId="0">
      <pane xSplit="2" ySplit="3" topLeftCell="C4" activePane="bottomRight" state="frozen"/>
      <selection pane="bottomRight" activeCell="J18" sqref="J18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8.85546875" style="81"/>
  </cols>
  <sheetData>
    <row r="1" spans="1:13" ht="19.5" customHeight="1">
      <c r="A1" s="98" t="str" cm="1">
        <f t="array" ref="A1">portfolio</f>
        <v>ALIGNED</v>
      </c>
      <c r="B1" s="98"/>
      <c r="C1" s="98"/>
      <c r="D1" s="99" t="s">
        <v>74</v>
      </c>
      <c r="E1" s="99"/>
      <c r="F1" s="99"/>
      <c r="G1" s="97" t="s">
        <v>75</v>
      </c>
      <c r="H1" s="97"/>
      <c r="I1" s="97"/>
      <c r="J1" s="4"/>
      <c r="K1" s="4"/>
    </row>
    <row r="2" spans="1:13" ht="19.5" customHeight="1">
      <c r="A2" s="100" t="s">
        <v>2</v>
      </c>
      <c r="B2" s="100"/>
      <c r="C2" s="5">
        <f>SUM(C4:C79)</f>
        <v>1626114.1350000009</v>
      </c>
      <c r="D2" s="5">
        <f>SUM(D4:D79)</f>
        <v>1707614.3200000003</v>
      </c>
      <c r="E2" s="5">
        <f>C2-D2</f>
        <v>-81500.184999999357</v>
      </c>
      <c r="F2" s="6">
        <f>IFERROR(E2/D2, 0)</f>
        <v>-4.772751320098987E-2</v>
      </c>
      <c r="G2" s="5">
        <f>SUM(G4:G79)</f>
        <v>1806136.4</v>
      </c>
      <c r="H2" s="7">
        <f>C2-G2</f>
        <v>-180022.26499999897</v>
      </c>
      <c r="I2" s="6">
        <f>IFERROR(H2/G2, 0)</f>
        <v>-9.9672574563027999E-2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96" customHeight="1">
      <c r="A4" s="93" t="str" cm="1">
        <f t="array" ref="A4:A11">Sites[Site]</f>
        <v>Conway -US 302 and Stirch Road</v>
      </c>
      <c r="B4" s="27" t="str" cm="1">
        <f t="array" ref="B4:B11">Sites[State]</f>
        <v>NH</v>
      </c>
      <c r="C4" s="22">
        <v>185394.5</v>
      </c>
      <c r="D4" s="12">
        <v>184313.4</v>
      </c>
      <c r="E4" s="12">
        <f>IF(AND(ISNUMBER(C4),ISNUMBER(D4)), C4-D4, "")</f>
        <v>1081.1000000000058</v>
      </c>
      <c r="F4" s="13">
        <f>IFERROR(E4/D4, "")</f>
        <v>5.8655529115083649E-3</v>
      </c>
      <c r="G4" s="14">
        <v>215800</v>
      </c>
      <c r="H4" s="14">
        <f>IF(AND(ISNUMBER(C4),ISNUMBER(G4)), C4-G4, "")</f>
        <v>-30405.5</v>
      </c>
      <c r="I4" s="15">
        <f>IFERROR(H4/G4, "")</f>
        <v>-0.14089666357738648</v>
      </c>
      <c r="J4" s="39" t="s">
        <v>76</v>
      </c>
      <c r="K4" s="77" t="s">
        <v>77</v>
      </c>
      <c r="L4" s="80" t="s">
        <v>78</v>
      </c>
      <c r="M4" s="80" t="s">
        <v>79</v>
      </c>
    </row>
    <row r="5" spans="1:13" ht="29.25" customHeight="1">
      <c r="A5" s="28" t="str">
        <v>Loudon - 7046 Pleasant Street</v>
      </c>
      <c r="B5" s="29" t="str">
        <v>NH</v>
      </c>
      <c r="C5" s="11">
        <v>181725.87250000099</v>
      </c>
      <c r="D5" s="16">
        <v>177238.9</v>
      </c>
      <c r="E5" s="16">
        <f t="shared" ref="E5:E11" si="0">IF(AND(ISNUMBER(C5),ISNUMBER(D5)), C5-D5, "")</f>
        <v>4486.972500000993</v>
      </c>
      <c r="F5" s="17">
        <f>IFERROR(E5/D5, "")</f>
        <v>2.5315957727118556E-2</v>
      </c>
      <c r="G5" s="18">
        <v>210009.9</v>
      </c>
      <c r="H5" s="18">
        <f t="shared" ref="H5:H11" si="1">IF(AND(ISNUMBER(C5),ISNUMBER(G5)), C5-G5, "")</f>
        <v>-28284.027499999007</v>
      </c>
      <c r="I5" s="17">
        <f t="shared" ref="I5:I11" si="2">IFERROR(H5/G5, "")</f>
        <v>-0.13467949606184759</v>
      </c>
      <c r="J5" s="94" t="s">
        <v>80</v>
      </c>
      <c r="K5" s="95" t="s">
        <v>81</v>
      </c>
    </row>
    <row r="6" spans="1:13" ht="28.9">
      <c r="A6" s="26" t="str">
        <v>Nashua - Pennichuck Water  East</v>
      </c>
      <c r="B6" s="27" t="str">
        <v>NH</v>
      </c>
      <c r="C6" s="22">
        <v>177143.63750000001</v>
      </c>
      <c r="D6" s="12">
        <v>193547.5</v>
      </c>
      <c r="E6" s="12">
        <f t="shared" si="0"/>
        <v>-16403.862499999988</v>
      </c>
      <c r="F6" s="13">
        <f t="shared" ref="F6:F11" si="3">IFERROR(E6/D6, "")</f>
        <v>-8.4753678037690947E-2</v>
      </c>
      <c r="G6" s="14">
        <v>141208</v>
      </c>
      <c r="H6" s="14">
        <f t="shared" si="1"/>
        <v>35935.637500000012</v>
      </c>
      <c r="I6" s="15">
        <f t="shared" si="2"/>
        <v>0.25448726346949191</v>
      </c>
      <c r="J6" s="39" t="s">
        <v>82</v>
      </c>
      <c r="K6" s="77" t="s">
        <v>28</v>
      </c>
    </row>
    <row r="7" spans="1:13" ht="15.6">
      <c r="A7" s="28" t="str">
        <v>Nashua - Pennichuck Water West</v>
      </c>
      <c r="B7" s="29" t="str">
        <v>NH</v>
      </c>
      <c r="C7" s="11">
        <v>138058</v>
      </c>
      <c r="D7" s="16">
        <v>94922.92</v>
      </c>
      <c r="E7" s="16">
        <f t="shared" si="0"/>
        <v>43135.08</v>
      </c>
      <c r="F7" s="17">
        <f t="shared" si="3"/>
        <v>0.454422177488851</v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3" ht="57.6">
      <c r="A8" s="26" t="str">
        <v>Boothbay - Wiscasset Road</v>
      </c>
      <c r="B8" s="27" t="str">
        <v>ME</v>
      </c>
      <c r="C8" s="22">
        <v>184293</v>
      </c>
      <c r="D8" s="12">
        <v>212136.9</v>
      </c>
      <c r="E8" s="12">
        <f t="shared" si="0"/>
        <v>-27843.899999999994</v>
      </c>
      <c r="F8" s="13">
        <f t="shared" si="3"/>
        <v>-0.13125439280012102</v>
      </c>
      <c r="G8" s="14">
        <v>210909</v>
      </c>
      <c r="H8" s="14">
        <f t="shared" si="1"/>
        <v>-26616</v>
      </c>
      <c r="I8" s="15">
        <f t="shared" si="2"/>
        <v>-0.12619660611922678</v>
      </c>
      <c r="J8" s="39" t="s">
        <v>83</v>
      </c>
      <c r="K8" s="77" t="s">
        <v>84</v>
      </c>
      <c r="L8" s="80" t="s">
        <v>85</v>
      </c>
      <c r="M8" s="80" t="s">
        <v>86</v>
      </c>
    </row>
    <row r="9" spans="1:13" ht="43.15">
      <c r="A9" s="28" t="str">
        <v>Thorndike -  Leonard Road</v>
      </c>
      <c r="B9" s="29" t="str">
        <v>ME</v>
      </c>
      <c r="C9" s="11">
        <v>158325.6875</v>
      </c>
      <c r="D9" s="16">
        <v>206125.6</v>
      </c>
      <c r="E9" s="16">
        <f t="shared" si="0"/>
        <v>-47799.912500000006</v>
      </c>
      <c r="F9" s="17">
        <f t="shared" si="3"/>
        <v>-0.23189702055445807</v>
      </c>
      <c r="G9" s="18">
        <v>438381.6</v>
      </c>
      <c r="H9" s="18">
        <f t="shared" si="1"/>
        <v>-280055.91249999998</v>
      </c>
      <c r="I9" s="17">
        <f t="shared" si="2"/>
        <v>-0.63884048167167595</v>
      </c>
      <c r="J9" s="40" t="s">
        <v>87</v>
      </c>
      <c r="K9" s="79" t="s">
        <v>88</v>
      </c>
      <c r="L9" s="80" t="s">
        <v>89</v>
      </c>
      <c r="M9" s="80" t="s">
        <v>90</v>
      </c>
    </row>
    <row r="10" spans="1:13" ht="72.75" customHeight="1">
      <c r="A10" s="26" t="str">
        <v>Topsham - Solarize LLC</v>
      </c>
      <c r="B10" s="27" t="str">
        <v>ME</v>
      </c>
      <c r="C10" s="22">
        <v>157022.125</v>
      </c>
      <c r="D10" s="12">
        <v>158551</v>
      </c>
      <c r="E10" s="12">
        <f t="shared" si="0"/>
        <v>-1528.875</v>
      </c>
      <c r="F10" s="13">
        <f t="shared" si="3"/>
        <v>-9.6427963242111375E-3</v>
      </c>
      <c r="G10" s="14">
        <v>158062</v>
      </c>
      <c r="H10" s="14">
        <f t="shared" si="1"/>
        <v>-1039.875</v>
      </c>
      <c r="I10" s="15">
        <f t="shared" si="2"/>
        <v>-6.5789057458465663E-3</v>
      </c>
      <c r="J10" s="39" t="s">
        <v>91</v>
      </c>
      <c r="K10" s="77" t="s">
        <v>92</v>
      </c>
      <c r="L10" s="80" t="s">
        <v>93</v>
      </c>
    </row>
    <row r="11" spans="1:13" ht="32.25" customHeight="1">
      <c r="A11" s="28" t="str">
        <v>Cherryfield - 727 North Main St (IRA)</v>
      </c>
      <c r="B11" s="29" t="str">
        <v>ME</v>
      </c>
      <c r="C11" s="11">
        <v>444151.3125</v>
      </c>
      <c r="D11" s="16">
        <v>480778.1</v>
      </c>
      <c r="E11" s="16">
        <f t="shared" si="0"/>
        <v>-36626.787499999977</v>
      </c>
      <c r="F11" s="17">
        <f t="shared" si="3"/>
        <v>-7.6182312588697315E-2</v>
      </c>
      <c r="G11" s="18">
        <v>431765.9</v>
      </c>
      <c r="H11" s="18">
        <f t="shared" si="1"/>
        <v>12385.412499999977</v>
      </c>
      <c r="I11" s="17">
        <f t="shared" si="2"/>
        <v>2.8685480951598948E-2</v>
      </c>
      <c r="J11" s="40" t="s">
        <v>94</v>
      </c>
      <c r="K11" s="95" t="s">
        <v>95</v>
      </c>
    </row>
    <row r="12" spans="1:13" ht="14.45">
      <c r="A12" s="19"/>
      <c r="B12" s="31"/>
      <c r="C12" s="19"/>
      <c r="D12" s="19"/>
      <c r="E12" s="19"/>
      <c r="F12" s="20"/>
      <c r="G12" s="19"/>
      <c r="H12" s="19"/>
      <c r="I12" s="20"/>
      <c r="J12" s="19"/>
      <c r="K12" s="19"/>
    </row>
    <row r="13" spans="1:13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3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3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3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102825" xr:uid="{9667ECA8-E780-4EB2-A07A-A438130F1CFB}"/>
    <hyperlink ref="L4" r:id="rId2" display="https://us3.assetplanner.com/service_request?ID=103332" xr:uid="{CD2B8180-4760-4141-80D2-330264C8BBC2}"/>
    <hyperlink ref="M4" r:id="rId3" display="https://us3.assetplanner.com/service_request?ID=102780" xr:uid="{70E3ADB4-22EB-49E0-BA5D-CE8B7113D431}"/>
    <hyperlink ref="K5" r:id="rId4" display="https://us3.assetplanner.com/service_request?ID=103230" xr:uid="{FFE01AEC-CF80-4169-919A-B67616120F93}"/>
    <hyperlink ref="K6" r:id="rId5" display="https://us3.assetplanner.com/service_request?ID=099647" xr:uid="{4B7F61D8-1FE6-48E0-8534-626FC8A107B2}"/>
    <hyperlink ref="K8" r:id="rId6" display="https://us3.assetplanner.com/service_request?ID=102549" xr:uid="{A08A3296-220D-41D6-9F02-C202EBAE3C73}"/>
    <hyperlink ref="L8" r:id="rId7" display="https://us3.assetplanner.com/service_request?ID=102549" xr:uid="{5B1875FD-E723-41AA-9CB3-E43B15726B1A}"/>
    <hyperlink ref="M8" r:id="rId8" display="https://us3.assetplanner.com/service_request?ID=102969" xr:uid="{B90D8A11-BDEF-414F-A26F-2A3C593BB5BD}"/>
    <hyperlink ref="K9" r:id="rId9" display="https://us3.assetplanner.com/service_request?ID=102971" xr:uid="{3CFB106F-1AAC-4FED-922F-E24A454758D1}"/>
    <hyperlink ref="L9" r:id="rId10" display="https://us3.assetplanner.com/service_request?ID=102367" xr:uid="{70744FBB-2AA7-40FB-A180-6C1112574DFD}"/>
    <hyperlink ref="M9" r:id="rId11" display="https://us3.assetplanner.com/service_request?ID=102061" xr:uid="{CA005B80-DC3D-4F1F-88BA-A1167BD4C94C}"/>
    <hyperlink ref="K10" r:id="rId12" display="https://us3.assetplanner.com/service_request?ID=103058" xr:uid="{E80CAA11-72D8-47FC-AE57-21677884C907}"/>
    <hyperlink ref="L10" r:id="rId13" display="https://us3.assetplanner.com/service_request?ID=103397" xr:uid="{D35E4B52-9377-4AFC-87C4-2EAB4655D16C}"/>
    <hyperlink ref="K11" r:id="rId14" display="https://us3.assetplanner.com/service_request?ID=103383" xr:uid="{BCDBFC43-1667-43B1-9A37-87F211BEFDED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D10" sqref="D10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8" t="str" cm="1">
        <f t="array" ref="A1">portfolio</f>
        <v>ALIGNED</v>
      </c>
      <c r="B1" s="98"/>
      <c r="C1" s="98"/>
      <c r="D1" s="99" t="s">
        <v>96</v>
      </c>
      <c r="E1" s="99"/>
      <c r="F1" s="99"/>
      <c r="G1" s="97" t="s">
        <v>97</v>
      </c>
      <c r="H1" s="97"/>
      <c r="I1" s="97"/>
      <c r="J1" s="4"/>
      <c r="K1" s="4"/>
    </row>
    <row r="2" spans="1:11" ht="19.5" customHeight="1">
      <c r="A2" s="100" t="s">
        <v>2</v>
      </c>
      <c r="B2" s="100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93" customHeight="1">
      <c r="A4" s="30" t="str" cm="1">
        <f t="array" ref="A4:A11">Sites[Site]</f>
        <v>Conway -US 302 and Stirch Road</v>
      </c>
      <c r="B4" s="27" t="str" cm="1">
        <f t="array" ref="B4:B11">Sites[State]</f>
        <v>NH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Loudon - 7046 Pleasant Street</v>
      </c>
      <c r="B5" s="29" t="str">
        <v>NH</v>
      </c>
      <c r="C5" s="11"/>
      <c r="D5" s="16"/>
      <c r="E5" s="16" t="str">
        <f t="shared" ref="E5:E7" si="0">IF(AND(ISNUMBER(C5),ISNUMBER(D5)), C5-D5, "")</f>
        <v/>
      </c>
      <c r="F5" s="17" t="str">
        <f>IFERROR(E5/D5, "")</f>
        <v/>
      </c>
      <c r="G5" s="18"/>
      <c r="H5" s="18" t="str">
        <f t="shared" ref="H5:H7" si="1">IF(AND(ISNUMBER(C5),ISNUMBER(G5)), C5-G5, "")</f>
        <v/>
      </c>
      <c r="I5" s="17" t="str">
        <f t="shared" ref="I5:I7" si="2">IFERROR(H5/G5, "")</f>
        <v/>
      </c>
      <c r="J5" s="54"/>
      <c r="K5" s="54"/>
    </row>
    <row r="6" spans="1:11" ht="100.5" customHeight="1">
      <c r="A6" s="26" t="str">
        <v>Nashua - Pennichuck Water  East</v>
      </c>
      <c r="B6" s="27" t="str">
        <v>NH</v>
      </c>
      <c r="C6" s="22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51.75" customHeight="1">
      <c r="A7" s="28" t="str">
        <v>Nashua - Pennichuck Water West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53"/>
      <c r="K7" s="56"/>
    </row>
    <row r="8" spans="1:11" ht="14.45">
      <c r="A8" s="19" t="str">
        <v>Boothbay - Wiscasset Road</v>
      </c>
      <c r="B8" s="31" t="str">
        <v>ME</v>
      </c>
      <c r="C8" s="19"/>
      <c r="D8" s="19"/>
      <c r="E8" s="19"/>
      <c r="F8" s="19"/>
      <c r="G8" s="19"/>
      <c r="H8" s="19"/>
      <c r="I8" s="19"/>
      <c r="J8" s="19"/>
      <c r="K8" s="19"/>
    </row>
    <row r="9" spans="1:11" ht="14.45">
      <c r="A9" s="19" t="str">
        <v>Thorndike -  Leonard Road</v>
      </c>
      <c r="B9" s="31" t="str">
        <v>ME</v>
      </c>
      <c r="C9" s="19"/>
      <c r="D9" s="19"/>
      <c r="E9" s="19"/>
      <c r="F9" s="19"/>
      <c r="G9" s="19"/>
      <c r="H9" s="19"/>
      <c r="I9" s="19"/>
      <c r="J9" s="19"/>
      <c r="K9" s="19"/>
    </row>
    <row r="10" spans="1:11" ht="14.45">
      <c r="A10" s="19" t="str">
        <v>Topsham - Solarize LLC</v>
      </c>
      <c r="B10" s="31" t="str">
        <v>ME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4.45">
      <c r="A11" s="19" t="str">
        <v>Cherryfield - 727 North Main St (IRA)</v>
      </c>
      <c r="B11" s="31" t="str">
        <v>ME</v>
      </c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31"/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sortState xmlns:xlrd2="http://schemas.microsoft.com/office/spreadsheetml/2017/richdata2" ref="A3:K7">
    <sortCondition ref="A3:A7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D10" sqref="D10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8" t="str" cm="1">
        <f t="array" ref="A1">portfolio</f>
        <v>ALIGNED</v>
      </c>
      <c r="B1" s="98"/>
      <c r="C1" s="98"/>
      <c r="D1" s="99" t="s">
        <v>98</v>
      </c>
      <c r="E1" s="99"/>
      <c r="F1" s="99"/>
      <c r="G1" s="97" t="s">
        <v>99</v>
      </c>
      <c r="H1" s="97"/>
      <c r="I1" s="97"/>
      <c r="J1" s="4"/>
      <c r="K1" s="4"/>
    </row>
    <row r="2" spans="1:11" ht="19.5" customHeight="1">
      <c r="A2" s="100" t="s">
        <v>2</v>
      </c>
      <c r="B2" s="100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70.5" customHeight="1">
      <c r="A4" s="30" t="str" cm="1">
        <f t="array" ref="A4:A11">Sites[Site]</f>
        <v>Conway -US 302 and Stirch Road</v>
      </c>
      <c r="B4" s="27" t="str" cm="1">
        <f t="array" ref="B4:B11">Sites[State]</f>
        <v>NH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57" customHeight="1">
      <c r="A5" s="28" t="str">
        <v>Loudon - 7046 Pleasant Street</v>
      </c>
      <c r="B5" s="29" t="str">
        <v>NH</v>
      </c>
      <c r="C5" s="11"/>
      <c r="D5" s="16"/>
      <c r="E5" s="16" t="str">
        <f t="shared" ref="E5:E7" si="0">IF(AND(ISNUMBER(C5),ISNUMBER(D5)), C5-D5, "")</f>
        <v/>
      </c>
      <c r="F5" s="17" t="str">
        <f>IFERROR(E5/D5, "")</f>
        <v/>
      </c>
      <c r="G5" s="18"/>
      <c r="H5" s="18" t="str">
        <f t="shared" ref="H5:H7" si="1">IF(AND(ISNUMBER(C5),ISNUMBER(G5)), C5-G5, "")</f>
        <v/>
      </c>
      <c r="I5" s="17" t="str">
        <f t="shared" ref="I5:I7" si="2">IFERROR(H5/G5, "")</f>
        <v/>
      </c>
      <c r="J5" s="53"/>
      <c r="K5" s="53"/>
    </row>
    <row r="6" spans="1:11" ht="66" customHeight="1">
      <c r="A6" s="26" t="str">
        <v>Nashua - Pennichuck Water  East</v>
      </c>
      <c r="B6" s="27" t="str">
        <v>NH</v>
      </c>
      <c r="C6" s="22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35.25" customHeight="1">
      <c r="A7" s="28" t="str">
        <v>Nashua - Pennichuck Water West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54"/>
      <c r="K7" s="55"/>
    </row>
    <row r="8" spans="1:11" ht="14.45">
      <c r="A8" s="19" t="str">
        <v>Boothbay - Wiscasset Road</v>
      </c>
      <c r="B8" s="31" t="str">
        <v>ME</v>
      </c>
      <c r="C8" s="19"/>
      <c r="D8" s="19"/>
      <c r="E8" s="19"/>
      <c r="F8" s="19"/>
      <c r="G8" s="19"/>
      <c r="H8" s="19"/>
      <c r="I8" s="19"/>
      <c r="J8" s="19"/>
      <c r="K8" s="19"/>
    </row>
    <row r="9" spans="1:11" ht="14.45">
      <c r="A9" s="19" t="str">
        <v>Thorndike -  Leonard Road</v>
      </c>
      <c r="B9" s="31" t="str">
        <v>ME</v>
      </c>
      <c r="C9" s="19"/>
      <c r="D9" s="19"/>
      <c r="E9" s="19"/>
      <c r="F9" s="19"/>
      <c r="G9" s="19"/>
      <c r="H9" s="19"/>
      <c r="I9" s="19"/>
      <c r="J9" s="19"/>
      <c r="K9" s="19"/>
    </row>
    <row r="10" spans="1:11" ht="14.45">
      <c r="A10" s="19" t="str">
        <v>Topsham - Solarize LLC</v>
      </c>
      <c r="B10" s="31" t="str">
        <v>ME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4.45">
      <c r="A11" s="19" t="str">
        <v>Cherryfield - 727 North Main St (IRA)</v>
      </c>
      <c r="B11" s="31" t="str">
        <v>ME</v>
      </c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31"/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bottomRight" activeCell="D10" sqref="D10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8" t="str" cm="1">
        <f t="array" ref="A1">portfolio</f>
        <v>ALIGNED</v>
      </c>
      <c r="B1" s="98"/>
      <c r="C1" s="98"/>
      <c r="D1" s="99" t="s">
        <v>100</v>
      </c>
      <c r="E1" s="99"/>
      <c r="F1" s="99"/>
      <c r="G1" s="97" t="s">
        <v>101</v>
      </c>
      <c r="H1" s="97"/>
      <c r="I1" s="97"/>
      <c r="J1" s="4"/>
      <c r="K1" s="4"/>
    </row>
    <row r="2" spans="1:11" ht="19.5" customHeight="1">
      <c r="A2" s="100" t="s">
        <v>2</v>
      </c>
      <c r="B2" s="100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33.75" customHeight="1">
      <c r="A4" s="30" t="str" cm="1">
        <f t="array" ref="A4:A11">Sites[Site]</f>
        <v>Conway -US 302 and Stirch Road</v>
      </c>
      <c r="B4" s="27" t="str" cm="1">
        <f t="array" ref="B4:B11">Sites[State]</f>
        <v>NH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Loudon - 7046 Pleasant Street</v>
      </c>
      <c r="B5" s="29" t="str">
        <v>NH</v>
      </c>
      <c r="C5" s="11"/>
      <c r="D5" s="16"/>
      <c r="E5" s="16" t="str">
        <f t="shared" ref="E5:E7" si="0">IF(AND(ISNUMBER(C5),ISNUMBER(D5)), C5-D5, "")</f>
        <v/>
      </c>
      <c r="F5" s="17" t="str">
        <f>IFERROR(E5/D5, "")</f>
        <v/>
      </c>
      <c r="G5" s="18"/>
      <c r="H5" s="18" t="str">
        <f t="shared" ref="H5:H7" si="1">IF(AND(ISNUMBER(C5),ISNUMBER(G5)), C5-G5, "")</f>
        <v/>
      </c>
      <c r="I5" s="17" t="str">
        <f t="shared" ref="I5:I7" si="2">IFERROR(H5/G5, "")</f>
        <v/>
      </c>
      <c r="J5" s="40"/>
      <c r="K5" s="40"/>
    </row>
    <row r="6" spans="1:11" ht="15.6">
      <c r="A6" s="26" t="str">
        <v>Nashua - Pennichuck Water  East</v>
      </c>
      <c r="B6" s="27" t="str">
        <v>NH</v>
      </c>
      <c r="C6" s="22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6">
      <c r="A7" s="28" t="str">
        <v>Nashua - Pennichuck Water West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4.45">
      <c r="A8" s="19" t="str">
        <v>Boothbay - Wiscasset Road</v>
      </c>
      <c r="B8" s="31" t="str">
        <v>ME</v>
      </c>
      <c r="C8" s="19"/>
      <c r="D8" s="19"/>
      <c r="E8" s="19"/>
      <c r="F8" s="19"/>
      <c r="G8" s="19"/>
      <c r="H8" s="19"/>
      <c r="I8" s="19"/>
      <c r="J8" s="19"/>
      <c r="K8" s="19"/>
    </row>
    <row r="9" spans="1:11" ht="14.45">
      <c r="A9" s="19" t="str">
        <v>Thorndike -  Leonard Road</v>
      </c>
      <c r="B9" s="31" t="str">
        <v>ME</v>
      </c>
      <c r="C9" s="19"/>
      <c r="D9" s="19"/>
      <c r="E9" s="19"/>
      <c r="F9" s="19"/>
      <c r="G9" s="19"/>
      <c r="H9" s="19"/>
      <c r="I9" s="19"/>
      <c r="J9" s="19"/>
      <c r="K9" s="19"/>
    </row>
    <row r="10" spans="1:11" ht="14.45">
      <c r="A10" s="19" t="str">
        <v>Topsham - Solarize LLC</v>
      </c>
      <c r="B10" s="31" t="str">
        <v>ME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4.45">
      <c r="A11" s="19" t="str">
        <v>Cherryfield - 727 North Main St (IRA)</v>
      </c>
      <c r="B11" s="31" t="str">
        <v>ME</v>
      </c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31"/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bottomRight" activeCell="D10" sqref="D10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8" t="str" cm="1">
        <f t="array" ref="A1">portfolio</f>
        <v>ALIGNED</v>
      </c>
      <c r="B1" s="98"/>
      <c r="C1" s="98"/>
      <c r="D1" s="99" t="s">
        <v>102</v>
      </c>
      <c r="E1" s="99"/>
      <c r="F1" s="99"/>
      <c r="G1" s="97" t="s">
        <v>103</v>
      </c>
      <c r="H1" s="97"/>
      <c r="I1" s="97"/>
      <c r="J1" s="4"/>
      <c r="K1" s="4"/>
    </row>
    <row r="2" spans="1:11" ht="19.5" customHeight="1">
      <c r="A2" s="100" t="s">
        <v>2</v>
      </c>
      <c r="B2" s="100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1">Sites[Site]</f>
        <v>Conway -US 302 and Stirch Road</v>
      </c>
      <c r="B4" s="27" t="str" cm="1">
        <f t="array" ref="B4:B11">Sites[State]</f>
        <v>NH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Loudon - 7046 Pleasant Street</v>
      </c>
      <c r="B5" s="29" t="str">
        <v>NH</v>
      </c>
      <c r="C5" s="11"/>
      <c r="D5" s="16"/>
      <c r="E5" s="16" t="str">
        <f t="shared" ref="E5:E7" si="0">IF(AND(ISNUMBER(C5),ISNUMBER(D5)), C5-D5, "")</f>
        <v/>
      </c>
      <c r="F5" s="17" t="str">
        <f>IFERROR(E5/D5, "")</f>
        <v/>
      </c>
      <c r="G5" s="18"/>
      <c r="H5" s="18" t="str">
        <f t="shared" ref="H5:H7" si="1">IF(AND(ISNUMBER(C5),ISNUMBER(G5)), C5-G5, "")</f>
        <v/>
      </c>
      <c r="I5" s="17" t="str">
        <f t="shared" ref="I5:I7" si="2">IFERROR(H5/G5, "")</f>
        <v/>
      </c>
      <c r="J5" s="40"/>
      <c r="K5" s="40"/>
    </row>
    <row r="6" spans="1:11" ht="15.6">
      <c r="A6" s="26" t="str">
        <v>Nashua - Pennichuck Water  East</v>
      </c>
      <c r="B6" s="27" t="str">
        <v>NH</v>
      </c>
      <c r="C6" s="22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6">
      <c r="A7" s="28" t="str">
        <v>Nashua - Pennichuck Water West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54"/>
      <c r="K7" s="55"/>
    </row>
    <row r="8" spans="1:11" ht="14.45">
      <c r="A8" s="19" t="str">
        <v>Boothbay - Wiscasset Road</v>
      </c>
      <c r="B8" s="31" t="str">
        <v>ME</v>
      </c>
      <c r="C8" s="19"/>
      <c r="D8" s="19"/>
      <c r="E8" s="19"/>
      <c r="F8" s="19"/>
      <c r="G8" s="19"/>
      <c r="H8" s="19"/>
      <c r="I8" s="19"/>
      <c r="J8" s="19"/>
      <c r="K8" s="19"/>
    </row>
    <row r="9" spans="1:11" ht="14.45">
      <c r="A9" s="19" t="str">
        <v>Thorndike -  Leonard Road</v>
      </c>
      <c r="B9" s="31" t="str">
        <v>ME</v>
      </c>
      <c r="C9" s="19"/>
      <c r="D9" s="19"/>
      <c r="E9" s="19"/>
      <c r="F9" s="19"/>
      <c r="G9" s="19"/>
      <c r="H9" s="19"/>
      <c r="I9" s="19"/>
      <c r="J9" s="19"/>
      <c r="K9" s="19"/>
    </row>
    <row r="10" spans="1:11" ht="14.45">
      <c r="A10" s="19" t="str">
        <v>Topsham - Solarize LLC</v>
      </c>
      <c r="B10" s="31" t="str">
        <v>ME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4.45">
      <c r="A11" s="19" t="str">
        <v>Cherryfield - 727 North Main St (IRA)</v>
      </c>
      <c r="B11" s="31" t="str">
        <v>ME</v>
      </c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31"/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D10" sqref="D10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8" t="str" cm="1">
        <f t="array" ref="A1">portfolio</f>
        <v>ALIGNED</v>
      </c>
      <c r="B1" s="98"/>
      <c r="C1" s="98"/>
      <c r="D1" s="99" t="s">
        <v>104</v>
      </c>
      <c r="E1" s="99"/>
      <c r="F1" s="99"/>
      <c r="G1" s="97" t="s">
        <v>105</v>
      </c>
      <c r="H1" s="97"/>
      <c r="I1" s="97"/>
      <c r="J1" s="4"/>
      <c r="K1" s="4"/>
    </row>
    <row r="2" spans="1:11" ht="19.5" customHeight="1">
      <c r="A2" s="100" t="s">
        <v>2</v>
      </c>
      <c r="B2" s="100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60" customHeight="1">
      <c r="A4" s="30" t="str" cm="1">
        <f t="array" ref="A4:A11">Sites[Site]</f>
        <v>Conway -US 302 and Stirch Road</v>
      </c>
      <c r="B4" s="27" t="str" cm="1">
        <f t="array" ref="B4:B11">Sites[State]</f>
        <v>NH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Loudon - 7046 Pleasant Street</v>
      </c>
      <c r="B5" s="29" t="str">
        <v>NH</v>
      </c>
      <c r="C5" s="11"/>
      <c r="D5" s="16"/>
      <c r="E5" s="16" t="str">
        <f t="shared" ref="E5:E7" si="0">IF(AND(ISNUMBER(C5),ISNUMBER(D5)), C5-D5, "")</f>
        <v/>
      </c>
      <c r="F5" s="17" t="str">
        <f>IFERROR(E5/D5, "")</f>
        <v/>
      </c>
      <c r="G5" s="18"/>
      <c r="H5" s="18" t="str">
        <f t="shared" ref="H5:H7" si="1">IF(AND(ISNUMBER(C5),ISNUMBER(G5)), C5-G5, "")</f>
        <v/>
      </c>
      <c r="I5" s="17" t="str">
        <f t="shared" ref="I5:I7" si="2">IFERROR(H5/G5, "")</f>
        <v/>
      </c>
      <c r="J5" s="40"/>
      <c r="K5" s="40"/>
    </row>
    <row r="6" spans="1:11" ht="15.6">
      <c r="A6" s="26" t="str">
        <v>Nashua - Pennichuck Water  East</v>
      </c>
      <c r="B6" s="27" t="str">
        <v>NH</v>
      </c>
      <c r="C6" s="22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6">
      <c r="A7" s="28" t="str">
        <v>Nashua - Pennichuck Water West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57"/>
    </row>
    <row r="8" spans="1:11" ht="14.45">
      <c r="A8" s="19" t="str">
        <v>Boothbay - Wiscasset Road</v>
      </c>
      <c r="B8" s="31" t="str">
        <v>ME</v>
      </c>
      <c r="C8" s="19"/>
      <c r="D8" s="19"/>
      <c r="E8" s="19"/>
      <c r="F8" s="19"/>
      <c r="G8" s="19"/>
      <c r="H8" s="19"/>
      <c r="I8" s="19"/>
      <c r="J8" s="19"/>
      <c r="K8" s="19"/>
    </row>
    <row r="9" spans="1:11" ht="14.45">
      <c r="A9" s="19" t="str">
        <v>Thorndike -  Leonard Road</v>
      </c>
      <c r="B9" s="31" t="str">
        <v>ME</v>
      </c>
      <c r="C9" s="19"/>
      <c r="D9" s="19"/>
      <c r="E9" s="19"/>
      <c r="F9" s="19"/>
      <c r="G9" s="19"/>
      <c r="H9" s="19"/>
      <c r="I9" s="19"/>
      <c r="J9" s="19"/>
      <c r="K9" s="19"/>
    </row>
    <row r="10" spans="1:11" ht="14.45">
      <c r="A10" s="19" t="str">
        <v>Topsham - Solarize LLC</v>
      </c>
      <c r="B10" s="31" t="str">
        <v>ME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4.45">
      <c r="A11" s="19" t="str">
        <v>Cherryfield - 727 North Main St (IRA)</v>
      </c>
      <c r="B11" s="31" t="str">
        <v>ME</v>
      </c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31"/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bottomRight" activeCell="D10" sqref="D10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8" t="str" cm="1">
        <f t="array" ref="A1">portfolio</f>
        <v>ALIGNED</v>
      </c>
      <c r="B1" s="98"/>
      <c r="C1" s="98"/>
      <c r="D1" s="99" t="s">
        <v>106</v>
      </c>
      <c r="E1" s="99"/>
      <c r="F1" s="99"/>
      <c r="G1" s="97" t="s">
        <v>107</v>
      </c>
      <c r="H1" s="97"/>
      <c r="I1" s="97"/>
      <c r="J1" s="4"/>
      <c r="K1" s="4"/>
    </row>
    <row r="2" spans="1:11" ht="19.5" customHeight="1">
      <c r="A2" s="100" t="s">
        <v>2</v>
      </c>
      <c r="B2" s="100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1">Sites[Site]</f>
        <v>Conway -US 302 and Stirch Road</v>
      </c>
      <c r="B4" s="27" t="str" cm="1">
        <f t="array" ref="B4:B11">Sites[State]</f>
        <v>NH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Loudon - 7046 Pleasant Street</v>
      </c>
      <c r="B5" s="29" t="str">
        <v>NH</v>
      </c>
      <c r="C5" s="11"/>
      <c r="D5" s="16"/>
      <c r="E5" s="16" t="str">
        <f t="shared" ref="E5:E7" si="0">IF(AND(ISNUMBER(C5),ISNUMBER(D5)), C5-D5, "")</f>
        <v/>
      </c>
      <c r="F5" s="17" t="str">
        <f>IFERROR(E5/D5, "")</f>
        <v/>
      </c>
      <c r="G5" s="18"/>
      <c r="H5" s="18" t="str">
        <f t="shared" ref="H5:H7" si="1">IF(AND(ISNUMBER(C5),ISNUMBER(G5)), C5-G5, "")</f>
        <v/>
      </c>
      <c r="I5" s="17" t="str">
        <f t="shared" ref="I5:I7" si="2">IFERROR(H5/G5, "")</f>
        <v/>
      </c>
      <c r="J5" s="40"/>
      <c r="K5" s="40"/>
    </row>
    <row r="6" spans="1:11" ht="15.6">
      <c r="A6" s="26" t="str">
        <v>Nashua - Pennichuck Water  East</v>
      </c>
      <c r="B6" s="27" t="str">
        <v>NH</v>
      </c>
      <c r="C6" s="22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6">
      <c r="A7" s="28" t="str">
        <v>Nashua - Pennichuck Water West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4.45">
      <c r="A8" s="19" t="str">
        <v>Boothbay - Wiscasset Road</v>
      </c>
      <c r="B8" s="31" t="str">
        <v>ME</v>
      </c>
      <c r="C8" s="19"/>
      <c r="D8" s="19"/>
      <c r="E8" s="19"/>
      <c r="F8" s="19"/>
      <c r="G8" s="19"/>
      <c r="H8" s="19"/>
      <c r="I8" s="19"/>
      <c r="J8" s="19"/>
      <c r="K8" s="19"/>
    </row>
    <row r="9" spans="1:11" ht="14.45">
      <c r="A9" s="19" t="str">
        <v>Thorndike -  Leonard Road</v>
      </c>
      <c r="B9" s="31" t="str">
        <v>ME</v>
      </c>
      <c r="C9" s="19"/>
      <c r="D9" s="19"/>
      <c r="E9" s="19"/>
      <c r="F9" s="19"/>
      <c r="G9" s="19"/>
      <c r="H9" s="19"/>
      <c r="I9" s="19"/>
      <c r="J9" s="19"/>
      <c r="K9" s="19"/>
    </row>
    <row r="10" spans="1:11" ht="14.45">
      <c r="A10" s="19" t="str">
        <v>Topsham - Solarize LLC</v>
      </c>
      <c r="B10" s="31" t="str">
        <v>ME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4.45">
      <c r="A11" s="19" t="str">
        <v>Cherryfield - 727 North Main St (IRA)</v>
      </c>
      <c r="B11" s="31" t="str">
        <v>ME</v>
      </c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31"/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2"/>
  <sheetViews>
    <sheetView workbookViewId="0">
      <pane ySplit="3" topLeftCell="A4" activePane="bottomLeft" state="frozen"/>
      <selection pane="bottomLeft" activeCell="E14" sqref="E1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108</v>
      </c>
      <c r="B1" t="s">
        <v>109</v>
      </c>
    </row>
    <row r="3" spans="1:12" ht="13.15">
      <c r="A3" t="s">
        <v>110</v>
      </c>
      <c r="B3" t="s">
        <v>3</v>
      </c>
      <c r="C3" t="s">
        <v>4</v>
      </c>
      <c r="D3" t="s">
        <v>111</v>
      </c>
      <c r="E3" s="2" t="s">
        <v>112</v>
      </c>
    </row>
    <row r="4" spans="1:12" ht="14.45">
      <c r="A4" s="48" t="s">
        <v>113</v>
      </c>
      <c r="B4" t="s">
        <v>114</v>
      </c>
      <c r="C4" s="45" t="s">
        <v>115</v>
      </c>
      <c r="D4" s="44" t="s">
        <v>116</v>
      </c>
      <c r="E4" s="51" t="s">
        <v>117</v>
      </c>
      <c r="G4" s="3"/>
    </row>
    <row r="5" spans="1:12" ht="14.45">
      <c r="A5" s="48" t="s">
        <v>118</v>
      </c>
      <c r="B5" t="s">
        <v>119</v>
      </c>
      <c r="C5" s="45" t="s">
        <v>115</v>
      </c>
      <c r="D5" s="44" t="s">
        <v>116</v>
      </c>
      <c r="E5" s="48" t="s">
        <v>117</v>
      </c>
      <c r="G5" s="3"/>
    </row>
    <row r="6" spans="1:12" ht="14.45">
      <c r="A6" s="48" t="s">
        <v>120</v>
      </c>
      <c r="B6" t="s">
        <v>121</v>
      </c>
      <c r="C6" s="45" t="s">
        <v>115</v>
      </c>
      <c r="D6" s="44" t="s">
        <v>116</v>
      </c>
      <c r="E6" s="51" t="s">
        <v>117</v>
      </c>
      <c r="G6" s="3"/>
    </row>
    <row r="7" spans="1:12" ht="12.75" customHeight="1">
      <c r="A7" s="48" t="s">
        <v>122</v>
      </c>
      <c r="B7" t="s">
        <v>123</v>
      </c>
      <c r="C7" s="45" t="s">
        <v>115</v>
      </c>
      <c r="D7" s="44" t="s">
        <v>116</v>
      </c>
      <c r="E7" s="48" t="s">
        <v>117</v>
      </c>
    </row>
    <row r="8" spans="1:12" ht="12.75" customHeight="1">
      <c r="A8" s="82" t="s">
        <v>124</v>
      </c>
      <c r="B8" s="83" t="s">
        <v>125</v>
      </c>
      <c r="C8" s="45" t="s">
        <v>126</v>
      </c>
      <c r="E8" s="48" t="s">
        <v>117</v>
      </c>
      <c r="K8" s="42"/>
      <c r="L8" s="42"/>
    </row>
    <row r="9" spans="1:12" ht="12.75" customHeight="1">
      <c r="A9" s="82" t="s">
        <v>127</v>
      </c>
      <c r="B9" s="83" t="s">
        <v>128</v>
      </c>
      <c r="C9" s="45" t="s">
        <v>126</v>
      </c>
      <c r="E9" s="48" t="s">
        <v>117</v>
      </c>
      <c r="K9" s="42"/>
      <c r="L9" s="42"/>
    </row>
    <row r="10" spans="1:12" ht="12.75" customHeight="1">
      <c r="A10" s="82" t="s">
        <v>129</v>
      </c>
      <c r="B10" s="83" t="s">
        <v>130</v>
      </c>
      <c r="C10" s="45" t="s">
        <v>126</v>
      </c>
      <c r="E10" s="48" t="s">
        <v>117</v>
      </c>
      <c r="K10" s="42"/>
      <c r="L10" s="42"/>
    </row>
    <row r="11" spans="1:12" ht="12.75" customHeight="1">
      <c r="A11" s="82" t="s">
        <v>131</v>
      </c>
      <c r="B11" s="83" t="s">
        <v>132</v>
      </c>
      <c r="C11" s="45" t="s">
        <v>126</v>
      </c>
      <c r="E11" s="48" t="s">
        <v>117</v>
      </c>
      <c r="K11" s="42"/>
      <c r="L11" s="42"/>
    </row>
    <row r="12" spans="1:12" ht="12.75" customHeight="1">
      <c r="K12" s="42"/>
      <c r="L12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2EFA50-0068-4A8C-85A0-F1B26389EBC3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98A113BB-8B7A-453C-8BD4-8EFC67FC2D3F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BF5C6359-7763-4C37-8EAF-2BC4698CB285}"/>
</file>

<file path=customXml/itemProps7.xml><?xml version="1.0" encoding="utf-8"?>
<ds:datastoreItem xmlns:ds="http://schemas.openxmlformats.org/officeDocument/2006/customXml" ds:itemID="{E20E8303-6A67-485C-B6F4-303542CC295C}"/>
</file>

<file path=customXml/itemProps8.xml><?xml version="1.0" encoding="utf-8"?>
<ds:datastoreItem xmlns:ds="http://schemas.openxmlformats.org/officeDocument/2006/customXml" ds:itemID="{8D732231-4216-4543-A665-18A2886B0EB7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E3716282-BFD2-4ED2-BA47-BFA1123827F0}"/>
</file>

<file path=customXml/itemProps12.xml><?xml version="1.0" encoding="utf-8"?>
<ds:datastoreItem xmlns:ds="http://schemas.openxmlformats.org/officeDocument/2006/customXml" ds:itemID="{2BC74AAC-D69B-4AF1-9649-B21EF3C1C463}"/>
</file>

<file path=customXml/itemProps13.xml><?xml version="1.0" encoding="utf-8"?>
<ds:datastoreItem xmlns:ds="http://schemas.openxmlformats.org/officeDocument/2006/customXml" ds:itemID="{D3A7101F-9A85-4235-8B03-415370C100B2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078388C9-06F9-42F4-B857-EF76B5CAF1FD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F6B2B1A1-1C4B-4AC9-9A7D-7A102DD1C942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1FAF7E9D-1E58-4E94-8D73-4CFD67D4E1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2025-07-10T07:49:37Z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