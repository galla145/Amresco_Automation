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A8F90CB-2C6C-4574-9FDE-750E6631AF42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I4" i="2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<sst xmlns="http://schemas.openxmlformats.org/spreadsheetml/2006/main" count="266" uniqueCount="73">
  <si>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</si>
  <si>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</si>
  <si>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</si>
  <si>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</si>
  <si>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</si>
  <si>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</si>
  <si>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</si>
  <si>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</si>
  <si>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</si>
  <si>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</si>
  <si>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</si>
  <si>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</si>
  <si>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</si>
  <si>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</si>
  <si>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</si>
  <si>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</si>
  <si>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</si>
  <si>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</si>
  <si>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</si>
  <si>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</si>
  <si>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</si>
  <si>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</si>
  <si>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</si>
  <si>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1.All trackers were stuck since 12/19/24.</t>
  </si>
  <si>
    <t>1.SR092973</t>
  </si>
  <si>
    <t>February Actual v. Expected</t>
  </si>
  <si>
    <t>February Actual v. Forecasted</t>
  </si>
  <si>
    <t>March Actual v. Expected</t>
  </si>
  <si>
    <t>March Actual v. Forecasted</t>
  </si>
  <si>
    <t>1.Inverter 2 tripped offline at 16:00 on 03/02 due to Grid Line Voltage Out of Range and back online at 8:45AM on 03/03. Again tripped offline from 12:00PM to 12:45PM on 03/11 due to Grid Line Voltage Out of Range.
2.Site tripped offline at 17:00 on 03/30 due to storm and remained offline whole month.
3.All trackers were stuck since 12/19/24 and Volmont site team working on trackers.</t>
  </si>
  <si>
    <t>1.SR097973
2.SR099153
3.SR092973</t>
  </si>
  <si>
    <t>April Actual v. Expected</t>
  </si>
  <si>
    <t>April Actual v. Forecasted</t>
  </si>
  <si>
    <t>1. The site tripped offline at 17:00 on 03/30 and came back online at 14:15 on 04/07.
2. Inverter 4 tripped offline at 17:30 on 04/29 due to a 'Grid Line Voltage Out of Range' error. A technician was on-site on 04/30 and swapped the powerheads of Inverter 3 and Inverter 4 to check if the fault reoccurs. The inverter came back online at 09:00 on 04/30.
3. All trackers are not tracking.</t>
  </si>
  <si>
    <t>1. SR099153
2. SR100671
3. SR099992</t>
  </si>
  <si>
    <t>May Actual v. Expected</t>
  </si>
  <si>
    <t>May Actual v. Forecasted</t>
  </si>
  <si>
    <t>1. Inverter 2 tripped offline at 11:30 on 05/15 due to "Grid Line Voltage Out of Range - GridV.OutLim". A technician was on-site on 05/16 and reset the inverter, which came back online at 13:00 on 05/16. The inverter tripped offline again at 16:00 on 05/19.
2. Inverter 4 tripped offline at 16:00 on 05/15 due to "Grid Line Voltage Out of Range - GridV.OutLim", came back online at 12:00 on 05/16, and is currently being RMA’d.
3. All trackers are not tracking.</t>
  </si>
  <si>
    <t>1. SR101477
2. SR101551
3. SR099992</t>
  </si>
  <si>
    <t>June Actual v. Expected</t>
  </si>
  <si>
    <t>June Actual v. Forecasted</t>
  </si>
  <si>
    <t>1. Inverter 2 tripped offline  at 16:00 from 05/19.  inverter came back online on 06/06. And again inverter 2 tripped offline again 12:30 on 06/08 . Inverter was offline from 13:00 on 06/08 to 07:00 on 06/11 and again inverter was offline from 14:00 on 06/12 to 12:00 on 06/16 multiple days trough out the month
2.The site tripped offline from 15:45 to 16:15 on 06/20 due to a technician working on Inverter 2
3. Inverter 3 tripped offline from 13:45 on 06/21 to end of the month and reporting "Grid Line Voltage Out of Range - GridV.OutLim" 
4.Inverter 4 tripped offline from 16:45 on 06/25 to end of the month and reporting "Grid Line Voltage Out of Range - GridV.OutLim".
5. All trackers are not tracking.</t>
  </si>
  <si>
    <t>1.SR101477
2.SR101551
3.	SR103258
4.SR103554
5. SR099992</t>
  </si>
  <si>
    <t>July Actual v. Expected</t>
  </si>
  <si>
    <t>July Actual v. Forecasted</t>
  </si>
  <si>
    <t>August Actual v. Expected</t>
  </si>
  <si>
    <t>August Actual v. Forecasted</t>
  </si>
  <si>
    <t>2. SR089346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</si>
  <si>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</si>
  <si>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</si>
  <si>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</si>
  <si>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</si>
  <si>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</si>
  <si>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</si>
  <si>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</si>
  <si>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</si>
  <si>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</si>
  <si>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</si>
  <si>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Valmont Industries</t>
  </si>
  <si>
    <t>Site DAS Name</t>
  </si>
  <si>
    <t>Update</t>
  </si>
  <si>
    <t>DAS</t>
  </si>
  <si>
    <t>Valmont Bristol</t>
  </si>
  <si>
    <t>Valmont</t>
  </si>
  <si>
    <t>IN</t>
  </si>
  <si>
    <t>PowerTrack</t>
  </si>
  <si>
    <t>SR101551</t>
  </si>
  <si>
    <t>SR103258</t>
  </si>
  <si>
    <t>SR103554</t>
  </si>
  <si>
    <t>SR099992</t>
  </si>
  <si>
    <t>SR100671</t>
  </si>
  <si>
    <t>SR099153</t>
  </si>
  <si>
    <t>SR092973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</si>
</sst>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97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9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973" TargetMode="External"/><Relationship Id="rId2" Type="http://schemas.openxmlformats.org/officeDocument/2006/relationships/hyperlink" Target="https://us3.assetplanner.com/service_request?ID=099153" TargetMode="External"/><Relationship Id="rId1" Type="http://schemas.openxmlformats.org/officeDocument/2006/relationships/hyperlink" Target="https://us3.assetplanner.com/service_request?ID=097973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992" TargetMode="External"/><Relationship Id="rId2" Type="http://schemas.openxmlformats.org/officeDocument/2006/relationships/hyperlink" Target="https://us3.assetplanner.com/service_request?ID=100671" TargetMode="External"/><Relationship Id="rId1" Type="http://schemas.openxmlformats.org/officeDocument/2006/relationships/hyperlink" Target="https://us3.assetplanner.com/service_request?ID=09915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992" TargetMode="External"/><Relationship Id="rId2" Type="http://schemas.openxmlformats.org/officeDocument/2006/relationships/hyperlink" Target="https://us3.assetplanner.com/service_request?ID=101551" TargetMode="External"/><Relationship Id="rId1" Type="http://schemas.openxmlformats.org/officeDocument/2006/relationships/hyperlink" Target="https://us3.assetplanner.com/service_request?ID=101477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258" TargetMode="External"/><Relationship Id="rId2" Type="http://schemas.openxmlformats.org/officeDocument/2006/relationships/hyperlink" Target="https://us3.assetplanner.com/service_request?ID=101551" TargetMode="External"/><Relationship Id="rId1" Type="http://schemas.openxmlformats.org/officeDocument/2006/relationships/hyperlink" Target="https://us3.assetplanner.com/service_request?ID=101477" TargetMode="External"/><Relationship Id="rId5" Type="http://schemas.openxmlformats.org/officeDocument/2006/relationships/hyperlink" Target="https://us3.assetplanner.com/service_request?ID=099992" TargetMode="External"/><Relationship Id="rId4" Type="http://schemas.openxmlformats.org/officeDocument/2006/relationships/hyperlink" Target="https://us3.assetplanner.com/service_request?ID=10355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G4" activePane="bottomRight" state="frozen"/>
      <selection pane="topRight" activeCell="C10" sqref="C10"/>
      <selection pane="bottomLeft" activeCell="C10" sqref="C10"/>
      <selection pane="bottomRight" activeCell="H4" sqref="H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Valmont Industries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5">
        <f>SUM(C4:C72)</f>
        <v>380104.25099999999</v>
      </c>
      <c r="D2" s="5">
        <f>SUM(D4:D72)</f>
        <v>309696.261</v>
      </c>
      <c r="E2" s="5">
        <f>C2-D2</f>
        <v>70407.989999999991</v>
      </c>
      <c r="F2" s="6">
        <f>IFERROR(E2/D2, 0)</f>
        <v>0.22734530204741474</v>
      </c>
      <c r="G2" s="5">
        <f>SUM(G4:G72)</f>
        <v>279873.35399999999</v>
      </c>
      <c r="H2" s="7">
        <f>C2-G2</f>
        <v>100230.897</v>
      </c>
      <c r="I2" s="6">
        <f>IFERROR(H2/G2, 0)</f>
        <v>0.35812947380478388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Valmont</v>
      </c>
      <c r="B4" s="9" t="str" cm="1">
        <f t="array" ref="B4">Sites[State]</f>
        <v>IN</v>
      </c>
      <c r="C4" s="18">
        <f>SUM('1st Qtr'!C4, '2nd Qtr'!C4, '3rd Qtr'!C4, '4th Qtr'!C4)</f>
        <v>380104.25099999999</v>
      </c>
      <c r="D4" s="11">
        <f>SUM('1st Qtr'!D4, '2nd Qtr'!D4, '3rd Qtr'!D4, '4th Qtr'!D4)</f>
        <v>309696.261</v>
      </c>
      <c r="E4" s="11">
        <f>IF(AND(ISNUMBER(C4),ISNUMBER(D4)), C4-D4, "")</f>
        <v>70407.989999999991</v>
      </c>
      <c r="F4" s="12">
        <f>IFERROR(E4/D4, "")</f>
        <v>0.22734530204741474</v>
      </c>
      <c r="G4" s="13">
        <f>SUM('1st Qtr'!G4, '2nd Qtr'!G4, '3rd Qtr'!G4, '4th Qtr'!G4)</f>
        <v>279873.35399999999</v>
      </c>
      <c r="H4" s="13">
        <f>SUM('1st Qtr'!H4, '2nd Qtr'!H4, '3rd Qtr'!H4, '4th Qtr'!H4)</f>
        <v>-36644.916000000012</v>
      </c>
      <c r="I4" s="14">
        <f>IFERROR(H4/G4, "")</f>
        <v>-0.13093392234832049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8" x14ac:dyDescent="0.3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H4" sqref="H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Valmont Industries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5">
        <f>SUM(C4:C72)</f>
        <v>150698.18799999999</v>
      </c>
      <c r="D2" s="5">
        <f>SUM(D4:D72)</f>
        <v>112449.57</v>
      </c>
      <c r="E2" s="5">
        <f>C2-D2</f>
        <v>38248.617999999988</v>
      </c>
      <c r="F2" s="6">
        <f>IFERROR(E2/D2, 0)</f>
        <v>0.34014018906430665</v>
      </c>
      <c r="G2" s="5">
        <f>SUM(G4:G72)</f>
        <v>0</v>
      </c>
      <c r="H2" s="7">
        <f>C2-G2</f>
        <v>150698.18799999999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Valmont</v>
      </c>
      <c r="B4" s="9" t="str" cm="1">
        <f t="array" ref="B4">Sites[State]</f>
        <v>IN</v>
      </c>
      <c r="C4" s="18">
        <f>SUM(Jan!C4, Feb!C4, Mar!C4)</f>
        <v>150698.18799999999</v>
      </c>
      <c r="D4" s="11">
        <f>SUM(Jan!D4, Feb!D4, Mar!D4)</f>
        <v>112449.57</v>
      </c>
      <c r="E4" s="11">
        <f>IF(AND(ISNUMBER(C4),ISNUMBER(D4)), C4-D4, "")</f>
        <v>38248.617999999988</v>
      </c>
      <c r="F4" s="12">
        <f>IFERROR(E4/D4, "")</f>
        <v>0.34014018906430665</v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8" x14ac:dyDescent="0.3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H4" sqref="H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Valmont Industries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5">
        <f>SUM(C4:C72)</f>
        <v>229406.06299999999</v>
      </c>
      <c r="D2" s="5">
        <f>SUM(D4:D72)</f>
        <v>197246.69099999999</v>
      </c>
      <c r="E2" s="5">
        <f>C2-D2</f>
        <v>32159.372000000003</v>
      </c>
      <c r="F2" s="6">
        <f>IFERROR(E2/D2, 0)</f>
        <v>0.16304137644570171</v>
      </c>
      <c r="G2" s="5">
        <f>SUM(G4:G72)</f>
        <v>279873.35399999999</v>
      </c>
      <c r="H2" s="7">
        <f>C2-G2</f>
        <v>-50467.290999999997</v>
      </c>
      <c r="I2" s="6">
        <f>IFERROR(H2/G2, 0)</f>
        <v>-0.18032188587699563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Valmont</v>
      </c>
      <c r="B4" s="9" t="str" cm="1">
        <f t="array" ref="B4">Sites[State]</f>
        <v>IN</v>
      </c>
      <c r="C4" s="18">
        <f>SUM(Apr!C4, May!C4, Jun!C4)</f>
        <v>229406.06299999999</v>
      </c>
      <c r="D4" s="11">
        <f>SUM(Apr!D4, May!D4, Jun!D4)</f>
        <v>197246.69099999999</v>
      </c>
      <c r="E4" s="11">
        <f>IF(AND(ISNUMBER(C4),ISNUMBER(D4)), C4-D4, "")</f>
        <v>32159.372000000003</v>
      </c>
      <c r="F4" s="12">
        <f>IFERROR(E4/D4, "")</f>
        <v>0.16304137644570171</v>
      </c>
      <c r="G4" s="13">
        <f>SUM(Apr!G4,May!G4,Jun!G4)</f>
        <v>279873.35399999999</v>
      </c>
      <c r="H4" s="13">
        <f>SUM(Apr!H4, May!H4, Jun!H4)</f>
        <v>-36644.916000000012</v>
      </c>
      <c r="I4" s="14">
        <f>IFERROR(H4/G4, "")</f>
        <v>-0.13093392234832049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8" x14ac:dyDescent="0.3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4" sqref="C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Valmont Industries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Valmont</v>
      </c>
      <c r="B4" s="9" t="str" cm="1">
        <f t="array" ref="B4">Sites[State]</f>
        <v>IN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8" x14ac:dyDescent="0.3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F4" sqref="F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Valmont Industries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Valmont</v>
      </c>
      <c r="B4" s="9" t="str" cm="1">
        <f t="array" ref="B4">Sites[State]</f>
        <v>IN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8" x14ac:dyDescent="0.3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tabSelected="1" workbookViewId="0">
      <pane xSplit="2" ySplit="3" topLeftCell="I4" activePane="bottomRight" state="frozen"/>
      <selection pane="topRight" activeCell="C10" sqref="C10"/>
      <selection pane="bottomLeft" activeCell="C10" sqref="C10"/>
      <selection pane="bottomRight" activeCell="K9" sqref="K9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SUM(C4:C71)</f>
        <v>26968.675999999999</v>
      </c>
      <c r="D2" s="5">
        <f>SUM(D4:D71)</f>
        <v>22909.665000000001</v>
      </c>
      <c r="E2" s="5">
        <f>C2-D2</f>
        <v>4059.0109999999986</v>
      </c>
      <c r="F2" s="6">
        <f>IFERROR(E2/D2, 0)</f>
        <v>0.17717461167590179</v>
      </c>
      <c r="G2" s="5">
        <f>SUM(G4:G71)</f>
        <v>0</v>
      </c>
      <c r="H2" s="7">
        <f>C2-G2</f>
        <v>26968.675999999999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9" t="str" cm="1">
        <f t="array" ref="A4">Sites[Site]</f>
        <v>Valmont</v>
      </c>
      <c r="B4" s="22" t="str" cm="1">
        <f t="array" ref="B4">Sites[State]</f>
        <v>IN</v>
      </c>
      <c r="C4" s="11">
        <v>26968.675999999999</v>
      </c>
      <c r="D4" s="11">
        <v>22909.665000000001</v>
      </c>
      <c r="E4" s="11">
        <f>IF(AND(ISNUMBER(C4),ISNUMBER(D4)), C4-D4, "")</f>
        <v>4059.0109999999986</v>
      </c>
      <c r="F4" s="34">
        <f>IFERROR(E4/D4, "")</f>
        <v>0.17717461167590179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50" t="s">
        <v>24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2973" xr:uid="{2D898709-12D0-4DCB-9F07-EA20B2DB4662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G4" activePane="bottomRight" state="frozen"/>
      <selection pane="topRight" activeCell="C10" sqref="C10"/>
      <selection pane="bottomLeft" activeCell="C10" sqref="C10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25</v>
      </c>
      <c r="E1" s="48"/>
      <c r="F1" s="48"/>
      <c r="G1" s="46" t="s">
        <v>26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41511.574000000001</v>
      </c>
      <c r="D2" s="5">
        <f>SUM(D4:D72)</f>
        <v>30572.197</v>
      </c>
      <c r="E2" s="5">
        <f>C2-D2</f>
        <v>10939.377</v>
      </c>
      <c r="F2" s="6">
        <f>IFERROR(E2/D2, 0)</f>
        <v>0.35782109476790303</v>
      </c>
      <c r="G2" s="5">
        <f>SUM(G4:G72)</f>
        <v>0</v>
      </c>
      <c r="H2" s="7">
        <f>C2-G2</f>
        <v>41511.574000000001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9" t="str" cm="1">
        <f t="array" ref="A4">Sites[Site]</f>
        <v>Valmont</v>
      </c>
      <c r="B4" s="22" t="str" cm="1">
        <f t="array" ref="B4">Sites[State]</f>
        <v>IN</v>
      </c>
      <c r="C4" s="18">
        <v>41511.574000000001</v>
      </c>
      <c r="D4" s="11">
        <v>30572.197</v>
      </c>
      <c r="E4" s="11">
        <f>IF(AND(ISNUMBER(C4),ISNUMBER(D4)), C4-D4, "")</f>
        <v>10939.377</v>
      </c>
      <c r="F4" s="12">
        <f>IFERROR(E4/D4, "")</f>
        <v>0.35782109476790303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50" t="s">
        <v>24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2973" xr:uid="{3863E577-CC2E-4188-AF0F-340D126FE82C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14"/>
  <sheetViews>
    <sheetView zoomScale="70" zoomScaleNormal="70" workbookViewId="0">
      <pane xSplit="2" ySplit="3" topLeftCell="F4" activePane="bottomRight" state="frozen"/>
      <selection pane="topRight" activeCell="C10" sqref="C10"/>
      <selection pane="bottomLeft" activeCell="C10" sqref="C10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6" width="8.88671875" style="51"/>
  </cols>
  <sheetData>
    <row r="1" spans="1:13" ht="19.5" customHeight="1" x14ac:dyDescent="0.25">
      <c r="A1" s="47" t="str" cm="1">
        <f t="array" ref="A1">portfolio</f>
        <v>Valmont Industries</v>
      </c>
      <c r="B1" s="47"/>
      <c r="C1" s="47"/>
      <c r="D1" s="48" t="s">
        <v>27</v>
      </c>
      <c r="E1" s="48"/>
      <c r="F1" s="48"/>
      <c r="G1" s="46" t="s">
        <v>28</v>
      </c>
      <c r="H1" s="46"/>
      <c r="I1" s="46"/>
      <c r="J1" s="4"/>
      <c r="K1" s="4"/>
    </row>
    <row r="2" spans="1:13" ht="19.5" customHeight="1" x14ac:dyDescent="0.25">
      <c r="A2" s="49" t="s">
        <v>2</v>
      </c>
      <c r="B2" s="49"/>
      <c r="C2" s="5">
        <f>SUM(C4:C72)</f>
        <v>82217.937999999995</v>
      </c>
      <c r="D2" s="5">
        <f>SUM(D4:D72)</f>
        <v>58967.707999999999</v>
      </c>
      <c r="E2" s="5">
        <f>C2-D2</f>
        <v>23250.229999999996</v>
      </c>
      <c r="F2" s="6">
        <f>IFERROR(E2/D2, 0)</f>
        <v>0.39428749715013506</v>
      </c>
      <c r="G2" s="5">
        <f>SUM(G4:G72)</f>
        <v>0</v>
      </c>
      <c r="H2" s="7">
        <f>C2-G2</f>
        <v>82217.937999999995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86.4" x14ac:dyDescent="0.25">
      <c r="A4" s="42" t="str" cm="1">
        <f t="array" ref="A4">Sites[Site]</f>
        <v>Valmont</v>
      </c>
      <c r="B4" s="22" t="str" cm="1">
        <f t="array" ref="B4">Sites[State]</f>
        <v>IN</v>
      </c>
      <c r="C4" s="18">
        <v>82217.937999999995</v>
      </c>
      <c r="D4" s="11">
        <v>58967.707999999999</v>
      </c>
      <c r="E4" s="11">
        <f>IF(AND(ISNUMBER(C4),ISNUMBER(D4)), C4-D4, "")</f>
        <v>23250.229999999996</v>
      </c>
      <c r="F4" s="12">
        <f>IFERROR(E4/D4, "")</f>
        <v>0.39428749715013506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29</v>
      </c>
      <c r="K4" s="50" t="s">
        <v>30</v>
      </c>
      <c r="L4" s="52" t="s">
        <v>71</v>
      </c>
      <c r="M4" s="52" t="s">
        <v>72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7973" xr:uid="{E28D6CA0-D78E-47F2-A59C-58FADF41A40E}"/>
    <hyperlink ref="L4" r:id="rId2" display="https://us3.assetplanner.com/service_request?ID=099153" xr:uid="{88283673-EF06-4E56-9B35-5B35DA82E15A}"/>
    <hyperlink ref="M4" r:id="rId3" display="https://us3.assetplanner.com/service_request?ID=092973" xr:uid="{134C7CE1-425E-4DFF-BEE1-A7A417971FB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4" width="8.88671875" style="51"/>
  </cols>
  <sheetData>
    <row r="1" spans="1:13" ht="19.5" customHeight="1" x14ac:dyDescent="0.25">
      <c r="A1" s="47" t="str" cm="1">
        <f t="array" ref="A1">portfolio</f>
        <v>Valmont Industries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4"/>
      <c r="K1" s="4"/>
    </row>
    <row r="2" spans="1:13" ht="19.5" customHeight="1" x14ac:dyDescent="0.25">
      <c r="A2" s="49" t="s">
        <v>2</v>
      </c>
      <c r="B2" s="49"/>
      <c r="C2" s="5">
        <f>SUM(C4:C72)</f>
        <v>71050.125</v>
      </c>
      <c r="D2" s="5">
        <f>SUM(D4:D72)</f>
        <v>53448.025999999998</v>
      </c>
      <c r="E2" s="5">
        <f>C2-D2</f>
        <v>17602.099000000002</v>
      </c>
      <c r="F2" s="6">
        <f>IFERROR(E2/D2, 0)</f>
        <v>0.32933113376348083</v>
      </c>
      <c r="G2" s="5">
        <f>SUM(G4:G72)</f>
        <v>84872.5</v>
      </c>
      <c r="H2" s="7">
        <f>C2-G2</f>
        <v>-13822.375</v>
      </c>
      <c r="I2" s="6">
        <f>IFERROR(H2/G2, 0)</f>
        <v>-0.16286046717134525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100.8" x14ac:dyDescent="0.25">
      <c r="A4" s="42" t="str" cm="1">
        <f t="array" ref="A4">Sites[Site]</f>
        <v>Valmont</v>
      </c>
      <c r="B4" s="22" t="str" cm="1">
        <f t="array" ref="B4">Sites[State]</f>
        <v>IN</v>
      </c>
      <c r="C4" s="18">
        <v>71050.125</v>
      </c>
      <c r="D4" s="11">
        <v>53448.025999999998</v>
      </c>
      <c r="E4" s="11">
        <f>IF(AND(ISNUMBER(C4),ISNUMBER(D4)), C4-D4, "")</f>
        <v>17602.099000000002</v>
      </c>
      <c r="F4" s="12">
        <f>IFERROR(E4/D4, "")</f>
        <v>0.32933113376348083</v>
      </c>
      <c r="G4" s="13">
        <v>84872.5</v>
      </c>
      <c r="H4" s="13"/>
      <c r="I4" s="14">
        <f>IFERROR(H4/G4, "")</f>
        <v>0</v>
      </c>
      <c r="J4" s="32" t="s">
        <v>33</v>
      </c>
      <c r="K4" s="50" t="s">
        <v>34</v>
      </c>
      <c r="L4" s="52" t="s">
        <v>70</v>
      </c>
      <c r="M4" s="52" t="s">
        <v>69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9153" xr:uid="{AA347FE2-3738-4FB2-B7CB-5925AE919999}"/>
    <hyperlink ref="L4" r:id="rId2" display="https://us3.assetplanner.com/service_request?ID=100671" xr:uid="{B6E9AB98-616F-4867-820F-C3CE28C91314}"/>
    <hyperlink ref="M4" r:id="rId3" display="https://us3.assetplanner.com/service_request?ID=099992" xr:uid="{4DCAE879-9802-4AC3-9693-91A78FC4325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14"/>
  <sheetViews>
    <sheetView zoomScale="70" zoomScaleNormal="70"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6" width="8.88671875" style="51"/>
  </cols>
  <sheetData>
    <row r="1" spans="1:13" ht="19.5" customHeight="1" x14ac:dyDescent="0.25">
      <c r="A1" s="47" t="str" cm="1">
        <f t="array" ref="A1">portfolio</f>
        <v>Valmont Industries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4"/>
      <c r="K1" s="4"/>
    </row>
    <row r="2" spans="1:13" ht="19.5" customHeight="1" x14ac:dyDescent="0.25">
      <c r="A2" s="49" t="s">
        <v>2</v>
      </c>
      <c r="B2" s="49"/>
      <c r="C2" s="5">
        <f>SUM(C4:C72)</f>
        <v>84285.875</v>
      </c>
      <c r="D2" s="5">
        <f>SUM(D4:D72)</f>
        <v>69529.907999999996</v>
      </c>
      <c r="E2" s="5">
        <f>C2-D2</f>
        <v>14755.967000000004</v>
      </c>
      <c r="F2" s="6">
        <f>IFERROR(E2/D2, 0)</f>
        <v>0.21222474506941683</v>
      </c>
      <c r="G2" s="5">
        <f>SUM(G4:G72)</f>
        <v>96105.854000000007</v>
      </c>
      <c r="H2" s="7">
        <f>C2-G2</f>
        <v>-11819.979000000007</v>
      </c>
      <c r="I2" s="6">
        <f>IFERROR(H2/G2, 0)</f>
        <v>-0.12298916775662808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139.5" customHeight="1" x14ac:dyDescent="0.25">
      <c r="A4" s="42" t="str" cm="1">
        <f t="array" ref="A4">Sites[Site]</f>
        <v>Valmont</v>
      </c>
      <c r="B4" s="22" t="str" cm="1">
        <f t="array" ref="B4">Sites[State]</f>
        <v>IN</v>
      </c>
      <c r="C4" s="18">
        <v>84285.875</v>
      </c>
      <c r="D4" s="11">
        <v>69529.907999999996</v>
      </c>
      <c r="E4" s="11">
        <f>IF(AND(ISNUMBER(C4),ISNUMBER(D4)), C4-D4, "")</f>
        <v>14755.967000000004</v>
      </c>
      <c r="F4" s="12">
        <f>IFERROR(E4/D4, "")</f>
        <v>0.21222474506941683</v>
      </c>
      <c r="G4" s="13">
        <v>96105.854000000007</v>
      </c>
      <c r="H4" s="13">
        <f>IF(AND(ISNUMBER(C4),ISNUMBER(G4)), C4-G4, "")</f>
        <v>-11819.979000000007</v>
      </c>
      <c r="I4" s="14">
        <f>IFERROR(H4/G4, "")</f>
        <v>-0.12298916775662808</v>
      </c>
      <c r="J4" s="32" t="s">
        <v>37</v>
      </c>
      <c r="K4" s="50" t="s">
        <v>38</v>
      </c>
      <c r="L4" s="52" t="s">
        <v>66</v>
      </c>
      <c r="M4" s="52" t="s">
        <v>69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101477" xr:uid="{54A79F1E-C4E4-4152-BD96-69B80840BD70}"/>
    <hyperlink ref="L4" r:id="rId2" display="https://us3.assetplanner.com/service_request?ID=101551" xr:uid="{5ED0B8F3-62F0-4877-875B-4D8098753E7B}"/>
    <hyperlink ref="M4" r:id="rId3" display="https://us3.assetplanner.com/service_request?ID=099992" xr:uid="{91227E1C-C6A5-4F31-B2B6-8B4E83FC0264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O314"/>
  <sheetViews>
    <sheetView zoomScale="80" zoomScaleNormal="80" workbookViewId="0">
      <pane xSplit="2" ySplit="3" topLeftCell="E4" activePane="bottomRight" state="frozen"/>
      <selection pane="topRight" activeCell="C10" sqref="C10"/>
      <selection pane="bottomLeft" activeCell="C10" sqref="C10"/>
      <selection pane="bottomRight" activeCell="L1" sqref="L1:O1048576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8.88671875" style="51"/>
  </cols>
  <sheetData>
    <row r="1" spans="1:15" ht="19.5" customHeight="1" x14ac:dyDescent="0.25">
      <c r="A1" s="47" t="str" cm="1">
        <f t="array" ref="A1">portfolio</f>
        <v>Valmont Industries</v>
      </c>
      <c r="B1" s="47"/>
      <c r="C1" s="47"/>
      <c r="D1" s="48" t="s">
        <v>39</v>
      </c>
      <c r="E1" s="48"/>
      <c r="F1" s="48"/>
      <c r="G1" s="46" t="s">
        <v>40</v>
      </c>
      <c r="H1" s="46"/>
      <c r="I1" s="46"/>
      <c r="J1" s="4"/>
      <c r="K1" s="4"/>
    </row>
    <row r="2" spans="1:15" ht="19.5" customHeight="1" x14ac:dyDescent="0.25">
      <c r="A2" s="49" t="s">
        <v>2</v>
      </c>
      <c r="B2" s="49"/>
      <c r="C2" s="5">
        <f>SUM(C4:C72)</f>
        <v>74070.062999999995</v>
      </c>
      <c r="D2" s="5">
        <f>SUM(D4:D72)</f>
        <v>74268.756999999998</v>
      </c>
      <c r="E2" s="5">
        <f>C2-D2</f>
        <v>-198.69400000000314</v>
      </c>
      <c r="F2" s="6">
        <f>IFERROR(E2/D2, 0)</f>
        <v>-2.6753376254836625E-3</v>
      </c>
      <c r="G2" s="5">
        <f>SUM(G4:G72)</f>
        <v>98895</v>
      </c>
      <c r="H2" s="7">
        <f>C2-G2</f>
        <v>-24824.937000000005</v>
      </c>
      <c r="I2" s="6">
        <f>IFERROR(H2/G2, 0)</f>
        <v>-0.25102317609585928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58.4" x14ac:dyDescent="0.25">
      <c r="A4" s="42" t="str" cm="1">
        <f t="array" ref="A4">Sites[Site]</f>
        <v>Valmont</v>
      </c>
      <c r="B4" s="22" t="str" cm="1">
        <f t="array" ref="B4">Sites[State]</f>
        <v>IN</v>
      </c>
      <c r="C4" s="18">
        <v>74070.062999999995</v>
      </c>
      <c r="D4" s="11">
        <v>74268.756999999998</v>
      </c>
      <c r="E4" s="11">
        <f>IF(AND(ISNUMBER(C4),ISNUMBER(D4)), C4-D4, "")</f>
        <v>-198.69400000000314</v>
      </c>
      <c r="F4" s="12">
        <f>IFERROR(E4/D4, "")</f>
        <v>-2.6753376254836625E-3</v>
      </c>
      <c r="G4" s="13">
        <v>98895</v>
      </c>
      <c r="H4" s="13">
        <f>IF(AND(ISNUMBER(C4),ISNUMBER(G4)), C4-G4, "")</f>
        <v>-24824.937000000005</v>
      </c>
      <c r="I4" s="14">
        <f>IFERROR(H4/G4, "")</f>
        <v>-0.25102317609585928</v>
      </c>
      <c r="J4" s="32" t="s">
        <v>41</v>
      </c>
      <c r="K4" s="50" t="s">
        <v>42</v>
      </c>
      <c r="L4" s="52" t="s">
        <v>66</v>
      </c>
      <c r="M4" s="52" t="s">
        <v>67</v>
      </c>
      <c r="N4" s="52" t="s">
        <v>68</v>
      </c>
      <c r="O4" s="52" t="s">
        <v>69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1477" xr:uid="{2D0F845E-C88D-43D7-870D-FE588D9CF705}"/>
    <hyperlink ref="L4" r:id="rId2" display="https://us3.assetplanner.com/service_request?ID=101551" xr:uid="{0FDEDC53-C5CD-48B5-88DF-2DB7F24FD92B}"/>
    <hyperlink ref="M4" r:id="rId3" display="https://us3.assetplanner.com/service_request?ID=103258" xr:uid="{7B995949-D060-403B-B636-160872A2675D}"/>
    <hyperlink ref="N4" r:id="rId4" display="https://us3.assetplanner.com/service_request?ID=103554" xr:uid="{21B0CC29-0BB5-49E0-92F5-930DD4625FD5}"/>
    <hyperlink ref="O4" r:id="rId5" display="https://us3.assetplanner.com/service_request?ID=099992" xr:uid="{5250C50E-D07F-4471-B06F-A225F41541C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D8" sqref="D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J12" sqref="J12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25">
      <c r="A4" s="42" t="str" cm="1">
        <f t="array" ref="A4">Sites[Site]</f>
        <v>Valmont</v>
      </c>
      <c r="B4" s="22" t="str" cm="1">
        <f t="array" ref="B4">Sites[State]</f>
        <v>IN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 t="s">
        <v>47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D9" sqref="D9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48</v>
      </c>
      <c r="E1" s="48"/>
      <c r="F1" s="48"/>
      <c r="G1" s="46" t="s">
        <v>49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D9" sqref="D9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50</v>
      </c>
      <c r="E1" s="48"/>
      <c r="F1" s="48"/>
      <c r="G1" s="46" t="s">
        <v>51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G13" sqref="G13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52</v>
      </c>
      <c r="E1" s="48"/>
      <c r="F1" s="48"/>
      <c r="G1" s="46" t="s">
        <v>53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 x14ac:dyDescent="0.3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54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D7" sqref="D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Valmont Industries</v>
      </c>
      <c r="B1" s="47"/>
      <c r="C1" s="47"/>
      <c r="D1" s="48" t="s">
        <v>55</v>
      </c>
      <c r="E1" s="48"/>
      <c r="F1" s="48"/>
      <c r="G1" s="46" t="s">
        <v>56</v>
      </c>
      <c r="H1" s="46"/>
      <c r="I1" s="46"/>
      <c r="J1" s="4"/>
      <c r="K1" s="4"/>
    </row>
    <row r="2" spans="1:11" ht="19.5" customHeight="1" x14ac:dyDescent="0.25">
      <c r="A2" s="49" t="s">
        <v>2</v>
      </c>
      <c r="B2" s="49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" x14ac:dyDescent="0.3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8671875" customWidth="1"/>
    <col min="4" max="4" width="11.4414062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57</v>
      </c>
      <c r="B1" s="40" t="s">
        <v>58</v>
      </c>
    </row>
    <row r="3" spans="1:12" ht="13.2" x14ac:dyDescent="0.2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12" ht="14.4" x14ac:dyDescent="0.3">
      <c r="A4" s="38" t="s">
        <v>62</v>
      </c>
      <c r="B4" t="s">
        <v>63</v>
      </c>
      <c r="C4" s="36" t="s">
        <v>64</v>
      </c>
      <c r="D4" s="41"/>
      <c r="E4" s="40" t="s">
        <v>65</v>
      </c>
      <c r="G4" s="3"/>
    </row>
    <row r="5" spans="1:12" ht="14.4" x14ac:dyDescent="0.3">
      <c r="A5" s="38"/>
      <c r="C5" s="36"/>
      <c r="D5" s="35"/>
      <c r="G5" s="3"/>
    </row>
    <row r="6" spans="1:12" ht="14.4" x14ac:dyDescent="0.3">
      <c r="A6" s="38"/>
      <c r="C6" s="36"/>
      <c r="D6" s="35"/>
      <c r="G6" s="3"/>
    </row>
    <row r="7" spans="1:12" ht="12.75" customHeight="1" x14ac:dyDescent="0.25">
      <c r="A7" s="38"/>
      <c r="C7" s="36"/>
      <c r="D7" s="35"/>
    </row>
    <row r="8" spans="1:12" ht="12.75" customHeight="1" x14ac:dyDescent="0.25">
      <c r="A8" s="38"/>
      <c r="C8" s="36"/>
      <c r="D8" s="35"/>
    </row>
    <row r="9" spans="1:12" ht="12.75" customHeight="1" x14ac:dyDescent="0.25">
      <c r="A9" s="38"/>
      <c r="C9" s="36"/>
      <c r="D9" s="35"/>
    </row>
    <row r="10" spans="1:12" ht="12.75" customHeight="1" x14ac:dyDescent="0.25">
      <c r="A10" s="38"/>
      <c r="C10" s="36"/>
      <c r="D10" s="35"/>
      <c r="K10" s="33"/>
      <c r="L10" s="33"/>
    </row>
    <row r="11" spans="1:12" ht="12.75" customHeight="1" x14ac:dyDescent="0.25">
      <c r="A11" s="38"/>
      <c r="C11" s="36"/>
      <c r="D11" s="35"/>
      <c r="K11" s="33"/>
      <c r="L11" s="33"/>
    </row>
    <row r="12" spans="1:12" ht="12.75" customHeight="1" x14ac:dyDescent="0.25">
      <c r="A12" s="38"/>
      <c r="C12" s="36"/>
      <c r="D12" s="35"/>
      <c r="K12" s="33"/>
      <c r="L12" s="33"/>
    </row>
    <row r="13" spans="1:12" ht="12.75" customHeight="1" x14ac:dyDescent="0.25">
      <c r="A13" s="38"/>
      <c r="C13" s="36"/>
      <c r="D13" s="35"/>
      <c r="K13" s="33"/>
      <c r="L13" s="33"/>
    </row>
    <row r="14" spans="1:12" ht="12.75" customHeight="1" x14ac:dyDescent="0.25">
      <c r="A14" s="38"/>
      <c r="C14" s="36"/>
      <c r="D14" s="35"/>
      <c r="K14" s="33"/>
      <c r="L14" s="33"/>
    </row>
    <row r="15" spans="1:12" ht="12.75" customHeight="1" x14ac:dyDescent="0.25">
      <c r="A15" s="38"/>
      <c r="C15" s="36"/>
      <c r="D15" s="35"/>
      <c r="K15" s="33"/>
      <c r="L15" s="33"/>
    </row>
    <row r="16" spans="1:12" ht="12.75" customHeight="1" x14ac:dyDescent="0.25">
      <c r="A16" s="38"/>
      <c r="C16" s="36"/>
      <c r="D16" s="35"/>
      <c r="K16" s="33"/>
      <c r="L16" s="33"/>
    </row>
    <row r="17" spans="1:12" ht="12.75" customHeight="1" x14ac:dyDescent="0.25">
      <c r="A17" s="38"/>
      <c r="C17" s="36"/>
      <c r="D17" s="35"/>
      <c r="K17" s="33"/>
      <c r="L17" s="33"/>
    </row>
    <row r="18" spans="1:12" ht="12.75" customHeight="1" x14ac:dyDescent="0.25">
      <c r="A18" s="38"/>
      <c r="C18" s="36"/>
      <c r="D18" s="35"/>
      <c r="K18" s="33"/>
      <c r="L18" s="33"/>
    </row>
    <row r="19" spans="1:12" ht="12.75" customHeight="1" x14ac:dyDescent="0.25">
      <c r="A19" s="38"/>
      <c r="C19" s="36"/>
      <c r="D19" s="35"/>
      <c r="K19" s="33"/>
      <c r="L19" s="33"/>
    </row>
    <row r="20" spans="1:12" ht="12.75" customHeight="1" x14ac:dyDescent="0.25">
      <c r="A20" s="38"/>
      <c r="C20" s="36"/>
      <c r="D20" s="35"/>
      <c r="K20" s="33"/>
      <c r="L20" s="33"/>
    </row>
    <row r="21" spans="1:12" ht="12.75" customHeight="1" x14ac:dyDescent="0.25">
      <c r="A21" s="38"/>
      <c r="C21" s="36"/>
      <c r="D21" s="35"/>
      <c r="K21" s="33"/>
      <c r="L21" s="33"/>
    </row>
    <row r="22" spans="1:12" ht="12.75" customHeight="1" x14ac:dyDescent="0.25">
      <c r="A22" s="38"/>
      <c r="C22" s="36"/>
      <c r="D22" s="35"/>
      <c r="K22" s="33"/>
      <c r="L22" s="33"/>
    </row>
    <row r="23" spans="1:12" ht="12.75" customHeight="1" x14ac:dyDescent="0.25">
      <c r="A23" s="38"/>
      <c r="C23" s="36"/>
      <c r="D23" s="35"/>
      <c r="K23" s="33"/>
      <c r="L23" s="33"/>
    </row>
    <row r="24" spans="1:12" ht="12.75" customHeight="1" x14ac:dyDescent="0.25">
      <c r="A24" s="38"/>
      <c r="C24" s="36"/>
      <c r="D24" s="35"/>
      <c r="K24" s="33"/>
      <c r="L24" s="33"/>
    </row>
    <row r="25" spans="1:12" ht="12.75" customHeight="1" x14ac:dyDescent="0.25">
      <c r="A25" s="38"/>
      <c r="C25" s="36"/>
      <c r="D25" s="35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ED865DE5-E824-4C84-96C3-5530F71BA732}"/>
</file>

<file path=customXml/itemProps9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2025-07-10T08:29:35Z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